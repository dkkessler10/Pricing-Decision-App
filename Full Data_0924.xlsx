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young-nam/Desktop/2026 Fall/ITM6450/"/>
    </mc:Choice>
  </mc:AlternateContent>
  <xr:revisionPtr revIDLastSave="0" documentId="13_ncr:1_{3B70CBF3-95E5-4643-972D-85DD68C3A22F}" xr6:coauthVersionLast="47" xr6:coauthVersionMax="47" xr10:uidLastSave="{00000000-0000-0000-0000-000000000000}"/>
  <bookViews>
    <workbookView xWindow="0" yWindow="660" windowWidth="28520" windowHeight="18460" xr2:uid="{267B7510-4493-8C49-AA67-C05EFC0C074B}"/>
  </bookViews>
  <sheets>
    <sheet name="Margin__Pivot" sheetId="11" r:id="rId1"/>
    <sheet name="Sales_Pivot" sheetId="10" r:id="rId2"/>
    <sheet name="Sales" sheetId="7" r:id="rId3"/>
    <sheet name="Company_Valuation" sheetId="2" r:id="rId4"/>
    <sheet name="Inventory_Pivot" sheetId="8" r:id="rId5"/>
    <sheet name="Inventory" sheetId="6" r:id="rId6"/>
    <sheet name="Sheet3" sheetId="9" r:id="rId7"/>
    <sheet name="Financial_Postings" sheetId="5" r:id="rId8"/>
    <sheet name="Current_Inventory_KPI" sheetId="4" r:id="rId9"/>
    <sheet name="Current_Inventory" sheetId="3" r:id="rId10"/>
    <sheet name="Sheet1" sheetId="1" r:id="rId11"/>
  </sheets>
  <definedNames>
    <definedName name="_xlchart.v1.0" hidden="1">'Company_Valuation'!$F$2:$F$31</definedName>
    <definedName name="_xlchart.v1.1" hidden="1">'Company_Valuation'!$M$1</definedName>
    <definedName name="_xlchart.v1.10" hidden="1">'Company_Valuation'!$F$2:$F$31</definedName>
    <definedName name="_xlchart.v1.11" hidden="1">'Company_Valuation'!$M$1</definedName>
    <definedName name="_xlchart.v1.12" hidden="1">'Company_Valuation'!$M$2:$M$31</definedName>
    <definedName name="_xlchart.v1.13" hidden="1">'Company_Valuation'!$S$1</definedName>
    <definedName name="_xlchart.v1.14" hidden="1">'Company_Valuation'!$S$2:$S$31</definedName>
    <definedName name="_xlchart.v1.15" hidden="1">'Company_Valuation'!$F$2:$F$31</definedName>
    <definedName name="_xlchart.v1.16" hidden="1">'Company_Valuation'!$M$1</definedName>
    <definedName name="_xlchart.v1.17" hidden="1">'Company_Valuation'!$M$2:$M$31</definedName>
    <definedName name="_xlchart.v1.18" hidden="1">'Company_Valuation'!$S$1</definedName>
    <definedName name="_xlchart.v1.19" hidden="1">'Company_Valuation'!$S$2:$S$31</definedName>
    <definedName name="_xlchart.v1.2" hidden="1">'Company_Valuation'!$M$2:$M$31</definedName>
    <definedName name="_xlchart.v1.20" hidden="1">'Company_Valuation'!$F$2:$F$31</definedName>
    <definedName name="_xlchart.v1.21" hidden="1">'Company_Valuation'!$M$1</definedName>
    <definedName name="_xlchart.v1.22" hidden="1">'Company_Valuation'!$M$2:$M$31</definedName>
    <definedName name="_xlchart.v1.23" hidden="1">'Company_Valuation'!$S$1</definedName>
    <definedName name="_xlchart.v1.24" hidden="1">'Company_Valuation'!$S$2:$S$31</definedName>
    <definedName name="_xlchart.v1.25" hidden="1">'Company_Valuation'!$F$2:$F$31</definedName>
    <definedName name="_xlchart.v1.26" hidden="1">'Company_Valuation'!$M$1</definedName>
    <definedName name="_xlchart.v1.27" hidden="1">'Company_Valuation'!$M$2:$M$31</definedName>
    <definedName name="_xlchart.v1.28" hidden="1">'Company_Valuation'!$S$1</definedName>
    <definedName name="_xlchart.v1.29" hidden="1">'Company_Valuation'!$S$2:$S$31</definedName>
    <definedName name="_xlchart.v1.3" hidden="1">'Company_Valuation'!$S$1</definedName>
    <definedName name="_xlchart.v1.30" hidden="1">'Company_Valuation'!$F$2:$F$31</definedName>
    <definedName name="_xlchart.v1.31" hidden="1">'Company_Valuation'!$M$1</definedName>
    <definedName name="_xlchart.v1.32" hidden="1">'Company_Valuation'!$M$2:$M$31</definedName>
    <definedName name="_xlchart.v1.33" hidden="1">'Company_Valuation'!$S$1</definedName>
    <definedName name="_xlchart.v1.34" hidden="1">'Company_Valuation'!$S$2:$S$31</definedName>
    <definedName name="_xlchart.v1.35" hidden="1">'Company_Valuation'!$F$2:$F$31</definedName>
    <definedName name="_xlchart.v1.36" hidden="1">'Company_Valuation'!$M$1</definedName>
    <definedName name="_xlchart.v1.37" hidden="1">'Company_Valuation'!$M$2:$M$31</definedName>
    <definedName name="_xlchart.v1.38" hidden="1">'Company_Valuation'!$S$1</definedName>
    <definedName name="_xlchart.v1.39" hidden="1">'Company_Valuation'!$S$2:$S$31</definedName>
    <definedName name="_xlchart.v1.4" hidden="1">'Company_Valuation'!$S$2:$S$31</definedName>
    <definedName name="_xlchart.v1.5" hidden="1">'Company_Valuation'!$F$2:$F$31</definedName>
    <definedName name="_xlchart.v1.6" hidden="1">'Company_Valuation'!$M$1</definedName>
    <definedName name="_xlchart.v1.7" hidden="1">'Company_Valuation'!$M$2:$M$31</definedName>
    <definedName name="_xlchart.v1.8" hidden="1">'Company_Valuation'!$S$1</definedName>
    <definedName name="_xlchart.v1.9" hidden="1">'Company_Valuation'!$S$2:$S$31</definedName>
    <definedName name="ExternalData_1" localSheetId="3" hidden="1">'Company_Valuation'!$A$1:$T$31</definedName>
    <definedName name="ExternalData_2" localSheetId="9" hidden="1">'Current_Inventory'!$A$1:$I$25</definedName>
    <definedName name="ExternalData_3" localSheetId="8" hidden="1">'Current_Inventory_KPI'!$A$1:$K$25</definedName>
    <definedName name="ExternalData_4" localSheetId="7" hidden="1">Financial_Postings!$A$1:$Q$253</definedName>
    <definedName name="ExternalData_5" localSheetId="5" hidden="1">Inventory!$A$1:$M$745</definedName>
    <definedName name="ExternalData_6" localSheetId="2" hidden="1">Sales!$A$1:$V$174</definedName>
  </definedNames>
  <calcPr calcId="181029"/>
  <pivotCaches>
    <pivotCache cacheId="1501" r:id="rId12"/>
    <pivotCache cacheId="1507" r:id="rId13"/>
    <pivotCache cacheId="1510" r:id="rId14"/>
    <pivotCache cacheId="151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7" l="1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869215-7E06-474B-AF7A-11ED70EC42C5}" keepAlive="1" name="Query - Company_Valuation" description="Connection to the 'Company_Valuation' query in the workbook." type="5" refreshedVersion="8" background="1" saveData="1">
    <dbPr connection="Provider=Microsoft.Mashup.OleDb.1;Data Source=$Workbook$;Location=Company_Valuation;Extended Properties=&quot;&quot;" command="SELECT * FROM [Company_Valuation]"/>
  </connection>
  <connection id="2" xr16:uid="{376D3703-C7C8-C844-B93F-130B10DF0B53}" keepAlive="1" name="Query - Current_Inventory" description="Connection to the 'Current_Inventory' query in the workbook." type="5" refreshedVersion="8" background="1" saveData="1">
    <dbPr connection="Provider=Microsoft.Mashup.OleDb.1;Data Source=$Workbook$;Location=Current_Inventory;Extended Properties=&quot;&quot;" command="SELECT * FROM [Current_Inventory]"/>
  </connection>
  <connection id="3" xr16:uid="{A5ADE213-BA15-9C45-98C4-1A10C8ED24D3}" keepAlive="1" name="Query - Current_Inventory_KPI" description="Connection to the 'Current_Inventory_KPI' query in the workbook." type="5" refreshedVersion="8" background="1" saveData="1">
    <dbPr connection="Provider=Microsoft.Mashup.OleDb.1;Data Source=$Workbook$;Location=Current_Inventory_KPI;Extended Properties=&quot;&quot;" command="SELECT * FROM [Current_Inventory_KPI]"/>
  </connection>
  <connection id="4" xr16:uid="{38408888-1536-444A-94C1-D67259EBDE49}" keepAlive="1" name="Query - Financial_Postings" description="Connection to the 'Financial_Postings' query in the workbook." type="5" refreshedVersion="8" background="1" saveData="1">
    <dbPr connection="Provider=Microsoft.Mashup.OleDb.1;Data Source=$Workbook$;Location=Financial_Postings;Extended Properties=&quot;&quot;" command="SELECT * FROM [Financial_Postings]"/>
  </connection>
  <connection id="5" xr16:uid="{940F151E-BD4C-3942-B7BC-C37A572F02B1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6" xr16:uid="{69063E60-84A0-8040-BDA9-0A81E818606A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<sst xmlns="http://schemas.openxmlformats.org/spreadsheetml/2006/main" count="13178" uniqueCount="1017">
  <si>
    <t>ID</t>
  </si>
  <si>
    <t>ROW_ID</t>
  </si>
  <si>
    <t>COMPANY_CODE</t>
  </si>
  <si>
    <t>SIM_ROUND</t>
  </si>
  <si>
    <t>SIM_STEP</t>
  </si>
  <si>
    <t>SIM_DATE</t>
  </si>
  <si>
    <t>SIM_PERIOD</t>
  </si>
  <si>
    <t>SIM_ELAPSED_STEPS</t>
  </si>
  <si>
    <t>BANK_CASH_ACCOUNT</t>
  </si>
  <si>
    <t>ACCOUNTS_RECEIVABLE</t>
  </si>
  <si>
    <t>BANK_LOAN</t>
  </si>
  <si>
    <t>ACCOUNTS_PAYABLE</t>
  </si>
  <si>
    <t>PROFIT</t>
  </si>
  <si>
    <t>SETUP_TIME_INVESTMENT</t>
  </si>
  <si>
    <t>DEBT_LOADING</t>
  </si>
  <si>
    <t>CREDIT_RATING</t>
  </si>
  <si>
    <t>COMPANY_RISK_RATE_PCT</t>
  </si>
  <si>
    <t>MARKET_RISK_RATE_PCT</t>
  </si>
  <si>
    <t>COMPANY_VALUATION</t>
  </si>
  <si>
    <t>CURRENCY</t>
  </si>
  <si>
    <t>PLANT</t>
  </si>
  <si>
    <t>MATERIAL_NUMBER</t>
  </si>
  <si>
    <t>MATERIAL_DESCRIPTION</t>
  </si>
  <si>
    <t>STORAGE_LOCATION</t>
  </si>
  <si>
    <t>STOCK</t>
  </si>
  <si>
    <t>RESTRICTED</t>
  </si>
  <si>
    <t>UNIT</t>
  </si>
  <si>
    <t>.1~1</t>
  </si>
  <si>
    <t>D2</t>
  </si>
  <si>
    <t>DD-T01</t>
  </si>
  <si>
    <t>Milk</t>
  </si>
  <si>
    <t>03</t>
  </si>
  <si>
    <t>ST</t>
  </si>
  <si>
    <t>.1~2</t>
  </si>
  <si>
    <t>DD-T02</t>
  </si>
  <si>
    <t>Cream</t>
  </si>
  <si>
    <t>.1~3</t>
  </si>
  <si>
    <t>DD-T03</t>
  </si>
  <si>
    <t>Yoghurt</t>
  </si>
  <si>
    <t>.1~4</t>
  </si>
  <si>
    <t>DD-T04</t>
  </si>
  <si>
    <t>Cheese</t>
  </si>
  <si>
    <t>.1~5</t>
  </si>
  <si>
    <t>DD-T05</t>
  </si>
  <si>
    <t>Butter</t>
  </si>
  <si>
    <t>.1~6</t>
  </si>
  <si>
    <t>DD-T06</t>
  </si>
  <si>
    <t>Ice Cream</t>
  </si>
  <si>
    <t>.1~7</t>
  </si>
  <si>
    <t>03N</t>
  </si>
  <si>
    <t>.1~8</t>
  </si>
  <si>
    <t>.1~9</t>
  </si>
  <si>
    <t>.1~10</t>
  </si>
  <si>
    <t>.1~11</t>
  </si>
  <si>
    <t>.1~12</t>
  </si>
  <si>
    <t>.1~13</t>
  </si>
  <si>
    <t>03S</t>
  </si>
  <si>
    <t>.1~14</t>
  </si>
  <si>
    <t>.1~15</t>
  </si>
  <si>
    <t>.1~16</t>
  </si>
  <si>
    <t>.1~17</t>
  </si>
  <si>
    <t>.1~18</t>
  </si>
  <si>
    <t>.1~19</t>
  </si>
  <si>
    <t>03W</t>
  </si>
  <si>
    <t>.1~20</t>
  </si>
  <si>
    <t>.1~21</t>
  </si>
  <si>
    <t>.1~22</t>
  </si>
  <si>
    <t>.1~23</t>
  </si>
  <si>
    <t>.1~24</t>
  </si>
  <si>
    <t>CURRENT_INVENTORY</t>
  </si>
  <si>
    <t>QUANTITY_SOLD</t>
  </si>
  <si>
    <t>NB_STEPS_AVAILABLE</t>
  </si>
  <si>
    <t>GL_ACCOUNT_NUMBER</t>
  </si>
  <si>
    <t>GL_ACCOUNT_NAME</t>
  </si>
  <si>
    <t>FS_LEVEL_1</t>
  </si>
  <si>
    <t>FS_LEVEL_2</t>
  </si>
  <si>
    <t>FS_LEVEL_3</t>
  </si>
  <si>
    <t>FS_LEVEL_4</t>
  </si>
  <si>
    <t>DEBIT_CREDIT_INDICATOR</t>
  </si>
  <si>
    <t>AMOUNT</t>
  </si>
  <si>
    <t>INVENTORY_OPENING_BALANCE</t>
  </si>
  <si>
    <t>01</t>
  </si>
  <si>
    <t>01/01</t>
  </si>
  <si>
    <t>SALES_ORGANIZATION</t>
  </si>
  <si>
    <t>SALES_ORDER_NUMBER</t>
  </si>
  <si>
    <t>LINE_ITEM</t>
  </si>
  <si>
    <t>AREA</t>
  </si>
  <si>
    <t>DISTRIBUTION_CHANNEL</t>
  </si>
  <si>
    <t>QUANTITY</t>
  </si>
  <si>
    <t>QUANTITY_DELIVERED</t>
  </si>
  <si>
    <t>NET_PRICE</t>
  </si>
  <si>
    <t>NET_VALUE</t>
  </si>
  <si>
    <t>COST</t>
  </si>
  <si>
    <t>Row Labels</t>
  </si>
  <si>
    <t>(blank)</t>
  </si>
  <si>
    <t>Grand Total</t>
  </si>
  <si>
    <t>Column Labels</t>
  </si>
  <si>
    <t>DD-T01 Total</t>
  </si>
  <si>
    <t>DD-T02 Total</t>
  </si>
  <si>
    <t>DD-T03 Total</t>
  </si>
  <si>
    <t>DD-T04 Total</t>
  </si>
  <si>
    <t>DD-T05 Total</t>
  </si>
  <si>
    <t>DD-T06 Total</t>
  </si>
  <si>
    <t>(blank) Total</t>
  </si>
  <si>
    <t>Sum of INVENTORY_OPENING_BALANCE</t>
  </si>
  <si>
    <t>Milk Total</t>
  </si>
  <si>
    <t>Cream Total</t>
  </si>
  <si>
    <t>Yoghurt Total</t>
  </si>
  <si>
    <t>Cheese Total</t>
  </si>
  <si>
    <t>Butter Total</t>
  </si>
  <si>
    <t>Ice Cream Total</t>
  </si>
  <si>
    <t>.1~25</t>
  </si>
  <si>
    <t>02</t>
  </si>
  <si>
    <t>01/02</t>
  </si>
  <si>
    <t>.1~26</t>
  </si>
  <si>
    <t>.1~27</t>
  </si>
  <si>
    <t>.1~28</t>
  </si>
  <si>
    <t>.1~29</t>
  </si>
  <si>
    <t>.1~30</t>
  </si>
  <si>
    <t>.1~31</t>
  </si>
  <si>
    <t>.1~32</t>
  </si>
  <si>
    <t>.1~33</t>
  </si>
  <si>
    <t>.1~34</t>
  </si>
  <si>
    <t>.1~35</t>
  </si>
  <si>
    <t>.1~36</t>
  </si>
  <si>
    <t>.1~37</t>
  </si>
  <si>
    <t>.1~38</t>
  </si>
  <si>
    <t>.1~39</t>
  </si>
  <si>
    <t>.1~40</t>
  </si>
  <si>
    <t>.1~41</t>
  </si>
  <si>
    <t>.1~42</t>
  </si>
  <si>
    <t>.1~43</t>
  </si>
  <si>
    <t>.1~44</t>
  </si>
  <si>
    <t>.1~45</t>
  </si>
  <si>
    <t>.1~46</t>
  </si>
  <si>
    <t>.1~47</t>
  </si>
  <si>
    <t>.1~48</t>
  </si>
  <si>
    <t>11000</t>
  </si>
  <si>
    <t>Machinery and equipment</t>
  </si>
  <si>
    <t>Balance Sheet</t>
  </si>
  <si>
    <t>Assets</t>
  </si>
  <si>
    <t>Long-Term Assets</t>
  </si>
  <si>
    <t/>
  </si>
  <si>
    <t>Debit</t>
  </si>
  <si>
    <t>EUR</t>
  </si>
  <si>
    <t>70000</t>
  </si>
  <si>
    <t>Common stock</t>
  </si>
  <si>
    <t>Liabilities and Owners' Equity</t>
  </si>
  <si>
    <t>Equity</t>
  </si>
  <si>
    <t>Shareholders Equity</t>
  </si>
  <si>
    <t>Credit</t>
  </si>
  <si>
    <t>113300</t>
  </si>
  <si>
    <t>Bank Cash Account</t>
  </si>
  <si>
    <t>Current Assets</t>
  </si>
  <si>
    <t>AAA+</t>
  </si>
  <si>
    <t>.1~49</t>
  </si>
  <si>
    <t>01/03</t>
  </si>
  <si>
    <t>.1~50</t>
  </si>
  <si>
    <t>.1~51</t>
  </si>
  <si>
    <t>.1~52</t>
  </si>
  <si>
    <t>.1~53</t>
  </si>
  <si>
    <t>.1~54</t>
  </si>
  <si>
    <t>.1~55</t>
  </si>
  <si>
    <t>.1~56</t>
  </si>
  <si>
    <t>.1~57</t>
  </si>
  <si>
    <t>.1~58</t>
  </si>
  <si>
    <t>.1~59</t>
  </si>
  <si>
    <t>.1~60</t>
  </si>
  <si>
    <t>.1~61</t>
  </si>
  <si>
    <t>.1~62</t>
  </si>
  <si>
    <t>.1~63</t>
  </si>
  <si>
    <t>.1~64</t>
  </si>
  <si>
    <t>.1~65</t>
  </si>
  <si>
    <t>.1~66</t>
  </si>
  <si>
    <t>.1~67</t>
  </si>
  <si>
    <t>.1~68</t>
  </si>
  <si>
    <t>.1~69</t>
  </si>
  <si>
    <t>.1~70</t>
  </si>
  <si>
    <t>.1~71</t>
  </si>
  <si>
    <t>.1~72</t>
  </si>
  <si>
    <t>.1~73</t>
  </si>
  <si>
    <t>04</t>
  </si>
  <si>
    <t>01/04</t>
  </si>
  <si>
    <t>.1~74</t>
  </si>
  <si>
    <t>.1~75</t>
  </si>
  <si>
    <t>.1~76</t>
  </si>
  <si>
    <t>.1~77</t>
  </si>
  <si>
    <t>.1~78</t>
  </si>
  <si>
    <t>.1~79</t>
  </si>
  <si>
    <t>.1~80</t>
  </si>
  <si>
    <t>.1~81</t>
  </si>
  <si>
    <t>.1~82</t>
  </si>
  <si>
    <t>.1~83</t>
  </si>
  <si>
    <t>.1~84</t>
  </si>
  <si>
    <t>.1~85</t>
  </si>
  <si>
    <t>.1~86</t>
  </si>
  <si>
    <t>.1~87</t>
  </si>
  <si>
    <t>.1~88</t>
  </si>
  <si>
    <t>.1~89</t>
  </si>
  <si>
    <t>.1~90</t>
  </si>
  <si>
    <t>.1~91</t>
  </si>
  <si>
    <t>.1~92</t>
  </si>
  <si>
    <t>.1~93</t>
  </si>
  <si>
    <t>.1~94</t>
  </si>
  <si>
    <t>.1~95</t>
  </si>
  <si>
    <t>.1~96</t>
  </si>
  <si>
    <t>.1~97</t>
  </si>
  <si>
    <t>05</t>
  </si>
  <si>
    <t>01/05</t>
  </si>
  <si>
    <t>.1~98</t>
  </si>
  <si>
    <t>.1~99</t>
  </si>
  <si>
    <t>.1~100</t>
  </si>
  <si>
    <t>.1~101</t>
  </si>
  <si>
    <t>.1~102</t>
  </si>
  <si>
    <t>.1~103</t>
  </si>
  <si>
    <t>.1~104</t>
  </si>
  <si>
    <t>.1~105</t>
  </si>
  <si>
    <t>.1~106</t>
  </si>
  <si>
    <t>.1~107</t>
  </si>
  <si>
    <t>.1~108</t>
  </si>
  <si>
    <t>.1~109</t>
  </si>
  <si>
    <t>.1~110</t>
  </si>
  <si>
    <t>.1~111</t>
  </si>
  <si>
    <t>.1~112</t>
  </si>
  <si>
    <t>.1~113</t>
  </si>
  <si>
    <t>.1~114</t>
  </si>
  <si>
    <t>.1~115</t>
  </si>
  <si>
    <t>.1~116</t>
  </si>
  <si>
    <t>.1~117</t>
  </si>
  <si>
    <t>.1~118</t>
  </si>
  <si>
    <t>.1~119</t>
  </si>
  <si>
    <t>.1~120</t>
  </si>
  <si>
    <t>160000</t>
  </si>
  <si>
    <t>Accounts payable-domestic</t>
  </si>
  <si>
    <t>Liabilities</t>
  </si>
  <si>
    <t>Current Liabilities</t>
  </si>
  <si>
    <t>191100</t>
  </si>
  <si>
    <t>GR/IR Clearing - External procurement</t>
  </si>
  <si>
    <t>192100</t>
  </si>
  <si>
    <t>Freight clearing (MM)</t>
  </si>
  <si>
    <t>792000</t>
  </si>
  <si>
    <t>Finished goods</t>
  </si>
  <si>
    <t>472000</t>
  </si>
  <si>
    <t>Shipping costs</t>
  </si>
  <si>
    <t>Income Statement</t>
  </si>
  <si>
    <t>Operating Expenses</t>
  </si>
  <si>
    <t>1013</t>
  </si>
  <si>
    <t>1</t>
  </si>
  <si>
    <t>North</t>
  </si>
  <si>
    <t>16</t>
  </si>
  <si>
    <t>1019</t>
  </si>
  <si>
    <t>South</t>
  </si>
  <si>
    <t>1023</t>
  </si>
  <si>
    <t>1016</t>
  </si>
  <si>
    <t>West</t>
  </si>
  <si>
    <t>.1~121</t>
  </si>
  <si>
    <t>06</t>
  </si>
  <si>
    <t>01/06</t>
  </si>
  <si>
    <t>.1~122</t>
  </si>
  <si>
    <t>.1~123</t>
  </si>
  <si>
    <t>.1~124</t>
  </si>
  <si>
    <t>.1~125</t>
  </si>
  <si>
    <t>.1~126</t>
  </si>
  <si>
    <t>.1~127</t>
  </si>
  <si>
    <t>.1~128</t>
  </si>
  <si>
    <t>.1~129</t>
  </si>
  <si>
    <t>.1~130</t>
  </si>
  <si>
    <t>.1~131</t>
  </si>
  <si>
    <t>.1~132</t>
  </si>
  <si>
    <t>.1~133</t>
  </si>
  <si>
    <t>.1~134</t>
  </si>
  <si>
    <t>.1~135</t>
  </si>
  <si>
    <t>.1~136</t>
  </si>
  <si>
    <t>.1~137</t>
  </si>
  <si>
    <t>.1~138</t>
  </si>
  <si>
    <t>.1~139</t>
  </si>
  <si>
    <t>.1~140</t>
  </si>
  <si>
    <t>.1~141</t>
  </si>
  <si>
    <t>.1~142</t>
  </si>
  <si>
    <t>.1~143</t>
  </si>
  <si>
    <t>.1~144</t>
  </si>
  <si>
    <t>140000</t>
  </si>
  <si>
    <t>Customers - Domestic Receivables</t>
  </si>
  <si>
    <t>400020</t>
  </si>
  <si>
    <t>Raw mat.consumed/trading goods without cost center</t>
  </si>
  <si>
    <t>Cost of Goods Sold</t>
  </si>
  <si>
    <t>800000</t>
  </si>
  <si>
    <t>Sales revenues - domestic</t>
  </si>
  <si>
    <t>Revenues</t>
  </si>
  <si>
    <t>1031</t>
  </si>
  <si>
    <t>1034</t>
  </si>
  <si>
    <t>2</t>
  </si>
  <si>
    <t>1040</t>
  </si>
  <si>
    <t>3</t>
  </si>
  <si>
    <t>1037</t>
  </si>
  <si>
    <t>.1~145</t>
  </si>
  <si>
    <t>07</t>
  </si>
  <si>
    <t>01/07</t>
  </si>
  <si>
    <t>.1~146</t>
  </si>
  <si>
    <t>.1~147</t>
  </si>
  <si>
    <t>.1~148</t>
  </si>
  <si>
    <t>.1~149</t>
  </si>
  <si>
    <t>.1~150</t>
  </si>
  <si>
    <t>.1~151</t>
  </si>
  <si>
    <t>.1~152</t>
  </si>
  <si>
    <t>.1~153</t>
  </si>
  <si>
    <t>.1~154</t>
  </si>
  <si>
    <t>.1~155</t>
  </si>
  <si>
    <t>.1~156</t>
  </si>
  <si>
    <t>.1~157</t>
  </si>
  <si>
    <t>.1~158</t>
  </si>
  <si>
    <t>.1~159</t>
  </si>
  <si>
    <t>.1~160</t>
  </si>
  <si>
    <t>.1~161</t>
  </si>
  <si>
    <t>.1~162</t>
  </si>
  <si>
    <t>.1~163</t>
  </si>
  <si>
    <t>.1~164</t>
  </si>
  <si>
    <t>.1~165</t>
  </si>
  <si>
    <t>.1~166</t>
  </si>
  <si>
    <t>.1~167</t>
  </si>
  <si>
    <t>.1~168</t>
  </si>
  <si>
    <t>1045</t>
  </si>
  <si>
    <t>4</t>
  </si>
  <si>
    <t>1051</t>
  </si>
  <si>
    <t>1048</t>
  </si>
  <si>
    <t>.1~169</t>
  </si>
  <si>
    <t>08</t>
  </si>
  <si>
    <t>01/08</t>
  </si>
  <si>
    <t>.1~170</t>
  </si>
  <si>
    <t>.1~171</t>
  </si>
  <si>
    <t>.1~172</t>
  </si>
  <si>
    <t>.1~173</t>
  </si>
  <si>
    <t>.1~174</t>
  </si>
  <si>
    <t>.1~175</t>
  </si>
  <si>
    <t>.1~176</t>
  </si>
  <si>
    <t>.1~177</t>
  </si>
  <si>
    <t>.1~178</t>
  </si>
  <si>
    <t>.1~179</t>
  </si>
  <si>
    <t>.1~180</t>
  </si>
  <si>
    <t>.1~181</t>
  </si>
  <si>
    <t>.1~182</t>
  </si>
  <si>
    <t>.1~183</t>
  </si>
  <si>
    <t>.1~184</t>
  </si>
  <si>
    <t>.1~185</t>
  </si>
  <si>
    <t>.1~186</t>
  </si>
  <si>
    <t>.1~187</t>
  </si>
  <si>
    <t>.1~188</t>
  </si>
  <si>
    <t>.1~189</t>
  </si>
  <si>
    <t>.1~190</t>
  </si>
  <si>
    <t>.1~191</t>
  </si>
  <si>
    <t>.1~192</t>
  </si>
  <si>
    <t>1062</t>
  </si>
  <si>
    <t>1057</t>
  </si>
  <si>
    <t>1071</t>
  </si>
  <si>
    <t>1067</t>
  </si>
  <si>
    <t>1064</t>
  </si>
  <si>
    <t>.1~193</t>
  </si>
  <si>
    <t>09</t>
  </si>
  <si>
    <t>01/09</t>
  </si>
  <si>
    <t>.1~194</t>
  </si>
  <si>
    <t>.1~195</t>
  </si>
  <si>
    <t>.1~196</t>
  </si>
  <si>
    <t>.1~197</t>
  </si>
  <si>
    <t>.1~198</t>
  </si>
  <si>
    <t>.1~199</t>
  </si>
  <si>
    <t>.1~200</t>
  </si>
  <si>
    <t>.1~201</t>
  </si>
  <si>
    <t>.1~202</t>
  </si>
  <si>
    <t>.1~203</t>
  </si>
  <si>
    <t>.1~204</t>
  </si>
  <si>
    <t>.1~205</t>
  </si>
  <si>
    <t>.1~206</t>
  </si>
  <si>
    <t>.1~207</t>
  </si>
  <si>
    <t>.1~208</t>
  </si>
  <si>
    <t>.1~209</t>
  </si>
  <si>
    <t>.1~210</t>
  </si>
  <si>
    <t>.1~211</t>
  </si>
  <si>
    <t>.1~212</t>
  </si>
  <si>
    <t>.1~213</t>
  </si>
  <si>
    <t>.1~214</t>
  </si>
  <si>
    <t>.1~215</t>
  </si>
  <si>
    <t>.1~216</t>
  </si>
  <si>
    <t>1085</t>
  </si>
  <si>
    <t>1081</t>
  </si>
  <si>
    <t>1088</t>
  </si>
  <si>
    <t>1078</t>
  </si>
  <si>
    <t>.1~217</t>
  </si>
  <si>
    <t>10</t>
  </si>
  <si>
    <t>01/10</t>
  </si>
  <si>
    <t>.1~218</t>
  </si>
  <si>
    <t>.1~219</t>
  </si>
  <si>
    <t>.1~220</t>
  </si>
  <si>
    <t>.1~221</t>
  </si>
  <si>
    <t>.1~222</t>
  </si>
  <si>
    <t>.1~223</t>
  </si>
  <si>
    <t>.1~224</t>
  </si>
  <si>
    <t>.1~225</t>
  </si>
  <si>
    <t>.1~226</t>
  </si>
  <si>
    <t>.1~227</t>
  </si>
  <si>
    <t>.1~228</t>
  </si>
  <si>
    <t>.1~229</t>
  </si>
  <si>
    <t>.1~230</t>
  </si>
  <si>
    <t>.1~231</t>
  </si>
  <si>
    <t>.1~232</t>
  </si>
  <si>
    <t>.1~233</t>
  </si>
  <si>
    <t>.1~234</t>
  </si>
  <si>
    <t>.1~235</t>
  </si>
  <si>
    <t>.1~236</t>
  </si>
  <si>
    <t>.1~237</t>
  </si>
  <si>
    <t>.1~238</t>
  </si>
  <si>
    <t>.1~239</t>
  </si>
  <si>
    <t>.1~240</t>
  </si>
  <si>
    <t>1093</t>
  </si>
  <si>
    <t>.1~241</t>
  </si>
  <si>
    <t>02/01</t>
  </si>
  <si>
    <t>.1~242</t>
  </si>
  <si>
    <t>.1~243</t>
  </si>
  <si>
    <t>.1~244</t>
  </si>
  <si>
    <t>.1~245</t>
  </si>
  <si>
    <t>.1~246</t>
  </si>
  <si>
    <t>.1~247</t>
  </si>
  <si>
    <t>.1~248</t>
  </si>
  <si>
    <t>.1~249</t>
  </si>
  <si>
    <t>.1~250</t>
  </si>
  <si>
    <t>.1~251</t>
  </si>
  <si>
    <t>.1~252</t>
  </si>
  <si>
    <t>.1~253</t>
  </si>
  <si>
    <t>.1~254</t>
  </si>
  <si>
    <t>.1~255</t>
  </si>
  <si>
    <t>.1~256</t>
  </si>
  <si>
    <t>.1~257</t>
  </si>
  <si>
    <t>.1~258</t>
  </si>
  <si>
    <t>.1~259</t>
  </si>
  <si>
    <t>.1~260</t>
  </si>
  <si>
    <t>.1~261</t>
  </si>
  <si>
    <t>.1~262</t>
  </si>
  <si>
    <t>.1~263</t>
  </si>
  <si>
    <t>.1~264</t>
  </si>
  <si>
    <t>Sum of NET_VALUE</t>
  </si>
  <si>
    <t>1117</t>
  </si>
  <si>
    <t>1110</t>
  </si>
  <si>
    <t>1114</t>
  </si>
  <si>
    <t>1107</t>
  </si>
  <si>
    <t>.1~265</t>
  </si>
  <si>
    <t>02/02</t>
  </si>
  <si>
    <t>.1~266</t>
  </si>
  <si>
    <t>.1~267</t>
  </si>
  <si>
    <t>.1~268</t>
  </si>
  <si>
    <t>.1~269</t>
  </si>
  <si>
    <t>.1~270</t>
  </si>
  <si>
    <t>.1~271</t>
  </si>
  <si>
    <t>.1~272</t>
  </si>
  <si>
    <t>.1~273</t>
  </si>
  <si>
    <t>.1~274</t>
  </si>
  <si>
    <t>.1~275</t>
  </si>
  <si>
    <t>.1~276</t>
  </si>
  <si>
    <t>.1~277</t>
  </si>
  <si>
    <t>.1~278</t>
  </si>
  <si>
    <t>.1~279</t>
  </si>
  <si>
    <t>.1~280</t>
  </si>
  <si>
    <t>.1~281</t>
  </si>
  <si>
    <t>.1~282</t>
  </si>
  <si>
    <t>.1~283</t>
  </si>
  <si>
    <t>.1~284</t>
  </si>
  <si>
    <t>.1~285</t>
  </si>
  <si>
    <t>.1~286</t>
  </si>
  <si>
    <t>.1~287</t>
  </si>
  <si>
    <t>.1~288</t>
  </si>
  <si>
    <t>Margin</t>
  </si>
  <si>
    <t>Sum of Margin</t>
  </si>
  <si>
    <t>1127</t>
  </si>
  <si>
    <t>1124</t>
  </si>
  <si>
    <t>1130</t>
  </si>
  <si>
    <t>02/03</t>
  </si>
  <si>
    <t>1134</t>
  </si>
  <si>
    <t>9</t>
  </si>
  <si>
    <t>1142</t>
  </si>
  <si>
    <t>1138</t>
  </si>
  <si>
    <t>02/04</t>
  </si>
  <si>
    <t>1157</t>
  </si>
  <si>
    <t>1152</t>
  </si>
  <si>
    <t>1165</t>
  </si>
  <si>
    <t>1167</t>
  </si>
  <si>
    <t>1162</t>
  </si>
  <si>
    <t>1147</t>
  </si>
  <si>
    <t>02/05</t>
  </si>
  <si>
    <t>1173</t>
  </si>
  <si>
    <t>1176</t>
  </si>
  <si>
    <t>1186</t>
  </si>
  <si>
    <t>1191</t>
  </si>
  <si>
    <t>1181</t>
  </si>
  <si>
    <t>.1~289</t>
  </si>
  <si>
    <t>.1~290</t>
  </si>
  <si>
    <t>.1~291</t>
  </si>
  <si>
    <t>.1~292</t>
  </si>
  <si>
    <t>.1~293</t>
  </si>
  <si>
    <t>.1~294</t>
  </si>
  <si>
    <t>.1~295</t>
  </si>
  <si>
    <t>.1~296</t>
  </si>
  <si>
    <t>.1~297</t>
  </si>
  <si>
    <t>.1~298</t>
  </si>
  <si>
    <t>.1~299</t>
  </si>
  <si>
    <t>.1~300</t>
  </si>
  <si>
    <t>.1~301</t>
  </si>
  <si>
    <t>.1~302</t>
  </si>
  <si>
    <t>.1~303</t>
  </si>
  <si>
    <t>.1~304</t>
  </si>
  <si>
    <t>.1~305</t>
  </si>
  <si>
    <t>.1~306</t>
  </si>
  <si>
    <t>.1~307</t>
  </si>
  <si>
    <t>.1~308</t>
  </si>
  <si>
    <t>.1~309</t>
  </si>
  <si>
    <t>.1~310</t>
  </si>
  <si>
    <t>.1~311</t>
  </si>
  <si>
    <t>.1~312</t>
  </si>
  <si>
    <t>.1~313</t>
  </si>
  <si>
    <t>.1~314</t>
  </si>
  <si>
    <t>.1~315</t>
  </si>
  <si>
    <t>.1~316</t>
  </si>
  <si>
    <t>.1~317</t>
  </si>
  <si>
    <t>.1~318</t>
  </si>
  <si>
    <t>.1~319</t>
  </si>
  <si>
    <t>.1~320</t>
  </si>
  <si>
    <t>.1~321</t>
  </si>
  <si>
    <t>.1~322</t>
  </si>
  <si>
    <t>.1~323</t>
  </si>
  <si>
    <t>.1~324</t>
  </si>
  <si>
    <t>.1~325</t>
  </si>
  <si>
    <t>.1~326</t>
  </si>
  <si>
    <t>.1~327</t>
  </si>
  <si>
    <t>.1~328</t>
  </si>
  <si>
    <t>.1~329</t>
  </si>
  <si>
    <t>.1~330</t>
  </si>
  <si>
    <t>.1~331</t>
  </si>
  <si>
    <t>.1~332</t>
  </si>
  <si>
    <t>.1~333</t>
  </si>
  <si>
    <t>.1~334</t>
  </si>
  <si>
    <t>.1~335</t>
  </si>
  <si>
    <t>.1~336</t>
  </si>
  <si>
    <t>.1~337</t>
  </si>
  <si>
    <t>.1~338</t>
  </si>
  <si>
    <t>.1~339</t>
  </si>
  <si>
    <t>.1~340</t>
  </si>
  <si>
    <t>.1~341</t>
  </si>
  <si>
    <t>.1~342</t>
  </si>
  <si>
    <t>.1~343</t>
  </si>
  <si>
    <t>.1~344</t>
  </si>
  <si>
    <t>.1~345</t>
  </si>
  <si>
    <t>.1~346</t>
  </si>
  <si>
    <t>.1~347</t>
  </si>
  <si>
    <t>.1~348</t>
  </si>
  <si>
    <t>.1~349</t>
  </si>
  <si>
    <t>.1~350</t>
  </si>
  <si>
    <t>.1~351</t>
  </si>
  <si>
    <t>.1~352</t>
  </si>
  <si>
    <t>.1~353</t>
  </si>
  <si>
    <t>.1~354</t>
  </si>
  <si>
    <t>.1~355</t>
  </si>
  <si>
    <t>.1~356</t>
  </si>
  <si>
    <t>.1~357</t>
  </si>
  <si>
    <t>.1~358</t>
  </si>
  <si>
    <t>.1~359</t>
  </si>
  <si>
    <t>.1~360</t>
  </si>
  <si>
    <t>.1~361</t>
  </si>
  <si>
    <t>02/06</t>
  </si>
  <si>
    <t>.1~362</t>
  </si>
  <si>
    <t>.1~363</t>
  </si>
  <si>
    <t>.1~364</t>
  </si>
  <si>
    <t>.1~365</t>
  </si>
  <si>
    <t>.1~366</t>
  </si>
  <si>
    <t>.1~367</t>
  </si>
  <si>
    <t>.1~368</t>
  </si>
  <si>
    <t>.1~369</t>
  </si>
  <si>
    <t>.1~370</t>
  </si>
  <si>
    <t>.1~371</t>
  </si>
  <si>
    <t>.1~372</t>
  </si>
  <si>
    <t>.1~373</t>
  </si>
  <si>
    <t>.1~374</t>
  </si>
  <si>
    <t>.1~375</t>
  </si>
  <si>
    <t>.1~376</t>
  </si>
  <si>
    <t>.1~377</t>
  </si>
  <si>
    <t>.1~378</t>
  </si>
  <si>
    <t>.1~379</t>
  </si>
  <si>
    <t>.1~380</t>
  </si>
  <si>
    <t>.1~381</t>
  </si>
  <si>
    <t>.1~382</t>
  </si>
  <si>
    <t>.1~383</t>
  </si>
  <si>
    <t>.1~384</t>
  </si>
  <si>
    <t>1207</t>
  </si>
  <si>
    <t>1202</t>
  </si>
  <si>
    <t>1211</t>
  </si>
  <si>
    <t>5</t>
  </si>
  <si>
    <t>6</t>
  </si>
  <si>
    <t>.1~385</t>
  </si>
  <si>
    <t>02/07</t>
  </si>
  <si>
    <t>.1~386</t>
  </si>
  <si>
    <t>.1~387</t>
  </si>
  <si>
    <t>.1~388</t>
  </si>
  <si>
    <t>.1~389</t>
  </si>
  <si>
    <t>.1~390</t>
  </si>
  <si>
    <t>.1~391</t>
  </si>
  <si>
    <t>.1~392</t>
  </si>
  <si>
    <t>.1~393</t>
  </si>
  <si>
    <t>.1~394</t>
  </si>
  <si>
    <t>.1~395</t>
  </si>
  <si>
    <t>.1~396</t>
  </si>
  <si>
    <t>.1~397</t>
  </si>
  <si>
    <t>.1~398</t>
  </si>
  <si>
    <t>.1~399</t>
  </si>
  <si>
    <t>.1~400</t>
  </si>
  <si>
    <t>.1~401</t>
  </si>
  <si>
    <t>.1~402</t>
  </si>
  <si>
    <t>.1~403</t>
  </si>
  <si>
    <t>.1~404</t>
  </si>
  <si>
    <t>.1~405</t>
  </si>
  <si>
    <t>.1~406</t>
  </si>
  <si>
    <t>.1~407</t>
  </si>
  <si>
    <t>.1~408</t>
  </si>
  <si>
    <t>1223</t>
  </si>
  <si>
    <t>1219</t>
  </si>
  <si>
    <t>.1~409</t>
  </si>
  <si>
    <t>02/08</t>
  </si>
  <si>
    <t>.1~410</t>
  </si>
  <si>
    <t>.1~411</t>
  </si>
  <si>
    <t>.1~412</t>
  </si>
  <si>
    <t>.1~413</t>
  </si>
  <si>
    <t>.1~414</t>
  </si>
  <si>
    <t>.1~415</t>
  </si>
  <si>
    <t>.1~416</t>
  </si>
  <si>
    <t>.1~417</t>
  </si>
  <si>
    <t>.1~418</t>
  </si>
  <si>
    <t>.1~419</t>
  </si>
  <si>
    <t>.1~420</t>
  </si>
  <si>
    <t>.1~421</t>
  </si>
  <si>
    <t>.1~422</t>
  </si>
  <si>
    <t>.1~423</t>
  </si>
  <si>
    <t>.1~424</t>
  </si>
  <si>
    <t>.1~425</t>
  </si>
  <si>
    <t>.1~426</t>
  </si>
  <si>
    <t>.1~427</t>
  </si>
  <si>
    <t>.1~428</t>
  </si>
  <si>
    <t>.1~429</t>
  </si>
  <si>
    <t>.1~430</t>
  </si>
  <si>
    <t>.1~431</t>
  </si>
  <si>
    <t>.1~432</t>
  </si>
  <si>
    <t>1236</t>
  </si>
  <si>
    <t>1241</t>
  </si>
  <si>
    <t>1252</t>
  </si>
  <si>
    <t>1255</t>
  </si>
  <si>
    <t>1246</t>
  </si>
  <si>
    <t>.1~433</t>
  </si>
  <si>
    <t>02/09</t>
  </si>
  <si>
    <t>.1~434</t>
  </si>
  <si>
    <t>.1~435</t>
  </si>
  <si>
    <t>.1~436</t>
  </si>
  <si>
    <t>.1~437</t>
  </si>
  <si>
    <t>.1~438</t>
  </si>
  <si>
    <t>.1~439</t>
  </si>
  <si>
    <t>.1~440</t>
  </si>
  <si>
    <t>.1~441</t>
  </si>
  <si>
    <t>.1~442</t>
  </si>
  <si>
    <t>.1~443</t>
  </si>
  <si>
    <t>.1~444</t>
  </si>
  <si>
    <t>.1~445</t>
  </si>
  <si>
    <t>.1~446</t>
  </si>
  <si>
    <t>.1~447</t>
  </si>
  <si>
    <t>.1~448</t>
  </si>
  <si>
    <t>.1~449</t>
  </si>
  <si>
    <t>.1~450</t>
  </si>
  <si>
    <t>.1~451</t>
  </si>
  <si>
    <t>.1~452</t>
  </si>
  <si>
    <t>.1~453</t>
  </si>
  <si>
    <t>.1~454</t>
  </si>
  <si>
    <t>.1~455</t>
  </si>
  <si>
    <t>.1~456</t>
  </si>
  <si>
    <t>1267</t>
  </si>
  <si>
    <t>1272</t>
  </si>
  <si>
    <t>1275</t>
  </si>
  <si>
    <t>7</t>
  </si>
  <si>
    <t>1263</t>
  </si>
  <si>
    <t>1258</t>
  </si>
  <si>
    <t>.1~457</t>
  </si>
  <si>
    <t>02/10</t>
  </si>
  <si>
    <t>.1~458</t>
  </si>
  <si>
    <t>.1~459</t>
  </si>
  <si>
    <t>.1~460</t>
  </si>
  <si>
    <t>.1~461</t>
  </si>
  <si>
    <t>.1~462</t>
  </si>
  <si>
    <t>.1~463</t>
  </si>
  <si>
    <t>.1~464</t>
  </si>
  <si>
    <t>.1~465</t>
  </si>
  <si>
    <t>.1~466</t>
  </si>
  <si>
    <t>.1~467</t>
  </si>
  <si>
    <t>.1~468</t>
  </si>
  <si>
    <t>.1~469</t>
  </si>
  <si>
    <t>.1~470</t>
  </si>
  <si>
    <t>.1~471</t>
  </si>
  <si>
    <t>.1~472</t>
  </si>
  <si>
    <t>.1~473</t>
  </si>
  <si>
    <t>.1~474</t>
  </si>
  <si>
    <t>.1~475</t>
  </si>
  <si>
    <t>.1~476</t>
  </si>
  <si>
    <t>.1~477</t>
  </si>
  <si>
    <t>.1~478</t>
  </si>
  <si>
    <t>.1~479</t>
  </si>
  <si>
    <t>.1~480</t>
  </si>
  <si>
    <t>1283</t>
  </si>
  <si>
    <t>1279</t>
  </si>
  <si>
    <t>.1~481</t>
  </si>
  <si>
    <t>03/01</t>
  </si>
  <si>
    <t>.1~482</t>
  </si>
  <si>
    <t>.1~483</t>
  </si>
  <si>
    <t>.1~484</t>
  </si>
  <si>
    <t>.1~485</t>
  </si>
  <si>
    <t>.1~486</t>
  </si>
  <si>
    <t>.1~487</t>
  </si>
  <si>
    <t>.1~488</t>
  </si>
  <si>
    <t>.1~489</t>
  </si>
  <si>
    <t>.1~490</t>
  </si>
  <si>
    <t>.1~491</t>
  </si>
  <si>
    <t>.1~492</t>
  </si>
  <si>
    <t>.1~493</t>
  </si>
  <si>
    <t>.1~494</t>
  </si>
  <si>
    <t>.1~495</t>
  </si>
  <si>
    <t>.1~496</t>
  </si>
  <si>
    <t>.1~497</t>
  </si>
  <si>
    <t>.1~498</t>
  </si>
  <si>
    <t>.1~499</t>
  </si>
  <si>
    <t>.1~500</t>
  </si>
  <si>
    <t>.1~501</t>
  </si>
  <si>
    <t>.1~502</t>
  </si>
  <si>
    <t>.1~503</t>
  </si>
  <si>
    <t>.1~504</t>
  </si>
  <si>
    <t>1298</t>
  </si>
  <si>
    <t>1293</t>
  </si>
  <si>
    <t>.1~505</t>
  </si>
  <si>
    <t>03/02</t>
  </si>
  <si>
    <t>.1~506</t>
  </si>
  <si>
    <t>.1~507</t>
  </si>
  <si>
    <t>.1~508</t>
  </si>
  <si>
    <t>.1~509</t>
  </si>
  <si>
    <t>.1~510</t>
  </si>
  <si>
    <t>.1~511</t>
  </si>
  <si>
    <t>.1~512</t>
  </si>
  <si>
    <t>.1~513</t>
  </si>
  <si>
    <t>.1~514</t>
  </si>
  <si>
    <t>.1~515</t>
  </si>
  <si>
    <t>.1~516</t>
  </si>
  <si>
    <t>.1~517</t>
  </si>
  <si>
    <t>.1~518</t>
  </si>
  <si>
    <t>.1~519</t>
  </si>
  <si>
    <t>.1~520</t>
  </si>
  <si>
    <t>.1~521</t>
  </si>
  <si>
    <t>.1~522</t>
  </si>
  <si>
    <t>.1~523</t>
  </si>
  <si>
    <t>.1~524</t>
  </si>
  <si>
    <t>.1~525</t>
  </si>
  <si>
    <t>.1~526</t>
  </si>
  <si>
    <t>.1~527</t>
  </si>
  <si>
    <t>.1~528</t>
  </si>
  <si>
    <t>1323</t>
  </si>
  <si>
    <t>1325</t>
  </si>
  <si>
    <t>1318</t>
  </si>
  <si>
    <t>.1~529</t>
  </si>
  <si>
    <t>03/03</t>
  </si>
  <si>
    <t>.1~530</t>
  </si>
  <si>
    <t>.1~531</t>
  </si>
  <si>
    <t>.1~532</t>
  </si>
  <si>
    <t>.1~533</t>
  </si>
  <si>
    <t>.1~534</t>
  </si>
  <si>
    <t>.1~535</t>
  </si>
  <si>
    <t>.1~536</t>
  </si>
  <si>
    <t>.1~537</t>
  </si>
  <si>
    <t>.1~538</t>
  </si>
  <si>
    <t>.1~539</t>
  </si>
  <si>
    <t>.1~540</t>
  </si>
  <si>
    <t>.1~541</t>
  </si>
  <si>
    <t>.1~542</t>
  </si>
  <si>
    <t>.1~543</t>
  </si>
  <si>
    <t>.1~544</t>
  </si>
  <si>
    <t>.1~545</t>
  </si>
  <si>
    <t>.1~546</t>
  </si>
  <si>
    <t>.1~547</t>
  </si>
  <si>
    <t>.1~548</t>
  </si>
  <si>
    <t>.1~549</t>
  </si>
  <si>
    <t>.1~550</t>
  </si>
  <si>
    <t>.1~551</t>
  </si>
  <si>
    <t>.1~552</t>
  </si>
  <si>
    <t>1333</t>
  </si>
  <si>
    <t>1339</t>
  </si>
  <si>
    <t>.1~553</t>
  </si>
  <si>
    <t>03/04</t>
  </si>
  <si>
    <t>.1~554</t>
  </si>
  <si>
    <t>.1~555</t>
  </si>
  <si>
    <t>.1~556</t>
  </si>
  <si>
    <t>.1~557</t>
  </si>
  <si>
    <t>.1~558</t>
  </si>
  <si>
    <t>.1~559</t>
  </si>
  <si>
    <t>.1~560</t>
  </si>
  <si>
    <t>.1~561</t>
  </si>
  <si>
    <t>.1~562</t>
  </si>
  <si>
    <t>.1~563</t>
  </si>
  <si>
    <t>.1~564</t>
  </si>
  <si>
    <t>.1~565</t>
  </si>
  <si>
    <t>.1~566</t>
  </si>
  <si>
    <t>.1~567</t>
  </si>
  <si>
    <t>.1~568</t>
  </si>
  <si>
    <t>.1~569</t>
  </si>
  <si>
    <t>.1~570</t>
  </si>
  <si>
    <t>.1~571</t>
  </si>
  <si>
    <t>.1~572</t>
  </si>
  <si>
    <t>.1~573</t>
  </si>
  <si>
    <t>.1~574</t>
  </si>
  <si>
    <t>.1~575</t>
  </si>
  <si>
    <t>.1~576</t>
  </si>
  <si>
    <t>1349</t>
  </si>
  <si>
    <t>1353</t>
  </si>
  <si>
    <t>1361</t>
  </si>
  <si>
    <t>1360</t>
  </si>
  <si>
    <t>1357</t>
  </si>
  <si>
    <t>1345</t>
  </si>
  <si>
    <t>.1~577</t>
  </si>
  <si>
    <t>03/05</t>
  </si>
  <si>
    <t>.1~578</t>
  </si>
  <si>
    <t>.1~579</t>
  </si>
  <si>
    <t>.1~580</t>
  </si>
  <si>
    <t>.1~581</t>
  </si>
  <si>
    <t>.1~582</t>
  </si>
  <si>
    <t>.1~583</t>
  </si>
  <si>
    <t>.1~584</t>
  </si>
  <si>
    <t>.1~585</t>
  </si>
  <si>
    <t>.1~586</t>
  </si>
  <si>
    <t>.1~587</t>
  </si>
  <si>
    <t>.1~588</t>
  </si>
  <si>
    <t>.1~589</t>
  </si>
  <si>
    <t>.1~590</t>
  </si>
  <si>
    <t>.1~591</t>
  </si>
  <si>
    <t>.1~592</t>
  </si>
  <si>
    <t>.1~593</t>
  </si>
  <si>
    <t>.1~594</t>
  </si>
  <si>
    <t>.1~595</t>
  </si>
  <si>
    <t>.1~596</t>
  </si>
  <si>
    <t>.1~597</t>
  </si>
  <si>
    <t>.1~598</t>
  </si>
  <si>
    <t>.1~599</t>
  </si>
  <si>
    <t>.1~600</t>
  </si>
  <si>
    <t>1364</t>
  </si>
  <si>
    <t>1378</t>
  </si>
  <si>
    <t>1373</t>
  </si>
  <si>
    <t>1369</t>
  </si>
  <si>
    <t>.1~601</t>
  </si>
  <si>
    <t>03/06</t>
  </si>
  <si>
    <t>.1~602</t>
  </si>
  <si>
    <t>.1~603</t>
  </si>
  <si>
    <t>.1~604</t>
  </si>
  <si>
    <t>.1~605</t>
  </si>
  <si>
    <t>.1~606</t>
  </si>
  <si>
    <t>.1~607</t>
  </si>
  <si>
    <t>.1~608</t>
  </si>
  <si>
    <t>.1~609</t>
  </si>
  <si>
    <t>.1~610</t>
  </si>
  <si>
    <t>.1~611</t>
  </si>
  <si>
    <t>.1~612</t>
  </si>
  <si>
    <t>.1~613</t>
  </si>
  <si>
    <t>.1~614</t>
  </si>
  <si>
    <t>.1~615</t>
  </si>
  <si>
    <t>.1~616</t>
  </si>
  <si>
    <t>.1~617</t>
  </si>
  <si>
    <t>.1~618</t>
  </si>
  <si>
    <t>.1~619</t>
  </si>
  <si>
    <t>.1~620</t>
  </si>
  <si>
    <t>.1~621</t>
  </si>
  <si>
    <t>.1~622</t>
  </si>
  <si>
    <t>.1~623</t>
  </si>
  <si>
    <t>.1~624</t>
  </si>
  <si>
    <t>1388</t>
  </si>
  <si>
    <t>1385</t>
  </si>
  <si>
    <t>1394</t>
  </si>
  <si>
    <t>.1~625</t>
  </si>
  <si>
    <t>03/07</t>
  </si>
  <si>
    <t>.1~626</t>
  </si>
  <si>
    <t>.1~627</t>
  </si>
  <si>
    <t>.1~628</t>
  </si>
  <si>
    <t>.1~629</t>
  </si>
  <si>
    <t>.1~630</t>
  </si>
  <si>
    <t>.1~631</t>
  </si>
  <si>
    <t>.1~632</t>
  </si>
  <si>
    <t>.1~633</t>
  </si>
  <si>
    <t>.1~634</t>
  </si>
  <si>
    <t>.1~635</t>
  </si>
  <si>
    <t>.1~636</t>
  </si>
  <si>
    <t>.1~637</t>
  </si>
  <si>
    <t>.1~638</t>
  </si>
  <si>
    <t>.1~639</t>
  </si>
  <si>
    <t>.1~640</t>
  </si>
  <si>
    <t>.1~641</t>
  </si>
  <si>
    <t>.1~642</t>
  </si>
  <si>
    <t>.1~643</t>
  </si>
  <si>
    <t>.1~644</t>
  </si>
  <si>
    <t>.1~645</t>
  </si>
  <si>
    <t>.1~646</t>
  </si>
  <si>
    <t>.1~647</t>
  </si>
  <si>
    <t>.1~648</t>
  </si>
  <si>
    <t>1400</t>
  </si>
  <si>
    <t>1403</t>
  </si>
  <si>
    <t>1408</t>
  </si>
  <si>
    <t>.1~649</t>
  </si>
  <si>
    <t>03/08</t>
  </si>
  <si>
    <t>.1~650</t>
  </si>
  <si>
    <t>.1~651</t>
  </si>
  <si>
    <t>.1~652</t>
  </si>
  <si>
    <t>.1~653</t>
  </si>
  <si>
    <t>.1~654</t>
  </si>
  <si>
    <t>.1~655</t>
  </si>
  <si>
    <t>.1~656</t>
  </si>
  <si>
    <t>.1~657</t>
  </si>
  <si>
    <t>.1~658</t>
  </si>
  <si>
    <t>.1~659</t>
  </si>
  <si>
    <t>.1~660</t>
  </si>
  <si>
    <t>.1~661</t>
  </si>
  <si>
    <t>.1~662</t>
  </si>
  <si>
    <t>.1~663</t>
  </si>
  <si>
    <t>.1~664</t>
  </si>
  <si>
    <t>.1~665</t>
  </si>
  <si>
    <t>.1~666</t>
  </si>
  <si>
    <t>.1~667</t>
  </si>
  <si>
    <t>.1~668</t>
  </si>
  <si>
    <t>.1~669</t>
  </si>
  <si>
    <t>.1~670</t>
  </si>
  <si>
    <t>.1~671</t>
  </si>
  <si>
    <t>.1~672</t>
  </si>
  <si>
    <t>1416</t>
  </si>
  <si>
    <t>1428</t>
  </si>
  <si>
    <t>1424</t>
  </si>
  <si>
    <t>1420</t>
  </si>
  <si>
    <t>.1~673</t>
  </si>
  <si>
    <t>03/09</t>
  </si>
  <si>
    <t>.1~674</t>
  </si>
  <si>
    <t>.1~675</t>
  </si>
  <si>
    <t>.1~676</t>
  </si>
  <si>
    <t>.1~677</t>
  </si>
  <si>
    <t>.1~678</t>
  </si>
  <si>
    <t>.1~679</t>
  </si>
  <si>
    <t>.1~680</t>
  </si>
  <si>
    <t>.1~681</t>
  </si>
  <si>
    <t>.1~682</t>
  </si>
  <si>
    <t>.1~683</t>
  </si>
  <si>
    <t>.1~684</t>
  </si>
  <si>
    <t>.1~685</t>
  </si>
  <si>
    <t>.1~686</t>
  </si>
  <si>
    <t>.1~687</t>
  </si>
  <si>
    <t>.1~688</t>
  </si>
  <si>
    <t>.1~689</t>
  </si>
  <si>
    <t>.1~690</t>
  </si>
  <si>
    <t>.1~691</t>
  </si>
  <si>
    <t>.1~692</t>
  </si>
  <si>
    <t>.1~693</t>
  </si>
  <si>
    <t>.1~694</t>
  </si>
  <si>
    <t>.1~695</t>
  </si>
  <si>
    <t>.1~696</t>
  </si>
  <si>
    <t>1440</t>
  </si>
  <si>
    <t>1444</t>
  </si>
  <si>
    <t>1436</t>
  </si>
  <si>
    <t>.1~697</t>
  </si>
  <si>
    <t>03/10</t>
  </si>
  <si>
    <t>.1~698</t>
  </si>
  <si>
    <t>.1~699</t>
  </si>
  <si>
    <t>.1~700</t>
  </si>
  <si>
    <t>.1~701</t>
  </si>
  <si>
    <t>.1~702</t>
  </si>
  <si>
    <t>.1~703</t>
  </si>
  <si>
    <t>.1~704</t>
  </si>
  <si>
    <t>.1~705</t>
  </si>
  <si>
    <t>.1~706</t>
  </si>
  <si>
    <t>.1~707</t>
  </si>
  <si>
    <t>.1~708</t>
  </si>
  <si>
    <t>.1~709</t>
  </si>
  <si>
    <t>.1~710</t>
  </si>
  <si>
    <t>.1~711</t>
  </si>
  <si>
    <t>.1~712</t>
  </si>
  <si>
    <t>.1~713</t>
  </si>
  <si>
    <t>.1~714</t>
  </si>
  <si>
    <t>.1~715</t>
  </si>
  <si>
    <t>.1~716</t>
  </si>
  <si>
    <t>.1~717</t>
  </si>
  <si>
    <t>.1~718</t>
  </si>
  <si>
    <t>.1~719</t>
  </si>
  <si>
    <t>.1~720</t>
  </si>
  <si>
    <t>1452</t>
  </si>
  <si>
    <t>1460</t>
  </si>
  <si>
    <t>1463</t>
  </si>
  <si>
    <t>1456</t>
  </si>
  <si>
    <t>.1~721</t>
  </si>
  <si>
    <t>04/01</t>
  </si>
  <si>
    <t>.1~722</t>
  </si>
  <si>
    <t>.1~723</t>
  </si>
  <si>
    <t>.1~724</t>
  </si>
  <si>
    <t>.1~725</t>
  </si>
  <si>
    <t>.1~726</t>
  </si>
  <si>
    <t>.1~727</t>
  </si>
  <si>
    <t>.1~728</t>
  </si>
  <si>
    <t>.1~729</t>
  </si>
  <si>
    <t>.1~730</t>
  </si>
  <si>
    <t>.1~731</t>
  </si>
  <si>
    <t>.1~732</t>
  </si>
  <si>
    <t>.1~733</t>
  </si>
  <si>
    <t>.1~734</t>
  </si>
  <si>
    <t>.1~735</t>
  </si>
  <si>
    <t>.1~736</t>
  </si>
  <si>
    <t>.1~737</t>
  </si>
  <si>
    <t>.1~738</t>
  </si>
  <si>
    <t>.1~739</t>
  </si>
  <si>
    <t>.1~740</t>
  </si>
  <si>
    <t>.1~741</t>
  </si>
  <si>
    <t>.1~742</t>
  </si>
  <si>
    <t>.1~743</t>
  </si>
  <si>
    <t>.1~744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</si>
</sst>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[Full Data_0924.xlsx]Margin__Pivot!PivotTable13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Margin__Pivot!$B$3:$B$4</c:f>
              <c:strCache>
                <c:ptCount val="1"/>
                <c:pt idx="0">
                  <c:v>Butter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Margin__Pivot!$A$5:$A$32</c:f>
              <c:strCache>
                <c:ptCount val="27"/>
                <c:pt idx="0">
                  <c:v>01/05</c:v>
                </c:pt>
                <c:pt idx="1">
                  <c:v>01/06</c:v>
                </c:pt>
                <c:pt idx="2">
                  <c:v>01/07</c:v>
                </c:pt>
                <c:pt idx="3">
                  <c:v>01/08</c:v>
                </c:pt>
                <c:pt idx="4">
                  <c:v>01/09</c:v>
                </c:pt>
                <c:pt idx="5">
                  <c:v>01/10</c:v>
                </c:pt>
                <c:pt idx="6">
                  <c:v>02/01</c:v>
                </c:pt>
                <c:pt idx="7">
                  <c:v>(blank)</c:v>
                </c:pt>
                <c:pt idx="8">
                  <c:v>02/02</c:v>
                </c:pt>
                <c:pt idx="9">
                  <c:v>02/03</c:v>
                </c:pt>
                <c:pt idx="10">
                  <c:v>02/04</c:v>
                </c:pt>
                <c:pt idx="11">
                  <c:v>02/05</c:v>
                </c:pt>
                <c:pt idx="12">
                  <c:v>02/06</c:v>
                </c:pt>
                <c:pt idx="13">
                  <c:v>02/07</c:v>
                </c:pt>
                <c:pt idx="14">
                  <c:v>02/08</c:v>
                </c:pt>
                <c:pt idx="15">
                  <c:v>02/09</c:v>
                </c:pt>
                <c:pt idx="16">
                  <c:v>02/10</c:v>
                </c:pt>
                <c:pt idx="17">
                  <c:v>03/01</c:v>
                </c:pt>
                <c:pt idx="18">
                  <c:v>03/02</c:v>
                </c:pt>
                <c:pt idx="19">
                  <c:v>03/03</c:v>
                </c:pt>
                <c:pt idx="20">
                  <c:v>03/04</c:v>
                </c:pt>
                <c:pt idx="21">
                  <c:v>03/05</c:v>
                </c:pt>
                <c:pt idx="22">
                  <c:v>03/06</c:v>
                </c:pt>
                <c:pt idx="23">
                  <c:v>03/07</c:v>
                </c:pt>
                <c:pt idx="24">
                  <c:v>03/08</c:v>
                </c:pt>
                <c:pt idx="25">
                  <c:v>03/09</c:v>
                </c:pt>
                <c:pt idx="26">
                  <c:v>03/10</c:v>
                </c:pt>
              </c:strCache>
            </c:strRef>
          </c:cat>
          <c:val>
            <c:numRef>
              <c:f>Margin__Pivot!$B$5:$B$32</c:f>
              <c:numCache>
                <c:formatCode>General</c:formatCode>
                <c:ptCount val="27"/>
                <c:pt idx="4">
                  <c:v>582.53999999999974</c:v>
                </c:pt>
                <c:pt idx="5">
                  <c:v>61.32000000000005</c:v>
                </c:pt>
                <c:pt idx="6">
                  <c:v>171.60000000000014</c:v>
                </c:pt>
                <c:pt idx="8">
                  <c:v>23.069999999999993</c:v>
                </c:pt>
                <c:pt idx="9">
                  <c:v>453.71000000000004</c:v>
                </c:pt>
                <c:pt idx="10">
                  <c:v>545.9899999999999</c:v>
                </c:pt>
                <c:pt idx="11">
                  <c:v>276.84000000000015</c:v>
                </c:pt>
                <c:pt idx="12">
                  <c:v>231.87999999999988</c:v>
                </c:pt>
                <c:pt idx="13">
                  <c:v>209.43999999999983</c:v>
                </c:pt>
                <c:pt idx="14">
                  <c:v>209.43999999999983</c:v>
                </c:pt>
                <c:pt idx="15">
                  <c:v>261.80000000000018</c:v>
                </c:pt>
                <c:pt idx="17">
                  <c:v>246.83999999999992</c:v>
                </c:pt>
                <c:pt idx="18">
                  <c:v>225.29999999999973</c:v>
                </c:pt>
                <c:pt idx="20">
                  <c:v>533.21</c:v>
                </c:pt>
                <c:pt idx="21">
                  <c:v>443.09000000000003</c:v>
                </c:pt>
                <c:pt idx="23">
                  <c:v>413.28</c:v>
                </c:pt>
                <c:pt idx="24">
                  <c:v>103.31999999999994</c:v>
                </c:pt>
                <c:pt idx="25">
                  <c:v>627.29999999999995</c:v>
                </c:pt>
                <c:pt idx="26">
                  <c:v>103.31999999999994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7-004C-A430-846966D21D6F}"/>
            </c:ext>
          </c:extLst>
        </c:ser>
        <c:ser>
          <c:idx val="1"/>
          <c:order val="1"/>
          <c:tx>
            <c:strRef>
              <c:f>Margin__Pivot!$C$3:$C$4</c:f>
              <c:strCache>
                <c:ptCount val="1"/>
                <c:pt idx="0">
                  <c:v>Cheese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Margin__Pivot!$A$5:$A$32</c:f>
              <c:strCache>
                <c:ptCount val="27"/>
                <c:pt idx="0">
                  <c:v>01/05</c:v>
                </c:pt>
                <c:pt idx="1">
                  <c:v>01/06</c:v>
                </c:pt>
                <c:pt idx="2">
                  <c:v>01/07</c:v>
                </c:pt>
                <c:pt idx="3">
                  <c:v>01/08</c:v>
                </c:pt>
                <c:pt idx="4">
                  <c:v>01/09</c:v>
                </c:pt>
                <c:pt idx="5">
                  <c:v>01/10</c:v>
                </c:pt>
                <c:pt idx="6">
                  <c:v>02/01</c:v>
                </c:pt>
                <c:pt idx="7">
                  <c:v>(blank)</c:v>
                </c:pt>
                <c:pt idx="8">
                  <c:v>02/02</c:v>
                </c:pt>
                <c:pt idx="9">
                  <c:v>02/03</c:v>
                </c:pt>
                <c:pt idx="10">
                  <c:v>02/04</c:v>
                </c:pt>
                <c:pt idx="11">
                  <c:v>02/05</c:v>
                </c:pt>
                <c:pt idx="12">
                  <c:v>02/06</c:v>
                </c:pt>
                <c:pt idx="13">
                  <c:v>02/07</c:v>
                </c:pt>
                <c:pt idx="14">
                  <c:v>02/08</c:v>
                </c:pt>
                <c:pt idx="15">
                  <c:v>02/09</c:v>
                </c:pt>
                <c:pt idx="16">
                  <c:v>02/10</c:v>
                </c:pt>
                <c:pt idx="17">
                  <c:v>03/01</c:v>
                </c:pt>
                <c:pt idx="18">
                  <c:v>03/02</c:v>
                </c:pt>
                <c:pt idx="19">
                  <c:v>03/03</c:v>
                </c:pt>
                <c:pt idx="20">
                  <c:v>03/04</c:v>
                </c:pt>
                <c:pt idx="21">
                  <c:v>03/05</c:v>
                </c:pt>
                <c:pt idx="22">
                  <c:v>03/06</c:v>
                </c:pt>
                <c:pt idx="23">
                  <c:v>03/07</c:v>
                </c:pt>
                <c:pt idx="24">
                  <c:v>03/08</c:v>
                </c:pt>
                <c:pt idx="25">
                  <c:v>03/09</c:v>
                </c:pt>
                <c:pt idx="26">
                  <c:v>03/10</c:v>
                </c:pt>
              </c:strCache>
            </c:strRef>
          </c:cat>
          <c:val>
            <c:numRef>
              <c:f>Margin__Pivot!$C$5:$C$32</c:f>
              <c:numCache>
                <c:formatCode>General</c:formatCode>
                <c:ptCount val="27"/>
                <c:pt idx="0">
                  <c:v>239.25</c:v>
                </c:pt>
                <c:pt idx="1">
                  <c:v>319.83000000000004</c:v>
                </c:pt>
                <c:pt idx="2">
                  <c:v>250.57999999999993</c:v>
                </c:pt>
                <c:pt idx="3">
                  <c:v>530.63999999999987</c:v>
                </c:pt>
                <c:pt idx="4">
                  <c:v>339.01999999999975</c:v>
                </c:pt>
                <c:pt idx="10">
                  <c:v>403.57999999999993</c:v>
                </c:pt>
                <c:pt idx="11">
                  <c:v>1103.9099999999996</c:v>
                </c:pt>
                <c:pt idx="13">
                  <c:v>272.54999999999973</c:v>
                </c:pt>
                <c:pt idx="14">
                  <c:v>284.39999999999986</c:v>
                </c:pt>
                <c:pt idx="15">
                  <c:v>296.25</c:v>
                </c:pt>
                <c:pt idx="17">
                  <c:v>272.54999999999973</c:v>
                </c:pt>
                <c:pt idx="20">
                  <c:v>531.08000000000038</c:v>
                </c:pt>
                <c:pt idx="25">
                  <c:v>482.80000000000018</c:v>
                </c:pt>
                <c:pt idx="26">
                  <c:v>217.26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7-004C-A430-846966D21D6F}"/>
            </c:ext>
          </c:extLst>
        </c:ser>
        <c:ser>
          <c:idx val="2"/>
          <c:order val="2"/>
          <c:tx>
            <c:strRef>
              <c:f>Margin__Pivot!$D$3:$D$4</c:f>
              <c:strCache>
                <c:ptCount val="1"/>
                <c:pt idx="0">
                  <c:v>Cream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Margin__Pivot!$A$5:$A$32</c:f>
              <c:strCache>
                <c:ptCount val="27"/>
                <c:pt idx="0">
                  <c:v>01/05</c:v>
                </c:pt>
                <c:pt idx="1">
                  <c:v>01/06</c:v>
                </c:pt>
                <c:pt idx="2">
                  <c:v>01/07</c:v>
                </c:pt>
                <c:pt idx="3">
                  <c:v>01/08</c:v>
                </c:pt>
                <c:pt idx="4">
                  <c:v>01/09</c:v>
                </c:pt>
                <c:pt idx="5">
                  <c:v>01/10</c:v>
                </c:pt>
                <c:pt idx="6">
                  <c:v>02/01</c:v>
                </c:pt>
                <c:pt idx="7">
                  <c:v>(blank)</c:v>
                </c:pt>
                <c:pt idx="8">
                  <c:v>02/02</c:v>
                </c:pt>
                <c:pt idx="9">
                  <c:v>02/03</c:v>
                </c:pt>
                <c:pt idx="10">
                  <c:v>02/04</c:v>
                </c:pt>
                <c:pt idx="11">
                  <c:v>02/05</c:v>
                </c:pt>
                <c:pt idx="12">
                  <c:v>02/06</c:v>
                </c:pt>
                <c:pt idx="13">
                  <c:v>02/07</c:v>
                </c:pt>
                <c:pt idx="14">
                  <c:v>02/08</c:v>
                </c:pt>
                <c:pt idx="15">
                  <c:v>02/09</c:v>
                </c:pt>
                <c:pt idx="16">
                  <c:v>02/10</c:v>
                </c:pt>
                <c:pt idx="17">
                  <c:v>03/01</c:v>
                </c:pt>
                <c:pt idx="18">
                  <c:v>03/02</c:v>
                </c:pt>
                <c:pt idx="19">
                  <c:v>03/03</c:v>
                </c:pt>
                <c:pt idx="20">
                  <c:v>03/04</c:v>
                </c:pt>
                <c:pt idx="21">
                  <c:v>03/05</c:v>
                </c:pt>
                <c:pt idx="22">
                  <c:v>03/06</c:v>
                </c:pt>
                <c:pt idx="23">
                  <c:v>03/07</c:v>
                </c:pt>
                <c:pt idx="24">
                  <c:v>03/08</c:v>
                </c:pt>
                <c:pt idx="25">
                  <c:v>03/09</c:v>
                </c:pt>
                <c:pt idx="26">
                  <c:v>03/10</c:v>
                </c:pt>
              </c:strCache>
            </c:strRef>
          </c:cat>
          <c:val>
            <c:numRef>
              <c:f>Margin__Pivot!$D$5:$D$32</c:f>
              <c:numCache>
                <c:formatCode>General</c:formatCode>
                <c:ptCount val="27"/>
                <c:pt idx="2">
                  <c:v>247</c:v>
                </c:pt>
                <c:pt idx="5">
                  <c:v>234.65000000000009</c:v>
                </c:pt>
                <c:pt idx="8">
                  <c:v>416.35000000000014</c:v>
                </c:pt>
                <c:pt idx="10">
                  <c:v>219.52999999999975</c:v>
                </c:pt>
                <c:pt idx="12">
                  <c:v>141.17000000000007</c:v>
                </c:pt>
                <c:pt idx="14">
                  <c:v>133.74</c:v>
                </c:pt>
                <c:pt idx="15">
                  <c:v>185.75</c:v>
                </c:pt>
                <c:pt idx="18">
                  <c:v>155.81999999999982</c:v>
                </c:pt>
                <c:pt idx="21">
                  <c:v>215.17999999999984</c:v>
                </c:pt>
                <c:pt idx="23">
                  <c:v>155.81999999999994</c:v>
                </c:pt>
                <c:pt idx="24">
                  <c:v>215.17999999999984</c:v>
                </c:pt>
                <c:pt idx="26">
                  <c:v>170.66000000000008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97-004C-A430-846966D21D6F}"/>
            </c:ext>
          </c:extLst>
        </c:ser>
        <c:ser>
          <c:idx val="3"/>
          <c:order val="3"/>
          <c:tx>
            <c:strRef>
              <c:f>Margin__Pivot!$E$3:$E$4</c:f>
              <c:strCache>
                <c:ptCount val="1"/>
                <c:pt idx="0">
                  <c:v>Milk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Margin__Pivot!$A$5:$A$32</c:f>
              <c:strCache>
                <c:ptCount val="27"/>
                <c:pt idx="0">
                  <c:v>01/05</c:v>
                </c:pt>
                <c:pt idx="1">
                  <c:v>01/06</c:v>
                </c:pt>
                <c:pt idx="2">
                  <c:v>01/07</c:v>
                </c:pt>
                <c:pt idx="3">
                  <c:v>01/08</c:v>
                </c:pt>
                <c:pt idx="4">
                  <c:v>01/09</c:v>
                </c:pt>
                <c:pt idx="5">
                  <c:v>01/10</c:v>
                </c:pt>
                <c:pt idx="6">
                  <c:v>02/01</c:v>
                </c:pt>
                <c:pt idx="7">
                  <c:v>(blank)</c:v>
                </c:pt>
                <c:pt idx="8">
                  <c:v>02/02</c:v>
                </c:pt>
                <c:pt idx="9">
                  <c:v>02/03</c:v>
                </c:pt>
                <c:pt idx="10">
                  <c:v>02/04</c:v>
                </c:pt>
                <c:pt idx="11">
                  <c:v>02/05</c:v>
                </c:pt>
                <c:pt idx="12">
                  <c:v>02/06</c:v>
                </c:pt>
                <c:pt idx="13">
                  <c:v>02/07</c:v>
                </c:pt>
                <c:pt idx="14">
                  <c:v>02/08</c:v>
                </c:pt>
                <c:pt idx="15">
                  <c:v>02/09</c:v>
                </c:pt>
                <c:pt idx="16">
                  <c:v>02/10</c:v>
                </c:pt>
                <c:pt idx="17">
                  <c:v>03/01</c:v>
                </c:pt>
                <c:pt idx="18">
                  <c:v>03/02</c:v>
                </c:pt>
                <c:pt idx="19">
                  <c:v>03/03</c:v>
                </c:pt>
                <c:pt idx="20">
                  <c:v>03/04</c:v>
                </c:pt>
                <c:pt idx="21">
                  <c:v>03/05</c:v>
                </c:pt>
                <c:pt idx="22">
                  <c:v>03/06</c:v>
                </c:pt>
                <c:pt idx="23">
                  <c:v>03/07</c:v>
                </c:pt>
                <c:pt idx="24">
                  <c:v>03/08</c:v>
                </c:pt>
                <c:pt idx="25">
                  <c:v>03/09</c:v>
                </c:pt>
                <c:pt idx="26">
                  <c:v>03/10</c:v>
                </c:pt>
              </c:strCache>
            </c:strRef>
          </c:cat>
          <c:val>
            <c:numRef>
              <c:f>Margin__Pivot!$E$5:$E$32</c:f>
              <c:numCache>
                <c:formatCode>General</c:formatCode>
                <c:ptCount val="27"/>
                <c:pt idx="0">
                  <c:v>882.65999999999985</c:v>
                </c:pt>
                <c:pt idx="1">
                  <c:v>451.86999999999983</c:v>
                </c:pt>
                <c:pt idx="2">
                  <c:v>309.42000000000007</c:v>
                </c:pt>
                <c:pt idx="3">
                  <c:v>1352.2799999999997</c:v>
                </c:pt>
                <c:pt idx="4">
                  <c:v>309.42000000000007</c:v>
                </c:pt>
                <c:pt idx="6">
                  <c:v>1432.5</c:v>
                </c:pt>
                <c:pt idx="9">
                  <c:v>1840.0000000000002</c:v>
                </c:pt>
                <c:pt idx="10">
                  <c:v>103.49999999999994</c:v>
                </c:pt>
                <c:pt idx="11">
                  <c:v>368</c:v>
                </c:pt>
                <c:pt idx="12">
                  <c:v>903.24000000000012</c:v>
                </c:pt>
                <c:pt idx="14">
                  <c:v>1059.57</c:v>
                </c:pt>
                <c:pt idx="15">
                  <c:v>75.270000000000039</c:v>
                </c:pt>
                <c:pt idx="16">
                  <c:v>289.5</c:v>
                </c:pt>
                <c:pt idx="18">
                  <c:v>5.8800000000000026</c:v>
                </c:pt>
                <c:pt idx="19">
                  <c:v>870.23999999999978</c:v>
                </c:pt>
                <c:pt idx="20">
                  <c:v>864.36</c:v>
                </c:pt>
                <c:pt idx="21">
                  <c:v>64.680000000000007</c:v>
                </c:pt>
                <c:pt idx="22">
                  <c:v>570.3599999999999</c:v>
                </c:pt>
                <c:pt idx="23">
                  <c:v>826.25999999999976</c:v>
                </c:pt>
                <c:pt idx="24">
                  <c:v>1101.6799999999996</c:v>
                </c:pt>
                <c:pt idx="25">
                  <c:v>668.04000000000008</c:v>
                </c:pt>
                <c:pt idx="26">
                  <c:v>826.26000000000022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97-004C-A430-846966D21D6F}"/>
            </c:ext>
          </c:extLst>
        </c:ser>
        <c:ser>
          <c:idx val="4"/>
          <c:order val="4"/>
          <c:tx>
            <c:strRef>
              <c:f>Margin__Pivot!$F$3:$F$4</c:f>
              <c:strCache>
                <c:ptCount val="1"/>
                <c:pt idx="0">
                  <c:v>Yoghurt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Margin__Pivot!$A$5:$A$32</c:f>
              <c:strCache>
                <c:ptCount val="27"/>
                <c:pt idx="0">
                  <c:v>01/05</c:v>
                </c:pt>
                <c:pt idx="1">
                  <c:v>01/06</c:v>
                </c:pt>
                <c:pt idx="2">
                  <c:v>01/07</c:v>
                </c:pt>
                <c:pt idx="3">
                  <c:v>01/08</c:v>
                </c:pt>
                <c:pt idx="4">
                  <c:v>01/09</c:v>
                </c:pt>
                <c:pt idx="5">
                  <c:v>01/10</c:v>
                </c:pt>
                <c:pt idx="6">
                  <c:v>02/01</c:v>
                </c:pt>
                <c:pt idx="7">
                  <c:v>(blank)</c:v>
                </c:pt>
                <c:pt idx="8">
                  <c:v>02/02</c:v>
                </c:pt>
                <c:pt idx="9">
                  <c:v>02/03</c:v>
                </c:pt>
                <c:pt idx="10">
                  <c:v>02/04</c:v>
                </c:pt>
                <c:pt idx="11">
                  <c:v>02/05</c:v>
                </c:pt>
                <c:pt idx="12">
                  <c:v>02/06</c:v>
                </c:pt>
                <c:pt idx="13">
                  <c:v>02/07</c:v>
                </c:pt>
                <c:pt idx="14">
                  <c:v>02/08</c:v>
                </c:pt>
                <c:pt idx="15">
                  <c:v>02/09</c:v>
                </c:pt>
                <c:pt idx="16">
                  <c:v>02/10</c:v>
                </c:pt>
                <c:pt idx="17">
                  <c:v>03/01</c:v>
                </c:pt>
                <c:pt idx="18">
                  <c:v>03/02</c:v>
                </c:pt>
                <c:pt idx="19">
                  <c:v>03/03</c:v>
                </c:pt>
                <c:pt idx="20">
                  <c:v>03/04</c:v>
                </c:pt>
                <c:pt idx="21">
                  <c:v>03/05</c:v>
                </c:pt>
                <c:pt idx="22">
                  <c:v>03/06</c:v>
                </c:pt>
                <c:pt idx="23">
                  <c:v>03/07</c:v>
                </c:pt>
                <c:pt idx="24">
                  <c:v>03/08</c:v>
                </c:pt>
                <c:pt idx="25">
                  <c:v>03/09</c:v>
                </c:pt>
                <c:pt idx="26">
                  <c:v>03/10</c:v>
                </c:pt>
              </c:strCache>
            </c:strRef>
          </c:cat>
          <c:val>
            <c:numRef>
              <c:f>Margin__Pivot!$F$5:$F$32</c:f>
              <c:numCache>
                <c:formatCode>General</c:formatCode>
                <c:ptCount val="27"/>
                <c:pt idx="0">
                  <c:v>531.95999999999981</c:v>
                </c:pt>
                <c:pt idx="1">
                  <c:v>701.35999999999967</c:v>
                </c:pt>
                <c:pt idx="2">
                  <c:v>1047.2000000000003</c:v>
                </c:pt>
                <c:pt idx="3">
                  <c:v>677.59999999999991</c:v>
                </c:pt>
                <c:pt idx="4">
                  <c:v>1285.9000000000001</c:v>
                </c:pt>
                <c:pt idx="8">
                  <c:v>646.8499999999998</c:v>
                </c:pt>
                <c:pt idx="9">
                  <c:v>966.47000000000025</c:v>
                </c:pt>
                <c:pt idx="10">
                  <c:v>859.93000000000006</c:v>
                </c:pt>
                <c:pt idx="11">
                  <c:v>859.93000000000006</c:v>
                </c:pt>
                <c:pt idx="12">
                  <c:v>820.79999999999984</c:v>
                </c:pt>
                <c:pt idx="13">
                  <c:v>516.80000000000018</c:v>
                </c:pt>
                <c:pt idx="14">
                  <c:v>1117.2000000000003</c:v>
                </c:pt>
                <c:pt idx="15">
                  <c:v>934.79999999999984</c:v>
                </c:pt>
                <c:pt idx="16">
                  <c:v>205.19999999999993</c:v>
                </c:pt>
                <c:pt idx="18">
                  <c:v>358.39999999999986</c:v>
                </c:pt>
                <c:pt idx="19">
                  <c:v>761.59999999999968</c:v>
                </c:pt>
                <c:pt idx="20">
                  <c:v>665.60000000000014</c:v>
                </c:pt>
                <c:pt idx="22">
                  <c:v>332.79999999999995</c:v>
                </c:pt>
                <c:pt idx="23">
                  <c:v>1035.0499999999997</c:v>
                </c:pt>
                <c:pt idx="24">
                  <c:v>419.09999999999991</c:v>
                </c:pt>
                <c:pt idx="25">
                  <c:v>1009.6500000000001</c:v>
                </c:pt>
                <c:pt idx="26">
                  <c:v>330.20000000000005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7-004C-A430-846966D21D6F}"/>
            </c:ext>
          </c:extLst>
        </c:ser>
        <c:ser>
          <c:idx val="5"/>
          <c:order val="5"/>
          <c:tx>
            <c:strRef>
              <c:f>Margin__Pivot!$G$3:$G$4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Margin__Pivot!$A$5:$A$32</c:f>
              <c:strCache>
                <c:ptCount val="27"/>
                <c:pt idx="0">
                  <c:v>01/05</c:v>
                </c:pt>
                <c:pt idx="1">
                  <c:v>01/06</c:v>
                </c:pt>
                <c:pt idx="2">
                  <c:v>01/07</c:v>
                </c:pt>
                <c:pt idx="3">
                  <c:v>01/08</c:v>
                </c:pt>
                <c:pt idx="4">
                  <c:v>01/09</c:v>
                </c:pt>
                <c:pt idx="5">
                  <c:v>01/10</c:v>
                </c:pt>
                <c:pt idx="6">
                  <c:v>02/01</c:v>
                </c:pt>
                <c:pt idx="7">
                  <c:v>(blank)</c:v>
                </c:pt>
                <c:pt idx="8">
                  <c:v>02/02</c:v>
                </c:pt>
                <c:pt idx="9">
                  <c:v>02/03</c:v>
                </c:pt>
                <c:pt idx="10">
                  <c:v>02/04</c:v>
                </c:pt>
                <c:pt idx="11">
                  <c:v>02/05</c:v>
                </c:pt>
                <c:pt idx="12">
                  <c:v>02/06</c:v>
                </c:pt>
                <c:pt idx="13">
                  <c:v>02/07</c:v>
                </c:pt>
                <c:pt idx="14">
                  <c:v>02/08</c:v>
                </c:pt>
                <c:pt idx="15">
                  <c:v>02/09</c:v>
                </c:pt>
                <c:pt idx="16">
                  <c:v>02/10</c:v>
                </c:pt>
                <c:pt idx="17">
                  <c:v>03/01</c:v>
                </c:pt>
                <c:pt idx="18">
                  <c:v>03/02</c:v>
                </c:pt>
                <c:pt idx="19">
                  <c:v>03/03</c:v>
                </c:pt>
                <c:pt idx="20">
                  <c:v>03/04</c:v>
                </c:pt>
                <c:pt idx="21">
                  <c:v>03/05</c:v>
                </c:pt>
                <c:pt idx="22">
                  <c:v>03/06</c:v>
                </c:pt>
                <c:pt idx="23">
                  <c:v>03/07</c:v>
                </c:pt>
                <c:pt idx="24">
                  <c:v>03/08</c:v>
                </c:pt>
                <c:pt idx="25">
                  <c:v>03/09</c:v>
                </c:pt>
                <c:pt idx="26">
                  <c:v>03/10</c:v>
                </c:pt>
              </c:strCache>
            </c:strRef>
          </c:cat>
          <c:val>
            <c:numRef>
              <c:f>Margin__Pivot!$G$5:$G$32</c:f>
              <c:numCache>
                <c:formatCode>General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05-8B97-004C-A430-846966D21D6F}"/>
            </c:ext>
          </c:extLst>
        </c:ser>
        <c:ser>
          <c:idx val="6"/>
          <c:order val="6"/>
          <c:tx>
            <c:strRef>
              <c:f>Margin__Pivot!$H$3:$H$4</c:f>
              <c:strCache>
                <c:ptCount val="1"/>
                <c:pt idx="0">
                  <c:v>Ice Cream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Margin__Pivot!$A$5:$A$32</c:f>
              <c:strCache>
                <c:ptCount val="27"/>
                <c:pt idx="0">
                  <c:v>01/05</c:v>
                </c:pt>
                <c:pt idx="1">
                  <c:v>01/06</c:v>
                </c:pt>
                <c:pt idx="2">
                  <c:v>01/07</c:v>
                </c:pt>
                <c:pt idx="3">
                  <c:v>01/08</c:v>
                </c:pt>
                <c:pt idx="4">
                  <c:v>01/09</c:v>
                </c:pt>
                <c:pt idx="5">
                  <c:v>01/10</c:v>
                </c:pt>
                <c:pt idx="6">
                  <c:v>02/01</c:v>
                </c:pt>
                <c:pt idx="7">
                  <c:v>(blank)</c:v>
                </c:pt>
                <c:pt idx="8">
                  <c:v>02/02</c:v>
                </c:pt>
                <c:pt idx="9">
                  <c:v>02/03</c:v>
                </c:pt>
                <c:pt idx="10">
                  <c:v>02/04</c:v>
                </c:pt>
                <c:pt idx="11">
                  <c:v>02/05</c:v>
                </c:pt>
                <c:pt idx="12">
                  <c:v>02/06</c:v>
                </c:pt>
                <c:pt idx="13">
                  <c:v>02/07</c:v>
                </c:pt>
                <c:pt idx="14">
                  <c:v>02/08</c:v>
                </c:pt>
                <c:pt idx="15">
                  <c:v>02/09</c:v>
                </c:pt>
                <c:pt idx="16">
                  <c:v>02/10</c:v>
                </c:pt>
                <c:pt idx="17">
                  <c:v>03/01</c:v>
                </c:pt>
                <c:pt idx="18">
                  <c:v>03/02</c:v>
                </c:pt>
                <c:pt idx="19">
                  <c:v>03/03</c:v>
                </c:pt>
                <c:pt idx="20">
                  <c:v>03/04</c:v>
                </c:pt>
                <c:pt idx="21">
                  <c:v>03/05</c:v>
                </c:pt>
                <c:pt idx="22">
                  <c:v>03/06</c:v>
                </c:pt>
                <c:pt idx="23">
                  <c:v>03/07</c:v>
                </c:pt>
                <c:pt idx="24">
                  <c:v>03/08</c:v>
                </c:pt>
                <c:pt idx="25">
                  <c:v>03/09</c:v>
                </c:pt>
                <c:pt idx="26">
                  <c:v>03/10</c:v>
                </c:pt>
              </c:strCache>
            </c:strRef>
          </c:cat>
          <c:val>
            <c:numRef>
              <c:f>Margin__Pivot!$H$5:$H$32</c:f>
              <c:numCache>
                <c:formatCode>General</c:formatCode>
                <c:ptCount val="27"/>
                <c:pt idx="12">
                  <c:v>653.10000000000014</c:v>
                </c:pt>
                <c:pt idx="13">
                  <c:v>205.26</c:v>
                </c:pt>
                <c:pt idx="14">
                  <c:v>255.01999999999998</c:v>
                </c:pt>
                <c:pt idx="15">
                  <c:v>118.17999999999995</c:v>
                </c:pt>
                <c:pt idx="19">
                  <c:v>370.80000000000007</c:v>
                </c:pt>
                <c:pt idx="20">
                  <c:v>216.29999999999995</c:v>
                </c:pt>
                <c:pt idx="21">
                  <c:v>271.91999999999996</c:v>
                </c:pt>
                <c:pt idx="22">
                  <c:v>284.27999999999997</c:v>
                </c:pt>
                <c:pt idx="24">
                  <c:v>238.79999999999995</c:v>
                </c:pt>
                <c:pt idx="26">
                  <c:v>423.86999999999989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97-004C-A430-846966D21D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81033728"/>
        <c:axId val="681036416"/>
      </c:barChart>
      <c:catAx>
        <c:axId val="68103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36416"/>
        <c:crosses val="autoZero"/>
        <c:auto val="1"/>
        <c:lblAlgn val="ctr"/>
        <c:lblOffset val="100"/>
        <c:noMultiLvlLbl val="0"/>
      </c:catAx>
      <c:valAx>
        <c:axId val="6810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Margin(Net value-cost)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3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645050165100333E-2"/>
          <c:y val="0.11285724605525227"/>
          <c:w val="0.82523804610109219"/>
          <c:h val="0.780864800156861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'Company_Valuation'!$M$1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'Company_Valuation'!$F$2:$F$31</c:f>
              <c:strCache>
                <c:ptCount val="30"/>
                <c:pt idx="0">
                  <c:v>01/01</c:v>
                </c:pt>
                <c:pt idx="1">
                  <c:v>01/02</c:v>
                </c:pt>
                <c:pt idx="2">
                  <c:v>01/03</c:v>
                </c:pt>
                <c:pt idx="3">
                  <c:v>01/04</c:v>
                </c:pt>
                <c:pt idx="4">
                  <c:v>01/05</c:v>
                </c:pt>
                <c:pt idx="5">
                  <c:v>01/06</c:v>
                </c:pt>
                <c:pt idx="6">
                  <c:v>01/07</c:v>
                </c:pt>
                <c:pt idx="7">
                  <c:v>01/08</c:v>
                </c:pt>
                <c:pt idx="8">
                  <c:v>01/09</c:v>
                </c:pt>
                <c:pt idx="9">
                  <c:v>01/10</c:v>
                </c:pt>
                <c:pt idx="10">
                  <c:v>02/01</c:v>
                </c:pt>
                <c:pt idx="11">
                  <c:v>02/02</c:v>
                </c:pt>
                <c:pt idx="12">
                  <c:v>02/03</c:v>
                </c:pt>
                <c:pt idx="13">
                  <c:v>02/04</c:v>
                </c:pt>
                <c:pt idx="14">
                  <c:v>02/05</c:v>
                </c:pt>
                <c:pt idx="15">
                  <c:v>02/06</c:v>
                </c:pt>
                <c:pt idx="16">
                  <c:v>02/07</c:v>
                </c:pt>
                <c:pt idx="17">
                  <c:v>02/08</c:v>
                </c:pt>
                <c:pt idx="18">
                  <c:v>02/09</c:v>
                </c:pt>
                <c:pt idx="19">
                  <c:v>02/10</c:v>
                </c:pt>
                <c:pt idx="20">
                  <c:v>03/01</c:v>
                </c:pt>
                <c:pt idx="21">
                  <c:v>03/02</c:v>
                </c:pt>
                <c:pt idx="22">
                  <c:v>03/03</c:v>
                </c:pt>
                <c:pt idx="23">
                  <c:v>03/04</c:v>
                </c:pt>
                <c:pt idx="24">
                  <c:v>03/05</c:v>
                </c:pt>
                <c:pt idx="25">
                  <c:v>03/06</c:v>
                </c:pt>
                <c:pt idx="26">
                  <c:v>03/07</c:v>
                </c:pt>
                <c:pt idx="27">
                  <c:v>03/08</c:v>
                </c:pt>
                <c:pt idx="28">
                  <c:v>03/09</c:v>
                </c:pt>
                <c:pt idx="29">
                  <c:v>03/10</c:v>
                </c:pt>
              </c:strCache>
            </c:strRef>
          </c:cat>
          <c:val>
            <c:numRef>
              <c:f>'Company_Valuation'!$M$2:$M$31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-300</c:v>
                </c:pt>
                <c:pt idx="4">
                  <c:v>1354.06</c:v>
                </c:pt>
                <c:pt idx="5">
                  <c:v>2527.4299999999998</c:v>
                </c:pt>
                <c:pt idx="6">
                  <c:v>4081.59</c:v>
                </c:pt>
                <c:pt idx="7">
                  <c:v>6342.9</c:v>
                </c:pt>
                <c:pt idx="8">
                  <c:v>8559.84</c:v>
                </c:pt>
                <c:pt idx="9">
                  <c:v>8555.91</c:v>
                </c:pt>
                <c:pt idx="10">
                  <c:v>9861.15</c:v>
                </c:pt>
                <c:pt idx="11">
                  <c:v>10647.3</c:v>
                </c:pt>
                <c:pt idx="12">
                  <c:v>13707.97</c:v>
                </c:pt>
                <c:pt idx="13">
                  <c:v>15540.53</c:v>
                </c:pt>
                <c:pt idx="14">
                  <c:v>17849.78</c:v>
                </c:pt>
                <c:pt idx="15">
                  <c:v>20300.38</c:v>
                </c:pt>
                <c:pt idx="16">
                  <c:v>21304.39</c:v>
                </c:pt>
                <c:pt idx="17">
                  <c:v>24163.87</c:v>
                </c:pt>
                <c:pt idx="18">
                  <c:v>25735.62</c:v>
                </c:pt>
                <c:pt idx="19">
                  <c:v>25930.36</c:v>
                </c:pt>
                <c:pt idx="20">
                  <c:v>26149.69</c:v>
                </c:pt>
                <c:pt idx="21">
                  <c:v>26694.87</c:v>
                </c:pt>
                <c:pt idx="22">
                  <c:v>28496.31</c:v>
                </c:pt>
                <c:pt idx="23">
                  <c:v>31105.66</c:v>
                </c:pt>
                <c:pt idx="24">
                  <c:v>31800.35</c:v>
                </c:pt>
                <c:pt idx="25">
                  <c:v>32687.11</c:v>
                </c:pt>
                <c:pt idx="26">
                  <c:v>34917.57</c:v>
                </c:pt>
                <c:pt idx="27">
                  <c:v>36796.21</c:v>
                </c:pt>
                <c:pt idx="28">
                  <c:v>39283.82</c:v>
                </c:pt>
                <c:pt idx="29">
                  <c:v>41055.71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D-3740-9858-5FE78722D1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77421376"/>
        <c:axId val="729147008"/>
      </c:barChart>
      <c:lineChart>
        <c:grouping val="standard"/>
        <c:varyColors val="0"/>
        <c:ser>
          <c:idx val="1"/>
          <c:order val="1"/>
          <c:tx>
            <c:strRef>
              <c:f>'Company_Valuation'!$S$1</c:f>
              <c:strCache>
                <c:ptCount val="1"/>
                <c:pt idx="0">
                  <c:v>COMPANY_VALUATION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'Company_Valuation'!$F$2:$F$31</c:f>
              <c:strCache>
                <c:ptCount val="30"/>
                <c:pt idx="0">
                  <c:v>01/01</c:v>
                </c:pt>
                <c:pt idx="1">
                  <c:v>01/02</c:v>
                </c:pt>
                <c:pt idx="2">
                  <c:v>01/03</c:v>
                </c:pt>
                <c:pt idx="3">
                  <c:v>01/04</c:v>
                </c:pt>
                <c:pt idx="4">
                  <c:v>01/05</c:v>
                </c:pt>
                <c:pt idx="5">
                  <c:v>01/06</c:v>
                </c:pt>
                <c:pt idx="6">
                  <c:v>01/07</c:v>
                </c:pt>
                <c:pt idx="7">
                  <c:v>01/08</c:v>
                </c:pt>
                <c:pt idx="8">
                  <c:v>01/09</c:v>
                </c:pt>
                <c:pt idx="9">
                  <c:v>01/10</c:v>
                </c:pt>
                <c:pt idx="10">
                  <c:v>02/01</c:v>
                </c:pt>
                <c:pt idx="11">
                  <c:v>02/02</c:v>
                </c:pt>
                <c:pt idx="12">
                  <c:v>02/03</c:v>
                </c:pt>
                <c:pt idx="13">
                  <c:v>02/04</c:v>
                </c:pt>
                <c:pt idx="14">
                  <c:v>02/05</c:v>
                </c:pt>
                <c:pt idx="15">
                  <c:v>02/06</c:v>
                </c:pt>
                <c:pt idx="16">
                  <c:v>02/07</c:v>
                </c:pt>
                <c:pt idx="17">
                  <c:v>02/08</c:v>
                </c:pt>
                <c:pt idx="18">
                  <c:v>02/09</c:v>
                </c:pt>
                <c:pt idx="19">
                  <c:v>02/10</c:v>
                </c:pt>
                <c:pt idx="20">
                  <c:v>03/01</c:v>
                </c:pt>
                <c:pt idx="21">
                  <c:v>03/02</c:v>
                </c:pt>
                <c:pt idx="22">
                  <c:v>03/03</c:v>
                </c:pt>
                <c:pt idx="23">
                  <c:v>03/04</c:v>
                </c:pt>
                <c:pt idx="24">
                  <c:v>03/05</c:v>
                </c:pt>
                <c:pt idx="25">
                  <c:v>03/06</c:v>
                </c:pt>
                <c:pt idx="26">
                  <c:v>03/07</c:v>
                </c:pt>
                <c:pt idx="27">
                  <c:v>03/08</c:v>
                </c:pt>
                <c:pt idx="28">
                  <c:v>03/09</c:v>
                </c:pt>
                <c:pt idx="29">
                  <c:v>03/10</c:v>
                </c:pt>
              </c:strCache>
            </c:strRef>
          </c:cat>
          <c:val>
            <c:numRef>
              <c:f>'Company_Valuation'!$S$2:$S$31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-60000</c:v>
                </c:pt>
                <c:pt idx="4">
                  <c:v>216649.60000000001</c:v>
                </c:pt>
                <c:pt idx="5">
                  <c:v>336990.67</c:v>
                </c:pt>
                <c:pt idx="6">
                  <c:v>466467.43</c:v>
                </c:pt>
                <c:pt idx="7">
                  <c:v>634290</c:v>
                </c:pt>
                <c:pt idx="8">
                  <c:v>760874.67</c:v>
                </c:pt>
                <c:pt idx="9">
                  <c:v>684472.8</c:v>
                </c:pt>
                <c:pt idx="10">
                  <c:v>717174.55</c:v>
                </c:pt>
                <c:pt idx="11">
                  <c:v>709820</c:v>
                </c:pt>
                <c:pt idx="12">
                  <c:v>843567.38</c:v>
                </c:pt>
                <c:pt idx="13">
                  <c:v>888030.29</c:v>
                </c:pt>
                <c:pt idx="14">
                  <c:v>951988.27</c:v>
                </c:pt>
                <c:pt idx="15">
                  <c:v>1015019</c:v>
                </c:pt>
                <c:pt idx="16">
                  <c:v>1002559.53</c:v>
                </c:pt>
                <c:pt idx="17">
                  <c:v>1073949.78</c:v>
                </c:pt>
                <c:pt idx="18">
                  <c:v>1083605.05</c:v>
                </c:pt>
                <c:pt idx="19">
                  <c:v>1037214.4</c:v>
                </c:pt>
                <c:pt idx="20">
                  <c:v>996178.67</c:v>
                </c:pt>
                <c:pt idx="21">
                  <c:v>970722.55</c:v>
                </c:pt>
                <c:pt idx="22">
                  <c:v>991176</c:v>
                </c:pt>
                <c:pt idx="23">
                  <c:v>1036855.33</c:v>
                </c:pt>
                <c:pt idx="24">
                  <c:v>1017611.2</c:v>
                </c:pt>
                <c:pt idx="25">
                  <c:v>1005757.23</c:v>
                </c:pt>
                <c:pt idx="26">
                  <c:v>1034594.67</c:v>
                </c:pt>
                <c:pt idx="27">
                  <c:v>1051320.29</c:v>
                </c:pt>
                <c:pt idx="28">
                  <c:v>1083691.5900000001</c:v>
                </c:pt>
                <c:pt idx="29">
                  <c:v>1094818.93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D-3740-9858-5FE78722D1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0533120"/>
        <c:axId val="370529088"/>
      </c:lineChart>
      <c:catAx>
        <c:axId val="6774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47008"/>
        <c:crosses val="autoZero"/>
        <c:auto val="1"/>
        <c:lblAlgn val="ctr"/>
        <c:lblOffset val="100"/>
        <c:noMultiLvlLbl val="0"/>
      </c:catAx>
      <c:valAx>
        <c:axId val="7291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21376"/>
        <c:crosses val="autoZero"/>
        <c:crossBetween val="between"/>
      </c:valAx>
      <c:valAx>
        <c:axId val="37052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533120"/>
        <c:crosses val="max"/>
        <c:crossBetween val="between"/>
      </c:valAx>
      <c:catAx>
        <c:axId val="370533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05290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454438658877323E-2"/>
          <c:y val="3.0356343071794925E-2"/>
          <c:w val="0.26863950977901951"/>
          <c:h val="4.08903748762002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50800</xdr:colOff>
      <xdr:row>22</xdr:row>
      <xdr:rowOff>152400</xdr:rowOff>
    </xdr:from>
    <xdr:to>
      <xdr:col>25</xdr:col>
      <xdr:colOff>647700</xdr:colOff>
      <xdr:row>53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A73D87-EA9E-0710-AD14-787C8711D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279400</xdr:colOff>
      <xdr:row>33</xdr:row>
      <xdr:rowOff>120650</xdr:rowOff>
    </xdr:from>
    <xdr:to>
      <xdr:col>19</xdr:col>
      <xdr:colOff>304800</xdr:colOff>
      <xdr:row>68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14513-7C24-D1F7-6C1A-E3F1C3D55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89.853765162035" createdVersion="8" refreshedVersion="8" minRefreshableVersion="3" recordCount="174" xr:uid="{9D7D3190-AB6B-874B-8F49-55AB93D2A206}">
  <cacheSource type="worksheet">
    <worksheetSource ref="A1:W1048576" sheet="Sales"/>
  </cacheSource>
  <cacheFields count="23">
    <cacheField name="ID" numFmtId="0">
      <sharedItems containsBlank="1"/>
    </cacheField>
    <cacheField name="ROW_ID" numFmtId="0">
      <sharedItems containsString="0" containsBlank="1" containsNumber="1" containsInteger="1" minValue="1" maxValue="173"/>
    </cacheField>
    <cacheField name="SALES_ORGANIZATION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 count="27">
        <s v="01/05"/>
        <s v="01/06"/>
        <s v="01/07"/>
        <s v="01/08"/>
        <s v="01/09"/>
        <s v="01/10"/>
        <s v="02/01"/>
        <s v="02/02"/>
        <s v="02/03"/>
        <s v="02/04"/>
        <s v="02/05"/>
        <s v="02/06"/>
        <s v="02/07"/>
        <s v="02/08"/>
        <s v="02/09"/>
        <s v="02/10"/>
        <s v="03/01"/>
        <s v="03/02"/>
        <s v="03/03"/>
        <s v="03/04"/>
        <s v="03/05"/>
        <s v="03/06"/>
        <s v="03/07"/>
        <s v="03/08"/>
        <s v="03/09"/>
        <s v="03/10"/>
        <m/>
      </sharedItems>
    </cacheField>
    <cacheField name="SIM_PERIOD" numFmtId="0">
      <sharedItems containsString="0" containsBlank="1" containsNumber="1" containsInteger="1" minValue="1" maxValue="6"/>
    </cacheField>
    <cacheField name="SIM_ELAPSED_STEPS" numFmtId="0">
      <sharedItems containsString="0" containsBlank="1" containsNumber="1" containsInteger="1" minValue="5" maxValue="30"/>
    </cacheField>
    <cacheField name="SALES_ORDER_NUMBER" numFmtId="0">
      <sharedItems containsBlank="1"/>
    </cacheField>
    <cacheField name="LINE_ITEM" numFmtId="0">
      <sharedItems containsBlank="1"/>
    </cacheField>
    <cacheField name="STORAGE_LOCATION" numFmtId="0">
      <sharedItems containsBlank="1"/>
    </cacheField>
    <cacheField name="AREA" numFmtId="0">
      <sharedItems containsBlank="1"/>
    </cacheField>
    <cacheField name="DISTRIBUTION_CHANNEL" numFmtId="0">
      <sharedItems containsBlank="1"/>
    </cacheField>
    <cacheField name="MATERIAL_NUMBER" numFmtId="0">
      <sharedItems containsBlank="1"/>
    </cacheField>
    <cacheField name="MATERIAL_DESCRIPTION" numFmtId="0">
      <sharedItems containsBlank="1" count="7">
        <s v="Milk"/>
        <s v="Yoghurt"/>
        <s v="Cheese"/>
        <s v="Cream"/>
        <s v="Butter"/>
        <s v="Ice Cream"/>
        <m/>
      </sharedItems>
    </cacheField>
    <cacheField name="QUANTITY" numFmtId="0">
      <sharedItems containsString="0" containsBlank="1" containsNumber="1" containsInteger="1" minValue="1" maxValue="83"/>
    </cacheField>
    <cacheField name="QUANTITY_DELIVERED" numFmtId="0">
      <sharedItems containsString="0" containsBlank="1" containsNumber="1" containsInteger="1" minValue="1" maxValue="83"/>
    </cacheField>
    <cacheField name="UNIT" numFmtId="0">
      <sharedItems containsBlank="1"/>
    </cacheField>
    <cacheField name="NET_PRICE" numFmtId="0">
      <sharedItems containsString="0" containsBlank="1" containsNumber="1" minValue="29.35" maxValue="99.13"/>
    </cacheField>
    <cacheField name="NET_VALUE" numFmtId="0">
      <sharedItems containsString="0" containsBlank="1" containsNumber="1" minValue="29.35" maxValue="2463.84"/>
    </cacheField>
    <cacheField name="COST" numFmtId="0">
      <sharedItems containsString="0" containsBlank="1" containsNumber="1" minValue="23.16" maxValue="2187"/>
    </cacheField>
    <cacheField name="CURRENCY" numFmtId="0">
      <sharedItems containsBlank="1"/>
    </cacheField>
    <cacheField name="Margin" numFmtId="0">
      <sharedItems containsString="0" containsBlank="1" containsNumber="1" minValue="5.8800000000000026" maxValue="531.959999999999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89.853765277781" createdVersion="8" refreshedVersion="8" minRefreshableVersion="3" recordCount="174" xr:uid="{0D649EDF-28A0-FB46-8499-E631BFC0161F}">
  <cacheSource type="worksheet">
    <worksheetSource ref="A1:V1048576" sheet="Sales"/>
  </cacheSource>
  <cacheFields count="22">
    <cacheField name="ID" numFmtId="0">
      <sharedItems containsBlank="1"/>
    </cacheField>
    <cacheField name="ROW_ID" numFmtId="0">
      <sharedItems containsString="0" containsBlank="1" containsNumber="1" containsInteger="1" minValue="1" maxValue="173"/>
    </cacheField>
    <cacheField name="SALES_ORGANIZATION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 count="27">
        <s v="01/05"/>
        <s v="01/06"/>
        <s v="01/07"/>
        <s v="01/08"/>
        <s v="01/09"/>
        <s v="01/10"/>
        <s v="02/01"/>
        <s v="02/02"/>
        <s v="02/03"/>
        <s v="02/04"/>
        <s v="02/05"/>
        <s v="02/06"/>
        <s v="02/07"/>
        <s v="02/08"/>
        <s v="02/09"/>
        <s v="02/10"/>
        <s v="03/01"/>
        <s v="03/02"/>
        <s v="03/03"/>
        <s v="03/04"/>
        <s v="03/05"/>
        <s v="03/06"/>
        <s v="03/07"/>
        <s v="03/08"/>
        <s v="03/09"/>
        <s v="03/10"/>
        <m/>
      </sharedItems>
    </cacheField>
    <cacheField name="SIM_PERIOD" numFmtId="0">
      <sharedItems containsString="0" containsBlank="1" containsNumber="1" containsInteger="1" minValue="1" maxValue="6"/>
    </cacheField>
    <cacheField name="SIM_ELAPSED_STEPS" numFmtId="0">
      <sharedItems containsString="0" containsBlank="1" containsNumber="1" containsInteger="1" minValue="5" maxValue="30"/>
    </cacheField>
    <cacheField name="SALES_ORDER_NUMBER" numFmtId="0">
      <sharedItems containsBlank="1"/>
    </cacheField>
    <cacheField name="LINE_ITEM" numFmtId="0">
      <sharedItems containsBlank="1"/>
    </cacheField>
    <cacheField name="STORAGE_LOCATION" numFmtId="0">
      <sharedItems containsBlank="1" count="4">
        <s v="03N"/>
        <s v="03S"/>
        <s v="03W"/>
        <m/>
      </sharedItems>
    </cacheField>
    <cacheField name="AREA" numFmtId="0">
      <sharedItems containsBlank="1"/>
    </cacheField>
    <cacheField name="DISTRIBUTION_CHANNEL" numFmtId="0">
      <sharedItems containsBlank="1"/>
    </cacheField>
    <cacheField name="MATERIAL_NUMBER" numFmtId="0">
      <sharedItems containsBlank="1"/>
    </cacheField>
    <cacheField name="MATERIAL_DESCRIPTION" numFmtId="0">
      <sharedItems containsBlank="1" count="7">
        <s v="Milk"/>
        <s v="Yoghurt"/>
        <s v="Cheese"/>
        <s v="Cream"/>
        <s v="Butter"/>
        <s v="Ice Cream"/>
        <m/>
      </sharedItems>
    </cacheField>
    <cacheField name="QUANTITY" numFmtId="0">
      <sharedItems containsString="0" containsBlank="1" containsNumber="1" containsInteger="1" minValue="1" maxValue="83"/>
    </cacheField>
    <cacheField name="QUANTITY_DELIVERED" numFmtId="0">
      <sharedItems containsString="0" containsBlank="1" containsNumber="1" containsInteger="1" minValue="1" maxValue="83"/>
    </cacheField>
    <cacheField name="UNIT" numFmtId="0">
      <sharedItems containsBlank="1"/>
    </cacheField>
    <cacheField name="NET_PRICE" numFmtId="0">
      <sharedItems containsString="0" containsBlank="1" containsNumber="1" minValue="29.35" maxValue="99.13"/>
    </cacheField>
    <cacheField name="NET_VALUE" numFmtId="0">
      <sharedItems containsString="0" containsBlank="1" containsNumber="1" minValue="29.35" maxValue="2463.84"/>
    </cacheField>
    <cacheField name="COST" numFmtId="0">
      <sharedItems containsString="0" containsBlank="1" containsNumber="1" minValue="23.16" maxValue="2187"/>
    </cacheField>
    <cacheField name="CURRENC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89.853765509259" createdVersion="8" refreshedVersion="8" minRefreshableVersion="3" recordCount="253" xr:uid="{6B8AD13E-2D73-5647-98EC-22187490A0EA}">
  <cacheSource type="worksheet">
    <worksheetSource ref="A1:Q1048576" sheet="Financial_Postings"/>
  </cacheSource>
  <cacheFields count="17">
    <cacheField name="ID" numFmtId="0">
      <sharedItems containsBlank="1"/>
    </cacheField>
    <cacheField name="ROW_ID" numFmtId="0">
      <sharedItems containsString="0" containsBlank="1" containsNumber="1" containsInteger="1" minValue="1" maxValue="252"/>
    </cacheField>
    <cacheField name="COMPANY_CODE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/>
    </cacheField>
    <cacheField name="SIM_PERIOD" numFmtId="0">
      <sharedItems containsString="0" containsBlank="1" containsNumber="1" containsInteger="1" minValue="1" maxValue="6"/>
    </cacheField>
    <cacheField name="SIM_ELAPSED_STEPS" numFmtId="0">
      <sharedItems containsString="0" containsBlank="1" containsNumber="1" containsInteger="1" minValue="1" maxValue="30"/>
    </cacheField>
    <cacheField name="GL_ACCOUNT_NUMBER" numFmtId="0">
      <sharedItems containsBlank="1"/>
    </cacheField>
    <cacheField name="GL_ACCOUNT_NAME" numFmtId="0">
      <sharedItems containsBlank="1"/>
    </cacheField>
    <cacheField name="FS_LEVEL_1" numFmtId="0">
      <sharedItems containsBlank="1"/>
    </cacheField>
    <cacheField name="FS_LEVEL_2" numFmtId="0">
      <sharedItems containsBlank="1"/>
    </cacheField>
    <cacheField name="FS_LEVEL_3" numFmtId="0">
      <sharedItems containsBlank="1"/>
    </cacheField>
    <cacheField name="FS_LEVEL_4" numFmtId="0">
      <sharedItems containsBlank="1"/>
    </cacheField>
    <cacheField name="DEBIT_CREDIT_INDICATOR" numFmtId="0">
      <sharedItems containsBlank="1"/>
    </cacheField>
    <cacheField name="AMOUNT" numFmtId="0">
      <sharedItems containsString="0" containsBlank="1" containsNumber="1" minValue="-500000" maxValue="500000"/>
    </cacheField>
    <cacheField name="CURRENC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ng" refreshedDate="46289.853765624997" createdVersion="8" refreshedVersion="8" minRefreshableVersion="3" recordCount="745" xr:uid="{3BDBC661-39FF-6A4A-B00B-FD3FF790C043}">
  <cacheSource type="worksheet">
    <worksheetSource ref="A1:M1048576" sheet="Inventory"/>
  </cacheSource>
  <cacheFields count="13">
    <cacheField name="ID" numFmtId="0">
      <sharedItems containsBlank="1"/>
    </cacheField>
    <cacheField name="ROW_ID" numFmtId="0">
      <sharedItems containsString="0" containsBlank="1" containsNumber="1" containsInteger="1" minValue="1" maxValue="744"/>
    </cacheField>
    <cacheField name="PLANT" numFmtId="0">
      <sharedItems containsBlank="1"/>
    </cacheField>
    <cacheField name="SIM_ROUND" numFmtId="0">
      <sharedItems containsBlank="1"/>
    </cacheField>
    <cacheField name="SIM_STEP" numFmtId="0">
      <sharedItems containsBlank="1"/>
    </cacheField>
    <cacheField name="SIM_DATE" numFmtId="0">
      <sharedItems containsBlank="1" count="32">
        <s v="01/01"/>
        <s v="01/02"/>
        <s v="01/03"/>
        <s v="01/04"/>
        <s v="01/05"/>
        <s v="01/06"/>
        <s v="01/07"/>
        <s v="01/08"/>
        <s v="01/09"/>
        <s v="01/10"/>
        <s v="02/01"/>
        <s v="02/02"/>
        <s v="02/03"/>
        <s v="02/04"/>
        <s v="02/05"/>
        <s v="02/06"/>
        <s v="02/07"/>
        <s v="02/08"/>
        <s v="02/09"/>
        <s v="02/10"/>
        <s v="03/01"/>
        <s v="03/02"/>
        <s v="03/03"/>
        <s v="03/04"/>
        <s v="03/05"/>
        <s v="03/06"/>
        <s v="03/07"/>
        <s v="03/08"/>
        <s v="03/09"/>
        <s v="03/10"/>
        <s v="04/01"/>
        <m/>
      </sharedItems>
    </cacheField>
    <cacheField name="SIM_PERIOD" numFmtId="0">
      <sharedItems containsString="0" containsBlank="1" containsNumber="1" containsInteger="1" minValue="1" maxValue="7"/>
    </cacheField>
    <cacheField name="SIM_ELAPSED_STEPS" numFmtId="0">
      <sharedItems containsString="0" containsBlank="1" containsNumber="1" containsInteger="1" minValue="1" maxValue="31"/>
    </cacheField>
    <cacheField name="STORAGE_LOCATION" numFmtId="0">
      <sharedItems containsBlank="1" count="5">
        <s v="03"/>
        <s v="03N"/>
        <s v="03S"/>
        <s v="03W"/>
        <m/>
      </sharedItems>
    </cacheField>
    <cacheField name="MATERIAL_NUMBER" numFmtId="0">
      <sharedItems containsBlank="1" count="7">
        <s v="DD-T01"/>
        <s v="DD-T02"/>
        <s v="DD-T03"/>
        <s v="DD-T04"/>
        <s v="DD-T05"/>
        <s v="DD-T06"/>
        <m/>
      </sharedItems>
    </cacheField>
    <cacheField name="MATERIAL_DESCRIPTION" numFmtId="0">
      <sharedItems containsBlank="1" count="7">
        <s v="Milk"/>
        <s v="Cream"/>
        <s v="Yoghurt"/>
        <s v="Cheese"/>
        <s v="Butter"/>
        <s v="Ice Cream"/>
        <m/>
      </sharedItems>
    </cacheField>
    <cacheField name="INVENTORY_OPENING_BALANCE" numFmtId="0">
      <sharedItems containsString="0" containsBlank="1" containsNumber="1" containsInteger="1" minValue="0" maxValue="1161"/>
    </cacheField>
    <cacheField name="UN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s v=".1~1"/>
    <n v="1"/>
    <s v="D2"/>
    <s v="01"/>
    <s v="05"/>
    <x v="0"/>
    <n v="1"/>
    <n v="5"/>
    <s v="1013"/>
    <s v="1"/>
    <s v="03N"/>
    <s v="North"/>
    <s v="16"/>
    <s v="DD-T01"/>
    <x v="0"/>
    <n v="81"/>
    <n v="81"/>
    <s v="ST"/>
    <n v="29.35"/>
    <n v="2377.35"/>
    <n v="1870.29"/>
    <s v="EUR"/>
    <n v="507.05999999999995"/>
  </r>
  <r>
    <s v=".1~2"/>
    <n v="2"/>
    <s v="D2"/>
    <s v="01"/>
    <s v="05"/>
    <x v="0"/>
    <n v="1"/>
    <n v="5"/>
    <s v="1019"/>
    <s v="1"/>
    <s v="03S"/>
    <s v="South"/>
    <s v="16"/>
    <s v="DD-T01"/>
    <x v="0"/>
    <n v="60"/>
    <n v="60"/>
    <s v="ST"/>
    <n v="29.35"/>
    <n v="1761"/>
    <n v="1385.4"/>
    <s v="EUR"/>
    <n v="375.59999999999991"/>
  </r>
  <r>
    <s v=".1~3"/>
    <n v="3"/>
    <s v="D2"/>
    <s v="01"/>
    <s v="05"/>
    <x v="0"/>
    <n v="1"/>
    <n v="5"/>
    <s v="1023"/>
    <s v="1"/>
    <s v="03S"/>
    <s v="South"/>
    <s v="16"/>
    <s v="DD-T03"/>
    <x v="1"/>
    <n v="66"/>
    <n v="66"/>
    <s v="ST"/>
    <n v="34.07"/>
    <n v="2248.62"/>
    <n v="1716.66"/>
    <s v="EUR"/>
    <n v="531.95999999999981"/>
  </r>
  <r>
    <s v=".1~4"/>
    <n v="4"/>
    <s v="D2"/>
    <s v="01"/>
    <s v="05"/>
    <x v="0"/>
    <n v="1"/>
    <n v="5"/>
    <s v="1016"/>
    <s v="1"/>
    <s v="03W"/>
    <s v="West"/>
    <s v="16"/>
    <s v="DD-T04"/>
    <x v="2"/>
    <n v="15"/>
    <n v="15"/>
    <s v="ST"/>
    <n v="99.13"/>
    <n v="1486.95"/>
    <n v="1247.7"/>
    <s v="EUR"/>
    <n v="239.25"/>
  </r>
  <r>
    <s v=".1~5"/>
    <n v="5"/>
    <s v="D2"/>
    <s v="01"/>
    <s v="06"/>
    <x v="1"/>
    <n v="2"/>
    <n v="6"/>
    <s v="1034"/>
    <s v="1"/>
    <s v="03N"/>
    <s v="North"/>
    <s v="16"/>
    <s v="DD-T01"/>
    <x v="0"/>
    <n v="1"/>
    <n v="1"/>
    <s v="ST"/>
    <n v="29.35"/>
    <n v="29.35"/>
    <n v="23.16"/>
    <s v="EUR"/>
    <n v="6.1900000000000013"/>
  </r>
  <r>
    <s v=".1~6"/>
    <n v="6"/>
    <s v="D2"/>
    <s v="01"/>
    <s v="06"/>
    <x v="1"/>
    <n v="2"/>
    <n v="6"/>
    <s v="1031"/>
    <s v="1"/>
    <s v="03N"/>
    <s v="North"/>
    <s v="16"/>
    <s v="DD-T01"/>
    <x v="0"/>
    <n v="72"/>
    <n v="72"/>
    <s v="ST"/>
    <n v="29.35"/>
    <n v="2113.1999999999998"/>
    <n v="1667.52"/>
    <s v="EUR"/>
    <n v="445.67999999999984"/>
  </r>
  <r>
    <s v=".1~7"/>
    <n v="7"/>
    <s v="D2"/>
    <s v="01"/>
    <s v="06"/>
    <x v="1"/>
    <n v="2"/>
    <n v="6"/>
    <s v="1031"/>
    <s v="2"/>
    <s v="03N"/>
    <s v="North"/>
    <s v="16"/>
    <s v="DD-T03"/>
    <x v="1"/>
    <n v="44"/>
    <n v="44"/>
    <s v="ST"/>
    <n v="34.07"/>
    <n v="1499.08"/>
    <n v="1148.4000000000001"/>
    <s v="EUR"/>
    <n v="350.67999999999984"/>
  </r>
  <r>
    <s v=".1~8"/>
    <n v="8"/>
    <s v="D2"/>
    <s v="01"/>
    <s v="06"/>
    <x v="1"/>
    <n v="2"/>
    <n v="6"/>
    <s v="1040"/>
    <s v="3"/>
    <s v="03S"/>
    <s v="South"/>
    <s v="16"/>
    <s v="DD-T03"/>
    <x v="1"/>
    <n v="44"/>
    <n v="44"/>
    <s v="ST"/>
    <n v="34.07"/>
    <n v="1499.08"/>
    <n v="1148.4000000000001"/>
    <s v="EUR"/>
    <n v="350.67999999999984"/>
  </r>
  <r>
    <s v=".1~9"/>
    <n v="9"/>
    <s v="D2"/>
    <s v="01"/>
    <s v="06"/>
    <x v="1"/>
    <n v="2"/>
    <n v="6"/>
    <s v="1040"/>
    <s v="1"/>
    <s v="03S"/>
    <s v="South"/>
    <s v="16"/>
    <s v="DD-T04"/>
    <x v="2"/>
    <n v="15"/>
    <n v="15"/>
    <s v="ST"/>
    <n v="99.13"/>
    <n v="1486.95"/>
    <n v="1258.5"/>
    <s v="EUR"/>
    <n v="228.45000000000005"/>
  </r>
  <r>
    <s v=".1~10"/>
    <n v="10"/>
    <s v="D2"/>
    <s v="01"/>
    <s v="06"/>
    <x v="1"/>
    <n v="2"/>
    <n v="6"/>
    <s v="1037"/>
    <s v="1"/>
    <s v="03W"/>
    <s v="West"/>
    <s v="16"/>
    <s v="DD-T04"/>
    <x v="2"/>
    <n v="6"/>
    <n v="6"/>
    <s v="ST"/>
    <n v="99.13"/>
    <n v="594.78"/>
    <n v="503.4"/>
    <s v="EUR"/>
    <n v="91.38"/>
  </r>
  <r>
    <s v=".1~11"/>
    <n v="11"/>
    <s v="D2"/>
    <s v="01"/>
    <s v="07"/>
    <x v="2"/>
    <n v="2"/>
    <n v="7"/>
    <s v="1045"/>
    <s v="3"/>
    <s v="03N"/>
    <s v="North"/>
    <s v="16"/>
    <s v="DD-T01"/>
    <x v="0"/>
    <n v="54"/>
    <n v="54"/>
    <s v="ST"/>
    <n v="29.35"/>
    <n v="1584.9"/>
    <n v="1275.48"/>
    <s v="EUR"/>
    <n v="309.42000000000007"/>
  </r>
  <r>
    <s v=".1~12"/>
    <n v="12"/>
    <s v="D2"/>
    <s v="01"/>
    <s v="07"/>
    <x v="2"/>
    <n v="2"/>
    <n v="7"/>
    <s v="1045"/>
    <s v="1"/>
    <s v="03N"/>
    <s v="North"/>
    <s v="16"/>
    <s v="DD-T02"/>
    <x v="3"/>
    <n v="20"/>
    <n v="20"/>
    <s v="ST"/>
    <n v="85.38"/>
    <n v="1707.6"/>
    <n v="1460.6"/>
    <s v="EUR"/>
    <n v="247"/>
  </r>
  <r>
    <s v=".1~13"/>
    <n v="13"/>
    <s v="D2"/>
    <s v="01"/>
    <s v="07"/>
    <x v="2"/>
    <n v="2"/>
    <n v="7"/>
    <s v="1045"/>
    <s v="2"/>
    <s v="03N"/>
    <s v="North"/>
    <s v="16"/>
    <s v="DD-T03"/>
    <x v="1"/>
    <n v="61"/>
    <n v="61"/>
    <s v="ST"/>
    <n v="34.07"/>
    <n v="2078.27"/>
    <n v="1608.57"/>
    <s v="EUR"/>
    <n v="469.70000000000005"/>
  </r>
  <r>
    <s v=".1~14"/>
    <n v="14"/>
    <s v="D2"/>
    <s v="01"/>
    <s v="07"/>
    <x v="2"/>
    <n v="2"/>
    <n v="7"/>
    <s v="1045"/>
    <s v="4"/>
    <s v="03N"/>
    <s v="North"/>
    <s v="16"/>
    <s v="DD-T03"/>
    <x v="1"/>
    <n v="10"/>
    <n v="10"/>
    <s v="ST"/>
    <n v="34.07"/>
    <n v="340.7"/>
    <n v="263.7"/>
    <s v="EUR"/>
    <n v="77"/>
  </r>
  <r>
    <s v=".1~15"/>
    <n v="15"/>
    <s v="D2"/>
    <s v="01"/>
    <s v="07"/>
    <x v="2"/>
    <n v="2"/>
    <n v="7"/>
    <s v="1051"/>
    <s v="1"/>
    <s v="03S"/>
    <s v="South"/>
    <s v="16"/>
    <s v="DD-T03"/>
    <x v="1"/>
    <n v="65"/>
    <n v="65"/>
    <s v="ST"/>
    <n v="34.07"/>
    <n v="2214.5500000000002"/>
    <n v="1714.05"/>
    <s v="EUR"/>
    <n v="500.50000000000023"/>
  </r>
  <r>
    <s v=".1~16"/>
    <n v="16"/>
    <s v="D2"/>
    <s v="01"/>
    <s v="07"/>
    <x v="2"/>
    <n v="2"/>
    <n v="7"/>
    <s v="1048"/>
    <s v="1"/>
    <s v="03W"/>
    <s v="West"/>
    <s v="16"/>
    <s v="DD-T04"/>
    <x v="2"/>
    <n v="17"/>
    <n v="17"/>
    <s v="ST"/>
    <n v="99.13"/>
    <n v="1685.21"/>
    <n v="1434.63"/>
    <s v="EUR"/>
    <n v="250.57999999999993"/>
  </r>
  <r>
    <s v=".1~17"/>
    <n v="17"/>
    <s v="D2"/>
    <s v="01"/>
    <s v="08"/>
    <x v="3"/>
    <n v="2"/>
    <n v="8"/>
    <s v="1062"/>
    <s v="1"/>
    <s v="03N"/>
    <s v="North"/>
    <s v="16"/>
    <s v="DD-T01"/>
    <x v="0"/>
    <n v="76"/>
    <n v="76"/>
    <s v="ST"/>
    <n v="29.35"/>
    <n v="2230.6"/>
    <n v="1795.12"/>
    <s v="EUR"/>
    <n v="435.48"/>
  </r>
  <r>
    <s v=".1~18"/>
    <n v="18"/>
    <s v="D2"/>
    <s v="01"/>
    <s v="08"/>
    <x v="3"/>
    <n v="2"/>
    <n v="8"/>
    <s v="1062"/>
    <s v="2"/>
    <s v="03N"/>
    <s v="North"/>
    <s v="16"/>
    <s v="DD-T01"/>
    <x v="0"/>
    <n v="19"/>
    <n v="19"/>
    <s v="ST"/>
    <n v="29.35"/>
    <n v="557.65"/>
    <n v="448.78"/>
    <s v="EUR"/>
    <n v="108.87"/>
  </r>
  <r>
    <s v=".1~19"/>
    <n v="19"/>
    <s v="D2"/>
    <s v="01"/>
    <s v="08"/>
    <x v="3"/>
    <n v="2"/>
    <n v="8"/>
    <s v="1057"/>
    <s v="1"/>
    <s v="03N"/>
    <s v="North"/>
    <s v="16"/>
    <s v="DD-T01"/>
    <x v="0"/>
    <n v="81"/>
    <n v="81"/>
    <s v="ST"/>
    <n v="29.35"/>
    <n v="2377.35"/>
    <n v="1913.22"/>
    <s v="EUR"/>
    <n v="464.12999999999988"/>
  </r>
  <r>
    <s v=".1~20"/>
    <n v="20"/>
    <s v="D2"/>
    <s v="01"/>
    <s v="08"/>
    <x v="3"/>
    <n v="2"/>
    <n v="8"/>
    <s v="1057"/>
    <s v="2"/>
    <s v="03N"/>
    <s v="North"/>
    <s v="16"/>
    <s v="DD-T03"/>
    <x v="1"/>
    <n v="44"/>
    <n v="44"/>
    <s v="ST"/>
    <n v="34.07"/>
    <n v="1499.08"/>
    <n v="1160.28"/>
    <s v="EUR"/>
    <n v="338.79999999999995"/>
  </r>
  <r>
    <s v=".1~21"/>
    <n v="21"/>
    <s v="D2"/>
    <s v="01"/>
    <s v="08"/>
    <x v="3"/>
    <n v="2"/>
    <n v="8"/>
    <s v="1071"/>
    <s v="1"/>
    <s v="03S"/>
    <s v="South"/>
    <s v="16"/>
    <s v="DD-T01"/>
    <x v="0"/>
    <n v="60"/>
    <n v="60"/>
    <s v="ST"/>
    <n v="29.35"/>
    <n v="1761"/>
    <n v="1417.2"/>
    <s v="EUR"/>
    <n v="343.79999999999995"/>
  </r>
  <r>
    <s v=".1~22"/>
    <n v="22"/>
    <s v="D2"/>
    <s v="01"/>
    <s v="08"/>
    <x v="3"/>
    <n v="2"/>
    <n v="8"/>
    <s v="1067"/>
    <s v="1"/>
    <s v="03W"/>
    <s v="West"/>
    <s v="16"/>
    <s v="DD-T03"/>
    <x v="1"/>
    <n v="44"/>
    <n v="44"/>
    <s v="ST"/>
    <n v="34.07"/>
    <n v="1499.08"/>
    <n v="1160.28"/>
    <s v="EUR"/>
    <n v="338.79999999999995"/>
  </r>
  <r>
    <s v=".1~23"/>
    <n v="23"/>
    <s v="D2"/>
    <s v="01"/>
    <s v="08"/>
    <x v="3"/>
    <n v="2"/>
    <n v="8"/>
    <s v="1067"/>
    <s v="2"/>
    <s v="03W"/>
    <s v="West"/>
    <s v="16"/>
    <s v="DD-T04"/>
    <x v="2"/>
    <n v="19"/>
    <n v="19"/>
    <s v="ST"/>
    <n v="99.13"/>
    <n v="1883.47"/>
    <n v="1603.41"/>
    <s v="EUR"/>
    <n v="280.05999999999995"/>
  </r>
  <r>
    <s v=".1~24"/>
    <n v="24"/>
    <s v="D2"/>
    <s v="01"/>
    <s v="08"/>
    <x v="3"/>
    <n v="2"/>
    <n v="8"/>
    <s v="1064"/>
    <s v="1"/>
    <s v="03W"/>
    <s v="West"/>
    <s v="16"/>
    <s v="DD-T04"/>
    <x v="2"/>
    <n v="17"/>
    <n v="17"/>
    <s v="ST"/>
    <n v="99.13"/>
    <n v="1685.21"/>
    <n v="1434.63"/>
    <s v="EUR"/>
    <n v="250.57999999999993"/>
  </r>
  <r>
    <s v=".1~25"/>
    <n v="25"/>
    <s v="D2"/>
    <s v="01"/>
    <s v="09"/>
    <x v="4"/>
    <n v="2"/>
    <n v="9"/>
    <s v="1085"/>
    <s v="1"/>
    <s v="03N"/>
    <s v="North"/>
    <s v="16"/>
    <s v="DD-T01"/>
    <x v="0"/>
    <n v="54"/>
    <n v="54"/>
    <s v="ST"/>
    <n v="29.35"/>
    <n v="1584.9"/>
    <n v="1275.48"/>
    <s v="EUR"/>
    <n v="309.42000000000007"/>
  </r>
  <r>
    <s v=".1~26"/>
    <n v="26"/>
    <s v="D2"/>
    <s v="01"/>
    <s v="09"/>
    <x v="4"/>
    <n v="2"/>
    <n v="9"/>
    <s v="1081"/>
    <s v="1"/>
    <s v="03N"/>
    <s v="North"/>
    <s v="16"/>
    <s v="DD-T03"/>
    <x v="1"/>
    <n v="57"/>
    <n v="57"/>
    <s v="ST"/>
    <n v="34.07"/>
    <n v="1941.99"/>
    <n v="1503.09"/>
    <s v="EUR"/>
    <n v="438.90000000000009"/>
  </r>
  <r>
    <s v=".1~27"/>
    <n v="27"/>
    <s v="D2"/>
    <s v="01"/>
    <s v="09"/>
    <x v="4"/>
    <n v="2"/>
    <n v="9"/>
    <s v="1081"/>
    <s v="2"/>
    <s v="03N"/>
    <s v="North"/>
    <s v="16"/>
    <s v="DD-T05"/>
    <x v="4"/>
    <n v="26"/>
    <n v="26"/>
    <s v="ST"/>
    <n v="70.86"/>
    <n v="1842.36"/>
    <n v="1576.64"/>
    <s v="EUR"/>
    <n v="265.7199999999998"/>
  </r>
  <r>
    <s v=".1~28"/>
    <n v="28"/>
    <s v="D2"/>
    <s v="01"/>
    <s v="09"/>
    <x v="4"/>
    <n v="2"/>
    <n v="9"/>
    <s v="1088"/>
    <s v="3"/>
    <s v="03S"/>
    <s v="South"/>
    <s v="16"/>
    <s v="DD-T03"/>
    <x v="1"/>
    <n v="54"/>
    <n v="54"/>
    <s v="ST"/>
    <n v="34.07"/>
    <n v="1839.78"/>
    <n v="1423.98"/>
    <s v="EUR"/>
    <n v="415.79999999999995"/>
  </r>
  <r>
    <s v=".1~29"/>
    <n v="29"/>
    <s v="D2"/>
    <s v="01"/>
    <s v="09"/>
    <x v="4"/>
    <n v="2"/>
    <n v="9"/>
    <s v="1088"/>
    <s v="2"/>
    <s v="03S"/>
    <s v="South"/>
    <s v="16"/>
    <s v="DD-T03"/>
    <x v="1"/>
    <n v="56"/>
    <n v="56"/>
    <s v="ST"/>
    <n v="34.07"/>
    <n v="1907.92"/>
    <n v="1476.72"/>
    <s v="EUR"/>
    <n v="431.20000000000005"/>
  </r>
  <r>
    <s v=".1~30"/>
    <n v="30"/>
    <s v="D2"/>
    <s v="01"/>
    <s v="09"/>
    <x v="4"/>
    <n v="2"/>
    <n v="9"/>
    <s v="1088"/>
    <s v="1"/>
    <s v="03S"/>
    <s v="South"/>
    <s v="16"/>
    <s v="DD-T05"/>
    <x v="4"/>
    <n v="31"/>
    <n v="31"/>
    <s v="ST"/>
    <n v="70.86"/>
    <n v="2196.66"/>
    <n v="1879.84"/>
    <s v="EUR"/>
    <n v="316.81999999999994"/>
  </r>
  <r>
    <s v=".1~31"/>
    <n v="31"/>
    <s v="D2"/>
    <s v="01"/>
    <s v="09"/>
    <x v="4"/>
    <n v="2"/>
    <n v="9"/>
    <s v="1078"/>
    <s v="1"/>
    <s v="03W"/>
    <s v="West"/>
    <s v="16"/>
    <s v="DD-T04"/>
    <x v="2"/>
    <n v="23"/>
    <n v="23"/>
    <s v="ST"/>
    <n v="99.13"/>
    <n v="2279.9899999999998"/>
    <n v="1940.97"/>
    <s v="EUR"/>
    <n v="339.01999999999975"/>
  </r>
  <r>
    <s v=".1~32"/>
    <n v="32"/>
    <s v="D2"/>
    <s v="01"/>
    <s v="10"/>
    <x v="5"/>
    <n v="2"/>
    <n v="10"/>
    <s v="1093"/>
    <s v="2"/>
    <s v="03N"/>
    <s v="North"/>
    <s v="16"/>
    <s v="DD-T02"/>
    <x v="3"/>
    <n v="19"/>
    <n v="19"/>
    <s v="ST"/>
    <n v="85.38"/>
    <n v="1622.22"/>
    <n v="1387.57"/>
    <s v="EUR"/>
    <n v="234.65000000000009"/>
  </r>
  <r>
    <s v=".1~33"/>
    <n v="33"/>
    <s v="D2"/>
    <s v="01"/>
    <s v="10"/>
    <x v="5"/>
    <n v="2"/>
    <n v="10"/>
    <s v="1093"/>
    <s v="1"/>
    <s v="03N"/>
    <s v="North"/>
    <s v="16"/>
    <s v="DD-T05"/>
    <x v="4"/>
    <n v="6"/>
    <n v="6"/>
    <s v="ST"/>
    <n v="70.86"/>
    <n v="425.16"/>
    <n v="363.84"/>
    <s v="EUR"/>
    <n v="61.32000000000005"/>
  </r>
  <r>
    <s v=".1~34"/>
    <n v="34"/>
    <s v="D2"/>
    <s v="02"/>
    <s v="01"/>
    <x v="6"/>
    <n v="3"/>
    <n v="11"/>
    <s v="1110"/>
    <s v="2"/>
    <s v="03N"/>
    <s v="North"/>
    <s v="16"/>
    <s v="DD-T01"/>
    <x v="0"/>
    <n v="71"/>
    <n v="71"/>
    <s v="ST"/>
    <n v="29.35"/>
    <n v="2083.85"/>
    <n v="1677.02"/>
    <s v="EUR"/>
    <n v="406.82999999999993"/>
  </r>
  <r>
    <s v=".1~35"/>
    <n v="35"/>
    <s v="D2"/>
    <s v="02"/>
    <s v="01"/>
    <x v="6"/>
    <n v="3"/>
    <n v="11"/>
    <s v="1110"/>
    <s v="3"/>
    <s v="03N"/>
    <s v="North"/>
    <s v="16"/>
    <s v="DD-T01"/>
    <x v="0"/>
    <n v="7"/>
    <n v="7"/>
    <s v="ST"/>
    <n v="29.35"/>
    <n v="205.45"/>
    <n v="165.34"/>
    <s v="EUR"/>
    <n v="40.109999999999985"/>
  </r>
  <r>
    <s v=".1~36"/>
    <n v="36"/>
    <s v="D2"/>
    <s v="02"/>
    <s v="01"/>
    <x v="6"/>
    <n v="3"/>
    <n v="11"/>
    <s v="1117"/>
    <s v="1"/>
    <s v="03N"/>
    <s v="North"/>
    <s v="16"/>
    <s v="DD-T01"/>
    <x v="0"/>
    <n v="64"/>
    <n v="64"/>
    <s v="ST"/>
    <n v="29.35"/>
    <n v="1878.4"/>
    <n v="1511.68"/>
    <s v="EUR"/>
    <n v="366.72"/>
  </r>
  <r>
    <s v=".1~37"/>
    <n v="37"/>
    <s v="D2"/>
    <s v="02"/>
    <s v="01"/>
    <x v="6"/>
    <n v="3"/>
    <n v="11"/>
    <s v="1110"/>
    <s v="1"/>
    <s v="03N"/>
    <s v="North"/>
    <s v="16"/>
    <s v="DD-T05"/>
    <x v="4"/>
    <n v="22"/>
    <n v="22"/>
    <s v="ST"/>
    <n v="68.44"/>
    <n v="1505.68"/>
    <n v="1334.08"/>
    <s v="EUR"/>
    <n v="171.60000000000014"/>
  </r>
  <r>
    <s v=".1~38"/>
    <n v="38"/>
    <s v="D2"/>
    <s v="02"/>
    <s v="01"/>
    <x v="6"/>
    <n v="3"/>
    <n v="11"/>
    <s v="1114"/>
    <s v="1"/>
    <s v="03S"/>
    <s v="South"/>
    <s v="16"/>
    <s v="DD-T01"/>
    <x v="0"/>
    <n v="57"/>
    <n v="57"/>
    <s v="ST"/>
    <n v="29.35"/>
    <n v="1672.95"/>
    <n v="1346.34"/>
    <s v="EUR"/>
    <n v="326.61000000000013"/>
  </r>
  <r>
    <s v=".1~39"/>
    <n v="39"/>
    <s v="D2"/>
    <s v="02"/>
    <s v="01"/>
    <x v="6"/>
    <n v="3"/>
    <n v="11"/>
    <s v="1107"/>
    <s v="1"/>
    <s v="03W"/>
    <s v="West"/>
    <s v="16"/>
    <s v="DD-T01"/>
    <x v="0"/>
    <n v="51"/>
    <n v="51"/>
    <s v="ST"/>
    <n v="29.35"/>
    <n v="1496.85"/>
    <n v="1204.6199999999999"/>
    <s v="EUR"/>
    <n v="292.23"/>
  </r>
  <r>
    <s v=".1~40"/>
    <n v="40"/>
    <s v="D2"/>
    <s v="02"/>
    <s v="02"/>
    <x v="7"/>
    <n v="3"/>
    <n v="12"/>
    <s v="1127"/>
    <s v="1"/>
    <s v="03N"/>
    <s v="North"/>
    <s v="16"/>
    <s v="DD-T05"/>
    <x v="4"/>
    <n v="3"/>
    <n v="3"/>
    <s v="ST"/>
    <n v="68.44"/>
    <n v="205.32"/>
    <n v="182.25"/>
    <s v="EUR"/>
    <n v="23.069999999999993"/>
  </r>
  <r>
    <s v=".1~41"/>
    <n v="41"/>
    <s v="D2"/>
    <s v="02"/>
    <s v="02"/>
    <x v="7"/>
    <n v="3"/>
    <n v="12"/>
    <s v="1124"/>
    <s v="2"/>
    <s v="03S"/>
    <s v="South"/>
    <s v="16"/>
    <s v="DD-T02"/>
    <x v="3"/>
    <n v="28"/>
    <n v="28"/>
    <s v="ST"/>
    <n v="80.680000000000007"/>
    <n v="2259.04"/>
    <n v="2047.08"/>
    <s v="EUR"/>
    <n v="211.96000000000004"/>
  </r>
  <r>
    <s v=".1~42"/>
    <n v="42"/>
    <s v="D2"/>
    <s v="02"/>
    <s v="02"/>
    <x v="7"/>
    <n v="3"/>
    <n v="12"/>
    <s v="1130"/>
    <s v="1"/>
    <s v="03S"/>
    <s v="South"/>
    <s v="16"/>
    <s v="DD-T02"/>
    <x v="3"/>
    <n v="27"/>
    <n v="27"/>
    <s v="ST"/>
    <n v="80.680000000000007"/>
    <n v="2178.36"/>
    <n v="1973.97"/>
    <s v="EUR"/>
    <n v="204.3900000000001"/>
  </r>
  <r>
    <s v=".1~43"/>
    <n v="43"/>
    <s v="D2"/>
    <s v="02"/>
    <s v="02"/>
    <x v="7"/>
    <n v="3"/>
    <n v="12"/>
    <s v="1124"/>
    <s v="1"/>
    <s v="03S"/>
    <s v="South"/>
    <s v="16"/>
    <s v="DD-T03"/>
    <x v="1"/>
    <n v="63"/>
    <n v="63"/>
    <s v="ST"/>
    <n v="34.07"/>
    <n v="2146.41"/>
    <n v="1666.98"/>
    <s v="EUR"/>
    <n v="479.42999999999984"/>
  </r>
  <r>
    <s v=".1~44"/>
    <n v="44"/>
    <s v="D2"/>
    <s v="02"/>
    <s v="02"/>
    <x v="7"/>
    <n v="3"/>
    <n v="12"/>
    <s v="1124"/>
    <s v="3"/>
    <s v="03S"/>
    <s v="South"/>
    <s v="16"/>
    <s v="DD-T03"/>
    <x v="1"/>
    <n v="22"/>
    <n v="22"/>
    <s v="ST"/>
    <n v="34.07"/>
    <n v="749.54"/>
    <n v="582.12"/>
    <s v="EUR"/>
    <n v="167.41999999999996"/>
  </r>
  <r>
    <s v=".1~45"/>
    <n v="45"/>
    <s v="D2"/>
    <s v="02"/>
    <s v="03"/>
    <x v="8"/>
    <n v="3"/>
    <n v="13"/>
    <s v="1134"/>
    <s v="9"/>
    <s v="03N"/>
    <s v="North"/>
    <s v="16"/>
    <s v="DD-T01"/>
    <x v="0"/>
    <n v="56"/>
    <n v="56"/>
    <s v="ST"/>
    <n v="29.35"/>
    <n v="1643.6"/>
    <n v="1321.6"/>
    <s v="EUR"/>
    <n v="322"/>
  </r>
  <r>
    <s v=".1~46"/>
    <n v="46"/>
    <s v="D2"/>
    <s v="02"/>
    <s v="03"/>
    <x v="8"/>
    <n v="3"/>
    <n v="13"/>
    <s v="1134"/>
    <s v="4"/>
    <s v="03N"/>
    <s v="North"/>
    <s v="16"/>
    <s v="DD-T01"/>
    <x v="0"/>
    <n v="63"/>
    <n v="63"/>
    <s v="ST"/>
    <n v="29.35"/>
    <n v="1849.05"/>
    <n v="1486.8"/>
    <s v="EUR"/>
    <n v="362.25"/>
  </r>
  <r>
    <s v=".1~47"/>
    <n v="47"/>
    <s v="D2"/>
    <s v="02"/>
    <s v="03"/>
    <x v="8"/>
    <n v="3"/>
    <n v="13"/>
    <s v="1134"/>
    <s v="2"/>
    <s v="03N"/>
    <s v="North"/>
    <s v="16"/>
    <s v="DD-T01"/>
    <x v="0"/>
    <n v="83"/>
    <n v="83"/>
    <s v="ST"/>
    <n v="29.35"/>
    <n v="2436.0500000000002"/>
    <n v="1958.8"/>
    <s v="EUR"/>
    <n v="477.25000000000023"/>
  </r>
  <r>
    <s v=".1~48"/>
    <n v="48"/>
    <s v="D2"/>
    <s v="02"/>
    <s v="03"/>
    <x v="8"/>
    <n v="3"/>
    <n v="13"/>
    <s v="1134"/>
    <s v="1"/>
    <s v="03N"/>
    <s v="North"/>
    <s v="16"/>
    <s v="DD-T03"/>
    <x v="1"/>
    <n v="62"/>
    <n v="62"/>
    <s v="ST"/>
    <n v="34.07"/>
    <n v="2112.34"/>
    <n v="1640.52"/>
    <s v="EUR"/>
    <n v="471.82000000000016"/>
  </r>
  <r>
    <s v=".1~49"/>
    <n v="49"/>
    <s v="D2"/>
    <s v="02"/>
    <s v="03"/>
    <x v="8"/>
    <n v="3"/>
    <n v="13"/>
    <s v="1134"/>
    <s v="3"/>
    <s v="03N"/>
    <s v="North"/>
    <s v="16"/>
    <s v="DD-T05"/>
    <x v="4"/>
    <n v="23"/>
    <n v="23"/>
    <s v="ST"/>
    <n v="68.44"/>
    <n v="1574.12"/>
    <n v="1397.25"/>
    <s v="EUR"/>
    <n v="176.86999999999989"/>
  </r>
  <r>
    <s v=".1~50"/>
    <n v="50"/>
    <s v="D2"/>
    <s v="02"/>
    <s v="03"/>
    <x v="8"/>
    <n v="3"/>
    <n v="13"/>
    <s v="1142"/>
    <s v="3"/>
    <s v="03S"/>
    <s v="South"/>
    <s v="16"/>
    <s v="DD-T01"/>
    <x v="0"/>
    <n v="68"/>
    <n v="68"/>
    <s v="ST"/>
    <n v="29.35"/>
    <n v="1995.8"/>
    <n v="1604.8"/>
    <s v="EUR"/>
    <n v="391"/>
  </r>
  <r>
    <s v=".1~51"/>
    <n v="51"/>
    <s v="D2"/>
    <s v="02"/>
    <s v="03"/>
    <x v="8"/>
    <n v="3"/>
    <n v="13"/>
    <s v="1142"/>
    <s v="1"/>
    <s v="03S"/>
    <s v="South"/>
    <s v="16"/>
    <s v="DD-T03"/>
    <x v="1"/>
    <n v="65"/>
    <n v="65"/>
    <s v="ST"/>
    <n v="34.07"/>
    <n v="2214.5500000000002"/>
    <n v="1719.9"/>
    <s v="EUR"/>
    <n v="494.65000000000009"/>
  </r>
  <r>
    <s v=".1~52"/>
    <n v="52"/>
    <s v="D2"/>
    <s v="02"/>
    <s v="03"/>
    <x v="8"/>
    <n v="3"/>
    <n v="13"/>
    <s v="1142"/>
    <s v="2"/>
    <s v="03S"/>
    <s v="South"/>
    <s v="16"/>
    <s v="DD-T05"/>
    <x v="4"/>
    <n v="36"/>
    <n v="36"/>
    <s v="ST"/>
    <n v="68.44"/>
    <n v="2463.84"/>
    <n v="2187"/>
    <s v="EUR"/>
    <n v="276.84000000000015"/>
  </r>
  <r>
    <s v=".1~53"/>
    <n v="53"/>
    <s v="D2"/>
    <s v="02"/>
    <s v="03"/>
    <x v="8"/>
    <n v="3"/>
    <n v="13"/>
    <s v="1138"/>
    <s v="1"/>
    <s v="03W"/>
    <s v="West"/>
    <s v="16"/>
    <s v="DD-T01"/>
    <x v="0"/>
    <n v="50"/>
    <n v="50"/>
    <s v="ST"/>
    <n v="29.35"/>
    <n v="1467.5"/>
    <n v="1180"/>
    <s v="EUR"/>
    <n v="287.5"/>
  </r>
  <r>
    <s v=".1~54"/>
    <n v="54"/>
    <s v="D2"/>
    <s v="02"/>
    <s v="04"/>
    <x v="9"/>
    <n v="3"/>
    <n v="14"/>
    <s v="1157"/>
    <s v="2"/>
    <s v="03N"/>
    <s v="North"/>
    <s v="16"/>
    <s v="DD-T01"/>
    <x v="0"/>
    <n v="18"/>
    <n v="18"/>
    <s v="ST"/>
    <n v="29.35"/>
    <n v="528.29999999999995"/>
    <n v="424.8"/>
    <s v="EUR"/>
    <n v="103.49999999999994"/>
  </r>
  <r>
    <s v=".1~55"/>
    <n v="55"/>
    <s v="D2"/>
    <s v="02"/>
    <s v="04"/>
    <x v="9"/>
    <n v="3"/>
    <n v="14"/>
    <s v="1157"/>
    <s v="1"/>
    <s v="03N"/>
    <s v="North"/>
    <s v="16"/>
    <s v="DD-T02"/>
    <x v="3"/>
    <n v="29"/>
    <n v="29"/>
    <s v="ST"/>
    <n v="80.680000000000007"/>
    <n v="2339.7199999999998"/>
    <n v="2120.19"/>
    <s v="EUR"/>
    <n v="219.52999999999975"/>
  </r>
  <r>
    <s v=".1~56"/>
    <n v="56"/>
    <s v="D2"/>
    <s v="02"/>
    <s v="04"/>
    <x v="9"/>
    <n v="3"/>
    <n v="14"/>
    <s v="1152"/>
    <s v="2"/>
    <s v="03N"/>
    <s v="North"/>
    <s v="16"/>
    <s v="DD-T03"/>
    <x v="1"/>
    <n v="51"/>
    <n v="51"/>
    <s v="ST"/>
    <n v="34.07"/>
    <n v="1737.57"/>
    <n v="1349.46"/>
    <s v="EUR"/>
    <n v="388.1099999999999"/>
  </r>
  <r>
    <s v=".1~57"/>
    <n v="57"/>
    <s v="D2"/>
    <s v="02"/>
    <s v="04"/>
    <x v="9"/>
    <n v="3"/>
    <n v="14"/>
    <s v="1157"/>
    <s v="3"/>
    <s v="03N"/>
    <s v="North"/>
    <s v="16"/>
    <s v="DD-T05"/>
    <x v="4"/>
    <n v="6"/>
    <n v="6"/>
    <s v="ST"/>
    <n v="68.44"/>
    <n v="410.64"/>
    <n v="364.5"/>
    <s v="EUR"/>
    <n v="46.139999999999986"/>
  </r>
  <r>
    <s v=".1~58"/>
    <n v="58"/>
    <s v="D2"/>
    <s v="02"/>
    <s v="04"/>
    <x v="9"/>
    <n v="3"/>
    <n v="14"/>
    <s v="1152"/>
    <s v="1"/>
    <s v="03N"/>
    <s v="North"/>
    <s v="16"/>
    <s v="DD-T05"/>
    <x v="4"/>
    <n v="31"/>
    <n v="31"/>
    <s v="ST"/>
    <n v="68.44"/>
    <n v="2121.64"/>
    <n v="1883.25"/>
    <s v="EUR"/>
    <n v="238.38999999999987"/>
  </r>
  <r>
    <s v=".1~59"/>
    <n v="59"/>
    <s v="D2"/>
    <s v="02"/>
    <s v="04"/>
    <x v="9"/>
    <n v="3"/>
    <n v="14"/>
    <s v="1165"/>
    <s v="1"/>
    <s v="03S"/>
    <s v="South"/>
    <s v="16"/>
    <s v="DD-T03"/>
    <x v="1"/>
    <n v="62"/>
    <n v="62"/>
    <s v="ST"/>
    <n v="34.07"/>
    <n v="2112.34"/>
    <n v="1640.52"/>
    <s v="EUR"/>
    <n v="471.82000000000016"/>
  </r>
  <r>
    <s v=".1~60"/>
    <n v="60"/>
    <s v="D2"/>
    <s v="02"/>
    <s v="04"/>
    <x v="9"/>
    <n v="3"/>
    <n v="14"/>
    <s v="1167"/>
    <s v="1"/>
    <s v="03S"/>
    <s v="South"/>
    <s v="16"/>
    <s v="DD-T05"/>
    <x v="4"/>
    <n v="34"/>
    <n v="34"/>
    <s v="ST"/>
    <n v="68.44"/>
    <n v="2326.96"/>
    <n v="2065.5"/>
    <s v="EUR"/>
    <n v="261.46000000000004"/>
  </r>
  <r>
    <s v=".1~61"/>
    <n v="61"/>
    <s v="D2"/>
    <s v="02"/>
    <s v="04"/>
    <x v="9"/>
    <n v="3"/>
    <n v="14"/>
    <s v="1162"/>
    <s v="1"/>
    <s v="03W"/>
    <s v="West"/>
    <s v="16"/>
    <s v="DD-T04"/>
    <x v="2"/>
    <n v="17"/>
    <n v="17"/>
    <s v="ST"/>
    <n v="96.4"/>
    <n v="1638.8"/>
    <n v="1437.01"/>
    <s v="EUR"/>
    <n v="201.78999999999996"/>
  </r>
  <r>
    <s v=".1~62"/>
    <n v="62"/>
    <s v="D2"/>
    <s v="02"/>
    <s v="04"/>
    <x v="9"/>
    <n v="3"/>
    <n v="14"/>
    <s v="1147"/>
    <s v="1"/>
    <s v="03W"/>
    <s v="West"/>
    <s v="16"/>
    <s v="DD-T04"/>
    <x v="2"/>
    <n v="17"/>
    <n v="17"/>
    <s v="ST"/>
    <n v="96.4"/>
    <n v="1638.8"/>
    <n v="1437.01"/>
    <s v="EUR"/>
    <n v="201.78999999999996"/>
  </r>
  <r>
    <s v=".1~63"/>
    <n v="63"/>
    <s v="D2"/>
    <s v="02"/>
    <s v="05"/>
    <x v="10"/>
    <n v="3"/>
    <n v="15"/>
    <s v="1173"/>
    <s v="1"/>
    <s v="03N"/>
    <s v="North"/>
    <s v="16"/>
    <s v="DD-T01"/>
    <x v="0"/>
    <n v="64"/>
    <n v="64"/>
    <s v="ST"/>
    <n v="29.35"/>
    <n v="1878.4"/>
    <n v="1510.4"/>
    <s v="EUR"/>
    <n v="368"/>
  </r>
  <r>
    <s v=".1~64"/>
    <n v="64"/>
    <s v="D2"/>
    <s v="02"/>
    <s v="05"/>
    <x v="10"/>
    <n v="3"/>
    <n v="15"/>
    <s v="1176"/>
    <s v="1"/>
    <s v="03N"/>
    <s v="North"/>
    <s v="16"/>
    <s v="DD-T03"/>
    <x v="1"/>
    <n v="60"/>
    <n v="60"/>
    <s v="ST"/>
    <n v="34.07"/>
    <n v="2044.2"/>
    <n v="1587.6"/>
    <s v="EUR"/>
    <n v="456.60000000000014"/>
  </r>
  <r>
    <s v=".1~65"/>
    <n v="65"/>
    <s v="D2"/>
    <s v="02"/>
    <s v="05"/>
    <x v="10"/>
    <n v="3"/>
    <n v="15"/>
    <s v="1173"/>
    <s v="2"/>
    <s v="03N"/>
    <s v="North"/>
    <s v="16"/>
    <s v="DD-T04"/>
    <x v="2"/>
    <n v="21"/>
    <n v="21"/>
    <s v="ST"/>
    <n v="96.4"/>
    <n v="2024.4"/>
    <n v="1775.13"/>
    <s v="EUR"/>
    <n v="249.26999999999998"/>
  </r>
  <r>
    <s v=".1~66"/>
    <n v="66"/>
    <s v="D2"/>
    <s v="02"/>
    <s v="05"/>
    <x v="10"/>
    <n v="3"/>
    <n v="15"/>
    <s v="1186"/>
    <s v="1"/>
    <s v="03S"/>
    <s v="South"/>
    <s v="16"/>
    <s v="DD-T03"/>
    <x v="1"/>
    <n v="53"/>
    <n v="53"/>
    <s v="ST"/>
    <n v="34.07"/>
    <n v="1805.71"/>
    <n v="1402.38"/>
    <s v="EUR"/>
    <n v="403.32999999999993"/>
  </r>
  <r>
    <s v=".1~67"/>
    <n v="67"/>
    <s v="D2"/>
    <s v="02"/>
    <s v="05"/>
    <x v="10"/>
    <n v="3"/>
    <n v="15"/>
    <s v="1191"/>
    <s v="1"/>
    <s v="03S"/>
    <s v="South"/>
    <s v="16"/>
    <s v="DD-T04"/>
    <x v="2"/>
    <n v="23"/>
    <n v="23"/>
    <s v="ST"/>
    <n v="96.4"/>
    <n v="2217.1999999999998"/>
    <n v="1944.19"/>
    <s v="EUR"/>
    <n v="273.00999999999976"/>
  </r>
  <r>
    <s v=".1~68"/>
    <n v="68"/>
    <s v="D2"/>
    <s v="02"/>
    <s v="05"/>
    <x v="10"/>
    <n v="3"/>
    <n v="15"/>
    <s v="1191"/>
    <s v="2"/>
    <s v="03S"/>
    <s v="South"/>
    <s v="16"/>
    <s v="DD-T05"/>
    <x v="4"/>
    <n v="36"/>
    <n v="36"/>
    <s v="ST"/>
    <n v="68.44"/>
    <n v="2463.84"/>
    <n v="2187"/>
    <s v="EUR"/>
    <n v="276.84000000000015"/>
  </r>
  <r>
    <s v=".1~69"/>
    <n v="69"/>
    <s v="D2"/>
    <s v="02"/>
    <s v="05"/>
    <x v="10"/>
    <n v="3"/>
    <n v="15"/>
    <s v="1181"/>
    <s v="1"/>
    <s v="03W"/>
    <s v="West"/>
    <s v="16"/>
    <s v="DD-T04"/>
    <x v="2"/>
    <n v="25"/>
    <n v="25"/>
    <s v="ST"/>
    <n v="96.4"/>
    <n v="2410"/>
    <n v="2113.25"/>
    <s v="EUR"/>
    <n v="296.75"/>
  </r>
  <r>
    <s v=".1~70"/>
    <n v="70"/>
    <s v="D2"/>
    <s v="02"/>
    <s v="05"/>
    <x v="10"/>
    <n v="3"/>
    <n v="15"/>
    <s v="1181"/>
    <s v="2"/>
    <s v="03W"/>
    <s v="West"/>
    <s v="16"/>
    <s v="DD-T04"/>
    <x v="2"/>
    <n v="24"/>
    <n v="24"/>
    <s v="ST"/>
    <n v="96.4"/>
    <n v="2313.6"/>
    <n v="2028.72"/>
    <s v="EUR"/>
    <n v="284.87999999999988"/>
  </r>
  <r>
    <s v=".1~71"/>
    <n v="71"/>
    <s v="D2"/>
    <s v="02"/>
    <s v="06"/>
    <x v="11"/>
    <n v="4"/>
    <n v="16"/>
    <s v="1207"/>
    <s v="2"/>
    <s v="03N"/>
    <s v="North"/>
    <s v="16"/>
    <s v="DD-T01"/>
    <x v="0"/>
    <n v="73"/>
    <n v="73"/>
    <s v="ST"/>
    <n v="29.35"/>
    <n v="2142.5500000000002"/>
    <n v="1719.88"/>
    <s v="EUR"/>
    <n v="422.67000000000007"/>
  </r>
  <r>
    <s v=".1~72"/>
    <n v="72"/>
    <s v="D2"/>
    <s v="02"/>
    <s v="06"/>
    <x v="11"/>
    <n v="4"/>
    <n v="16"/>
    <s v="1207"/>
    <s v="4"/>
    <s v="03N"/>
    <s v="North"/>
    <s v="16"/>
    <s v="DD-T01"/>
    <x v="0"/>
    <n v="27"/>
    <n v="27"/>
    <s v="ST"/>
    <n v="29.35"/>
    <n v="792.45"/>
    <n v="636.12"/>
    <s v="EUR"/>
    <n v="156.33000000000004"/>
  </r>
  <r>
    <s v=".1~73"/>
    <n v="73"/>
    <s v="D2"/>
    <s v="02"/>
    <s v="06"/>
    <x v="11"/>
    <n v="4"/>
    <n v="16"/>
    <s v="1202"/>
    <s v="1"/>
    <s v="03N"/>
    <s v="North"/>
    <s v="16"/>
    <s v="DD-T01"/>
    <x v="0"/>
    <n v="56"/>
    <n v="56"/>
    <s v="ST"/>
    <n v="29.35"/>
    <n v="1643.6"/>
    <n v="1319.36"/>
    <s v="EUR"/>
    <n v="324.24"/>
  </r>
  <r>
    <s v=".1~74"/>
    <n v="74"/>
    <s v="D2"/>
    <s v="02"/>
    <s v="06"/>
    <x v="11"/>
    <n v="4"/>
    <n v="16"/>
    <s v="1202"/>
    <s v="3"/>
    <s v="03N"/>
    <s v="North"/>
    <s v="16"/>
    <s v="DD-T03"/>
    <x v="1"/>
    <n v="60"/>
    <n v="60"/>
    <s v="ST"/>
    <n v="34.07"/>
    <n v="2044.2"/>
    <n v="1588.2"/>
    <s v="EUR"/>
    <n v="456"/>
  </r>
  <r>
    <s v=".1~75"/>
    <n v="75"/>
    <s v="D2"/>
    <s v="02"/>
    <s v="06"/>
    <x v="11"/>
    <n v="4"/>
    <n v="16"/>
    <s v="1207"/>
    <s v="3"/>
    <s v="03N"/>
    <s v="North"/>
    <s v="16"/>
    <s v="DD-T05"/>
    <x v="4"/>
    <n v="31"/>
    <n v="31"/>
    <s v="ST"/>
    <n v="68.44"/>
    <n v="2121.64"/>
    <n v="1889.76"/>
    <s v="EUR"/>
    <n v="231.87999999999988"/>
  </r>
  <r>
    <s v=".1~76"/>
    <n v="76"/>
    <s v="D2"/>
    <s v="02"/>
    <s v="06"/>
    <x v="11"/>
    <n v="4"/>
    <n v="16"/>
    <s v="1207"/>
    <s v="1"/>
    <s v="03N"/>
    <s v="North"/>
    <s v="16"/>
    <s v="DD-T06"/>
    <x v="5"/>
    <n v="23"/>
    <n v="23"/>
    <s v="ST"/>
    <n v="50"/>
    <n v="1150"/>
    <n v="1006.94"/>
    <s v="EUR"/>
    <n v="143.05999999999995"/>
  </r>
  <r>
    <s v=".1~77"/>
    <n v="77"/>
    <s v="D2"/>
    <s v="02"/>
    <s v="06"/>
    <x v="11"/>
    <n v="4"/>
    <n v="16"/>
    <s v="1202"/>
    <s v="2"/>
    <s v="03N"/>
    <s v="North"/>
    <s v="16"/>
    <s v="DD-T06"/>
    <x v="5"/>
    <n v="47"/>
    <n v="47"/>
    <s v="ST"/>
    <n v="50"/>
    <n v="2350"/>
    <n v="2057.66"/>
    <s v="EUR"/>
    <n v="292.34000000000015"/>
  </r>
  <r>
    <s v=".1~78"/>
    <n v="78"/>
    <s v="D2"/>
    <s v="02"/>
    <s v="06"/>
    <x v="11"/>
    <n v="4"/>
    <n v="16"/>
    <s v="1211"/>
    <s v="1"/>
    <s v="03S"/>
    <s v="South"/>
    <s v="16"/>
    <s v="DD-T02"/>
    <x v="3"/>
    <n v="19"/>
    <n v="19"/>
    <s v="ST"/>
    <n v="80.680000000000007"/>
    <n v="1532.92"/>
    <n v="1391.75"/>
    <s v="EUR"/>
    <n v="141.17000000000007"/>
  </r>
  <r>
    <s v=".1~79"/>
    <n v="79"/>
    <s v="D2"/>
    <s v="02"/>
    <s v="06"/>
    <x v="11"/>
    <n v="4"/>
    <n v="16"/>
    <s v="1211"/>
    <s v="5"/>
    <s v="03S"/>
    <s v="South"/>
    <s v="16"/>
    <s v="DD-T03"/>
    <x v="1"/>
    <n v="44"/>
    <n v="44"/>
    <s v="ST"/>
    <n v="34.07"/>
    <n v="1499.08"/>
    <n v="1164.68"/>
    <s v="EUR"/>
    <n v="334.39999999999986"/>
  </r>
  <r>
    <s v=".1~80"/>
    <n v="80"/>
    <s v="D2"/>
    <s v="02"/>
    <s v="06"/>
    <x v="11"/>
    <n v="4"/>
    <n v="16"/>
    <s v="1211"/>
    <s v="6"/>
    <s v="03S"/>
    <s v="South"/>
    <s v="16"/>
    <s v="DD-T03"/>
    <x v="1"/>
    <n v="4"/>
    <n v="4"/>
    <s v="ST"/>
    <n v="34.07"/>
    <n v="136.28"/>
    <n v="105.88"/>
    <s v="EUR"/>
    <n v="30.400000000000006"/>
  </r>
  <r>
    <s v=".1~81"/>
    <n v="81"/>
    <s v="D2"/>
    <s v="02"/>
    <s v="06"/>
    <x v="11"/>
    <n v="4"/>
    <n v="16"/>
    <s v="1211"/>
    <s v="2"/>
    <s v="03S"/>
    <s v="South"/>
    <s v="16"/>
    <s v="DD-T06"/>
    <x v="5"/>
    <n v="35"/>
    <n v="35"/>
    <s v="ST"/>
    <n v="50"/>
    <n v="1750"/>
    <n v="1532.3"/>
    <s v="EUR"/>
    <n v="217.70000000000005"/>
  </r>
  <r>
    <s v=".1~82"/>
    <n v="82"/>
    <s v="D2"/>
    <s v="02"/>
    <s v="07"/>
    <x v="12"/>
    <n v="4"/>
    <n v="17"/>
    <s v="1223"/>
    <s v="1"/>
    <s v="03S"/>
    <s v="South"/>
    <s v="16"/>
    <s v="DD-T03"/>
    <x v="1"/>
    <n v="68"/>
    <n v="68"/>
    <s v="ST"/>
    <n v="34.07"/>
    <n v="2316.7600000000002"/>
    <n v="1799.96"/>
    <s v="EUR"/>
    <n v="516.80000000000018"/>
  </r>
  <r>
    <s v=".1~83"/>
    <n v="83"/>
    <s v="D2"/>
    <s v="02"/>
    <s v="07"/>
    <x v="12"/>
    <n v="4"/>
    <n v="17"/>
    <s v="1223"/>
    <s v="2"/>
    <s v="03S"/>
    <s v="South"/>
    <s v="16"/>
    <s v="DD-T05"/>
    <x v="4"/>
    <n v="28"/>
    <n v="28"/>
    <s v="ST"/>
    <n v="68.44"/>
    <n v="1916.32"/>
    <n v="1706.88"/>
    <s v="EUR"/>
    <n v="209.43999999999983"/>
  </r>
  <r>
    <s v=".1~84"/>
    <n v="84"/>
    <s v="D2"/>
    <s v="02"/>
    <s v="07"/>
    <x v="12"/>
    <n v="4"/>
    <n v="17"/>
    <s v="1219"/>
    <s v="1"/>
    <s v="03W"/>
    <s v="West"/>
    <s v="16"/>
    <s v="DD-T04"/>
    <x v="2"/>
    <n v="23"/>
    <n v="23"/>
    <s v="ST"/>
    <n v="96.4"/>
    <n v="2217.1999999999998"/>
    <n v="1944.65"/>
    <s v="EUR"/>
    <n v="272.54999999999973"/>
  </r>
  <r>
    <s v=".1~85"/>
    <n v="85"/>
    <s v="D2"/>
    <s v="02"/>
    <s v="07"/>
    <x v="12"/>
    <n v="4"/>
    <n v="17"/>
    <s v="1219"/>
    <s v="2"/>
    <s v="03W"/>
    <s v="West"/>
    <s v="16"/>
    <s v="DD-T06"/>
    <x v="5"/>
    <n v="33"/>
    <n v="33"/>
    <s v="ST"/>
    <n v="50"/>
    <n v="1650"/>
    <n v="1444.74"/>
    <s v="EUR"/>
    <n v="205.26"/>
  </r>
  <r>
    <s v=".1~86"/>
    <n v="86"/>
    <s v="D2"/>
    <s v="02"/>
    <s v="08"/>
    <x v="13"/>
    <n v="4"/>
    <n v="18"/>
    <s v="1241"/>
    <s v="2"/>
    <s v="03N"/>
    <s v="North"/>
    <s v="16"/>
    <s v="DD-T01"/>
    <x v="0"/>
    <n v="77"/>
    <n v="77"/>
    <s v="ST"/>
    <n v="29.35"/>
    <n v="2259.9499999999998"/>
    <n v="1814.12"/>
    <s v="EUR"/>
    <n v="445.82999999999993"/>
  </r>
  <r>
    <s v=".1~87"/>
    <n v="87"/>
    <s v="D2"/>
    <s v="02"/>
    <s v="08"/>
    <x v="13"/>
    <n v="4"/>
    <n v="18"/>
    <s v="1236"/>
    <s v="1"/>
    <s v="03N"/>
    <s v="North"/>
    <s v="16"/>
    <s v="DD-T01"/>
    <x v="0"/>
    <n v="56"/>
    <n v="56"/>
    <s v="ST"/>
    <n v="29.35"/>
    <n v="1643.6"/>
    <n v="1319.36"/>
    <s v="EUR"/>
    <n v="324.24"/>
  </r>
  <r>
    <s v=".1~88"/>
    <n v="88"/>
    <s v="D2"/>
    <s v="02"/>
    <s v="08"/>
    <x v="13"/>
    <n v="4"/>
    <n v="18"/>
    <s v="1241"/>
    <s v="3"/>
    <s v="03N"/>
    <s v="North"/>
    <s v="16"/>
    <s v="DD-T02"/>
    <x v="3"/>
    <n v="18"/>
    <n v="18"/>
    <s v="ST"/>
    <n v="80.680000000000007"/>
    <n v="1452.24"/>
    <n v="1318.5"/>
    <s v="EUR"/>
    <n v="133.74"/>
  </r>
  <r>
    <s v=".1~89"/>
    <n v="89"/>
    <s v="D2"/>
    <s v="02"/>
    <s v="08"/>
    <x v="13"/>
    <n v="4"/>
    <n v="18"/>
    <s v="1236"/>
    <s v="2"/>
    <s v="03N"/>
    <s v="North"/>
    <s v="16"/>
    <s v="DD-T03"/>
    <x v="1"/>
    <n v="65"/>
    <n v="65"/>
    <s v="ST"/>
    <n v="34.07"/>
    <n v="2214.5500000000002"/>
    <n v="1720.55"/>
    <s v="EUR"/>
    <n v="494.00000000000023"/>
  </r>
  <r>
    <s v=".1~90"/>
    <n v="90"/>
    <s v="D2"/>
    <s v="02"/>
    <s v="08"/>
    <x v="13"/>
    <n v="4"/>
    <n v="18"/>
    <s v="1241"/>
    <s v="1"/>
    <s v="03N"/>
    <s v="North"/>
    <s v="16"/>
    <s v="DD-T06"/>
    <x v="5"/>
    <n v="41"/>
    <n v="41"/>
    <s v="ST"/>
    <n v="50"/>
    <n v="2050"/>
    <n v="1794.98"/>
    <s v="EUR"/>
    <n v="255.01999999999998"/>
  </r>
  <r>
    <s v=".1~91"/>
    <n v="91"/>
    <s v="D2"/>
    <s v="02"/>
    <s v="08"/>
    <x v="13"/>
    <n v="4"/>
    <n v="18"/>
    <s v="1252"/>
    <s v="1"/>
    <s v="03S"/>
    <s v="South"/>
    <s v="16"/>
    <s v="DD-T03"/>
    <x v="1"/>
    <n v="27"/>
    <n v="27"/>
    <s v="ST"/>
    <n v="34.07"/>
    <n v="919.89"/>
    <n v="714.69"/>
    <s v="EUR"/>
    <n v="205.19999999999993"/>
  </r>
  <r>
    <s v=".1~92"/>
    <n v="92"/>
    <s v="D2"/>
    <s v="02"/>
    <s v="08"/>
    <x v="13"/>
    <n v="4"/>
    <n v="18"/>
    <s v="1255"/>
    <s v="1"/>
    <s v="03S"/>
    <s v="South"/>
    <s v="16"/>
    <s v="DD-T05"/>
    <x v="4"/>
    <n v="28"/>
    <n v="28"/>
    <s v="ST"/>
    <n v="68.44"/>
    <n v="1916.32"/>
    <n v="1706.88"/>
    <s v="EUR"/>
    <n v="209.43999999999983"/>
  </r>
  <r>
    <s v=".1~93"/>
    <n v="93"/>
    <s v="D2"/>
    <s v="02"/>
    <s v="08"/>
    <x v="13"/>
    <n v="4"/>
    <n v="18"/>
    <s v="1246"/>
    <s v="3"/>
    <s v="03W"/>
    <s v="West"/>
    <s v="16"/>
    <s v="DD-T01"/>
    <x v="0"/>
    <n v="50"/>
    <n v="50"/>
    <s v="ST"/>
    <n v="29.35"/>
    <n v="1467.5"/>
    <n v="1178"/>
    <s v="EUR"/>
    <n v="289.5"/>
  </r>
  <r>
    <s v=".1~94"/>
    <n v="94"/>
    <s v="D2"/>
    <s v="02"/>
    <s v="08"/>
    <x v="13"/>
    <n v="4"/>
    <n v="18"/>
    <s v="1246"/>
    <s v="1"/>
    <s v="03W"/>
    <s v="West"/>
    <s v="16"/>
    <s v="DD-T03"/>
    <x v="1"/>
    <n v="55"/>
    <n v="55"/>
    <s v="ST"/>
    <n v="34.07"/>
    <n v="1873.85"/>
    <n v="1455.85"/>
    <s v="EUR"/>
    <n v="418"/>
  </r>
  <r>
    <s v=".1~95"/>
    <n v="95"/>
    <s v="D2"/>
    <s v="02"/>
    <s v="08"/>
    <x v="13"/>
    <n v="4"/>
    <n v="18"/>
    <s v="1246"/>
    <s v="2"/>
    <s v="03W"/>
    <s v="West"/>
    <s v="16"/>
    <s v="DD-T04"/>
    <x v="2"/>
    <n v="24"/>
    <n v="24"/>
    <s v="ST"/>
    <n v="96.4"/>
    <n v="2313.6"/>
    <n v="2029.2"/>
    <s v="EUR"/>
    <n v="284.39999999999986"/>
  </r>
  <r>
    <s v=".1~96"/>
    <n v="96"/>
    <s v="D2"/>
    <s v="02"/>
    <s v="09"/>
    <x v="14"/>
    <n v="4"/>
    <n v="19"/>
    <s v="1267"/>
    <s v="1"/>
    <s v="03N"/>
    <s v="North"/>
    <s v="16"/>
    <s v="DD-T01"/>
    <x v="0"/>
    <n v="13"/>
    <n v="13"/>
    <s v="ST"/>
    <n v="29.35"/>
    <n v="381.55"/>
    <n v="306.27999999999997"/>
    <s v="EUR"/>
    <n v="75.270000000000039"/>
  </r>
  <r>
    <s v=".1~97"/>
    <n v="97"/>
    <s v="D2"/>
    <s v="02"/>
    <s v="09"/>
    <x v="14"/>
    <n v="4"/>
    <n v="19"/>
    <s v="1272"/>
    <s v="1"/>
    <s v="03N"/>
    <s v="North"/>
    <s v="16"/>
    <s v="DD-T06"/>
    <x v="5"/>
    <n v="19"/>
    <n v="19"/>
    <s v="ST"/>
    <n v="50"/>
    <n v="950"/>
    <n v="831.82"/>
    <s v="EUR"/>
    <n v="118.17999999999995"/>
  </r>
  <r>
    <s v=".1~98"/>
    <n v="98"/>
    <s v="D2"/>
    <s v="02"/>
    <s v="09"/>
    <x v="14"/>
    <n v="4"/>
    <n v="19"/>
    <s v="1275"/>
    <s v="2"/>
    <s v="03S"/>
    <s v="South"/>
    <s v="16"/>
    <s v="DD-T02"/>
    <x v="3"/>
    <n v="25"/>
    <n v="25"/>
    <s v="ST"/>
    <n v="80.680000000000007"/>
    <n v="2017"/>
    <n v="1831.25"/>
    <s v="EUR"/>
    <n v="185.75"/>
  </r>
  <r>
    <s v=".1~99"/>
    <n v="99"/>
    <s v="D2"/>
    <s v="02"/>
    <s v="09"/>
    <x v="14"/>
    <n v="4"/>
    <n v="19"/>
    <s v="1275"/>
    <s v="1"/>
    <s v="03S"/>
    <s v="South"/>
    <s v="16"/>
    <s v="DD-T03"/>
    <x v="1"/>
    <n v="48"/>
    <n v="48"/>
    <s v="ST"/>
    <n v="34.07"/>
    <n v="1635.36"/>
    <n v="1270.56"/>
    <s v="EUR"/>
    <n v="364.79999999999995"/>
  </r>
  <r>
    <s v=".1~100"/>
    <n v="100"/>
    <s v="D2"/>
    <s v="02"/>
    <s v="09"/>
    <x v="14"/>
    <n v="4"/>
    <n v="19"/>
    <s v="1275"/>
    <s v="3"/>
    <s v="03S"/>
    <s v="South"/>
    <s v="16"/>
    <s v="DD-T03"/>
    <x v="1"/>
    <n v="22"/>
    <n v="22"/>
    <s v="ST"/>
    <n v="34.07"/>
    <n v="749.54"/>
    <n v="582.34"/>
    <s v="EUR"/>
    <n v="167.19999999999993"/>
  </r>
  <r>
    <s v=".1~101"/>
    <n v="101"/>
    <s v="D2"/>
    <s v="02"/>
    <s v="09"/>
    <x v="14"/>
    <n v="4"/>
    <n v="19"/>
    <s v="1275"/>
    <s v="7"/>
    <s v="03S"/>
    <s v="South"/>
    <s v="16"/>
    <s v="DD-T03"/>
    <x v="1"/>
    <n v="53"/>
    <n v="53"/>
    <s v="ST"/>
    <n v="34.07"/>
    <n v="1805.71"/>
    <n v="1402.91"/>
    <s v="EUR"/>
    <n v="402.79999999999995"/>
  </r>
  <r>
    <s v=".1~102"/>
    <n v="102"/>
    <s v="D2"/>
    <s v="02"/>
    <s v="09"/>
    <x v="14"/>
    <n v="4"/>
    <n v="19"/>
    <s v="1263"/>
    <s v="1"/>
    <s v="03W"/>
    <s v="West"/>
    <s v="16"/>
    <s v="DD-T04"/>
    <x v="2"/>
    <n v="25"/>
    <n v="25"/>
    <s v="ST"/>
    <n v="96.4"/>
    <n v="2410"/>
    <n v="2113.75"/>
    <s v="EUR"/>
    <n v="296.25"/>
  </r>
  <r>
    <s v=".1~103"/>
    <n v="103"/>
    <s v="D2"/>
    <s v="02"/>
    <s v="09"/>
    <x v="14"/>
    <n v="4"/>
    <n v="19"/>
    <s v="1258"/>
    <s v="1"/>
    <s v="03W"/>
    <s v="West"/>
    <s v="16"/>
    <s v="DD-T05"/>
    <x v="4"/>
    <n v="35"/>
    <n v="35"/>
    <s v="ST"/>
    <n v="68.44"/>
    <n v="2395.4"/>
    <n v="2133.6"/>
    <s v="EUR"/>
    <n v="261.80000000000018"/>
  </r>
  <r>
    <s v=".1~104"/>
    <n v="104"/>
    <s v="D2"/>
    <s v="02"/>
    <s v="10"/>
    <x v="15"/>
    <n v="4"/>
    <n v="20"/>
    <s v="1283"/>
    <s v="1"/>
    <s v="03S"/>
    <s v="South"/>
    <s v="16"/>
    <s v="DD-T03"/>
    <x v="1"/>
    <n v="27"/>
    <n v="27"/>
    <s v="ST"/>
    <n v="34.07"/>
    <n v="919.89"/>
    <n v="714.69"/>
    <s v="EUR"/>
    <n v="205.19999999999993"/>
  </r>
  <r>
    <s v=".1~105"/>
    <n v="105"/>
    <s v="D2"/>
    <s v="02"/>
    <s v="10"/>
    <x v="15"/>
    <n v="4"/>
    <n v="20"/>
    <s v="1279"/>
    <s v="1"/>
    <s v="03W"/>
    <s v="West"/>
    <s v="16"/>
    <s v="DD-T01"/>
    <x v="0"/>
    <n v="50"/>
    <n v="50"/>
    <s v="ST"/>
    <n v="29.35"/>
    <n v="1467.5"/>
    <n v="1178"/>
    <s v="EUR"/>
    <n v="289.5"/>
  </r>
  <r>
    <s v=".1~106"/>
    <n v="106"/>
    <s v="D2"/>
    <s v="03"/>
    <s v="01"/>
    <x v="16"/>
    <n v="5"/>
    <n v="21"/>
    <s v="1298"/>
    <s v="1"/>
    <s v="03S"/>
    <s v="South"/>
    <s v="16"/>
    <s v="DD-T05"/>
    <x v="4"/>
    <n v="33"/>
    <n v="33"/>
    <s v="ST"/>
    <n v="68.44"/>
    <n v="2258.52"/>
    <n v="2011.68"/>
    <s v="EUR"/>
    <n v="246.83999999999992"/>
  </r>
  <r>
    <s v=".1~107"/>
    <n v="107"/>
    <s v="D2"/>
    <s v="03"/>
    <s v="01"/>
    <x v="16"/>
    <n v="5"/>
    <n v="21"/>
    <s v="1293"/>
    <s v="1"/>
    <s v="03W"/>
    <s v="West"/>
    <s v="16"/>
    <s v="DD-T04"/>
    <x v="2"/>
    <n v="23"/>
    <n v="23"/>
    <s v="ST"/>
    <n v="96.4"/>
    <n v="2217.1999999999998"/>
    <n v="1944.65"/>
    <s v="EUR"/>
    <n v="272.54999999999973"/>
  </r>
  <r>
    <s v=".1~108"/>
    <n v="108"/>
    <s v="D2"/>
    <s v="03"/>
    <s v="02"/>
    <x v="17"/>
    <n v="5"/>
    <n v="22"/>
    <s v="1323"/>
    <s v="1"/>
    <s v="03N"/>
    <s v="North"/>
    <s v="16"/>
    <s v="DD-T01"/>
    <x v="0"/>
    <n v="1"/>
    <n v="1"/>
    <s v="ST"/>
    <n v="29.35"/>
    <n v="29.35"/>
    <n v="23.47"/>
    <s v="EUR"/>
    <n v="5.8800000000000026"/>
  </r>
  <r>
    <s v=".1~109"/>
    <n v="109"/>
    <s v="D2"/>
    <s v="03"/>
    <s v="02"/>
    <x v="17"/>
    <n v="5"/>
    <n v="22"/>
    <s v="1325"/>
    <s v="1"/>
    <s v="03S"/>
    <s v="South"/>
    <s v="16"/>
    <s v="DD-T02"/>
    <x v="3"/>
    <n v="7"/>
    <n v="7"/>
    <s v="ST"/>
    <n v="80.680000000000007"/>
    <n v="564.76"/>
    <n v="512.82000000000005"/>
    <s v="EUR"/>
    <n v="51.939999999999941"/>
  </r>
  <r>
    <s v=".1~110"/>
    <n v="110"/>
    <s v="D2"/>
    <s v="03"/>
    <s v="02"/>
    <x v="17"/>
    <n v="5"/>
    <n v="22"/>
    <s v="1318"/>
    <s v="2"/>
    <s v="03S"/>
    <s v="South"/>
    <s v="16"/>
    <s v="DD-T02"/>
    <x v="3"/>
    <n v="14"/>
    <n v="14"/>
    <s v="ST"/>
    <n v="80.680000000000007"/>
    <n v="1129.52"/>
    <n v="1025.6400000000001"/>
    <s v="EUR"/>
    <n v="103.87999999999988"/>
  </r>
  <r>
    <s v=".1~111"/>
    <n v="111"/>
    <s v="D2"/>
    <s v="03"/>
    <s v="02"/>
    <x v="17"/>
    <n v="5"/>
    <n v="22"/>
    <s v="1318"/>
    <s v="1"/>
    <s v="03S"/>
    <s v="South"/>
    <s v="16"/>
    <s v="DD-T03"/>
    <x v="1"/>
    <n v="56"/>
    <n v="56"/>
    <s v="ST"/>
    <n v="32.76"/>
    <n v="1834.56"/>
    <n v="1476.16"/>
    <s v="EUR"/>
    <n v="358.39999999999986"/>
  </r>
  <r>
    <s v=".1~112"/>
    <n v="112"/>
    <s v="D2"/>
    <s v="03"/>
    <s v="02"/>
    <x v="17"/>
    <n v="5"/>
    <n v="22"/>
    <s v="1325"/>
    <s v="2"/>
    <s v="03S"/>
    <s v="South"/>
    <s v="16"/>
    <s v="DD-T05"/>
    <x v="4"/>
    <n v="30"/>
    <n v="30"/>
    <s v="ST"/>
    <n v="68.44"/>
    <n v="2053.1999999999998"/>
    <n v="1827.9"/>
    <s v="EUR"/>
    <n v="225.29999999999973"/>
  </r>
  <r>
    <s v=".1~113"/>
    <n v="113"/>
    <s v="D2"/>
    <s v="03"/>
    <s v="03"/>
    <x v="18"/>
    <n v="5"/>
    <n v="23"/>
    <s v="1333"/>
    <s v="2"/>
    <s v="03N"/>
    <s v="North"/>
    <s v="16"/>
    <s v="DD-T01"/>
    <x v="0"/>
    <n v="71"/>
    <n v="71"/>
    <s v="ST"/>
    <n v="29.35"/>
    <n v="2083.85"/>
    <n v="1666.37"/>
    <s v="EUR"/>
    <n v="417.48"/>
  </r>
  <r>
    <s v=".1~114"/>
    <n v="114"/>
    <s v="D2"/>
    <s v="03"/>
    <s v="03"/>
    <x v="18"/>
    <n v="5"/>
    <n v="23"/>
    <s v="1333"/>
    <s v="6"/>
    <s v="03N"/>
    <s v="North"/>
    <s v="16"/>
    <s v="DD-T01"/>
    <x v="0"/>
    <n v="77"/>
    <n v="77"/>
    <s v="ST"/>
    <n v="29.35"/>
    <n v="2259.9499999999998"/>
    <n v="1807.19"/>
    <s v="EUR"/>
    <n v="452.75999999999976"/>
  </r>
  <r>
    <s v=".1~115"/>
    <n v="115"/>
    <s v="D2"/>
    <s v="03"/>
    <s v="03"/>
    <x v="18"/>
    <n v="5"/>
    <n v="23"/>
    <s v="1333"/>
    <s v="1"/>
    <s v="03N"/>
    <s v="North"/>
    <s v="16"/>
    <s v="DD-T03"/>
    <x v="1"/>
    <n v="58"/>
    <n v="58"/>
    <s v="ST"/>
    <n v="32.76"/>
    <n v="1900.08"/>
    <n v="1528.88"/>
    <s v="EUR"/>
    <n v="371.19999999999982"/>
  </r>
  <r>
    <s v=".1~116"/>
    <n v="116"/>
    <s v="D2"/>
    <s v="03"/>
    <s v="03"/>
    <x v="18"/>
    <n v="5"/>
    <n v="23"/>
    <s v="1333"/>
    <s v="5"/>
    <s v="03N"/>
    <s v="North"/>
    <s v="16"/>
    <s v="DD-T06"/>
    <x v="5"/>
    <n v="44"/>
    <n v="44"/>
    <s v="ST"/>
    <n v="50"/>
    <n v="2200"/>
    <n v="1928.08"/>
    <s v="EUR"/>
    <n v="271.92000000000007"/>
  </r>
  <r>
    <s v=".1~117"/>
    <n v="117"/>
    <s v="D2"/>
    <s v="03"/>
    <s v="03"/>
    <x v="18"/>
    <n v="5"/>
    <n v="23"/>
    <s v="1333"/>
    <s v="7"/>
    <s v="03N"/>
    <s v="North"/>
    <s v="16"/>
    <s v="DD-T06"/>
    <x v="5"/>
    <n v="16"/>
    <n v="16"/>
    <s v="ST"/>
    <n v="50"/>
    <n v="800"/>
    <n v="701.12"/>
    <s v="EUR"/>
    <n v="98.88"/>
  </r>
  <r>
    <s v=".1~118"/>
    <n v="118"/>
    <s v="D2"/>
    <s v="03"/>
    <s v="03"/>
    <x v="18"/>
    <n v="5"/>
    <n v="23"/>
    <s v="1339"/>
    <s v="1"/>
    <s v="03S"/>
    <s v="South"/>
    <s v="16"/>
    <s v="DD-T03"/>
    <x v="1"/>
    <n v="61"/>
    <n v="61"/>
    <s v="ST"/>
    <n v="32.76"/>
    <n v="1998.36"/>
    <n v="1607.96"/>
    <s v="EUR"/>
    <n v="390.39999999999986"/>
  </r>
  <r>
    <s v=".1~119"/>
    <n v="119"/>
    <s v="D2"/>
    <s v="03"/>
    <s v="04"/>
    <x v="19"/>
    <n v="5"/>
    <n v="24"/>
    <s v="1349"/>
    <s v="1"/>
    <s v="03N"/>
    <s v="North"/>
    <s v="16"/>
    <s v="DD-T01"/>
    <x v="0"/>
    <n v="63"/>
    <n v="63"/>
    <s v="ST"/>
    <n v="29.35"/>
    <n v="1849.05"/>
    <n v="1478.61"/>
    <s v="EUR"/>
    <n v="370.44000000000005"/>
  </r>
  <r>
    <s v=".1~120"/>
    <n v="120"/>
    <s v="D2"/>
    <s v="03"/>
    <s v="04"/>
    <x v="19"/>
    <n v="5"/>
    <n v="24"/>
    <s v="1353"/>
    <s v="1"/>
    <s v="03N"/>
    <s v="North"/>
    <s v="16"/>
    <s v="DD-T01"/>
    <x v="0"/>
    <n v="9"/>
    <n v="9"/>
    <s v="ST"/>
    <n v="29.35"/>
    <n v="264.14999999999998"/>
    <n v="211.23"/>
    <s v="EUR"/>
    <n v="52.919999999999987"/>
  </r>
  <r>
    <s v=".1~121"/>
    <n v="121"/>
    <s v="D2"/>
    <s v="03"/>
    <s v="04"/>
    <x v="19"/>
    <n v="5"/>
    <n v="24"/>
    <s v="1349"/>
    <s v="2"/>
    <s v="03N"/>
    <s v="North"/>
    <s v="16"/>
    <s v="DD-T05"/>
    <x v="4"/>
    <n v="22"/>
    <n v="22"/>
    <s v="ST"/>
    <n v="68.44"/>
    <n v="1505.68"/>
    <n v="1340.46"/>
    <s v="EUR"/>
    <n v="165.22000000000003"/>
  </r>
  <r>
    <s v=".1~122"/>
    <n v="122"/>
    <s v="D2"/>
    <s v="03"/>
    <s v="04"/>
    <x v="19"/>
    <n v="5"/>
    <n v="24"/>
    <s v="1353"/>
    <s v="2"/>
    <s v="03N"/>
    <s v="North"/>
    <s v="16"/>
    <s v="DD-T05"/>
    <x v="4"/>
    <n v="25"/>
    <n v="25"/>
    <s v="ST"/>
    <n v="68.44"/>
    <n v="1711"/>
    <n v="1523.25"/>
    <s v="EUR"/>
    <n v="187.75"/>
  </r>
  <r>
    <s v=".1~123"/>
    <n v="123"/>
    <s v="D2"/>
    <s v="03"/>
    <s v="04"/>
    <x v="19"/>
    <n v="5"/>
    <n v="24"/>
    <s v="1360"/>
    <s v="1"/>
    <s v="03S"/>
    <s v="South"/>
    <s v="16"/>
    <s v="DD-T03"/>
    <x v="1"/>
    <n v="41"/>
    <n v="41"/>
    <s v="ST"/>
    <n v="32.76"/>
    <n v="1343.16"/>
    <n v="1080.76"/>
    <s v="EUR"/>
    <n v="262.40000000000009"/>
  </r>
  <r>
    <s v=".1~124"/>
    <n v="124"/>
    <s v="D2"/>
    <s v="03"/>
    <s v="04"/>
    <x v="19"/>
    <n v="5"/>
    <n v="24"/>
    <s v="1361"/>
    <s v="1"/>
    <s v="03S"/>
    <s v="South"/>
    <s v="16"/>
    <s v="DD-T03"/>
    <x v="1"/>
    <n v="63"/>
    <n v="63"/>
    <s v="ST"/>
    <n v="32.76"/>
    <n v="2063.88"/>
    <n v="1660.68"/>
    <s v="EUR"/>
    <n v="403.20000000000005"/>
  </r>
  <r>
    <s v=".1~125"/>
    <n v="125"/>
    <s v="D2"/>
    <s v="03"/>
    <s v="04"/>
    <x v="19"/>
    <n v="5"/>
    <n v="24"/>
    <s v="1361"/>
    <s v="2"/>
    <s v="03S"/>
    <s v="South"/>
    <s v="16"/>
    <s v="DD-T04"/>
    <x v="2"/>
    <n v="22"/>
    <n v="22"/>
    <s v="ST"/>
    <n v="96.4"/>
    <n v="2120.8000000000002"/>
    <n v="1855.26"/>
    <s v="EUR"/>
    <n v="265.54000000000019"/>
  </r>
  <r>
    <s v=".1~126"/>
    <n v="126"/>
    <s v="D2"/>
    <s v="03"/>
    <s v="04"/>
    <x v="19"/>
    <n v="5"/>
    <n v="24"/>
    <s v="1361"/>
    <s v="3"/>
    <s v="03S"/>
    <s v="South"/>
    <s v="16"/>
    <s v="DD-T05"/>
    <x v="4"/>
    <n v="24"/>
    <n v="24"/>
    <s v="ST"/>
    <n v="68.44"/>
    <n v="1642.56"/>
    <n v="1462.32"/>
    <s v="EUR"/>
    <n v="180.24"/>
  </r>
  <r>
    <s v=".1~127"/>
    <n v="127"/>
    <s v="D2"/>
    <s v="03"/>
    <s v="04"/>
    <x v="19"/>
    <n v="5"/>
    <n v="24"/>
    <s v="1357"/>
    <s v="2"/>
    <s v="03W"/>
    <s v="West"/>
    <s v="16"/>
    <s v="DD-T01"/>
    <x v="0"/>
    <n v="75"/>
    <n v="75"/>
    <s v="ST"/>
    <n v="29.35"/>
    <n v="2201.25"/>
    <n v="1760.25"/>
    <s v="EUR"/>
    <n v="441"/>
  </r>
  <r>
    <s v=".1~128"/>
    <n v="128"/>
    <s v="D2"/>
    <s v="03"/>
    <s v="04"/>
    <x v="19"/>
    <n v="5"/>
    <n v="24"/>
    <s v="1357"/>
    <s v="1"/>
    <s v="03W"/>
    <s v="West"/>
    <s v="16"/>
    <s v="DD-T04"/>
    <x v="2"/>
    <n v="22"/>
    <n v="22"/>
    <s v="ST"/>
    <n v="96.4"/>
    <n v="2120.8000000000002"/>
    <n v="1855.26"/>
    <s v="EUR"/>
    <n v="265.54000000000019"/>
  </r>
  <r>
    <s v=".1~129"/>
    <n v="129"/>
    <s v="D2"/>
    <s v="03"/>
    <s v="04"/>
    <x v="19"/>
    <n v="5"/>
    <n v="24"/>
    <s v="1345"/>
    <s v="1"/>
    <s v="03W"/>
    <s v="West"/>
    <s v="16"/>
    <s v="DD-T06"/>
    <x v="5"/>
    <n v="35"/>
    <n v="35"/>
    <s v="ST"/>
    <n v="50"/>
    <n v="1750"/>
    <n v="1533.7"/>
    <s v="EUR"/>
    <n v="216.29999999999995"/>
  </r>
  <r>
    <s v=".1~130"/>
    <n v="130"/>
    <s v="D2"/>
    <s v="03"/>
    <s v="05"/>
    <x v="20"/>
    <n v="5"/>
    <n v="25"/>
    <s v="1364"/>
    <s v="2"/>
    <s v="03N"/>
    <s v="North"/>
    <s v="16"/>
    <s v="DD-T01"/>
    <x v="0"/>
    <n v="11"/>
    <n v="11"/>
    <s v="ST"/>
    <n v="29.35"/>
    <n v="322.85000000000002"/>
    <n v="258.17"/>
    <s v="EUR"/>
    <n v="64.680000000000007"/>
  </r>
  <r>
    <s v=".1~131"/>
    <n v="131"/>
    <s v="D2"/>
    <s v="03"/>
    <s v="05"/>
    <x v="20"/>
    <n v="5"/>
    <n v="25"/>
    <s v="1364"/>
    <s v="3"/>
    <s v="03N"/>
    <s v="North"/>
    <s v="16"/>
    <s v="DD-T02"/>
    <x v="3"/>
    <n v="29"/>
    <n v="29"/>
    <s v="ST"/>
    <n v="80.680000000000007"/>
    <n v="2339.7199999999998"/>
    <n v="2124.54"/>
    <s v="EUR"/>
    <n v="215.17999999999984"/>
  </r>
  <r>
    <s v=".1~132"/>
    <n v="132"/>
    <s v="D2"/>
    <s v="03"/>
    <s v="05"/>
    <x v="20"/>
    <n v="5"/>
    <n v="25"/>
    <s v="1364"/>
    <s v="1"/>
    <s v="03N"/>
    <s v="North"/>
    <s v="16"/>
    <s v="DD-T05"/>
    <x v="4"/>
    <n v="13"/>
    <n v="13"/>
    <s v="ST"/>
    <n v="68.44"/>
    <n v="889.72"/>
    <n v="792.09"/>
    <s v="EUR"/>
    <n v="97.63"/>
  </r>
  <r>
    <s v=".1~133"/>
    <n v="133"/>
    <s v="D2"/>
    <s v="03"/>
    <s v="05"/>
    <x v="20"/>
    <n v="5"/>
    <n v="25"/>
    <s v="1378"/>
    <s v="1"/>
    <s v="03S"/>
    <s v="South"/>
    <s v="16"/>
    <s v="DD-T05"/>
    <x v="4"/>
    <n v="17"/>
    <n v="17"/>
    <s v="ST"/>
    <n v="68.44"/>
    <n v="1163.48"/>
    <n v="1035.81"/>
    <s v="EUR"/>
    <n v="127.67000000000007"/>
  </r>
  <r>
    <s v=".1~134"/>
    <n v="134"/>
    <s v="D2"/>
    <s v="03"/>
    <s v="05"/>
    <x v="20"/>
    <n v="5"/>
    <n v="25"/>
    <s v="1373"/>
    <s v="1"/>
    <s v="03S"/>
    <s v="South"/>
    <s v="16"/>
    <s v="DD-T05"/>
    <x v="4"/>
    <n v="29"/>
    <n v="29"/>
    <s v="ST"/>
    <n v="68.44"/>
    <n v="1984.76"/>
    <n v="1766.97"/>
    <s v="EUR"/>
    <n v="217.78999999999996"/>
  </r>
  <r>
    <s v=".1~135"/>
    <n v="135"/>
    <s v="D2"/>
    <s v="03"/>
    <s v="05"/>
    <x v="20"/>
    <n v="5"/>
    <n v="25"/>
    <s v="1373"/>
    <s v="2"/>
    <s v="03S"/>
    <s v="South"/>
    <s v="16"/>
    <s v="DD-T06"/>
    <x v="5"/>
    <n v="39"/>
    <n v="39"/>
    <s v="ST"/>
    <n v="50"/>
    <n v="1950"/>
    <n v="1708.98"/>
    <s v="EUR"/>
    <n v="241.01999999999998"/>
  </r>
  <r>
    <s v=".1~136"/>
    <n v="136"/>
    <s v="D2"/>
    <s v="03"/>
    <s v="05"/>
    <x v="20"/>
    <n v="5"/>
    <n v="25"/>
    <s v="1369"/>
    <s v="1"/>
    <s v="03W"/>
    <s v="West"/>
    <s v="16"/>
    <s v="DD-T06"/>
    <x v="5"/>
    <n v="5"/>
    <n v="5"/>
    <s v="ST"/>
    <n v="50"/>
    <n v="250"/>
    <n v="219.1"/>
    <s v="EUR"/>
    <n v="30.900000000000006"/>
  </r>
  <r>
    <s v=".1~137"/>
    <n v="137"/>
    <s v="D2"/>
    <s v="03"/>
    <s v="06"/>
    <x v="21"/>
    <n v="6"/>
    <n v="26"/>
    <s v="1388"/>
    <s v="2"/>
    <s v="03N"/>
    <s v="North"/>
    <s v="16"/>
    <s v="DD-T01"/>
    <x v="0"/>
    <n v="70"/>
    <n v="70"/>
    <s v="ST"/>
    <n v="29.35"/>
    <n v="2054.5"/>
    <n v="1642.9"/>
    <s v="EUR"/>
    <n v="411.59999999999991"/>
  </r>
  <r>
    <s v=".1~138"/>
    <n v="138"/>
    <s v="D2"/>
    <s v="03"/>
    <s v="06"/>
    <x v="21"/>
    <n v="6"/>
    <n v="26"/>
    <s v="1385"/>
    <s v="1"/>
    <s v="03N"/>
    <s v="North"/>
    <s v="16"/>
    <s v="DD-T03"/>
    <x v="1"/>
    <n v="52"/>
    <n v="52"/>
    <s v="ST"/>
    <n v="32.76"/>
    <n v="1703.52"/>
    <n v="1370.72"/>
    <s v="EUR"/>
    <n v="332.79999999999995"/>
  </r>
  <r>
    <s v=".1~139"/>
    <n v="139"/>
    <s v="D2"/>
    <s v="03"/>
    <s v="06"/>
    <x v="21"/>
    <n v="6"/>
    <n v="26"/>
    <s v="1388"/>
    <s v="1"/>
    <s v="03N"/>
    <s v="North"/>
    <s v="16"/>
    <s v="DD-T06"/>
    <x v="5"/>
    <n v="46"/>
    <n v="46"/>
    <s v="ST"/>
    <n v="50"/>
    <n v="2300"/>
    <n v="2015.72"/>
    <s v="EUR"/>
    <n v="284.27999999999997"/>
  </r>
  <r>
    <s v=".1~140"/>
    <n v="140"/>
    <s v="D2"/>
    <s v="03"/>
    <s v="06"/>
    <x v="21"/>
    <n v="6"/>
    <n v="26"/>
    <s v="1394"/>
    <s v="1"/>
    <s v="03S"/>
    <s v="South"/>
    <s v="16"/>
    <s v="DD-T01"/>
    <x v="0"/>
    <n v="27"/>
    <n v="27"/>
    <s v="ST"/>
    <n v="29.35"/>
    <n v="792.45"/>
    <n v="633.69000000000005"/>
    <s v="EUR"/>
    <n v="158.76"/>
  </r>
  <r>
    <s v=".1~141"/>
    <n v="141"/>
    <s v="D2"/>
    <s v="03"/>
    <s v="07"/>
    <x v="22"/>
    <n v="6"/>
    <n v="27"/>
    <s v="1400"/>
    <s v="1"/>
    <s v="03N"/>
    <s v="North"/>
    <s v="16"/>
    <s v="DD-T01"/>
    <x v="0"/>
    <n v="60"/>
    <n v="60"/>
    <s v="ST"/>
    <n v="29.35"/>
    <n v="1761"/>
    <n v="1409.4"/>
    <s v="EUR"/>
    <n v="351.59999999999991"/>
  </r>
  <r>
    <s v=".1~142"/>
    <n v="142"/>
    <s v="D2"/>
    <s v="03"/>
    <s v="07"/>
    <x v="22"/>
    <n v="6"/>
    <n v="27"/>
    <s v="1403"/>
    <s v="2"/>
    <s v="03N"/>
    <s v="North"/>
    <s v="16"/>
    <s v="DD-T01"/>
    <x v="0"/>
    <n v="81"/>
    <n v="81"/>
    <s v="ST"/>
    <n v="29.35"/>
    <n v="2377.35"/>
    <n v="1902.69"/>
    <s v="EUR"/>
    <n v="474.65999999999985"/>
  </r>
  <r>
    <s v=".1~143"/>
    <n v="143"/>
    <s v="D2"/>
    <s v="03"/>
    <s v="07"/>
    <x v="22"/>
    <n v="6"/>
    <n v="27"/>
    <s v="1403"/>
    <s v="3"/>
    <s v="03N"/>
    <s v="North"/>
    <s v="16"/>
    <s v="DD-T02"/>
    <x v="3"/>
    <n v="21"/>
    <n v="21"/>
    <s v="ST"/>
    <n v="80.680000000000007"/>
    <n v="1694.28"/>
    <n v="1538.46"/>
    <s v="EUR"/>
    <n v="155.81999999999994"/>
  </r>
  <r>
    <s v=".1~144"/>
    <n v="144"/>
    <s v="D2"/>
    <s v="03"/>
    <s v="07"/>
    <x v="22"/>
    <n v="6"/>
    <n v="27"/>
    <s v="1403"/>
    <s v="1"/>
    <s v="03N"/>
    <s v="North"/>
    <s v="16"/>
    <s v="DD-T03"/>
    <x v="1"/>
    <n v="54"/>
    <n v="54"/>
    <s v="ST"/>
    <n v="32.76"/>
    <n v="1769.04"/>
    <n v="1426.14"/>
    <s v="EUR"/>
    <n v="342.89999999999986"/>
  </r>
  <r>
    <s v=".1~145"/>
    <n v="145"/>
    <s v="D2"/>
    <s v="03"/>
    <s v="07"/>
    <x v="22"/>
    <n v="6"/>
    <n v="27"/>
    <s v="1408"/>
    <s v="1"/>
    <s v="03S"/>
    <s v="South"/>
    <s v="16"/>
    <s v="DD-T03"/>
    <x v="1"/>
    <n v="74"/>
    <n v="74"/>
    <s v="ST"/>
    <n v="32.76"/>
    <n v="2424.2399999999998"/>
    <n v="1954.34"/>
    <s v="EUR"/>
    <n v="469.89999999999986"/>
  </r>
  <r>
    <s v=".1~146"/>
    <n v="146"/>
    <s v="D2"/>
    <s v="03"/>
    <s v="07"/>
    <x v="22"/>
    <n v="6"/>
    <n v="27"/>
    <s v="1408"/>
    <s v="2"/>
    <s v="03S"/>
    <s v="South"/>
    <s v="16"/>
    <s v="DD-T03"/>
    <x v="1"/>
    <n v="35"/>
    <n v="35"/>
    <s v="ST"/>
    <n v="32.76"/>
    <n v="1146.5999999999999"/>
    <n v="924.35"/>
    <s v="EUR"/>
    <n v="222.24999999999989"/>
  </r>
  <r>
    <s v=".1~147"/>
    <n v="147"/>
    <s v="D2"/>
    <s v="03"/>
    <s v="07"/>
    <x v="22"/>
    <n v="6"/>
    <n v="27"/>
    <s v="1408"/>
    <s v="5"/>
    <s v="03S"/>
    <s v="South"/>
    <s v="16"/>
    <s v="DD-T05"/>
    <x v="4"/>
    <n v="26"/>
    <n v="26"/>
    <s v="ST"/>
    <n v="68.44"/>
    <n v="1779.44"/>
    <n v="1587.56"/>
    <s v="EUR"/>
    <n v="191.88000000000011"/>
  </r>
  <r>
    <s v=".1~148"/>
    <n v="148"/>
    <s v="D2"/>
    <s v="03"/>
    <s v="07"/>
    <x v="22"/>
    <n v="6"/>
    <n v="27"/>
    <s v="1408"/>
    <s v="6"/>
    <s v="03S"/>
    <s v="South"/>
    <s v="16"/>
    <s v="DD-T05"/>
    <x v="4"/>
    <n v="30"/>
    <n v="30"/>
    <s v="ST"/>
    <n v="68.44"/>
    <n v="2053.1999999999998"/>
    <n v="1831.8"/>
    <s v="EUR"/>
    <n v="221.39999999999986"/>
  </r>
  <r>
    <s v=".1~149"/>
    <n v="149"/>
    <s v="D2"/>
    <s v="03"/>
    <s v="08"/>
    <x v="23"/>
    <n v="6"/>
    <n v="28"/>
    <s v="1416"/>
    <s v="1"/>
    <s v="03N"/>
    <s v="North"/>
    <s v="16"/>
    <s v="DD-T01"/>
    <x v="0"/>
    <n v="71"/>
    <n v="71"/>
    <s v="ST"/>
    <n v="29.35"/>
    <n v="2083.85"/>
    <n v="1667.79"/>
    <s v="EUR"/>
    <n v="416.05999999999995"/>
  </r>
  <r>
    <s v=".1~150"/>
    <n v="150"/>
    <s v="D2"/>
    <s v="03"/>
    <s v="08"/>
    <x v="23"/>
    <n v="6"/>
    <n v="28"/>
    <s v="1428"/>
    <s v="3"/>
    <s v="03S"/>
    <s v="South"/>
    <s v="16"/>
    <s v="DD-T01"/>
    <x v="0"/>
    <n v="61"/>
    <n v="61"/>
    <s v="ST"/>
    <n v="29.35"/>
    <n v="1790.35"/>
    <n v="1432.89"/>
    <s v="EUR"/>
    <n v="357.45999999999981"/>
  </r>
  <r>
    <s v=".1~151"/>
    <n v="151"/>
    <s v="D2"/>
    <s v="03"/>
    <s v="08"/>
    <x v="23"/>
    <n v="6"/>
    <n v="28"/>
    <s v="1428"/>
    <s v="2"/>
    <s v="03S"/>
    <s v="South"/>
    <s v="16"/>
    <s v="DD-T02"/>
    <x v="3"/>
    <n v="29"/>
    <n v="29"/>
    <s v="ST"/>
    <n v="80.680000000000007"/>
    <n v="2339.7199999999998"/>
    <n v="2124.54"/>
    <s v="EUR"/>
    <n v="215.17999999999984"/>
  </r>
  <r>
    <s v=".1~152"/>
    <n v="152"/>
    <s v="D2"/>
    <s v="03"/>
    <s v="08"/>
    <x v="23"/>
    <n v="6"/>
    <n v="28"/>
    <s v="1428"/>
    <s v="1"/>
    <s v="03S"/>
    <s v="South"/>
    <s v="16"/>
    <s v="DD-T03"/>
    <x v="1"/>
    <n v="66"/>
    <n v="66"/>
    <s v="ST"/>
    <n v="32.76"/>
    <n v="2162.16"/>
    <n v="1743.06"/>
    <s v="EUR"/>
    <n v="419.09999999999991"/>
  </r>
  <r>
    <s v=".1~153"/>
    <n v="153"/>
    <s v="D2"/>
    <s v="03"/>
    <s v="08"/>
    <x v="23"/>
    <n v="6"/>
    <n v="28"/>
    <s v="1424"/>
    <s v="1"/>
    <s v="03S"/>
    <s v="South"/>
    <s v="16"/>
    <s v="DD-T05"/>
    <x v="4"/>
    <n v="14"/>
    <n v="14"/>
    <s v="ST"/>
    <n v="68.44"/>
    <n v="958.16"/>
    <n v="854.84"/>
    <s v="EUR"/>
    <n v="103.31999999999994"/>
  </r>
  <r>
    <s v=".1~154"/>
    <n v="154"/>
    <s v="D2"/>
    <s v="03"/>
    <s v="08"/>
    <x v="23"/>
    <n v="6"/>
    <n v="28"/>
    <s v="1428"/>
    <s v="4"/>
    <s v="03S"/>
    <s v="South"/>
    <s v="16"/>
    <s v="DD-T06"/>
    <x v="5"/>
    <n v="40"/>
    <n v="40"/>
    <s v="ST"/>
    <n v="50"/>
    <n v="2000"/>
    <n v="1761.2"/>
    <s v="EUR"/>
    <n v="238.79999999999995"/>
  </r>
  <r>
    <s v=".1~155"/>
    <n v="155"/>
    <s v="D2"/>
    <s v="03"/>
    <s v="08"/>
    <x v="23"/>
    <n v="6"/>
    <n v="28"/>
    <s v="1420"/>
    <s v="1"/>
    <s v="03W"/>
    <s v="West"/>
    <s v="16"/>
    <s v="DD-T01"/>
    <x v="0"/>
    <n v="56"/>
    <n v="56"/>
    <s v="ST"/>
    <n v="29.35"/>
    <n v="1643.6"/>
    <n v="1315.44"/>
    <s v="EUR"/>
    <n v="328.15999999999985"/>
  </r>
  <r>
    <s v=".1~156"/>
    <n v="156"/>
    <s v="D2"/>
    <s v="03"/>
    <s v="09"/>
    <x v="24"/>
    <n v="6"/>
    <n v="29"/>
    <s v="1440"/>
    <s v="1"/>
    <s v="03N"/>
    <s v="North"/>
    <s v="16"/>
    <s v="DD-T01"/>
    <x v="0"/>
    <n v="75"/>
    <n v="75"/>
    <s v="ST"/>
    <n v="29.35"/>
    <n v="2201.25"/>
    <n v="1761.75"/>
    <s v="EUR"/>
    <n v="439.5"/>
  </r>
  <r>
    <s v=".1~157"/>
    <n v="157"/>
    <s v="D2"/>
    <s v="03"/>
    <s v="09"/>
    <x v="24"/>
    <n v="6"/>
    <n v="29"/>
    <s v="1440"/>
    <s v="3"/>
    <s v="03N"/>
    <s v="North"/>
    <s v="16"/>
    <s v="DD-T03"/>
    <x v="1"/>
    <n v="50"/>
    <n v="50"/>
    <s v="ST"/>
    <n v="32.76"/>
    <n v="1638"/>
    <n v="1320.5"/>
    <s v="EUR"/>
    <n v="317.5"/>
  </r>
  <r>
    <s v=".1~158"/>
    <n v="158"/>
    <s v="D2"/>
    <s v="03"/>
    <s v="09"/>
    <x v="24"/>
    <n v="6"/>
    <n v="29"/>
    <s v="1440"/>
    <s v="4"/>
    <s v="03N"/>
    <s v="North"/>
    <s v="16"/>
    <s v="DD-T04"/>
    <x v="2"/>
    <n v="18"/>
    <n v="18"/>
    <s v="ST"/>
    <n v="96.4"/>
    <n v="1735.2"/>
    <n v="1517.94"/>
    <s v="EUR"/>
    <n v="217.26"/>
  </r>
  <r>
    <s v=".1~159"/>
    <n v="159"/>
    <s v="D2"/>
    <s v="03"/>
    <s v="09"/>
    <x v="24"/>
    <n v="6"/>
    <n v="29"/>
    <s v="1440"/>
    <s v="2"/>
    <s v="03N"/>
    <s v="North"/>
    <s v="16"/>
    <s v="DD-T05"/>
    <x v="4"/>
    <n v="29"/>
    <n v="29"/>
    <s v="ST"/>
    <n v="68.44"/>
    <n v="1984.76"/>
    <n v="1770.74"/>
    <s v="EUR"/>
    <n v="214.01999999999998"/>
  </r>
  <r>
    <s v=".1~160"/>
    <n v="160"/>
    <s v="D2"/>
    <s v="03"/>
    <s v="09"/>
    <x v="24"/>
    <n v="6"/>
    <n v="29"/>
    <s v="1444"/>
    <s v="6"/>
    <s v="03S"/>
    <s v="South"/>
    <s v="16"/>
    <s v="DD-T01"/>
    <x v="0"/>
    <n v="39"/>
    <n v="39"/>
    <s v="ST"/>
    <n v="29.35"/>
    <n v="1144.6500000000001"/>
    <n v="916.11"/>
    <s v="EUR"/>
    <n v="228.54000000000008"/>
  </r>
  <r>
    <s v=".1~161"/>
    <n v="161"/>
    <s v="D2"/>
    <s v="03"/>
    <s v="09"/>
    <x v="24"/>
    <n v="6"/>
    <n v="29"/>
    <s v="1444"/>
    <s v="4"/>
    <s v="03S"/>
    <s v="South"/>
    <s v="16"/>
    <s v="DD-T03"/>
    <x v="1"/>
    <n v="42"/>
    <n v="42"/>
    <s v="ST"/>
    <n v="32.76"/>
    <n v="1375.92"/>
    <n v="1109.22"/>
    <s v="EUR"/>
    <n v="266.70000000000005"/>
  </r>
  <r>
    <s v=".1~162"/>
    <n v="162"/>
    <s v="D2"/>
    <s v="03"/>
    <s v="09"/>
    <x v="24"/>
    <n v="6"/>
    <n v="29"/>
    <s v="1444"/>
    <s v="1"/>
    <s v="03S"/>
    <s v="South"/>
    <s v="16"/>
    <s v="DD-T03"/>
    <x v="1"/>
    <n v="67"/>
    <n v="67"/>
    <s v="ST"/>
    <n v="32.76"/>
    <n v="2194.92"/>
    <n v="1769.47"/>
    <s v="EUR"/>
    <n v="425.45000000000005"/>
  </r>
  <r>
    <s v=".1~163"/>
    <n v="163"/>
    <s v="D2"/>
    <s v="03"/>
    <s v="09"/>
    <x v="24"/>
    <n v="6"/>
    <n v="29"/>
    <s v="1444"/>
    <s v="5"/>
    <s v="03S"/>
    <s v="South"/>
    <s v="16"/>
    <s v="DD-T05"/>
    <x v="4"/>
    <n v="30"/>
    <n v="30"/>
    <s v="ST"/>
    <n v="68.44"/>
    <n v="2053.1999999999998"/>
    <n v="1831.8"/>
    <s v="EUR"/>
    <n v="221.39999999999986"/>
  </r>
  <r>
    <s v=".1~164"/>
    <n v="164"/>
    <s v="D2"/>
    <s v="03"/>
    <s v="09"/>
    <x v="24"/>
    <n v="6"/>
    <n v="29"/>
    <s v="1444"/>
    <s v="3"/>
    <s v="03S"/>
    <s v="South"/>
    <s v="16"/>
    <s v="DD-T05"/>
    <x v="4"/>
    <n v="26"/>
    <n v="26"/>
    <s v="ST"/>
    <n v="68.44"/>
    <n v="1779.44"/>
    <n v="1587.56"/>
    <s v="EUR"/>
    <n v="191.88000000000011"/>
  </r>
  <r>
    <s v=".1~165"/>
    <n v="165"/>
    <s v="D2"/>
    <s v="03"/>
    <s v="09"/>
    <x v="24"/>
    <n v="6"/>
    <n v="29"/>
    <s v="1436"/>
    <s v="1"/>
    <s v="03W"/>
    <s v="West"/>
    <s v="16"/>
    <s v="DD-T04"/>
    <x v="2"/>
    <n v="22"/>
    <n v="22"/>
    <s v="ST"/>
    <n v="96.4"/>
    <n v="2120.8000000000002"/>
    <n v="1855.26"/>
    <s v="EUR"/>
    <n v="265.54000000000019"/>
  </r>
  <r>
    <s v=".1~166"/>
    <n v="166"/>
    <s v="D2"/>
    <s v="03"/>
    <s v="10"/>
    <x v="25"/>
    <n v="6"/>
    <n v="30"/>
    <s v="1452"/>
    <s v="4"/>
    <s v="03N"/>
    <s v="North"/>
    <s v="16"/>
    <s v="DD-T01"/>
    <x v="0"/>
    <n v="63"/>
    <n v="63"/>
    <s v="ST"/>
    <n v="29.35"/>
    <n v="1849.05"/>
    <n v="1479.87"/>
    <s v="EUR"/>
    <n v="369.18000000000006"/>
  </r>
  <r>
    <s v=".1~167"/>
    <n v="167"/>
    <s v="D2"/>
    <s v="03"/>
    <s v="10"/>
    <x v="25"/>
    <n v="6"/>
    <n v="30"/>
    <s v="1452"/>
    <s v="3"/>
    <s v="03N"/>
    <s v="North"/>
    <s v="16"/>
    <s v="DD-T01"/>
    <x v="0"/>
    <n v="78"/>
    <n v="78"/>
    <s v="ST"/>
    <n v="29.35"/>
    <n v="2289.3000000000002"/>
    <n v="1832.22"/>
    <s v="EUR"/>
    <n v="457.08000000000015"/>
  </r>
  <r>
    <s v=".1~168"/>
    <n v="168"/>
    <s v="D2"/>
    <s v="03"/>
    <s v="10"/>
    <x v="25"/>
    <n v="6"/>
    <n v="30"/>
    <s v="1452"/>
    <s v="5"/>
    <s v="03N"/>
    <s v="North"/>
    <s v="16"/>
    <s v="DD-T02"/>
    <x v="3"/>
    <n v="23"/>
    <n v="23"/>
    <s v="ST"/>
    <n v="80.680000000000007"/>
    <n v="1855.64"/>
    <n v="1684.98"/>
    <s v="EUR"/>
    <n v="170.66000000000008"/>
  </r>
  <r>
    <s v=".1~169"/>
    <n v="169"/>
    <s v="D2"/>
    <s v="03"/>
    <s v="10"/>
    <x v="25"/>
    <n v="6"/>
    <n v="30"/>
    <s v="1452"/>
    <s v="1"/>
    <s v="03N"/>
    <s v="North"/>
    <s v="16"/>
    <s v="DD-T06"/>
    <x v="5"/>
    <n v="41"/>
    <n v="41"/>
    <s v="ST"/>
    <n v="50"/>
    <n v="2050"/>
    <n v="1805.23"/>
    <s v="EUR"/>
    <n v="244.76999999999998"/>
  </r>
  <r>
    <s v=".1~170"/>
    <n v="170"/>
    <s v="D2"/>
    <s v="03"/>
    <s v="10"/>
    <x v="25"/>
    <n v="6"/>
    <n v="30"/>
    <s v="1460"/>
    <s v="1"/>
    <s v="03S"/>
    <s v="South"/>
    <s v="16"/>
    <s v="DD-T03"/>
    <x v="1"/>
    <n v="52"/>
    <n v="52"/>
    <s v="ST"/>
    <n v="32.76"/>
    <n v="1703.52"/>
    <n v="1373.32"/>
    <s v="EUR"/>
    <n v="330.20000000000005"/>
  </r>
  <r>
    <s v=".1~171"/>
    <n v="171"/>
    <s v="D2"/>
    <s v="03"/>
    <s v="10"/>
    <x v="25"/>
    <n v="6"/>
    <n v="30"/>
    <s v="1463"/>
    <s v="1"/>
    <s v="03S"/>
    <s v="South"/>
    <s v="16"/>
    <s v="DD-T05"/>
    <x v="4"/>
    <n v="14"/>
    <n v="14"/>
    <s v="ST"/>
    <n v="68.44"/>
    <n v="958.16"/>
    <n v="854.84"/>
    <s v="EUR"/>
    <n v="103.31999999999994"/>
  </r>
  <r>
    <s v=".1~172"/>
    <n v="172"/>
    <s v="D2"/>
    <s v="03"/>
    <s v="10"/>
    <x v="25"/>
    <n v="6"/>
    <n v="30"/>
    <s v="1456"/>
    <s v="2"/>
    <s v="03W"/>
    <s v="West"/>
    <s v="16"/>
    <s v="DD-T04"/>
    <x v="2"/>
    <n v="18"/>
    <n v="18"/>
    <s v="ST"/>
    <n v="96.4"/>
    <n v="1735.2"/>
    <n v="1517.94"/>
    <s v="EUR"/>
    <n v="217.26"/>
  </r>
  <r>
    <s v=".1~173"/>
    <n v="173"/>
    <s v="D2"/>
    <s v="03"/>
    <s v="10"/>
    <x v="25"/>
    <n v="6"/>
    <n v="30"/>
    <s v="1456"/>
    <s v="1"/>
    <s v="03W"/>
    <s v="West"/>
    <s v="16"/>
    <s v="DD-T06"/>
    <x v="5"/>
    <n v="30"/>
    <n v="30"/>
    <s v="ST"/>
    <n v="50"/>
    <n v="1500"/>
    <n v="1320.9"/>
    <s v="EUR"/>
    <n v="179.09999999999991"/>
  </r>
  <r>
    <m/>
    <m/>
    <m/>
    <m/>
    <m/>
    <x v="26"/>
    <m/>
    <m/>
    <m/>
    <m/>
    <m/>
    <m/>
    <m/>
    <m/>
    <x v="6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s v=".1~1"/>
    <n v="1"/>
    <s v="D2"/>
    <s v="01"/>
    <s v="05"/>
    <x v="0"/>
    <n v="1"/>
    <n v="5"/>
    <s v="1013"/>
    <s v="1"/>
    <x v="0"/>
    <s v="North"/>
    <s v="16"/>
    <s v="DD-T01"/>
    <x v="0"/>
    <n v="81"/>
    <n v="81"/>
    <s v="ST"/>
    <n v="29.35"/>
    <n v="2377.35"/>
    <n v="1870.29"/>
    <s v="EUR"/>
  </r>
  <r>
    <s v=".1~2"/>
    <n v="2"/>
    <s v="D2"/>
    <s v="01"/>
    <s v="05"/>
    <x v="0"/>
    <n v="1"/>
    <n v="5"/>
    <s v="1019"/>
    <s v="1"/>
    <x v="1"/>
    <s v="South"/>
    <s v="16"/>
    <s v="DD-T01"/>
    <x v="0"/>
    <n v="60"/>
    <n v="60"/>
    <s v="ST"/>
    <n v="29.35"/>
    <n v="1761"/>
    <n v="1385.4"/>
    <s v="EUR"/>
  </r>
  <r>
    <s v=".1~3"/>
    <n v="3"/>
    <s v="D2"/>
    <s v="01"/>
    <s v="05"/>
    <x v="0"/>
    <n v="1"/>
    <n v="5"/>
    <s v="1023"/>
    <s v="1"/>
    <x v="1"/>
    <s v="South"/>
    <s v="16"/>
    <s v="DD-T03"/>
    <x v="1"/>
    <n v="66"/>
    <n v="66"/>
    <s v="ST"/>
    <n v="34.07"/>
    <n v="2248.62"/>
    <n v="1716.66"/>
    <s v="EUR"/>
  </r>
  <r>
    <s v=".1~4"/>
    <n v="4"/>
    <s v="D2"/>
    <s v="01"/>
    <s v="05"/>
    <x v="0"/>
    <n v="1"/>
    <n v="5"/>
    <s v="1016"/>
    <s v="1"/>
    <x v="2"/>
    <s v="West"/>
    <s v="16"/>
    <s v="DD-T04"/>
    <x v="2"/>
    <n v="15"/>
    <n v="15"/>
    <s v="ST"/>
    <n v="99.13"/>
    <n v="1486.95"/>
    <n v="1247.7"/>
    <s v="EUR"/>
  </r>
  <r>
    <s v=".1~5"/>
    <n v="5"/>
    <s v="D2"/>
    <s v="01"/>
    <s v="06"/>
    <x v="1"/>
    <n v="2"/>
    <n v="6"/>
    <s v="1034"/>
    <s v="1"/>
    <x v="0"/>
    <s v="North"/>
    <s v="16"/>
    <s v="DD-T01"/>
    <x v="0"/>
    <n v="1"/>
    <n v="1"/>
    <s v="ST"/>
    <n v="29.35"/>
    <n v="29.35"/>
    <n v="23.16"/>
    <s v="EUR"/>
  </r>
  <r>
    <s v=".1~6"/>
    <n v="6"/>
    <s v="D2"/>
    <s v="01"/>
    <s v="06"/>
    <x v="1"/>
    <n v="2"/>
    <n v="6"/>
    <s v="1031"/>
    <s v="1"/>
    <x v="0"/>
    <s v="North"/>
    <s v="16"/>
    <s v="DD-T01"/>
    <x v="0"/>
    <n v="72"/>
    <n v="72"/>
    <s v="ST"/>
    <n v="29.35"/>
    <n v="2113.1999999999998"/>
    <n v="1667.52"/>
    <s v="EUR"/>
  </r>
  <r>
    <s v=".1~7"/>
    <n v="7"/>
    <s v="D2"/>
    <s v="01"/>
    <s v="06"/>
    <x v="1"/>
    <n v="2"/>
    <n v="6"/>
    <s v="1031"/>
    <s v="2"/>
    <x v="0"/>
    <s v="North"/>
    <s v="16"/>
    <s v="DD-T03"/>
    <x v="1"/>
    <n v="44"/>
    <n v="44"/>
    <s v="ST"/>
    <n v="34.07"/>
    <n v="1499.08"/>
    <n v="1148.4000000000001"/>
    <s v="EUR"/>
  </r>
  <r>
    <s v=".1~8"/>
    <n v="8"/>
    <s v="D2"/>
    <s v="01"/>
    <s v="06"/>
    <x v="1"/>
    <n v="2"/>
    <n v="6"/>
    <s v="1040"/>
    <s v="3"/>
    <x v="1"/>
    <s v="South"/>
    <s v="16"/>
    <s v="DD-T03"/>
    <x v="1"/>
    <n v="44"/>
    <n v="44"/>
    <s v="ST"/>
    <n v="34.07"/>
    <n v="1499.08"/>
    <n v="1148.4000000000001"/>
    <s v="EUR"/>
  </r>
  <r>
    <s v=".1~9"/>
    <n v="9"/>
    <s v="D2"/>
    <s v="01"/>
    <s v="06"/>
    <x v="1"/>
    <n v="2"/>
    <n v="6"/>
    <s v="1040"/>
    <s v="1"/>
    <x v="1"/>
    <s v="South"/>
    <s v="16"/>
    <s v="DD-T04"/>
    <x v="2"/>
    <n v="15"/>
    <n v="15"/>
    <s v="ST"/>
    <n v="99.13"/>
    <n v="1486.95"/>
    <n v="1258.5"/>
    <s v="EUR"/>
  </r>
  <r>
    <s v=".1~10"/>
    <n v="10"/>
    <s v="D2"/>
    <s v="01"/>
    <s v="06"/>
    <x v="1"/>
    <n v="2"/>
    <n v="6"/>
    <s v="1037"/>
    <s v="1"/>
    <x v="2"/>
    <s v="West"/>
    <s v="16"/>
    <s v="DD-T04"/>
    <x v="2"/>
    <n v="6"/>
    <n v="6"/>
    <s v="ST"/>
    <n v="99.13"/>
    <n v="594.78"/>
    <n v="503.4"/>
    <s v="EUR"/>
  </r>
  <r>
    <s v=".1~11"/>
    <n v="11"/>
    <s v="D2"/>
    <s v="01"/>
    <s v="07"/>
    <x v="2"/>
    <n v="2"/>
    <n v="7"/>
    <s v="1045"/>
    <s v="3"/>
    <x v="0"/>
    <s v="North"/>
    <s v="16"/>
    <s v="DD-T01"/>
    <x v="0"/>
    <n v="54"/>
    <n v="54"/>
    <s v="ST"/>
    <n v="29.35"/>
    <n v="1584.9"/>
    <n v="1275.48"/>
    <s v="EUR"/>
  </r>
  <r>
    <s v=".1~12"/>
    <n v="12"/>
    <s v="D2"/>
    <s v="01"/>
    <s v="07"/>
    <x v="2"/>
    <n v="2"/>
    <n v="7"/>
    <s v="1045"/>
    <s v="1"/>
    <x v="0"/>
    <s v="North"/>
    <s v="16"/>
    <s v="DD-T02"/>
    <x v="3"/>
    <n v="20"/>
    <n v="20"/>
    <s v="ST"/>
    <n v="85.38"/>
    <n v="1707.6"/>
    <n v="1460.6"/>
    <s v="EUR"/>
  </r>
  <r>
    <s v=".1~13"/>
    <n v="13"/>
    <s v="D2"/>
    <s v="01"/>
    <s v="07"/>
    <x v="2"/>
    <n v="2"/>
    <n v="7"/>
    <s v="1045"/>
    <s v="2"/>
    <x v="0"/>
    <s v="North"/>
    <s v="16"/>
    <s v="DD-T03"/>
    <x v="1"/>
    <n v="61"/>
    <n v="61"/>
    <s v="ST"/>
    <n v="34.07"/>
    <n v="2078.27"/>
    <n v="1608.57"/>
    <s v="EUR"/>
  </r>
  <r>
    <s v=".1~14"/>
    <n v="14"/>
    <s v="D2"/>
    <s v="01"/>
    <s v="07"/>
    <x v="2"/>
    <n v="2"/>
    <n v="7"/>
    <s v="1045"/>
    <s v="4"/>
    <x v="0"/>
    <s v="North"/>
    <s v="16"/>
    <s v="DD-T03"/>
    <x v="1"/>
    <n v="10"/>
    <n v="10"/>
    <s v="ST"/>
    <n v="34.07"/>
    <n v="340.7"/>
    <n v="263.7"/>
    <s v="EUR"/>
  </r>
  <r>
    <s v=".1~15"/>
    <n v="15"/>
    <s v="D2"/>
    <s v="01"/>
    <s v="07"/>
    <x v="2"/>
    <n v="2"/>
    <n v="7"/>
    <s v="1051"/>
    <s v="1"/>
    <x v="1"/>
    <s v="South"/>
    <s v="16"/>
    <s v="DD-T03"/>
    <x v="1"/>
    <n v="65"/>
    <n v="65"/>
    <s v="ST"/>
    <n v="34.07"/>
    <n v="2214.5500000000002"/>
    <n v="1714.05"/>
    <s v="EUR"/>
  </r>
  <r>
    <s v=".1~16"/>
    <n v="16"/>
    <s v="D2"/>
    <s v="01"/>
    <s v="07"/>
    <x v="2"/>
    <n v="2"/>
    <n v="7"/>
    <s v="1048"/>
    <s v="1"/>
    <x v="2"/>
    <s v="West"/>
    <s v="16"/>
    <s v="DD-T04"/>
    <x v="2"/>
    <n v="17"/>
    <n v="17"/>
    <s v="ST"/>
    <n v="99.13"/>
    <n v="1685.21"/>
    <n v="1434.63"/>
    <s v="EUR"/>
  </r>
  <r>
    <s v=".1~17"/>
    <n v="17"/>
    <s v="D2"/>
    <s v="01"/>
    <s v="08"/>
    <x v="3"/>
    <n v="2"/>
    <n v="8"/>
    <s v="1062"/>
    <s v="1"/>
    <x v="0"/>
    <s v="North"/>
    <s v="16"/>
    <s v="DD-T01"/>
    <x v="0"/>
    <n v="76"/>
    <n v="76"/>
    <s v="ST"/>
    <n v="29.35"/>
    <n v="2230.6"/>
    <n v="1795.12"/>
    <s v="EUR"/>
  </r>
  <r>
    <s v=".1~18"/>
    <n v="18"/>
    <s v="D2"/>
    <s v="01"/>
    <s v="08"/>
    <x v="3"/>
    <n v="2"/>
    <n v="8"/>
    <s v="1062"/>
    <s v="2"/>
    <x v="0"/>
    <s v="North"/>
    <s v="16"/>
    <s v="DD-T01"/>
    <x v="0"/>
    <n v="19"/>
    <n v="19"/>
    <s v="ST"/>
    <n v="29.35"/>
    <n v="557.65"/>
    <n v="448.78"/>
    <s v="EUR"/>
  </r>
  <r>
    <s v=".1~19"/>
    <n v="19"/>
    <s v="D2"/>
    <s v="01"/>
    <s v="08"/>
    <x v="3"/>
    <n v="2"/>
    <n v="8"/>
    <s v="1057"/>
    <s v="1"/>
    <x v="0"/>
    <s v="North"/>
    <s v="16"/>
    <s v="DD-T01"/>
    <x v="0"/>
    <n v="81"/>
    <n v="81"/>
    <s v="ST"/>
    <n v="29.35"/>
    <n v="2377.35"/>
    <n v="1913.22"/>
    <s v="EUR"/>
  </r>
  <r>
    <s v=".1~20"/>
    <n v="20"/>
    <s v="D2"/>
    <s v="01"/>
    <s v="08"/>
    <x v="3"/>
    <n v="2"/>
    <n v="8"/>
    <s v="1057"/>
    <s v="2"/>
    <x v="0"/>
    <s v="North"/>
    <s v="16"/>
    <s v="DD-T03"/>
    <x v="1"/>
    <n v="44"/>
    <n v="44"/>
    <s v="ST"/>
    <n v="34.07"/>
    <n v="1499.08"/>
    <n v="1160.28"/>
    <s v="EUR"/>
  </r>
  <r>
    <s v=".1~21"/>
    <n v="21"/>
    <s v="D2"/>
    <s v="01"/>
    <s v="08"/>
    <x v="3"/>
    <n v="2"/>
    <n v="8"/>
    <s v="1071"/>
    <s v="1"/>
    <x v="1"/>
    <s v="South"/>
    <s v="16"/>
    <s v="DD-T01"/>
    <x v="0"/>
    <n v="60"/>
    <n v="60"/>
    <s v="ST"/>
    <n v="29.35"/>
    <n v="1761"/>
    <n v="1417.2"/>
    <s v="EUR"/>
  </r>
  <r>
    <s v=".1~22"/>
    <n v="22"/>
    <s v="D2"/>
    <s v="01"/>
    <s v="08"/>
    <x v="3"/>
    <n v="2"/>
    <n v="8"/>
    <s v="1067"/>
    <s v="1"/>
    <x v="2"/>
    <s v="West"/>
    <s v="16"/>
    <s v="DD-T03"/>
    <x v="1"/>
    <n v="44"/>
    <n v="44"/>
    <s v="ST"/>
    <n v="34.07"/>
    <n v="1499.08"/>
    <n v="1160.28"/>
    <s v="EUR"/>
  </r>
  <r>
    <s v=".1~23"/>
    <n v="23"/>
    <s v="D2"/>
    <s v="01"/>
    <s v="08"/>
    <x v="3"/>
    <n v="2"/>
    <n v="8"/>
    <s v="1067"/>
    <s v="2"/>
    <x v="2"/>
    <s v="West"/>
    <s v="16"/>
    <s v="DD-T04"/>
    <x v="2"/>
    <n v="19"/>
    <n v="19"/>
    <s v="ST"/>
    <n v="99.13"/>
    <n v="1883.47"/>
    <n v="1603.41"/>
    <s v="EUR"/>
  </r>
  <r>
    <s v=".1~24"/>
    <n v="24"/>
    <s v="D2"/>
    <s v="01"/>
    <s v="08"/>
    <x v="3"/>
    <n v="2"/>
    <n v="8"/>
    <s v="1064"/>
    <s v="1"/>
    <x v="2"/>
    <s v="West"/>
    <s v="16"/>
    <s v="DD-T04"/>
    <x v="2"/>
    <n v="17"/>
    <n v="17"/>
    <s v="ST"/>
    <n v="99.13"/>
    <n v="1685.21"/>
    <n v="1434.63"/>
    <s v="EUR"/>
  </r>
  <r>
    <s v=".1~25"/>
    <n v="25"/>
    <s v="D2"/>
    <s v="01"/>
    <s v="09"/>
    <x v="4"/>
    <n v="2"/>
    <n v="9"/>
    <s v="1085"/>
    <s v="1"/>
    <x v="0"/>
    <s v="North"/>
    <s v="16"/>
    <s v="DD-T01"/>
    <x v="0"/>
    <n v="54"/>
    <n v="54"/>
    <s v="ST"/>
    <n v="29.35"/>
    <n v="1584.9"/>
    <n v="1275.48"/>
    <s v="EUR"/>
  </r>
  <r>
    <s v=".1~26"/>
    <n v="26"/>
    <s v="D2"/>
    <s v="01"/>
    <s v="09"/>
    <x v="4"/>
    <n v="2"/>
    <n v="9"/>
    <s v="1081"/>
    <s v="1"/>
    <x v="0"/>
    <s v="North"/>
    <s v="16"/>
    <s v="DD-T03"/>
    <x v="1"/>
    <n v="57"/>
    <n v="57"/>
    <s v="ST"/>
    <n v="34.07"/>
    <n v="1941.99"/>
    <n v="1503.09"/>
    <s v="EUR"/>
  </r>
  <r>
    <s v=".1~27"/>
    <n v="27"/>
    <s v="D2"/>
    <s v="01"/>
    <s v="09"/>
    <x v="4"/>
    <n v="2"/>
    <n v="9"/>
    <s v="1081"/>
    <s v="2"/>
    <x v="0"/>
    <s v="North"/>
    <s v="16"/>
    <s v="DD-T05"/>
    <x v="4"/>
    <n v="26"/>
    <n v="26"/>
    <s v="ST"/>
    <n v="70.86"/>
    <n v="1842.36"/>
    <n v="1576.64"/>
    <s v="EUR"/>
  </r>
  <r>
    <s v=".1~28"/>
    <n v="28"/>
    <s v="D2"/>
    <s v="01"/>
    <s v="09"/>
    <x v="4"/>
    <n v="2"/>
    <n v="9"/>
    <s v="1088"/>
    <s v="3"/>
    <x v="1"/>
    <s v="South"/>
    <s v="16"/>
    <s v="DD-T03"/>
    <x v="1"/>
    <n v="54"/>
    <n v="54"/>
    <s v="ST"/>
    <n v="34.07"/>
    <n v="1839.78"/>
    <n v="1423.98"/>
    <s v="EUR"/>
  </r>
  <r>
    <s v=".1~29"/>
    <n v="29"/>
    <s v="D2"/>
    <s v="01"/>
    <s v="09"/>
    <x v="4"/>
    <n v="2"/>
    <n v="9"/>
    <s v="1088"/>
    <s v="2"/>
    <x v="1"/>
    <s v="South"/>
    <s v="16"/>
    <s v="DD-T03"/>
    <x v="1"/>
    <n v="56"/>
    <n v="56"/>
    <s v="ST"/>
    <n v="34.07"/>
    <n v="1907.92"/>
    <n v="1476.72"/>
    <s v="EUR"/>
  </r>
  <r>
    <s v=".1~30"/>
    <n v="30"/>
    <s v="D2"/>
    <s v="01"/>
    <s v="09"/>
    <x v="4"/>
    <n v="2"/>
    <n v="9"/>
    <s v="1088"/>
    <s v="1"/>
    <x v="1"/>
    <s v="South"/>
    <s v="16"/>
    <s v="DD-T05"/>
    <x v="4"/>
    <n v="31"/>
    <n v="31"/>
    <s v="ST"/>
    <n v="70.86"/>
    <n v="2196.66"/>
    <n v="1879.84"/>
    <s v="EUR"/>
  </r>
  <r>
    <s v=".1~31"/>
    <n v="31"/>
    <s v="D2"/>
    <s v="01"/>
    <s v="09"/>
    <x v="4"/>
    <n v="2"/>
    <n v="9"/>
    <s v="1078"/>
    <s v="1"/>
    <x v="2"/>
    <s v="West"/>
    <s v="16"/>
    <s v="DD-T04"/>
    <x v="2"/>
    <n v="23"/>
    <n v="23"/>
    <s v="ST"/>
    <n v="99.13"/>
    <n v="2279.9899999999998"/>
    <n v="1940.97"/>
    <s v="EUR"/>
  </r>
  <r>
    <s v=".1~32"/>
    <n v="32"/>
    <s v="D2"/>
    <s v="01"/>
    <s v="10"/>
    <x v="5"/>
    <n v="2"/>
    <n v="10"/>
    <s v="1093"/>
    <s v="2"/>
    <x v="0"/>
    <s v="North"/>
    <s v="16"/>
    <s v="DD-T02"/>
    <x v="3"/>
    <n v="19"/>
    <n v="19"/>
    <s v="ST"/>
    <n v="85.38"/>
    <n v="1622.22"/>
    <n v="1387.57"/>
    <s v="EUR"/>
  </r>
  <r>
    <s v=".1~33"/>
    <n v="33"/>
    <s v="D2"/>
    <s v="01"/>
    <s v="10"/>
    <x v="5"/>
    <n v="2"/>
    <n v="10"/>
    <s v="1093"/>
    <s v="1"/>
    <x v="0"/>
    <s v="North"/>
    <s v="16"/>
    <s v="DD-T05"/>
    <x v="4"/>
    <n v="6"/>
    <n v="6"/>
    <s v="ST"/>
    <n v="70.86"/>
    <n v="425.16"/>
    <n v="363.84"/>
    <s v="EUR"/>
  </r>
  <r>
    <s v=".1~34"/>
    <n v="34"/>
    <s v="D2"/>
    <s v="02"/>
    <s v="01"/>
    <x v="6"/>
    <n v="3"/>
    <n v="11"/>
    <s v="1110"/>
    <s v="2"/>
    <x v="0"/>
    <s v="North"/>
    <s v="16"/>
    <s v="DD-T01"/>
    <x v="0"/>
    <n v="71"/>
    <n v="71"/>
    <s v="ST"/>
    <n v="29.35"/>
    <n v="2083.85"/>
    <n v="1677.02"/>
    <s v="EUR"/>
  </r>
  <r>
    <s v=".1~35"/>
    <n v="35"/>
    <s v="D2"/>
    <s v="02"/>
    <s v="01"/>
    <x v="6"/>
    <n v="3"/>
    <n v="11"/>
    <s v="1110"/>
    <s v="3"/>
    <x v="0"/>
    <s v="North"/>
    <s v="16"/>
    <s v="DD-T01"/>
    <x v="0"/>
    <n v="7"/>
    <n v="7"/>
    <s v="ST"/>
    <n v="29.35"/>
    <n v="205.45"/>
    <n v="165.34"/>
    <s v="EUR"/>
  </r>
  <r>
    <s v=".1~36"/>
    <n v="36"/>
    <s v="D2"/>
    <s v="02"/>
    <s v="01"/>
    <x v="6"/>
    <n v="3"/>
    <n v="11"/>
    <s v="1117"/>
    <s v="1"/>
    <x v="0"/>
    <s v="North"/>
    <s v="16"/>
    <s v="DD-T01"/>
    <x v="0"/>
    <n v="64"/>
    <n v="64"/>
    <s v="ST"/>
    <n v="29.35"/>
    <n v="1878.4"/>
    <n v="1511.68"/>
    <s v="EUR"/>
  </r>
  <r>
    <s v=".1~37"/>
    <n v="37"/>
    <s v="D2"/>
    <s v="02"/>
    <s v="01"/>
    <x v="6"/>
    <n v="3"/>
    <n v="11"/>
    <s v="1110"/>
    <s v="1"/>
    <x v="0"/>
    <s v="North"/>
    <s v="16"/>
    <s v="DD-T05"/>
    <x v="4"/>
    <n v="22"/>
    <n v="22"/>
    <s v="ST"/>
    <n v="68.44"/>
    <n v="1505.68"/>
    <n v="1334.08"/>
    <s v="EUR"/>
  </r>
  <r>
    <s v=".1~38"/>
    <n v="38"/>
    <s v="D2"/>
    <s v="02"/>
    <s v="01"/>
    <x v="6"/>
    <n v="3"/>
    <n v="11"/>
    <s v="1114"/>
    <s v="1"/>
    <x v="1"/>
    <s v="South"/>
    <s v="16"/>
    <s v="DD-T01"/>
    <x v="0"/>
    <n v="57"/>
    <n v="57"/>
    <s v="ST"/>
    <n v="29.35"/>
    <n v="1672.95"/>
    <n v="1346.34"/>
    <s v="EUR"/>
  </r>
  <r>
    <s v=".1~39"/>
    <n v="39"/>
    <s v="D2"/>
    <s v="02"/>
    <s v="01"/>
    <x v="6"/>
    <n v="3"/>
    <n v="11"/>
    <s v="1107"/>
    <s v="1"/>
    <x v="2"/>
    <s v="West"/>
    <s v="16"/>
    <s v="DD-T01"/>
    <x v="0"/>
    <n v="51"/>
    <n v="51"/>
    <s v="ST"/>
    <n v="29.35"/>
    <n v="1496.85"/>
    <n v="1204.6199999999999"/>
    <s v="EUR"/>
  </r>
  <r>
    <s v=".1~40"/>
    <n v="40"/>
    <s v="D2"/>
    <s v="02"/>
    <s v="02"/>
    <x v="7"/>
    <n v="3"/>
    <n v="12"/>
    <s v="1127"/>
    <s v="1"/>
    <x v="0"/>
    <s v="North"/>
    <s v="16"/>
    <s v="DD-T05"/>
    <x v="4"/>
    <n v="3"/>
    <n v="3"/>
    <s v="ST"/>
    <n v="68.44"/>
    <n v="205.32"/>
    <n v="182.25"/>
    <s v="EUR"/>
  </r>
  <r>
    <s v=".1~41"/>
    <n v="41"/>
    <s v="D2"/>
    <s v="02"/>
    <s v="02"/>
    <x v="7"/>
    <n v="3"/>
    <n v="12"/>
    <s v="1124"/>
    <s v="2"/>
    <x v="1"/>
    <s v="South"/>
    <s v="16"/>
    <s v="DD-T02"/>
    <x v="3"/>
    <n v="28"/>
    <n v="28"/>
    <s v="ST"/>
    <n v="80.680000000000007"/>
    <n v="2259.04"/>
    <n v="2047.08"/>
    <s v="EUR"/>
  </r>
  <r>
    <s v=".1~42"/>
    <n v="42"/>
    <s v="D2"/>
    <s v="02"/>
    <s v="02"/>
    <x v="7"/>
    <n v="3"/>
    <n v="12"/>
    <s v="1130"/>
    <s v="1"/>
    <x v="1"/>
    <s v="South"/>
    <s v="16"/>
    <s v="DD-T02"/>
    <x v="3"/>
    <n v="27"/>
    <n v="27"/>
    <s v="ST"/>
    <n v="80.680000000000007"/>
    <n v="2178.36"/>
    <n v="1973.97"/>
    <s v="EUR"/>
  </r>
  <r>
    <s v=".1~43"/>
    <n v="43"/>
    <s v="D2"/>
    <s v="02"/>
    <s v="02"/>
    <x v="7"/>
    <n v="3"/>
    <n v="12"/>
    <s v="1124"/>
    <s v="1"/>
    <x v="1"/>
    <s v="South"/>
    <s v="16"/>
    <s v="DD-T03"/>
    <x v="1"/>
    <n v="63"/>
    <n v="63"/>
    <s v="ST"/>
    <n v="34.07"/>
    <n v="2146.41"/>
    <n v="1666.98"/>
    <s v="EUR"/>
  </r>
  <r>
    <s v=".1~44"/>
    <n v="44"/>
    <s v="D2"/>
    <s v="02"/>
    <s v="02"/>
    <x v="7"/>
    <n v="3"/>
    <n v="12"/>
    <s v="1124"/>
    <s v="3"/>
    <x v="1"/>
    <s v="South"/>
    <s v="16"/>
    <s v="DD-T03"/>
    <x v="1"/>
    <n v="22"/>
    <n v="22"/>
    <s v="ST"/>
    <n v="34.07"/>
    <n v="749.54"/>
    <n v="582.12"/>
    <s v="EUR"/>
  </r>
  <r>
    <s v=".1~45"/>
    <n v="45"/>
    <s v="D2"/>
    <s v="02"/>
    <s v="03"/>
    <x v="8"/>
    <n v="3"/>
    <n v="13"/>
    <s v="1134"/>
    <s v="9"/>
    <x v="0"/>
    <s v="North"/>
    <s v="16"/>
    <s v="DD-T01"/>
    <x v="0"/>
    <n v="56"/>
    <n v="56"/>
    <s v="ST"/>
    <n v="29.35"/>
    <n v="1643.6"/>
    <n v="1321.6"/>
    <s v="EUR"/>
  </r>
  <r>
    <s v=".1~46"/>
    <n v="46"/>
    <s v="D2"/>
    <s v="02"/>
    <s v="03"/>
    <x v="8"/>
    <n v="3"/>
    <n v="13"/>
    <s v="1134"/>
    <s v="4"/>
    <x v="0"/>
    <s v="North"/>
    <s v="16"/>
    <s v="DD-T01"/>
    <x v="0"/>
    <n v="63"/>
    <n v="63"/>
    <s v="ST"/>
    <n v="29.35"/>
    <n v="1849.05"/>
    <n v="1486.8"/>
    <s v="EUR"/>
  </r>
  <r>
    <s v=".1~47"/>
    <n v="47"/>
    <s v="D2"/>
    <s v="02"/>
    <s v="03"/>
    <x v="8"/>
    <n v="3"/>
    <n v="13"/>
    <s v="1134"/>
    <s v="2"/>
    <x v="0"/>
    <s v="North"/>
    <s v="16"/>
    <s v="DD-T01"/>
    <x v="0"/>
    <n v="83"/>
    <n v="83"/>
    <s v="ST"/>
    <n v="29.35"/>
    <n v="2436.0500000000002"/>
    <n v="1958.8"/>
    <s v="EUR"/>
  </r>
  <r>
    <s v=".1~48"/>
    <n v="48"/>
    <s v="D2"/>
    <s v="02"/>
    <s v="03"/>
    <x v="8"/>
    <n v="3"/>
    <n v="13"/>
    <s v="1134"/>
    <s v="1"/>
    <x v="0"/>
    <s v="North"/>
    <s v="16"/>
    <s v="DD-T03"/>
    <x v="1"/>
    <n v="62"/>
    <n v="62"/>
    <s v="ST"/>
    <n v="34.07"/>
    <n v="2112.34"/>
    <n v="1640.52"/>
    <s v="EUR"/>
  </r>
  <r>
    <s v=".1~49"/>
    <n v="49"/>
    <s v="D2"/>
    <s v="02"/>
    <s v="03"/>
    <x v="8"/>
    <n v="3"/>
    <n v="13"/>
    <s v="1134"/>
    <s v="3"/>
    <x v="0"/>
    <s v="North"/>
    <s v="16"/>
    <s v="DD-T05"/>
    <x v="4"/>
    <n v="23"/>
    <n v="23"/>
    <s v="ST"/>
    <n v="68.44"/>
    <n v="1574.12"/>
    <n v="1397.25"/>
    <s v="EUR"/>
  </r>
  <r>
    <s v=".1~50"/>
    <n v="50"/>
    <s v="D2"/>
    <s v="02"/>
    <s v="03"/>
    <x v="8"/>
    <n v="3"/>
    <n v="13"/>
    <s v="1142"/>
    <s v="3"/>
    <x v="1"/>
    <s v="South"/>
    <s v="16"/>
    <s v="DD-T01"/>
    <x v="0"/>
    <n v="68"/>
    <n v="68"/>
    <s v="ST"/>
    <n v="29.35"/>
    <n v="1995.8"/>
    <n v="1604.8"/>
    <s v="EUR"/>
  </r>
  <r>
    <s v=".1~51"/>
    <n v="51"/>
    <s v="D2"/>
    <s v="02"/>
    <s v="03"/>
    <x v="8"/>
    <n v="3"/>
    <n v="13"/>
    <s v="1142"/>
    <s v="1"/>
    <x v="1"/>
    <s v="South"/>
    <s v="16"/>
    <s v="DD-T03"/>
    <x v="1"/>
    <n v="65"/>
    <n v="65"/>
    <s v="ST"/>
    <n v="34.07"/>
    <n v="2214.5500000000002"/>
    <n v="1719.9"/>
    <s v="EUR"/>
  </r>
  <r>
    <s v=".1~52"/>
    <n v="52"/>
    <s v="D2"/>
    <s v="02"/>
    <s v="03"/>
    <x v="8"/>
    <n v="3"/>
    <n v="13"/>
    <s v="1142"/>
    <s v="2"/>
    <x v="1"/>
    <s v="South"/>
    <s v="16"/>
    <s v="DD-T05"/>
    <x v="4"/>
    <n v="36"/>
    <n v="36"/>
    <s v="ST"/>
    <n v="68.44"/>
    <n v="2463.84"/>
    <n v="2187"/>
    <s v="EUR"/>
  </r>
  <r>
    <s v=".1~53"/>
    <n v="53"/>
    <s v="D2"/>
    <s v="02"/>
    <s v="03"/>
    <x v="8"/>
    <n v="3"/>
    <n v="13"/>
    <s v="1138"/>
    <s v="1"/>
    <x v="2"/>
    <s v="West"/>
    <s v="16"/>
    <s v="DD-T01"/>
    <x v="0"/>
    <n v="50"/>
    <n v="50"/>
    <s v="ST"/>
    <n v="29.35"/>
    <n v="1467.5"/>
    <n v="1180"/>
    <s v="EUR"/>
  </r>
  <r>
    <s v=".1~54"/>
    <n v="54"/>
    <s v="D2"/>
    <s v="02"/>
    <s v="04"/>
    <x v="9"/>
    <n v="3"/>
    <n v="14"/>
    <s v="1157"/>
    <s v="2"/>
    <x v="0"/>
    <s v="North"/>
    <s v="16"/>
    <s v="DD-T01"/>
    <x v="0"/>
    <n v="18"/>
    <n v="18"/>
    <s v="ST"/>
    <n v="29.35"/>
    <n v="528.29999999999995"/>
    <n v="424.8"/>
    <s v="EUR"/>
  </r>
  <r>
    <s v=".1~55"/>
    <n v="55"/>
    <s v="D2"/>
    <s v="02"/>
    <s v="04"/>
    <x v="9"/>
    <n v="3"/>
    <n v="14"/>
    <s v="1157"/>
    <s v="1"/>
    <x v="0"/>
    <s v="North"/>
    <s v="16"/>
    <s v="DD-T02"/>
    <x v="3"/>
    <n v="29"/>
    <n v="29"/>
    <s v="ST"/>
    <n v="80.680000000000007"/>
    <n v="2339.7199999999998"/>
    <n v="2120.19"/>
    <s v="EUR"/>
  </r>
  <r>
    <s v=".1~56"/>
    <n v="56"/>
    <s v="D2"/>
    <s v="02"/>
    <s v="04"/>
    <x v="9"/>
    <n v="3"/>
    <n v="14"/>
    <s v="1152"/>
    <s v="2"/>
    <x v="0"/>
    <s v="North"/>
    <s v="16"/>
    <s v="DD-T03"/>
    <x v="1"/>
    <n v="51"/>
    <n v="51"/>
    <s v="ST"/>
    <n v="34.07"/>
    <n v="1737.57"/>
    <n v="1349.46"/>
    <s v="EUR"/>
  </r>
  <r>
    <s v=".1~57"/>
    <n v="57"/>
    <s v="D2"/>
    <s v="02"/>
    <s v="04"/>
    <x v="9"/>
    <n v="3"/>
    <n v="14"/>
    <s v="1157"/>
    <s v="3"/>
    <x v="0"/>
    <s v="North"/>
    <s v="16"/>
    <s v="DD-T05"/>
    <x v="4"/>
    <n v="6"/>
    <n v="6"/>
    <s v="ST"/>
    <n v="68.44"/>
    <n v="410.64"/>
    <n v="364.5"/>
    <s v="EUR"/>
  </r>
  <r>
    <s v=".1~58"/>
    <n v="58"/>
    <s v="D2"/>
    <s v="02"/>
    <s v="04"/>
    <x v="9"/>
    <n v="3"/>
    <n v="14"/>
    <s v="1152"/>
    <s v="1"/>
    <x v="0"/>
    <s v="North"/>
    <s v="16"/>
    <s v="DD-T05"/>
    <x v="4"/>
    <n v="31"/>
    <n v="31"/>
    <s v="ST"/>
    <n v="68.44"/>
    <n v="2121.64"/>
    <n v="1883.25"/>
    <s v="EUR"/>
  </r>
  <r>
    <s v=".1~59"/>
    <n v="59"/>
    <s v="D2"/>
    <s v="02"/>
    <s v="04"/>
    <x v="9"/>
    <n v="3"/>
    <n v="14"/>
    <s v="1165"/>
    <s v="1"/>
    <x v="1"/>
    <s v="South"/>
    <s v="16"/>
    <s v="DD-T03"/>
    <x v="1"/>
    <n v="62"/>
    <n v="62"/>
    <s v="ST"/>
    <n v="34.07"/>
    <n v="2112.34"/>
    <n v="1640.52"/>
    <s v="EUR"/>
  </r>
  <r>
    <s v=".1~60"/>
    <n v="60"/>
    <s v="D2"/>
    <s v="02"/>
    <s v="04"/>
    <x v="9"/>
    <n v="3"/>
    <n v="14"/>
    <s v="1167"/>
    <s v="1"/>
    <x v="1"/>
    <s v="South"/>
    <s v="16"/>
    <s v="DD-T05"/>
    <x v="4"/>
    <n v="34"/>
    <n v="34"/>
    <s v="ST"/>
    <n v="68.44"/>
    <n v="2326.96"/>
    <n v="2065.5"/>
    <s v="EUR"/>
  </r>
  <r>
    <s v=".1~61"/>
    <n v="61"/>
    <s v="D2"/>
    <s v="02"/>
    <s v="04"/>
    <x v="9"/>
    <n v="3"/>
    <n v="14"/>
    <s v="1162"/>
    <s v="1"/>
    <x v="2"/>
    <s v="West"/>
    <s v="16"/>
    <s v="DD-T04"/>
    <x v="2"/>
    <n v="17"/>
    <n v="17"/>
    <s v="ST"/>
    <n v="96.4"/>
    <n v="1638.8"/>
    <n v="1437.01"/>
    <s v="EUR"/>
  </r>
  <r>
    <s v=".1~62"/>
    <n v="62"/>
    <s v="D2"/>
    <s v="02"/>
    <s v="04"/>
    <x v="9"/>
    <n v="3"/>
    <n v="14"/>
    <s v="1147"/>
    <s v="1"/>
    <x v="2"/>
    <s v="West"/>
    <s v="16"/>
    <s v="DD-T04"/>
    <x v="2"/>
    <n v="17"/>
    <n v="17"/>
    <s v="ST"/>
    <n v="96.4"/>
    <n v="1638.8"/>
    <n v="1437.01"/>
    <s v="EUR"/>
  </r>
  <r>
    <s v=".1~63"/>
    <n v="63"/>
    <s v="D2"/>
    <s v="02"/>
    <s v="05"/>
    <x v="10"/>
    <n v="3"/>
    <n v="15"/>
    <s v="1173"/>
    <s v="1"/>
    <x v="0"/>
    <s v="North"/>
    <s v="16"/>
    <s v="DD-T01"/>
    <x v="0"/>
    <n v="64"/>
    <n v="64"/>
    <s v="ST"/>
    <n v="29.35"/>
    <n v="1878.4"/>
    <n v="1510.4"/>
    <s v="EUR"/>
  </r>
  <r>
    <s v=".1~64"/>
    <n v="64"/>
    <s v="D2"/>
    <s v="02"/>
    <s v="05"/>
    <x v="10"/>
    <n v="3"/>
    <n v="15"/>
    <s v="1176"/>
    <s v="1"/>
    <x v="0"/>
    <s v="North"/>
    <s v="16"/>
    <s v="DD-T03"/>
    <x v="1"/>
    <n v="60"/>
    <n v="60"/>
    <s v="ST"/>
    <n v="34.07"/>
    <n v="2044.2"/>
    <n v="1587.6"/>
    <s v="EUR"/>
  </r>
  <r>
    <s v=".1~65"/>
    <n v="65"/>
    <s v="D2"/>
    <s v="02"/>
    <s v="05"/>
    <x v="10"/>
    <n v="3"/>
    <n v="15"/>
    <s v="1173"/>
    <s v="2"/>
    <x v="0"/>
    <s v="North"/>
    <s v="16"/>
    <s v="DD-T04"/>
    <x v="2"/>
    <n v="21"/>
    <n v="21"/>
    <s v="ST"/>
    <n v="96.4"/>
    <n v="2024.4"/>
    <n v="1775.13"/>
    <s v="EUR"/>
  </r>
  <r>
    <s v=".1~66"/>
    <n v="66"/>
    <s v="D2"/>
    <s v="02"/>
    <s v="05"/>
    <x v="10"/>
    <n v="3"/>
    <n v="15"/>
    <s v="1186"/>
    <s v="1"/>
    <x v="1"/>
    <s v="South"/>
    <s v="16"/>
    <s v="DD-T03"/>
    <x v="1"/>
    <n v="53"/>
    <n v="53"/>
    <s v="ST"/>
    <n v="34.07"/>
    <n v="1805.71"/>
    <n v="1402.38"/>
    <s v="EUR"/>
  </r>
  <r>
    <s v=".1~67"/>
    <n v="67"/>
    <s v="D2"/>
    <s v="02"/>
    <s v="05"/>
    <x v="10"/>
    <n v="3"/>
    <n v="15"/>
    <s v="1191"/>
    <s v="1"/>
    <x v="1"/>
    <s v="South"/>
    <s v="16"/>
    <s v="DD-T04"/>
    <x v="2"/>
    <n v="23"/>
    <n v="23"/>
    <s v="ST"/>
    <n v="96.4"/>
    <n v="2217.1999999999998"/>
    <n v="1944.19"/>
    <s v="EUR"/>
  </r>
  <r>
    <s v=".1~68"/>
    <n v="68"/>
    <s v="D2"/>
    <s v="02"/>
    <s v="05"/>
    <x v="10"/>
    <n v="3"/>
    <n v="15"/>
    <s v="1191"/>
    <s v="2"/>
    <x v="1"/>
    <s v="South"/>
    <s v="16"/>
    <s v="DD-T05"/>
    <x v="4"/>
    <n v="36"/>
    <n v="36"/>
    <s v="ST"/>
    <n v="68.44"/>
    <n v="2463.84"/>
    <n v="2187"/>
    <s v="EUR"/>
  </r>
  <r>
    <s v=".1~69"/>
    <n v="69"/>
    <s v="D2"/>
    <s v="02"/>
    <s v="05"/>
    <x v="10"/>
    <n v="3"/>
    <n v="15"/>
    <s v="1181"/>
    <s v="1"/>
    <x v="2"/>
    <s v="West"/>
    <s v="16"/>
    <s v="DD-T04"/>
    <x v="2"/>
    <n v="25"/>
    <n v="25"/>
    <s v="ST"/>
    <n v="96.4"/>
    <n v="2410"/>
    <n v="2113.25"/>
    <s v="EUR"/>
  </r>
  <r>
    <s v=".1~70"/>
    <n v="70"/>
    <s v="D2"/>
    <s v="02"/>
    <s v="05"/>
    <x v="10"/>
    <n v="3"/>
    <n v="15"/>
    <s v="1181"/>
    <s v="2"/>
    <x v="2"/>
    <s v="West"/>
    <s v="16"/>
    <s v="DD-T04"/>
    <x v="2"/>
    <n v="24"/>
    <n v="24"/>
    <s v="ST"/>
    <n v="96.4"/>
    <n v="2313.6"/>
    <n v="2028.72"/>
    <s v="EUR"/>
  </r>
  <r>
    <s v=".1~71"/>
    <n v="71"/>
    <s v="D2"/>
    <s v="02"/>
    <s v="06"/>
    <x v="11"/>
    <n v="4"/>
    <n v="16"/>
    <s v="1207"/>
    <s v="2"/>
    <x v="0"/>
    <s v="North"/>
    <s v="16"/>
    <s v="DD-T01"/>
    <x v="0"/>
    <n v="73"/>
    <n v="73"/>
    <s v="ST"/>
    <n v="29.35"/>
    <n v="2142.5500000000002"/>
    <n v="1719.88"/>
    <s v="EUR"/>
  </r>
  <r>
    <s v=".1~72"/>
    <n v="72"/>
    <s v="D2"/>
    <s v="02"/>
    <s v="06"/>
    <x v="11"/>
    <n v="4"/>
    <n v="16"/>
    <s v="1207"/>
    <s v="4"/>
    <x v="0"/>
    <s v="North"/>
    <s v="16"/>
    <s v="DD-T01"/>
    <x v="0"/>
    <n v="27"/>
    <n v="27"/>
    <s v="ST"/>
    <n v="29.35"/>
    <n v="792.45"/>
    <n v="636.12"/>
    <s v="EUR"/>
  </r>
  <r>
    <s v=".1~73"/>
    <n v="73"/>
    <s v="D2"/>
    <s v="02"/>
    <s v="06"/>
    <x v="11"/>
    <n v="4"/>
    <n v="16"/>
    <s v="1202"/>
    <s v="1"/>
    <x v="0"/>
    <s v="North"/>
    <s v="16"/>
    <s v="DD-T01"/>
    <x v="0"/>
    <n v="56"/>
    <n v="56"/>
    <s v="ST"/>
    <n v="29.35"/>
    <n v="1643.6"/>
    <n v="1319.36"/>
    <s v="EUR"/>
  </r>
  <r>
    <s v=".1~74"/>
    <n v="74"/>
    <s v="D2"/>
    <s v="02"/>
    <s v="06"/>
    <x v="11"/>
    <n v="4"/>
    <n v="16"/>
    <s v="1202"/>
    <s v="3"/>
    <x v="0"/>
    <s v="North"/>
    <s v="16"/>
    <s v="DD-T03"/>
    <x v="1"/>
    <n v="60"/>
    <n v="60"/>
    <s v="ST"/>
    <n v="34.07"/>
    <n v="2044.2"/>
    <n v="1588.2"/>
    <s v="EUR"/>
  </r>
  <r>
    <s v=".1~75"/>
    <n v="75"/>
    <s v="D2"/>
    <s v="02"/>
    <s v="06"/>
    <x v="11"/>
    <n v="4"/>
    <n v="16"/>
    <s v="1207"/>
    <s v="3"/>
    <x v="0"/>
    <s v="North"/>
    <s v="16"/>
    <s v="DD-T05"/>
    <x v="4"/>
    <n v="31"/>
    <n v="31"/>
    <s v="ST"/>
    <n v="68.44"/>
    <n v="2121.64"/>
    <n v="1889.76"/>
    <s v="EUR"/>
  </r>
  <r>
    <s v=".1~76"/>
    <n v="76"/>
    <s v="D2"/>
    <s v="02"/>
    <s v="06"/>
    <x v="11"/>
    <n v="4"/>
    <n v="16"/>
    <s v="1207"/>
    <s v="1"/>
    <x v="0"/>
    <s v="North"/>
    <s v="16"/>
    <s v="DD-T06"/>
    <x v="5"/>
    <n v="23"/>
    <n v="23"/>
    <s v="ST"/>
    <n v="50"/>
    <n v="1150"/>
    <n v="1006.94"/>
    <s v="EUR"/>
  </r>
  <r>
    <s v=".1~77"/>
    <n v="77"/>
    <s v="D2"/>
    <s v="02"/>
    <s v="06"/>
    <x v="11"/>
    <n v="4"/>
    <n v="16"/>
    <s v="1202"/>
    <s v="2"/>
    <x v="0"/>
    <s v="North"/>
    <s v="16"/>
    <s v="DD-T06"/>
    <x v="5"/>
    <n v="47"/>
    <n v="47"/>
    <s v="ST"/>
    <n v="50"/>
    <n v="2350"/>
    <n v="2057.66"/>
    <s v="EUR"/>
  </r>
  <r>
    <s v=".1~78"/>
    <n v="78"/>
    <s v="D2"/>
    <s v="02"/>
    <s v="06"/>
    <x v="11"/>
    <n v="4"/>
    <n v="16"/>
    <s v="1211"/>
    <s v="1"/>
    <x v="1"/>
    <s v="South"/>
    <s v="16"/>
    <s v="DD-T02"/>
    <x v="3"/>
    <n v="19"/>
    <n v="19"/>
    <s v="ST"/>
    <n v="80.680000000000007"/>
    <n v="1532.92"/>
    <n v="1391.75"/>
    <s v="EUR"/>
  </r>
  <r>
    <s v=".1~79"/>
    <n v="79"/>
    <s v="D2"/>
    <s v="02"/>
    <s v="06"/>
    <x v="11"/>
    <n v="4"/>
    <n v="16"/>
    <s v="1211"/>
    <s v="5"/>
    <x v="1"/>
    <s v="South"/>
    <s v="16"/>
    <s v="DD-T03"/>
    <x v="1"/>
    <n v="44"/>
    <n v="44"/>
    <s v="ST"/>
    <n v="34.07"/>
    <n v="1499.08"/>
    <n v="1164.68"/>
    <s v="EUR"/>
  </r>
  <r>
    <s v=".1~80"/>
    <n v="80"/>
    <s v="D2"/>
    <s v="02"/>
    <s v="06"/>
    <x v="11"/>
    <n v="4"/>
    <n v="16"/>
    <s v="1211"/>
    <s v="6"/>
    <x v="1"/>
    <s v="South"/>
    <s v="16"/>
    <s v="DD-T03"/>
    <x v="1"/>
    <n v="4"/>
    <n v="4"/>
    <s v="ST"/>
    <n v="34.07"/>
    <n v="136.28"/>
    <n v="105.88"/>
    <s v="EUR"/>
  </r>
  <r>
    <s v=".1~81"/>
    <n v="81"/>
    <s v="D2"/>
    <s v="02"/>
    <s v="06"/>
    <x v="11"/>
    <n v="4"/>
    <n v="16"/>
    <s v="1211"/>
    <s v="2"/>
    <x v="1"/>
    <s v="South"/>
    <s v="16"/>
    <s v="DD-T06"/>
    <x v="5"/>
    <n v="35"/>
    <n v="35"/>
    <s v="ST"/>
    <n v="50"/>
    <n v="1750"/>
    <n v="1532.3"/>
    <s v="EUR"/>
  </r>
  <r>
    <s v=".1~82"/>
    <n v="82"/>
    <s v="D2"/>
    <s v="02"/>
    <s v="07"/>
    <x v="12"/>
    <n v="4"/>
    <n v="17"/>
    <s v="1223"/>
    <s v="1"/>
    <x v="1"/>
    <s v="South"/>
    <s v="16"/>
    <s v="DD-T03"/>
    <x v="1"/>
    <n v="68"/>
    <n v="68"/>
    <s v="ST"/>
    <n v="34.07"/>
    <n v="2316.7600000000002"/>
    <n v="1799.96"/>
    <s v="EUR"/>
  </r>
  <r>
    <s v=".1~83"/>
    <n v="83"/>
    <s v="D2"/>
    <s v="02"/>
    <s v="07"/>
    <x v="12"/>
    <n v="4"/>
    <n v="17"/>
    <s v="1223"/>
    <s v="2"/>
    <x v="1"/>
    <s v="South"/>
    <s v="16"/>
    <s v="DD-T05"/>
    <x v="4"/>
    <n v="28"/>
    <n v="28"/>
    <s v="ST"/>
    <n v="68.44"/>
    <n v="1916.32"/>
    <n v="1706.88"/>
    <s v="EUR"/>
  </r>
  <r>
    <s v=".1~84"/>
    <n v="84"/>
    <s v="D2"/>
    <s v="02"/>
    <s v="07"/>
    <x v="12"/>
    <n v="4"/>
    <n v="17"/>
    <s v="1219"/>
    <s v="1"/>
    <x v="2"/>
    <s v="West"/>
    <s v="16"/>
    <s v="DD-T04"/>
    <x v="2"/>
    <n v="23"/>
    <n v="23"/>
    <s v="ST"/>
    <n v="96.4"/>
    <n v="2217.1999999999998"/>
    <n v="1944.65"/>
    <s v="EUR"/>
  </r>
  <r>
    <s v=".1~85"/>
    <n v="85"/>
    <s v="D2"/>
    <s v="02"/>
    <s v="07"/>
    <x v="12"/>
    <n v="4"/>
    <n v="17"/>
    <s v="1219"/>
    <s v="2"/>
    <x v="2"/>
    <s v="West"/>
    <s v="16"/>
    <s v="DD-T06"/>
    <x v="5"/>
    <n v="33"/>
    <n v="33"/>
    <s v="ST"/>
    <n v="50"/>
    <n v="1650"/>
    <n v="1444.74"/>
    <s v="EUR"/>
  </r>
  <r>
    <s v=".1~86"/>
    <n v="86"/>
    <s v="D2"/>
    <s v="02"/>
    <s v="08"/>
    <x v="13"/>
    <n v="4"/>
    <n v="18"/>
    <s v="1241"/>
    <s v="2"/>
    <x v="0"/>
    <s v="North"/>
    <s v="16"/>
    <s v="DD-T01"/>
    <x v="0"/>
    <n v="77"/>
    <n v="77"/>
    <s v="ST"/>
    <n v="29.35"/>
    <n v="2259.9499999999998"/>
    <n v="1814.12"/>
    <s v="EUR"/>
  </r>
  <r>
    <s v=".1~87"/>
    <n v="87"/>
    <s v="D2"/>
    <s v="02"/>
    <s v="08"/>
    <x v="13"/>
    <n v="4"/>
    <n v="18"/>
    <s v="1236"/>
    <s v="1"/>
    <x v="0"/>
    <s v="North"/>
    <s v="16"/>
    <s v="DD-T01"/>
    <x v="0"/>
    <n v="56"/>
    <n v="56"/>
    <s v="ST"/>
    <n v="29.35"/>
    <n v="1643.6"/>
    <n v="1319.36"/>
    <s v="EUR"/>
  </r>
  <r>
    <s v=".1~88"/>
    <n v="88"/>
    <s v="D2"/>
    <s v="02"/>
    <s v="08"/>
    <x v="13"/>
    <n v="4"/>
    <n v="18"/>
    <s v="1241"/>
    <s v="3"/>
    <x v="0"/>
    <s v="North"/>
    <s v="16"/>
    <s v="DD-T02"/>
    <x v="3"/>
    <n v="18"/>
    <n v="18"/>
    <s v="ST"/>
    <n v="80.680000000000007"/>
    <n v="1452.24"/>
    <n v="1318.5"/>
    <s v="EUR"/>
  </r>
  <r>
    <s v=".1~89"/>
    <n v="89"/>
    <s v="D2"/>
    <s v="02"/>
    <s v="08"/>
    <x v="13"/>
    <n v="4"/>
    <n v="18"/>
    <s v="1236"/>
    <s v="2"/>
    <x v="0"/>
    <s v="North"/>
    <s v="16"/>
    <s v="DD-T03"/>
    <x v="1"/>
    <n v="65"/>
    <n v="65"/>
    <s v="ST"/>
    <n v="34.07"/>
    <n v="2214.5500000000002"/>
    <n v="1720.55"/>
    <s v="EUR"/>
  </r>
  <r>
    <s v=".1~90"/>
    <n v="90"/>
    <s v="D2"/>
    <s v="02"/>
    <s v="08"/>
    <x v="13"/>
    <n v="4"/>
    <n v="18"/>
    <s v="1241"/>
    <s v="1"/>
    <x v="0"/>
    <s v="North"/>
    <s v="16"/>
    <s v="DD-T06"/>
    <x v="5"/>
    <n v="41"/>
    <n v="41"/>
    <s v="ST"/>
    <n v="50"/>
    <n v="2050"/>
    <n v="1794.98"/>
    <s v="EUR"/>
  </r>
  <r>
    <s v=".1~91"/>
    <n v="91"/>
    <s v="D2"/>
    <s v="02"/>
    <s v="08"/>
    <x v="13"/>
    <n v="4"/>
    <n v="18"/>
    <s v="1252"/>
    <s v="1"/>
    <x v="1"/>
    <s v="South"/>
    <s v="16"/>
    <s v="DD-T03"/>
    <x v="1"/>
    <n v="27"/>
    <n v="27"/>
    <s v="ST"/>
    <n v="34.07"/>
    <n v="919.89"/>
    <n v="714.69"/>
    <s v="EUR"/>
  </r>
  <r>
    <s v=".1~92"/>
    <n v="92"/>
    <s v="D2"/>
    <s v="02"/>
    <s v="08"/>
    <x v="13"/>
    <n v="4"/>
    <n v="18"/>
    <s v="1255"/>
    <s v="1"/>
    <x v="1"/>
    <s v="South"/>
    <s v="16"/>
    <s v="DD-T05"/>
    <x v="4"/>
    <n v="28"/>
    <n v="28"/>
    <s v="ST"/>
    <n v="68.44"/>
    <n v="1916.32"/>
    <n v="1706.88"/>
    <s v="EUR"/>
  </r>
  <r>
    <s v=".1~93"/>
    <n v="93"/>
    <s v="D2"/>
    <s v="02"/>
    <s v="08"/>
    <x v="13"/>
    <n v="4"/>
    <n v="18"/>
    <s v="1246"/>
    <s v="3"/>
    <x v="2"/>
    <s v="West"/>
    <s v="16"/>
    <s v="DD-T01"/>
    <x v="0"/>
    <n v="50"/>
    <n v="50"/>
    <s v="ST"/>
    <n v="29.35"/>
    <n v="1467.5"/>
    <n v="1178"/>
    <s v="EUR"/>
  </r>
  <r>
    <s v=".1~94"/>
    <n v="94"/>
    <s v="D2"/>
    <s v="02"/>
    <s v="08"/>
    <x v="13"/>
    <n v="4"/>
    <n v="18"/>
    <s v="1246"/>
    <s v="1"/>
    <x v="2"/>
    <s v="West"/>
    <s v="16"/>
    <s v="DD-T03"/>
    <x v="1"/>
    <n v="55"/>
    <n v="55"/>
    <s v="ST"/>
    <n v="34.07"/>
    <n v="1873.85"/>
    <n v="1455.85"/>
    <s v="EUR"/>
  </r>
  <r>
    <s v=".1~95"/>
    <n v="95"/>
    <s v="D2"/>
    <s v="02"/>
    <s v="08"/>
    <x v="13"/>
    <n v="4"/>
    <n v="18"/>
    <s v="1246"/>
    <s v="2"/>
    <x v="2"/>
    <s v="West"/>
    <s v="16"/>
    <s v="DD-T04"/>
    <x v="2"/>
    <n v="24"/>
    <n v="24"/>
    <s v="ST"/>
    <n v="96.4"/>
    <n v="2313.6"/>
    <n v="2029.2"/>
    <s v="EUR"/>
  </r>
  <r>
    <s v=".1~96"/>
    <n v="96"/>
    <s v="D2"/>
    <s v="02"/>
    <s v="09"/>
    <x v="14"/>
    <n v="4"/>
    <n v="19"/>
    <s v="1267"/>
    <s v="1"/>
    <x v="0"/>
    <s v="North"/>
    <s v="16"/>
    <s v="DD-T01"/>
    <x v="0"/>
    <n v="13"/>
    <n v="13"/>
    <s v="ST"/>
    <n v="29.35"/>
    <n v="381.55"/>
    <n v="306.27999999999997"/>
    <s v="EUR"/>
  </r>
  <r>
    <s v=".1~97"/>
    <n v="97"/>
    <s v="D2"/>
    <s v="02"/>
    <s v="09"/>
    <x v="14"/>
    <n v="4"/>
    <n v="19"/>
    <s v="1272"/>
    <s v="1"/>
    <x v="0"/>
    <s v="North"/>
    <s v="16"/>
    <s v="DD-T06"/>
    <x v="5"/>
    <n v="19"/>
    <n v="19"/>
    <s v="ST"/>
    <n v="50"/>
    <n v="950"/>
    <n v="831.82"/>
    <s v="EUR"/>
  </r>
  <r>
    <s v=".1~98"/>
    <n v="98"/>
    <s v="D2"/>
    <s v="02"/>
    <s v="09"/>
    <x v="14"/>
    <n v="4"/>
    <n v="19"/>
    <s v="1275"/>
    <s v="2"/>
    <x v="1"/>
    <s v="South"/>
    <s v="16"/>
    <s v="DD-T02"/>
    <x v="3"/>
    <n v="25"/>
    <n v="25"/>
    <s v="ST"/>
    <n v="80.680000000000007"/>
    <n v="2017"/>
    <n v="1831.25"/>
    <s v="EUR"/>
  </r>
  <r>
    <s v=".1~99"/>
    <n v="99"/>
    <s v="D2"/>
    <s v="02"/>
    <s v="09"/>
    <x v="14"/>
    <n v="4"/>
    <n v="19"/>
    <s v="1275"/>
    <s v="1"/>
    <x v="1"/>
    <s v="South"/>
    <s v="16"/>
    <s v="DD-T03"/>
    <x v="1"/>
    <n v="48"/>
    <n v="48"/>
    <s v="ST"/>
    <n v="34.07"/>
    <n v="1635.36"/>
    <n v="1270.56"/>
    <s v="EUR"/>
  </r>
  <r>
    <s v=".1~100"/>
    <n v="100"/>
    <s v="D2"/>
    <s v="02"/>
    <s v="09"/>
    <x v="14"/>
    <n v="4"/>
    <n v="19"/>
    <s v="1275"/>
    <s v="3"/>
    <x v="1"/>
    <s v="South"/>
    <s v="16"/>
    <s v="DD-T03"/>
    <x v="1"/>
    <n v="22"/>
    <n v="22"/>
    <s v="ST"/>
    <n v="34.07"/>
    <n v="749.54"/>
    <n v="582.34"/>
    <s v="EUR"/>
  </r>
  <r>
    <s v=".1~101"/>
    <n v="101"/>
    <s v="D2"/>
    <s v="02"/>
    <s v="09"/>
    <x v="14"/>
    <n v="4"/>
    <n v="19"/>
    <s v="1275"/>
    <s v="7"/>
    <x v="1"/>
    <s v="South"/>
    <s v="16"/>
    <s v="DD-T03"/>
    <x v="1"/>
    <n v="53"/>
    <n v="53"/>
    <s v="ST"/>
    <n v="34.07"/>
    <n v="1805.71"/>
    <n v="1402.91"/>
    <s v="EUR"/>
  </r>
  <r>
    <s v=".1~102"/>
    <n v="102"/>
    <s v="D2"/>
    <s v="02"/>
    <s v="09"/>
    <x v="14"/>
    <n v="4"/>
    <n v="19"/>
    <s v="1263"/>
    <s v="1"/>
    <x v="2"/>
    <s v="West"/>
    <s v="16"/>
    <s v="DD-T04"/>
    <x v="2"/>
    <n v="25"/>
    <n v="25"/>
    <s v="ST"/>
    <n v="96.4"/>
    <n v="2410"/>
    <n v="2113.75"/>
    <s v="EUR"/>
  </r>
  <r>
    <s v=".1~103"/>
    <n v="103"/>
    <s v="D2"/>
    <s v="02"/>
    <s v="09"/>
    <x v="14"/>
    <n v="4"/>
    <n v="19"/>
    <s v="1258"/>
    <s v="1"/>
    <x v="2"/>
    <s v="West"/>
    <s v="16"/>
    <s v="DD-T05"/>
    <x v="4"/>
    <n v="35"/>
    <n v="35"/>
    <s v="ST"/>
    <n v="68.44"/>
    <n v="2395.4"/>
    <n v="2133.6"/>
    <s v="EUR"/>
  </r>
  <r>
    <s v=".1~104"/>
    <n v="104"/>
    <s v="D2"/>
    <s v="02"/>
    <s v="10"/>
    <x v="15"/>
    <n v="4"/>
    <n v="20"/>
    <s v="1283"/>
    <s v="1"/>
    <x v="1"/>
    <s v="South"/>
    <s v="16"/>
    <s v="DD-T03"/>
    <x v="1"/>
    <n v="27"/>
    <n v="27"/>
    <s v="ST"/>
    <n v="34.07"/>
    <n v="919.89"/>
    <n v="714.69"/>
    <s v="EUR"/>
  </r>
  <r>
    <s v=".1~105"/>
    <n v="105"/>
    <s v="D2"/>
    <s v="02"/>
    <s v="10"/>
    <x v="15"/>
    <n v="4"/>
    <n v="20"/>
    <s v="1279"/>
    <s v="1"/>
    <x v="2"/>
    <s v="West"/>
    <s v="16"/>
    <s v="DD-T01"/>
    <x v="0"/>
    <n v="50"/>
    <n v="50"/>
    <s v="ST"/>
    <n v="29.35"/>
    <n v="1467.5"/>
    <n v="1178"/>
    <s v="EUR"/>
  </r>
  <r>
    <s v=".1~106"/>
    <n v="106"/>
    <s v="D2"/>
    <s v="03"/>
    <s v="01"/>
    <x v="16"/>
    <n v="5"/>
    <n v="21"/>
    <s v="1298"/>
    <s v="1"/>
    <x v="1"/>
    <s v="South"/>
    <s v="16"/>
    <s v="DD-T05"/>
    <x v="4"/>
    <n v="33"/>
    <n v="33"/>
    <s v="ST"/>
    <n v="68.44"/>
    <n v="2258.52"/>
    <n v="2011.68"/>
    <s v="EUR"/>
  </r>
  <r>
    <s v=".1~107"/>
    <n v="107"/>
    <s v="D2"/>
    <s v="03"/>
    <s v="01"/>
    <x v="16"/>
    <n v="5"/>
    <n v="21"/>
    <s v="1293"/>
    <s v="1"/>
    <x v="2"/>
    <s v="West"/>
    <s v="16"/>
    <s v="DD-T04"/>
    <x v="2"/>
    <n v="23"/>
    <n v="23"/>
    <s v="ST"/>
    <n v="96.4"/>
    <n v="2217.1999999999998"/>
    <n v="1944.65"/>
    <s v="EUR"/>
  </r>
  <r>
    <s v=".1~108"/>
    <n v="108"/>
    <s v="D2"/>
    <s v="03"/>
    <s v="02"/>
    <x v="17"/>
    <n v="5"/>
    <n v="22"/>
    <s v="1323"/>
    <s v="1"/>
    <x v="0"/>
    <s v="North"/>
    <s v="16"/>
    <s v="DD-T01"/>
    <x v="0"/>
    <n v="1"/>
    <n v="1"/>
    <s v="ST"/>
    <n v="29.35"/>
    <n v="29.35"/>
    <n v="23.47"/>
    <s v="EUR"/>
  </r>
  <r>
    <s v=".1~109"/>
    <n v="109"/>
    <s v="D2"/>
    <s v="03"/>
    <s v="02"/>
    <x v="17"/>
    <n v="5"/>
    <n v="22"/>
    <s v="1325"/>
    <s v="1"/>
    <x v="1"/>
    <s v="South"/>
    <s v="16"/>
    <s v="DD-T02"/>
    <x v="3"/>
    <n v="7"/>
    <n v="7"/>
    <s v="ST"/>
    <n v="80.680000000000007"/>
    <n v="564.76"/>
    <n v="512.82000000000005"/>
    <s v="EUR"/>
  </r>
  <r>
    <s v=".1~110"/>
    <n v="110"/>
    <s v="D2"/>
    <s v="03"/>
    <s v="02"/>
    <x v="17"/>
    <n v="5"/>
    <n v="22"/>
    <s v="1318"/>
    <s v="2"/>
    <x v="1"/>
    <s v="South"/>
    <s v="16"/>
    <s v="DD-T02"/>
    <x v="3"/>
    <n v="14"/>
    <n v="14"/>
    <s v="ST"/>
    <n v="80.680000000000007"/>
    <n v="1129.52"/>
    <n v="1025.6400000000001"/>
    <s v="EUR"/>
  </r>
  <r>
    <s v=".1~111"/>
    <n v="111"/>
    <s v="D2"/>
    <s v="03"/>
    <s v="02"/>
    <x v="17"/>
    <n v="5"/>
    <n v="22"/>
    <s v="1318"/>
    <s v="1"/>
    <x v="1"/>
    <s v="South"/>
    <s v="16"/>
    <s v="DD-T03"/>
    <x v="1"/>
    <n v="56"/>
    <n v="56"/>
    <s v="ST"/>
    <n v="32.76"/>
    <n v="1834.56"/>
    <n v="1476.16"/>
    <s v="EUR"/>
  </r>
  <r>
    <s v=".1~112"/>
    <n v="112"/>
    <s v="D2"/>
    <s v="03"/>
    <s v="02"/>
    <x v="17"/>
    <n v="5"/>
    <n v="22"/>
    <s v="1325"/>
    <s v="2"/>
    <x v="1"/>
    <s v="South"/>
    <s v="16"/>
    <s v="DD-T05"/>
    <x v="4"/>
    <n v="30"/>
    <n v="30"/>
    <s v="ST"/>
    <n v="68.44"/>
    <n v="2053.1999999999998"/>
    <n v="1827.9"/>
    <s v="EUR"/>
  </r>
  <r>
    <s v=".1~113"/>
    <n v="113"/>
    <s v="D2"/>
    <s v="03"/>
    <s v="03"/>
    <x v="18"/>
    <n v="5"/>
    <n v="23"/>
    <s v="1333"/>
    <s v="2"/>
    <x v="0"/>
    <s v="North"/>
    <s v="16"/>
    <s v="DD-T01"/>
    <x v="0"/>
    <n v="71"/>
    <n v="71"/>
    <s v="ST"/>
    <n v="29.35"/>
    <n v="2083.85"/>
    <n v="1666.37"/>
    <s v="EUR"/>
  </r>
  <r>
    <s v=".1~114"/>
    <n v="114"/>
    <s v="D2"/>
    <s v="03"/>
    <s v="03"/>
    <x v="18"/>
    <n v="5"/>
    <n v="23"/>
    <s v="1333"/>
    <s v="6"/>
    <x v="0"/>
    <s v="North"/>
    <s v="16"/>
    <s v="DD-T01"/>
    <x v="0"/>
    <n v="77"/>
    <n v="77"/>
    <s v="ST"/>
    <n v="29.35"/>
    <n v="2259.9499999999998"/>
    <n v="1807.19"/>
    <s v="EUR"/>
  </r>
  <r>
    <s v=".1~115"/>
    <n v="115"/>
    <s v="D2"/>
    <s v="03"/>
    <s v="03"/>
    <x v="18"/>
    <n v="5"/>
    <n v="23"/>
    <s v="1333"/>
    <s v="1"/>
    <x v="0"/>
    <s v="North"/>
    <s v="16"/>
    <s v="DD-T03"/>
    <x v="1"/>
    <n v="58"/>
    <n v="58"/>
    <s v="ST"/>
    <n v="32.76"/>
    <n v="1900.08"/>
    <n v="1528.88"/>
    <s v="EUR"/>
  </r>
  <r>
    <s v=".1~116"/>
    <n v="116"/>
    <s v="D2"/>
    <s v="03"/>
    <s v="03"/>
    <x v="18"/>
    <n v="5"/>
    <n v="23"/>
    <s v="1333"/>
    <s v="5"/>
    <x v="0"/>
    <s v="North"/>
    <s v="16"/>
    <s v="DD-T06"/>
    <x v="5"/>
    <n v="44"/>
    <n v="44"/>
    <s v="ST"/>
    <n v="50"/>
    <n v="2200"/>
    <n v="1928.08"/>
    <s v="EUR"/>
  </r>
  <r>
    <s v=".1~117"/>
    <n v="117"/>
    <s v="D2"/>
    <s v="03"/>
    <s v="03"/>
    <x v="18"/>
    <n v="5"/>
    <n v="23"/>
    <s v="1333"/>
    <s v="7"/>
    <x v="0"/>
    <s v="North"/>
    <s v="16"/>
    <s v="DD-T06"/>
    <x v="5"/>
    <n v="16"/>
    <n v="16"/>
    <s v="ST"/>
    <n v="50"/>
    <n v="800"/>
    <n v="701.12"/>
    <s v="EUR"/>
  </r>
  <r>
    <s v=".1~118"/>
    <n v="118"/>
    <s v="D2"/>
    <s v="03"/>
    <s v="03"/>
    <x v="18"/>
    <n v="5"/>
    <n v="23"/>
    <s v="1339"/>
    <s v="1"/>
    <x v="1"/>
    <s v="South"/>
    <s v="16"/>
    <s v="DD-T03"/>
    <x v="1"/>
    <n v="61"/>
    <n v="61"/>
    <s v="ST"/>
    <n v="32.76"/>
    <n v="1998.36"/>
    <n v="1607.96"/>
    <s v="EUR"/>
  </r>
  <r>
    <s v=".1~119"/>
    <n v="119"/>
    <s v="D2"/>
    <s v="03"/>
    <s v="04"/>
    <x v="19"/>
    <n v="5"/>
    <n v="24"/>
    <s v="1349"/>
    <s v="1"/>
    <x v="0"/>
    <s v="North"/>
    <s v="16"/>
    <s v="DD-T01"/>
    <x v="0"/>
    <n v="63"/>
    <n v="63"/>
    <s v="ST"/>
    <n v="29.35"/>
    <n v="1849.05"/>
    <n v="1478.61"/>
    <s v="EUR"/>
  </r>
  <r>
    <s v=".1~120"/>
    <n v="120"/>
    <s v="D2"/>
    <s v="03"/>
    <s v="04"/>
    <x v="19"/>
    <n v="5"/>
    <n v="24"/>
    <s v="1353"/>
    <s v="1"/>
    <x v="0"/>
    <s v="North"/>
    <s v="16"/>
    <s v="DD-T01"/>
    <x v="0"/>
    <n v="9"/>
    <n v="9"/>
    <s v="ST"/>
    <n v="29.35"/>
    <n v="264.14999999999998"/>
    <n v="211.23"/>
    <s v="EUR"/>
  </r>
  <r>
    <s v=".1~121"/>
    <n v="121"/>
    <s v="D2"/>
    <s v="03"/>
    <s v="04"/>
    <x v="19"/>
    <n v="5"/>
    <n v="24"/>
    <s v="1349"/>
    <s v="2"/>
    <x v="0"/>
    <s v="North"/>
    <s v="16"/>
    <s v="DD-T05"/>
    <x v="4"/>
    <n v="22"/>
    <n v="22"/>
    <s v="ST"/>
    <n v="68.44"/>
    <n v="1505.68"/>
    <n v="1340.46"/>
    <s v="EUR"/>
  </r>
  <r>
    <s v=".1~122"/>
    <n v="122"/>
    <s v="D2"/>
    <s v="03"/>
    <s v="04"/>
    <x v="19"/>
    <n v="5"/>
    <n v="24"/>
    <s v="1353"/>
    <s v="2"/>
    <x v="0"/>
    <s v="North"/>
    <s v="16"/>
    <s v="DD-T05"/>
    <x v="4"/>
    <n v="25"/>
    <n v="25"/>
    <s v="ST"/>
    <n v="68.44"/>
    <n v="1711"/>
    <n v="1523.25"/>
    <s v="EUR"/>
  </r>
  <r>
    <s v=".1~123"/>
    <n v="123"/>
    <s v="D2"/>
    <s v="03"/>
    <s v="04"/>
    <x v="19"/>
    <n v="5"/>
    <n v="24"/>
    <s v="1360"/>
    <s v="1"/>
    <x v="1"/>
    <s v="South"/>
    <s v="16"/>
    <s v="DD-T03"/>
    <x v="1"/>
    <n v="41"/>
    <n v="41"/>
    <s v="ST"/>
    <n v="32.76"/>
    <n v="1343.16"/>
    <n v="1080.76"/>
    <s v="EUR"/>
  </r>
  <r>
    <s v=".1~124"/>
    <n v="124"/>
    <s v="D2"/>
    <s v="03"/>
    <s v="04"/>
    <x v="19"/>
    <n v="5"/>
    <n v="24"/>
    <s v="1361"/>
    <s v="1"/>
    <x v="1"/>
    <s v="South"/>
    <s v="16"/>
    <s v="DD-T03"/>
    <x v="1"/>
    <n v="63"/>
    <n v="63"/>
    <s v="ST"/>
    <n v="32.76"/>
    <n v="2063.88"/>
    <n v="1660.68"/>
    <s v="EUR"/>
  </r>
  <r>
    <s v=".1~125"/>
    <n v="125"/>
    <s v="D2"/>
    <s v="03"/>
    <s v="04"/>
    <x v="19"/>
    <n v="5"/>
    <n v="24"/>
    <s v="1361"/>
    <s v="2"/>
    <x v="1"/>
    <s v="South"/>
    <s v="16"/>
    <s v="DD-T04"/>
    <x v="2"/>
    <n v="22"/>
    <n v="22"/>
    <s v="ST"/>
    <n v="96.4"/>
    <n v="2120.8000000000002"/>
    <n v="1855.26"/>
    <s v="EUR"/>
  </r>
  <r>
    <s v=".1~126"/>
    <n v="126"/>
    <s v="D2"/>
    <s v="03"/>
    <s v="04"/>
    <x v="19"/>
    <n v="5"/>
    <n v="24"/>
    <s v="1361"/>
    <s v="3"/>
    <x v="1"/>
    <s v="South"/>
    <s v="16"/>
    <s v="DD-T05"/>
    <x v="4"/>
    <n v="24"/>
    <n v="24"/>
    <s v="ST"/>
    <n v="68.44"/>
    <n v="1642.56"/>
    <n v="1462.32"/>
    <s v="EUR"/>
  </r>
  <r>
    <s v=".1~127"/>
    <n v="127"/>
    <s v="D2"/>
    <s v="03"/>
    <s v="04"/>
    <x v="19"/>
    <n v="5"/>
    <n v="24"/>
    <s v="1357"/>
    <s v="2"/>
    <x v="2"/>
    <s v="West"/>
    <s v="16"/>
    <s v="DD-T01"/>
    <x v="0"/>
    <n v="75"/>
    <n v="75"/>
    <s v="ST"/>
    <n v="29.35"/>
    <n v="2201.25"/>
    <n v="1760.25"/>
    <s v="EUR"/>
  </r>
  <r>
    <s v=".1~128"/>
    <n v="128"/>
    <s v="D2"/>
    <s v="03"/>
    <s v="04"/>
    <x v="19"/>
    <n v="5"/>
    <n v="24"/>
    <s v="1357"/>
    <s v="1"/>
    <x v="2"/>
    <s v="West"/>
    <s v="16"/>
    <s v="DD-T04"/>
    <x v="2"/>
    <n v="22"/>
    <n v="22"/>
    <s v="ST"/>
    <n v="96.4"/>
    <n v="2120.8000000000002"/>
    <n v="1855.26"/>
    <s v="EUR"/>
  </r>
  <r>
    <s v=".1~129"/>
    <n v="129"/>
    <s v="D2"/>
    <s v="03"/>
    <s v="04"/>
    <x v="19"/>
    <n v="5"/>
    <n v="24"/>
    <s v="1345"/>
    <s v="1"/>
    <x v="2"/>
    <s v="West"/>
    <s v="16"/>
    <s v="DD-T06"/>
    <x v="5"/>
    <n v="35"/>
    <n v="35"/>
    <s v="ST"/>
    <n v="50"/>
    <n v="1750"/>
    <n v="1533.7"/>
    <s v="EUR"/>
  </r>
  <r>
    <s v=".1~130"/>
    <n v="130"/>
    <s v="D2"/>
    <s v="03"/>
    <s v="05"/>
    <x v="20"/>
    <n v="5"/>
    <n v="25"/>
    <s v="1364"/>
    <s v="2"/>
    <x v="0"/>
    <s v="North"/>
    <s v="16"/>
    <s v="DD-T01"/>
    <x v="0"/>
    <n v="11"/>
    <n v="11"/>
    <s v="ST"/>
    <n v="29.35"/>
    <n v="322.85000000000002"/>
    <n v="258.17"/>
    <s v="EUR"/>
  </r>
  <r>
    <s v=".1~131"/>
    <n v="131"/>
    <s v="D2"/>
    <s v="03"/>
    <s v="05"/>
    <x v="20"/>
    <n v="5"/>
    <n v="25"/>
    <s v="1364"/>
    <s v="3"/>
    <x v="0"/>
    <s v="North"/>
    <s v="16"/>
    <s v="DD-T02"/>
    <x v="3"/>
    <n v="29"/>
    <n v="29"/>
    <s v="ST"/>
    <n v="80.680000000000007"/>
    <n v="2339.7199999999998"/>
    <n v="2124.54"/>
    <s v="EUR"/>
  </r>
  <r>
    <s v=".1~132"/>
    <n v="132"/>
    <s v="D2"/>
    <s v="03"/>
    <s v="05"/>
    <x v="20"/>
    <n v="5"/>
    <n v="25"/>
    <s v="1364"/>
    <s v="1"/>
    <x v="0"/>
    <s v="North"/>
    <s v="16"/>
    <s v="DD-T05"/>
    <x v="4"/>
    <n v="13"/>
    <n v="13"/>
    <s v="ST"/>
    <n v="68.44"/>
    <n v="889.72"/>
    <n v="792.09"/>
    <s v="EUR"/>
  </r>
  <r>
    <s v=".1~133"/>
    <n v="133"/>
    <s v="D2"/>
    <s v="03"/>
    <s v="05"/>
    <x v="20"/>
    <n v="5"/>
    <n v="25"/>
    <s v="1378"/>
    <s v="1"/>
    <x v="1"/>
    <s v="South"/>
    <s v="16"/>
    <s v="DD-T05"/>
    <x v="4"/>
    <n v="17"/>
    <n v="17"/>
    <s v="ST"/>
    <n v="68.44"/>
    <n v="1163.48"/>
    <n v="1035.81"/>
    <s v="EUR"/>
  </r>
  <r>
    <s v=".1~134"/>
    <n v="134"/>
    <s v="D2"/>
    <s v="03"/>
    <s v="05"/>
    <x v="20"/>
    <n v="5"/>
    <n v="25"/>
    <s v="1373"/>
    <s v="1"/>
    <x v="1"/>
    <s v="South"/>
    <s v="16"/>
    <s v="DD-T05"/>
    <x v="4"/>
    <n v="29"/>
    <n v="29"/>
    <s v="ST"/>
    <n v="68.44"/>
    <n v="1984.76"/>
    <n v="1766.97"/>
    <s v="EUR"/>
  </r>
  <r>
    <s v=".1~135"/>
    <n v="135"/>
    <s v="D2"/>
    <s v="03"/>
    <s v="05"/>
    <x v="20"/>
    <n v="5"/>
    <n v="25"/>
    <s v="1373"/>
    <s v="2"/>
    <x v="1"/>
    <s v="South"/>
    <s v="16"/>
    <s v="DD-T06"/>
    <x v="5"/>
    <n v="39"/>
    <n v="39"/>
    <s v="ST"/>
    <n v="50"/>
    <n v="1950"/>
    <n v="1708.98"/>
    <s v="EUR"/>
  </r>
  <r>
    <s v=".1~136"/>
    <n v="136"/>
    <s v="D2"/>
    <s v="03"/>
    <s v="05"/>
    <x v="20"/>
    <n v="5"/>
    <n v="25"/>
    <s v="1369"/>
    <s v="1"/>
    <x v="2"/>
    <s v="West"/>
    <s v="16"/>
    <s v="DD-T06"/>
    <x v="5"/>
    <n v="5"/>
    <n v="5"/>
    <s v="ST"/>
    <n v="50"/>
    <n v="250"/>
    <n v="219.1"/>
    <s v="EUR"/>
  </r>
  <r>
    <s v=".1~137"/>
    <n v="137"/>
    <s v="D2"/>
    <s v="03"/>
    <s v="06"/>
    <x v="21"/>
    <n v="6"/>
    <n v="26"/>
    <s v="1388"/>
    <s v="2"/>
    <x v="0"/>
    <s v="North"/>
    <s v="16"/>
    <s v="DD-T01"/>
    <x v="0"/>
    <n v="70"/>
    <n v="70"/>
    <s v="ST"/>
    <n v="29.35"/>
    <n v="2054.5"/>
    <n v="1642.9"/>
    <s v="EUR"/>
  </r>
  <r>
    <s v=".1~138"/>
    <n v="138"/>
    <s v="D2"/>
    <s v="03"/>
    <s v="06"/>
    <x v="21"/>
    <n v="6"/>
    <n v="26"/>
    <s v="1385"/>
    <s v="1"/>
    <x v="0"/>
    <s v="North"/>
    <s v="16"/>
    <s v="DD-T03"/>
    <x v="1"/>
    <n v="52"/>
    <n v="52"/>
    <s v="ST"/>
    <n v="32.76"/>
    <n v="1703.52"/>
    <n v="1370.72"/>
    <s v="EUR"/>
  </r>
  <r>
    <s v=".1~139"/>
    <n v="139"/>
    <s v="D2"/>
    <s v="03"/>
    <s v="06"/>
    <x v="21"/>
    <n v="6"/>
    <n v="26"/>
    <s v="1388"/>
    <s v="1"/>
    <x v="0"/>
    <s v="North"/>
    <s v="16"/>
    <s v="DD-T06"/>
    <x v="5"/>
    <n v="46"/>
    <n v="46"/>
    <s v="ST"/>
    <n v="50"/>
    <n v="2300"/>
    <n v="2015.72"/>
    <s v="EUR"/>
  </r>
  <r>
    <s v=".1~140"/>
    <n v="140"/>
    <s v="D2"/>
    <s v="03"/>
    <s v="06"/>
    <x v="21"/>
    <n v="6"/>
    <n v="26"/>
    <s v="1394"/>
    <s v="1"/>
    <x v="1"/>
    <s v="South"/>
    <s v="16"/>
    <s v="DD-T01"/>
    <x v="0"/>
    <n v="27"/>
    <n v="27"/>
    <s v="ST"/>
    <n v="29.35"/>
    <n v="792.45"/>
    <n v="633.69000000000005"/>
    <s v="EUR"/>
  </r>
  <r>
    <s v=".1~141"/>
    <n v="141"/>
    <s v="D2"/>
    <s v="03"/>
    <s v="07"/>
    <x v="22"/>
    <n v="6"/>
    <n v="27"/>
    <s v="1400"/>
    <s v="1"/>
    <x v="0"/>
    <s v="North"/>
    <s v="16"/>
    <s v="DD-T01"/>
    <x v="0"/>
    <n v="60"/>
    <n v="60"/>
    <s v="ST"/>
    <n v="29.35"/>
    <n v="1761"/>
    <n v="1409.4"/>
    <s v="EUR"/>
  </r>
  <r>
    <s v=".1~142"/>
    <n v="142"/>
    <s v="D2"/>
    <s v="03"/>
    <s v="07"/>
    <x v="22"/>
    <n v="6"/>
    <n v="27"/>
    <s v="1403"/>
    <s v="2"/>
    <x v="0"/>
    <s v="North"/>
    <s v="16"/>
    <s v="DD-T01"/>
    <x v="0"/>
    <n v="81"/>
    <n v="81"/>
    <s v="ST"/>
    <n v="29.35"/>
    <n v="2377.35"/>
    <n v="1902.69"/>
    <s v="EUR"/>
  </r>
  <r>
    <s v=".1~143"/>
    <n v="143"/>
    <s v="D2"/>
    <s v="03"/>
    <s v="07"/>
    <x v="22"/>
    <n v="6"/>
    <n v="27"/>
    <s v="1403"/>
    <s v="3"/>
    <x v="0"/>
    <s v="North"/>
    <s v="16"/>
    <s v="DD-T02"/>
    <x v="3"/>
    <n v="21"/>
    <n v="21"/>
    <s v="ST"/>
    <n v="80.680000000000007"/>
    <n v="1694.28"/>
    <n v="1538.46"/>
    <s v="EUR"/>
  </r>
  <r>
    <s v=".1~144"/>
    <n v="144"/>
    <s v="D2"/>
    <s v="03"/>
    <s v="07"/>
    <x v="22"/>
    <n v="6"/>
    <n v="27"/>
    <s v="1403"/>
    <s v="1"/>
    <x v="0"/>
    <s v="North"/>
    <s v="16"/>
    <s v="DD-T03"/>
    <x v="1"/>
    <n v="54"/>
    <n v="54"/>
    <s v="ST"/>
    <n v="32.76"/>
    <n v="1769.04"/>
    <n v="1426.14"/>
    <s v="EUR"/>
  </r>
  <r>
    <s v=".1~145"/>
    <n v="145"/>
    <s v="D2"/>
    <s v="03"/>
    <s v="07"/>
    <x v="22"/>
    <n v="6"/>
    <n v="27"/>
    <s v="1408"/>
    <s v="1"/>
    <x v="1"/>
    <s v="South"/>
    <s v="16"/>
    <s v="DD-T03"/>
    <x v="1"/>
    <n v="74"/>
    <n v="74"/>
    <s v="ST"/>
    <n v="32.76"/>
    <n v="2424.2399999999998"/>
    <n v="1954.34"/>
    <s v="EUR"/>
  </r>
  <r>
    <s v=".1~146"/>
    <n v="146"/>
    <s v="D2"/>
    <s v="03"/>
    <s v="07"/>
    <x v="22"/>
    <n v="6"/>
    <n v="27"/>
    <s v="1408"/>
    <s v="2"/>
    <x v="1"/>
    <s v="South"/>
    <s v="16"/>
    <s v="DD-T03"/>
    <x v="1"/>
    <n v="35"/>
    <n v="35"/>
    <s v="ST"/>
    <n v="32.76"/>
    <n v="1146.5999999999999"/>
    <n v="924.35"/>
    <s v="EUR"/>
  </r>
  <r>
    <s v=".1~147"/>
    <n v="147"/>
    <s v="D2"/>
    <s v="03"/>
    <s v="07"/>
    <x v="22"/>
    <n v="6"/>
    <n v="27"/>
    <s v="1408"/>
    <s v="5"/>
    <x v="1"/>
    <s v="South"/>
    <s v="16"/>
    <s v="DD-T05"/>
    <x v="4"/>
    <n v="26"/>
    <n v="26"/>
    <s v="ST"/>
    <n v="68.44"/>
    <n v="1779.44"/>
    <n v="1587.56"/>
    <s v="EUR"/>
  </r>
  <r>
    <s v=".1~148"/>
    <n v="148"/>
    <s v="D2"/>
    <s v="03"/>
    <s v="07"/>
    <x v="22"/>
    <n v="6"/>
    <n v="27"/>
    <s v="1408"/>
    <s v="6"/>
    <x v="1"/>
    <s v="South"/>
    <s v="16"/>
    <s v="DD-T05"/>
    <x v="4"/>
    <n v="30"/>
    <n v="30"/>
    <s v="ST"/>
    <n v="68.44"/>
    <n v="2053.1999999999998"/>
    <n v="1831.8"/>
    <s v="EUR"/>
  </r>
  <r>
    <s v=".1~149"/>
    <n v="149"/>
    <s v="D2"/>
    <s v="03"/>
    <s v="08"/>
    <x v="23"/>
    <n v="6"/>
    <n v="28"/>
    <s v="1416"/>
    <s v="1"/>
    <x v="0"/>
    <s v="North"/>
    <s v="16"/>
    <s v="DD-T01"/>
    <x v="0"/>
    <n v="71"/>
    <n v="71"/>
    <s v="ST"/>
    <n v="29.35"/>
    <n v="2083.85"/>
    <n v="1667.79"/>
    <s v="EUR"/>
  </r>
  <r>
    <s v=".1~150"/>
    <n v="150"/>
    <s v="D2"/>
    <s v="03"/>
    <s v="08"/>
    <x v="23"/>
    <n v="6"/>
    <n v="28"/>
    <s v="1428"/>
    <s v="3"/>
    <x v="1"/>
    <s v="South"/>
    <s v="16"/>
    <s v="DD-T01"/>
    <x v="0"/>
    <n v="61"/>
    <n v="61"/>
    <s v="ST"/>
    <n v="29.35"/>
    <n v="1790.35"/>
    <n v="1432.89"/>
    <s v="EUR"/>
  </r>
  <r>
    <s v=".1~151"/>
    <n v="151"/>
    <s v="D2"/>
    <s v="03"/>
    <s v="08"/>
    <x v="23"/>
    <n v="6"/>
    <n v="28"/>
    <s v="1428"/>
    <s v="2"/>
    <x v="1"/>
    <s v="South"/>
    <s v="16"/>
    <s v="DD-T02"/>
    <x v="3"/>
    <n v="29"/>
    <n v="29"/>
    <s v="ST"/>
    <n v="80.680000000000007"/>
    <n v="2339.7199999999998"/>
    <n v="2124.54"/>
    <s v="EUR"/>
  </r>
  <r>
    <s v=".1~152"/>
    <n v="152"/>
    <s v="D2"/>
    <s v="03"/>
    <s v="08"/>
    <x v="23"/>
    <n v="6"/>
    <n v="28"/>
    <s v="1428"/>
    <s v="1"/>
    <x v="1"/>
    <s v="South"/>
    <s v="16"/>
    <s v="DD-T03"/>
    <x v="1"/>
    <n v="66"/>
    <n v="66"/>
    <s v="ST"/>
    <n v="32.76"/>
    <n v="2162.16"/>
    <n v="1743.06"/>
    <s v="EUR"/>
  </r>
  <r>
    <s v=".1~153"/>
    <n v="153"/>
    <s v="D2"/>
    <s v="03"/>
    <s v="08"/>
    <x v="23"/>
    <n v="6"/>
    <n v="28"/>
    <s v="1424"/>
    <s v="1"/>
    <x v="1"/>
    <s v="South"/>
    <s v="16"/>
    <s v="DD-T05"/>
    <x v="4"/>
    <n v="14"/>
    <n v="14"/>
    <s v="ST"/>
    <n v="68.44"/>
    <n v="958.16"/>
    <n v="854.84"/>
    <s v="EUR"/>
  </r>
  <r>
    <s v=".1~154"/>
    <n v="154"/>
    <s v="D2"/>
    <s v="03"/>
    <s v="08"/>
    <x v="23"/>
    <n v="6"/>
    <n v="28"/>
    <s v="1428"/>
    <s v="4"/>
    <x v="1"/>
    <s v="South"/>
    <s v="16"/>
    <s v="DD-T06"/>
    <x v="5"/>
    <n v="40"/>
    <n v="40"/>
    <s v="ST"/>
    <n v="50"/>
    <n v="2000"/>
    <n v="1761.2"/>
    <s v="EUR"/>
  </r>
  <r>
    <s v=".1~155"/>
    <n v="155"/>
    <s v="D2"/>
    <s v="03"/>
    <s v="08"/>
    <x v="23"/>
    <n v="6"/>
    <n v="28"/>
    <s v="1420"/>
    <s v="1"/>
    <x v="2"/>
    <s v="West"/>
    <s v="16"/>
    <s v="DD-T01"/>
    <x v="0"/>
    <n v="56"/>
    <n v="56"/>
    <s v="ST"/>
    <n v="29.35"/>
    <n v="1643.6"/>
    <n v="1315.44"/>
    <s v="EUR"/>
  </r>
  <r>
    <s v=".1~156"/>
    <n v="156"/>
    <s v="D2"/>
    <s v="03"/>
    <s v="09"/>
    <x v="24"/>
    <n v="6"/>
    <n v="29"/>
    <s v="1440"/>
    <s v="1"/>
    <x v="0"/>
    <s v="North"/>
    <s v="16"/>
    <s v="DD-T01"/>
    <x v="0"/>
    <n v="75"/>
    <n v="75"/>
    <s v="ST"/>
    <n v="29.35"/>
    <n v="2201.25"/>
    <n v="1761.75"/>
    <s v="EUR"/>
  </r>
  <r>
    <s v=".1~157"/>
    <n v="157"/>
    <s v="D2"/>
    <s v="03"/>
    <s v="09"/>
    <x v="24"/>
    <n v="6"/>
    <n v="29"/>
    <s v="1440"/>
    <s v="3"/>
    <x v="0"/>
    <s v="North"/>
    <s v="16"/>
    <s v="DD-T03"/>
    <x v="1"/>
    <n v="50"/>
    <n v="50"/>
    <s v="ST"/>
    <n v="32.76"/>
    <n v="1638"/>
    <n v="1320.5"/>
    <s v="EUR"/>
  </r>
  <r>
    <s v=".1~158"/>
    <n v="158"/>
    <s v="D2"/>
    <s v="03"/>
    <s v="09"/>
    <x v="24"/>
    <n v="6"/>
    <n v="29"/>
    <s v="1440"/>
    <s v="4"/>
    <x v="0"/>
    <s v="North"/>
    <s v="16"/>
    <s v="DD-T04"/>
    <x v="2"/>
    <n v="18"/>
    <n v="18"/>
    <s v="ST"/>
    <n v="96.4"/>
    <n v="1735.2"/>
    <n v="1517.94"/>
    <s v="EUR"/>
  </r>
  <r>
    <s v=".1~159"/>
    <n v="159"/>
    <s v="D2"/>
    <s v="03"/>
    <s v="09"/>
    <x v="24"/>
    <n v="6"/>
    <n v="29"/>
    <s v="1440"/>
    <s v="2"/>
    <x v="0"/>
    <s v="North"/>
    <s v="16"/>
    <s v="DD-T05"/>
    <x v="4"/>
    <n v="29"/>
    <n v="29"/>
    <s v="ST"/>
    <n v="68.44"/>
    <n v="1984.76"/>
    <n v="1770.74"/>
    <s v="EUR"/>
  </r>
  <r>
    <s v=".1~160"/>
    <n v="160"/>
    <s v="D2"/>
    <s v="03"/>
    <s v="09"/>
    <x v="24"/>
    <n v="6"/>
    <n v="29"/>
    <s v="1444"/>
    <s v="6"/>
    <x v="1"/>
    <s v="South"/>
    <s v="16"/>
    <s v="DD-T01"/>
    <x v="0"/>
    <n v="39"/>
    <n v="39"/>
    <s v="ST"/>
    <n v="29.35"/>
    <n v="1144.6500000000001"/>
    <n v="916.11"/>
    <s v="EUR"/>
  </r>
  <r>
    <s v=".1~161"/>
    <n v="161"/>
    <s v="D2"/>
    <s v="03"/>
    <s v="09"/>
    <x v="24"/>
    <n v="6"/>
    <n v="29"/>
    <s v="1444"/>
    <s v="4"/>
    <x v="1"/>
    <s v="South"/>
    <s v="16"/>
    <s v="DD-T03"/>
    <x v="1"/>
    <n v="42"/>
    <n v="42"/>
    <s v="ST"/>
    <n v="32.76"/>
    <n v="1375.92"/>
    <n v="1109.22"/>
    <s v="EUR"/>
  </r>
  <r>
    <s v=".1~162"/>
    <n v="162"/>
    <s v="D2"/>
    <s v="03"/>
    <s v="09"/>
    <x v="24"/>
    <n v="6"/>
    <n v="29"/>
    <s v="1444"/>
    <s v="1"/>
    <x v="1"/>
    <s v="South"/>
    <s v="16"/>
    <s v="DD-T03"/>
    <x v="1"/>
    <n v="67"/>
    <n v="67"/>
    <s v="ST"/>
    <n v="32.76"/>
    <n v="2194.92"/>
    <n v="1769.47"/>
    <s v="EUR"/>
  </r>
  <r>
    <s v=".1~163"/>
    <n v="163"/>
    <s v="D2"/>
    <s v="03"/>
    <s v="09"/>
    <x v="24"/>
    <n v="6"/>
    <n v="29"/>
    <s v="1444"/>
    <s v="5"/>
    <x v="1"/>
    <s v="South"/>
    <s v="16"/>
    <s v="DD-T05"/>
    <x v="4"/>
    <n v="30"/>
    <n v="30"/>
    <s v="ST"/>
    <n v="68.44"/>
    <n v="2053.1999999999998"/>
    <n v="1831.8"/>
    <s v="EUR"/>
  </r>
  <r>
    <s v=".1~164"/>
    <n v="164"/>
    <s v="D2"/>
    <s v="03"/>
    <s v="09"/>
    <x v="24"/>
    <n v="6"/>
    <n v="29"/>
    <s v="1444"/>
    <s v="3"/>
    <x v="1"/>
    <s v="South"/>
    <s v="16"/>
    <s v="DD-T05"/>
    <x v="4"/>
    <n v="26"/>
    <n v="26"/>
    <s v="ST"/>
    <n v="68.44"/>
    <n v="1779.44"/>
    <n v="1587.56"/>
    <s v="EUR"/>
  </r>
  <r>
    <s v=".1~165"/>
    <n v="165"/>
    <s v="D2"/>
    <s v="03"/>
    <s v="09"/>
    <x v="24"/>
    <n v="6"/>
    <n v="29"/>
    <s v="1436"/>
    <s v="1"/>
    <x v="2"/>
    <s v="West"/>
    <s v="16"/>
    <s v="DD-T04"/>
    <x v="2"/>
    <n v="22"/>
    <n v="22"/>
    <s v="ST"/>
    <n v="96.4"/>
    <n v="2120.8000000000002"/>
    <n v="1855.26"/>
    <s v="EUR"/>
  </r>
  <r>
    <s v=".1~166"/>
    <n v="166"/>
    <s v="D2"/>
    <s v="03"/>
    <s v="10"/>
    <x v="25"/>
    <n v="6"/>
    <n v="30"/>
    <s v="1452"/>
    <s v="4"/>
    <x v="0"/>
    <s v="North"/>
    <s v="16"/>
    <s v="DD-T01"/>
    <x v="0"/>
    <n v="63"/>
    <n v="63"/>
    <s v="ST"/>
    <n v="29.35"/>
    <n v="1849.05"/>
    <n v="1479.87"/>
    <s v="EUR"/>
  </r>
  <r>
    <s v=".1~167"/>
    <n v="167"/>
    <s v="D2"/>
    <s v="03"/>
    <s v="10"/>
    <x v="25"/>
    <n v="6"/>
    <n v="30"/>
    <s v="1452"/>
    <s v="3"/>
    <x v="0"/>
    <s v="North"/>
    <s v="16"/>
    <s v="DD-T01"/>
    <x v="0"/>
    <n v="78"/>
    <n v="78"/>
    <s v="ST"/>
    <n v="29.35"/>
    <n v="2289.3000000000002"/>
    <n v="1832.22"/>
    <s v="EUR"/>
  </r>
  <r>
    <s v=".1~168"/>
    <n v="168"/>
    <s v="D2"/>
    <s v="03"/>
    <s v="10"/>
    <x v="25"/>
    <n v="6"/>
    <n v="30"/>
    <s v="1452"/>
    <s v="5"/>
    <x v="0"/>
    <s v="North"/>
    <s v="16"/>
    <s v="DD-T02"/>
    <x v="3"/>
    <n v="23"/>
    <n v="23"/>
    <s v="ST"/>
    <n v="80.680000000000007"/>
    <n v="1855.64"/>
    <n v="1684.98"/>
    <s v="EUR"/>
  </r>
  <r>
    <s v=".1~169"/>
    <n v="169"/>
    <s v="D2"/>
    <s v="03"/>
    <s v="10"/>
    <x v="25"/>
    <n v="6"/>
    <n v="30"/>
    <s v="1452"/>
    <s v="1"/>
    <x v="0"/>
    <s v="North"/>
    <s v="16"/>
    <s v="DD-T06"/>
    <x v="5"/>
    <n v="41"/>
    <n v="41"/>
    <s v="ST"/>
    <n v="50"/>
    <n v="2050"/>
    <n v="1805.23"/>
    <s v="EUR"/>
  </r>
  <r>
    <s v=".1~170"/>
    <n v="170"/>
    <s v="D2"/>
    <s v="03"/>
    <s v="10"/>
    <x v="25"/>
    <n v="6"/>
    <n v="30"/>
    <s v="1460"/>
    <s v="1"/>
    <x v="1"/>
    <s v="South"/>
    <s v="16"/>
    <s v="DD-T03"/>
    <x v="1"/>
    <n v="52"/>
    <n v="52"/>
    <s v="ST"/>
    <n v="32.76"/>
    <n v="1703.52"/>
    <n v="1373.32"/>
    <s v="EUR"/>
  </r>
  <r>
    <s v=".1~171"/>
    <n v="171"/>
    <s v="D2"/>
    <s v="03"/>
    <s v="10"/>
    <x v="25"/>
    <n v="6"/>
    <n v="30"/>
    <s v="1463"/>
    <s v="1"/>
    <x v="1"/>
    <s v="South"/>
    <s v="16"/>
    <s v="DD-T05"/>
    <x v="4"/>
    <n v="14"/>
    <n v="14"/>
    <s v="ST"/>
    <n v="68.44"/>
    <n v="958.16"/>
    <n v="854.84"/>
    <s v="EUR"/>
  </r>
  <r>
    <s v=".1~172"/>
    <n v="172"/>
    <s v="D2"/>
    <s v="03"/>
    <s v="10"/>
    <x v="25"/>
    <n v="6"/>
    <n v="30"/>
    <s v="1456"/>
    <s v="2"/>
    <x v="2"/>
    <s v="West"/>
    <s v="16"/>
    <s v="DD-T04"/>
    <x v="2"/>
    <n v="18"/>
    <n v="18"/>
    <s v="ST"/>
    <n v="96.4"/>
    <n v="1735.2"/>
    <n v="1517.94"/>
    <s v="EUR"/>
  </r>
  <r>
    <s v=".1~173"/>
    <n v="173"/>
    <s v="D2"/>
    <s v="03"/>
    <s v="10"/>
    <x v="25"/>
    <n v="6"/>
    <n v="30"/>
    <s v="1456"/>
    <s v="1"/>
    <x v="2"/>
    <s v="West"/>
    <s v="16"/>
    <s v="DD-T06"/>
    <x v="5"/>
    <n v="30"/>
    <n v="30"/>
    <s v="ST"/>
    <n v="50"/>
    <n v="1500"/>
    <n v="1320.9"/>
    <s v="EUR"/>
  </r>
  <r>
    <m/>
    <m/>
    <m/>
    <m/>
    <m/>
    <x v="26"/>
    <m/>
    <m/>
    <m/>
    <m/>
    <x v="3"/>
    <m/>
    <m/>
    <m/>
    <x v="6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s v=".1~1"/>
    <n v="1"/>
    <s v="D2"/>
    <s v="01"/>
    <s v="01"/>
    <s v="01/01"/>
    <n v="1"/>
    <n v="1"/>
    <s v="11000"/>
    <s v="Machinery and equipment"/>
    <s v="Balance Sheet"/>
    <s v="Assets"/>
    <s v="Long-Term Assets"/>
    <s v=""/>
    <s v="Debit"/>
    <n v="250000"/>
    <s v="EUR"/>
  </r>
  <r>
    <s v=".1~2"/>
    <n v="2"/>
    <s v="D2"/>
    <s v="01"/>
    <s v="01"/>
    <s v="01/01"/>
    <n v="1"/>
    <n v="1"/>
    <s v="70000"/>
    <s v="Common stock"/>
    <s v="Balance Sheet"/>
    <s v="Liabilities and Owners' Equity"/>
    <s v="Equity"/>
    <s v="Shareholders Equity"/>
    <s v="Credit"/>
    <n v="-500000"/>
    <s v="EUR"/>
  </r>
  <r>
    <s v=".1~3"/>
    <n v="3"/>
    <s v="D2"/>
    <s v="01"/>
    <s v="01"/>
    <s v="01/01"/>
    <n v="1"/>
    <n v="1"/>
    <s v="113300"/>
    <s v="Bank Cash Account"/>
    <s v="Balance Sheet"/>
    <s v="Assets"/>
    <s v="Current Assets"/>
    <s v=""/>
    <s v="Credit"/>
    <n v="-250000"/>
    <s v="EUR"/>
  </r>
  <r>
    <s v=".1~4"/>
    <n v="4"/>
    <s v="D2"/>
    <s v="01"/>
    <s v="01"/>
    <s v="01/01"/>
    <n v="1"/>
    <n v="1"/>
    <s v="113300"/>
    <s v="Bank Cash Account"/>
    <s v="Balance Sheet"/>
    <s v="Assets"/>
    <s v="Current Assets"/>
    <s v=""/>
    <s v="Debit"/>
    <n v="500000"/>
    <s v="EUR"/>
  </r>
  <r>
    <s v=".1~5"/>
    <n v="5"/>
    <s v="D2"/>
    <s v="01"/>
    <s v="03"/>
    <s v="01/03"/>
    <n v="1"/>
    <n v="3"/>
    <s v="160000"/>
    <s v="Accounts payable-domestic"/>
    <s v="Balance Sheet"/>
    <s v="Liabilities and Owners' Equity"/>
    <s v="Liabilities"/>
    <s v="Current Liabilities"/>
    <s v="Credit"/>
    <n v="-165409.28"/>
    <s v="EUR"/>
  </r>
  <r>
    <s v=".1~6"/>
    <n v="6"/>
    <s v="D2"/>
    <s v="01"/>
    <s v="03"/>
    <s v="01/03"/>
    <n v="1"/>
    <n v="3"/>
    <s v="191100"/>
    <s v="GR/IR Clearing - External procurement"/>
    <s v="Balance Sheet"/>
    <s v="Liabilities and Owners' Equity"/>
    <s v="Liabilities"/>
    <s v="Current Liabilities"/>
    <s v="Credit"/>
    <n v="-164409.28"/>
    <s v="EUR"/>
  </r>
  <r>
    <s v=".1~7"/>
    <n v="7"/>
    <s v="D2"/>
    <s v="01"/>
    <s v="03"/>
    <s v="01/03"/>
    <n v="1"/>
    <n v="3"/>
    <s v="191100"/>
    <s v="GR/IR Clearing - External procurement"/>
    <s v="Balance Sheet"/>
    <s v="Liabilities and Owners' Equity"/>
    <s v="Liabilities"/>
    <s v="Current Liabilities"/>
    <s v="Debit"/>
    <n v="164409.28"/>
    <s v="EUR"/>
  </r>
  <r>
    <s v=".1~8"/>
    <n v="8"/>
    <s v="D2"/>
    <s v="01"/>
    <s v="03"/>
    <s v="01/03"/>
    <n v="1"/>
    <n v="3"/>
    <s v="192100"/>
    <s v="Freight clearing (MM)"/>
    <s v="Balance Sheet"/>
    <s v="Liabilities and Owners' Equity"/>
    <s v="Liabilities"/>
    <s v="Current Liabilities"/>
    <s v="Credit"/>
    <n v="-1000"/>
    <s v="EUR"/>
  </r>
  <r>
    <s v=".1~9"/>
    <n v="9"/>
    <s v="D2"/>
    <s v="01"/>
    <s v="03"/>
    <s v="01/03"/>
    <n v="1"/>
    <n v="3"/>
    <s v="192100"/>
    <s v="Freight clearing (MM)"/>
    <s v="Balance Sheet"/>
    <s v="Liabilities and Owners' Equity"/>
    <s v="Liabilities"/>
    <s v="Current Liabilities"/>
    <s v="Debit"/>
    <n v="1000"/>
    <s v="EUR"/>
  </r>
  <r>
    <s v=".1~10"/>
    <n v="10"/>
    <s v="D2"/>
    <s v="01"/>
    <s v="03"/>
    <s v="01/03"/>
    <n v="1"/>
    <n v="3"/>
    <s v="792000"/>
    <s v="Finished goods"/>
    <s v="Balance Sheet"/>
    <s v="Assets"/>
    <s v="Current Assets"/>
    <s v=""/>
    <s v="Debit"/>
    <n v="165409.28"/>
    <s v="EUR"/>
  </r>
  <r>
    <s v=".1~11"/>
    <n v="11"/>
    <s v="D2"/>
    <s v="01"/>
    <s v="04"/>
    <s v="01/04"/>
    <n v="1"/>
    <n v="4"/>
    <s v="113300"/>
    <s v="Bank Cash Account"/>
    <s v="Balance Sheet"/>
    <s v="Assets"/>
    <s v="Current Assets"/>
    <s v=""/>
    <s v="Credit"/>
    <n v="-300"/>
    <s v="EUR"/>
  </r>
  <r>
    <s v=".1~12"/>
    <n v="12"/>
    <s v="D2"/>
    <s v="01"/>
    <s v="04"/>
    <s v="01/04"/>
    <n v="1"/>
    <n v="4"/>
    <s v="472000"/>
    <s v="Shipping costs"/>
    <s v="Income Statement"/>
    <s v="Operating Expenses"/>
    <s v=""/>
    <s v=""/>
    <s v="Debit"/>
    <n v="300"/>
    <s v="EUR"/>
  </r>
  <r>
    <s v=".1~13"/>
    <n v="13"/>
    <s v="D2"/>
    <s v="01"/>
    <s v="05"/>
    <s v="01/05"/>
    <n v="1"/>
    <n v="5"/>
    <s v="140000"/>
    <s v="Customers - Domestic Receivables"/>
    <s v="Balance Sheet"/>
    <s v="Assets"/>
    <s v="Current Assets"/>
    <s v=""/>
    <s v="Debit"/>
    <n v="7873.92"/>
    <s v="EUR"/>
  </r>
  <r>
    <s v=".1~14"/>
    <n v="14"/>
    <s v="D2"/>
    <s v="01"/>
    <s v="05"/>
    <s v="01/05"/>
    <n v="1"/>
    <n v="5"/>
    <s v="400020"/>
    <s v="Raw mat.consumed/trading goods without cost center"/>
    <s v="Income Statement"/>
    <s v="Cost of Goods Sold"/>
    <s v=""/>
    <s v=""/>
    <s v="Debit"/>
    <n v="6219.86"/>
    <s v="EUR"/>
  </r>
  <r>
    <s v=".1~15"/>
    <n v="15"/>
    <s v="D2"/>
    <s v="01"/>
    <s v="05"/>
    <s v="01/05"/>
    <n v="1"/>
    <n v="5"/>
    <s v="792000"/>
    <s v="Finished goods"/>
    <s v="Balance Sheet"/>
    <s v="Assets"/>
    <s v="Current Assets"/>
    <s v=""/>
    <s v="Credit"/>
    <n v="-6219.86"/>
    <s v="EUR"/>
  </r>
  <r>
    <s v=".1~16"/>
    <n v="16"/>
    <s v="D2"/>
    <s v="01"/>
    <s v="05"/>
    <s v="01/05"/>
    <n v="1"/>
    <n v="5"/>
    <s v="800000"/>
    <s v="Sales revenues - domestic"/>
    <s v="Income Statement"/>
    <s v="Revenues"/>
    <s v=""/>
    <s v=""/>
    <s v="Credit"/>
    <n v="-7873.92"/>
    <s v="EUR"/>
  </r>
  <r>
    <s v=".1~17"/>
    <n v="17"/>
    <s v="D2"/>
    <s v="01"/>
    <s v="06"/>
    <s v="01/06"/>
    <n v="2"/>
    <n v="6"/>
    <s v="113300"/>
    <s v="Bank Cash Account"/>
    <s v="Balance Sheet"/>
    <s v="Assets"/>
    <s v="Current Assets"/>
    <s v=""/>
    <s v="Credit"/>
    <n v="-300"/>
    <s v="EUR"/>
  </r>
  <r>
    <s v=".1~18"/>
    <n v="18"/>
    <s v="D2"/>
    <s v="01"/>
    <s v="06"/>
    <s v="01/06"/>
    <n v="2"/>
    <n v="6"/>
    <s v="140000"/>
    <s v="Customers - Domestic Receivables"/>
    <s v="Balance Sheet"/>
    <s v="Assets"/>
    <s v="Current Assets"/>
    <s v=""/>
    <s v="Debit"/>
    <n v="7222.44"/>
    <s v="EUR"/>
  </r>
  <r>
    <s v=".1~19"/>
    <n v="19"/>
    <s v="D2"/>
    <s v="01"/>
    <s v="06"/>
    <s v="01/06"/>
    <n v="2"/>
    <n v="6"/>
    <s v="160000"/>
    <s v="Accounts payable-domestic"/>
    <s v="Balance Sheet"/>
    <s v="Liabilities and Owners' Equity"/>
    <s v="Liabilities"/>
    <s v="Current Liabilities"/>
    <s v="Credit"/>
    <n v="-1306.58"/>
    <s v="EUR"/>
  </r>
  <r>
    <s v=".1~20"/>
    <n v="20"/>
    <s v="D2"/>
    <s v="01"/>
    <s v="06"/>
    <s v="01/06"/>
    <n v="2"/>
    <n v="6"/>
    <s v="191100"/>
    <s v="GR/IR Clearing - External procurement"/>
    <s v="Balance Sheet"/>
    <s v="Liabilities and Owners' Equity"/>
    <s v="Liabilities"/>
    <s v="Current Liabilities"/>
    <s v="Credit"/>
    <n v="-306.58"/>
    <s v="EUR"/>
  </r>
  <r>
    <s v=".1~21"/>
    <n v="21"/>
    <s v="D2"/>
    <s v="01"/>
    <s v="06"/>
    <s v="01/06"/>
    <n v="2"/>
    <n v="6"/>
    <s v="191100"/>
    <s v="GR/IR Clearing - External procurement"/>
    <s v="Balance Sheet"/>
    <s v="Liabilities and Owners' Equity"/>
    <s v="Liabilities"/>
    <s v="Current Liabilities"/>
    <s v="Debit"/>
    <n v="306.58"/>
    <s v="EUR"/>
  </r>
  <r>
    <s v=".1~22"/>
    <n v="22"/>
    <s v="D2"/>
    <s v="01"/>
    <s v="06"/>
    <s v="01/06"/>
    <n v="2"/>
    <n v="6"/>
    <s v="192100"/>
    <s v="Freight clearing (MM)"/>
    <s v="Balance Sheet"/>
    <s v="Liabilities and Owners' Equity"/>
    <s v="Liabilities"/>
    <s v="Current Liabilities"/>
    <s v="Credit"/>
    <n v="-1000"/>
    <s v="EUR"/>
  </r>
  <r>
    <s v=".1~23"/>
    <n v="23"/>
    <s v="D2"/>
    <s v="01"/>
    <s v="06"/>
    <s v="01/06"/>
    <n v="2"/>
    <n v="6"/>
    <s v="192100"/>
    <s v="Freight clearing (MM)"/>
    <s v="Balance Sheet"/>
    <s v="Liabilities and Owners' Equity"/>
    <s v="Liabilities"/>
    <s v="Current Liabilities"/>
    <s v="Debit"/>
    <n v="1000"/>
    <s v="EUR"/>
  </r>
  <r>
    <s v=".1~24"/>
    <n v="24"/>
    <s v="D2"/>
    <s v="01"/>
    <s v="06"/>
    <s v="01/06"/>
    <n v="2"/>
    <n v="6"/>
    <s v="400020"/>
    <s v="Raw mat.consumed/trading goods without cost center"/>
    <s v="Income Statement"/>
    <s v="Cost of Goods Sold"/>
    <s v=""/>
    <s v=""/>
    <s v="Debit"/>
    <n v="5749.07"/>
    <s v="EUR"/>
  </r>
  <r>
    <s v=".1~25"/>
    <n v="25"/>
    <s v="D2"/>
    <s v="01"/>
    <s v="06"/>
    <s v="01/06"/>
    <n v="2"/>
    <n v="6"/>
    <s v="472000"/>
    <s v="Shipping costs"/>
    <s v="Income Statement"/>
    <s v="Operating Expenses"/>
    <s v=""/>
    <s v=""/>
    <s v="Debit"/>
    <n v="300"/>
    <s v="EUR"/>
  </r>
  <r>
    <s v=".1~26"/>
    <n v="26"/>
    <s v="D2"/>
    <s v="01"/>
    <s v="06"/>
    <s v="01/06"/>
    <n v="2"/>
    <n v="6"/>
    <s v="792000"/>
    <s v="Finished goods"/>
    <s v="Balance Sheet"/>
    <s v="Assets"/>
    <s v="Current Assets"/>
    <s v=""/>
    <s v="Credit"/>
    <n v="-5749.08"/>
    <s v="EUR"/>
  </r>
  <r>
    <s v=".1~27"/>
    <n v="27"/>
    <s v="D2"/>
    <s v="01"/>
    <s v="06"/>
    <s v="01/06"/>
    <n v="2"/>
    <n v="6"/>
    <s v="792000"/>
    <s v="Finished goods"/>
    <s v="Balance Sheet"/>
    <s v="Assets"/>
    <s v="Current Assets"/>
    <s v=""/>
    <s v="Debit"/>
    <n v="1306.5899999999999"/>
    <s v="EUR"/>
  </r>
  <r>
    <s v=".1~28"/>
    <n v="28"/>
    <s v="D2"/>
    <s v="01"/>
    <s v="06"/>
    <s v="01/06"/>
    <n v="2"/>
    <n v="6"/>
    <s v="800000"/>
    <s v="Sales revenues - domestic"/>
    <s v="Income Statement"/>
    <s v="Revenues"/>
    <s v=""/>
    <s v=""/>
    <s v="Credit"/>
    <n v="-7222.44"/>
    <s v="EUR"/>
  </r>
  <r>
    <s v=".1~29"/>
    <n v="29"/>
    <s v="D2"/>
    <s v="01"/>
    <s v="07"/>
    <s v="01/07"/>
    <n v="2"/>
    <n v="7"/>
    <s v="113300"/>
    <s v="Bank Cash Account"/>
    <s v="Balance Sheet"/>
    <s v="Assets"/>
    <s v="Current Assets"/>
    <s v=""/>
    <s v="Credit"/>
    <n v="-300"/>
    <s v="EUR"/>
  </r>
  <r>
    <s v=".1~30"/>
    <n v="30"/>
    <s v="D2"/>
    <s v="01"/>
    <s v="07"/>
    <s v="01/07"/>
    <n v="2"/>
    <n v="7"/>
    <s v="140000"/>
    <s v="Customers - Domestic Receivables"/>
    <s v="Balance Sheet"/>
    <s v="Assets"/>
    <s v="Current Assets"/>
    <s v=""/>
    <s v="Debit"/>
    <n v="9611.23"/>
    <s v="EUR"/>
  </r>
  <r>
    <s v=".1~31"/>
    <n v="31"/>
    <s v="D2"/>
    <s v="01"/>
    <s v="07"/>
    <s v="01/07"/>
    <n v="2"/>
    <n v="7"/>
    <s v="160000"/>
    <s v="Accounts payable-domestic"/>
    <s v="Balance Sheet"/>
    <s v="Liabilities and Owners' Equity"/>
    <s v="Liabilities"/>
    <s v="Current Liabilities"/>
    <s v="Credit"/>
    <n v="-7182.25"/>
    <s v="EUR"/>
  </r>
  <r>
    <s v=".1~32"/>
    <n v="32"/>
    <s v="D2"/>
    <s v="01"/>
    <s v="07"/>
    <s v="01/07"/>
    <n v="2"/>
    <n v="7"/>
    <s v="191100"/>
    <s v="GR/IR Clearing - External procurement"/>
    <s v="Balance Sheet"/>
    <s v="Liabilities and Owners' Equity"/>
    <s v="Liabilities"/>
    <s v="Current Liabilities"/>
    <s v="Credit"/>
    <n v="-6182.25"/>
    <s v="EUR"/>
  </r>
  <r>
    <s v=".1~33"/>
    <n v="33"/>
    <s v="D2"/>
    <s v="01"/>
    <s v="07"/>
    <s v="01/07"/>
    <n v="2"/>
    <n v="7"/>
    <s v="191100"/>
    <s v="GR/IR Clearing - External procurement"/>
    <s v="Balance Sheet"/>
    <s v="Liabilities and Owners' Equity"/>
    <s v="Liabilities"/>
    <s v="Current Liabilities"/>
    <s v="Debit"/>
    <n v="6182.25"/>
    <s v="EUR"/>
  </r>
  <r>
    <s v=".1~34"/>
    <n v="34"/>
    <s v="D2"/>
    <s v="01"/>
    <s v="07"/>
    <s v="01/07"/>
    <n v="2"/>
    <n v="7"/>
    <s v="192100"/>
    <s v="Freight clearing (MM)"/>
    <s v="Balance Sheet"/>
    <s v="Liabilities and Owners' Equity"/>
    <s v="Liabilities"/>
    <s v="Current Liabilities"/>
    <s v="Credit"/>
    <n v="-1000"/>
    <s v="EUR"/>
  </r>
  <r>
    <s v=".1~35"/>
    <n v="35"/>
    <s v="D2"/>
    <s v="01"/>
    <s v="07"/>
    <s v="01/07"/>
    <n v="2"/>
    <n v="7"/>
    <s v="192100"/>
    <s v="Freight clearing (MM)"/>
    <s v="Balance Sheet"/>
    <s v="Liabilities and Owners' Equity"/>
    <s v="Liabilities"/>
    <s v="Current Liabilities"/>
    <s v="Debit"/>
    <n v="1000"/>
    <s v="EUR"/>
  </r>
  <r>
    <s v=".1~36"/>
    <n v="36"/>
    <s v="D2"/>
    <s v="01"/>
    <s v="07"/>
    <s v="01/07"/>
    <n v="2"/>
    <n v="7"/>
    <s v="400020"/>
    <s v="Raw mat.consumed/trading goods without cost center"/>
    <s v="Income Statement"/>
    <s v="Cost of Goods Sold"/>
    <s v=""/>
    <s v=""/>
    <s v="Debit"/>
    <n v="7757.07"/>
    <s v="EUR"/>
  </r>
  <r>
    <s v=".1~37"/>
    <n v="37"/>
    <s v="D2"/>
    <s v="01"/>
    <s v="07"/>
    <s v="01/07"/>
    <n v="2"/>
    <n v="7"/>
    <s v="472000"/>
    <s v="Shipping costs"/>
    <s v="Income Statement"/>
    <s v="Operating Expenses"/>
    <s v=""/>
    <s v=""/>
    <s v="Debit"/>
    <n v="300"/>
    <s v="EUR"/>
  </r>
  <r>
    <s v=".1~38"/>
    <n v="38"/>
    <s v="D2"/>
    <s v="01"/>
    <s v="07"/>
    <s v="01/07"/>
    <n v="2"/>
    <n v="7"/>
    <s v="792000"/>
    <s v="Finished goods"/>
    <s v="Balance Sheet"/>
    <s v="Assets"/>
    <s v="Current Assets"/>
    <s v=""/>
    <s v="Credit"/>
    <n v="-7757.08"/>
    <s v="EUR"/>
  </r>
  <r>
    <s v=".1~39"/>
    <n v="39"/>
    <s v="D2"/>
    <s v="01"/>
    <s v="07"/>
    <s v="01/07"/>
    <n v="2"/>
    <n v="7"/>
    <s v="792000"/>
    <s v="Finished goods"/>
    <s v="Balance Sheet"/>
    <s v="Assets"/>
    <s v="Current Assets"/>
    <s v=""/>
    <s v="Debit"/>
    <n v="7182.26"/>
    <s v="EUR"/>
  </r>
  <r>
    <s v=".1~40"/>
    <n v="40"/>
    <s v="D2"/>
    <s v="01"/>
    <s v="07"/>
    <s v="01/07"/>
    <n v="2"/>
    <n v="7"/>
    <s v="800000"/>
    <s v="Sales revenues - domestic"/>
    <s v="Income Statement"/>
    <s v="Revenues"/>
    <s v=""/>
    <s v=""/>
    <s v="Credit"/>
    <n v="-9611.23"/>
    <s v="EUR"/>
  </r>
  <r>
    <s v=".1~41"/>
    <n v="41"/>
    <s v="D2"/>
    <s v="01"/>
    <s v="08"/>
    <s v="01/08"/>
    <n v="2"/>
    <n v="8"/>
    <s v="113300"/>
    <s v="Bank Cash Account"/>
    <s v="Balance Sheet"/>
    <s v="Assets"/>
    <s v="Current Assets"/>
    <s v=""/>
    <s v="Credit"/>
    <n v="-165709.28"/>
    <s v="EUR"/>
  </r>
  <r>
    <s v=".1~42"/>
    <n v="42"/>
    <s v="D2"/>
    <s v="01"/>
    <s v="08"/>
    <s v="01/08"/>
    <n v="2"/>
    <n v="8"/>
    <s v="140000"/>
    <s v="Customers - Domestic Receivables"/>
    <s v="Balance Sheet"/>
    <s v="Assets"/>
    <s v="Current Assets"/>
    <s v=""/>
    <s v="Debit"/>
    <n v="13493.44"/>
    <s v="EUR"/>
  </r>
  <r>
    <s v=".1~43"/>
    <n v="43"/>
    <s v="D2"/>
    <s v="01"/>
    <s v="08"/>
    <s v="01/08"/>
    <n v="2"/>
    <n v="8"/>
    <s v="160000"/>
    <s v="Accounts payable-domestic"/>
    <s v="Balance Sheet"/>
    <s v="Liabilities and Owners' Equity"/>
    <s v="Liabilities"/>
    <s v="Current Liabilities"/>
    <s v="Debit"/>
    <n v="165409.28"/>
    <s v="EUR"/>
  </r>
  <r>
    <s v=".1~44"/>
    <n v="44"/>
    <s v="D2"/>
    <s v="01"/>
    <s v="08"/>
    <s v="01/08"/>
    <n v="2"/>
    <n v="8"/>
    <s v="400020"/>
    <s v="Raw mat.consumed/trading goods without cost center"/>
    <s v="Income Statement"/>
    <s v="Cost of Goods Sold"/>
    <s v=""/>
    <s v=""/>
    <s v="Debit"/>
    <n v="10932.13"/>
    <s v="EUR"/>
  </r>
  <r>
    <s v=".1~45"/>
    <n v="45"/>
    <s v="D2"/>
    <s v="01"/>
    <s v="08"/>
    <s v="01/08"/>
    <n v="2"/>
    <n v="8"/>
    <s v="472000"/>
    <s v="Shipping costs"/>
    <s v="Income Statement"/>
    <s v="Operating Expenses"/>
    <s v=""/>
    <s v=""/>
    <s v="Debit"/>
    <n v="300"/>
    <s v="EUR"/>
  </r>
  <r>
    <s v=".1~46"/>
    <n v="46"/>
    <s v="D2"/>
    <s v="01"/>
    <s v="08"/>
    <s v="01/08"/>
    <n v="2"/>
    <n v="8"/>
    <s v="792000"/>
    <s v="Finished goods"/>
    <s v="Balance Sheet"/>
    <s v="Assets"/>
    <s v="Current Assets"/>
    <s v=""/>
    <s v="Credit"/>
    <n v="-10932.13"/>
    <s v="EUR"/>
  </r>
  <r>
    <s v=".1~47"/>
    <n v="47"/>
    <s v="D2"/>
    <s v="01"/>
    <s v="08"/>
    <s v="01/08"/>
    <n v="2"/>
    <n v="8"/>
    <s v="800000"/>
    <s v="Sales revenues - domestic"/>
    <s v="Income Statement"/>
    <s v="Revenues"/>
    <s v=""/>
    <s v=""/>
    <s v="Credit"/>
    <n v="-13493.44"/>
    <s v="EUR"/>
  </r>
  <r>
    <s v=".1~48"/>
    <n v="48"/>
    <s v="D2"/>
    <s v="01"/>
    <s v="09"/>
    <s v="01/09"/>
    <n v="2"/>
    <n v="9"/>
    <s v="113300"/>
    <s v="Bank Cash Account"/>
    <s v="Balance Sheet"/>
    <s v="Assets"/>
    <s v="Current Assets"/>
    <s v=""/>
    <s v="Credit"/>
    <n v="-300"/>
    <s v="EUR"/>
  </r>
  <r>
    <s v=".1~49"/>
    <n v="49"/>
    <s v="D2"/>
    <s v="01"/>
    <s v="09"/>
    <s v="01/09"/>
    <n v="2"/>
    <n v="9"/>
    <s v="113300"/>
    <s v="Bank Cash Account"/>
    <s v="Balance Sheet"/>
    <s v="Assets"/>
    <s v="Current Assets"/>
    <s v=""/>
    <s v="Debit"/>
    <n v="7873.92"/>
    <s v="EUR"/>
  </r>
  <r>
    <s v=".1~50"/>
    <n v="50"/>
    <s v="D2"/>
    <s v="01"/>
    <s v="09"/>
    <s v="01/09"/>
    <n v="2"/>
    <n v="9"/>
    <s v="140000"/>
    <s v="Customers - Domestic Receivables"/>
    <s v="Balance Sheet"/>
    <s v="Assets"/>
    <s v="Current Assets"/>
    <s v=""/>
    <s v="Credit"/>
    <n v="-7873.92"/>
    <s v="EUR"/>
  </r>
  <r>
    <s v=".1~51"/>
    <n v="51"/>
    <s v="D2"/>
    <s v="01"/>
    <s v="09"/>
    <s v="01/09"/>
    <n v="2"/>
    <n v="9"/>
    <s v="140000"/>
    <s v="Customers - Domestic Receivables"/>
    <s v="Balance Sheet"/>
    <s v="Assets"/>
    <s v="Current Assets"/>
    <s v=""/>
    <s v="Debit"/>
    <n v="13593.6"/>
    <s v="EUR"/>
  </r>
  <r>
    <s v=".1~52"/>
    <n v="52"/>
    <s v="D2"/>
    <s v="01"/>
    <s v="09"/>
    <s v="01/09"/>
    <n v="2"/>
    <n v="9"/>
    <s v="400020"/>
    <s v="Raw mat.consumed/trading goods without cost center"/>
    <s v="Income Statement"/>
    <s v="Cost of Goods Sold"/>
    <s v=""/>
    <s v=""/>
    <s v="Debit"/>
    <n v="11076.66"/>
    <s v="EUR"/>
  </r>
  <r>
    <s v=".1~53"/>
    <n v="53"/>
    <s v="D2"/>
    <s v="01"/>
    <s v="09"/>
    <s v="01/09"/>
    <n v="2"/>
    <n v="9"/>
    <s v="472000"/>
    <s v="Shipping costs"/>
    <s v="Income Statement"/>
    <s v="Operating Expenses"/>
    <s v=""/>
    <s v=""/>
    <s v="Debit"/>
    <n v="300"/>
    <s v="EUR"/>
  </r>
  <r>
    <s v=".1~54"/>
    <n v="54"/>
    <s v="D2"/>
    <s v="01"/>
    <s v="09"/>
    <s v="01/09"/>
    <n v="2"/>
    <n v="9"/>
    <s v="792000"/>
    <s v="Finished goods"/>
    <s v="Balance Sheet"/>
    <s v="Assets"/>
    <s v="Current Assets"/>
    <s v=""/>
    <s v="Credit"/>
    <n v="-11076.66"/>
    <s v="EUR"/>
  </r>
  <r>
    <s v=".1~55"/>
    <n v="55"/>
    <s v="D2"/>
    <s v="01"/>
    <s v="09"/>
    <s v="01/09"/>
    <n v="2"/>
    <n v="9"/>
    <s v="800000"/>
    <s v="Sales revenues - domestic"/>
    <s v="Income Statement"/>
    <s v="Revenues"/>
    <s v=""/>
    <s v=""/>
    <s v="Credit"/>
    <n v="-13593.6"/>
    <s v="EUR"/>
  </r>
  <r>
    <s v=".1~56"/>
    <n v="56"/>
    <s v="D2"/>
    <s v="01"/>
    <s v="10"/>
    <s v="01/10"/>
    <n v="2"/>
    <n v="10"/>
    <s v="113300"/>
    <s v="Bank Cash Account"/>
    <s v="Balance Sheet"/>
    <s v="Assets"/>
    <s v="Current Assets"/>
    <s v=""/>
    <s v="Credit"/>
    <n v="-300"/>
    <s v="EUR"/>
  </r>
  <r>
    <s v=".1~57"/>
    <n v="57"/>
    <s v="D2"/>
    <s v="01"/>
    <s v="10"/>
    <s v="01/10"/>
    <n v="2"/>
    <n v="10"/>
    <s v="113300"/>
    <s v="Bank Cash Account"/>
    <s v="Balance Sheet"/>
    <s v="Assets"/>
    <s v="Current Assets"/>
    <s v=""/>
    <s v="Debit"/>
    <n v="7222.44"/>
    <s v="EUR"/>
  </r>
  <r>
    <s v=".1~58"/>
    <n v="58"/>
    <s v="D2"/>
    <s v="01"/>
    <s v="10"/>
    <s v="01/10"/>
    <n v="2"/>
    <n v="10"/>
    <s v="140000"/>
    <s v="Customers - Domestic Receivables"/>
    <s v="Balance Sheet"/>
    <s v="Assets"/>
    <s v="Current Assets"/>
    <s v=""/>
    <s v="Credit"/>
    <n v="-7222.44"/>
    <s v="EUR"/>
  </r>
  <r>
    <s v=".1~59"/>
    <n v="59"/>
    <s v="D2"/>
    <s v="01"/>
    <s v="10"/>
    <s v="01/10"/>
    <n v="2"/>
    <n v="10"/>
    <s v="140000"/>
    <s v="Customers - Domestic Receivables"/>
    <s v="Balance Sheet"/>
    <s v="Assets"/>
    <s v="Current Assets"/>
    <s v=""/>
    <s v="Debit"/>
    <n v="2047.38"/>
    <s v="EUR"/>
  </r>
  <r>
    <s v=".1~60"/>
    <n v="60"/>
    <s v="D2"/>
    <s v="01"/>
    <s v="10"/>
    <s v="01/10"/>
    <n v="2"/>
    <n v="10"/>
    <s v="400020"/>
    <s v="Raw mat.consumed/trading goods without cost center"/>
    <s v="Income Statement"/>
    <s v="Cost of Goods Sold"/>
    <s v=""/>
    <s v=""/>
    <s v="Debit"/>
    <n v="1751.31"/>
    <s v="EUR"/>
  </r>
  <r>
    <s v=".1~61"/>
    <n v="61"/>
    <s v="D2"/>
    <s v="01"/>
    <s v="10"/>
    <s v="01/10"/>
    <n v="2"/>
    <n v="10"/>
    <s v="472000"/>
    <s v="Shipping costs"/>
    <s v="Income Statement"/>
    <s v="Operating Expenses"/>
    <s v=""/>
    <s v=""/>
    <s v="Debit"/>
    <n v="300"/>
    <s v="EUR"/>
  </r>
  <r>
    <s v=".1~62"/>
    <n v="62"/>
    <s v="D2"/>
    <s v="01"/>
    <s v="10"/>
    <s v="01/10"/>
    <n v="2"/>
    <n v="10"/>
    <s v="792000"/>
    <s v="Finished goods"/>
    <s v="Balance Sheet"/>
    <s v="Assets"/>
    <s v="Current Assets"/>
    <s v=""/>
    <s v="Credit"/>
    <n v="-1751.31"/>
    <s v="EUR"/>
  </r>
  <r>
    <s v=".1~63"/>
    <n v="63"/>
    <s v="D2"/>
    <s v="01"/>
    <s v="10"/>
    <s v="01/10"/>
    <n v="2"/>
    <n v="10"/>
    <s v="800000"/>
    <s v="Sales revenues - domestic"/>
    <s v="Income Statement"/>
    <s v="Revenues"/>
    <s v=""/>
    <s v=""/>
    <s v="Credit"/>
    <n v="-2047.38"/>
    <s v="EUR"/>
  </r>
  <r>
    <s v=".1~64"/>
    <n v="64"/>
    <s v="D2"/>
    <s v="02"/>
    <s v="01"/>
    <s v="02/01"/>
    <n v="3"/>
    <n v="11"/>
    <s v="113300"/>
    <s v="Bank Cash Account"/>
    <s v="Balance Sheet"/>
    <s v="Assets"/>
    <s v="Current Assets"/>
    <s v=""/>
    <s v="Credit"/>
    <n v="-1606.58"/>
    <s v="EUR"/>
  </r>
  <r>
    <s v=".1~65"/>
    <n v="65"/>
    <s v="D2"/>
    <s v="02"/>
    <s v="01"/>
    <s v="02/01"/>
    <n v="3"/>
    <n v="11"/>
    <s v="113300"/>
    <s v="Bank Cash Account"/>
    <s v="Balance Sheet"/>
    <s v="Assets"/>
    <s v="Current Assets"/>
    <s v=""/>
    <s v="Debit"/>
    <n v="9611.23"/>
    <s v="EUR"/>
  </r>
  <r>
    <s v=".1~66"/>
    <n v="66"/>
    <s v="D2"/>
    <s v="02"/>
    <s v="01"/>
    <s v="02/01"/>
    <n v="3"/>
    <n v="11"/>
    <s v="140000"/>
    <s v="Customers - Domestic Receivables"/>
    <s v="Balance Sheet"/>
    <s v="Assets"/>
    <s v="Current Assets"/>
    <s v=""/>
    <s v="Credit"/>
    <n v="-9611.23"/>
    <s v="EUR"/>
  </r>
  <r>
    <s v=".1~67"/>
    <n v="67"/>
    <s v="D2"/>
    <s v="02"/>
    <s v="01"/>
    <s v="02/01"/>
    <n v="3"/>
    <n v="11"/>
    <s v="140000"/>
    <s v="Customers - Domestic Receivables"/>
    <s v="Balance Sheet"/>
    <s v="Assets"/>
    <s v="Current Assets"/>
    <s v=""/>
    <s v="Debit"/>
    <n v="8843.18"/>
    <s v="EUR"/>
  </r>
  <r>
    <s v=".1~68"/>
    <n v="68"/>
    <s v="D2"/>
    <s v="02"/>
    <s v="01"/>
    <s v="02/01"/>
    <n v="3"/>
    <n v="11"/>
    <s v="160000"/>
    <s v="Accounts payable-domestic"/>
    <s v="Balance Sheet"/>
    <s v="Liabilities and Owners' Equity"/>
    <s v="Liabilities"/>
    <s v="Current Liabilities"/>
    <s v="Debit"/>
    <n v="1306.58"/>
    <s v="EUR"/>
  </r>
  <r>
    <s v=".1~69"/>
    <n v="69"/>
    <s v="D2"/>
    <s v="02"/>
    <s v="01"/>
    <s v="02/01"/>
    <n v="3"/>
    <n v="11"/>
    <s v="400020"/>
    <s v="Raw mat.consumed/trading goods without cost center"/>
    <s v="Income Statement"/>
    <s v="Cost of Goods Sold"/>
    <s v=""/>
    <s v=""/>
    <s v="Debit"/>
    <n v="7237.94"/>
    <s v="EUR"/>
  </r>
  <r>
    <s v=".1~70"/>
    <n v="70"/>
    <s v="D2"/>
    <s v="02"/>
    <s v="01"/>
    <s v="02/01"/>
    <n v="3"/>
    <n v="11"/>
    <s v="472000"/>
    <s v="Shipping costs"/>
    <s v="Income Statement"/>
    <s v="Operating Expenses"/>
    <s v=""/>
    <s v=""/>
    <s v="Debit"/>
    <n v="300"/>
    <s v="EUR"/>
  </r>
  <r>
    <s v=".1~71"/>
    <n v="71"/>
    <s v="D2"/>
    <s v="02"/>
    <s v="01"/>
    <s v="02/01"/>
    <n v="3"/>
    <n v="11"/>
    <s v="792000"/>
    <s v="Finished goods"/>
    <s v="Balance Sheet"/>
    <s v="Assets"/>
    <s v="Current Assets"/>
    <s v=""/>
    <s v="Credit"/>
    <n v="-7237.94"/>
    <s v="EUR"/>
  </r>
  <r>
    <s v=".1~72"/>
    <n v="72"/>
    <s v="D2"/>
    <s v="02"/>
    <s v="01"/>
    <s v="02/01"/>
    <n v="3"/>
    <n v="11"/>
    <s v="800000"/>
    <s v="Sales revenues - domestic"/>
    <s v="Income Statement"/>
    <s v="Revenues"/>
    <s v=""/>
    <s v=""/>
    <s v="Credit"/>
    <n v="-8843.18"/>
    <s v="EUR"/>
  </r>
  <r>
    <s v=".1~73"/>
    <n v="73"/>
    <s v="D2"/>
    <s v="02"/>
    <s v="02"/>
    <s v="02/02"/>
    <n v="3"/>
    <n v="12"/>
    <s v="113300"/>
    <s v="Bank Cash Account"/>
    <s v="Balance Sheet"/>
    <s v="Assets"/>
    <s v="Current Assets"/>
    <s v=""/>
    <s v="Credit"/>
    <n v="-7482.25"/>
    <s v="EUR"/>
  </r>
  <r>
    <s v=".1~74"/>
    <n v="74"/>
    <s v="D2"/>
    <s v="02"/>
    <s v="02"/>
    <s v="02/02"/>
    <n v="3"/>
    <n v="12"/>
    <s v="113300"/>
    <s v="Bank Cash Account"/>
    <s v="Balance Sheet"/>
    <s v="Assets"/>
    <s v="Current Assets"/>
    <s v=""/>
    <s v="Debit"/>
    <n v="13493.44"/>
    <s v="EUR"/>
  </r>
  <r>
    <s v=".1~75"/>
    <n v="75"/>
    <s v="D2"/>
    <s v="02"/>
    <s v="02"/>
    <s v="02/02"/>
    <n v="3"/>
    <n v="12"/>
    <s v="140000"/>
    <s v="Customers - Domestic Receivables"/>
    <s v="Balance Sheet"/>
    <s v="Assets"/>
    <s v="Current Assets"/>
    <s v=""/>
    <s v="Credit"/>
    <n v="-13493.44"/>
    <s v="EUR"/>
  </r>
  <r>
    <s v=".1~76"/>
    <n v="76"/>
    <s v="D2"/>
    <s v="02"/>
    <s v="02"/>
    <s v="02/02"/>
    <n v="3"/>
    <n v="12"/>
    <s v="140000"/>
    <s v="Customers - Domestic Receivables"/>
    <s v="Balance Sheet"/>
    <s v="Assets"/>
    <s v="Current Assets"/>
    <s v=""/>
    <s v="Debit"/>
    <n v="7538.67"/>
    <s v="EUR"/>
  </r>
  <r>
    <s v=".1~77"/>
    <n v="77"/>
    <s v="D2"/>
    <s v="02"/>
    <s v="02"/>
    <s v="02/02"/>
    <n v="3"/>
    <n v="12"/>
    <s v="160000"/>
    <s v="Accounts payable-domestic"/>
    <s v="Balance Sheet"/>
    <s v="Liabilities and Owners' Equity"/>
    <s v="Liabilities"/>
    <s v="Current Liabilities"/>
    <s v="Credit"/>
    <n v="-37555.43"/>
    <s v="EUR"/>
  </r>
  <r>
    <s v=".1~78"/>
    <n v="78"/>
    <s v="D2"/>
    <s v="02"/>
    <s v="02"/>
    <s v="02/02"/>
    <n v="3"/>
    <n v="12"/>
    <s v="160000"/>
    <s v="Accounts payable-domestic"/>
    <s v="Balance Sheet"/>
    <s v="Liabilities and Owners' Equity"/>
    <s v="Liabilities"/>
    <s v="Current Liabilities"/>
    <s v="Debit"/>
    <n v="7182.25"/>
    <s v="EUR"/>
  </r>
  <r>
    <s v=".1~79"/>
    <n v="79"/>
    <s v="D2"/>
    <s v="02"/>
    <s v="02"/>
    <s v="02/02"/>
    <n v="3"/>
    <n v="12"/>
    <s v="191100"/>
    <s v="GR/IR Clearing - External procurement"/>
    <s v="Balance Sheet"/>
    <s v="Liabilities and Owners' Equity"/>
    <s v="Liabilities"/>
    <s v="Current Liabilities"/>
    <s v="Credit"/>
    <n v="-36555.43"/>
    <s v="EUR"/>
  </r>
  <r>
    <s v=".1~80"/>
    <n v="80"/>
    <s v="D2"/>
    <s v="02"/>
    <s v="02"/>
    <s v="02/02"/>
    <n v="3"/>
    <n v="12"/>
    <s v="191100"/>
    <s v="GR/IR Clearing - External procurement"/>
    <s v="Balance Sheet"/>
    <s v="Liabilities and Owners' Equity"/>
    <s v="Liabilities"/>
    <s v="Current Liabilities"/>
    <s v="Debit"/>
    <n v="36555.43"/>
    <s v="EUR"/>
  </r>
  <r>
    <s v=".1~81"/>
    <n v="81"/>
    <s v="D2"/>
    <s v="02"/>
    <s v="02"/>
    <s v="02/02"/>
    <n v="3"/>
    <n v="12"/>
    <s v="192100"/>
    <s v="Freight clearing (MM)"/>
    <s v="Balance Sheet"/>
    <s v="Liabilities and Owners' Equity"/>
    <s v="Liabilities"/>
    <s v="Current Liabilities"/>
    <s v="Credit"/>
    <n v="-1000"/>
    <s v="EUR"/>
  </r>
  <r>
    <s v=".1~82"/>
    <n v="82"/>
    <s v="D2"/>
    <s v="02"/>
    <s v="02"/>
    <s v="02/02"/>
    <n v="3"/>
    <n v="12"/>
    <s v="192100"/>
    <s v="Freight clearing (MM)"/>
    <s v="Balance Sheet"/>
    <s v="Liabilities and Owners' Equity"/>
    <s v="Liabilities"/>
    <s v="Current Liabilities"/>
    <s v="Debit"/>
    <n v="1000"/>
    <s v="EUR"/>
  </r>
  <r>
    <s v=".1~83"/>
    <n v="83"/>
    <s v="D2"/>
    <s v="02"/>
    <s v="02"/>
    <s v="02/02"/>
    <n v="3"/>
    <n v="12"/>
    <s v="400020"/>
    <s v="Raw mat.consumed/trading goods without cost center"/>
    <s v="Income Statement"/>
    <s v="Cost of Goods Sold"/>
    <s v=""/>
    <s v=""/>
    <s v="Debit"/>
    <n v="6452.52"/>
    <s v="EUR"/>
  </r>
  <r>
    <s v=".1~84"/>
    <n v="84"/>
    <s v="D2"/>
    <s v="02"/>
    <s v="02"/>
    <s v="02/02"/>
    <n v="3"/>
    <n v="12"/>
    <s v="472000"/>
    <s v="Shipping costs"/>
    <s v="Income Statement"/>
    <s v="Operating Expenses"/>
    <s v=""/>
    <s v=""/>
    <s v="Debit"/>
    <n v="300"/>
    <s v="EUR"/>
  </r>
  <r>
    <s v=".1~85"/>
    <n v="85"/>
    <s v="D2"/>
    <s v="02"/>
    <s v="02"/>
    <s v="02/02"/>
    <n v="3"/>
    <n v="12"/>
    <s v="792000"/>
    <s v="Finished goods"/>
    <s v="Balance Sheet"/>
    <s v="Assets"/>
    <s v="Current Assets"/>
    <s v=""/>
    <s v="Credit"/>
    <n v="-6452.52"/>
    <s v="EUR"/>
  </r>
  <r>
    <s v=".1~86"/>
    <n v="86"/>
    <s v="D2"/>
    <s v="02"/>
    <s v="02"/>
    <s v="02/02"/>
    <n v="3"/>
    <n v="12"/>
    <s v="792000"/>
    <s v="Finished goods"/>
    <s v="Balance Sheet"/>
    <s v="Assets"/>
    <s v="Current Assets"/>
    <s v=""/>
    <s v="Debit"/>
    <n v="37555.43"/>
    <s v="EUR"/>
  </r>
  <r>
    <s v=".1~87"/>
    <n v="87"/>
    <s v="D2"/>
    <s v="02"/>
    <s v="02"/>
    <s v="02/02"/>
    <n v="3"/>
    <n v="12"/>
    <s v="800000"/>
    <s v="Sales revenues - domestic"/>
    <s v="Income Statement"/>
    <s v="Revenues"/>
    <s v=""/>
    <s v=""/>
    <s v="Credit"/>
    <n v="-7538.67"/>
    <s v="EUR"/>
  </r>
  <r>
    <s v=".1~88"/>
    <n v="88"/>
    <s v="D2"/>
    <s v="02"/>
    <s v="03"/>
    <s v="02/03"/>
    <n v="3"/>
    <n v="13"/>
    <s v="113300"/>
    <s v="Bank Cash Account"/>
    <s v="Balance Sheet"/>
    <s v="Assets"/>
    <s v="Current Assets"/>
    <s v=""/>
    <s v="Credit"/>
    <n v="-200"/>
    <s v="EUR"/>
  </r>
  <r>
    <s v=".1~89"/>
    <n v="89"/>
    <s v="D2"/>
    <s v="02"/>
    <s v="03"/>
    <s v="02/03"/>
    <n v="3"/>
    <n v="13"/>
    <s v="113300"/>
    <s v="Bank Cash Account"/>
    <s v="Balance Sheet"/>
    <s v="Assets"/>
    <s v="Current Assets"/>
    <s v=""/>
    <s v="Debit"/>
    <n v="13593.6"/>
    <s v="EUR"/>
  </r>
  <r>
    <s v=".1~90"/>
    <n v="90"/>
    <s v="D2"/>
    <s v="02"/>
    <s v="03"/>
    <s v="02/03"/>
    <n v="3"/>
    <n v="13"/>
    <s v="140000"/>
    <s v="Customers - Domestic Receivables"/>
    <s v="Balance Sheet"/>
    <s v="Assets"/>
    <s v="Current Assets"/>
    <s v=""/>
    <s v="Credit"/>
    <n v="-13593.6"/>
    <s v="EUR"/>
  </r>
  <r>
    <s v=".1~91"/>
    <n v="91"/>
    <s v="D2"/>
    <s v="02"/>
    <s v="03"/>
    <s v="02/03"/>
    <n v="3"/>
    <n v="13"/>
    <s v="140000"/>
    <s v="Customers - Domestic Receivables"/>
    <s v="Balance Sheet"/>
    <s v="Assets"/>
    <s v="Current Assets"/>
    <s v=""/>
    <s v="Debit"/>
    <n v="17756.849999999999"/>
    <s v="EUR"/>
  </r>
  <r>
    <s v=".1~92"/>
    <n v="92"/>
    <s v="D2"/>
    <s v="02"/>
    <s v="03"/>
    <s v="02/03"/>
    <n v="3"/>
    <n v="13"/>
    <s v="400020"/>
    <s v="Raw mat.consumed/trading goods without cost center"/>
    <s v="Income Statement"/>
    <s v="Cost of Goods Sold"/>
    <s v=""/>
    <s v=""/>
    <s v="Debit"/>
    <n v="14496.18"/>
    <s v="EUR"/>
  </r>
  <r>
    <s v=".1~93"/>
    <n v="93"/>
    <s v="D2"/>
    <s v="02"/>
    <s v="03"/>
    <s v="02/03"/>
    <n v="3"/>
    <n v="13"/>
    <s v="472000"/>
    <s v="Shipping costs"/>
    <s v="Income Statement"/>
    <s v="Operating Expenses"/>
    <s v=""/>
    <s v=""/>
    <s v="Debit"/>
    <n v="200"/>
    <s v="EUR"/>
  </r>
  <r>
    <s v=".1~94"/>
    <n v="94"/>
    <s v="D2"/>
    <s v="02"/>
    <s v="03"/>
    <s v="02/03"/>
    <n v="3"/>
    <n v="13"/>
    <s v="792000"/>
    <s v="Finished goods"/>
    <s v="Balance Sheet"/>
    <s v="Assets"/>
    <s v="Current Assets"/>
    <s v=""/>
    <s v="Credit"/>
    <n v="-14496.18"/>
    <s v="EUR"/>
  </r>
  <r>
    <s v=".1~95"/>
    <n v="95"/>
    <s v="D2"/>
    <s v="02"/>
    <s v="03"/>
    <s v="02/03"/>
    <n v="3"/>
    <n v="13"/>
    <s v="800000"/>
    <s v="Sales revenues - domestic"/>
    <s v="Income Statement"/>
    <s v="Revenues"/>
    <s v=""/>
    <s v=""/>
    <s v="Credit"/>
    <n v="-17756.849999999999"/>
    <s v="EUR"/>
  </r>
  <r>
    <s v=".1~96"/>
    <n v="96"/>
    <s v="D2"/>
    <s v="02"/>
    <s v="04"/>
    <s v="02/04"/>
    <n v="3"/>
    <n v="14"/>
    <s v="113300"/>
    <s v="Bank Cash Account"/>
    <s v="Balance Sheet"/>
    <s v="Assets"/>
    <s v="Current Assets"/>
    <s v=""/>
    <s v="Credit"/>
    <n v="-300"/>
    <s v="EUR"/>
  </r>
  <r>
    <s v=".1~97"/>
    <n v="97"/>
    <s v="D2"/>
    <s v="02"/>
    <s v="04"/>
    <s v="02/04"/>
    <n v="3"/>
    <n v="14"/>
    <s v="113300"/>
    <s v="Bank Cash Account"/>
    <s v="Balance Sheet"/>
    <s v="Assets"/>
    <s v="Current Assets"/>
    <s v=""/>
    <s v="Debit"/>
    <n v="2047.38"/>
    <s v="EUR"/>
  </r>
  <r>
    <s v=".1~98"/>
    <n v="98"/>
    <s v="D2"/>
    <s v="02"/>
    <s v="04"/>
    <s v="02/04"/>
    <n v="3"/>
    <n v="14"/>
    <s v="140000"/>
    <s v="Customers - Domestic Receivables"/>
    <s v="Balance Sheet"/>
    <s v="Assets"/>
    <s v="Current Assets"/>
    <s v=""/>
    <s v="Credit"/>
    <n v="-2047.38"/>
    <s v="EUR"/>
  </r>
  <r>
    <s v=".1~99"/>
    <n v="99"/>
    <s v="D2"/>
    <s v="02"/>
    <s v="04"/>
    <s v="02/04"/>
    <n v="3"/>
    <n v="14"/>
    <s v="140000"/>
    <s v="Customers - Domestic Receivables"/>
    <s v="Balance Sheet"/>
    <s v="Assets"/>
    <s v="Current Assets"/>
    <s v=""/>
    <s v="Debit"/>
    <n v="14854.77"/>
    <s v="EUR"/>
  </r>
  <r>
    <s v=".1~100"/>
    <n v="100"/>
    <s v="D2"/>
    <s v="02"/>
    <s v="04"/>
    <s v="02/04"/>
    <n v="3"/>
    <n v="14"/>
    <s v="400020"/>
    <s v="Raw mat.consumed/trading goods without cost center"/>
    <s v="Income Statement"/>
    <s v="Cost of Goods Sold"/>
    <s v=""/>
    <s v=""/>
    <s v="Debit"/>
    <n v="12722.21"/>
    <s v="EUR"/>
  </r>
  <r>
    <s v=".1~101"/>
    <n v="101"/>
    <s v="D2"/>
    <s v="02"/>
    <s v="04"/>
    <s v="02/04"/>
    <n v="3"/>
    <n v="14"/>
    <s v="472000"/>
    <s v="Shipping costs"/>
    <s v="Income Statement"/>
    <s v="Operating Expenses"/>
    <s v=""/>
    <s v=""/>
    <s v="Debit"/>
    <n v="300"/>
    <s v="EUR"/>
  </r>
  <r>
    <s v=".1~102"/>
    <n v="102"/>
    <s v="D2"/>
    <s v="02"/>
    <s v="04"/>
    <s v="02/04"/>
    <n v="3"/>
    <n v="14"/>
    <s v="792000"/>
    <s v="Finished goods"/>
    <s v="Balance Sheet"/>
    <s v="Assets"/>
    <s v="Current Assets"/>
    <s v=""/>
    <s v="Credit"/>
    <n v="-12722.21"/>
    <s v="EUR"/>
  </r>
  <r>
    <s v=".1~103"/>
    <n v="103"/>
    <s v="D2"/>
    <s v="02"/>
    <s v="04"/>
    <s v="02/04"/>
    <n v="3"/>
    <n v="14"/>
    <s v="800000"/>
    <s v="Sales revenues - domestic"/>
    <s v="Income Statement"/>
    <s v="Revenues"/>
    <s v=""/>
    <s v=""/>
    <s v="Credit"/>
    <n v="-14854.77"/>
    <s v="EUR"/>
  </r>
  <r>
    <s v=".1~104"/>
    <n v="104"/>
    <s v="D2"/>
    <s v="02"/>
    <s v="05"/>
    <s v="02/05"/>
    <n v="3"/>
    <n v="15"/>
    <s v="113300"/>
    <s v="Bank Cash Account"/>
    <s v="Balance Sheet"/>
    <s v="Assets"/>
    <s v="Current Assets"/>
    <s v=""/>
    <s v="Credit"/>
    <n v="-300"/>
    <s v="EUR"/>
  </r>
  <r>
    <s v=".1~105"/>
    <n v="105"/>
    <s v="D2"/>
    <s v="02"/>
    <s v="05"/>
    <s v="02/05"/>
    <n v="3"/>
    <n v="15"/>
    <s v="113300"/>
    <s v="Bank Cash Account"/>
    <s v="Balance Sheet"/>
    <s v="Assets"/>
    <s v="Current Assets"/>
    <s v=""/>
    <s v="Debit"/>
    <n v="8843.18"/>
    <s v="EUR"/>
  </r>
  <r>
    <s v=".1~106"/>
    <n v="106"/>
    <s v="D2"/>
    <s v="02"/>
    <s v="05"/>
    <s v="02/05"/>
    <n v="3"/>
    <n v="15"/>
    <s v="140000"/>
    <s v="Customers - Domestic Receivables"/>
    <s v="Balance Sheet"/>
    <s v="Assets"/>
    <s v="Current Assets"/>
    <s v=""/>
    <s v="Credit"/>
    <n v="-8843.18"/>
    <s v="EUR"/>
  </r>
  <r>
    <s v=".1~107"/>
    <n v="107"/>
    <s v="D2"/>
    <s v="02"/>
    <s v="05"/>
    <s v="02/05"/>
    <n v="3"/>
    <n v="15"/>
    <s v="140000"/>
    <s v="Customers - Domestic Receivables"/>
    <s v="Balance Sheet"/>
    <s v="Assets"/>
    <s v="Current Assets"/>
    <s v=""/>
    <s v="Debit"/>
    <n v="17157.349999999999"/>
    <s v="EUR"/>
  </r>
  <r>
    <s v=".1~108"/>
    <n v="108"/>
    <s v="D2"/>
    <s v="02"/>
    <s v="05"/>
    <s v="02/05"/>
    <n v="3"/>
    <n v="15"/>
    <s v="400020"/>
    <s v="Raw mat.consumed/trading goods without cost center"/>
    <s v="Income Statement"/>
    <s v="Cost of Goods Sold"/>
    <s v=""/>
    <s v=""/>
    <s v="Debit"/>
    <n v="14548.1"/>
    <s v="EUR"/>
  </r>
  <r>
    <s v=".1~109"/>
    <n v="109"/>
    <s v="D2"/>
    <s v="02"/>
    <s v="05"/>
    <s v="02/05"/>
    <n v="3"/>
    <n v="15"/>
    <s v="472000"/>
    <s v="Shipping costs"/>
    <s v="Income Statement"/>
    <s v="Operating Expenses"/>
    <s v=""/>
    <s v=""/>
    <s v="Debit"/>
    <n v="300"/>
    <s v="EUR"/>
  </r>
  <r>
    <s v=".1~110"/>
    <n v="110"/>
    <s v="D2"/>
    <s v="02"/>
    <s v="05"/>
    <s v="02/05"/>
    <n v="3"/>
    <n v="15"/>
    <s v="792000"/>
    <s v="Finished goods"/>
    <s v="Balance Sheet"/>
    <s v="Assets"/>
    <s v="Current Assets"/>
    <s v=""/>
    <s v="Credit"/>
    <n v="-14548.1"/>
    <s v="EUR"/>
  </r>
  <r>
    <s v=".1~111"/>
    <n v="111"/>
    <s v="D2"/>
    <s v="02"/>
    <s v="05"/>
    <s v="02/05"/>
    <n v="3"/>
    <n v="15"/>
    <s v="800000"/>
    <s v="Sales revenues - domestic"/>
    <s v="Income Statement"/>
    <s v="Revenues"/>
    <s v=""/>
    <s v=""/>
    <s v="Credit"/>
    <n v="-17157.349999999999"/>
    <s v="EUR"/>
  </r>
  <r>
    <s v=".1~112"/>
    <n v="112"/>
    <s v="D2"/>
    <s v="02"/>
    <s v="06"/>
    <s v="02/06"/>
    <n v="4"/>
    <n v="16"/>
    <s v="113300"/>
    <s v="Bank Cash Account"/>
    <s v="Balance Sheet"/>
    <s v="Assets"/>
    <s v="Current Assets"/>
    <s v=""/>
    <s v="Credit"/>
    <n v="-300"/>
    <s v="EUR"/>
  </r>
  <r>
    <s v=".1~113"/>
    <n v="113"/>
    <s v="D2"/>
    <s v="02"/>
    <s v="06"/>
    <s v="02/06"/>
    <n v="4"/>
    <n v="16"/>
    <s v="113300"/>
    <s v="Bank Cash Account"/>
    <s v="Balance Sheet"/>
    <s v="Assets"/>
    <s v="Current Assets"/>
    <s v=""/>
    <s v="Debit"/>
    <n v="7538.67"/>
    <s v="EUR"/>
  </r>
  <r>
    <s v=".1~114"/>
    <n v="114"/>
    <s v="D2"/>
    <s v="02"/>
    <s v="06"/>
    <s v="02/06"/>
    <n v="4"/>
    <n v="16"/>
    <s v="140000"/>
    <s v="Customers - Domestic Receivables"/>
    <s v="Balance Sheet"/>
    <s v="Assets"/>
    <s v="Current Assets"/>
    <s v=""/>
    <s v="Credit"/>
    <n v="-7538.67"/>
    <s v="EUR"/>
  </r>
  <r>
    <s v=".1~115"/>
    <n v="115"/>
    <s v="D2"/>
    <s v="02"/>
    <s v="06"/>
    <s v="02/06"/>
    <n v="4"/>
    <n v="16"/>
    <s v="140000"/>
    <s v="Customers - Domestic Receivables"/>
    <s v="Balance Sheet"/>
    <s v="Assets"/>
    <s v="Current Assets"/>
    <s v=""/>
    <s v="Debit"/>
    <n v="17162.72"/>
    <s v="EUR"/>
  </r>
  <r>
    <s v=".1~116"/>
    <n v="116"/>
    <s v="D2"/>
    <s v="02"/>
    <s v="06"/>
    <s v="02/06"/>
    <n v="4"/>
    <n v="16"/>
    <s v="160000"/>
    <s v="Accounts payable-domestic"/>
    <s v="Balance Sheet"/>
    <s v="Liabilities and Owners' Equity"/>
    <s v="Liabilities"/>
    <s v="Current Liabilities"/>
    <s v="Credit"/>
    <n v="-41042.25"/>
    <s v="EUR"/>
  </r>
  <r>
    <s v=".1~117"/>
    <n v="117"/>
    <s v="D2"/>
    <s v="02"/>
    <s v="06"/>
    <s v="02/06"/>
    <n v="4"/>
    <n v="16"/>
    <s v="191100"/>
    <s v="GR/IR Clearing - External procurement"/>
    <s v="Balance Sheet"/>
    <s v="Liabilities and Owners' Equity"/>
    <s v="Liabilities"/>
    <s v="Current Liabilities"/>
    <s v="Credit"/>
    <n v="-40042.25"/>
    <s v="EUR"/>
  </r>
  <r>
    <s v=".1~118"/>
    <n v="118"/>
    <s v="D2"/>
    <s v="02"/>
    <s v="06"/>
    <s v="02/06"/>
    <n v="4"/>
    <n v="16"/>
    <s v="191100"/>
    <s v="GR/IR Clearing - External procurement"/>
    <s v="Balance Sheet"/>
    <s v="Liabilities and Owners' Equity"/>
    <s v="Liabilities"/>
    <s v="Current Liabilities"/>
    <s v="Debit"/>
    <n v="40042.25"/>
    <s v="EUR"/>
  </r>
  <r>
    <s v=".1~119"/>
    <n v="119"/>
    <s v="D2"/>
    <s v="02"/>
    <s v="06"/>
    <s v="02/06"/>
    <n v="4"/>
    <n v="16"/>
    <s v="192100"/>
    <s v="Freight clearing (MM)"/>
    <s v="Balance Sheet"/>
    <s v="Liabilities and Owners' Equity"/>
    <s v="Liabilities"/>
    <s v="Current Liabilities"/>
    <s v="Credit"/>
    <n v="-1000"/>
    <s v="EUR"/>
  </r>
  <r>
    <s v=".1~120"/>
    <n v="120"/>
    <s v="D2"/>
    <s v="02"/>
    <s v="06"/>
    <s v="02/06"/>
    <n v="4"/>
    <n v="16"/>
    <s v="192100"/>
    <s v="Freight clearing (MM)"/>
    <s v="Balance Sheet"/>
    <s v="Liabilities and Owners' Equity"/>
    <s v="Liabilities"/>
    <s v="Current Liabilities"/>
    <s v="Debit"/>
    <n v="1000"/>
    <s v="EUR"/>
  </r>
  <r>
    <s v=".1~121"/>
    <n v="121"/>
    <s v="D2"/>
    <s v="02"/>
    <s v="06"/>
    <s v="02/06"/>
    <n v="4"/>
    <n v="16"/>
    <s v="400020"/>
    <s v="Raw mat.consumed/trading goods without cost center"/>
    <s v="Income Statement"/>
    <s v="Cost of Goods Sold"/>
    <s v=""/>
    <s v=""/>
    <s v="Debit"/>
    <n v="14412.12"/>
    <s v="EUR"/>
  </r>
  <r>
    <s v=".1~122"/>
    <n v="122"/>
    <s v="D2"/>
    <s v="02"/>
    <s v="06"/>
    <s v="02/06"/>
    <n v="4"/>
    <n v="16"/>
    <s v="472000"/>
    <s v="Shipping costs"/>
    <s v="Income Statement"/>
    <s v="Operating Expenses"/>
    <s v=""/>
    <s v=""/>
    <s v="Debit"/>
    <n v="300"/>
    <s v="EUR"/>
  </r>
  <r>
    <s v=".1~123"/>
    <n v="123"/>
    <s v="D2"/>
    <s v="02"/>
    <s v="06"/>
    <s v="02/06"/>
    <n v="4"/>
    <n v="16"/>
    <s v="792000"/>
    <s v="Finished goods"/>
    <s v="Balance Sheet"/>
    <s v="Assets"/>
    <s v="Current Assets"/>
    <s v=""/>
    <s v="Credit"/>
    <n v="-14412.12"/>
    <s v="EUR"/>
  </r>
  <r>
    <s v=".1~124"/>
    <n v="124"/>
    <s v="D2"/>
    <s v="02"/>
    <s v="06"/>
    <s v="02/06"/>
    <n v="4"/>
    <n v="16"/>
    <s v="792000"/>
    <s v="Finished goods"/>
    <s v="Balance Sheet"/>
    <s v="Assets"/>
    <s v="Current Assets"/>
    <s v=""/>
    <s v="Debit"/>
    <n v="41042.25"/>
    <s v="EUR"/>
  </r>
  <r>
    <s v=".1~125"/>
    <n v="125"/>
    <s v="D2"/>
    <s v="02"/>
    <s v="06"/>
    <s v="02/06"/>
    <n v="4"/>
    <n v="16"/>
    <s v="800000"/>
    <s v="Sales revenues - domestic"/>
    <s v="Income Statement"/>
    <s v="Revenues"/>
    <s v=""/>
    <s v=""/>
    <s v="Credit"/>
    <n v="-17162.72"/>
    <s v="EUR"/>
  </r>
  <r>
    <s v=".1~126"/>
    <n v="126"/>
    <s v="D2"/>
    <s v="02"/>
    <s v="07"/>
    <s v="02/07"/>
    <n v="4"/>
    <n v="17"/>
    <s v="113300"/>
    <s v="Bank Cash Account"/>
    <s v="Balance Sheet"/>
    <s v="Assets"/>
    <s v="Current Assets"/>
    <s v=""/>
    <s v="Credit"/>
    <n v="-37755.43"/>
    <s v="EUR"/>
  </r>
  <r>
    <s v=".1~127"/>
    <n v="127"/>
    <s v="D2"/>
    <s v="02"/>
    <s v="07"/>
    <s v="02/07"/>
    <n v="4"/>
    <n v="17"/>
    <s v="113300"/>
    <s v="Bank Cash Account"/>
    <s v="Balance Sheet"/>
    <s v="Assets"/>
    <s v="Current Assets"/>
    <s v=""/>
    <s v="Debit"/>
    <n v="17756.849999999999"/>
    <s v="EUR"/>
  </r>
  <r>
    <s v=".1~128"/>
    <n v="128"/>
    <s v="D2"/>
    <s v="02"/>
    <s v="07"/>
    <s v="02/07"/>
    <n v="4"/>
    <n v="17"/>
    <s v="140000"/>
    <s v="Customers - Domestic Receivables"/>
    <s v="Balance Sheet"/>
    <s v="Assets"/>
    <s v="Current Assets"/>
    <s v=""/>
    <s v="Credit"/>
    <n v="-17756.849999999999"/>
    <s v="EUR"/>
  </r>
  <r>
    <s v=".1~129"/>
    <n v="129"/>
    <s v="D2"/>
    <s v="02"/>
    <s v="07"/>
    <s v="02/07"/>
    <n v="4"/>
    <n v="17"/>
    <s v="140000"/>
    <s v="Customers - Domestic Receivables"/>
    <s v="Balance Sheet"/>
    <s v="Assets"/>
    <s v="Current Assets"/>
    <s v=""/>
    <s v="Debit"/>
    <n v="8100.28"/>
    <s v="EUR"/>
  </r>
  <r>
    <s v=".1~130"/>
    <n v="130"/>
    <s v="D2"/>
    <s v="02"/>
    <s v="07"/>
    <s v="02/07"/>
    <n v="4"/>
    <n v="17"/>
    <s v="160000"/>
    <s v="Accounts payable-domestic"/>
    <s v="Balance Sheet"/>
    <s v="Liabilities and Owners' Equity"/>
    <s v="Liabilities"/>
    <s v="Current Liabilities"/>
    <s v="Debit"/>
    <n v="37555.43"/>
    <s v="EUR"/>
  </r>
  <r>
    <s v=".1~131"/>
    <n v="131"/>
    <s v="D2"/>
    <s v="02"/>
    <s v="07"/>
    <s v="02/07"/>
    <n v="4"/>
    <n v="17"/>
    <s v="400020"/>
    <s v="Raw mat.consumed/trading goods without cost center"/>
    <s v="Income Statement"/>
    <s v="Cost of Goods Sold"/>
    <s v=""/>
    <s v=""/>
    <s v="Debit"/>
    <n v="6896.27"/>
    <s v="EUR"/>
  </r>
  <r>
    <s v=".1~132"/>
    <n v="132"/>
    <s v="D2"/>
    <s v="02"/>
    <s v="07"/>
    <s v="02/07"/>
    <n v="4"/>
    <n v="17"/>
    <s v="472000"/>
    <s v="Shipping costs"/>
    <s v="Income Statement"/>
    <s v="Operating Expenses"/>
    <s v=""/>
    <s v=""/>
    <s v="Debit"/>
    <n v="200"/>
    <s v="EUR"/>
  </r>
  <r>
    <s v=".1~133"/>
    <n v="133"/>
    <s v="D2"/>
    <s v="02"/>
    <s v="07"/>
    <s v="02/07"/>
    <n v="4"/>
    <n v="17"/>
    <s v="792000"/>
    <s v="Finished goods"/>
    <s v="Balance Sheet"/>
    <s v="Assets"/>
    <s v="Current Assets"/>
    <s v=""/>
    <s v="Credit"/>
    <n v="-6896.27"/>
    <s v="EUR"/>
  </r>
  <r>
    <s v=".1~134"/>
    <n v="134"/>
    <s v="D2"/>
    <s v="02"/>
    <s v="07"/>
    <s v="02/07"/>
    <n v="4"/>
    <n v="17"/>
    <s v="800000"/>
    <s v="Sales revenues - domestic"/>
    <s v="Income Statement"/>
    <s v="Revenues"/>
    <s v=""/>
    <s v=""/>
    <s v="Credit"/>
    <n v="-8100.28"/>
    <s v="EUR"/>
  </r>
  <r>
    <s v=".1~135"/>
    <n v="135"/>
    <s v="D2"/>
    <s v="02"/>
    <s v="08"/>
    <s v="02/08"/>
    <n v="4"/>
    <n v="18"/>
    <s v="113300"/>
    <s v="Bank Cash Account"/>
    <s v="Balance Sheet"/>
    <s v="Assets"/>
    <s v="Current Assets"/>
    <s v=""/>
    <s v="Credit"/>
    <n v="-200"/>
    <s v="EUR"/>
  </r>
  <r>
    <s v=".1~136"/>
    <n v="136"/>
    <s v="D2"/>
    <s v="02"/>
    <s v="08"/>
    <s v="02/08"/>
    <n v="4"/>
    <n v="18"/>
    <s v="113300"/>
    <s v="Bank Cash Account"/>
    <s v="Balance Sheet"/>
    <s v="Assets"/>
    <s v="Current Assets"/>
    <s v=""/>
    <s v="Debit"/>
    <n v="14854.77"/>
    <s v="EUR"/>
  </r>
  <r>
    <s v=".1~137"/>
    <n v="137"/>
    <s v="D2"/>
    <s v="02"/>
    <s v="08"/>
    <s v="02/08"/>
    <n v="4"/>
    <n v="18"/>
    <s v="140000"/>
    <s v="Customers - Domestic Receivables"/>
    <s v="Balance Sheet"/>
    <s v="Assets"/>
    <s v="Current Assets"/>
    <s v=""/>
    <s v="Credit"/>
    <n v="-14854.77"/>
    <s v="EUR"/>
  </r>
  <r>
    <s v=".1~138"/>
    <n v="138"/>
    <s v="D2"/>
    <s v="02"/>
    <s v="08"/>
    <s v="02/08"/>
    <n v="4"/>
    <n v="18"/>
    <s v="140000"/>
    <s v="Customers - Domestic Receivables"/>
    <s v="Balance Sheet"/>
    <s v="Assets"/>
    <s v="Current Assets"/>
    <s v=""/>
    <s v="Debit"/>
    <n v="18111.5"/>
    <s v="EUR"/>
  </r>
  <r>
    <s v=".1~139"/>
    <n v="139"/>
    <s v="D2"/>
    <s v="02"/>
    <s v="08"/>
    <s v="02/08"/>
    <n v="4"/>
    <n v="18"/>
    <s v="400020"/>
    <s v="Raw mat.consumed/trading goods without cost center"/>
    <s v="Income Statement"/>
    <s v="Cost of Goods Sold"/>
    <s v=""/>
    <s v=""/>
    <s v="Debit"/>
    <n v="15052.02"/>
    <s v="EUR"/>
  </r>
  <r>
    <s v=".1~140"/>
    <n v="140"/>
    <s v="D2"/>
    <s v="02"/>
    <s v="08"/>
    <s v="02/08"/>
    <n v="4"/>
    <n v="18"/>
    <s v="472000"/>
    <s v="Shipping costs"/>
    <s v="Income Statement"/>
    <s v="Operating Expenses"/>
    <s v=""/>
    <s v=""/>
    <s v="Debit"/>
    <n v="200"/>
    <s v="EUR"/>
  </r>
  <r>
    <s v=".1~141"/>
    <n v="141"/>
    <s v="D2"/>
    <s v="02"/>
    <s v="08"/>
    <s v="02/08"/>
    <n v="4"/>
    <n v="18"/>
    <s v="792000"/>
    <s v="Finished goods"/>
    <s v="Balance Sheet"/>
    <s v="Assets"/>
    <s v="Current Assets"/>
    <s v=""/>
    <s v="Credit"/>
    <n v="-15052.02"/>
    <s v="EUR"/>
  </r>
  <r>
    <s v=".1~142"/>
    <n v="142"/>
    <s v="D2"/>
    <s v="02"/>
    <s v="08"/>
    <s v="02/08"/>
    <n v="4"/>
    <n v="18"/>
    <s v="800000"/>
    <s v="Sales revenues - domestic"/>
    <s v="Income Statement"/>
    <s v="Revenues"/>
    <s v=""/>
    <s v=""/>
    <s v="Credit"/>
    <n v="-18111.5"/>
    <s v="EUR"/>
  </r>
  <r>
    <s v=".1~143"/>
    <n v="143"/>
    <s v="D2"/>
    <s v="02"/>
    <s v="09"/>
    <s v="02/09"/>
    <n v="4"/>
    <n v="19"/>
    <s v="113300"/>
    <s v="Bank Cash Account"/>
    <s v="Balance Sheet"/>
    <s v="Assets"/>
    <s v="Current Assets"/>
    <s v=""/>
    <s v="Credit"/>
    <n v="-300"/>
    <s v="EUR"/>
  </r>
  <r>
    <s v=".1~144"/>
    <n v="144"/>
    <s v="D2"/>
    <s v="02"/>
    <s v="09"/>
    <s v="02/09"/>
    <n v="4"/>
    <n v="19"/>
    <s v="113300"/>
    <s v="Bank Cash Account"/>
    <s v="Balance Sheet"/>
    <s v="Assets"/>
    <s v="Current Assets"/>
    <s v=""/>
    <s v="Debit"/>
    <n v="17157.349999999999"/>
    <s v="EUR"/>
  </r>
  <r>
    <s v=".1~145"/>
    <n v="145"/>
    <s v="D2"/>
    <s v="02"/>
    <s v="09"/>
    <s v="02/09"/>
    <n v="4"/>
    <n v="19"/>
    <s v="140000"/>
    <s v="Customers - Domestic Receivables"/>
    <s v="Balance Sheet"/>
    <s v="Assets"/>
    <s v="Current Assets"/>
    <s v=""/>
    <s v="Credit"/>
    <n v="-17157.349999999999"/>
    <s v="EUR"/>
  </r>
  <r>
    <s v=".1~146"/>
    <n v="146"/>
    <s v="D2"/>
    <s v="02"/>
    <s v="09"/>
    <s v="02/09"/>
    <n v="4"/>
    <n v="19"/>
    <s v="140000"/>
    <s v="Customers - Domestic Receivables"/>
    <s v="Balance Sheet"/>
    <s v="Assets"/>
    <s v="Current Assets"/>
    <s v=""/>
    <s v="Debit"/>
    <n v="12344.56"/>
    <s v="EUR"/>
  </r>
  <r>
    <s v=".1~147"/>
    <n v="147"/>
    <s v="D2"/>
    <s v="02"/>
    <s v="09"/>
    <s v="02/09"/>
    <n v="4"/>
    <n v="19"/>
    <s v="400020"/>
    <s v="Raw mat.consumed/trading goods without cost center"/>
    <s v="Income Statement"/>
    <s v="Cost of Goods Sold"/>
    <s v=""/>
    <s v=""/>
    <s v="Debit"/>
    <n v="10472.81"/>
    <s v="EUR"/>
  </r>
  <r>
    <s v=".1~148"/>
    <n v="148"/>
    <s v="D2"/>
    <s v="02"/>
    <s v="09"/>
    <s v="02/09"/>
    <n v="4"/>
    <n v="19"/>
    <s v="472000"/>
    <s v="Shipping costs"/>
    <s v="Income Statement"/>
    <s v="Operating Expenses"/>
    <s v=""/>
    <s v=""/>
    <s v="Debit"/>
    <n v="300"/>
    <s v="EUR"/>
  </r>
  <r>
    <s v=".1~149"/>
    <n v="149"/>
    <s v="D2"/>
    <s v="02"/>
    <s v="09"/>
    <s v="02/09"/>
    <n v="4"/>
    <n v="19"/>
    <s v="792000"/>
    <s v="Finished goods"/>
    <s v="Balance Sheet"/>
    <s v="Assets"/>
    <s v="Current Assets"/>
    <s v=""/>
    <s v="Credit"/>
    <n v="-10472.81"/>
    <s v="EUR"/>
  </r>
  <r>
    <s v=".1~150"/>
    <n v="150"/>
    <s v="D2"/>
    <s v="02"/>
    <s v="09"/>
    <s v="02/09"/>
    <n v="4"/>
    <n v="19"/>
    <s v="800000"/>
    <s v="Sales revenues - domestic"/>
    <s v="Income Statement"/>
    <s v="Revenues"/>
    <s v=""/>
    <s v=""/>
    <s v="Credit"/>
    <n v="-12344.56"/>
    <s v="EUR"/>
  </r>
  <r>
    <s v=".1~151"/>
    <n v="151"/>
    <s v="D2"/>
    <s v="02"/>
    <s v="10"/>
    <s v="02/10"/>
    <n v="4"/>
    <n v="20"/>
    <s v="113300"/>
    <s v="Bank Cash Account"/>
    <s v="Balance Sheet"/>
    <s v="Assets"/>
    <s v="Current Assets"/>
    <s v=""/>
    <s v="Credit"/>
    <n v="-300"/>
    <s v="EUR"/>
  </r>
  <r>
    <s v=".1~152"/>
    <n v="152"/>
    <s v="D2"/>
    <s v="02"/>
    <s v="10"/>
    <s v="02/10"/>
    <n v="4"/>
    <n v="20"/>
    <s v="113300"/>
    <s v="Bank Cash Account"/>
    <s v="Balance Sheet"/>
    <s v="Assets"/>
    <s v="Current Assets"/>
    <s v=""/>
    <s v="Debit"/>
    <n v="17162.72"/>
    <s v="EUR"/>
  </r>
  <r>
    <s v=".1~153"/>
    <n v="153"/>
    <s v="D2"/>
    <s v="02"/>
    <s v="10"/>
    <s v="02/10"/>
    <n v="4"/>
    <n v="20"/>
    <s v="140000"/>
    <s v="Customers - Domestic Receivables"/>
    <s v="Balance Sheet"/>
    <s v="Assets"/>
    <s v="Current Assets"/>
    <s v=""/>
    <s v="Credit"/>
    <n v="-17162.72"/>
    <s v="EUR"/>
  </r>
  <r>
    <s v=".1~154"/>
    <n v="154"/>
    <s v="D2"/>
    <s v="02"/>
    <s v="10"/>
    <s v="02/10"/>
    <n v="4"/>
    <n v="20"/>
    <s v="140000"/>
    <s v="Customers - Domestic Receivables"/>
    <s v="Balance Sheet"/>
    <s v="Assets"/>
    <s v="Current Assets"/>
    <s v=""/>
    <s v="Debit"/>
    <n v="2387.39"/>
    <s v="EUR"/>
  </r>
  <r>
    <s v=".1~155"/>
    <n v="155"/>
    <s v="D2"/>
    <s v="02"/>
    <s v="10"/>
    <s v="02/10"/>
    <n v="4"/>
    <n v="20"/>
    <s v="400020"/>
    <s v="Raw mat.consumed/trading goods without cost center"/>
    <s v="Income Statement"/>
    <s v="Cost of Goods Sold"/>
    <s v=""/>
    <s v=""/>
    <s v="Debit"/>
    <n v="1892.65"/>
    <s v="EUR"/>
  </r>
  <r>
    <s v=".1~156"/>
    <n v="156"/>
    <s v="D2"/>
    <s v="02"/>
    <s v="10"/>
    <s v="02/10"/>
    <n v="4"/>
    <n v="20"/>
    <s v="472000"/>
    <s v="Shipping costs"/>
    <s v="Income Statement"/>
    <s v="Operating Expenses"/>
    <s v=""/>
    <s v=""/>
    <s v="Debit"/>
    <n v="300"/>
    <s v="EUR"/>
  </r>
  <r>
    <s v=".1~157"/>
    <n v="157"/>
    <s v="D2"/>
    <s v="02"/>
    <s v="10"/>
    <s v="02/10"/>
    <n v="4"/>
    <n v="20"/>
    <s v="792000"/>
    <s v="Finished goods"/>
    <s v="Balance Sheet"/>
    <s v="Assets"/>
    <s v="Current Assets"/>
    <s v=""/>
    <s v="Credit"/>
    <n v="-1892.65"/>
    <s v="EUR"/>
  </r>
  <r>
    <s v=".1~158"/>
    <n v="158"/>
    <s v="D2"/>
    <s v="02"/>
    <s v="10"/>
    <s v="02/10"/>
    <n v="4"/>
    <n v="20"/>
    <s v="800000"/>
    <s v="Sales revenues - domestic"/>
    <s v="Income Statement"/>
    <s v="Revenues"/>
    <s v=""/>
    <s v=""/>
    <s v="Credit"/>
    <n v="-2387.39"/>
    <s v="EUR"/>
  </r>
  <r>
    <s v=".1~159"/>
    <n v="159"/>
    <s v="D2"/>
    <s v="03"/>
    <s v="01"/>
    <s v="03/01"/>
    <n v="5"/>
    <n v="21"/>
    <s v="113300"/>
    <s v="Bank Cash Account"/>
    <s v="Balance Sheet"/>
    <s v="Assets"/>
    <s v="Current Assets"/>
    <s v=""/>
    <s v="Credit"/>
    <n v="-41342.25"/>
    <s v="EUR"/>
  </r>
  <r>
    <s v=".1~160"/>
    <n v="160"/>
    <s v="D2"/>
    <s v="03"/>
    <s v="01"/>
    <s v="03/01"/>
    <n v="5"/>
    <n v="21"/>
    <s v="113300"/>
    <s v="Bank Cash Account"/>
    <s v="Balance Sheet"/>
    <s v="Assets"/>
    <s v="Current Assets"/>
    <s v=""/>
    <s v="Debit"/>
    <n v="8100.28"/>
    <s v="EUR"/>
  </r>
  <r>
    <s v=".1~161"/>
    <n v="161"/>
    <s v="D2"/>
    <s v="03"/>
    <s v="01"/>
    <s v="03/01"/>
    <n v="5"/>
    <n v="21"/>
    <s v="140000"/>
    <s v="Customers - Domestic Receivables"/>
    <s v="Balance Sheet"/>
    <s v="Assets"/>
    <s v="Current Assets"/>
    <s v=""/>
    <s v="Credit"/>
    <n v="-8100.28"/>
    <s v="EUR"/>
  </r>
  <r>
    <s v=".1~162"/>
    <n v="162"/>
    <s v="D2"/>
    <s v="03"/>
    <s v="01"/>
    <s v="03/01"/>
    <n v="5"/>
    <n v="21"/>
    <s v="140000"/>
    <s v="Customers - Domestic Receivables"/>
    <s v="Balance Sheet"/>
    <s v="Assets"/>
    <s v="Current Assets"/>
    <s v=""/>
    <s v="Debit"/>
    <n v="4475.72"/>
    <s v="EUR"/>
  </r>
  <r>
    <s v=".1~163"/>
    <n v="163"/>
    <s v="D2"/>
    <s v="03"/>
    <s v="01"/>
    <s v="03/01"/>
    <n v="5"/>
    <n v="21"/>
    <s v="160000"/>
    <s v="Accounts payable-domestic"/>
    <s v="Balance Sheet"/>
    <s v="Liabilities and Owners' Equity"/>
    <s v="Liabilities"/>
    <s v="Current Liabilities"/>
    <s v="Debit"/>
    <n v="41042.25"/>
    <s v="EUR"/>
  </r>
  <r>
    <s v=".1~164"/>
    <n v="164"/>
    <s v="D2"/>
    <s v="03"/>
    <s v="01"/>
    <s v="03/01"/>
    <n v="5"/>
    <n v="21"/>
    <s v="400020"/>
    <s v="Raw mat.consumed/trading goods without cost center"/>
    <s v="Income Statement"/>
    <s v="Cost of Goods Sold"/>
    <s v=""/>
    <s v=""/>
    <s v="Debit"/>
    <n v="3956.39"/>
    <s v="EUR"/>
  </r>
  <r>
    <s v=".1~165"/>
    <n v="165"/>
    <s v="D2"/>
    <s v="03"/>
    <s v="01"/>
    <s v="03/01"/>
    <n v="5"/>
    <n v="21"/>
    <s v="472000"/>
    <s v="Shipping costs"/>
    <s v="Income Statement"/>
    <s v="Operating Expenses"/>
    <s v=""/>
    <s v=""/>
    <s v="Debit"/>
    <n v="300"/>
    <s v="EUR"/>
  </r>
  <r>
    <s v=".1~166"/>
    <n v="166"/>
    <s v="D2"/>
    <s v="03"/>
    <s v="01"/>
    <s v="03/01"/>
    <n v="5"/>
    <n v="21"/>
    <s v="792000"/>
    <s v="Finished goods"/>
    <s v="Balance Sheet"/>
    <s v="Assets"/>
    <s v="Current Assets"/>
    <s v=""/>
    <s v="Credit"/>
    <n v="-3956.39"/>
    <s v="EUR"/>
  </r>
  <r>
    <s v=".1~167"/>
    <n v="167"/>
    <s v="D2"/>
    <s v="03"/>
    <s v="01"/>
    <s v="03/01"/>
    <n v="5"/>
    <n v="21"/>
    <s v="800000"/>
    <s v="Sales revenues - domestic"/>
    <s v="Income Statement"/>
    <s v="Revenues"/>
    <s v=""/>
    <s v=""/>
    <s v="Credit"/>
    <n v="-4475.72"/>
    <s v="EUR"/>
  </r>
  <r>
    <s v=".1~168"/>
    <n v="168"/>
    <s v="D2"/>
    <s v="03"/>
    <s v="02"/>
    <s v="03/02"/>
    <n v="5"/>
    <n v="22"/>
    <s v="113300"/>
    <s v="Bank Cash Account"/>
    <s v="Balance Sheet"/>
    <s v="Assets"/>
    <s v="Current Assets"/>
    <s v=""/>
    <s v="Credit"/>
    <n v="-200"/>
    <s v="EUR"/>
  </r>
  <r>
    <s v=".1~169"/>
    <n v="169"/>
    <s v="D2"/>
    <s v="03"/>
    <s v="02"/>
    <s v="03/02"/>
    <n v="5"/>
    <n v="22"/>
    <s v="113300"/>
    <s v="Bank Cash Account"/>
    <s v="Balance Sheet"/>
    <s v="Assets"/>
    <s v="Current Assets"/>
    <s v=""/>
    <s v="Debit"/>
    <n v="18111.5"/>
    <s v="EUR"/>
  </r>
  <r>
    <s v=".1~170"/>
    <n v="170"/>
    <s v="D2"/>
    <s v="03"/>
    <s v="02"/>
    <s v="03/02"/>
    <n v="5"/>
    <n v="22"/>
    <s v="140000"/>
    <s v="Customers - Domestic Receivables"/>
    <s v="Balance Sheet"/>
    <s v="Assets"/>
    <s v="Current Assets"/>
    <s v=""/>
    <s v="Credit"/>
    <n v="-18111.5"/>
    <s v="EUR"/>
  </r>
  <r>
    <s v=".1~171"/>
    <n v="171"/>
    <s v="D2"/>
    <s v="03"/>
    <s v="02"/>
    <s v="03/02"/>
    <n v="5"/>
    <n v="22"/>
    <s v="140000"/>
    <s v="Customers - Domestic Receivables"/>
    <s v="Balance Sheet"/>
    <s v="Assets"/>
    <s v="Current Assets"/>
    <s v=""/>
    <s v="Debit"/>
    <n v="5611.39"/>
    <s v="EUR"/>
  </r>
  <r>
    <s v=".1~172"/>
    <n v="172"/>
    <s v="D2"/>
    <s v="03"/>
    <s v="02"/>
    <s v="03/02"/>
    <n v="5"/>
    <n v="22"/>
    <s v="160000"/>
    <s v="Accounts payable-domestic"/>
    <s v="Balance Sheet"/>
    <s v="Liabilities and Owners' Equity"/>
    <s v="Liabilities"/>
    <s v="Current Liabilities"/>
    <s v="Credit"/>
    <n v="-61112.63"/>
    <s v="EUR"/>
  </r>
  <r>
    <s v=".1~173"/>
    <n v="173"/>
    <s v="D2"/>
    <s v="03"/>
    <s v="02"/>
    <s v="03/02"/>
    <n v="5"/>
    <n v="22"/>
    <s v="191100"/>
    <s v="GR/IR Clearing - External procurement"/>
    <s v="Balance Sheet"/>
    <s v="Liabilities and Owners' Equity"/>
    <s v="Liabilities"/>
    <s v="Current Liabilities"/>
    <s v="Credit"/>
    <n v="-60112.63"/>
    <s v="EUR"/>
  </r>
  <r>
    <s v=".1~174"/>
    <n v="174"/>
    <s v="D2"/>
    <s v="03"/>
    <s v="02"/>
    <s v="03/02"/>
    <n v="5"/>
    <n v="22"/>
    <s v="191100"/>
    <s v="GR/IR Clearing - External procurement"/>
    <s v="Balance Sheet"/>
    <s v="Liabilities and Owners' Equity"/>
    <s v="Liabilities"/>
    <s v="Current Liabilities"/>
    <s v="Debit"/>
    <n v="60112.63"/>
    <s v="EUR"/>
  </r>
  <r>
    <s v=".1~175"/>
    <n v="175"/>
    <s v="D2"/>
    <s v="03"/>
    <s v="02"/>
    <s v="03/02"/>
    <n v="5"/>
    <n v="22"/>
    <s v="192100"/>
    <s v="Freight clearing (MM)"/>
    <s v="Balance Sheet"/>
    <s v="Liabilities and Owners' Equity"/>
    <s v="Liabilities"/>
    <s v="Current Liabilities"/>
    <s v="Credit"/>
    <n v="-1000"/>
    <s v="EUR"/>
  </r>
  <r>
    <s v=".1~176"/>
    <n v="176"/>
    <s v="D2"/>
    <s v="03"/>
    <s v="02"/>
    <s v="03/02"/>
    <n v="5"/>
    <n v="22"/>
    <s v="192100"/>
    <s v="Freight clearing (MM)"/>
    <s v="Balance Sheet"/>
    <s v="Liabilities and Owners' Equity"/>
    <s v="Liabilities"/>
    <s v="Current Liabilities"/>
    <s v="Debit"/>
    <n v="1000"/>
    <s v="EUR"/>
  </r>
  <r>
    <s v=".1~177"/>
    <n v="177"/>
    <s v="D2"/>
    <s v="03"/>
    <s v="02"/>
    <s v="03/02"/>
    <n v="5"/>
    <n v="22"/>
    <s v="400020"/>
    <s v="Raw mat.consumed/trading goods without cost center"/>
    <s v="Income Statement"/>
    <s v="Cost of Goods Sold"/>
    <s v=""/>
    <s v=""/>
    <s v="Debit"/>
    <n v="4866.21"/>
    <s v="EUR"/>
  </r>
  <r>
    <s v=".1~178"/>
    <n v="178"/>
    <s v="D2"/>
    <s v="03"/>
    <s v="02"/>
    <s v="03/02"/>
    <n v="5"/>
    <n v="22"/>
    <s v="472000"/>
    <s v="Shipping costs"/>
    <s v="Income Statement"/>
    <s v="Operating Expenses"/>
    <s v=""/>
    <s v=""/>
    <s v="Debit"/>
    <n v="200"/>
    <s v="EUR"/>
  </r>
  <r>
    <s v=".1~179"/>
    <n v="179"/>
    <s v="D2"/>
    <s v="03"/>
    <s v="02"/>
    <s v="03/02"/>
    <n v="5"/>
    <n v="22"/>
    <s v="792000"/>
    <s v="Finished goods"/>
    <s v="Balance Sheet"/>
    <s v="Assets"/>
    <s v="Current Assets"/>
    <s v=""/>
    <s v="Credit"/>
    <n v="-4866.22"/>
    <s v="EUR"/>
  </r>
  <r>
    <s v=".1~180"/>
    <n v="180"/>
    <s v="D2"/>
    <s v="03"/>
    <s v="02"/>
    <s v="03/02"/>
    <n v="5"/>
    <n v="22"/>
    <s v="792000"/>
    <s v="Finished goods"/>
    <s v="Balance Sheet"/>
    <s v="Assets"/>
    <s v="Current Assets"/>
    <s v=""/>
    <s v="Debit"/>
    <n v="61112.639999999999"/>
    <s v="EUR"/>
  </r>
  <r>
    <s v=".1~181"/>
    <n v="181"/>
    <s v="D2"/>
    <s v="03"/>
    <s v="02"/>
    <s v="03/02"/>
    <n v="5"/>
    <n v="22"/>
    <s v="800000"/>
    <s v="Sales revenues - domestic"/>
    <s v="Income Statement"/>
    <s v="Revenues"/>
    <s v=""/>
    <s v=""/>
    <s v="Credit"/>
    <n v="-5611.39"/>
    <s v="EUR"/>
  </r>
  <r>
    <s v=".1~182"/>
    <n v="182"/>
    <s v="D2"/>
    <s v="03"/>
    <s v="03"/>
    <s v="03/03"/>
    <n v="5"/>
    <n v="23"/>
    <s v="113300"/>
    <s v="Bank Cash Account"/>
    <s v="Balance Sheet"/>
    <s v="Assets"/>
    <s v="Current Assets"/>
    <s v=""/>
    <s v="Credit"/>
    <n v="-200"/>
    <s v="EUR"/>
  </r>
  <r>
    <s v=".1~183"/>
    <n v="183"/>
    <s v="D2"/>
    <s v="03"/>
    <s v="03"/>
    <s v="03/03"/>
    <n v="5"/>
    <n v="23"/>
    <s v="113300"/>
    <s v="Bank Cash Account"/>
    <s v="Balance Sheet"/>
    <s v="Assets"/>
    <s v="Current Assets"/>
    <s v=""/>
    <s v="Debit"/>
    <n v="12344.56"/>
    <s v="EUR"/>
  </r>
  <r>
    <s v=".1~184"/>
    <n v="184"/>
    <s v="D2"/>
    <s v="03"/>
    <s v="03"/>
    <s v="03/03"/>
    <n v="5"/>
    <n v="23"/>
    <s v="140000"/>
    <s v="Customers - Domestic Receivables"/>
    <s v="Balance Sheet"/>
    <s v="Assets"/>
    <s v="Current Assets"/>
    <s v=""/>
    <s v="Credit"/>
    <n v="-12344.56"/>
    <s v="EUR"/>
  </r>
  <r>
    <s v=".1~185"/>
    <n v="185"/>
    <s v="D2"/>
    <s v="03"/>
    <s v="03"/>
    <s v="03/03"/>
    <n v="5"/>
    <n v="23"/>
    <s v="140000"/>
    <s v="Customers - Domestic Receivables"/>
    <s v="Balance Sheet"/>
    <s v="Assets"/>
    <s v="Current Assets"/>
    <s v=""/>
    <s v="Debit"/>
    <n v="11242.24"/>
    <s v="EUR"/>
  </r>
  <r>
    <s v=".1~186"/>
    <n v="186"/>
    <s v="D2"/>
    <s v="03"/>
    <s v="03"/>
    <s v="03/03"/>
    <n v="5"/>
    <n v="23"/>
    <s v="400020"/>
    <s v="Raw mat.consumed/trading goods without cost center"/>
    <s v="Income Statement"/>
    <s v="Cost of Goods Sold"/>
    <s v=""/>
    <s v=""/>
    <s v="Debit"/>
    <n v="9240.7999999999993"/>
    <s v="EUR"/>
  </r>
  <r>
    <s v=".1~187"/>
    <n v="187"/>
    <s v="D2"/>
    <s v="03"/>
    <s v="03"/>
    <s v="03/03"/>
    <n v="5"/>
    <n v="23"/>
    <s v="472000"/>
    <s v="Shipping costs"/>
    <s v="Income Statement"/>
    <s v="Operating Expenses"/>
    <s v=""/>
    <s v=""/>
    <s v="Debit"/>
    <n v="200"/>
    <s v="EUR"/>
  </r>
  <r>
    <s v=".1~188"/>
    <n v="188"/>
    <s v="D2"/>
    <s v="03"/>
    <s v="03"/>
    <s v="03/03"/>
    <n v="5"/>
    <n v="23"/>
    <s v="792000"/>
    <s v="Finished goods"/>
    <s v="Balance Sheet"/>
    <s v="Assets"/>
    <s v="Current Assets"/>
    <s v=""/>
    <s v="Credit"/>
    <n v="-9240.7999999999993"/>
    <s v="EUR"/>
  </r>
  <r>
    <s v=".1~189"/>
    <n v="189"/>
    <s v="D2"/>
    <s v="03"/>
    <s v="03"/>
    <s v="03/03"/>
    <n v="5"/>
    <n v="23"/>
    <s v="800000"/>
    <s v="Sales revenues - domestic"/>
    <s v="Income Statement"/>
    <s v="Revenues"/>
    <s v=""/>
    <s v=""/>
    <s v="Credit"/>
    <n v="-11242.24"/>
    <s v="EUR"/>
  </r>
  <r>
    <s v=".1~190"/>
    <n v="190"/>
    <s v="D2"/>
    <s v="03"/>
    <s v="04"/>
    <s v="03/04"/>
    <n v="5"/>
    <n v="24"/>
    <s v="113300"/>
    <s v="Bank Cash Account"/>
    <s v="Balance Sheet"/>
    <s v="Assets"/>
    <s v="Current Assets"/>
    <s v=""/>
    <s v="Credit"/>
    <n v="-200"/>
    <s v="EUR"/>
  </r>
  <r>
    <s v=".1~191"/>
    <n v="191"/>
    <s v="D2"/>
    <s v="03"/>
    <s v="04"/>
    <s v="03/04"/>
    <n v="5"/>
    <n v="24"/>
    <s v="113300"/>
    <s v="Bank Cash Account"/>
    <s v="Balance Sheet"/>
    <s v="Assets"/>
    <s v="Current Assets"/>
    <s v=""/>
    <s v="Debit"/>
    <n v="2387.39"/>
    <s v="EUR"/>
  </r>
  <r>
    <s v=".1~192"/>
    <n v="192"/>
    <s v="D2"/>
    <s v="03"/>
    <s v="04"/>
    <s v="03/04"/>
    <n v="5"/>
    <n v="24"/>
    <s v="140000"/>
    <s v="Customers - Domestic Receivables"/>
    <s v="Balance Sheet"/>
    <s v="Assets"/>
    <s v="Current Assets"/>
    <s v=""/>
    <s v="Credit"/>
    <n v="-2387.39"/>
    <s v="EUR"/>
  </r>
  <r>
    <s v=".1~193"/>
    <n v="193"/>
    <s v="D2"/>
    <s v="03"/>
    <s v="04"/>
    <s v="03/04"/>
    <n v="5"/>
    <n v="24"/>
    <s v="140000"/>
    <s v="Customers - Domestic Receivables"/>
    <s v="Balance Sheet"/>
    <s v="Assets"/>
    <s v="Current Assets"/>
    <s v=""/>
    <s v="Debit"/>
    <n v="18572.330000000002"/>
    <s v="EUR"/>
  </r>
  <r>
    <s v=".1~194"/>
    <n v="194"/>
    <s v="D2"/>
    <s v="03"/>
    <s v="04"/>
    <s v="03/04"/>
    <n v="5"/>
    <n v="24"/>
    <s v="400020"/>
    <s v="Raw mat.consumed/trading goods without cost center"/>
    <s v="Income Statement"/>
    <s v="Cost of Goods Sold"/>
    <s v=""/>
    <s v=""/>
    <s v="Debit"/>
    <n v="15762.98"/>
    <s v="EUR"/>
  </r>
  <r>
    <s v=".1~195"/>
    <n v="195"/>
    <s v="D2"/>
    <s v="03"/>
    <s v="04"/>
    <s v="03/04"/>
    <n v="5"/>
    <n v="24"/>
    <s v="472000"/>
    <s v="Shipping costs"/>
    <s v="Income Statement"/>
    <s v="Operating Expenses"/>
    <s v=""/>
    <s v=""/>
    <s v="Debit"/>
    <n v="200"/>
    <s v="EUR"/>
  </r>
  <r>
    <s v=".1~196"/>
    <n v="196"/>
    <s v="D2"/>
    <s v="03"/>
    <s v="04"/>
    <s v="03/04"/>
    <n v="5"/>
    <n v="24"/>
    <s v="792000"/>
    <s v="Finished goods"/>
    <s v="Balance Sheet"/>
    <s v="Assets"/>
    <s v="Current Assets"/>
    <s v=""/>
    <s v="Credit"/>
    <n v="-15762.98"/>
    <s v="EUR"/>
  </r>
  <r>
    <s v=".1~197"/>
    <n v="197"/>
    <s v="D2"/>
    <s v="03"/>
    <s v="04"/>
    <s v="03/04"/>
    <n v="5"/>
    <n v="24"/>
    <s v="800000"/>
    <s v="Sales revenues - domestic"/>
    <s v="Income Statement"/>
    <s v="Revenues"/>
    <s v=""/>
    <s v=""/>
    <s v="Credit"/>
    <n v="-18572.330000000002"/>
    <s v="EUR"/>
  </r>
  <r>
    <s v=".1~198"/>
    <n v="198"/>
    <s v="D2"/>
    <s v="03"/>
    <s v="05"/>
    <s v="03/05"/>
    <n v="5"/>
    <n v="25"/>
    <s v="113300"/>
    <s v="Bank Cash Account"/>
    <s v="Balance Sheet"/>
    <s v="Assets"/>
    <s v="Current Assets"/>
    <s v=""/>
    <s v="Credit"/>
    <n v="-300"/>
    <s v="EUR"/>
  </r>
  <r>
    <s v=".1~199"/>
    <n v="199"/>
    <s v="D2"/>
    <s v="03"/>
    <s v="05"/>
    <s v="03/05"/>
    <n v="5"/>
    <n v="25"/>
    <s v="113300"/>
    <s v="Bank Cash Account"/>
    <s v="Balance Sheet"/>
    <s v="Assets"/>
    <s v="Current Assets"/>
    <s v=""/>
    <s v="Debit"/>
    <n v="4475.72"/>
    <s v="EUR"/>
  </r>
  <r>
    <s v=".1~200"/>
    <n v="200"/>
    <s v="D2"/>
    <s v="03"/>
    <s v="05"/>
    <s v="03/05"/>
    <n v="5"/>
    <n v="25"/>
    <s v="140000"/>
    <s v="Customers - Domestic Receivables"/>
    <s v="Balance Sheet"/>
    <s v="Assets"/>
    <s v="Current Assets"/>
    <s v=""/>
    <s v="Credit"/>
    <n v="-4475.72"/>
    <s v="EUR"/>
  </r>
  <r>
    <s v=".1~201"/>
    <n v="201"/>
    <s v="D2"/>
    <s v="03"/>
    <s v="05"/>
    <s v="03/05"/>
    <n v="5"/>
    <n v="25"/>
    <s v="140000"/>
    <s v="Customers - Domestic Receivables"/>
    <s v="Balance Sheet"/>
    <s v="Assets"/>
    <s v="Current Assets"/>
    <s v=""/>
    <s v="Debit"/>
    <n v="8900.5300000000007"/>
    <s v="EUR"/>
  </r>
  <r>
    <s v=".1~202"/>
    <n v="202"/>
    <s v="D2"/>
    <s v="03"/>
    <s v="05"/>
    <s v="03/05"/>
    <n v="5"/>
    <n v="25"/>
    <s v="400020"/>
    <s v="Raw mat.consumed/trading goods without cost center"/>
    <s v="Income Statement"/>
    <s v="Cost of Goods Sold"/>
    <s v=""/>
    <s v=""/>
    <s v="Debit"/>
    <n v="7905.84"/>
    <s v="EUR"/>
  </r>
  <r>
    <s v=".1~203"/>
    <n v="203"/>
    <s v="D2"/>
    <s v="03"/>
    <s v="05"/>
    <s v="03/05"/>
    <n v="5"/>
    <n v="25"/>
    <s v="472000"/>
    <s v="Shipping costs"/>
    <s v="Income Statement"/>
    <s v="Operating Expenses"/>
    <s v=""/>
    <s v=""/>
    <s v="Debit"/>
    <n v="300"/>
    <s v="EUR"/>
  </r>
  <r>
    <s v=".1~204"/>
    <n v="204"/>
    <s v="D2"/>
    <s v="03"/>
    <s v="05"/>
    <s v="03/05"/>
    <n v="5"/>
    <n v="25"/>
    <s v="792000"/>
    <s v="Finished goods"/>
    <s v="Balance Sheet"/>
    <s v="Assets"/>
    <s v="Current Assets"/>
    <s v=""/>
    <s v="Credit"/>
    <n v="-7905.84"/>
    <s v="EUR"/>
  </r>
  <r>
    <s v=".1~205"/>
    <n v="205"/>
    <s v="D2"/>
    <s v="03"/>
    <s v="05"/>
    <s v="03/05"/>
    <n v="5"/>
    <n v="25"/>
    <s v="800000"/>
    <s v="Sales revenues - domestic"/>
    <s v="Income Statement"/>
    <s v="Revenues"/>
    <s v=""/>
    <s v=""/>
    <s v="Credit"/>
    <n v="-8900.5300000000007"/>
    <s v="EUR"/>
  </r>
  <r>
    <s v=".1~206"/>
    <n v="206"/>
    <s v="D2"/>
    <s v="03"/>
    <s v="06"/>
    <s v="03/06"/>
    <n v="6"/>
    <n v="26"/>
    <s v="113300"/>
    <s v="Bank Cash Account"/>
    <s v="Balance Sheet"/>
    <s v="Assets"/>
    <s v="Current Assets"/>
    <s v=""/>
    <s v="Credit"/>
    <n v="-300"/>
    <s v="EUR"/>
  </r>
  <r>
    <s v=".1~207"/>
    <n v="207"/>
    <s v="D2"/>
    <s v="03"/>
    <s v="06"/>
    <s v="03/06"/>
    <n v="6"/>
    <n v="26"/>
    <s v="113300"/>
    <s v="Bank Cash Account"/>
    <s v="Balance Sheet"/>
    <s v="Assets"/>
    <s v="Current Assets"/>
    <s v=""/>
    <s v="Debit"/>
    <n v="5611.39"/>
    <s v="EUR"/>
  </r>
  <r>
    <s v=".1~208"/>
    <n v="208"/>
    <s v="D2"/>
    <s v="03"/>
    <s v="06"/>
    <s v="03/06"/>
    <n v="6"/>
    <n v="26"/>
    <s v="140000"/>
    <s v="Customers - Domestic Receivables"/>
    <s v="Balance Sheet"/>
    <s v="Assets"/>
    <s v="Current Assets"/>
    <s v=""/>
    <s v="Credit"/>
    <n v="-5611.39"/>
    <s v="EUR"/>
  </r>
  <r>
    <s v=".1~209"/>
    <n v="209"/>
    <s v="D2"/>
    <s v="03"/>
    <s v="06"/>
    <s v="03/06"/>
    <n v="6"/>
    <n v="26"/>
    <s v="140000"/>
    <s v="Customers - Domestic Receivables"/>
    <s v="Balance Sheet"/>
    <s v="Assets"/>
    <s v="Current Assets"/>
    <s v=""/>
    <s v="Debit"/>
    <n v="6850.47"/>
    <s v="EUR"/>
  </r>
  <r>
    <s v=".1~210"/>
    <n v="210"/>
    <s v="D2"/>
    <s v="03"/>
    <s v="06"/>
    <s v="03/06"/>
    <n v="6"/>
    <n v="26"/>
    <s v="400020"/>
    <s v="Raw mat.consumed/trading goods without cost center"/>
    <s v="Income Statement"/>
    <s v="Cost of Goods Sold"/>
    <s v=""/>
    <s v=""/>
    <s v="Debit"/>
    <n v="5663.71"/>
    <s v="EUR"/>
  </r>
  <r>
    <s v=".1~211"/>
    <n v="211"/>
    <s v="D2"/>
    <s v="03"/>
    <s v="06"/>
    <s v="03/06"/>
    <n v="6"/>
    <n v="26"/>
    <s v="472000"/>
    <s v="Shipping costs"/>
    <s v="Income Statement"/>
    <s v="Operating Expenses"/>
    <s v=""/>
    <s v=""/>
    <s v="Debit"/>
    <n v="300"/>
    <s v="EUR"/>
  </r>
  <r>
    <s v=".1~212"/>
    <n v="212"/>
    <s v="D2"/>
    <s v="03"/>
    <s v="06"/>
    <s v="03/06"/>
    <n v="6"/>
    <n v="26"/>
    <s v="792000"/>
    <s v="Finished goods"/>
    <s v="Balance Sheet"/>
    <s v="Assets"/>
    <s v="Current Assets"/>
    <s v=""/>
    <s v="Credit"/>
    <n v="-5663.71"/>
    <s v="EUR"/>
  </r>
  <r>
    <s v=".1~213"/>
    <n v="213"/>
    <s v="D2"/>
    <s v="03"/>
    <s v="06"/>
    <s v="03/06"/>
    <n v="6"/>
    <n v="26"/>
    <s v="800000"/>
    <s v="Sales revenues - domestic"/>
    <s v="Income Statement"/>
    <s v="Revenues"/>
    <s v=""/>
    <s v=""/>
    <s v="Credit"/>
    <n v="-6850.47"/>
    <s v="EUR"/>
  </r>
  <r>
    <s v=".1~214"/>
    <n v="214"/>
    <s v="D2"/>
    <s v="03"/>
    <s v="07"/>
    <s v="03/07"/>
    <n v="6"/>
    <n v="27"/>
    <s v="113300"/>
    <s v="Bank Cash Account"/>
    <s v="Balance Sheet"/>
    <s v="Assets"/>
    <s v="Current Assets"/>
    <s v=""/>
    <s v="Credit"/>
    <n v="-61312.63"/>
    <s v="EUR"/>
  </r>
  <r>
    <s v=".1~215"/>
    <n v="215"/>
    <s v="D2"/>
    <s v="03"/>
    <s v="07"/>
    <s v="03/07"/>
    <n v="6"/>
    <n v="27"/>
    <s v="113300"/>
    <s v="Bank Cash Account"/>
    <s v="Balance Sheet"/>
    <s v="Assets"/>
    <s v="Current Assets"/>
    <s v=""/>
    <s v="Debit"/>
    <n v="11242.24"/>
    <s v="EUR"/>
  </r>
  <r>
    <s v=".1~216"/>
    <n v="216"/>
    <s v="D2"/>
    <s v="03"/>
    <s v="07"/>
    <s v="03/07"/>
    <n v="6"/>
    <n v="27"/>
    <s v="140000"/>
    <s v="Customers - Domestic Receivables"/>
    <s v="Balance Sheet"/>
    <s v="Assets"/>
    <s v="Current Assets"/>
    <s v=""/>
    <s v="Credit"/>
    <n v="-11242.24"/>
    <s v="EUR"/>
  </r>
  <r>
    <s v=".1~217"/>
    <n v="217"/>
    <s v="D2"/>
    <s v="03"/>
    <s v="07"/>
    <s v="03/07"/>
    <n v="6"/>
    <n v="27"/>
    <s v="140000"/>
    <s v="Customers - Domestic Receivables"/>
    <s v="Balance Sheet"/>
    <s v="Assets"/>
    <s v="Current Assets"/>
    <s v=""/>
    <s v="Debit"/>
    <n v="15005.15"/>
    <s v="EUR"/>
  </r>
  <r>
    <s v=".1~218"/>
    <n v="218"/>
    <s v="D2"/>
    <s v="03"/>
    <s v="07"/>
    <s v="03/07"/>
    <n v="6"/>
    <n v="27"/>
    <s v="160000"/>
    <s v="Accounts payable-domestic"/>
    <s v="Balance Sheet"/>
    <s v="Liabilities and Owners' Equity"/>
    <s v="Liabilities"/>
    <s v="Current Liabilities"/>
    <s v="Credit"/>
    <n v="-42081.35"/>
    <s v="EUR"/>
  </r>
  <r>
    <s v=".1~219"/>
    <n v="219"/>
    <s v="D2"/>
    <s v="03"/>
    <s v="07"/>
    <s v="03/07"/>
    <n v="6"/>
    <n v="27"/>
    <s v="160000"/>
    <s v="Accounts payable-domestic"/>
    <s v="Balance Sheet"/>
    <s v="Liabilities and Owners' Equity"/>
    <s v="Liabilities"/>
    <s v="Current Liabilities"/>
    <s v="Debit"/>
    <n v="61112.63"/>
    <s v="EUR"/>
  </r>
  <r>
    <s v=".1~220"/>
    <n v="220"/>
    <s v="D2"/>
    <s v="03"/>
    <s v="07"/>
    <s v="03/07"/>
    <n v="6"/>
    <n v="27"/>
    <s v="191100"/>
    <s v="GR/IR Clearing - External procurement"/>
    <s v="Balance Sheet"/>
    <s v="Liabilities and Owners' Equity"/>
    <s v="Liabilities"/>
    <s v="Current Liabilities"/>
    <s v="Credit"/>
    <n v="-41081.35"/>
    <s v="EUR"/>
  </r>
  <r>
    <s v=".1~221"/>
    <n v="221"/>
    <s v="D2"/>
    <s v="03"/>
    <s v="07"/>
    <s v="03/07"/>
    <n v="6"/>
    <n v="27"/>
    <s v="191100"/>
    <s v="GR/IR Clearing - External procurement"/>
    <s v="Balance Sheet"/>
    <s v="Liabilities and Owners' Equity"/>
    <s v="Liabilities"/>
    <s v="Current Liabilities"/>
    <s v="Debit"/>
    <n v="41081.35"/>
    <s v="EUR"/>
  </r>
  <r>
    <s v=".1~222"/>
    <n v="222"/>
    <s v="D2"/>
    <s v="03"/>
    <s v="07"/>
    <s v="03/07"/>
    <n v="6"/>
    <n v="27"/>
    <s v="192100"/>
    <s v="Freight clearing (MM)"/>
    <s v="Balance Sheet"/>
    <s v="Liabilities and Owners' Equity"/>
    <s v="Liabilities"/>
    <s v="Current Liabilities"/>
    <s v="Credit"/>
    <n v="-1000"/>
    <s v="EUR"/>
  </r>
  <r>
    <s v=".1~223"/>
    <n v="223"/>
    <s v="D2"/>
    <s v="03"/>
    <s v="07"/>
    <s v="03/07"/>
    <n v="6"/>
    <n v="27"/>
    <s v="192100"/>
    <s v="Freight clearing (MM)"/>
    <s v="Balance Sheet"/>
    <s v="Liabilities and Owners' Equity"/>
    <s v="Liabilities"/>
    <s v="Current Liabilities"/>
    <s v="Debit"/>
    <n v="1000"/>
    <s v="EUR"/>
  </r>
  <r>
    <s v=".1~224"/>
    <n v="224"/>
    <s v="D2"/>
    <s v="03"/>
    <s v="07"/>
    <s v="03/07"/>
    <n v="6"/>
    <n v="27"/>
    <s v="400020"/>
    <s v="Raw mat.consumed/trading goods without cost center"/>
    <s v="Income Statement"/>
    <s v="Cost of Goods Sold"/>
    <s v=""/>
    <s v=""/>
    <s v="Debit"/>
    <n v="12574.69"/>
    <s v="EUR"/>
  </r>
  <r>
    <s v=".1~225"/>
    <n v="225"/>
    <s v="D2"/>
    <s v="03"/>
    <s v="07"/>
    <s v="03/07"/>
    <n v="6"/>
    <n v="27"/>
    <s v="472000"/>
    <s v="Shipping costs"/>
    <s v="Income Statement"/>
    <s v="Operating Expenses"/>
    <s v=""/>
    <s v=""/>
    <s v="Debit"/>
    <n v="200"/>
    <s v="EUR"/>
  </r>
  <r>
    <s v=".1~226"/>
    <n v="226"/>
    <s v="D2"/>
    <s v="03"/>
    <s v="07"/>
    <s v="03/07"/>
    <n v="6"/>
    <n v="27"/>
    <s v="792000"/>
    <s v="Finished goods"/>
    <s v="Balance Sheet"/>
    <s v="Assets"/>
    <s v="Current Assets"/>
    <s v=""/>
    <s v="Credit"/>
    <n v="-12574.69"/>
    <s v="EUR"/>
  </r>
  <r>
    <s v=".1~227"/>
    <n v="227"/>
    <s v="D2"/>
    <s v="03"/>
    <s v="07"/>
    <s v="03/07"/>
    <n v="6"/>
    <n v="27"/>
    <s v="792000"/>
    <s v="Finished goods"/>
    <s v="Balance Sheet"/>
    <s v="Assets"/>
    <s v="Current Assets"/>
    <s v=""/>
    <s v="Debit"/>
    <n v="42081.35"/>
    <s v="EUR"/>
  </r>
  <r>
    <s v=".1~228"/>
    <n v="228"/>
    <s v="D2"/>
    <s v="03"/>
    <s v="07"/>
    <s v="03/07"/>
    <n v="6"/>
    <n v="27"/>
    <s v="800000"/>
    <s v="Sales revenues - domestic"/>
    <s v="Income Statement"/>
    <s v="Revenues"/>
    <s v=""/>
    <s v=""/>
    <s v="Credit"/>
    <n v="-15005.15"/>
    <s v="EUR"/>
  </r>
  <r>
    <s v=".1~229"/>
    <n v="229"/>
    <s v="D2"/>
    <s v="03"/>
    <s v="08"/>
    <s v="03/08"/>
    <n v="6"/>
    <n v="28"/>
    <s v="113300"/>
    <s v="Bank Cash Account"/>
    <s v="Balance Sheet"/>
    <s v="Assets"/>
    <s v="Current Assets"/>
    <s v=""/>
    <s v="Credit"/>
    <n v="-200"/>
    <s v="EUR"/>
  </r>
  <r>
    <s v=".1~230"/>
    <n v="230"/>
    <s v="D2"/>
    <s v="03"/>
    <s v="08"/>
    <s v="03/08"/>
    <n v="6"/>
    <n v="28"/>
    <s v="113300"/>
    <s v="Bank Cash Account"/>
    <s v="Balance Sheet"/>
    <s v="Assets"/>
    <s v="Current Assets"/>
    <s v=""/>
    <s v="Debit"/>
    <n v="18572.330000000002"/>
    <s v="EUR"/>
  </r>
  <r>
    <s v=".1~231"/>
    <n v="231"/>
    <s v="D2"/>
    <s v="03"/>
    <s v="08"/>
    <s v="03/08"/>
    <n v="6"/>
    <n v="28"/>
    <s v="140000"/>
    <s v="Customers - Domestic Receivables"/>
    <s v="Balance Sheet"/>
    <s v="Assets"/>
    <s v="Current Assets"/>
    <s v=""/>
    <s v="Credit"/>
    <n v="-18572.330000000002"/>
    <s v="EUR"/>
  </r>
  <r>
    <s v=".1~232"/>
    <n v="232"/>
    <s v="D2"/>
    <s v="03"/>
    <s v="08"/>
    <s v="03/08"/>
    <n v="6"/>
    <n v="28"/>
    <s v="140000"/>
    <s v="Customers - Domestic Receivables"/>
    <s v="Balance Sheet"/>
    <s v="Assets"/>
    <s v="Current Assets"/>
    <s v=""/>
    <s v="Debit"/>
    <n v="12977.84"/>
    <s v="EUR"/>
  </r>
  <r>
    <s v=".1~233"/>
    <n v="233"/>
    <s v="D2"/>
    <s v="03"/>
    <s v="08"/>
    <s v="03/08"/>
    <n v="6"/>
    <n v="28"/>
    <s v="400020"/>
    <s v="Raw mat.consumed/trading goods without cost center"/>
    <s v="Income Statement"/>
    <s v="Cost of Goods Sold"/>
    <s v=""/>
    <s v=""/>
    <s v="Debit"/>
    <n v="10899.2"/>
    <s v="EUR"/>
  </r>
  <r>
    <s v=".1~234"/>
    <n v="234"/>
    <s v="D2"/>
    <s v="03"/>
    <s v="08"/>
    <s v="03/08"/>
    <n v="6"/>
    <n v="28"/>
    <s v="472000"/>
    <s v="Shipping costs"/>
    <s v="Income Statement"/>
    <s v="Operating Expenses"/>
    <s v=""/>
    <s v=""/>
    <s v="Debit"/>
    <n v="200"/>
    <s v="EUR"/>
  </r>
  <r>
    <s v=".1~235"/>
    <n v="235"/>
    <s v="D2"/>
    <s v="03"/>
    <s v="08"/>
    <s v="03/08"/>
    <n v="6"/>
    <n v="28"/>
    <s v="792000"/>
    <s v="Finished goods"/>
    <s v="Balance Sheet"/>
    <s v="Assets"/>
    <s v="Current Assets"/>
    <s v=""/>
    <s v="Credit"/>
    <n v="-10899.2"/>
    <s v="EUR"/>
  </r>
  <r>
    <s v=".1~236"/>
    <n v="236"/>
    <s v="D2"/>
    <s v="03"/>
    <s v="08"/>
    <s v="03/08"/>
    <n v="6"/>
    <n v="28"/>
    <s v="800000"/>
    <s v="Sales revenues - domestic"/>
    <s v="Income Statement"/>
    <s v="Revenues"/>
    <s v=""/>
    <s v=""/>
    <s v="Credit"/>
    <n v="-12977.84"/>
    <s v="EUR"/>
  </r>
  <r>
    <s v=".1~237"/>
    <n v="237"/>
    <s v="D2"/>
    <s v="03"/>
    <s v="09"/>
    <s v="03/09"/>
    <n v="6"/>
    <n v="29"/>
    <s v="113300"/>
    <s v="Bank Cash Account"/>
    <s v="Balance Sheet"/>
    <s v="Assets"/>
    <s v="Current Assets"/>
    <s v=""/>
    <s v="Credit"/>
    <n v="-300"/>
    <s v="EUR"/>
  </r>
  <r>
    <s v=".1~238"/>
    <n v="238"/>
    <s v="D2"/>
    <s v="03"/>
    <s v="09"/>
    <s v="03/09"/>
    <n v="6"/>
    <n v="29"/>
    <s v="113300"/>
    <s v="Bank Cash Account"/>
    <s v="Balance Sheet"/>
    <s v="Assets"/>
    <s v="Current Assets"/>
    <s v=""/>
    <s v="Debit"/>
    <n v="8900.5300000000007"/>
    <s v="EUR"/>
  </r>
  <r>
    <s v=".1~239"/>
    <n v="239"/>
    <s v="D2"/>
    <s v="03"/>
    <s v="09"/>
    <s v="03/09"/>
    <n v="6"/>
    <n v="29"/>
    <s v="140000"/>
    <s v="Customers - Domestic Receivables"/>
    <s v="Balance Sheet"/>
    <s v="Assets"/>
    <s v="Current Assets"/>
    <s v=""/>
    <s v="Credit"/>
    <n v="-8900.5300000000007"/>
    <s v="EUR"/>
  </r>
  <r>
    <s v=".1~240"/>
    <n v="240"/>
    <s v="D2"/>
    <s v="03"/>
    <s v="09"/>
    <s v="03/09"/>
    <n v="6"/>
    <n v="29"/>
    <s v="140000"/>
    <s v="Customers - Domestic Receivables"/>
    <s v="Balance Sheet"/>
    <s v="Assets"/>
    <s v="Current Assets"/>
    <s v=""/>
    <s v="Debit"/>
    <n v="18228.14"/>
    <s v="EUR"/>
  </r>
  <r>
    <s v=".1~241"/>
    <n v="241"/>
    <s v="D2"/>
    <s v="03"/>
    <s v="09"/>
    <s v="03/09"/>
    <n v="6"/>
    <n v="29"/>
    <s v="400020"/>
    <s v="Raw mat.consumed/trading goods without cost center"/>
    <s v="Income Statement"/>
    <s v="Cost of Goods Sold"/>
    <s v=""/>
    <s v=""/>
    <s v="Debit"/>
    <n v="15440.53"/>
    <s v="EUR"/>
  </r>
  <r>
    <s v=".1~242"/>
    <n v="242"/>
    <s v="D2"/>
    <s v="03"/>
    <s v="09"/>
    <s v="03/09"/>
    <n v="6"/>
    <n v="29"/>
    <s v="472000"/>
    <s v="Shipping costs"/>
    <s v="Income Statement"/>
    <s v="Operating Expenses"/>
    <s v=""/>
    <s v=""/>
    <s v="Debit"/>
    <n v="300"/>
    <s v="EUR"/>
  </r>
  <r>
    <s v=".1~243"/>
    <n v="243"/>
    <s v="D2"/>
    <s v="03"/>
    <s v="09"/>
    <s v="03/09"/>
    <n v="6"/>
    <n v="29"/>
    <s v="792000"/>
    <s v="Finished goods"/>
    <s v="Balance Sheet"/>
    <s v="Assets"/>
    <s v="Current Assets"/>
    <s v=""/>
    <s v="Credit"/>
    <n v="-15440.53"/>
    <s v="EUR"/>
  </r>
  <r>
    <s v=".1~244"/>
    <n v="244"/>
    <s v="D2"/>
    <s v="03"/>
    <s v="09"/>
    <s v="03/09"/>
    <n v="6"/>
    <n v="29"/>
    <s v="800000"/>
    <s v="Sales revenues - domestic"/>
    <s v="Income Statement"/>
    <s v="Revenues"/>
    <s v=""/>
    <s v=""/>
    <s v="Credit"/>
    <n v="-18228.14"/>
    <s v="EUR"/>
  </r>
  <r>
    <s v=".1~245"/>
    <n v="245"/>
    <s v="D2"/>
    <s v="03"/>
    <s v="10"/>
    <s v="03/10"/>
    <n v="6"/>
    <n v="30"/>
    <s v="113300"/>
    <s v="Bank Cash Account"/>
    <s v="Balance Sheet"/>
    <s v="Assets"/>
    <s v="Current Assets"/>
    <s v=""/>
    <s v="Credit"/>
    <n v="-300"/>
    <s v="EUR"/>
  </r>
  <r>
    <s v=".1~246"/>
    <n v="246"/>
    <s v="D2"/>
    <s v="03"/>
    <s v="10"/>
    <s v="03/10"/>
    <n v="6"/>
    <n v="30"/>
    <s v="113300"/>
    <s v="Bank Cash Account"/>
    <s v="Balance Sheet"/>
    <s v="Assets"/>
    <s v="Current Assets"/>
    <s v=""/>
    <s v="Debit"/>
    <n v="6850.47"/>
    <s v="EUR"/>
  </r>
  <r>
    <s v=".1~247"/>
    <n v="247"/>
    <s v="D2"/>
    <s v="03"/>
    <s v="10"/>
    <s v="03/10"/>
    <n v="6"/>
    <n v="30"/>
    <s v="140000"/>
    <s v="Customers - Domestic Receivables"/>
    <s v="Balance Sheet"/>
    <s v="Assets"/>
    <s v="Current Assets"/>
    <s v=""/>
    <s v="Credit"/>
    <n v="-6850.47"/>
    <s v="EUR"/>
  </r>
  <r>
    <s v=".1~248"/>
    <n v="248"/>
    <s v="D2"/>
    <s v="03"/>
    <s v="10"/>
    <s v="03/10"/>
    <n v="6"/>
    <n v="30"/>
    <s v="140000"/>
    <s v="Customers - Domestic Receivables"/>
    <s v="Balance Sheet"/>
    <s v="Assets"/>
    <s v="Current Assets"/>
    <s v=""/>
    <s v="Debit"/>
    <n v="13940.87"/>
    <s v="EUR"/>
  </r>
  <r>
    <s v=".1~249"/>
    <n v="249"/>
    <s v="D2"/>
    <s v="03"/>
    <s v="10"/>
    <s v="03/10"/>
    <n v="6"/>
    <n v="30"/>
    <s v="400020"/>
    <s v="Raw mat.consumed/trading goods without cost center"/>
    <s v="Income Statement"/>
    <s v="Cost of Goods Sold"/>
    <s v=""/>
    <s v=""/>
    <s v="Debit"/>
    <n v="11868.98"/>
    <s v="EUR"/>
  </r>
  <r>
    <s v=".1~250"/>
    <n v="250"/>
    <s v="D2"/>
    <s v="03"/>
    <s v="10"/>
    <s v="03/10"/>
    <n v="6"/>
    <n v="30"/>
    <s v="472000"/>
    <s v="Shipping costs"/>
    <s v="Income Statement"/>
    <s v="Operating Expenses"/>
    <s v=""/>
    <s v=""/>
    <s v="Debit"/>
    <n v="300"/>
    <s v="EUR"/>
  </r>
  <r>
    <s v=".1~251"/>
    <n v="251"/>
    <s v="D2"/>
    <s v="03"/>
    <s v="10"/>
    <s v="03/10"/>
    <n v="6"/>
    <n v="30"/>
    <s v="792000"/>
    <s v="Finished goods"/>
    <s v="Balance Sheet"/>
    <s v="Assets"/>
    <s v="Current Assets"/>
    <s v=""/>
    <s v="Credit"/>
    <n v="-11868.98"/>
    <s v="EUR"/>
  </r>
  <r>
    <s v=".1~252"/>
    <n v="252"/>
    <s v="D2"/>
    <s v="03"/>
    <s v="10"/>
    <s v="03/10"/>
    <n v="6"/>
    <n v="30"/>
    <s v="800000"/>
    <s v="Sales revenues - domestic"/>
    <s v="Income Statement"/>
    <s v="Revenues"/>
    <s v=""/>
    <s v=""/>
    <s v="Credit"/>
    <n v="-13940.87"/>
    <s v="EUR"/>
  </r>
  <r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5">
  <r>
    <s v=".1~1"/>
    <n v="1"/>
    <s v="D2"/>
    <s v="01"/>
    <s v="01"/>
    <x v="0"/>
    <n v="1"/>
    <n v="1"/>
    <x v="0"/>
    <x v="0"/>
    <x v="0"/>
    <n v="0"/>
    <s v="ST"/>
  </r>
  <r>
    <s v=".1~2"/>
    <n v="2"/>
    <s v="D2"/>
    <s v="01"/>
    <s v="01"/>
    <x v="0"/>
    <n v="1"/>
    <n v="1"/>
    <x v="0"/>
    <x v="1"/>
    <x v="1"/>
    <n v="0"/>
    <s v="ST"/>
  </r>
  <r>
    <s v=".1~3"/>
    <n v="3"/>
    <s v="D2"/>
    <s v="01"/>
    <s v="01"/>
    <x v="0"/>
    <n v="1"/>
    <n v="1"/>
    <x v="0"/>
    <x v="2"/>
    <x v="2"/>
    <n v="0"/>
    <s v="ST"/>
  </r>
  <r>
    <s v=".1~4"/>
    <n v="4"/>
    <s v="D2"/>
    <s v="01"/>
    <s v="01"/>
    <x v="0"/>
    <n v="1"/>
    <n v="1"/>
    <x v="0"/>
    <x v="3"/>
    <x v="3"/>
    <n v="0"/>
    <s v="ST"/>
  </r>
  <r>
    <s v=".1~5"/>
    <n v="5"/>
    <s v="D2"/>
    <s v="01"/>
    <s v="01"/>
    <x v="0"/>
    <n v="1"/>
    <n v="1"/>
    <x v="0"/>
    <x v="4"/>
    <x v="4"/>
    <n v="0"/>
    <s v="ST"/>
  </r>
  <r>
    <s v=".1~6"/>
    <n v="6"/>
    <s v="D2"/>
    <s v="01"/>
    <s v="01"/>
    <x v="0"/>
    <n v="1"/>
    <n v="1"/>
    <x v="0"/>
    <x v="5"/>
    <x v="5"/>
    <n v="0"/>
    <s v="ST"/>
  </r>
  <r>
    <s v=".1~7"/>
    <n v="7"/>
    <s v="D2"/>
    <s v="01"/>
    <s v="01"/>
    <x v="0"/>
    <n v="1"/>
    <n v="1"/>
    <x v="1"/>
    <x v="0"/>
    <x v="0"/>
    <n v="0"/>
    <s v="ST"/>
  </r>
  <r>
    <s v=".1~8"/>
    <n v="8"/>
    <s v="D2"/>
    <s v="01"/>
    <s v="01"/>
    <x v="0"/>
    <n v="1"/>
    <n v="1"/>
    <x v="1"/>
    <x v="1"/>
    <x v="1"/>
    <n v="0"/>
    <s v="ST"/>
  </r>
  <r>
    <s v=".1~9"/>
    <n v="9"/>
    <s v="D2"/>
    <s v="01"/>
    <s v="01"/>
    <x v="0"/>
    <n v="1"/>
    <n v="1"/>
    <x v="1"/>
    <x v="2"/>
    <x v="2"/>
    <n v="0"/>
    <s v="ST"/>
  </r>
  <r>
    <s v=".1~10"/>
    <n v="10"/>
    <s v="D2"/>
    <s v="01"/>
    <s v="01"/>
    <x v="0"/>
    <n v="1"/>
    <n v="1"/>
    <x v="1"/>
    <x v="3"/>
    <x v="3"/>
    <n v="0"/>
    <s v="ST"/>
  </r>
  <r>
    <s v=".1~11"/>
    <n v="11"/>
    <s v="D2"/>
    <s v="01"/>
    <s v="01"/>
    <x v="0"/>
    <n v="1"/>
    <n v="1"/>
    <x v="1"/>
    <x v="4"/>
    <x v="4"/>
    <n v="0"/>
    <s v="ST"/>
  </r>
  <r>
    <s v=".1~12"/>
    <n v="12"/>
    <s v="D2"/>
    <s v="01"/>
    <s v="01"/>
    <x v="0"/>
    <n v="1"/>
    <n v="1"/>
    <x v="1"/>
    <x v="5"/>
    <x v="5"/>
    <n v="0"/>
    <s v="ST"/>
  </r>
  <r>
    <s v=".1~13"/>
    <n v="13"/>
    <s v="D2"/>
    <s v="01"/>
    <s v="01"/>
    <x v="0"/>
    <n v="1"/>
    <n v="1"/>
    <x v="2"/>
    <x v="0"/>
    <x v="0"/>
    <n v="0"/>
    <s v="ST"/>
  </r>
  <r>
    <s v=".1~14"/>
    <n v="14"/>
    <s v="D2"/>
    <s v="01"/>
    <s v="01"/>
    <x v="0"/>
    <n v="1"/>
    <n v="1"/>
    <x v="2"/>
    <x v="1"/>
    <x v="1"/>
    <n v="0"/>
    <s v="ST"/>
  </r>
  <r>
    <s v=".1~15"/>
    <n v="15"/>
    <s v="D2"/>
    <s v="01"/>
    <s v="01"/>
    <x v="0"/>
    <n v="1"/>
    <n v="1"/>
    <x v="2"/>
    <x v="2"/>
    <x v="2"/>
    <n v="0"/>
    <s v="ST"/>
  </r>
  <r>
    <s v=".1~16"/>
    <n v="16"/>
    <s v="D2"/>
    <s v="01"/>
    <s v="01"/>
    <x v="0"/>
    <n v="1"/>
    <n v="1"/>
    <x v="2"/>
    <x v="3"/>
    <x v="3"/>
    <n v="0"/>
    <s v="ST"/>
  </r>
  <r>
    <s v=".1~17"/>
    <n v="17"/>
    <s v="D2"/>
    <s v="01"/>
    <s v="01"/>
    <x v="0"/>
    <n v="1"/>
    <n v="1"/>
    <x v="2"/>
    <x v="4"/>
    <x v="4"/>
    <n v="0"/>
    <s v="ST"/>
  </r>
  <r>
    <s v=".1~18"/>
    <n v="18"/>
    <s v="D2"/>
    <s v="01"/>
    <s v="01"/>
    <x v="0"/>
    <n v="1"/>
    <n v="1"/>
    <x v="2"/>
    <x v="5"/>
    <x v="5"/>
    <n v="0"/>
    <s v="ST"/>
  </r>
  <r>
    <s v=".1~19"/>
    <n v="19"/>
    <s v="D2"/>
    <s v="01"/>
    <s v="01"/>
    <x v="0"/>
    <n v="1"/>
    <n v="1"/>
    <x v="3"/>
    <x v="0"/>
    <x v="0"/>
    <n v="0"/>
    <s v="ST"/>
  </r>
  <r>
    <s v=".1~20"/>
    <n v="20"/>
    <s v="D2"/>
    <s v="01"/>
    <s v="01"/>
    <x v="0"/>
    <n v="1"/>
    <n v="1"/>
    <x v="3"/>
    <x v="1"/>
    <x v="1"/>
    <n v="0"/>
    <s v="ST"/>
  </r>
  <r>
    <s v=".1~21"/>
    <n v="21"/>
    <s v="D2"/>
    <s v="01"/>
    <s v="01"/>
    <x v="0"/>
    <n v="1"/>
    <n v="1"/>
    <x v="3"/>
    <x v="2"/>
    <x v="2"/>
    <n v="0"/>
    <s v="ST"/>
  </r>
  <r>
    <s v=".1~22"/>
    <n v="22"/>
    <s v="D2"/>
    <s v="01"/>
    <s v="01"/>
    <x v="0"/>
    <n v="1"/>
    <n v="1"/>
    <x v="3"/>
    <x v="3"/>
    <x v="3"/>
    <n v="0"/>
    <s v="ST"/>
  </r>
  <r>
    <s v=".1~23"/>
    <n v="23"/>
    <s v="D2"/>
    <s v="01"/>
    <s v="01"/>
    <x v="0"/>
    <n v="1"/>
    <n v="1"/>
    <x v="3"/>
    <x v="4"/>
    <x v="4"/>
    <n v="0"/>
    <s v="ST"/>
  </r>
  <r>
    <s v=".1~24"/>
    <n v="24"/>
    <s v="D2"/>
    <s v="01"/>
    <s v="01"/>
    <x v="0"/>
    <n v="1"/>
    <n v="1"/>
    <x v="3"/>
    <x v="5"/>
    <x v="5"/>
    <n v="0"/>
    <s v="ST"/>
  </r>
  <r>
    <s v=".1~25"/>
    <n v="25"/>
    <s v="D2"/>
    <s v="01"/>
    <s v="02"/>
    <x v="1"/>
    <n v="1"/>
    <n v="2"/>
    <x v="0"/>
    <x v="0"/>
    <x v="0"/>
    <n v="0"/>
    <s v="ST"/>
  </r>
  <r>
    <s v=".1~26"/>
    <n v="26"/>
    <s v="D2"/>
    <s v="01"/>
    <s v="02"/>
    <x v="1"/>
    <n v="1"/>
    <n v="2"/>
    <x v="0"/>
    <x v="1"/>
    <x v="1"/>
    <n v="0"/>
    <s v="ST"/>
  </r>
  <r>
    <s v=".1~27"/>
    <n v="27"/>
    <s v="D2"/>
    <s v="01"/>
    <s v="02"/>
    <x v="1"/>
    <n v="1"/>
    <n v="2"/>
    <x v="0"/>
    <x v="2"/>
    <x v="2"/>
    <n v="0"/>
    <s v="ST"/>
  </r>
  <r>
    <s v=".1~28"/>
    <n v="28"/>
    <s v="D2"/>
    <s v="01"/>
    <s v="02"/>
    <x v="1"/>
    <n v="1"/>
    <n v="2"/>
    <x v="0"/>
    <x v="3"/>
    <x v="3"/>
    <n v="0"/>
    <s v="ST"/>
  </r>
  <r>
    <s v=".1~29"/>
    <n v="29"/>
    <s v="D2"/>
    <s v="01"/>
    <s v="02"/>
    <x v="1"/>
    <n v="1"/>
    <n v="2"/>
    <x v="0"/>
    <x v="4"/>
    <x v="4"/>
    <n v="0"/>
    <s v="ST"/>
  </r>
  <r>
    <s v=".1~30"/>
    <n v="30"/>
    <s v="D2"/>
    <s v="01"/>
    <s v="02"/>
    <x v="1"/>
    <n v="1"/>
    <n v="2"/>
    <x v="0"/>
    <x v="5"/>
    <x v="5"/>
    <n v="0"/>
    <s v="ST"/>
  </r>
  <r>
    <s v=".1~31"/>
    <n v="31"/>
    <s v="D2"/>
    <s v="01"/>
    <s v="02"/>
    <x v="1"/>
    <n v="1"/>
    <n v="2"/>
    <x v="1"/>
    <x v="0"/>
    <x v="0"/>
    <n v="0"/>
    <s v="ST"/>
  </r>
  <r>
    <s v=".1~32"/>
    <n v="32"/>
    <s v="D2"/>
    <s v="01"/>
    <s v="02"/>
    <x v="1"/>
    <n v="1"/>
    <n v="2"/>
    <x v="1"/>
    <x v="1"/>
    <x v="1"/>
    <n v="0"/>
    <s v="ST"/>
  </r>
  <r>
    <s v=".1~33"/>
    <n v="33"/>
    <s v="D2"/>
    <s v="01"/>
    <s v="02"/>
    <x v="1"/>
    <n v="1"/>
    <n v="2"/>
    <x v="1"/>
    <x v="2"/>
    <x v="2"/>
    <n v="0"/>
    <s v="ST"/>
  </r>
  <r>
    <s v=".1~34"/>
    <n v="34"/>
    <s v="D2"/>
    <s v="01"/>
    <s v="02"/>
    <x v="1"/>
    <n v="1"/>
    <n v="2"/>
    <x v="1"/>
    <x v="3"/>
    <x v="3"/>
    <n v="0"/>
    <s v="ST"/>
  </r>
  <r>
    <s v=".1~35"/>
    <n v="35"/>
    <s v="D2"/>
    <s v="01"/>
    <s v="02"/>
    <x v="1"/>
    <n v="1"/>
    <n v="2"/>
    <x v="1"/>
    <x v="4"/>
    <x v="4"/>
    <n v="0"/>
    <s v="ST"/>
  </r>
  <r>
    <s v=".1~36"/>
    <n v="36"/>
    <s v="D2"/>
    <s v="01"/>
    <s v="02"/>
    <x v="1"/>
    <n v="1"/>
    <n v="2"/>
    <x v="1"/>
    <x v="5"/>
    <x v="5"/>
    <n v="0"/>
    <s v="ST"/>
  </r>
  <r>
    <s v=".1~37"/>
    <n v="37"/>
    <s v="D2"/>
    <s v="01"/>
    <s v="02"/>
    <x v="1"/>
    <n v="1"/>
    <n v="2"/>
    <x v="2"/>
    <x v="0"/>
    <x v="0"/>
    <n v="0"/>
    <s v="ST"/>
  </r>
  <r>
    <s v=".1~38"/>
    <n v="38"/>
    <s v="D2"/>
    <s v="01"/>
    <s v="02"/>
    <x v="1"/>
    <n v="1"/>
    <n v="2"/>
    <x v="2"/>
    <x v="1"/>
    <x v="1"/>
    <n v="0"/>
    <s v="ST"/>
  </r>
  <r>
    <s v=".1~39"/>
    <n v="39"/>
    <s v="D2"/>
    <s v="01"/>
    <s v="02"/>
    <x v="1"/>
    <n v="1"/>
    <n v="2"/>
    <x v="2"/>
    <x v="2"/>
    <x v="2"/>
    <n v="0"/>
    <s v="ST"/>
  </r>
  <r>
    <s v=".1~40"/>
    <n v="40"/>
    <s v="D2"/>
    <s v="01"/>
    <s v="02"/>
    <x v="1"/>
    <n v="1"/>
    <n v="2"/>
    <x v="2"/>
    <x v="3"/>
    <x v="3"/>
    <n v="0"/>
    <s v="ST"/>
  </r>
  <r>
    <s v=".1~41"/>
    <n v="41"/>
    <s v="D2"/>
    <s v="01"/>
    <s v="02"/>
    <x v="1"/>
    <n v="1"/>
    <n v="2"/>
    <x v="2"/>
    <x v="4"/>
    <x v="4"/>
    <n v="0"/>
    <s v="ST"/>
  </r>
  <r>
    <s v=".1~42"/>
    <n v="42"/>
    <s v="D2"/>
    <s v="01"/>
    <s v="02"/>
    <x v="1"/>
    <n v="1"/>
    <n v="2"/>
    <x v="2"/>
    <x v="5"/>
    <x v="5"/>
    <n v="0"/>
    <s v="ST"/>
  </r>
  <r>
    <s v=".1~43"/>
    <n v="43"/>
    <s v="D2"/>
    <s v="01"/>
    <s v="02"/>
    <x v="1"/>
    <n v="1"/>
    <n v="2"/>
    <x v="3"/>
    <x v="0"/>
    <x v="0"/>
    <n v="0"/>
    <s v="ST"/>
  </r>
  <r>
    <s v=".1~44"/>
    <n v="44"/>
    <s v="D2"/>
    <s v="01"/>
    <s v="02"/>
    <x v="1"/>
    <n v="1"/>
    <n v="2"/>
    <x v="3"/>
    <x v="1"/>
    <x v="1"/>
    <n v="0"/>
    <s v="ST"/>
  </r>
  <r>
    <s v=".1~45"/>
    <n v="45"/>
    <s v="D2"/>
    <s v="01"/>
    <s v="02"/>
    <x v="1"/>
    <n v="1"/>
    <n v="2"/>
    <x v="3"/>
    <x v="2"/>
    <x v="2"/>
    <n v="0"/>
    <s v="ST"/>
  </r>
  <r>
    <s v=".1~46"/>
    <n v="46"/>
    <s v="D2"/>
    <s v="01"/>
    <s v="02"/>
    <x v="1"/>
    <n v="1"/>
    <n v="2"/>
    <x v="3"/>
    <x v="3"/>
    <x v="3"/>
    <n v="0"/>
    <s v="ST"/>
  </r>
  <r>
    <s v=".1~47"/>
    <n v="47"/>
    <s v="D2"/>
    <s v="01"/>
    <s v="02"/>
    <x v="1"/>
    <n v="1"/>
    <n v="2"/>
    <x v="3"/>
    <x v="4"/>
    <x v="4"/>
    <n v="0"/>
    <s v="ST"/>
  </r>
  <r>
    <s v=".1~48"/>
    <n v="48"/>
    <s v="D2"/>
    <s v="01"/>
    <s v="02"/>
    <x v="1"/>
    <n v="1"/>
    <n v="2"/>
    <x v="3"/>
    <x v="5"/>
    <x v="5"/>
    <n v="0"/>
    <s v="ST"/>
  </r>
  <r>
    <s v=".1~49"/>
    <n v="49"/>
    <s v="D2"/>
    <s v="01"/>
    <s v="03"/>
    <x v="2"/>
    <n v="1"/>
    <n v="3"/>
    <x v="0"/>
    <x v="0"/>
    <x v="0"/>
    <n v="0"/>
    <s v="ST"/>
  </r>
  <r>
    <s v=".1~50"/>
    <n v="50"/>
    <s v="D2"/>
    <s v="01"/>
    <s v="03"/>
    <x v="2"/>
    <n v="1"/>
    <n v="3"/>
    <x v="0"/>
    <x v="1"/>
    <x v="1"/>
    <n v="0"/>
    <s v="ST"/>
  </r>
  <r>
    <s v=".1~51"/>
    <n v="51"/>
    <s v="D2"/>
    <s v="01"/>
    <s v="03"/>
    <x v="2"/>
    <n v="1"/>
    <n v="3"/>
    <x v="0"/>
    <x v="2"/>
    <x v="2"/>
    <n v="0"/>
    <s v="ST"/>
  </r>
  <r>
    <s v=".1~52"/>
    <n v="52"/>
    <s v="D2"/>
    <s v="01"/>
    <s v="03"/>
    <x v="2"/>
    <n v="1"/>
    <n v="3"/>
    <x v="0"/>
    <x v="3"/>
    <x v="3"/>
    <n v="0"/>
    <s v="ST"/>
  </r>
  <r>
    <s v=".1~53"/>
    <n v="53"/>
    <s v="D2"/>
    <s v="01"/>
    <s v="03"/>
    <x v="2"/>
    <n v="1"/>
    <n v="3"/>
    <x v="0"/>
    <x v="4"/>
    <x v="4"/>
    <n v="0"/>
    <s v="ST"/>
  </r>
  <r>
    <s v=".1~54"/>
    <n v="54"/>
    <s v="D2"/>
    <s v="01"/>
    <s v="03"/>
    <x v="2"/>
    <n v="1"/>
    <n v="3"/>
    <x v="0"/>
    <x v="5"/>
    <x v="5"/>
    <n v="0"/>
    <s v="ST"/>
  </r>
  <r>
    <s v=".1~55"/>
    <n v="55"/>
    <s v="D2"/>
    <s v="01"/>
    <s v="03"/>
    <x v="2"/>
    <n v="1"/>
    <n v="3"/>
    <x v="1"/>
    <x v="0"/>
    <x v="0"/>
    <n v="0"/>
    <s v="ST"/>
  </r>
  <r>
    <s v=".1~56"/>
    <n v="56"/>
    <s v="D2"/>
    <s v="01"/>
    <s v="03"/>
    <x v="2"/>
    <n v="1"/>
    <n v="3"/>
    <x v="1"/>
    <x v="1"/>
    <x v="1"/>
    <n v="0"/>
    <s v="ST"/>
  </r>
  <r>
    <s v=".1~57"/>
    <n v="57"/>
    <s v="D2"/>
    <s v="01"/>
    <s v="03"/>
    <x v="2"/>
    <n v="1"/>
    <n v="3"/>
    <x v="1"/>
    <x v="2"/>
    <x v="2"/>
    <n v="0"/>
    <s v="ST"/>
  </r>
  <r>
    <s v=".1~58"/>
    <n v="58"/>
    <s v="D2"/>
    <s v="01"/>
    <s v="03"/>
    <x v="2"/>
    <n v="1"/>
    <n v="3"/>
    <x v="1"/>
    <x v="3"/>
    <x v="3"/>
    <n v="0"/>
    <s v="ST"/>
  </r>
  <r>
    <s v=".1~59"/>
    <n v="59"/>
    <s v="D2"/>
    <s v="01"/>
    <s v="03"/>
    <x v="2"/>
    <n v="1"/>
    <n v="3"/>
    <x v="1"/>
    <x v="4"/>
    <x v="4"/>
    <n v="0"/>
    <s v="ST"/>
  </r>
  <r>
    <s v=".1~60"/>
    <n v="60"/>
    <s v="D2"/>
    <s v="01"/>
    <s v="03"/>
    <x v="2"/>
    <n v="1"/>
    <n v="3"/>
    <x v="1"/>
    <x v="5"/>
    <x v="5"/>
    <n v="0"/>
    <s v="ST"/>
  </r>
  <r>
    <s v=".1~61"/>
    <n v="61"/>
    <s v="D2"/>
    <s v="01"/>
    <s v="03"/>
    <x v="2"/>
    <n v="1"/>
    <n v="3"/>
    <x v="2"/>
    <x v="0"/>
    <x v="0"/>
    <n v="0"/>
    <s v="ST"/>
  </r>
  <r>
    <s v=".1~62"/>
    <n v="62"/>
    <s v="D2"/>
    <s v="01"/>
    <s v="03"/>
    <x v="2"/>
    <n v="1"/>
    <n v="3"/>
    <x v="2"/>
    <x v="1"/>
    <x v="1"/>
    <n v="0"/>
    <s v="ST"/>
  </r>
  <r>
    <s v=".1~63"/>
    <n v="63"/>
    <s v="D2"/>
    <s v="01"/>
    <s v="03"/>
    <x v="2"/>
    <n v="1"/>
    <n v="3"/>
    <x v="2"/>
    <x v="2"/>
    <x v="2"/>
    <n v="0"/>
    <s v="ST"/>
  </r>
  <r>
    <s v=".1~64"/>
    <n v="64"/>
    <s v="D2"/>
    <s v="01"/>
    <s v="03"/>
    <x v="2"/>
    <n v="1"/>
    <n v="3"/>
    <x v="2"/>
    <x v="3"/>
    <x v="3"/>
    <n v="0"/>
    <s v="ST"/>
  </r>
  <r>
    <s v=".1~65"/>
    <n v="65"/>
    <s v="D2"/>
    <s v="01"/>
    <s v="03"/>
    <x v="2"/>
    <n v="1"/>
    <n v="3"/>
    <x v="2"/>
    <x v="4"/>
    <x v="4"/>
    <n v="0"/>
    <s v="ST"/>
  </r>
  <r>
    <s v=".1~66"/>
    <n v="66"/>
    <s v="D2"/>
    <s v="01"/>
    <s v="03"/>
    <x v="2"/>
    <n v="1"/>
    <n v="3"/>
    <x v="2"/>
    <x v="5"/>
    <x v="5"/>
    <n v="0"/>
    <s v="ST"/>
  </r>
  <r>
    <s v=".1~67"/>
    <n v="67"/>
    <s v="D2"/>
    <s v="01"/>
    <s v="03"/>
    <x v="2"/>
    <n v="1"/>
    <n v="3"/>
    <x v="3"/>
    <x v="0"/>
    <x v="0"/>
    <n v="0"/>
    <s v="ST"/>
  </r>
  <r>
    <s v=".1~68"/>
    <n v="68"/>
    <s v="D2"/>
    <s v="01"/>
    <s v="03"/>
    <x v="2"/>
    <n v="1"/>
    <n v="3"/>
    <x v="3"/>
    <x v="1"/>
    <x v="1"/>
    <n v="0"/>
    <s v="ST"/>
  </r>
  <r>
    <s v=".1~69"/>
    <n v="69"/>
    <s v="D2"/>
    <s v="01"/>
    <s v="03"/>
    <x v="2"/>
    <n v="1"/>
    <n v="3"/>
    <x v="3"/>
    <x v="2"/>
    <x v="2"/>
    <n v="0"/>
    <s v="ST"/>
  </r>
  <r>
    <s v=".1~70"/>
    <n v="70"/>
    <s v="D2"/>
    <s v="01"/>
    <s v="03"/>
    <x v="2"/>
    <n v="1"/>
    <n v="3"/>
    <x v="3"/>
    <x v="3"/>
    <x v="3"/>
    <n v="0"/>
    <s v="ST"/>
  </r>
  <r>
    <s v=".1~71"/>
    <n v="71"/>
    <s v="D2"/>
    <s v="01"/>
    <s v="03"/>
    <x v="2"/>
    <n v="1"/>
    <n v="3"/>
    <x v="3"/>
    <x v="4"/>
    <x v="4"/>
    <n v="0"/>
    <s v="ST"/>
  </r>
  <r>
    <s v=".1~72"/>
    <n v="72"/>
    <s v="D2"/>
    <s v="01"/>
    <s v="03"/>
    <x v="2"/>
    <n v="1"/>
    <n v="3"/>
    <x v="3"/>
    <x v="5"/>
    <x v="5"/>
    <n v="0"/>
    <s v="ST"/>
  </r>
  <r>
    <s v=".1~73"/>
    <n v="73"/>
    <s v="D2"/>
    <s v="01"/>
    <s v="04"/>
    <x v="3"/>
    <n v="1"/>
    <n v="4"/>
    <x v="0"/>
    <x v="0"/>
    <x v="0"/>
    <n v="1161"/>
    <s v="ST"/>
  </r>
  <r>
    <s v=".1~74"/>
    <n v="74"/>
    <s v="D2"/>
    <s v="01"/>
    <s v="04"/>
    <x v="3"/>
    <n v="1"/>
    <n v="4"/>
    <x v="0"/>
    <x v="1"/>
    <x v="1"/>
    <n v="452"/>
    <s v="ST"/>
  </r>
  <r>
    <s v=".1~75"/>
    <n v="75"/>
    <s v="D2"/>
    <s v="01"/>
    <s v="04"/>
    <x v="3"/>
    <n v="1"/>
    <n v="4"/>
    <x v="0"/>
    <x v="2"/>
    <x v="2"/>
    <n v="1023"/>
    <s v="ST"/>
  </r>
  <r>
    <s v=".1~76"/>
    <n v="76"/>
    <s v="D2"/>
    <s v="01"/>
    <s v="04"/>
    <x v="3"/>
    <n v="1"/>
    <n v="4"/>
    <x v="0"/>
    <x v="3"/>
    <x v="3"/>
    <n v="391"/>
    <s v="ST"/>
  </r>
  <r>
    <s v=".1~77"/>
    <n v="77"/>
    <s v="D2"/>
    <s v="01"/>
    <s v="04"/>
    <x v="3"/>
    <n v="1"/>
    <n v="4"/>
    <x v="0"/>
    <x v="4"/>
    <x v="4"/>
    <n v="497"/>
    <s v="ST"/>
  </r>
  <r>
    <s v=".1~78"/>
    <n v="78"/>
    <s v="D2"/>
    <s v="01"/>
    <s v="04"/>
    <x v="3"/>
    <n v="1"/>
    <n v="4"/>
    <x v="0"/>
    <x v="5"/>
    <x v="5"/>
    <n v="386"/>
    <s v="ST"/>
  </r>
  <r>
    <s v=".1~79"/>
    <n v="79"/>
    <s v="D2"/>
    <s v="01"/>
    <s v="04"/>
    <x v="3"/>
    <n v="1"/>
    <n v="4"/>
    <x v="1"/>
    <x v="0"/>
    <x v="0"/>
    <n v="0"/>
    <s v="ST"/>
  </r>
  <r>
    <s v=".1~80"/>
    <n v="80"/>
    <s v="D2"/>
    <s v="01"/>
    <s v="04"/>
    <x v="3"/>
    <n v="1"/>
    <n v="4"/>
    <x v="1"/>
    <x v="1"/>
    <x v="1"/>
    <n v="0"/>
    <s v="ST"/>
  </r>
  <r>
    <s v=".1~81"/>
    <n v="81"/>
    <s v="D2"/>
    <s v="01"/>
    <s v="04"/>
    <x v="3"/>
    <n v="1"/>
    <n v="4"/>
    <x v="1"/>
    <x v="2"/>
    <x v="2"/>
    <n v="0"/>
    <s v="ST"/>
  </r>
  <r>
    <s v=".1~82"/>
    <n v="82"/>
    <s v="D2"/>
    <s v="01"/>
    <s v="04"/>
    <x v="3"/>
    <n v="1"/>
    <n v="4"/>
    <x v="1"/>
    <x v="3"/>
    <x v="3"/>
    <n v="0"/>
    <s v="ST"/>
  </r>
  <r>
    <s v=".1~83"/>
    <n v="83"/>
    <s v="D2"/>
    <s v="01"/>
    <s v="04"/>
    <x v="3"/>
    <n v="1"/>
    <n v="4"/>
    <x v="1"/>
    <x v="4"/>
    <x v="4"/>
    <n v="0"/>
    <s v="ST"/>
  </r>
  <r>
    <s v=".1~84"/>
    <n v="84"/>
    <s v="D2"/>
    <s v="01"/>
    <s v="04"/>
    <x v="3"/>
    <n v="1"/>
    <n v="4"/>
    <x v="1"/>
    <x v="5"/>
    <x v="5"/>
    <n v="0"/>
    <s v="ST"/>
  </r>
  <r>
    <s v=".1~85"/>
    <n v="85"/>
    <s v="D2"/>
    <s v="01"/>
    <s v="04"/>
    <x v="3"/>
    <n v="1"/>
    <n v="4"/>
    <x v="2"/>
    <x v="0"/>
    <x v="0"/>
    <n v="0"/>
    <s v="ST"/>
  </r>
  <r>
    <s v=".1~86"/>
    <n v="86"/>
    <s v="D2"/>
    <s v="01"/>
    <s v="04"/>
    <x v="3"/>
    <n v="1"/>
    <n v="4"/>
    <x v="2"/>
    <x v="1"/>
    <x v="1"/>
    <n v="0"/>
    <s v="ST"/>
  </r>
  <r>
    <s v=".1~87"/>
    <n v="87"/>
    <s v="D2"/>
    <s v="01"/>
    <s v="04"/>
    <x v="3"/>
    <n v="1"/>
    <n v="4"/>
    <x v="2"/>
    <x v="2"/>
    <x v="2"/>
    <n v="0"/>
    <s v="ST"/>
  </r>
  <r>
    <s v=".1~88"/>
    <n v="88"/>
    <s v="D2"/>
    <s v="01"/>
    <s v="04"/>
    <x v="3"/>
    <n v="1"/>
    <n v="4"/>
    <x v="2"/>
    <x v="3"/>
    <x v="3"/>
    <n v="0"/>
    <s v="ST"/>
  </r>
  <r>
    <s v=".1~89"/>
    <n v="89"/>
    <s v="D2"/>
    <s v="01"/>
    <s v="04"/>
    <x v="3"/>
    <n v="1"/>
    <n v="4"/>
    <x v="2"/>
    <x v="4"/>
    <x v="4"/>
    <n v="0"/>
    <s v="ST"/>
  </r>
  <r>
    <s v=".1~90"/>
    <n v="90"/>
    <s v="D2"/>
    <s v="01"/>
    <s v="04"/>
    <x v="3"/>
    <n v="1"/>
    <n v="4"/>
    <x v="2"/>
    <x v="5"/>
    <x v="5"/>
    <n v="0"/>
    <s v="ST"/>
  </r>
  <r>
    <s v=".1~91"/>
    <n v="91"/>
    <s v="D2"/>
    <s v="01"/>
    <s v="04"/>
    <x v="3"/>
    <n v="1"/>
    <n v="4"/>
    <x v="3"/>
    <x v="0"/>
    <x v="0"/>
    <n v="0"/>
    <s v="ST"/>
  </r>
  <r>
    <s v=".1~92"/>
    <n v="92"/>
    <s v="D2"/>
    <s v="01"/>
    <s v="04"/>
    <x v="3"/>
    <n v="1"/>
    <n v="4"/>
    <x v="3"/>
    <x v="1"/>
    <x v="1"/>
    <n v="0"/>
    <s v="ST"/>
  </r>
  <r>
    <s v=".1~93"/>
    <n v="93"/>
    <s v="D2"/>
    <s v="01"/>
    <s v="04"/>
    <x v="3"/>
    <n v="1"/>
    <n v="4"/>
    <x v="3"/>
    <x v="2"/>
    <x v="2"/>
    <n v="0"/>
    <s v="ST"/>
  </r>
  <r>
    <s v=".1~94"/>
    <n v="94"/>
    <s v="D2"/>
    <s v="01"/>
    <s v="04"/>
    <x v="3"/>
    <n v="1"/>
    <n v="4"/>
    <x v="3"/>
    <x v="3"/>
    <x v="3"/>
    <n v="0"/>
    <s v="ST"/>
  </r>
  <r>
    <s v=".1~95"/>
    <n v="95"/>
    <s v="D2"/>
    <s v="01"/>
    <s v="04"/>
    <x v="3"/>
    <n v="1"/>
    <n v="4"/>
    <x v="3"/>
    <x v="4"/>
    <x v="4"/>
    <n v="0"/>
    <s v="ST"/>
  </r>
  <r>
    <s v=".1~96"/>
    <n v="96"/>
    <s v="D2"/>
    <s v="01"/>
    <s v="04"/>
    <x v="3"/>
    <n v="1"/>
    <n v="4"/>
    <x v="3"/>
    <x v="5"/>
    <x v="5"/>
    <n v="0"/>
    <s v="ST"/>
  </r>
  <r>
    <s v=".1~97"/>
    <n v="97"/>
    <s v="D2"/>
    <s v="01"/>
    <s v="05"/>
    <x v="4"/>
    <n v="1"/>
    <n v="5"/>
    <x v="0"/>
    <x v="0"/>
    <x v="0"/>
    <n v="806"/>
    <s v="ST"/>
  </r>
  <r>
    <s v=".1~98"/>
    <n v="98"/>
    <s v="D2"/>
    <s v="01"/>
    <s v="05"/>
    <x v="4"/>
    <n v="1"/>
    <n v="5"/>
    <x v="0"/>
    <x v="1"/>
    <x v="1"/>
    <n v="312"/>
    <s v="ST"/>
  </r>
  <r>
    <s v=".1~99"/>
    <n v="99"/>
    <s v="D2"/>
    <s v="01"/>
    <s v="05"/>
    <x v="4"/>
    <n v="1"/>
    <n v="5"/>
    <x v="0"/>
    <x v="2"/>
    <x v="2"/>
    <n v="713"/>
    <s v="ST"/>
  </r>
  <r>
    <s v=".1~100"/>
    <n v="100"/>
    <s v="D2"/>
    <s v="01"/>
    <s v="05"/>
    <x v="4"/>
    <n v="1"/>
    <n v="5"/>
    <x v="0"/>
    <x v="3"/>
    <x v="3"/>
    <n v="256"/>
    <s v="ST"/>
  </r>
  <r>
    <s v=".1~101"/>
    <n v="101"/>
    <s v="D2"/>
    <s v="01"/>
    <s v="05"/>
    <x v="4"/>
    <n v="1"/>
    <n v="5"/>
    <x v="0"/>
    <x v="4"/>
    <x v="4"/>
    <n v="337"/>
    <s v="ST"/>
  </r>
  <r>
    <s v=".1~102"/>
    <n v="102"/>
    <s v="D2"/>
    <s v="01"/>
    <s v="05"/>
    <x v="4"/>
    <n v="1"/>
    <n v="5"/>
    <x v="0"/>
    <x v="5"/>
    <x v="5"/>
    <n v="261"/>
    <s v="ST"/>
  </r>
  <r>
    <s v=".1~103"/>
    <n v="103"/>
    <s v="D2"/>
    <s v="01"/>
    <s v="05"/>
    <x v="4"/>
    <n v="1"/>
    <n v="5"/>
    <x v="1"/>
    <x v="0"/>
    <x v="0"/>
    <n v="230"/>
    <s v="ST"/>
  </r>
  <r>
    <s v=".1~104"/>
    <n v="104"/>
    <s v="D2"/>
    <s v="01"/>
    <s v="05"/>
    <x v="4"/>
    <n v="1"/>
    <n v="5"/>
    <x v="1"/>
    <x v="1"/>
    <x v="1"/>
    <n v="60"/>
    <s v="ST"/>
  </r>
  <r>
    <s v=".1~105"/>
    <n v="105"/>
    <s v="D2"/>
    <s v="01"/>
    <s v="05"/>
    <x v="4"/>
    <n v="1"/>
    <n v="5"/>
    <x v="1"/>
    <x v="2"/>
    <x v="2"/>
    <n v="115"/>
    <s v="ST"/>
  </r>
  <r>
    <s v=".1~106"/>
    <n v="106"/>
    <s v="D2"/>
    <s v="01"/>
    <s v="05"/>
    <x v="4"/>
    <n v="1"/>
    <n v="5"/>
    <x v="1"/>
    <x v="3"/>
    <x v="3"/>
    <n v="35"/>
    <s v="ST"/>
  </r>
  <r>
    <s v=".1~107"/>
    <n v="107"/>
    <s v="D2"/>
    <s v="01"/>
    <s v="05"/>
    <x v="4"/>
    <n v="1"/>
    <n v="5"/>
    <x v="1"/>
    <x v="4"/>
    <x v="4"/>
    <n v="60"/>
    <s v="ST"/>
  </r>
  <r>
    <s v=".1~108"/>
    <n v="108"/>
    <s v="D2"/>
    <s v="01"/>
    <s v="05"/>
    <x v="4"/>
    <n v="1"/>
    <n v="5"/>
    <x v="1"/>
    <x v="5"/>
    <x v="5"/>
    <n v="70"/>
    <s v="ST"/>
  </r>
  <r>
    <s v=".1~109"/>
    <n v="109"/>
    <s v="D2"/>
    <s v="01"/>
    <s v="05"/>
    <x v="4"/>
    <n v="1"/>
    <n v="5"/>
    <x v="2"/>
    <x v="0"/>
    <x v="0"/>
    <n v="60"/>
    <s v="ST"/>
  </r>
  <r>
    <s v=".1~110"/>
    <n v="110"/>
    <s v="D2"/>
    <s v="01"/>
    <s v="05"/>
    <x v="4"/>
    <n v="1"/>
    <n v="5"/>
    <x v="2"/>
    <x v="1"/>
    <x v="1"/>
    <n v="60"/>
    <s v="ST"/>
  </r>
  <r>
    <s v=".1~111"/>
    <n v="111"/>
    <s v="D2"/>
    <s v="01"/>
    <s v="05"/>
    <x v="4"/>
    <n v="1"/>
    <n v="5"/>
    <x v="2"/>
    <x v="2"/>
    <x v="2"/>
    <n v="110"/>
    <s v="ST"/>
  </r>
  <r>
    <s v=".1~112"/>
    <n v="112"/>
    <s v="D2"/>
    <s v="01"/>
    <s v="05"/>
    <x v="4"/>
    <n v="1"/>
    <n v="5"/>
    <x v="2"/>
    <x v="3"/>
    <x v="3"/>
    <n v="15"/>
    <s v="ST"/>
  </r>
  <r>
    <s v=".1~113"/>
    <n v="113"/>
    <s v="D2"/>
    <s v="01"/>
    <s v="05"/>
    <x v="4"/>
    <n v="1"/>
    <n v="5"/>
    <x v="2"/>
    <x v="4"/>
    <x v="4"/>
    <n v="70"/>
    <s v="ST"/>
  </r>
  <r>
    <s v=".1~114"/>
    <n v="114"/>
    <s v="D2"/>
    <s v="01"/>
    <s v="05"/>
    <x v="4"/>
    <n v="1"/>
    <n v="5"/>
    <x v="2"/>
    <x v="5"/>
    <x v="5"/>
    <n v="25"/>
    <s v="ST"/>
  </r>
  <r>
    <s v=".1~115"/>
    <n v="115"/>
    <s v="D2"/>
    <s v="01"/>
    <s v="05"/>
    <x v="4"/>
    <n v="1"/>
    <n v="5"/>
    <x v="3"/>
    <x v="0"/>
    <x v="0"/>
    <n v="65"/>
    <s v="ST"/>
  </r>
  <r>
    <s v=".1~116"/>
    <n v="116"/>
    <s v="D2"/>
    <s v="01"/>
    <s v="05"/>
    <x v="4"/>
    <n v="1"/>
    <n v="5"/>
    <x v="3"/>
    <x v="1"/>
    <x v="1"/>
    <n v="20"/>
    <s v="ST"/>
  </r>
  <r>
    <s v=".1~117"/>
    <n v="117"/>
    <s v="D2"/>
    <s v="01"/>
    <s v="05"/>
    <x v="4"/>
    <n v="1"/>
    <n v="5"/>
    <x v="3"/>
    <x v="2"/>
    <x v="2"/>
    <n v="85"/>
    <s v="ST"/>
  </r>
  <r>
    <s v=".1~118"/>
    <n v="118"/>
    <s v="D2"/>
    <s v="01"/>
    <s v="05"/>
    <x v="4"/>
    <n v="1"/>
    <n v="5"/>
    <x v="3"/>
    <x v="3"/>
    <x v="3"/>
    <n v="85"/>
    <s v="ST"/>
  </r>
  <r>
    <s v=".1~119"/>
    <n v="119"/>
    <s v="D2"/>
    <s v="01"/>
    <s v="05"/>
    <x v="4"/>
    <n v="1"/>
    <n v="5"/>
    <x v="3"/>
    <x v="4"/>
    <x v="4"/>
    <n v="30"/>
    <s v="ST"/>
  </r>
  <r>
    <s v=".1~120"/>
    <n v="120"/>
    <s v="D2"/>
    <s v="01"/>
    <s v="05"/>
    <x v="4"/>
    <n v="1"/>
    <n v="5"/>
    <x v="3"/>
    <x v="5"/>
    <x v="5"/>
    <n v="30"/>
    <s v="ST"/>
  </r>
  <r>
    <s v=".1~121"/>
    <n v="121"/>
    <s v="D2"/>
    <s v="01"/>
    <s v="06"/>
    <x v="5"/>
    <n v="2"/>
    <n v="6"/>
    <x v="0"/>
    <x v="0"/>
    <x v="0"/>
    <n v="806"/>
    <s v="ST"/>
  </r>
  <r>
    <s v=".1~122"/>
    <n v="122"/>
    <s v="D2"/>
    <s v="01"/>
    <s v="06"/>
    <x v="5"/>
    <n v="2"/>
    <n v="6"/>
    <x v="0"/>
    <x v="1"/>
    <x v="1"/>
    <n v="312"/>
    <s v="ST"/>
  </r>
  <r>
    <s v=".1~123"/>
    <n v="123"/>
    <s v="D2"/>
    <s v="01"/>
    <s v="06"/>
    <x v="5"/>
    <n v="2"/>
    <n v="6"/>
    <x v="0"/>
    <x v="2"/>
    <x v="2"/>
    <n v="713"/>
    <s v="ST"/>
  </r>
  <r>
    <s v=".1~124"/>
    <n v="124"/>
    <s v="D2"/>
    <s v="01"/>
    <s v="06"/>
    <x v="5"/>
    <n v="2"/>
    <n v="6"/>
    <x v="0"/>
    <x v="3"/>
    <x v="3"/>
    <n v="256"/>
    <s v="ST"/>
  </r>
  <r>
    <s v=".1~125"/>
    <n v="125"/>
    <s v="D2"/>
    <s v="01"/>
    <s v="06"/>
    <x v="5"/>
    <n v="2"/>
    <n v="6"/>
    <x v="0"/>
    <x v="4"/>
    <x v="4"/>
    <n v="337"/>
    <s v="ST"/>
  </r>
  <r>
    <s v=".1~126"/>
    <n v="126"/>
    <s v="D2"/>
    <s v="01"/>
    <s v="06"/>
    <x v="5"/>
    <n v="2"/>
    <n v="6"/>
    <x v="0"/>
    <x v="5"/>
    <x v="5"/>
    <n v="261"/>
    <s v="ST"/>
  </r>
  <r>
    <s v=".1~127"/>
    <n v="127"/>
    <s v="D2"/>
    <s v="01"/>
    <s v="06"/>
    <x v="5"/>
    <n v="2"/>
    <n v="6"/>
    <x v="1"/>
    <x v="0"/>
    <x v="0"/>
    <n v="149"/>
    <s v="ST"/>
  </r>
  <r>
    <s v=".1~128"/>
    <n v="128"/>
    <s v="D2"/>
    <s v="01"/>
    <s v="06"/>
    <x v="5"/>
    <n v="2"/>
    <n v="6"/>
    <x v="1"/>
    <x v="1"/>
    <x v="1"/>
    <n v="60"/>
    <s v="ST"/>
  </r>
  <r>
    <s v=".1~129"/>
    <n v="129"/>
    <s v="D2"/>
    <s v="01"/>
    <s v="06"/>
    <x v="5"/>
    <n v="2"/>
    <n v="6"/>
    <x v="1"/>
    <x v="2"/>
    <x v="2"/>
    <n v="115"/>
    <s v="ST"/>
  </r>
  <r>
    <s v=".1~130"/>
    <n v="130"/>
    <s v="D2"/>
    <s v="01"/>
    <s v="06"/>
    <x v="5"/>
    <n v="2"/>
    <n v="6"/>
    <x v="1"/>
    <x v="3"/>
    <x v="3"/>
    <n v="35"/>
    <s v="ST"/>
  </r>
  <r>
    <s v=".1~131"/>
    <n v="131"/>
    <s v="D2"/>
    <s v="01"/>
    <s v="06"/>
    <x v="5"/>
    <n v="2"/>
    <n v="6"/>
    <x v="1"/>
    <x v="4"/>
    <x v="4"/>
    <n v="60"/>
    <s v="ST"/>
  </r>
  <r>
    <s v=".1~132"/>
    <n v="132"/>
    <s v="D2"/>
    <s v="01"/>
    <s v="06"/>
    <x v="5"/>
    <n v="2"/>
    <n v="6"/>
    <x v="1"/>
    <x v="5"/>
    <x v="5"/>
    <n v="70"/>
    <s v="ST"/>
  </r>
  <r>
    <s v=".1~133"/>
    <n v="133"/>
    <s v="D2"/>
    <s v="01"/>
    <s v="06"/>
    <x v="5"/>
    <n v="2"/>
    <n v="6"/>
    <x v="2"/>
    <x v="0"/>
    <x v="0"/>
    <n v="0"/>
    <s v="ST"/>
  </r>
  <r>
    <s v=".1~134"/>
    <n v="134"/>
    <s v="D2"/>
    <s v="01"/>
    <s v="06"/>
    <x v="5"/>
    <n v="2"/>
    <n v="6"/>
    <x v="2"/>
    <x v="1"/>
    <x v="1"/>
    <n v="60"/>
    <s v="ST"/>
  </r>
  <r>
    <s v=".1~135"/>
    <n v="135"/>
    <s v="D2"/>
    <s v="01"/>
    <s v="06"/>
    <x v="5"/>
    <n v="2"/>
    <n v="6"/>
    <x v="2"/>
    <x v="2"/>
    <x v="2"/>
    <n v="44"/>
    <s v="ST"/>
  </r>
  <r>
    <s v=".1~136"/>
    <n v="136"/>
    <s v="D2"/>
    <s v="01"/>
    <s v="06"/>
    <x v="5"/>
    <n v="2"/>
    <n v="6"/>
    <x v="2"/>
    <x v="3"/>
    <x v="3"/>
    <n v="15"/>
    <s v="ST"/>
  </r>
  <r>
    <s v=".1~137"/>
    <n v="137"/>
    <s v="D2"/>
    <s v="01"/>
    <s v="06"/>
    <x v="5"/>
    <n v="2"/>
    <n v="6"/>
    <x v="2"/>
    <x v="4"/>
    <x v="4"/>
    <n v="70"/>
    <s v="ST"/>
  </r>
  <r>
    <s v=".1~138"/>
    <n v="138"/>
    <s v="D2"/>
    <s v="01"/>
    <s v="06"/>
    <x v="5"/>
    <n v="2"/>
    <n v="6"/>
    <x v="2"/>
    <x v="5"/>
    <x v="5"/>
    <n v="25"/>
    <s v="ST"/>
  </r>
  <r>
    <s v=".1~139"/>
    <n v="139"/>
    <s v="D2"/>
    <s v="01"/>
    <s v="06"/>
    <x v="5"/>
    <n v="2"/>
    <n v="6"/>
    <x v="3"/>
    <x v="0"/>
    <x v="0"/>
    <n v="65"/>
    <s v="ST"/>
  </r>
  <r>
    <s v=".1~140"/>
    <n v="140"/>
    <s v="D2"/>
    <s v="01"/>
    <s v="06"/>
    <x v="5"/>
    <n v="2"/>
    <n v="6"/>
    <x v="3"/>
    <x v="1"/>
    <x v="1"/>
    <n v="20"/>
    <s v="ST"/>
  </r>
  <r>
    <s v=".1~141"/>
    <n v="141"/>
    <s v="D2"/>
    <s v="01"/>
    <s v="06"/>
    <x v="5"/>
    <n v="2"/>
    <n v="6"/>
    <x v="3"/>
    <x v="2"/>
    <x v="2"/>
    <n v="85"/>
    <s v="ST"/>
  </r>
  <r>
    <s v=".1~142"/>
    <n v="142"/>
    <s v="D2"/>
    <s v="01"/>
    <s v="06"/>
    <x v="5"/>
    <n v="2"/>
    <n v="6"/>
    <x v="3"/>
    <x v="3"/>
    <x v="3"/>
    <n v="70"/>
    <s v="ST"/>
  </r>
  <r>
    <s v=".1~143"/>
    <n v="143"/>
    <s v="D2"/>
    <s v="01"/>
    <s v="06"/>
    <x v="5"/>
    <n v="2"/>
    <n v="6"/>
    <x v="3"/>
    <x v="4"/>
    <x v="4"/>
    <n v="30"/>
    <s v="ST"/>
  </r>
  <r>
    <s v=".1~144"/>
    <n v="144"/>
    <s v="D2"/>
    <s v="01"/>
    <s v="06"/>
    <x v="5"/>
    <n v="2"/>
    <n v="6"/>
    <x v="3"/>
    <x v="5"/>
    <x v="5"/>
    <n v="30"/>
    <s v="ST"/>
  </r>
  <r>
    <s v=".1~145"/>
    <n v="145"/>
    <s v="D2"/>
    <s v="01"/>
    <s v="07"/>
    <x v="6"/>
    <n v="2"/>
    <n v="7"/>
    <x v="0"/>
    <x v="0"/>
    <x v="0"/>
    <n v="666"/>
    <s v="ST"/>
  </r>
  <r>
    <s v=".1~146"/>
    <n v="146"/>
    <s v="D2"/>
    <s v="01"/>
    <s v="07"/>
    <x v="6"/>
    <n v="2"/>
    <n v="7"/>
    <x v="0"/>
    <x v="1"/>
    <x v="1"/>
    <n v="313"/>
    <s v="ST"/>
  </r>
  <r>
    <s v=".1~147"/>
    <n v="147"/>
    <s v="D2"/>
    <s v="01"/>
    <s v="07"/>
    <x v="6"/>
    <n v="2"/>
    <n v="7"/>
    <x v="0"/>
    <x v="2"/>
    <x v="2"/>
    <n v="648"/>
    <s v="ST"/>
  </r>
  <r>
    <s v=".1~148"/>
    <n v="148"/>
    <s v="D2"/>
    <s v="01"/>
    <s v="07"/>
    <x v="6"/>
    <n v="2"/>
    <n v="7"/>
    <x v="0"/>
    <x v="3"/>
    <x v="3"/>
    <n v="242"/>
    <s v="ST"/>
  </r>
  <r>
    <s v=".1~149"/>
    <n v="149"/>
    <s v="D2"/>
    <s v="01"/>
    <s v="07"/>
    <x v="6"/>
    <n v="2"/>
    <n v="7"/>
    <x v="0"/>
    <x v="4"/>
    <x v="4"/>
    <n v="338"/>
    <s v="ST"/>
  </r>
  <r>
    <s v=".1~150"/>
    <n v="150"/>
    <s v="D2"/>
    <s v="01"/>
    <s v="07"/>
    <x v="6"/>
    <n v="2"/>
    <n v="7"/>
    <x v="0"/>
    <x v="5"/>
    <x v="5"/>
    <n v="262"/>
    <s v="ST"/>
  </r>
  <r>
    <s v=".1~151"/>
    <n v="151"/>
    <s v="D2"/>
    <s v="01"/>
    <s v="07"/>
    <x v="6"/>
    <n v="2"/>
    <n v="7"/>
    <x v="1"/>
    <x v="0"/>
    <x v="0"/>
    <n v="157"/>
    <s v="ST"/>
  </r>
  <r>
    <s v=".1~152"/>
    <n v="152"/>
    <s v="D2"/>
    <s v="01"/>
    <s v="07"/>
    <x v="6"/>
    <n v="2"/>
    <n v="7"/>
    <x v="1"/>
    <x v="1"/>
    <x v="1"/>
    <n v="60"/>
    <s v="ST"/>
  </r>
  <r>
    <s v=".1~153"/>
    <n v="153"/>
    <s v="D2"/>
    <s v="01"/>
    <s v="07"/>
    <x v="6"/>
    <n v="2"/>
    <n v="7"/>
    <x v="1"/>
    <x v="2"/>
    <x v="2"/>
    <n v="71"/>
    <s v="ST"/>
  </r>
  <r>
    <s v=".1~154"/>
    <n v="154"/>
    <s v="D2"/>
    <s v="01"/>
    <s v="07"/>
    <x v="6"/>
    <n v="2"/>
    <n v="7"/>
    <x v="1"/>
    <x v="3"/>
    <x v="3"/>
    <n v="35"/>
    <s v="ST"/>
  </r>
  <r>
    <s v=".1~155"/>
    <n v="155"/>
    <s v="D2"/>
    <s v="01"/>
    <s v="07"/>
    <x v="6"/>
    <n v="2"/>
    <n v="7"/>
    <x v="1"/>
    <x v="4"/>
    <x v="4"/>
    <n v="60"/>
    <s v="ST"/>
  </r>
  <r>
    <s v=".1~156"/>
    <n v="156"/>
    <s v="D2"/>
    <s v="01"/>
    <s v="07"/>
    <x v="6"/>
    <n v="2"/>
    <n v="7"/>
    <x v="1"/>
    <x v="5"/>
    <x v="5"/>
    <n v="70"/>
    <s v="ST"/>
  </r>
  <r>
    <s v=".1~157"/>
    <n v="157"/>
    <s v="D2"/>
    <s v="01"/>
    <s v="07"/>
    <x v="6"/>
    <n v="2"/>
    <n v="7"/>
    <x v="2"/>
    <x v="0"/>
    <x v="0"/>
    <n v="60"/>
    <s v="ST"/>
  </r>
  <r>
    <s v=".1~158"/>
    <n v="158"/>
    <s v="D2"/>
    <s v="01"/>
    <s v="07"/>
    <x v="6"/>
    <n v="2"/>
    <n v="7"/>
    <x v="2"/>
    <x v="1"/>
    <x v="1"/>
    <n v="60"/>
    <s v="ST"/>
  </r>
  <r>
    <s v=".1~159"/>
    <n v="159"/>
    <s v="D2"/>
    <s v="01"/>
    <s v="07"/>
    <x v="6"/>
    <n v="2"/>
    <n v="7"/>
    <x v="2"/>
    <x v="2"/>
    <x v="2"/>
    <n v="66"/>
    <s v="ST"/>
  </r>
  <r>
    <s v=".1~160"/>
    <n v="160"/>
    <s v="D2"/>
    <s v="01"/>
    <s v="07"/>
    <x v="6"/>
    <n v="2"/>
    <n v="7"/>
    <x v="2"/>
    <x v="3"/>
    <x v="3"/>
    <n v="0"/>
    <s v="ST"/>
  </r>
  <r>
    <s v=".1~161"/>
    <n v="161"/>
    <s v="D2"/>
    <s v="01"/>
    <s v="07"/>
    <x v="6"/>
    <n v="2"/>
    <n v="7"/>
    <x v="2"/>
    <x v="4"/>
    <x v="4"/>
    <n v="70"/>
    <s v="ST"/>
  </r>
  <r>
    <s v=".1~162"/>
    <n v="162"/>
    <s v="D2"/>
    <s v="01"/>
    <s v="07"/>
    <x v="6"/>
    <n v="2"/>
    <n v="7"/>
    <x v="2"/>
    <x v="5"/>
    <x v="5"/>
    <n v="25"/>
    <s v="ST"/>
  </r>
  <r>
    <s v=".1~163"/>
    <n v="163"/>
    <s v="D2"/>
    <s v="01"/>
    <s v="07"/>
    <x v="6"/>
    <n v="2"/>
    <n v="7"/>
    <x v="3"/>
    <x v="0"/>
    <x v="0"/>
    <n v="65"/>
    <s v="ST"/>
  </r>
  <r>
    <s v=".1~164"/>
    <n v="164"/>
    <s v="D2"/>
    <s v="01"/>
    <s v="07"/>
    <x v="6"/>
    <n v="2"/>
    <n v="7"/>
    <x v="3"/>
    <x v="1"/>
    <x v="1"/>
    <n v="20"/>
    <s v="ST"/>
  </r>
  <r>
    <s v=".1~165"/>
    <n v="165"/>
    <s v="D2"/>
    <s v="01"/>
    <s v="07"/>
    <x v="6"/>
    <n v="2"/>
    <n v="7"/>
    <x v="3"/>
    <x v="2"/>
    <x v="2"/>
    <n v="85"/>
    <s v="ST"/>
  </r>
  <r>
    <s v=".1~166"/>
    <n v="166"/>
    <s v="D2"/>
    <s v="01"/>
    <s v="07"/>
    <x v="6"/>
    <n v="2"/>
    <n v="7"/>
    <x v="3"/>
    <x v="3"/>
    <x v="3"/>
    <n v="79"/>
    <s v="ST"/>
  </r>
  <r>
    <s v=".1~167"/>
    <n v="167"/>
    <s v="D2"/>
    <s v="01"/>
    <s v="07"/>
    <x v="6"/>
    <n v="2"/>
    <n v="7"/>
    <x v="3"/>
    <x v="4"/>
    <x v="4"/>
    <n v="30"/>
    <s v="ST"/>
  </r>
  <r>
    <s v=".1~168"/>
    <n v="168"/>
    <s v="D2"/>
    <s v="01"/>
    <s v="07"/>
    <x v="6"/>
    <n v="2"/>
    <n v="7"/>
    <x v="3"/>
    <x v="5"/>
    <x v="5"/>
    <n v="30"/>
    <s v="ST"/>
  </r>
  <r>
    <s v=".1~169"/>
    <n v="169"/>
    <s v="D2"/>
    <s v="01"/>
    <s v="08"/>
    <x v="7"/>
    <n v="2"/>
    <n v="8"/>
    <x v="0"/>
    <x v="0"/>
    <x v="0"/>
    <n v="734"/>
    <s v="ST"/>
  </r>
  <r>
    <s v=".1~170"/>
    <n v="170"/>
    <s v="D2"/>
    <s v="01"/>
    <s v="08"/>
    <x v="7"/>
    <n v="2"/>
    <n v="8"/>
    <x v="0"/>
    <x v="1"/>
    <x v="1"/>
    <n v="313"/>
    <s v="ST"/>
  </r>
  <r>
    <s v=".1~171"/>
    <n v="171"/>
    <s v="D2"/>
    <s v="01"/>
    <s v="08"/>
    <x v="7"/>
    <n v="2"/>
    <n v="8"/>
    <x v="0"/>
    <x v="2"/>
    <x v="2"/>
    <n v="626"/>
    <s v="ST"/>
  </r>
  <r>
    <s v=".1~172"/>
    <n v="172"/>
    <s v="D2"/>
    <s v="01"/>
    <s v="08"/>
    <x v="7"/>
    <n v="2"/>
    <n v="8"/>
    <x v="0"/>
    <x v="3"/>
    <x v="3"/>
    <n v="236"/>
    <s v="ST"/>
  </r>
  <r>
    <s v=".1~173"/>
    <n v="173"/>
    <s v="D2"/>
    <s v="01"/>
    <s v="08"/>
    <x v="7"/>
    <n v="2"/>
    <n v="8"/>
    <x v="0"/>
    <x v="4"/>
    <x v="4"/>
    <n v="338"/>
    <s v="ST"/>
  </r>
  <r>
    <s v=".1~174"/>
    <n v="174"/>
    <s v="D2"/>
    <s v="01"/>
    <s v="08"/>
    <x v="7"/>
    <n v="2"/>
    <n v="8"/>
    <x v="0"/>
    <x v="5"/>
    <x v="5"/>
    <n v="262"/>
    <s v="ST"/>
  </r>
  <r>
    <s v=".1~175"/>
    <n v="175"/>
    <s v="D2"/>
    <s v="01"/>
    <s v="08"/>
    <x v="7"/>
    <n v="2"/>
    <n v="8"/>
    <x v="1"/>
    <x v="0"/>
    <x v="0"/>
    <n v="176"/>
    <s v="ST"/>
  </r>
  <r>
    <s v=".1~176"/>
    <n v="176"/>
    <s v="D2"/>
    <s v="01"/>
    <s v="08"/>
    <x v="7"/>
    <n v="2"/>
    <n v="8"/>
    <x v="1"/>
    <x v="1"/>
    <x v="1"/>
    <n v="40"/>
    <s v="ST"/>
  </r>
  <r>
    <s v=".1~177"/>
    <n v="177"/>
    <s v="D2"/>
    <s v="01"/>
    <s v="08"/>
    <x v="7"/>
    <n v="2"/>
    <n v="8"/>
    <x v="1"/>
    <x v="2"/>
    <x v="2"/>
    <n v="44"/>
    <s v="ST"/>
  </r>
  <r>
    <s v=".1~178"/>
    <n v="178"/>
    <s v="D2"/>
    <s v="01"/>
    <s v="08"/>
    <x v="7"/>
    <n v="2"/>
    <n v="8"/>
    <x v="1"/>
    <x v="3"/>
    <x v="3"/>
    <n v="35"/>
    <s v="ST"/>
  </r>
  <r>
    <s v=".1~179"/>
    <n v="179"/>
    <s v="D2"/>
    <s v="01"/>
    <s v="08"/>
    <x v="7"/>
    <n v="2"/>
    <n v="8"/>
    <x v="1"/>
    <x v="4"/>
    <x v="4"/>
    <n v="60"/>
    <s v="ST"/>
  </r>
  <r>
    <s v=".1~180"/>
    <n v="180"/>
    <s v="D2"/>
    <s v="01"/>
    <s v="08"/>
    <x v="7"/>
    <n v="2"/>
    <n v="8"/>
    <x v="1"/>
    <x v="5"/>
    <x v="5"/>
    <n v="70"/>
    <s v="ST"/>
  </r>
  <r>
    <s v=".1~181"/>
    <n v="181"/>
    <s v="D2"/>
    <s v="01"/>
    <s v="08"/>
    <x v="7"/>
    <n v="2"/>
    <n v="8"/>
    <x v="2"/>
    <x v="0"/>
    <x v="0"/>
    <n v="60"/>
    <s v="ST"/>
  </r>
  <r>
    <s v=".1~182"/>
    <n v="182"/>
    <s v="D2"/>
    <s v="01"/>
    <s v="08"/>
    <x v="7"/>
    <n v="2"/>
    <n v="8"/>
    <x v="2"/>
    <x v="1"/>
    <x v="1"/>
    <n v="60"/>
    <s v="ST"/>
  </r>
  <r>
    <s v=".1~183"/>
    <n v="183"/>
    <s v="D2"/>
    <s v="01"/>
    <s v="08"/>
    <x v="7"/>
    <n v="2"/>
    <n v="8"/>
    <x v="2"/>
    <x v="2"/>
    <x v="2"/>
    <n v="45"/>
    <s v="ST"/>
  </r>
  <r>
    <s v=".1~184"/>
    <n v="184"/>
    <s v="D2"/>
    <s v="01"/>
    <s v="08"/>
    <x v="7"/>
    <n v="2"/>
    <n v="8"/>
    <x v="2"/>
    <x v="3"/>
    <x v="3"/>
    <n v="15"/>
    <s v="ST"/>
  </r>
  <r>
    <s v=".1~185"/>
    <n v="185"/>
    <s v="D2"/>
    <s v="01"/>
    <s v="08"/>
    <x v="7"/>
    <n v="2"/>
    <n v="8"/>
    <x v="2"/>
    <x v="4"/>
    <x v="4"/>
    <n v="70"/>
    <s v="ST"/>
  </r>
  <r>
    <s v=".1~186"/>
    <n v="186"/>
    <s v="D2"/>
    <s v="01"/>
    <s v="08"/>
    <x v="7"/>
    <n v="2"/>
    <n v="8"/>
    <x v="2"/>
    <x v="5"/>
    <x v="5"/>
    <n v="25"/>
    <s v="ST"/>
  </r>
  <r>
    <s v=".1~187"/>
    <n v="187"/>
    <s v="D2"/>
    <s v="01"/>
    <s v="08"/>
    <x v="7"/>
    <n v="2"/>
    <n v="8"/>
    <x v="3"/>
    <x v="0"/>
    <x v="0"/>
    <n v="65"/>
    <s v="ST"/>
  </r>
  <r>
    <s v=".1~188"/>
    <n v="188"/>
    <s v="D2"/>
    <s v="01"/>
    <s v="08"/>
    <x v="7"/>
    <n v="2"/>
    <n v="8"/>
    <x v="3"/>
    <x v="1"/>
    <x v="1"/>
    <n v="20"/>
    <s v="ST"/>
  </r>
  <r>
    <s v=".1~189"/>
    <n v="189"/>
    <s v="D2"/>
    <s v="01"/>
    <s v="08"/>
    <x v="7"/>
    <n v="2"/>
    <n v="8"/>
    <x v="3"/>
    <x v="2"/>
    <x v="2"/>
    <n v="85"/>
    <s v="ST"/>
  </r>
  <r>
    <s v=".1~190"/>
    <n v="190"/>
    <s v="D2"/>
    <s v="01"/>
    <s v="08"/>
    <x v="7"/>
    <n v="2"/>
    <n v="8"/>
    <x v="3"/>
    <x v="3"/>
    <x v="3"/>
    <n v="68"/>
    <s v="ST"/>
  </r>
  <r>
    <s v=".1~191"/>
    <n v="191"/>
    <s v="D2"/>
    <s v="01"/>
    <s v="08"/>
    <x v="7"/>
    <n v="2"/>
    <n v="8"/>
    <x v="3"/>
    <x v="4"/>
    <x v="4"/>
    <n v="30"/>
    <s v="ST"/>
  </r>
  <r>
    <s v=".1~192"/>
    <n v="192"/>
    <s v="D2"/>
    <s v="01"/>
    <s v="08"/>
    <x v="7"/>
    <n v="2"/>
    <n v="8"/>
    <x v="3"/>
    <x v="5"/>
    <x v="5"/>
    <n v="30"/>
    <s v="ST"/>
  </r>
  <r>
    <s v=".1~193"/>
    <n v="193"/>
    <s v="D2"/>
    <s v="01"/>
    <s v="09"/>
    <x v="8"/>
    <n v="2"/>
    <n v="9"/>
    <x v="0"/>
    <x v="0"/>
    <x v="0"/>
    <n v="680"/>
    <s v="ST"/>
  </r>
  <r>
    <s v=".1~194"/>
    <n v="194"/>
    <s v="D2"/>
    <s v="01"/>
    <s v="09"/>
    <x v="8"/>
    <n v="2"/>
    <n v="9"/>
    <x v="0"/>
    <x v="1"/>
    <x v="1"/>
    <n v="293"/>
    <s v="ST"/>
  </r>
  <r>
    <s v=".1~195"/>
    <n v="195"/>
    <s v="D2"/>
    <s v="01"/>
    <s v="09"/>
    <x v="8"/>
    <n v="2"/>
    <n v="9"/>
    <x v="0"/>
    <x v="2"/>
    <x v="2"/>
    <n v="490"/>
    <s v="ST"/>
  </r>
  <r>
    <s v=".1~196"/>
    <n v="196"/>
    <s v="D2"/>
    <s v="01"/>
    <s v="09"/>
    <x v="8"/>
    <n v="2"/>
    <n v="9"/>
    <x v="0"/>
    <x v="3"/>
    <x v="3"/>
    <n v="219"/>
    <s v="ST"/>
  </r>
  <r>
    <s v=".1~197"/>
    <n v="197"/>
    <s v="D2"/>
    <s v="01"/>
    <s v="09"/>
    <x v="8"/>
    <n v="2"/>
    <n v="9"/>
    <x v="0"/>
    <x v="4"/>
    <x v="4"/>
    <n v="338"/>
    <s v="ST"/>
  </r>
  <r>
    <s v=".1~198"/>
    <n v="198"/>
    <s v="D2"/>
    <s v="01"/>
    <s v="09"/>
    <x v="8"/>
    <n v="2"/>
    <n v="9"/>
    <x v="0"/>
    <x v="5"/>
    <x v="5"/>
    <n v="262"/>
    <s v="ST"/>
  </r>
  <r>
    <s v=".1~199"/>
    <n v="199"/>
    <s v="D2"/>
    <s v="01"/>
    <s v="09"/>
    <x v="8"/>
    <n v="2"/>
    <n v="9"/>
    <x v="1"/>
    <x v="0"/>
    <x v="0"/>
    <n v="54"/>
    <s v="ST"/>
  </r>
  <r>
    <s v=".1~200"/>
    <n v="200"/>
    <s v="D2"/>
    <s v="01"/>
    <s v="09"/>
    <x v="8"/>
    <n v="2"/>
    <n v="9"/>
    <x v="1"/>
    <x v="1"/>
    <x v="1"/>
    <n v="60"/>
    <s v="ST"/>
  </r>
  <r>
    <s v=".1~201"/>
    <n v="201"/>
    <s v="D2"/>
    <s v="01"/>
    <s v="09"/>
    <x v="8"/>
    <n v="2"/>
    <n v="9"/>
    <x v="1"/>
    <x v="2"/>
    <x v="2"/>
    <n v="71"/>
    <s v="ST"/>
  </r>
  <r>
    <s v=".1~202"/>
    <n v="202"/>
    <s v="D2"/>
    <s v="01"/>
    <s v="09"/>
    <x v="8"/>
    <n v="2"/>
    <n v="9"/>
    <x v="1"/>
    <x v="3"/>
    <x v="3"/>
    <n v="35"/>
    <s v="ST"/>
  </r>
  <r>
    <s v=".1~203"/>
    <n v="203"/>
    <s v="D2"/>
    <s v="01"/>
    <s v="09"/>
    <x v="8"/>
    <n v="2"/>
    <n v="9"/>
    <x v="1"/>
    <x v="4"/>
    <x v="4"/>
    <n v="60"/>
    <s v="ST"/>
  </r>
  <r>
    <s v=".1~204"/>
    <n v="204"/>
    <s v="D2"/>
    <s v="01"/>
    <s v="09"/>
    <x v="8"/>
    <n v="2"/>
    <n v="9"/>
    <x v="1"/>
    <x v="5"/>
    <x v="5"/>
    <n v="70"/>
    <s v="ST"/>
  </r>
  <r>
    <s v=".1~205"/>
    <n v="205"/>
    <s v="D2"/>
    <s v="01"/>
    <s v="09"/>
    <x v="8"/>
    <n v="2"/>
    <n v="9"/>
    <x v="2"/>
    <x v="0"/>
    <x v="0"/>
    <n v="0"/>
    <s v="ST"/>
  </r>
  <r>
    <s v=".1~206"/>
    <n v="206"/>
    <s v="D2"/>
    <s v="01"/>
    <s v="09"/>
    <x v="8"/>
    <n v="2"/>
    <n v="9"/>
    <x v="2"/>
    <x v="1"/>
    <x v="1"/>
    <n v="60"/>
    <s v="ST"/>
  </r>
  <r>
    <s v=".1~207"/>
    <n v="207"/>
    <s v="D2"/>
    <s v="01"/>
    <s v="09"/>
    <x v="8"/>
    <n v="2"/>
    <n v="9"/>
    <x v="2"/>
    <x v="2"/>
    <x v="2"/>
    <n v="110"/>
    <s v="ST"/>
  </r>
  <r>
    <s v=".1~208"/>
    <n v="208"/>
    <s v="D2"/>
    <s v="01"/>
    <s v="09"/>
    <x v="8"/>
    <n v="2"/>
    <n v="9"/>
    <x v="2"/>
    <x v="3"/>
    <x v="3"/>
    <n v="15"/>
    <s v="ST"/>
  </r>
  <r>
    <s v=".1~209"/>
    <n v="209"/>
    <s v="D2"/>
    <s v="01"/>
    <s v="09"/>
    <x v="8"/>
    <n v="2"/>
    <n v="9"/>
    <x v="2"/>
    <x v="4"/>
    <x v="4"/>
    <n v="70"/>
    <s v="ST"/>
  </r>
  <r>
    <s v=".1~210"/>
    <n v="210"/>
    <s v="D2"/>
    <s v="01"/>
    <s v="09"/>
    <x v="8"/>
    <n v="2"/>
    <n v="9"/>
    <x v="2"/>
    <x v="5"/>
    <x v="5"/>
    <n v="25"/>
    <s v="ST"/>
  </r>
  <r>
    <s v=".1~211"/>
    <n v="211"/>
    <s v="D2"/>
    <s v="01"/>
    <s v="09"/>
    <x v="8"/>
    <n v="2"/>
    <n v="9"/>
    <x v="3"/>
    <x v="0"/>
    <x v="0"/>
    <n v="65"/>
    <s v="ST"/>
  </r>
  <r>
    <s v=".1~212"/>
    <n v="212"/>
    <s v="D2"/>
    <s v="01"/>
    <s v="09"/>
    <x v="8"/>
    <n v="2"/>
    <n v="9"/>
    <x v="3"/>
    <x v="1"/>
    <x v="1"/>
    <n v="20"/>
    <s v="ST"/>
  </r>
  <r>
    <s v=".1~213"/>
    <n v="213"/>
    <s v="D2"/>
    <s v="01"/>
    <s v="09"/>
    <x v="8"/>
    <n v="2"/>
    <n v="9"/>
    <x v="3"/>
    <x v="2"/>
    <x v="2"/>
    <n v="41"/>
    <s v="ST"/>
  </r>
  <r>
    <s v=".1~214"/>
    <n v="214"/>
    <s v="D2"/>
    <s v="01"/>
    <s v="09"/>
    <x v="8"/>
    <n v="2"/>
    <n v="9"/>
    <x v="3"/>
    <x v="3"/>
    <x v="3"/>
    <n v="49"/>
    <s v="ST"/>
  </r>
  <r>
    <s v=".1~215"/>
    <n v="215"/>
    <s v="D2"/>
    <s v="01"/>
    <s v="09"/>
    <x v="8"/>
    <n v="2"/>
    <n v="9"/>
    <x v="3"/>
    <x v="4"/>
    <x v="4"/>
    <n v="30"/>
    <s v="ST"/>
  </r>
  <r>
    <s v=".1~216"/>
    <n v="216"/>
    <s v="D2"/>
    <s v="01"/>
    <s v="09"/>
    <x v="8"/>
    <n v="2"/>
    <n v="9"/>
    <x v="3"/>
    <x v="5"/>
    <x v="5"/>
    <n v="30"/>
    <s v="ST"/>
  </r>
  <r>
    <s v=".1~217"/>
    <n v="217"/>
    <s v="D2"/>
    <s v="01"/>
    <s v="10"/>
    <x v="9"/>
    <n v="2"/>
    <n v="10"/>
    <x v="0"/>
    <x v="0"/>
    <x v="0"/>
    <n v="444"/>
    <s v="ST"/>
  </r>
  <r>
    <s v=".1~218"/>
    <n v="218"/>
    <s v="D2"/>
    <s v="01"/>
    <s v="10"/>
    <x v="9"/>
    <n v="2"/>
    <n v="10"/>
    <x v="0"/>
    <x v="1"/>
    <x v="1"/>
    <n v="293"/>
    <s v="ST"/>
  </r>
  <r>
    <s v=".1~219"/>
    <n v="219"/>
    <s v="D2"/>
    <s v="01"/>
    <s v="10"/>
    <x v="9"/>
    <n v="2"/>
    <n v="10"/>
    <x v="0"/>
    <x v="2"/>
    <x v="2"/>
    <n v="402"/>
    <s v="ST"/>
  </r>
  <r>
    <s v=".1~220"/>
    <n v="220"/>
    <s v="D2"/>
    <s v="01"/>
    <s v="10"/>
    <x v="9"/>
    <n v="2"/>
    <n v="10"/>
    <x v="0"/>
    <x v="3"/>
    <x v="3"/>
    <n v="183"/>
    <s v="ST"/>
  </r>
  <r>
    <s v=".1~221"/>
    <n v="221"/>
    <s v="D2"/>
    <s v="01"/>
    <s v="10"/>
    <x v="9"/>
    <n v="2"/>
    <n v="10"/>
    <x v="0"/>
    <x v="4"/>
    <x v="4"/>
    <n v="338"/>
    <s v="ST"/>
  </r>
  <r>
    <s v=".1~222"/>
    <n v="222"/>
    <s v="D2"/>
    <s v="01"/>
    <s v="10"/>
    <x v="9"/>
    <n v="2"/>
    <n v="10"/>
    <x v="0"/>
    <x v="5"/>
    <x v="5"/>
    <n v="262"/>
    <s v="ST"/>
  </r>
  <r>
    <s v=".1~223"/>
    <n v="223"/>
    <s v="D2"/>
    <s v="01"/>
    <s v="10"/>
    <x v="9"/>
    <n v="2"/>
    <n v="10"/>
    <x v="1"/>
    <x v="0"/>
    <x v="0"/>
    <n v="176"/>
    <s v="ST"/>
  </r>
  <r>
    <s v=".1~224"/>
    <n v="224"/>
    <s v="D2"/>
    <s v="01"/>
    <s v="10"/>
    <x v="9"/>
    <n v="2"/>
    <n v="10"/>
    <x v="1"/>
    <x v="1"/>
    <x v="1"/>
    <n v="60"/>
    <s v="ST"/>
  </r>
  <r>
    <s v=".1~225"/>
    <n v="225"/>
    <s v="D2"/>
    <s v="01"/>
    <s v="10"/>
    <x v="9"/>
    <n v="2"/>
    <n v="10"/>
    <x v="1"/>
    <x v="2"/>
    <x v="2"/>
    <n v="58"/>
    <s v="ST"/>
  </r>
  <r>
    <s v=".1~226"/>
    <n v="226"/>
    <s v="D2"/>
    <s v="01"/>
    <s v="10"/>
    <x v="9"/>
    <n v="2"/>
    <n v="10"/>
    <x v="1"/>
    <x v="3"/>
    <x v="3"/>
    <n v="35"/>
    <s v="ST"/>
  </r>
  <r>
    <s v=".1~227"/>
    <n v="227"/>
    <s v="D2"/>
    <s v="01"/>
    <s v="10"/>
    <x v="9"/>
    <n v="2"/>
    <n v="10"/>
    <x v="1"/>
    <x v="4"/>
    <x v="4"/>
    <n v="34"/>
    <s v="ST"/>
  </r>
  <r>
    <s v=".1~228"/>
    <n v="228"/>
    <s v="D2"/>
    <s v="01"/>
    <s v="10"/>
    <x v="9"/>
    <n v="2"/>
    <n v="10"/>
    <x v="1"/>
    <x v="5"/>
    <x v="5"/>
    <n v="70"/>
    <s v="ST"/>
  </r>
  <r>
    <s v=".1~229"/>
    <n v="229"/>
    <s v="D2"/>
    <s v="01"/>
    <s v="10"/>
    <x v="9"/>
    <n v="2"/>
    <n v="10"/>
    <x v="2"/>
    <x v="0"/>
    <x v="0"/>
    <n v="60"/>
    <s v="ST"/>
  </r>
  <r>
    <s v=".1~230"/>
    <n v="230"/>
    <s v="D2"/>
    <s v="01"/>
    <s v="10"/>
    <x v="9"/>
    <n v="2"/>
    <n v="10"/>
    <x v="2"/>
    <x v="1"/>
    <x v="1"/>
    <n v="60"/>
    <s v="ST"/>
  </r>
  <r>
    <s v=".1~231"/>
    <n v="231"/>
    <s v="D2"/>
    <s v="01"/>
    <s v="10"/>
    <x v="9"/>
    <n v="2"/>
    <n v="10"/>
    <x v="2"/>
    <x v="2"/>
    <x v="2"/>
    <n v="0"/>
    <s v="ST"/>
  </r>
  <r>
    <s v=".1~232"/>
    <n v="232"/>
    <s v="D2"/>
    <s v="01"/>
    <s v="10"/>
    <x v="9"/>
    <n v="2"/>
    <n v="10"/>
    <x v="2"/>
    <x v="3"/>
    <x v="3"/>
    <n v="15"/>
    <s v="ST"/>
  </r>
  <r>
    <s v=".1~233"/>
    <n v="233"/>
    <s v="D2"/>
    <s v="01"/>
    <s v="10"/>
    <x v="9"/>
    <n v="2"/>
    <n v="10"/>
    <x v="2"/>
    <x v="4"/>
    <x v="4"/>
    <n v="39"/>
    <s v="ST"/>
  </r>
  <r>
    <s v=".1~234"/>
    <n v="234"/>
    <s v="D2"/>
    <s v="01"/>
    <s v="10"/>
    <x v="9"/>
    <n v="2"/>
    <n v="10"/>
    <x v="2"/>
    <x v="5"/>
    <x v="5"/>
    <n v="25"/>
    <s v="ST"/>
  </r>
  <r>
    <s v=".1~235"/>
    <n v="235"/>
    <s v="D2"/>
    <s v="01"/>
    <s v="10"/>
    <x v="9"/>
    <n v="2"/>
    <n v="10"/>
    <x v="3"/>
    <x v="0"/>
    <x v="0"/>
    <n v="65"/>
    <s v="ST"/>
  </r>
  <r>
    <s v=".1~236"/>
    <n v="236"/>
    <s v="D2"/>
    <s v="01"/>
    <s v="10"/>
    <x v="9"/>
    <n v="2"/>
    <n v="10"/>
    <x v="3"/>
    <x v="1"/>
    <x v="1"/>
    <n v="20"/>
    <s v="ST"/>
  </r>
  <r>
    <s v=".1~237"/>
    <n v="237"/>
    <s v="D2"/>
    <s v="01"/>
    <s v="10"/>
    <x v="9"/>
    <n v="2"/>
    <n v="10"/>
    <x v="3"/>
    <x v="2"/>
    <x v="2"/>
    <n v="85"/>
    <s v="ST"/>
  </r>
  <r>
    <s v=".1~238"/>
    <n v="238"/>
    <s v="D2"/>
    <s v="01"/>
    <s v="10"/>
    <x v="9"/>
    <n v="2"/>
    <n v="10"/>
    <x v="3"/>
    <x v="3"/>
    <x v="3"/>
    <n v="62"/>
    <s v="ST"/>
  </r>
  <r>
    <s v=".1~239"/>
    <n v="239"/>
    <s v="D2"/>
    <s v="01"/>
    <s v="10"/>
    <x v="9"/>
    <n v="2"/>
    <n v="10"/>
    <x v="3"/>
    <x v="4"/>
    <x v="4"/>
    <n v="30"/>
    <s v="ST"/>
  </r>
  <r>
    <s v=".1~240"/>
    <n v="240"/>
    <s v="D2"/>
    <s v="01"/>
    <s v="10"/>
    <x v="9"/>
    <n v="2"/>
    <n v="10"/>
    <x v="3"/>
    <x v="5"/>
    <x v="5"/>
    <n v="30"/>
    <s v="ST"/>
  </r>
  <r>
    <s v=".1~241"/>
    <n v="241"/>
    <s v="D2"/>
    <s v="02"/>
    <s v="01"/>
    <x v="10"/>
    <n v="3"/>
    <n v="11"/>
    <x v="0"/>
    <x v="0"/>
    <x v="0"/>
    <n v="390"/>
    <s v="ST"/>
  </r>
  <r>
    <s v=".1~242"/>
    <n v="242"/>
    <s v="D2"/>
    <s v="02"/>
    <s v="01"/>
    <x v="10"/>
    <n v="3"/>
    <n v="11"/>
    <x v="0"/>
    <x v="1"/>
    <x v="1"/>
    <n v="293"/>
    <s v="ST"/>
  </r>
  <r>
    <s v=".1~243"/>
    <n v="243"/>
    <s v="D2"/>
    <s v="02"/>
    <s v="01"/>
    <x v="10"/>
    <n v="3"/>
    <n v="11"/>
    <x v="0"/>
    <x v="2"/>
    <x v="2"/>
    <n v="235"/>
    <s v="ST"/>
  </r>
  <r>
    <s v=".1~244"/>
    <n v="244"/>
    <s v="D2"/>
    <s v="02"/>
    <s v="01"/>
    <x v="10"/>
    <n v="3"/>
    <n v="11"/>
    <x v="0"/>
    <x v="3"/>
    <x v="3"/>
    <n v="160"/>
    <s v="ST"/>
  </r>
  <r>
    <s v=".1~245"/>
    <n v="245"/>
    <s v="D2"/>
    <s v="02"/>
    <s v="01"/>
    <x v="10"/>
    <n v="3"/>
    <n v="11"/>
    <x v="0"/>
    <x v="4"/>
    <x v="4"/>
    <n v="281"/>
    <s v="ST"/>
  </r>
  <r>
    <s v=".1~246"/>
    <n v="246"/>
    <s v="D2"/>
    <s v="02"/>
    <s v="01"/>
    <x v="10"/>
    <n v="3"/>
    <n v="11"/>
    <x v="0"/>
    <x v="5"/>
    <x v="5"/>
    <n v="262"/>
    <s v="ST"/>
  </r>
  <r>
    <s v=".1~247"/>
    <n v="247"/>
    <s v="D2"/>
    <s v="02"/>
    <s v="01"/>
    <x v="10"/>
    <n v="3"/>
    <n v="11"/>
    <x v="1"/>
    <x v="0"/>
    <x v="0"/>
    <n v="230"/>
    <s v="ST"/>
  </r>
  <r>
    <s v=".1~248"/>
    <n v="248"/>
    <s v="D2"/>
    <s v="02"/>
    <s v="01"/>
    <x v="10"/>
    <n v="3"/>
    <n v="11"/>
    <x v="1"/>
    <x v="1"/>
    <x v="1"/>
    <n v="41"/>
    <s v="ST"/>
  </r>
  <r>
    <s v=".1~249"/>
    <n v="249"/>
    <s v="D2"/>
    <s v="02"/>
    <s v="01"/>
    <x v="10"/>
    <n v="3"/>
    <n v="11"/>
    <x v="1"/>
    <x v="2"/>
    <x v="2"/>
    <n v="115"/>
    <s v="ST"/>
  </r>
  <r>
    <s v=".1~250"/>
    <n v="250"/>
    <s v="D2"/>
    <s v="02"/>
    <s v="01"/>
    <x v="10"/>
    <n v="3"/>
    <n v="11"/>
    <x v="1"/>
    <x v="3"/>
    <x v="3"/>
    <n v="35"/>
    <s v="ST"/>
  </r>
  <r>
    <s v=".1~251"/>
    <n v="251"/>
    <s v="D2"/>
    <s v="02"/>
    <s v="01"/>
    <x v="10"/>
    <n v="3"/>
    <n v="11"/>
    <x v="1"/>
    <x v="4"/>
    <x v="4"/>
    <n v="54"/>
    <s v="ST"/>
  </r>
  <r>
    <s v=".1~252"/>
    <n v="252"/>
    <s v="D2"/>
    <s v="02"/>
    <s v="01"/>
    <x v="10"/>
    <n v="3"/>
    <n v="11"/>
    <x v="1"/>
    <x v="5"/>
    <x v="5"/>
    <n v="70"/>
    <s v="ST"/>
  </r>
  <r>
    <s v=".1~253"/>
    <n v="253"/>
    <s v="D2"/>
    <s v="02"/>
    <s v="01"/>
    <x v="10"/>
    <n v="3"/>
    <n v="11"/>
    <x v="2"/>
    <x v="0"/>
    <x v="0"/>
    <n v="60"/>
    <s v="ST"/>
  </r>
  <r>
    <s v=".1~254"/>
    <n v="254"/>
    <s v="D2"/>
    <s v="02"/>
    <s v="01"/>
    <x v="10"/>
    <n v="3"/>
    <n v="11"/>
    <x v="2"/>
    <x v="1"/>
    <x v="1"/>
    <n v="60"/>
    <s v="ST"/>
  </r>
  <r>
    <s v=".1~255"/>
    <n v="255"/>
    <s v="D2"/>
    <s v="02"/>
    <s v="01"/>
    <x v="10"/>
    <n v="3"/>
    <n v="11"/>
    <x v="2"/>
    <x v="2"/>
    <x v="2"/>
    <n v="110"/>
    <s v="ST"/>
  </r>
  <r>
    <s v=".1~256"/>
    <n v="256"/>
    <s v="D2"/>
    <s v="02"/>
    <s v="01"/>
    <x v="10"/>
    <n v="3"/>
    <n v="11"/>
    <x v="2"/>
    <x v="3"/>
    <x v="3"/>
    <n v="15"/>
    <s v="ST"/>
  </r>
  <r>
    <s v=".1~257"/>
    <n v="257"/>
    <s v="D2"/>
    <s v="02"/>
    <s v="01"/>
    <x v="10"/>
    <n v="3"/>
    <n v="11"/>
    <x v="2"/>
    <x v="4"/>
    <x v="4"/>
    <n v="70"/>
    <s v="ST"/>
  </r>
  <r>
    <s v=".1~258"/>
    <n v="258"/>
    <s v="D2"/>
    <s v="02"/>
    <s v="01"/>
    <x v="10"/>
    <n v="3"/>
    <n v="11"/>
    <x v="2"/>
    <x v="5"/>
    <x v="5"/>
    <n v="25"/>
    <s v="ST"/>
  </r>
  <r>
    <s v=".1~259"/>
    <n v="259"/>
    <s v="D2"/>
    <s v="02"/>
    <s v="01"/>
    <x v="10"/>
    <n v="3"/>
    <n v="11"/>
    <x v="3"/>
    <x v="0"/>
    <x v="0"/>
    <n v="65"/>
    <s v="ST"/>
  </r>
  <r>
    <s v=".1~260"/>
    <n v="260"/>
    <s v="D2"/>
    <s v="02"/>
    <s v="01"/>
    <x v="10"/>
    <n v="3"/>
    <n v="11"/>
    <x v="3"/>
    <x v="1"/>
    <x v="1"/>
    <n v="20"/>
    <s v="ST"/>
  </r>
  <r>
    <s v=".1~261"/>
    <n v="261"/>
    <s v="D2"/>
    <s v="02"/>
    <s v="01"/>
    <x v="10"/>
    <n v="3"/>
    <n v="11"/>
    <x v="3"/>
    <x v="2"/>
    <x v="2"/>
    <n v="85"/>
    <s v="ST"/>
  </r>
  <r>
    <s v=".1~262"/>
    <n v="262"/>
    <s v="D2"/>
    <s v="02"/>
    <s v="01"/>
    <x v="10"/>
    <n v="3"/>
    <n v="11"/>
    <x v="3"/>
    <x v="3"/>
    <x v="3"/>
    <n v="85"/>
    <s v="ST"/>
  </r>
  <r>
    <s v=".1~263"/>
    <n v="263"/>
    <s v="D2"/>
    <s v="02"/>
    <s v="01"/>
    <x v="10"/>
    <n v="3"/>
    <n v="11"/>
    <x v="3"/>
    <x v="4"/>
    <x v="4"/>
    <n v="30"/>
    <s v="ST"/>
  </r>
  <r>
    <s v=".1~264"/>
    <n v="264"/>
    <s v="D2"/>
    <s v="02"/>
    <s v="01"/>
    <x v="10"/>
    <n v="3"/>
    <n v="11"/>
    <x v="3"/>
    <x v="5"/>
    <x v="5"/>
    <n v="30"/>
    <s v="ST"/>
  </r>
  <r>
    <s v=".1~265"/>
    <n v="265"/>
    <s v="D2"/>
    <s v="02"/>
    <s v="02"/>
    <x v="11"/>
    <n v="3"/>
    <n v="12"/>
    <x v="0"/>
    <x v="0"/>
    <x v="0"/>
    <n v="350"/>
    <s v="ST"/>
  </r>
  <r>
    <s v=".1~266"/>
    <n v="266"/>
    <s v="D2"/>
    <s v="02"/>
    <s v="02"/>
    <x v="11"/>
    <n v="3"/>
    <n v="12"/>
    <x v="0"/>
    <x v="1"/>
    <x v="1"/>
    <n v="264"/>
    <s v="ST"/>
  </r>
  <r>
    <s v=".1~267"/>
    <n v="267"/>
    <s v="D2"/>
    <s v="02"/>
    <s v="02"/>
    <x v="11"/>
    <n v="3"/>
    <n v="12"/>
    <x v="0"/>
    <x v="2"/>
    <x v="2"/>
    <n v="190"/>
    <s v="ST"/>
  </r>
  <r>
    <s v=".1~268"/>
    <n v="268"/>
    <s v="D2"/>
    <s v="02"/>
    <s v="02"/>
    <x v="11"/>
    <n v="3"/>
    <n v="12"/>
    <x v="0"/>
    <x v="3"/>
    <x v="3"/>
    <n v="115"/>
    <s v="ST"/>
  </r>
  <r>
    <s v=".1~269"/>
    <n v="269"/>
    <s v="D2"/>
    <s v="02"/>
    <s v="02"/>
    <x v="11"/>
    <n v="3"/>
    <n v="12"/>
    <x v="0"/>
    <x v="4"/>
    <x v="4"/>
    <n v="265"/>
    <s v="ST"/>
  </r>
  <r>
    <s v=".1~270"/>
    <n v="270"/>
    <s v="D2"/>
    <s v="02"/>
    <s v="02"/>
    <x v="11"/>
    <n v="3"/>
    <n v="12"/>
    <x v="0"/>
    <x v="5"/>
    <x v="5"/>
    <n v="237"/>
    <s v="ST"/>
  </r>
  <r>
    <s v=".1~271"/>
    <n v="271"/>
    <s v="D2"/>
    <s v="02"/>
    <s v="02"/>
    <x v="11"/>
    <n v="3"/>
    <n v="12"/>
    <x v="1"/>
    <x v="0"/>
    <x v="0"/>
    <n v="88"/>
    <s v="ST"/>
  </r>
  <r>
    <s v=".1~272"/>
    <n v="272"/>
    <s v="D2"/>
    <s v="02"/>
    <s v="02"/>
    <x v="11"/>
    <n v="3"/>
    <n v="12"/>
    <x v="1"/>
    <x v="1"/>
    <x v="1"/>
    <n v="50"/>
    <s v="ST"/>
  </r>
  <r>
    <s v=".1~273"/>
    <n v="273"/>
    <s v="D2"/>
    <s v="02"/>
    <s v="02"/>
    <x v="11"/>
    <n v="3"/>
    <n v="12"/>
    <x v="1"/>
    <x v="2"/>
    <x v="2"/>
    <n v="120"/>
    <s v="ST"/>
  </r>
  <r>
    <s v=".1~274"/>
    <n v="274"/>
    <s v="D2"/>
    <s v="02"/>
    <s v="02"/>
    <x v="11"/>
    <n v="3"/>
    <n v="12"/>
    <x v="1"/>
    <x v="3"/>
    <x v="3"/>
    <n v="40"/>
    <s v="ST"/>
  </r>
  <r>
    <s v=".1~275"/>
    <n v="275"/>
    <s v="D2"/>
    <s v="02"/>
    <s v="02"/>
    <x v="11"/>
    <n v="3"/>
    <n v="12"/>
    <x v="1"/>
    <x v="4"/>
    <x v="4"/>
    <n v="38"/>
    <s v="ST"/>
  </r>
  <r>
    <s v=".1~276"/>
    <n v="276"/>
    <s v="D2"/>
    <s v="02"/>
    <s v="02"/>
    <x v="11"/>
    <n v="3"/>
    <n v="12"/>
    <x v="1"/>
    <x v="5"/>
    <x v="5"/>
    <n v="70"/>
    <s v="ST"/>
  </r>
  <r>
    <s v=".1~277"/>
    <n v="277"/>
    <s v="D2"/>
    <s v="02"/>
    <s v="02"/>
    <x v="11"/>
    <n v="3"/>
    <n v="12"/>
    <x v="2"/>
    <x v="0"/>
    <x v="0"/>
    <n v="43"/>
    <s v="ST"/>
  </r>
  <r>
    <s v=".1~278"/>
    <n v="278"/>
    <s v="D2"/>
    <s v="02"/>
    <s v="02"/>
    <x v="11"/>
    <n v="3"/>
    <n v="12"/>
    <x v="2"/>
    <x v="1"/>
    <x v="1"/>
    <n v="60"/>
    <s v="ST"/>
  </r>
  <r>
    <s v=".1~279"/>
    <n v="279"/>
    <s v="D2"/>
    <s v="02"/>
    <s v="02"/>
    <x v="11"/>
    <n v="3"/>
    <n v="12"/>
    <x v="2"/>
    <x v="2"/>
    <x v="2"/>
    <n v="150"/>
    <s v="ST"/>
  </r>
  <r>
    <s v=".1~280"/>
    <n v="280"/>
    <s v="D2"/>
    <s v="02"/>
    <s v="02"/>
    <x v="11"/>
    <n v="3"/>
    <n v="12"/>
    <x v="2"/>
    <x v="3"/>
    <x v="3"/>
    <n v="40"/>
    <s v="ST"/>
  </r>
  <r>
    <s v=".1~281"/>
    <n v="281"/>
    <s v="D2"/>
    <s v="02"/>
    <s v="02"/>
    <x v="11"/>
    <n v="3"/>
    <n v="12"/>
    <x v="2"/>
    <x v="4"/>
    <x v="4"/>
    <n v="70"/>
    <s v="ST"/>
  </r>
  <r>
    <s v=".1~282"/>
    <n v="282"/>
    <s v="D2"/>
    <s v="02"/>
    <s v="02"/>
    <x v="11"/>
    <n v="3"/>
    <n v="12"/>
    <x v="2"/>
    <x v="5"/>
    <x v="5"/>
    <n v="40"/>
    <s v="ST"/>
  </r>
  <r>
    <s v=".1~283"/>
    <n v="283"/>
    <s v="D2"/>
    <s v="02"/>
    <s v="02"/>
    <x v="11"/>
    <n v="3"/>
    <n v="12"/>
    <x v="3"/>
    <x v="0"/>
    <x v="0"/>
    <n v="14"/>
    <s v="ST"/>
  </r>
  <r>
    <s v=".1~284"/>
    <n v="284"/>
    <s v="D2"/>
    <s v="02"/>
    <s v="02"/>
    <x v="11"/>
    <n v="3"/>
    <n v="12"/>
    <x v="3"/>
    <x v="1"/>
    <x v="1"/>
    <n v="40"/>
    <s v="ST"/>
  </r>
  <r>
    <s v=".1~285"/>
    <n v="285"/>
    <s v="D2"/>
    <s v="02"/>
    <s v="02"/>
    <x v="11"/>
    <n v="3"/>
    <n v="12"/>
    <x v="3"/>
    <x v="2"/>
    <x v="2"/>
    <n v="85"/>
    <s v="ST"/>
  </r>
  <r>
    <s v=".1~286"/>
    <n v="286"/>
    <s v="D2"/>
    <s v="02"/>
    <s v="02"/>
    <x v="11"/>
    <n v="3"/>
    <n v="12"/>
    <x v="3"/>
    <x v="3"/>
    <x v="3"/>
    <n v="100"/>
    <s v="ST"/>
  </r>
  <r>
    <s v=".1~287"/>
    <n v="287"/>
    <s v="D2"/>
    <s v="02"/>
    <s v="02"/>
    <x v="11"/>
    <n v="3"/>
    <n v="12"/>
    <x v="3"/>
    <x v="4"/>
    <x v="4"/>
    <n v="40"/>
    <s v="ST"/>
  </r>
  <r>
    <s v=".1~288"/>
    <n v="288"/>
    <s v="D2"/>
    <s v="02"/>
    <s v="02"/>
    <x v="11"/>
    <n v="3"/>
    <n v="12"/>
    <x v="3"/>
    <x v="5"/>
    <x v="5"/>
    <n v="40"/>
    <s v="ST"/>
  </r>
  <r>
    <s v=".1~289"/>
    <n v="289"/>
    <s v="D2"/>
    <s v="02"/>
    <s v="03"/>
    <x v="12"/>
    <n v="3"/>
    <n v="13"/>
    <x v="0"/>
    <x v="0"/>
    <x v="0"/>
    <n v="542"/>
    <s v="ST"/>
  </r>
  <r>
    <s v=".1~290"/>
    <n v="290"/>
    <s v="D2"/>
    <s v="02"/>
    <s v="03"/>
    <x v="12"/>
    <n v="3"/>
    <n v="13"/>
    <x v="0"/>
    <x v="1"/>
    <x v="1"/>
    <n v="303"/>
    <s v="ST"/>
  </r>
  <r>
    <s v=".1~291"/>
    <n v="291"/>
    <s v="D2"/>
    <s v="02"/>
    <s v="03"/>
    <x v="12"/>
    <n v="3"/>
    <n v="13"/>
    <x v="0"/>
    <x v="2"/>
    <x v="2"/>
    <n v="669"/>
    <s v="ST"/>
  </r>
  <r>
    <s v=".1~292"/>
    <n v="292"/>
    <s v="D2"/>
    <s v="02"/>
    <s v="03"/>
    <x v="12"/>
    <n v="3"/>
    <n v="13"/>
    <x v="0"/>
    <x v="3"/>
    <x v="3"/>
    <n v="212"/>
    <s v="ST"/>
  </r>
  <r>
    <s v=".1~293"/>
    <n v="293"/>
    <s v="D2"/>
    <s v="02"/>
    <s v="03"/>
    <x v="12"/>
    <n v="3"/>
    <n v="13"/>
    <x v="0"/>
    <x v="4"/>
    <x v="4"/>
    <n v="306"/>
    <s v="ST"/>
  </r>
  <r>
    <s v=".1~294"/>
    <n v="294"/>
    <s v="D2"/>
    <s v="02"/>
    <s v="03"/>
    <x v="12"/>
    <n v="3"/>
    <n v="13"/>
    <x v="0"/>
    <x v="5"/>
    <x v="5"/>
    <n v="237"/>
    <s v="ST"/>
  </r>
  <r>
    <s v=".1~295"/>
    <n v="295"/>
    <s v="D2"/>
    <s v="02"/>
    <s v="03"/>
    <x v="12"/>
    <n v="3"/>
    <n v="13"/>
    <x v="1"/>
    <x v="0"/>
    <x v="0"/>
    <n v="220"/>
    <s v="ST"/>
  </r>
  <r>
    <s v=".1~296"/>
    <n v="296"/>
    <s v="D2"/>
    <s v="02"/>
    <s v="03"/>
    <x v="12"/>
    <n v="3"/>
    <n v="13"/>
    <x v="1"/>
    <x v="1"/>
    <x v="1"/>
    <n v="50"/>
    <s v="ST"/>
  </r>
  <r>
    <s v=".1~297"/>
    <n v="297"/>
    <s v="D2"/>
    <s v="02"/>
    <s v="03"/>
    <x v="12"/>
    <n v="3"/>
    <n v="13"/>
    <x v="1"/>
    <x v="2"/>
    <x v="2"/>
    <n v="120"/>
    <s v="ST"/>
  </r>
  <r>
    <s v=".1~298"/>
    <n v="298"/>
    <s v="D2"/>
    <s v="02"/>
    <s v="03"/>
    <x v="12"/>
    <n v="3"/>
    <n v="13"/>
    <x v="1"/>
    <x v="3"/>
    <x v="3"/>
    <n v="40"/>
    <s v="ST"/>
  </r>
  <r>
    <s v=".1~299"/>
    <n v="299"/>
    <s v="D2"/>
    <s v="02"/>
    <s v="03"/>
    <x v="12"/>
    <n v="3"/>
    <n v="13"/>
    <x v="1"/>
    <x v="4"/>
    <x v="4"/>
    <n v="57"/>
    <s v="ST"/>
  </r>
  <r>
    <s v=".1~300"/>
    <n v="300"/>
    <s v="D2"/>
    <s v="02"/>
    <s v="03"/>
    <x v="12"/>
    <n v="3"/>
    <n v="13"/>
    <x v="1"/>
    <x v="5"/>
    <x v="5"/>
    <n v="70"/>
    <s v="ST"/>
  </r>
  <r>
    <s v=".1~301"/>
    <n v="301"/>
    <s v="D2"/>
    <s v="02"/>
    <s v="03"/>
    <x v="12"/>
    <n v="3"/>
    <n v="13"/>
    <x v="2"/>
    <x v="0"/>
    <x v="0"/>
    <n v="100"/>
    <s v="ST"/>
  </r>
  <r>
    <s v=".1~302"/>
    <n v="302"/>
    <s v="D2"/>
    <s v="02"/>
    <s v="03"/>
    <x v="12"/>
    <n v="3"/>
    <n v="13"/>
    <x v="2"/>
    <x v="1"/>
    <x v="1"/>
    <n v="5"/>
    <s v="ST"/>
  </r>
  <r>
    <s v=".1~303"/>
    <n v="303"/>
    <s v="D2"/>
    <s v="02"/>
    <s v="03"/>
    <x v="12"/>
    <n v="3"/>
    <n v="13"/>
    <x v="2"/>
    <x v="2"/>
    <x v="2"/>
    <n v="65"/>
    <s v="ST"/>
  </r>
  <r>
    <s v=".1~304"/>
    <n v="304"/>
    <s v="D2"/>
    <s v="02"/>
    <s v="03"/>
    <x v="12"/>
    <n v="3"/>
    <n v="13"/>
    <x v="2"/>
    <x v="3"/>
    <x v="3"/>
    <n v="40"/>
    <s v="ST"/>
  </r>
  <r>
    <s v=".1~305"/>
    <n v="305"/>
    <s v="D2"/>
    <s v="02"/>
    <s v="03"/>
    <x v="12"/>
    <n v="3"/>
    <n v="13"/>
    <x v="2"/>
    <x v="4"/>
    <x v="4"/>
    <n v="70"/>
    <s v="ST"/>
  </r>
  <r>
    <s v=".1~306"/>
    <n v="306"/>
    <s v="D2"/>
    <s v="02"/>
    <s v="03"/>
    <x v="12"/>
    <n v="3"/>
    <n v="13"/>
    <x v="2"/>
    <x v="5"/>
    <x v="5"/>
    <n v="40"/>
    <s v="ST"/>
  </r>
  <r>
    <s v=".1~307"/>
    <n v="307"/>
    <s v="D2"/>
    <s v="02"/>
    <s v="03"/>
    <x v="12"/>
    <n v="3"/>
    <n v="13"/>
    <x v="3"/>
    <x v="0"/>
    <x v="0"/>
    <n v="50"/>
    <s v="ST"/>
  </r>
  <r>
    <s v=".1~308"/>
    <n v="308"/>
    <s v="D2"/>
    <s v="02"/>
    <s v="03"/>
    <x v="12"/>
    <n v="3"/>
    <n v="13"/>
    <x v="3"/>
    <x v="1"/>
    <x v="1"/>
    <n v="40"/>
    <s v="ST"/>
  </r>
  <r>
    <s v=".1~309"/>
    <n v="309"/>
    <s v="D2"/>
    <s v="02"/>
    <s v="03"/>
    <x v="12"/>
    <n v="3"/>
    <n v="13"/>
    <x v="3"/>
    <x v="2"/>
    <x v="2"/>
    <n v="85"/>
    <s v="ST"/>
  </r>
  <r>
    <s v=".1~310"/>
    <n v="310"/>
    <s v="D2"/>
    <s v="02"/>
    <s v="03"/>
    <x v="12"/>
    <n v="3"/>
    <n v="13"/>
    <x v="3"/>
    <x v="3"/>
    <x v="3"/>
    <n v="100"/>
    <s v="ST"/>
  </r>
  <r>
    <s v=".1~311"/>
    <n v="311"/>
    <s v="D2"/>
    <s v="02"/>
    <s v="03"/>
    <x v="12"/>
    <n v="3"/>
    <n v="13"/>
    <x v="3"/>
    <x v="4"/>
    <x v="4"/>
    <n v="40"/>
    <s v="ST"/>
  </r>
  <r>
    <s v=".1~312"/>
    <n v="312"/>
    <s v="D2"/>
    <s v="02"/>
    <s v="03"/>
    <x v="12"/>
    <n v="3"/>
    <n v="13"/>
    <x v="3"/>
    <x v="5"/>
    <x v="5"/>
    <n v="40"/>
    <s v="ST"/>
  </r>
  <r>
    <s v=".1~313"/>
    <n v="313"/>
    <s v="D2"/>
    <s v="02"/>
    <s v="04"/>
    <x v="13"/>
    <n v="3"/>
    <n v="14"/>
    <x v="0"/>
    <x v="0"/>
    <x v="0"/>
    <n v="542"/>
    <s v="ST"/>
  </r>
  <r>
    <s v=".1~314"/>
    <n v="314"/>
    <s v="D2"/>
    <s v="02"/>
    <s v="04"/>
    <x v="13"/>
    <n v="3"/>
    <n v="14"/>
    <x v="0"/>
    <x v="1"/>
    <x v="1"/>
    <n v="268"/>
    <s v="ST"/>
  </r>
  <r>
    <s v=".1~315"/>
    <n v="315"/>
    <s v="D2"/>
    <s v="02"/>
    <s v="04"/>
    <x v="13"/>
    <n v="3"/>
    <n v="14"/>
    <x v="0"/>
    <x v="2"/>
    <x v="2"/>
    <n v="584"/>
    <s v="ST"/>
  </r>
  <r>
    <s v=".1~316"/>
    <n v="316"/>
    <s v="D2"/>
    <s v="02"/>
    <s v="04"/>
    <x v="13"/>
    <n v="3"/>
    <n v="14"/>
    <x v="0"/>
    <x v="3"/>
    <x v="3"/>
    <n v="212"/>
    <s v="ST"/>
  </r>
  <r>
    <s v=".1~317"/>
    <n v="317"/>
    <s v="D2"/>
    <s v="02"/>
    <s v="04"/>
    <x v="13"/>
    <n v="3"/>
    <n v="14"/>
    <x v="0"/>
    <x v="4"/>
    <x v="4"/>
    <n v="303"/>
    <s v="ST"/>
  </r>
  <r>
    <s v=".1~318"/>
    <n v="318"/>
    <s v="D2"/>
    <s v="02"/>
    <s v="04"/>
    <x v="13"/>
    <n v="3"/>
    <n v="14"/>
    <x v="0"/>
    <x v="5"/>
    <x v="5"/>
    <n v="237"/>
    <s v="ST"/>
  </r>
  <r>
    <s v=".1~319"/>
    <n v="319"/>
    <s v="D2"/>
    <s v="02"/>
    <s v="04"/>
    <x v="13"/>
    <n v="3"/>
    <n v="14"/>
    <x v="1"/>
    <x v="0"/>
    <x v="0"/>
    <n v="18"/>
    <s v="ST"/>
  </r>
  <r>
    <s v=".1~320"/>
    <n v="320"/>
    <s v="D2"/>
    <s v="02"/>
    <s v="04"/>
    <x v="13"/>
    <n v="3"/>
    <n v="14"/>
    <x v="1"/>
    <x v="1"/>
    <x v="1"/>
    <n v="50"/>
    <s v="ST"/>
  </r>
  <r>
    <s v=".1~321"/>
    <n v="321"/>
    <s v="D2"/>
    <s v="02"/>
    <s v="04"/>
    <x v="13"/>
    <n v="3"/>
    <n v="14"/>
    <x v="1"/>
    <x v="2"/>
    <x v="2"/>
    <n v="58"/>
    <s v="ST"/>
  </r>
  <r>
    <s v=".1~322"/>
    <n v="322"/>
    <s v="D2"/>
    <s v="02"/>
    <s v="04"/>
    <x v="13"/>
    <n v="3"/>
    <n v="14"/>
    <x v="1"/>
    <x v="3"/>
    <x v="3"/>
    <n v="40"/>
    <s v="ST"/>
  </r>
  <r>
    <s v=".1~323"/>
    <n v="323"/>
    <s v="D2"/>
    <s v="02"/>
    <s v="04"/>
    <x v="13"/>
    <n v="3"/>
    <n v="14"/>
    <x v="1"/>
    <x v="4"/>
    <x v="4"/>
    <n v="37"/>
    <s v="ST"/>
  </r>
  <r>
    <s v=".1~324"/>
    <n v="324"/>
    <s v="D2"/>
    <s v="02"/>
    <s v="04"/>
    <x v="13"/>
    <n v="3"/>
    <n v="14"/>
    <x v="1"/>
    <x v="5"/>
    <x v="5"/>
    <n v="70"/>
    <s v="ST"/>
  </r>
  <r>
    <s v=".1~325"/>
    <n v="325"/>
    <s v="D2"/>
    <s v="02"/>
    <s v="04"/>
    <x v="13"/>
    <n v="3"/>
    <n v="14"/>
    <x v="2"/>
    <x v="0"/>
    <x v="0"/>
    <n v="32"/>
    <s v="ST"/>
  </r>
  <r>
    <s v=".1~326"/>
    <n v="326"/>
    <s v="D2"/>
    <s v="02"/>
    <s v="04"/>
    <x v="13"/>
    <n v="3"/>
    <n v="14"/>
    <x v="2"/>
    <x v="1"/>
    <x v="1"/>
    <n v="40"/>
    <s v="ST"/>
  </r>
  <r>
    <s v=".1~327"/>
    <n v="327"/>
    <s v="D2"/>
    <s v="02"/>
    <s v="04"/>
    <x v="13"/>
    <n v="3"/>
    <n v="14"/>
    <x v="2"/>
    <x v="2"/>
    <x v="2"/>
    <n v="85"/>
    <s v="ST"/>
  </r>
  <r>
    <s v=".1~328"/>
    <n v="328"/>
    <s v="D2"/>
    <s v="02"/>
    <s v="04"/>
    <x v="13"/>
    <n v="3"/>
    <n v="14"/>
    <x v="2"/>
    <x v="3"/>
    <x v="3"/>
    <n v="40"/>
    <s v="ST"/>
  </r>
  <r>
    <s v=".1~329"/>
    <n v="329"/>
    <s v="D2"/>
    <s v="02"/>
    <s v="04"/>
    <x v="13"/>
    <n v="3"/>
    <n v="14"/>
    <x v="2"/>
    <x v="4"/>
    <x v="4"/>
    <n v="34"/>
    <s v="ST"/>
  </r>
  <r>
    <s v=".1~330"/>
    <n v="330"/>
    <s v="D2"/>
    <s v="02"/>
    <s v="04"/>
    <x v="13"/>
    <n v="3"/>
    <n v="14"/>
    <x v="2"/>
    <x v="5"/>
    <x v="5"/>
    <n v="40"/>
    <s v="ST"/>
  </r>
  <r>
    <s v=".1~331"/>
    <n v="331"/>
    <s v="D2"/>
    <s v="02"/>
    <s v="04"/>
    <x v="13"/>
    <n v="3"/>
    <n v="14"/>
    <x v="3"/>
    <x v="0"/>
    <x v="0"/>
    <n v="0"/>
    <s v="ST"/>
  </r>
  <r>
    <s v=".1~332"/>
    <n v="332"/>
    <s v="D2"/>
    <s v="02"/>
    <s v="04"/>
    <x v="13"/>
    <n v="3"/>
    <n v="14"/>
    <x v="3"/>
    <x v="1"/>
    <x v="1"/>
    <n v="40"/>
    <s v="ST"/>
  </r>
  <r>
    <s v=".1~333"/>
    <n v="333"/>
    <s v="D2"/>
    <s v="02"/>
    <s v="04"/>
    <x v="13"/>
    <n v="3"/>
    <n v="14"/>
    <x v="3"/>
    <x v="2"/>
    <x v="2"/>
    <n v="85"/>
    <s v="ST"/>
  </r>
  <r>
    <s v=".1~334"/>
    <n v="334"/>
    <s v="D2"/>
    <s v="02"/>
    <s v="04"/>
    <x v="13"/>
    <n v="3"/>
    <n v="14"/>
    <x v="3"/>
    <x v="3"/>
    <x v="3"/>
    <n v="100"/>
    <s v="ST"/>
  </r>
  <r>
    <s v=".1~335"/>
    <n v="335"/>
    <s v="D2"/>
    <s v="02"/>
    <s v="04"/>
    <x v="13"/>
    <n v="3"/>
    <n v="14"/>
    <x v="3"/>
    <x v="4"/>
    <x v="4"/>
    <n v="40"/>
    <s v="ST"/>
  </r>
  <r>
    <s v=".1~336"/>
    <n v="336"/>
    <s v="D2"/>
    <s v="02"/>
    <s v="04"/>
    <x v="13"/>
    <n v="3"/>
    <n v="14"/>
    <x v="3"/>
    <x v="5"/>
    <x v="5"/>
    <n v="40"/>
    <s v="ST"/>
  </r>
  <r>
    <s v=".1~337"/>
    <n v="337"/>
    <s v="D2"/>
    <s v="02"/>
    <s v="05"/>
    <x v="14"/>
    <n v="3"/>
    <n v="15"/>
    <x v="0"/>
    <x v="0"/>
    <x v="0"/>
    <n v="222"/>
    <s v="ST"/>
  </r>
  <r>
    <s v=".1~338"/>
    <n v="338"/>
    <s v="D2"/>
    <s v="02"/>
    <s v="05"/>
    <x v="14"/>
    <n v="3"/>
    <n v="15"/>
    <x v="0"/>
    <x v="1"/>
    <x v="1"/>
    <n v="268"/>
    <s v="ST"/>
  </r>
  <r>
    <s v=".1~339"/>
    <n v="339"/>
    <s v="D2"/>
    <s v="02"/>
    <s v="05"/>
    <x v="14"/>
    <n v="3"/>
    <n v="15"/>
    <x v="0"/>
    <x v="2"/>
    <x v="2"/>
    <n v="457"/>
    <s v="ST"/>
  </r>
  <r>
    <s v=".1~340"/>
    <n v="340"/>
    <s v="D2"/>
    <s v="02"/>
    <s v="05"/>
    <x v="14"/>
    <n v="3"/>
    <n v="15"/>
    <x v="0"/>
    <x v="3"/>
    <x v="3"/>
    <n v="212"/>
    <s v="ST"/>
  </r>
  <r>
    <s v=".1~341"/>
    <n v="341"/>
    <s v="D2"/>
    <s v="02"/>
    <s v="05"/>
    <x v="14"/>
    <n v="3"/>
    <n v="15"/>
    <x v="0"/>
    <x v="4"/>
    <x v="4"/>
    <n v="244"/>
    <s v="ST"/>
  </r>
  <r>
    <s v=".1~342"/>
    <n v="342"/>
    <s v="D2"/>
    <s v="02"/>
    <s v="05"/>
    <x v="14"/>
    <n v="3"/>
    <n v="15"/>
    <x v="0"/>
    <x v="5"/>
    <x v="5"/>
    <n v="237"/>
    <s v="ST"/>
  </r>
  <r>
    <s v=".1~343"/>
    <n v="343"/>
    <s v="D2"/>
    <s v="02"/>
    <s v="05"/>
    <x v="14"/>
    <n v="3"/>
    <n v="15"/>
    <x v="1"/>
    <x v="0"/>
    <x v="0"/>
    <n v="202"/>
    <s v="ST"/>
  </r>
  <r>
    <s v=".1~344"/>
    <n v="344"/>
    <s v="D2"/>
    <s v="02"/>
    <s v="05"/>
    <x v="14"/>
    <n v="3"/>
    <n v="15"/>
    <x v="1"/>
    <x v="1"/>
    <x v="1"/>
    <n v="21"/>
    <s v="ST"/>
  </r>
  <r>
    <s v=".1~345"/>
    <n v="345"/>
    <s v="D2"/>
    <s v="02"/>
    <s v="05"/>
    <x v="14"/>
    <n v="3"/>
    <n v="15"/>
    <x v="1"/>
    <x v="2"/>
    <x v="2"/>
    <n v="69"/>
    <s v="ST"/>
  </r>
  <r>
    <s v=".1~346"/>
    <n v="346"/>
    <s v="D2"/>
    <s v="02"/>
    <s v="05"/>
    <x v="14"/>
    <n v="3"/>
    <n v="15"/>
    <x v="1"/>
    <x v="3"/>
    <x v="3"/>
    <n v="40"/>
    <s v="ST"/>
  </r>
  <r>
    <s v=".1~347"/>
    <n v="347"/>
    <s v="D2"/>
    <s v="02"/>
    <s v="05"/>
    <x v="14"/>
    <n v="3"/>
    <n v="15"/>
    <x v="1"/>
    <x v="4"/>
    <x v="4"/>
    <n v="23"/>
    <s v="ST"/>
  </r>
  <r>
    <s v=".1~348"/>
    <n v="348"/>
    <s v="D2"/>
    <s v="02"/>
    <s v="05"/>
    <x v="14"/>
    <n v="3"/>
    <n v="15"/>
    <x v="1"/>
    <x v="5"/>
    <x v="5"/>
    <n v="70"/>
    <s v="ST"/>
  </r>
  <r>
    <s v=".1~349"/>
    <n v="349"/>
    <s v="D2"/>
    <s v="02"/>
    <s v="05"/>
    <x v="14"/>
    <n v="3"/>
    <n v="15"/>
    <x v="2"/>
    <x v="0"/>
    <x v="0"/>
    <n v="100"/>
    <s v="ST"/>
  </r>
  <r>
    <s v=".1~350"/>
    <n v="350"/>
    <s v="D2"/>
    <s v="02"/>
    <s v="05"/>
    <x v="14"/>
    <n v="3"/>
    <n v="15"/>
    <x v="2"/>
    <x v="1"/>
    <x v="1"/>
    <n v="40"/>
    <s v="ST"/>
  </r>
  <r>
    <s v=".1~351"/>
    <n v="351"/>
    <s v="D2"/>
    <s v="02"/>
    <s v="05"/>
    <x v="14"/>
    <n v="3"/>
    <n v="15"/>
    <x v="2"/>
    <x v="2"/>
    <x v="2"/>
    <n v="88"/>
    <s v="ST"/>
  </r>
  <r>
    <s v=".1~352"/>
    <n v="352"/>
    <s v="D2"/>
    <s v="02"/>
    <s v="05"/>
    <x v="14"/>
    <n v="3"/>
    <n v="15"/>
    <x v="2"/>
    <x v="3"/>
    <x v="3"/>
    <n v="40"/>
    <s v="ST"/>
  </r>
  <r>
    <s v=".1~353"/>
    <n v="353"/>
    <s v="D2"/>
    <s v="02"/>
    <s v="05"/>
    <x v="14"/>
    <n v="3"/>
    <n v="15"/>
    <x v="2"/>
    <x v="4"/>
    <x v="4"/>
    <n v="36"/>
    <s v="ST"/>
  </r>
  <r>
    <s v=".1~354"/>
    <n v="354"/>
    <s v="D2"/>
    <s v="02"/>
    <s v="05"/>
    <x v="14"/>
    <n v="3"/>
    <n v="15"/>
    <x v="2"/>
    <x v="5"/>
    <x v="5"/>
    <n v="40"/>
    <s v="ST"/>
  </r>
  <r>
    <s v=".1~355"/>
    <n v="355"/>
    <s v="D2"/>
    <s v="02"/>
    <s v="05"/>
    <x v="14"/>
    <n v="3"/>
    <n v="15"/>
    <x v="3"/>
    <x v="0"/>
    <x v="0"/>
    <n v="50"/>
    <s v="ST"/>
  </r>
  <r>
    <s v=".1~356"/>
    <n v="356"/>
    <s v="D2"/>
    <s v="02"/>
    <s v="05"/>
    <x v="14"/>
    <n v="3"/>
    <n v="15"/>
    <x v="3"/>
    <x v="1"/>
    <x v="1"/>
    <n v="40"/>
    <s v="ST"/>
  </r>
  <r>
    <s v=".1~357"/>
    <n v="357"/>
    <s v="D2"/>
    <s v="02"/>
    <s v="05"/>
    <x v="14"/>
    <n v="3"/>
    <n v="15"/>
    <x v="3"/>
    <x v="2"/>
    <x v="2"/>
    <n v="85"/>
    <s v="ST"/>
  </r>
  <r>
    <s v=".1~358"/>
    <n v="358"/>
    <s v="D2"/>
    <s v="02"/>
    <s v="05"/>
    <x v="14"/>
    <n v="3"/>
    <n v="15"/>
    <x v="3"/>
    <x v="3"/>
    <x v="3"/>
    <n v="66"/>
    <s v="ST"/>
  </r>
  <r>
    <s v=".1~359"/>
    <n v="359"/>
    <s v="D2"/>
    <s v="02"/>
    <s v="05"/>
    <x v="14"/>
    <n v="3"/>
    <n v="15"/>
    <x v="3"/>
    <x v="4"/>
    <x v="4"/>
    <n v="40"/>
    <s v="ST"/>
  </r>
  <r>
    <s v=".1~360"/>
    <n v="360"/>
    <s v="D2"/>
    <s v="02"/>
    <s v="05"/>
    <x v="14"/>
    <n v="3"/>
    <n v="15"/>
    <x v="3"/>
    <x v="5"/>
    <x v="5"/>
    <n v="40"/>
    <s v="ST"/>
  </r>
  <r>
    <s v=".1~361"/>
    <n v="361"/>
    <s v="D2"/>
    <s v="02"/>
    <s v="06"/>
    <x v="15"/>
    <n v="4"/>
    <n v="16"/>
    <x v="0"/>
    <x v="0"/>
    <x v="0"/>
    <n v="204"/>
    <s v="ST"/>
  </r>
  <r>
    <s v=".1~362"/>
    <n v="362"/>
    <s v="D2"/>
    <s v="02"/>
    <s v="06"/>
    <x v="15"/>
    <n v="4"/>
    <n v="16"/>
    <x v="0"/>
    <x v="1"/>
    <x v="1"/>
    <n v="239"/>
    <s v="ST"/>
  </r>
  <r>
    <s v=".1~363"/>
    <n v="363"/>
    <s v="D2"/>
    <s v="02"/>
    <s v="06"/>
    <x v="15"/>
    <n v="4"/>
    <n v="16"/>
    <x v="0"/>
    <x v="2"/>
    <x v="2"/>
    <n v="344"/>
    <s v="ST"/>
  </r>
  <r>
    <s v=".1~364"/>
    <n v="364"/>
    <s v="D2"/>
    <s v="02"/>
    <s v="06"/>
    <x v="15"/>
    <n v="4"/>
    <n v="16"/>
    <x v="0"/>
    <x v="3"/>
    <x v="3"/>
    <n v="178"/>
    <s v="ST"/>
  </r>
  <r>
    <s v=".1~365"/>
    <n v="365"/>
    <s v="D2"/>
    <s v="02"/>
    <s v="06"/>
    <x v="15"/>
    <n v="4"/>
    <n v="16"/>
    <x v="0"/>
    <x v="4"/>
    <x v="4"/>
    <n v="173"/>
    <s v="ST"/>
  </r>
  <r>
    <s v=".1~366"/>
    <n v="366"/>
    <s v="D2"/>
    <s v="02"/>
    <s v="06"/>
    <x v="15"/>
    <n v="4"/>
    <n v="16"/>
    <x v="0"/>
    <x v="5"/>
    <x v="5"/>
    <n v="237"/>
    <s v="ST"/>
  </r>
  <r>
    <s v=".1~367"/>
    <n v="367"/>
    <s v="D2"/>
    <s v="02"/>
    <s v="06"/>
    <x v="15"/>
    <n v="4"/>
    <n v="16"/>
    <x v="1"/>
    <x v="0"/>
    <x v="0"/>
    <n v="156"/>
    <s v="ST"/>
  </r>
  <r>
    <s v=".1~368"/>
    <n v="368"/>
    <s v="D2"/>
    <s v="02"/>
    <s v="06"/>
    <x v="15"/>
    <n v="4"/>
    <n v="16"/>
    <x v="1"/>
    <x v="1"/>
    <x v="1"/>
    <n v="50"/>
    <s v="ST"/>
  </r>
  <r>
    <s v=".1~369"/>
    <n v="369"/>
    <s v="D2"/>
    <s v="02"/>
    <s v="06"/>
    <x v="15"/>
    <n v="4"/>
    <n v="16"/>
    <x v="1"/>
    <x v="2"/>
    <x v="2"/>
    <n v="60"/>
    <s v="ST"/>
  </r>
  <r>
    <s v=".1~370"/>
    <n v="370"/>
    <s v="D2"/>
    <s v="02"/>
    <s v="06"/>
    <x v="15"/>
    <n v="4"/>
    <n v="16"/>
    <x v="1"/>
    <x v="3"/>
    <x v="3"/>
    <n v="19"/>
    <s v="ST"/>
  </r>
  <r>
    <s v=".1~371"/>
    <n v="371"/>
    <s v="D2"/>
    <s v="02"/>
    <s v="06"/>
    <x v="15"/>
    <n v="4"/>
    <n v="16"/>
    <x v="1"/>
    <x v="4"/>
    <x v="4"/>
    <n v="60"/>
    <s v="ST"/>
  </r>
  <r>
    <s v=".1~372"/>
    <n v="372"/>
    <s v="D2"/>
    <s v="02"/>
    <s v="06"/>
    <x v="15"/>
    <n v="4"/>
    <n v="16"/>
    <x v="1"/>
    <x v="5"/>
    <x v="5"/>
    <n v="70"/>
    <s v="ST"/>
  </r>
  <r>
    <s v=".1~373"/>
    <n v="373"/>
    <s v="D2"/>
    <s v="02"/>
    <s v="06"/>
    <x v="15"/>
    <n v="4"/>
    <n v="16"/>
    <x v="2"/>
    <x v="0"/>
    <x v="0"/>
    <n v="100"/>
    <s v="ST"/>
  </r>
  <r>
    <s v=".1~374"/>
    <n v="374"/>
    <s v="D2"/>
    <s v="02"/>
    <s v="06"/>
    <x v="15"/>
    <n v="4"/>
    <n v="16"/>
    <x v="2"/>
    <x v="1"/>
    <x v="1"/>
    <n v="40"/>
    <s v="ST"/>
  </r>
  <r>
    <s v=".1~375"/>
    <n v="375"/>
    <s v="D2"/>
    <s v="02"/>
    <s v="06"/>
    <x v="15"/>
    <n v="4"/>
    <n v="16"/>
    <x v="2"/>
    <x v="2"/>
    <x v="2"/>
    <n v="97"/>
    <s v="ST"/>
  </r>
  <r>
    <s v=".1~376"/>
    <n v="376"/>
    <s v="D2"/>
    <s v="02"/>
    <s v="06"/>
    <x v="15"/>
    <n v="4"/>
    <n v="16"/>
    <x v="2"/>
    <x v="3"/>
    <x v="3"/>
    <n v="17"/>
    <s v="ST"/>
  </r>
  <r>
    <s v=".1~377"/>
    <n v="377"/>
    <s v="D2"/>
    <s v="02"/>
    <s v="06"/>
    <x v="15"/>
    <n v="4"/>
    <n v="16"/>
    <x v="2"/>
    <x v="4"/>
    <x v="4"/>
    <n v="34"/>
    <s v="ST"/>
  </r>
  <r>
    <s v=".1~378"/>
    <n v="378"/>
    <s v="D2"/>
    <s v="02"/>
    <s v="06"/>
    <x v="15"/>
    <n v="4"/>
    <n v="16"/>
    <x v="2"/>
    <x v="5"/>
    <x v="5"/>
    <n v="40"/>
    <s v="ST"/>
  </r>
  <r>
    <s v=".1~379"/>
    <n v="379"/>
    <s v="D2"/>
    <s v="02"/>
    <s v="06"/>
    <x v="15"/>
    <n v="4"/>
    <n v="16"/>
    <x v="3"/>
    <x v="0"/>
    <x v="0"/>
    <n v="50"/>
    <s v="ST"/>
  </r>
  <r>
    <s v=".1~380"/>
    <n v="380"/>
    <s v="D2"/>
    <s v="02"/>
    <s v="06"/>
    <x v="15"/>
    <n v="4"/>
    <n v="16"/>
    <x v="3"/>
    <x v="1"/>
    <x v="1"/>
    <n v="40"/>
    <s v="ST"/>
  </r>
  <r>
    <s v=".1~381"/>
    <n v="381"/>
    <s v="D2"/>
    <s v="02"/>
    <s v="06"/>
    <x v="15"/>
    <n v="4"/>
    <n v="16"/>
    <x v="3"/>
    <x v="2"/>
    <x v="2"/>
    <n v="85"/>
    <s v="ST"/>
  </r>
  <r>
    <s v=".1~382"/>
    <n v="382"/>
    <s v="D2"/>
    <s v="02"/>
    <s v="06"/>
    <x v="15"/>
    <n v="4"/>
    <n v="16"/>
    <x v="3"/>
    <x v="3"/>
    <x v="3"/>
    <n v="51"/>
    <s v="ST"/>
  </r>
  <r>
    <s v=".1~383"/>
    <n v="383"/>
    <s v="D2"/>
    <s v="02"/>
    <s v="06"/>
    <x v="15"/>
    <n v="4"/>
    <n v="16"/>
    <x v="3"/>
    <x v="4"/>
    <x v="4"/>
    <n v="40"/>
    <s v="ST"/>
  </r>
  <r>
    <s v=".1~384"/>
    <n v="384"/>
    <s v="D2"/>
    <s v="02"/>
    <s v="06"/>
    <x v="15"/>
    <n v="4"/>
    <n v="16"/>
    <x v="3"/>
    <x v="5"/>
    <x v="5"/>
    <n v="40"/>
    <s v="ST"/>
  </r>
  <r>
    <s v=".1~385"/>
    <n v="385"/>
    <s v="D2"/>
    <s v="02"/>
    <s v="07"/>
    <x v="16"/>
    <n v="4"/>
    <n v="17"/>
    <x v="0"/>
    <x v="0"/>
    <x v="0"/>
    <n v="728"/>
    <s v="ST"/>
  </r>
  <r>
    <s v=".1~386"/>
    <n v="386"/>
    <s v="D2"/>
    <s v="02"/>
    <s v="07"/>
    <x v="16"/>
    <n v="4"/>
    <n v="17"/>
    <x v="0"/>
    <x v="1"/>
    <x v="1"/>
    <n v="323"/>
    <s v="ST"/>
  </r>
  <r>
    <s v=".1~387"/>
    <n v="387"/>
    <s v="D2"/>
    <s v="02"/>
    <s v="07"/>
    <x v="16"/>
    <n v="4"/>
    <n v="17"/>
    <x v="0"/>
    <x v="2"/>
    <x v="2"/>
    <n v="556"/>
    <s v="ST"/>
  </r>
  <r>
    <s v=".1~388"/>
    <n v="388"/>
    <s v="D2"/>
    <s v="02"/>
    <s v="07"/>
    <x v="16"/>
    <n v="4"/>
    <n v="17"/>
    <x v="0"/>
    <x v="3"/>
    <x v="3"/>
    <n v="119"/>
    <s v="ST"/>
  </r>
  <r>
    <s v=".1~389"/>
    <n v="389"/>
    <s v="D2"/>
    <s v="02"/>
    <s v="07"/>
    <x v="16"/>
    <n v="4"/>
    <n v="17"/>
    <x v="0"/>
    <x v="4"/>
    <x v="4"/>
    <n v="292"/>
    <s v="ST"/>
  </r>
  <r>
    <s v=".1~390"/>
    <n v="390"/>
    <s v="D2"/>
    <s v="02"/>
    <s v="07"/>
    <x v="16"/>
    <n v="4"/>
    <n v="17"/>
    <x v="0"/>
    <x v="5"/>
    <x v="5"/>
    <n v="237"/>
    <s v="ST"/>
  </r>
  <r>
    <s v=".1~391"/>
    <n v="391"/>
    <s v="D2"/>
    <s v="02"/>
    <s v="07"/>
    <x v="16"/>
    <n v="4"/>
    <n v="17"/>
    <x v="1"/>
    <x v="0"/>
    <x v="0"/>
    <n v="64"/>
    <s v="ST"/>
  </r>
  <r>
    <s v=".1~392"/>
    <n v="392"/>
    <s v="D2"/>
    <s v="02"/>
    <s v="07"/>
    <x v="16"/>
    <n v="4"/>
    <n v="17"/>
    <x v="1"/>
    <x v="1"/>
    <x v="1"/>
    <n v="50"/>
    <s v="ST"/>
  </r>
  <r>
    <s v=".1~393"/>
    <n v="393"/>
    <s v="D2"/>
    <s v="02"/>
    <s v="07"/>
    <x v="16"/>
    <n v="4"/>
    <n v="17"/>
    <x v="1"/>
    <x v="2"/>
    <x v="2"/>
    <n v="60"/>
    <s v="ST"/>
  </r>
  <r>
    <s v=".1~394"/>
    <n v="394"/>
    <s v="D2"/>
    <s v="02"/>
    <s v="07"/>
    <x v="16"/>
    <n v="4"/>
    <n v="17"/>
    <x v="1"/>
    <x v="3"/>
    <x v="3"/>
    <n v="40"/>
    <s v="ST"/>
  </r>
  <r>
    <s v=".1~395"/>
    <n v="395"/>
    <s v="D2"/>
    <s v="02"/>
    <s v="07"/>
    <x v="16"/>
    <n v="4"/>
    <n v="17"/>
    <x v="1"/>
    <x v="4"/>
    <x v="4"/>
    <n v="29"/>
    <s v="ST"/>
  </r>
  <r>
    <s v=".1~396"/>
    <n v="396"/>
    <s v="D2"/>
    <s v="02"/>
    <s v="07"/>
    <x v="16"/>
    <n v="4"/>
    <n v="17"/>
    <x v="1"/>
    <x v="5"/>
    <x v="5"/>
    <n v="0"/>
    <s v="ST"/>
  </r>
  <r>
    <s v=".1~397"/>
    <n v="397"/>
    <s v="D2"/>
    <s v="02"/>
    <s v="07"/>
    <x v="16"/>
    <n v="4"/>
    <n v="17"/>
    <x v="2"/>
    <x v="0"/>
    <x v="0"/>
    <n v="100"/>
    <s v="ST"/>
  </r>
  <r>
    <s v=".1~398"/>
    <n v="398"/>
    <s v="D2"/>
    <s v="02"/>
    <s v="07"/>
    <x v="16"/>
    <n v="4"/>
    <n v="17"/>
    <x v="2"/>
    <x v="1"/>
    <x v="1"/>
    <n v="21"/>
    <s v="ST"/>
  </r>
  <r>
    <s v=".1~399"/>
    <n v="399"/>
    <s v="D2"/>
    <s v="02"/>
    <s v="07"/>
    <x v="16"/>
    <n v="4"/>
    <n v="17"/>
    <x v="2"/>
    <x v="2"/>
    <x v="2"/>
    <n v="102"/>
    <s v="ST"/>
  </r>
  <r>
    <s v=".1~400"/>
    <n v="400"/>
    <s v="D2"/>
    <s v="02"/>
    <s v="07"/>
    <x v="16"/>
    <n v="4"/>
    <n v="17"/>
    <x v="2"/>
    <x v="3"/>
    <x v="3"/>
    <n v="40"/>
    <s v="ST"/>
  </r>
  <r>
    <s v=".1~401"/>
    <n v="401"/>
    <s v="D2"/>
    <s v="02"/>
    <s v="07"/>
    <x v="16"/>
    <n v="4"/>
    <n v="17"/>
    <x v="2"/>
    <x v="4"/>
    <x v="4"/>
    <n v="70"/>
    <s v="ST"/>
  </r>
  <r>
    <s v=".1~402"/>
    <n v="402"/>
    <s v="D2"/>
    <s v="02"/>
    <s v="07"/>
    <x v="16"/>
    <n v="4"/>
    <n v="17"/>
    <x v="2"/>
    <x v="5"/>
    <x v="5"/>
    <n v="5"/>
    <s v="ST"/>
  </r>
  <r>
    <s v=".1~403"/>
    <n v="403"/>
    <s v="D2"/>
    <s v="02"/>
    <s v="07"/>
    <x v="16"/>
    <n v="4"/>
    <n v="17"/>
    <x v="3"/>
    <x v="0"/>
    <x v="0"/>
    <n v="50"/>
    <s v="ST"/>
  </r>
  <r>
    <s v=".1~404"/>
    <n v="404"/>
    <s v="D2"/>
    <s v="02"/>
    <s v="07"/>
    <x v="16"/>
    <n v="4"/>
    <n v="17"/>
    <x v="3"/>
    <x v="1"/>
    <x v="1"/>
    <n v="40"/>
    <s v="ST"/>
  </r>
  <r>
    <s v=".1~405"/>
    <n v="405"/>
    <s v="D2"/>
    <s v="02"/>
    <s v="07"/>
    <x v="16"/>
    <n v="4"/>
    <n v="17"/>
    <x v="3"/>
    <x v="2"/>
    <x v="2"/>
    <n v="85"/>
    <s v="ST"/>
  </r>
  <r>
    <s v=".1~406"/>
    <n v="406"/>
    <s v="D2"/>
    <s v="02"/>
    <s v="07"/>
    <x v="16"/>
    <n v="4"/>
    <n v="17"/>
    <x v="3"/>
    <x v="3"/>
    <x v="3"/>
    <n v="100"/>
    <s v="ST"/>
  </r>
  <r>
    <s v=".1~407"/>
    <n v="407"/>
    <s v="D2"/>
    <s v="02"/>
    <s v="07"/>
    <x v="16"/>
    <n v="4"/>
    <n v="17"/>
    <x v="3"/>
    <x v="4"/>
    <x v="4"/>
    <n v="40"/>
    <s v="ST"/>
  </r>
  <r>
    <s v=".1~408"/>
    <n v="408"/>
    <s v="D2"/>
    <s v="02"/>
    <s v="07"/>
    <x v="16"/>
    <n v="4"/>
    <n v="17"/>
    <x v="3"/>
    <x v="5"/>
    <x v="5"/>
    <n v="40"/>
    <s v="ST"/>
  </r>
  <r>
    <s v=".1~409"/>
    <n v="409"/>
    <s v="D2"/>
    <s v="02"/>
    <s v="08"/>
    <x v="17"/>
    <n v="4"/>
    <n v="18"/>
    <x v="0"/>
    <x v="0"/>
    <x v="0"/>
    <n v="572"/>
    <s v="ST"/>
  </r>
  <r>
    <s v=".1~410"/>
    <n v="410"/>
    <s v="D2"/>
    <s v="02"/>
    <s v="08"/>
    <x v="17"/>
    <n v="4"/>
    <n v="18"/>
    <x v="0"/>
    <x v="1"/>
    <x v="1"/>
    <n v="304"/>
    <s v="ST"/>
  </r>
  <r>
    <s v=".1~411"/>
    <n v="411"/>
    <s v="D2"/>
    <s v="02"/>
    <s v="08"/>
    <x v="17"/>
    <n v="4"/>
    <n v="18"/>
    <x v="0"/>
    <x v="2"/>
    <x v="2"/>
    <n v="448"/>
    <s v="ST"/>
  </r>
  <r>
    <s v=".1~412"/>
    <n v="412"/>
    <s v="D2"/>
    <s v="02"/>
    <s v="08"/>
    <x v="17"/>
    <n v="4"/>
    <n v="18"/>
    <x v="0"/>
    <x v="3"/>
    <x v="3"/>
    <n v="119"/>
    <s v="ST"/>
  </r>
  <r>
    <s v=".1~413"/>
    <n v="413"/>
    <s v="D2"/>
    <s v="02"/>
    <s v="08"/>
    <x v="17"/>
    <n v="4"/>
    <n v="18"/>
    <x v="0"/>
    <x v="4"/>
    <x v="4"/>
    <n v="261"/>
    <s v="ST"/>
  </r>
  <r>
    <s v=".1~414"/>
    <n v="414"/>
    <s v="D2"/>
    <s v="02"/>
    <s v="08"/>
    <x v="17"/>
    <n v="4"/>
    <n v="18"/>
    <x v="0"/>
    <x v="5"/>
    <x v="5"/>
    <n v="142"/>
    <s v="ST"/>
  </r>
  <r>
    <s v=".1~415"/>
    <n v="415"/>
    <s v="D2"/>
    <s v="02"/>
    <s v="08"/>
    <x v="17"/>
    <n v="4"/>
    <n v="18"/>
    <x v="1"/>
    <x v="0"/>
    <x v="0"/>
    <n v="220"/>
    <s v="ST"/>
  </r>
  <r>
    <s v=".1~416"/>
    <n v="416"/>
    <s v="D2"/>
    <s v="02"/>
    <s v="08"/>
    <x v="17"/>
    <n v="4"/>
    <n v="18"/>
    <x v="1"/>
    <x v="1"/>
    <x v="1"/>
    <n v="50"/>
    <s v="ST"/>
  </r>
  <r>
    <s v=".1~417"/>
    <n v="417"/>
    <s v="D2"/>
    <s v="02"/>
    <s v="08"/>
    <x v="17"/>
    <n v="4"/>
    <n v="18"/>
    <x v="1"/>
    <x v="2"/>
    <x v="2"/>
    <n v="120"/>
    <s v="ST"/>
  </r>
  <r>
    <s v=".1~418"/>
    <n v="418"/>
    <s v="D2"/>
    <s v="02"/>
    <s v="08"/>
    <x v="17"/>
    <n v="4"/>
    <n v="18"/>
    <x v="1"/>
    <x v="3"/>
    <x v="3"/>
    <n v="40"/>
    <s v="ST"/>
  </r>
  <r>
    <s v=".1~419"/>
    <n v="419"/>
    <s v="D2"/>
    <s v="02"/>
    <s v="08"/>
    <x v="17"/>
    <n v="4"/>
    <n v="18"/>
    <x v="1"/>
    <x v="4"/>
    <x v="4"/>
    <n v="60"/>
    <s v="ST"/>
  </r>
  <r>
    <s v=".1~420"/>
    <n v="420"/>
    <s v="D2"/>
    <s v="02"/>
    <s v="08"/>
    <x v="17"/>
    <n v="4"/>
    <n v="18"/>
    <x v="1"/>
    <x v="5"/>
    <x v="5"/>
    <n v="60"/>
    <s v="ST"/>
  </r>
  <r>
    <s v=".1~421"/>
    <n v="421"/>
    <s v="D2"/>
    <s v="02"/>
    <s v="08"/>
    <x v="17"/>
    <n v="4"/>
    <n v="18"/>
    <x v="2"/>
    <x v="0"/>
    <x v="0"/>
    <n v="100"/>
    <s v="ST"/>
  </r>
  <r>
    <s v=".1~422"/>
    <n v="422"/>
    <s v="D2"/>
    <s v="02"/>
    <s v="08"/>
    <x v="17"/>
    <n v="4"/>
    <n v="18"/>
    <x v="2"/>
    <x v="1"/>
    <x v="1"/>
    <n v="40"/>
    <s v="ST"/>
  </r>
  <r>
    <s v=".1~423"/>
    <n v="423"/>
    <s v="D2"/>
    <s v="02"/>
    <s v="08"/>
    <x v="17"/>
    <n v="4"/>
    <n v="18"/>
    <x v="2"/>
    <x v="2"/>
    <x v="2"/>
    <n v="82"/>
    <s v="ST"/>
  </r>
  <r>
    <s v=".1~424"/>
    <n v="424"/>
    <s v="D2"/>
    <s v="02"/>
    <s v="08"/>
    <x v="17"/>
    <n v="4"/>
    <n v="18"/>
    <x v="2"/>
    <x v="3"/>
    <x v="3"/>
    <n v="40"/>
    <s v="ST"/>
  </r>
  <r>
    <s v=".1~425"/>
    <n v="425"/>
    <s v="D2"/>
    <s v="02"/>
    <s v="08"/>
    <x v="17"/>
    <n v="4"/>
    <n v="18"/>
    <x v="2"/>
    <x v="4"/>
    <x v="4"/>
    <n v="42"/>
    <s v="ST"/>
  </r>
  <r>
    <s v=".1~426"/>
    <n v="426"/>
    <s v="D2"/>
    <s v="02"/>
    <s v="08"/>
    <x v="17"/>
    <n v="4"/>
    <n v="18"/>
    <x v="2"/>
    <x v="5"/>
    <x v="5"/>
    <n v="40"/>
    <s v="ST"/>
  </r>
  <r>
    <s v=".1~427"/>
    <n v="427"/>
    <s v="D2"/>
    <s v="02"/>
    <s v="08"/>
    <x v="17"/>
    <n v="4"/>
    <n v="18"/>
    <x v="3"/>
    <x v="0"/>
    <x v="0"/>
    <n v="50"/>
    <s v="ST"/>
  </r>
  <r>
    <s v=".1~428"/>
    <n v="428"/>
    <s v="D2"/>
    <s v="02"/>
    <s v="08"/>
    <x v="17"/>
    <n v="4"/>
    <n v="18"/>
    <x v="3"/>
    <x v="1"/>
    <x v="1"/>
    <n v="40"/>
    <s v="ST"/>
  </r>
  <r>
    <s v=".1~429"/>
    <n v="429"/>
    <s v="D2"/>
    <s v="02"/>
    <s v="08"/>
    <x v="17"/>
    <n v="4"/>
    <n v="18"/>
    <x v="3"/>
    <x v="2"/>
    <x v="2"/>
    <n v="85"/>
    <s v="ST"/>
  </r>
  <r>
    <s v=".1~430"/>
    <n v="430"/>
    <s v="D2"/>
    <s v="02"/>
    <s v="08"/>
    <x v="17"/>
    <n v="4"/>
    <n v="18"/>
    <x v="3"/>
    <x v="3"/>
    <x v="3"/>
    <n v="77"/>
    <s v="ST"/>
  </r>
  <r>
    <s v=".1~431"/>
    <n v="431"/>
    <s v="D2"/>
    <s v="02"/>
    <s v="08"/>
    <x v="17"/>
    <n v="4"/>
    <n v="18"/>
    <x v="3"/>
    <x v="4"/>
    <x v="4"/>
    <n v="40"/>
    <s v="ST"/>
  </r>
  <r>
    <s v=".1~432"/>
    <n v="432"/>
    <s v="D2"/>
    <s v="02"/>
    <s v="08"/>
    <x v="17"/>
    <n v="4"/>
    <n v="18"/>
    <x v="3"/>
    <x v="5"/>
    <x v="5"/>
    <n v="7"/>
    <s v="ST"/>
  </r>
  <r>
    <s v=".1~433"/>
    <n v="433"/>
    <s v="D2"/>
    <s v="02"/>
    <s v="09"/>
    <x v="18"/>
    <n v="4"/>
    <n v="19"/>
    <x v="0"/>
    <x v="0"/>
    <x v="0"/>
    <n v="572"/>
    <s v="ST"/>
  </r>
  <r>
    <s v=".1~434"/>
    <n v="434"/>
    <s v="D2"/>
    <s v="02"/>
    <s v="09"/>
    <x v="18"/>
    <n v="4"/>
    <n v="19"/>
    <x v="0"/>
    <x v="1"/>
    <x v="1"/>
    <n v="304"/>
    <s v="ST"/>
  </r>
  <r>
    <s v=".1~435"/>
    <n v="435"/>
    <s v="D2"/>
    <s v="02"/>
    <s v="09"/>
    <x v="18"/>
    <n v="4"/>
    <n v="19"/>
    <x v="0"/>
    <x v="2"/>
    <x v="2"/>
    <n v="380"/>
    <s v="ST"/>
  </r>
  <r>
    <s v=".1~436"/>
    <n v="436"/>
    <s v="D2"/>
    <s v="02"/>
    <s v="09"/>
    <x v="18"/>
    <n v="4"/>
    <n v="19"/>
    <x v="0"/>
    <x v="3"/>
    <x v="3"/>
    <n v="96"/>
    <s v="ST"/>
  </r>
  <r>
    <s v=".1~437"/>
    <n v="437"/>
    <s v="D2"/>
    <s v="02"/>
    <s v="09"/>
    <x v="18"/>
    <n v="4"/>
    <n v="19"/>
    <x v="0"/>
    <x v="4"/>
    <x v="4"/>
    <n v="233"/>
    <s v="ST"/>
  </r>
  <r>
    <s v=".1~438"/>
    <n v="438"/>
    <s v="D2"/>
    <s v="02"/>
    <s v="09"/>
    <x v="18"/>
    <n v="4"/>
    <n v="19"/>
    <x v="0"/>
    <x v="5"/>
    <x v="5"/>
    <n v="109"/>
    <s v="ST"/>
  </r>
  <r>
    <s v=".1~439"/>
    <n v="439"/>
    <s v="D2"/>
    <s v="02"/>
    <s v="09"/>
    <x v="18"/>
    <n v="4"/>
    <n v="19"/>
    <x v="1"/>
    <x v="0"/>
    <x v="0"/>
    <n v="87"/>
    <s v="ST"/>
  </r>
  <r>
    <s v=".1~440"/>
    <n v="440"/>
    <s v="D2"/>
    <s v="02"/>
    <s v="09"/>
    <x v="18"/>
    <n v="4"/>
    <n v="19"/>
    <x v="1"/>
    <x v="1"/>
    <x v="1"/>
    <n v="32"/>
    <s v="ST"/>
  </r>
  <r>
    <s v=".1~441"/>
    <n v="441"/>
    <s v="D2"/>
    <s v="02"/>
    <s v="09"/>
    <x v="18"/>
    <n v="4"/>
    <n v="19"/>
    <x v="1"/>
    <x v="2"/>
    <x v="2"/>
    <n v="55"/>
    <s v="ST"/>
  </r>
  <r>
    <s v=".1~442"/>
    <n v="442"/>
    <s v="D2"/>
    <s v="02"/>
    <s v="09"/>
    <x v="18"/>
    <n v="4"/>
    <n v="19"/>
    <x v="1"/>
    <x v="3"/>
    <x v="3"/>
    <n v="40"/>
    <s v="ST"/>
  </r>
  <r>
    <s v=".1~443"/>
    <n v="443"/>
    <s v="D2"/>
    <s v="02"/>
    <s v="09"/>
    <x v="18"/>
    <n v="4"/>
    <n v="19"/>
    <x v="1"/>
    <x v="4"/>
    <x v="4"/>
    <n v="60"/>
    <s v="ST"/>
  </r>
  <r>
    <s v=".1~444"/>
    <n v="444"/>
    <s v="D2"/>
    <s v="02"/>
    <s v="09"/>
    <x v="18"/>
    <n v="4"/>
    <n v="19"/>
    <x v="1"/>
    <x v="5"/>
    <x v="5"/>
    <n v="19"/>
    <s v="ST"/>
  </r>
  <r>
    <s v=".1~445"/>
    <n v="445"/>
    <s v="D2"/>
    <s v="02"/>
    <s v="09"/>
    <x v="18"/>
    <n v="4"/>
    <n v="19"/>
    <x v="2"/>
    <x v="0"/>
    <x v="0"/>
    <n v="100"/>
    <s v="ST"/>
  </r>
  <r>
    <s v=".1~446"/>
    <n v="446"/>
    <s v="D2"/>
    <s v="02"/>
    <s v="09"/>
    <x v="18"/>
    <n v="4"/>
    <n v="19"/>
    <x v="2"/>
    <x v="1"/>
    <x v="1"/>
    <n v="40"/>
    <s v="ST"/>
  </r>
  <r>
    <s v=".1~447"/>
    <n v="447"/>
    <s v="D2"/>
    <s v="02"/>
    <s v="09"/>
    <x v="18"/>
    <n v="4"/>
    <n v="19"/>
    <x v="2"/>
    <x v="2"/>
    <x v="2"/>
    <n v="123"/>
    <s v="ST"/>
  </r>
  <r>
    <s v=".1~448"/>
    <n v="448"/>
    <s v="D2"/>
    <s v="02"/>
    <s v="09"/>
    <x v="18"/>
    <n v="4"/>
    <n v="19"/>
    <x v="2"/>
    <x v="3"/>
    <x v="3"/>
    <n v="40"/>
    <s v="ST"/>
  </r>
  <r>
    <s v=".1~449"/>
    <n v="449"/>
    <s v="D2"/>
    <s v="02"/>
    <s v="09"/>
    <x v="18"/>
    <n v="4"/>
    <n v="19"/>
    <x v="2"/>
    <x v="4"/>
    <x v="4"/>
    <n v="42"/>
    <s v="ST"/>
  </r>
  <r>
    <s v=".1~450"/>
    <n v="450"/>
    <s v="D2"/>
    <s v="02"/>
    <s v="09"/>
    <x v="18"/>
    <n v="4"/>
    <n v="19"/>
    <x v="2"/>
    <x v="5"/>
    <x v="5"/>
    <n v="40"/>
    <s v="ST"/>
  </r>
  <r>
    <s v=".1~451"/>
    <n v="451"/>
    <s v="D2"/>
    <s v="02"/>
    <s v="09"/>
    <x v="18"/>
    <n v="4"/>
    <n v="19"/>
    <x v="3"/>
    <x v="0"/>
    <x v="0"/>
    <n v="0"/>
    <s v="ST"/>
  </r>
  <r>
    <s v=".1~452"/>
    <n v="452"/>
    <s v="D2"/>
    <s v="02"/>
    <s v="09"/>
    <x v="18"/>
    <n v="4"/>
    <n v="19"/>
    <x v="3"/>
    <x v="1"/>
    <x v="1"/>
    <n v="40"/>
    <s v="ST"/>
  </r>
  <r>
    <s v=".1~453"/>
    <n v="453"/>
    <s v="D2"/>
    <s v="02"/>
    <s v="09"/>
    <x v="18"/>
    <n v="4"/>
    <n v="19"/>
    <x v="3"/>
    <x v="2"/>
    <x v="2"/>
    <n v="30"/>
    <s v="ST"/>
  </r>
  <r>
    <s v=".1~454"/>
    <n v="454"/>
    <s v="D2"/>
    <s v="02"/>
    <s v="09"/>
    <x v="18"/>
    <n v="4"/>
    <n v="19"/>
    <x v="3"/>
    <x v="3"/>
    <x v="3"/>
    <n v="76"/>
    <s v="ST"/>
  </r>
  <r>
    <s v=".1~455"/>
    <n v="455"/>
    <s v="D2"/>
    <s v="02"/>
    <s v="09"/>
    <x v="18"/>
    <n v="4"/>
    <n v="19"/>
    <x v="3"/>
    <x v="4"/>
    <x v="4"/>
    <n v="40"/>
    <s v="ST"/>
  </r>
  <r>
    <s v=".1~456"/>
    <n v="456"/>
    <s v="D2"/>
    <s v="02"/>
    <s v="09"/>
    <x v="18"/>
    <n v="4"/>
    <n v="19"/>
    <x v="3"/>
    <x v="5"/>
    <x v="5"/>
    <n v="40"/>
    <s v="ST"/>
  </r>
  <r>
    <s v=".1~457"/>
    <n v="457"/>
    <s v="D2"/>
    <s v="02"/>
    <s v="10"/>
    <x v="19"/>
    <n v="4"/>
    <n v="20"/>
    <x v="0"/>
    <x v="0"/>
    <x v="0"/>
    <n v="389"/>
    <s v="ST"/>
  </r>
  <r>
    <s v=".1~458"/>
    <n v="458"/>
    <s v="D2"/>
    <s v="02"/>
    <s v="10"/>
    <x v="19"/>
    <n v="4"/>
    <n v="20"/>
    <x v="0"/>
    <x v="1"/>
    <x v="1"/>
    <n v="286"/>
    <s v="ST"/>
  </r>
  <r>
    <s v=".1~459"/>
    <n v="459"/>
    <s v="D2"/>
    <s v="02"/>
    <s v="10"/>
    <x v="19"/>
    <n v="4"/>
    <n v="20"/>
    <x v="0"/>
    <x v="2"/>
    <x v="2"/>
    <n v="268"/>
    <s v="ST"/>
  </r>
  <r>
    <s v=".1~460"/>
    <n v="460"/>
    <s v="D2"/>
    <s v="02"/>
    <s v="10"/>
    <x v="19"/>
    <n v="4"/>
    <n v="20"/>
    <x v="0"/>
    <x v="3"/>
    <x v="3"/>
    <n v="72"/>
    <s v="ST"/>
  </r>
  <r>
    <s v=".1~461"/>
    <n v="461"/>
    <s v="D2"/>
    <s v="02"/>
    <s v="10"/>
    <x v="19"/>
    <n v="4"/>
    <n v="20"/>
    <x v="0"/>
    <x v="4"/>
    <x v="4"/>
    <n v="205"/>
    <s v="ST"/>
  </r>
  <r>
    <s v=".1~462"/>
    <n v="462"/>
    <s v="D2"/>
    <s v="02"/>
    <s v="10"/>
    <x v="19"/>
    <n v="4"/>
    <n v="20"/>
    <x v="0"/>
    <x v="5"/>
    <x v="5"/>
    <n v="68"/>
    <s v="ST"/>
  </r>
  <r>
    <s v=".1~463"/>
    <n v="463"/>
    <s v="D2"/>
    <s v="02"/>
    <s v="10"/>
    <x v="19"/>
    <n v="4"/>
    <n v="20"/>
    <x v="1"/>
    <x v="0"/>
    <x v="0"/>
    <n v="207"/>
    <s v="ST"/>
  </r>
  <r>
    <s v=".1~464"/>
    <n v="464"/>
    <s v="D2"/>
    <s v="02"/>
    <s v="10"/>
    <x v="19"/>
    <n v="4"/>
    <n v="20"/>
    <x v="1"/>
    <x v="1"/>
    <x v="1"/>
    <n v="50"/>
    <s v="ST"/>
  </r>
  <r>
    <s v=".1~465"/>
    <n v="465"/>
    <s v="D2"/>
    <s v="02"/>
    <s v="10"/>
    <x v="19"/>
    <n v="4"/>
    <n v="20"/>
    <x v="1"/>
    <x v="2"/>
    <x v="2"/>
    <n v="120"/>
    <s v="ST"/>
  </r>
  <r>
    <s v=".1~466"/>
    <n v="466"/>
    <s v="D2"/>
    <s v="02"/>
    <s v="10"/>
    <x v="19"/>
    <n v="4"/>
    <n v="20"/>
    <x v="1"/>
    <x v="3"/>
    <x v="3"/>
    <n v="40"/>
    <s v="ST"/>
  </r>
  <r>
    <s v=".1~467"/>
    <n v="467"/>
    <s v="D2"/>
    <s v="02"/>
    <s v="10"/>
    <x v="19"/>
    <n v="4"/>
    <n v="20"/>
    <x v="1"/>
    <x v="4"/>
    <x v="4"/>
    <n v="60"/>
    <s v="ST"/>
  </r>
  <r>
    <s v=".1~468"/>
    <n v="468"/>
    <s v="D2"/>
    <s v="02"/>
    <s v="10"/>
    <x v="19"/>
    <n v="4"/>
    <n v="20"/>
    <x v="1"/>
    <x v="5"/>
    <x v="5"/>
    <n v="41"/>
    <s v="ST"/>
  </r>
  <r>
    <s v=".1~469"/>
    <n v="469"/>
    <s v="D2"/>
    <s v="02"/>
    <s v="10"/>
    <x v="19"/>
    <n v="4"/>
    <n v="20"/>
    <x v="2"/>
    <x v="0"/>
    <x v="0"/>
    <n v="100"/>
    <s v="ST"/>
  </r>
  <r>
    <s v=".1~470"/>
    <n v="470"/>
    <s v="D2"/>
    <s v="02"/>
    <s v="10"/>
    <x v="19"/>
    <n v="4"/>
    <n v="20"/>
    <x v="2"/>
    <x v="1"/>
    <x v="1"/>
    <n v="15"/>
    <s v="ST"/>
  </r>
  <r>
    <s v=".1~471"/>
    <n v="471"/>
    <s v="D2"/>
    <s v="02"/>
    <s v="10"/>
    <x v="19"/>
    <n v="4"/>
    <n v="20"/>
    <x v="2"/>
    <x v="2"/>
    <x v="2"/>
    <n v="27"/>
    <s v="ST"/>
  </r>
  <r>
    <s v=".1~472"/>
    <n v="472"/>
    <s v="D2"/>
    <s v="02"/>
    <s v="10"/>
    <x v="19"/>
    <n v="4"/>
    <n v="20"/>
    <x v="2"/>
    <x v="3"/>
    <x v="3"/>
    <n v="40"/>
    <s v="ST"/>
  </r>
  <r>
    <s v=".1~473"/>
    <n v="473"/>
    <s v="D2"/>
    <s v="02"/>
    <s v="10"/>
    <x v="19"/>
    <n v="4"/>
    <n v="20"/>
    <x v="2"/>
    <x v="4"/>
    <x v="4"/>
    <n v="70"/>
    <s v="ST"/>
  </r>
  <r>
    <s v=".1~474"/>
    <n v="474"/>
    <s v="D2"/>
    <s v="02"/>
    <s v="10"/>
    <x v="19"/>
    <n v="4"/>
    <n v="20"/>
    <x v="2"/>
    <x v="5"/>
    <x v="5"/>
    <n v="40"/>
    <s v="ST"/>
  </r>
  <r>
    <s v=".1~475"/>
    <n v="475"/>
    <s v="D2"/>
    <s v="02"/>
    <s v="10"/>
    <x v="19"/>
    <n v="4"/>
    <n v="20"/>
    <x v="3"/>
    <x v="0"/>
    <x v="0"/>
    <n v="50"/>
    <s v="ST"/>
  </r>
  <r>
    <s v=".1~476"/>
    <n v="476"/>
    <s v="D2"/>
    <s v="02"/>
    <s v="10"/>
    <x v="19"/>
    <n v="4"/>
    <n v="20"/>
    <x v="3"/>
    <x v="1"/>
    <x v="1"/>
    <n v="40"/>
    <s v="ST"/>
  </r>
  <r>
    <s v=".1~477"/>
    <n v="477"/>
    <s v="D2"/>
    <s v="02"/>
    <s v="10"/>
    <x v="19"/>
    <n v="4"/>
    <n v="20"/>
    <x v="3"/>
    <x v="2"/>
    <x v="2"/>
    <n v="50"/>
    <s v="ST"/>
  </r>
  <r>
    <s v=".1~478"/>
    <n v="478"/>
    <s v="D2"/>
    <s v="02"/>
    <s v="10"/>
    <x v="19"/>
    <n v="4"/>
    <n v="20"/>
    <x v="3"/>
    <x v="3"/>
    <x v="3"/>
    <n v="75"/>
    <s v="ST"/>
  </r>
  <r>
    <s v=".1~479"/>
    <n v="479"/>
    <s v="D2"/>
    <s v="02"/>
    <s v="10"/>
    <x v="19"/>
    <n v="4"/>
    <n v="20"/>
    <x v="3"/>
    <x v="4"/>
    <x v="4"/>
    <n v="5"/>
    <s v="ST"/>
  </r>
  <r>
    <s v=".1~480"/>
    <n v="480"/>
    <s v="D2"/>
    <s v="02"/>
    <s v="10"/>
    <x v="19"/>
    <n v="4"/>
    <n v="20"/>
    <x v="3"/>
    <x v="5"/>
    <x v="5"/>
    <n v="40"/>
    <s v="ST"/>
  </r>
  <r>
    <s v=".1~481"/>
    <n v="481"/>
    <s v="D2"/>
    <s v="03"/>
    <s v="01"/>
    <x v="20"/>
    <n v="5"/>
    <n v="21"/>
    <x v="0"/>
    <x v="0"/>
    <x v="0"/>
    <n v="376"/>
    <s v="ST"/>
  </r>
  <r>
    <s v=".1~482"/>
    <n v="482"/>
    <s v="D2"/>
    <s v="03"/>
    <s v="01"/>
    <x v="20"/>
    <n v="5"/>
    <n v="21"/>
    <x v="0"/>
    <x v="1"/>
    <x v="1"/>
    <n v="261"/>
    <s v="ST"/>
  </r>
  <r>
    <s v=".1~483"/>
    <n v="483"/>
    <s v="D2"/>
    <s v="03"/>
    <s v="01"/>
    <x v="20"/>
    <n v="5"/>
    <n v="21"/>
    <x v="0"/>
    <x v="2"/>
    <x v="2"/>
    <n v="145"/>
    <s v="ST"/>
  </r>
  <r>
    <s v=".1~484"/>
    <n v="484"/>
    <s v="D2"/>
    <s v="03"/>
    <s v="01"/>
    <x v="20"/>
    <n v="5"/>
    <n v="21"/>
    <x v="0"/>
    <x v="3"/>
    <x v="3"/>
    <n v="47"/>
    <s v="ST"/>
  </r>
  <r>
    <s v=".1~485"/>
    <n v="485"/>
    <s v="D2"/>
    <s v="03"/>
    <s v="01"/>
    <x v="20"/>
    <n v="5"/>
    <n v="21"/>
    <x v="0"/>
    <x v="4"/>
    <x v="4"/>
    <n v="170"/>
    <s v="ST"/>
  </r>
  <r>
    <s v=".1~486"/>
    <n v="486"/>
    <s v="D2"/>
    <s v="03"/>
    <s v="01"/>
    <x v="20"/>
    <n v="5"/>
    <n v="21"/>
    <x v="0"/>
    <x v="5"/>
    <x v="5"/>
    <n v="49"/>
    <s v="ST"/>
  </r>
  <r>
    <s v=".1~487"/>
    <n v="487"/>
    <s v="D2"/>
    <s v="03"/>
    <s v="01"/>
    <x v="20"/>
    <n v="5"/>
    <n v="21"/>
    <x v="1"/>
    <x v="0"/>
    <x v="0"/>
    <n v="220"/>
    <s v="ST"/>
  </r>
  <r>
    <s v=".1~488"/>
    <n v="488"/>
    <s v="D2"/>
    <s v="03"/>
    <s v="01"/>
    <x v="20"/>
    <n v="5"/>
    <n v="21"/>
    <x v="1"/>
    <x v="1"/>
    <x v="1"/>
    <n v="50"/>
    <s v="ST"/>
  </r>
  <r>
    <s v=".1~489"/>
    <n v="489"/>
    <s v="D2"/>
    <s v="03"/>
    <s v="01"/>
    <x v="20"/>
    <n v="5"/>
    <n v="21"/>
    <x v="1"/>
    <x v="2"/>
    <x v="2"/>
    <n v="120"/>
    <s v="ST"/>
  </r>
  <r>
    <s v=".1~490"/>
    <n v="490"/>
    <s v="D2"/>
    <s v="03"/>
    <s v="01"/>
    <x v="20"/>
    <n v="5"/>
    <n v="21"/>
    <x v="1"/>
    <x v="3"/>
    <x v="3"/>
    <n v="40"/>
    <s v="ST"/>
  </r>
  <r>
    <s v=".1~491"/>
    <n v="491"/>
    <s v="D2"/>
    <s v="03"/>
    <s v="01"/>
    <x v="20"/>
    <n v="5"/>
    <n v="21"/>
    <x v="1"/>
    <x v="4"/>
    <x v="4"/>
    <n v="60"/>
    <s v="ST"/>
  </r>
  <r>
    <s v=".1~492"/>
    <n v="492"/>
    <s v="D2"/>
    <s v="03"/>
    <s v="01"/>
    <x v="20"/>
    <n v="5"/>
    <n v="21"/>
    <x v="1"/>
    <x v="5"/>
    <x v="5"/>
    <n v="60"/>
    <s v="ST"/>
  </r>
  <r>
    <s v=".1~493"/>
    <n v="493"/>
    <s v="D2"/>
    <s v="03"/>
    <s v="01"/>
    <x v="20"/>
    <n v="5"/>
    <n v="21"/>
    <x v="2"/>
    <x v="0"/>
    <x v="0"/>
    <n v="100"/>
    <s v="ST"/>
  </r>
  <r>
    <s v=".1~494"/>
    <n v="494"/>
    <s v="D2"/>
    <s v="03"/>
    <s v="01"/>
    <x v="20"/>
    <n v="5"/>
    <n v="21"/>
    <x v="2"/>
    <x v="1"/>
    <x v="1"/>
    <n v="40"/>
    <s v="ST"/>
  </r>
  <r>
    <s v=".1~495"/>
    <n v="495"/>
    <s v="D2"/>
    <s v="03"/>
    <s v="01"/>
    <x v="20"/>
    <n v="5"/>
    <n v="21"/>
    <x v="2"/>
    <x v="2"/>
    <x v="2"/>
    <n v="123"/>
    <s v="ST"/>
  </r>
  <r>
    <s v=".1~496"/>
    <n v="496"/>
    <s v="D2"/>
    <s v="03"/>
    <s v="01"/>
    <x v="20"/>
    <n v="5"/>
    <n v="21"/>
    <x v="2"/>
    <x v="3"/>
    <x v="3"/>
    <n v="40"/>
    <s v="ST"/>
  </r>
  <r>
    <s v=".1~497"/>
    <n v="497"/>
    <s v="D2"/>
    <s v="03"/>
    <s v="01"/>
    <x v="20"/>
    <n v="5"/>
    <n v="21"/>
    <x v="2"/>
    <x v="4"/>
    <x v="4"/>
    <n v="70"/>
    <s v="ST"/>
  </r>
  <r>
    <s v=".1~498"/>
    <n v="498"/>
    <s v="D2"/>
    <s v="03"/>
    <s v="01"/>
    <x v="20"/>
    <n v="5"/>
    <n v="21"/>
    <x v="2"/>
    <x v="5"/>
    <x v="5"/>
    <n v="40"/>
    <s v="ST"/>
  </r>
  <r>
    <s v=".1~499"/>
    <n v="499"/>
    <s v="D2"/>
    <s v="03"/>
    <s v="01"/>
    <x v="20"/>
    <n v="5"/>
    <n v="21"/>
    <x v="3"/>
    <x v="0"/>
    <x v="0"/>
    <n v="0"/>
    <s v="ST"/>
  </r>
  <r>
    <s v=".1~500"/>
    <n v="500"/>
    <s v="D2"/>
    <s v="03"/>
    <s v="01"/>
    <x v="20"/>
    <n v="5"/>
    <n v="21"/>
    <x v="3"/>
    <x v="1"/>
    <x v="1"/>
    <n v="40"/>
    <s v="ST"/>
  </r>
  <r>
    <s v=".1~501"/>
    <n v="501"/>
    <s v="D2"/>
    <s v="03"/>
    <s v="01"/>
    <x v="20"/>
    <n v="5"/>
    <n v="21"/>
    <x v="3"/>
    <x v="2"/>
    <x v="2"/>
    <n v="50"/>
    <s v="ST"/>
  </r>
  <r>
    <s v=".1~502"/>
    <n v="502"/>
    <s v="D2"/>
    <s v="03"/>
    <s v="01"/>
    <x v="20"/>
    <n v="5"/>
    <n v="21"/>
    <x v="3"/>
    <x v="3"/>
    <x v="3"/>
    <n v="100"/>
    <s v="ST"/>
  </r>
  <r>
    <s v=".1~503"/>
    <n v="503"/>
    <s v="D2"/>
    <s v="03"/>
    <s v="01"/>
    <x v="20"/>
    <n v="5"/>
    <n v="21"/>
    <x v="3"/>
    <x v="4"/>
    <x v="4"/>
    <n v="40"/>
    <s v="ST"/>
  </r>
  <r>
    <s v=".1~504"/>
    <n v="504"/>
    <s v="D2"/>
    <s v="03"/>
    <s v="01"/>
    <x v="20"/>
    <n v="5"/>
    <n v="21"/>
    <x v="3"/>
    <x v="5"/>
    <x v="5"/>
    <n v="40"/>
    <s v="ST"/>
  </r>
  <r>
    <s v=".1~505"/>
    <n v="505"/>
    <s v="D2"/>
    <s v="03"/>
    <s v="02"/>
    <x v="21"/>
    <n v="5"/>
    <n v="22"/>
    <x v="0"/>
    <x v="0"/>
    <x v="0"/>
    <n v="301"/>
    <s v="ST"/>
  </r>
  <r>
    <s v=".1~506"/>
    <n v="506"/>
    <s v="D2"/>
    <s v="03"/>
    <s v="02"/>
    <x v="21"/>
    <n v="5"/>
    <n v="22"/>
    <x v="0"/>
    <x v="1"/>
    <x v="1"/>
    <n v="261"/>
    <s v="ST"/>
  </r>
  <r>
    <s v=".1~507"/>
    <n v="507"/>
    <s v="D2"/>
    <s v="03"/>
    <s v="02"/>
    <x v="21"/>
    <n v="5"/>
    <n v="22"/>
    <x v="0"/>
    <x v="2"/>
    <x v="2"/>
    <n v="38"/>
    <s v="ST"/>
  </r>
  <r>
    <s v=".1~508"/>
    <n v="508"/>
    <s v="D2"/>
    <s v="03"/>
    <s v="02"/>
    <x v="21"/>
    <n v="5"/>
    <n v="22"/>
    <x v="0"/>
    <x v="3"/>
    <x v="3"/>
    <n v="47"/>
    <s v="ST"/>
  </r>
  <r>
    <s v=".1~509"/>
    <n v="509"/>
    <s v="D2"/>
    <s v="03"/>
    <s v="02"/>
    <x v="21"/>
    <n v="5"/>
    <n v="22"/>
    <x v="0"/>
    <x v="4"/>
    <x v="4"/>
    <n v="170"/>
    <s v="ST"/>
  </r>
  <r>
    <s v=".1~510"/>
    <n v="510"/>
    <s v="D2"/>
    <s v="03"/>
    <s v="02"/>
    <x v="21"/>
    <n v="5"/>
    <n v="22"/>
    <x v="0"/>
    <x v="5"/>
    <x v="5"/>
    <n v="49"/>
    <s v="ST"/>
  </r>
  <r>
    <s v=".1~511"/>
    <n v="511"/>
    <s v="D2"/>
    <s v="03"/>
    <s v="02"/>
    <x v="21"/>
    <n v="5"/>
    <n v="22"/>
    <x v="1"/>
    <x v="0"/>
    <x v="0"/>
    <n v="220"/>
    <s v="ST"/>
  </r>
  <r>
    <s v=".1~512"/>
    <n v="512"/>
    <s v="D2"/>
    <s v="03"/>
    <s v="02"/>
    <x v="21"/>
    <n v="5"/>
    <n v="22"/>
    <x v="1"/>
    <x v="1"/>
    <x v="1"/>
    <n v="50"/>
    <s v="ST"/>
  </r>
  <r>
    <s v=".1~513"/>
    <n v="513"/>
    <s v="D2"/>
    <s v="03"/>
    <s v="02"/>
    <x v="21"/>
    <n v="5"/>
    <n v="22"/>
    <x v="1"/>
    <x v="2"/>
    <x v="2"/>
    <n v="150"/>
    <s v="ST"/>
  </r>
  <r>
    <s v=".1~514"/>
    <n v="514"/>
    <s v="D2"/>
    <s v="03"/>
    <s v="02"/>
    <x v="21"/>
    <n v="5"/>
    <n v="22"/>
    <x v="1"/>
    <x v="3"/>
    <x v="3"/>
    <n v="40"/>
    <s v="ST"/>
  </r>
  <r>
    <s v=".1~515"/>
    <n v="515"/>
    <s v="D2"/>
    <s v="03"/>
    <s v="02"/>
    <x v="21"/>
    <n v="5"/>
    <n v="22"/>
    <x v="1"/>
    <x v="4"/>
    <x v="4"/>
    <n v="60"/>
    <s v="ST"/>
  </r>
  <r>
    <s v=".1~516"/>
    <n v="516"/>
    <s v="D2"/>
    <s v="03"/>
    <s v="02"/>
    <x v="21"/>
    <n v="5"/>
    <n v="22"/>
    <x v="1"/>
    <x v="5"/>
    <x v="5"/>
    <n v="60"/>
    <s v="ST"/>
  </r>
  <r>
    <s v=".1~517"/>
    <n v="517"/>
    <s v="D2"/>
    <s v="03"/>
    <s v="02"/>
    <x v="21"/>
    <n v="5"/>
    <n v="22"/>
    <x v="2"/>
    <x v="0"/>
    <x v="0"/>
    <n v="100"/>
    <s v="ST"/>
  </r>
  <r>
    <s v=".1~518"/>
    <n v="518"/>
    <s v="D2"/>
    <s v="03"/>
    <s v="02"/>
    <x v="21"/>
    <n v="5"/>
    <n v="22"/>
    <x v="2"/>
    <x v="1"/>
    <x v="1"/>
    <n v="40"/>
    <s v="ST"/>
  </r>
  <r>
    <s v=".1~519"/>
    <n v="519"/>
    <s v="D2"/>
    <s v="03"/>
    <s v="02"/>
    <x v="21"/>
    <n v="5"/>
    <n v="22"/>
    <x v="2"/>
    <x v="2"/>
    <x v="2"/>
    <n v="175"/>
    <s v="ST"/>
  </r>
  <r>
    <s v=".1~520"/>
    <n v="520"/>
    <s v="D2"/>
    <s v="03"/>
    <s v="02"/>
    <x v="21"/>
    <n v="5"/>
    <n v="22"/>
    <x v="2"/>
    <x v="3"/>
    <x v="3"/>
    <n v="40"/>
    <s v="ST"/>
  </r>
  <r>
    <s v=".1~521"/>
    <n v="521"/>
    <s v="D2"/>
    <s v="03"/>
    <s v="02"/>
    <x v="21"/>
    <n v="5"/>
    <n v="22"/>
    <x v="2"/>
    <x v="4"/>
    <x v="4"/>
    <n v="37"/>
    <s v="ST"/>
  </r>
  <r>
    <s v=".1~522"/>
    <n v="522"/>
    <s v="D2"/>
    <s v="03"/>
    <s v="02"/>
    <x v="21"/>
    <n v="5"/>
    <n v="22"/>
    <x v="2"/>
    <x v="5"/>
    <x v="5"/>
    <n v="40"/>
    <s v="ST"/>
  </r>
  <r>
    <s v=".1~523"/>
    <n v="523"/>
    <s v="D2"/>
    <s v="03"/>
    <s v="02"/>
    <x v="21"/>
    <n v="5"/>
    <n v="22"/>
    <x v="3"/>
    <x v="0"/>
    <x v="0"/>
    <n v="75"/>
    <s v="ST"/>
  </r>
  <r>
    <s v=".1~524"/>
    <n v="524"/>
    <s v="D2"/>
    <s v="03"/>
    <s v="02"/>
    <x v="21"/>
    <n v="5"/>
    <n v="22"/>
    <x v="3"/>
    <x v="1"/>
    <x v="1"/>
    <n v="40"/>
    <s v="ST"/>
  </r>
  <r>
    <s v=".1~525"/>
    <n v="525"/>
    <s v="D2"/>
    <s v="03"/>
    <s v="02"/>
    <x v="21"/>
    <n v="5"/>
    <n v="22"/>
    <x v="3"/>
    <x v="2"/>
    <x v="2"/>
    <n v="75"/>
    <s v="ST"/>
  </r>
  <r>
    <s v=".1~526"/>
    <n v="526"/>
    <s v="D2"/>
    <s v="03"/>
    <s v="02"/>
    <x v="21"/>
    <n v="5"/>
    <n v="22"/>
    <x v="3"/>
    <x v="3"/>
    <x v="3"/>
    <n v="77"/>
    <s v="ST"/>
  </r>
  <r>
    <s v=".1~527"/>
    <n v="527"/>
    <s v="D2"/>
    <s v="03"/>
    <s v="02"/>
    <x v="21"/>
    <n v="5"/>
    <n v="22"/>
    <x v="3"/>
    <x v="4"/>
    <x v="4"/>
    <n v="40"/>
    <s v="ST"/>
  </r>
  <r>
    <s v=".1~528"/>
    <n v="528"/>
    <s v="D2"/>
    <s v="03"/>
    <s v="02"/>
    <x v="21"/>
    <n v="5"/>
    <n v="22"/>
    <x v="3"/>
    <x v="5"/>
    <x v="5"/>
    <n v="40"/>
    <s v="ST"/>
  </r>
  <r>
    <s v=".1~529"/>
    <n v="529"/>
    <s v="D2"/>
    <s v="03"/>
    <s v="03"/>
    <x v="22"/>
    <n v="5"/>
    <n v="23"/>
    <x v="0"/>
    <x v="0"/>
    <x v="0"/>
    <n v="717"/>
    <s v="ST"/>
  </r>
  <r>
    <s v=".1~530"/>
    <n v="530"/>
    <s v="D2"/>
    <s v="03"/>
    <s v="03"/>
    <x v="22"/>
    <n v="5"/>
    <n v="23"/>
    <x v="0"/>
    <x v="1"/>
    <x v="1"/>
    <n v="323"/>
    <s v="ST"/>
  </r>
  <r>
    <s v=".1~531"/>
    <n v="531"/>
    <s v="D2"/>
    <s v="03"/>
    <s v="03"/>
    <x v="22"/>
    <n v="5"/>
    <n v="23"/>
    <x v="0"/>
    <x v="2"/>
    <x v="2"/>
    <n v="597"/>
    <s v="ST"/>
  </r>
  <r>
    <s v=".1~532"/>
    <n v="532"/>
    <s v="D2"/>
    <s v="03"/>
    <s v="03"/>
    <x v="22"/>
    <n v="5"/>
    <n v="23"/>
    <x v="0"/>
    <x v="3"/>
    <x v="3"/>
    <n v="189"/>
    <s v="ST"/>
  </r>
  <r>
    <s v=".1~533"/>
    <n v="533"/>
    <s v="D2"/>
    <s v="03"/>
    <s v="03"/>
    <x v="22"/>
    <n v="5"/>
    <n v="23"/>
    <x v="0"/>
    <x v="4"/>
    <x v="4"/>
    <n v="295"/>
    <s v="ST"/>
  </r>
  <r>
    <s v=".1~534"/>
    <n v="534"/>
    <s v="D2"/>
    <s v="03"/>
    <s v="03"/>
    <x v="22"/>
    <n v="5"/>
    <n v="23"/>
    <x v="0"/>
    <x v="5"/>
    <x v="5"/>
    <n v="247"/>
    <s v="ST"/>
  </r>
  <r>
    <s v=".1~535"/>
    <n v="535"/>
    <s v="D2"/>
    <s v="03"/>
    <s v="03"/>
    <x v="22"/>
    <n v="5"/>
    <n v="23"/>
    <x v="1"/>
    <x v="0"/>
    <x v="0"/>
    <n v="219"/>
    <s v="ST"/>
  </r>
  <r>
    <s v=".1~536"/>
    <n v="536"/>
    <s v="D2"/>
    <s v="03"/>
    <s v="03"/>
    <x v="22"/>
    <n v="5"/>
    <n v="23"/>
    <x v="1"/>
    <x v="1"/>
    <x v="1"/>
    <n v="50"/>
    <s v="ST"/>
  </r>
  <r>
    <s v=".1~537"/>
    <n v="537"/>
    <s v="D2"/>
    <s v="03"/>
    <s v="03"/>
    <x v="22"/>
    <n v="5"/>
    <n v="23"/>
    <x v="1"/>
    <x v="2"/>
    <x v="2"/>
    <n v="150"/>
    <s v="ST"/>
  </r>
  <r>
    <s v=".1~538"/>
    <n v="538"/>
    <s v="D2"/>
    <s v="03"/>
    <s v="03"/>
    <x v="22"/>
    <n v="5"/>
    <n v="23"/>
    <x v="1"/>
    <x v="3"/>
    <x v="3"/>
    <n v="40"/>
    <s v="ST"/>
  </r>
  <r>
    <s v=".1~539"/>
    <n v="539"/>
    <s v="D2"/>
    <s v="03"/>
    <s v="03"/>
    <x v="22"/>
    <n v="5"/>
    <n v="23"/>
    <x v="1"/>
    <x v="4"/>
    <x v="4"/>
    <n v="60"/>
    <s v="ST"/>
  </r>
  <r>
    <s v=".1~540"/>
    <n v="540"/>
    <s v="D2"/>
    <s v="03"/>
    <s v="03"/>
    <x v="22"/>
    <n v="5"/>
    <n v="23"/>
    <x v="1"/>
    <x v="5"/>
    <x v="5"/>
    <n v="60"/>
    <s v="ST"/>
  </r>
  <r>
    <s v=".1~541"/>
    <n v="541"/>
    <s v="D2"/>
    <s v="03"/>
    <s v="03"/>
    <x v="22"/>
    <n v="5"/>
    <n v="23"/>
    <x v="2"/>
    <x v="0"/>
    <x v="0"/>
    <n v="100"/>
    <s v="ST"/>
  </r>
  <r>
    <s v=".1~542"/>
    <n v="542"/>
    <s v="D2"/>
    <s v="03"/>
    <s v="03"/>
    <x v="22"/>
    <n v="5"/>
    <n v="23"/>
    <x v="2"/>
    <x v="1"/>
    <x v="1"/>
    <n v="19"/>
    <s v="ST"/>
  </r>
  <r>
    <s v=".1~543"/>
    <n v="543"/>
    <s v="D2"/>
    <s v="03"/>
    <s v="03"/>
    <x v="22"/>
    <n v="5"/>
    <n v="23"/>
    <x v="2"/>
    <x v="2"/>
    <x v="2"/>
    <n v="119"/>
    <s v="ST"/>
  </r>
  <r>
    <s v=".1~544"/>
    <n v="544"/>
    <s v="D2"/>
    <s v="03"/>
    <s v="03"/>
    <x v="22"/>
    <n v="5"/>
    <n v="23"/>
    <x v="2"/>
    <x v="3"/>
    <x v="3"/>
    <n v="40"/>
    <s v="ST"/>
  </r>
  <r>
    <s v=".1~545"/>
    <n v="545"/>
    <s v="D2"/>
    <s v="03"/>
    <s v="03"/>
    <x v="22"/>
    <n v="5"/>
    <n v="23"/>
    <x v="2"/>
    <x v="4"/>
    <x v="4"/>
    <n v="40"/>
    <s v="ST"/>
  </r>
  <r>
    <s v=".1~546"/>
    <n v="546"/>
    <s v="D2"/>
    <s v="03"/>
    <s v="03"/>
    <x v="22"/>
    <n v="5"/>
    <n v="23"/>
    <x v="2"/>
    <x v="5"/>
    <x v="5"/>
    <n v="40"/>
    <s v="ST"/>
  </r>
  <r>
    <s v=".1~547"/>
    <n v="547"/>
    <s v="D2"/>
    <s v="03"/>
    <s v="03"/>
    <x v="22"/>
    <n v="5"/>
    <n v="23"/>
    <x v="3"/>
    <x v="0"/>
    <x v="0"/>
    <n v="75"/>
    <s v="ST"/>
  </r>
  <r>
    <s v=".1~548"/>
    <n v="548"/>
    <s v="D2"/>
    <s v="03"/>
    <s v="03"/>
    <x v="22"/>
    <n v="5"/>
    <n v="23"/>
    <x v="3"/>
    <x v="1"/>
    <x v="1"/>
    <n v="40"/>
    <s v="ST"/>
  </r>
  <r>
    <s v=".1~549"/>
    <n v="549"/>
    <s v="D2"/>
    <s v="03"/>
    <s v="03"/>
    <x v="22"/>
    <n v="5"/>
    <n v="23"/>
    <x v="3"/>
    <x v="2"/>
    <x v="2"/>
    <n v="75"/>
    <s v="ST"/>
  </r>
  <r>
    <s v=".1~550"/>
    <n v="550"/>
    <s v="D2"/>
    <s v="03"/>
    <s v="03"/>
    <x v="22"/>
    <n v="5"/>
    <n v="23"/>
    <x v="3"/>
    <x v="3"/>
    <x v="3"/>
    <n v="100"/>
    <s v="ST"/>
  </r>
  <r>
    <s v=".1~551"/>
    <n v="551"/>
    <s v="D2"/>
    <s v="03"/>
    <s v="03"/>
    <x v="22"/>
    <n v="5"/>
    <n v="23"/>
    <x v="3"/>
    <x v="4"/>
    <x v="4"/>
    <n v="40"/>
    <s v="ST"/>
  </r>
  <r>
    <s v=".1~552"/>
    <n v="552"/>
    <s v="D2"/>
    <s v="03"/>
    <s v="03"/>
    <x v="22"/>
    <n v="5"/>
    <n v="23"/>
    <x v="3"/>
    <x v="5"/>
    <x v="5"/>
    <n v="40"/>
    <s v="ST"/>
  </r>
  <r>
    <s v=".1~553"/>
    <n v="553"/>
    <s v="D2"/>
    <s v="03"/>
    <s v="04"/>
    <x v="23"/>
    <n v="5"/>
    <n v="24"/>
    <x v="0"/>
    <x v="0"/>
    <x v="0"/>
    <n v="716"/>
    <s v="ST"/>
  </r>
  <r>
    <s v=".1~554"/>
    <n v="554"/>
    <s v="D2"/>
    <s v="03"/>
    <s v="04"/>
    <x v="23"/>
    <n v="5"/>
    <n v="24"/>
    <x v="0"/>
    <x v="1"/>
    <x v="1"/>
    <n v="302"/>
    <s v="ST"/>
  </r>
  <r>
    <s v=".1~555"/>
    <n v="555"/>
    <s v="D2"/>
    <s v="03"/>
    <s v="04"/>
    <x v="23"/>
    <n v="5"/>
    <n v="24"/>
    <x v="0"/>
    <x v="2"/>
    <x v="2"/>
    <n v="541"/>
    <s v="ST"/>
  </r>
  <r>
    <s v=".1~556"/>
    <n v="556"/>
    <s v="D2"/>
    <s v="03"/>
    <s v="04"/>
    <x v="23"/>
    <n v="5"/>
    <n v="24"/>
    <x v="0"/>
    <x v="3"/>
    <x v="3"/>
    <n v="189"/>
    <s v="ST"/>
  </r>
  <r>
    <s v=".1~557"/>
    <n v="557"/>
    <s v="D2"/>
    <s v="03"/>
    <s v="04"/>
    <x v="23"/>
    <n v="5"/>
    <n v="24"/>
    <x v="0"/>
    <x v="4"/>
    <x v="4"/>
    <n v="265"/>
    <s v="ST"/>
  </r>
  <r>
    <s v=".1~558"/>
    <n v="558"/>
    <s v="D2"/>
    <s v="03"/>
    <s v="04"/>
    <x v="23"/>
    <n v="5"/>
    <n v="24"/>
    <x v="0"/>
    <x v="5"/>
    <x v="5"/>
    <n v="247"/>
    <s v="ST"/>
  </r>
  <r>
    <s v=".1~559"/>
    <n v="559"/>
    <s v="D2"/>
    <s v="03"/>
    <s v="04"/>
    <x v="23"/>
    <n v="5"/>
    <n v="24"/>
    <x v="1"/>
    <x v="0"/>
    <x v="0"/>
    <n v="72"/>
    <s v="ST"/>
  </r>
  <r>
    <s v=".1~560"/>
    <n v="560"/>
    <s v="D2"/>
    <s v="03"/>
    <s v="04"/>
    <x v="23"/>
    <n v="5"/>
    <n v="24"/>
    <x v="1"/>
    <x v="1"/>
    <x v="1"/>
    <n v="50"/>
    <s v="ST"/>
  </r>
  <r>
    <s v=".1~561"/>
    <n v="561"/>
    <s v="D2"/>
    <s v="03"/>
    <s v="04"/>
    <x v="23"/>
    <n v="5"/>
    <n v="24"/>
    <x v="1"/>
    <x v="2"/>
    <x v="2"/>
    <n v="92"/>
    <s v="ST"/>
  </r>
  <r>
    <s v=".1~562"/>
    <n v="562"/>
    <s v="D2"/>
    <s v="03"/>
    <s v="04"/>
    <x v="23"/>
    <n v="5"/>
    <n v="24"/>
    <x v="1"/>
    <x v="3"/>
    <x v="3"/>
    <n v="40"/>
    <s v="ST"/>
  </r>
  <r>
    <s v=".1~563"/>
    <n v="563"/>
    <s v="D2"/>
    <s v="03"/>
    <s v="04"/>
    <x v="23"/>
    <n v="5"/>
    <n v="24"/>
    <x v="1"/>
    <x v="4"/>
    <x v="4"/>
    <n v="60"/>
    <s v="ST"/>
  </r>
  <r>
    <s v=".1~564"/>
    <n v="564"/>
    <s v="D2"/>
    <s v="03"/>
    <s v="04"/>
    <x v="23"/>
    <n v="5"/>
    <n v="24"/>
    <x v="1"/>
    <x v="5"/>
    <x v="5"/>
    <n v="0"/>
    <s v="ST"/>
  </r>
  <r>
    <s v=".1~565"/>
    <n v="565"/>
    <s v="D2"/>
    <s v="03"/>
    <s v="04"/>
    <x v="23"/>
    <n v="5"/>
    <n v="24"/>
    <x v="2"/>
    <x v="0"/>
    <x v="0"/>
    <n v="100"/>
    <s v="ST"/>
  </r>
  <r>
    <s v=".1~566"/>
    <n v="566"/>
    <s v="D2"/>
    <s v="03"/>
    <s v="04"/>
    <x v="23"/>
    <n v="5"/>
    <n v="24"/>
    <x v="2"/>
    <x v="1"/>
    <x v="1"/>
    <n v="40"/>
    <s v="ST"/>
  </r>
  <r>
    <s v=".1~567"/>
    <n v="567"/>
    <s v="D2"/>
    <s v="03"/>
    <s v="04"/>
    <x v="23"/>
    <n v="5"/>
    <n v="24"/>
    <x v="2"/>
    <x v="2"/>
    <x v="2"/>
    <n v="114"/>
    <s v="ST"/>
  </r>
  <r>
    <s v=".1~568"/>
    <n v="568"/>
    <s v="D2"/>
    <s v="03"/>
    <s v="04"/>
    <x v="23"/>
    <n v="5"/>
    <n v="24"/>
    <x v="2"/>
    <x v="3"/>
    <x v="3"/>
    <n v="40"/>
    <s v="ST"/>
  </r>
  <r>
    <s v=".1~569"/>
    <n v="569"/>
    <s v="D2"/>
    <s v="03"/>
    <s v="04"/>
    <x v="23"/>
    <n v="5"/>
    <n v="24"/>
    <x v="2"/>
    <x v="4"/>
    <x v="4"/>
    <n v="70"/>
    <s v="ST"/>
  </r>
  <r>
    <s v=".1~570"/>
    <n v="570"/>
    <s v="D2"/>
    <s v="03"/>
    <s v="04"/>
    <x v="23"/>
    <n v="5"/>
    <n v="24"/>
    <x v="2"/>
    <x v="5"/>
    <x v="5"/>
    <n v="40"/>
    <s v="ST"/>
  </r>
  <r>
    <s v=".1~571"/>
    <n v="571"/>
    <s v="D2"/>
    <s v="03"/>
    <s v="04"/>
    <x v="23"/>
    <n v="5"/>
    <n v="24"/>
    <x v="3"/>
    <x v="0"/>
    <x v="0"/>
    <n v="75"/>
    <s v="ST"/>
  </r>
  <r>
    <s v=".1~572"/>
    <n v="572"/>
    <s v="D2"/>
    <s v="03"/>
    <s v="04"/>
    <x v="23"/>
    <n v="5"/>
    <n v="24"/>
    <x v="3"/>
    <x v="1"/>
    <x v="1"/>
    <n v="40"/>
    <s v="ST"/>
  </r>
  <r>
    <s v=".1~573"/>
    <n v="573"/>
    <s v="D2"/>
    <s v="03"/>
    <s v="04"/>
    <x v="23"/>
    <n v="5"/>
    <n v="24"/>
    <x v="3"/>
    <x v="2"/>
    <x v="2"/>
    <n v="75"/>
    <s v="ST"/>
  </r>
  <r>
    <s v=".1~574"/>
    <n v="574"/>
    <s v="D2"/>
    <s v="03"/>
    <s v="04"/>
    <x v="23"/>
    <n v="5"/>
    <n v="24"/>
    <x v="3"/>
    <x v="3"/>
    <x v="3"/>
    <n v="100"/>
    <s v="ST"/>
  </r>
  <r>
    <s v=".1~575"/>
    <n v="575"/>
    <s v="D2"/>
    <s v="03"/>
    <s v="04"/>
    <x v="23"/>
    <n v="5"/>
    <n v="24"/>
    <x v="3"/>
    <x v="4"/>
    <x v="4"/>
    <n v="40"/>
    <s v="ST"/>
  </r>
  <r>
    <s v=".1~576"/>
    <n v="576"/>
    <s v="D2"/>
    <s v="03"/>
    <s v="04"/>
    <x v="23"/>
    <n v="5"/>
    <n v="24"/>
    <x v="3"/>
    <x v="5"/>
    <x v="5"/>
    <n v="40"/>
    <s v="ST"/>
  </r>
  <r>
    <s v=".1~577"/>
    <n v="577"/>
    <s v="D2"/>
    <s v="03"/>
    <s v="05"/>
    <x v="24"/>
    <n v="5"/>
    <n v="25"/>
    <x v="0"/>
    <x v="0"/>
    <x v="0"/>
    <n v="568"/>
    <s v="ST"/>
  </r>
  <r>
    <s v=".1~578"/>
    <n v="578"/>
    <s v="D2"/>
    <s v="03"/>
    <s v="05"/>
    <x v="24"/>
    <n v="5"/>
    <n v="25"/>
    <x v="0"/>
    <x v="1"/>
    <x v="1"/>
    <n v="302"/>
    <s v="ST"/>
  </r>
  <r>
    <s v=".1~579"/>
    <n v="579"/>
    <s v="D2"/>
    <s v="03"/>
    <s v="05"/>
    <x v="24"/>
    <n v="5"/>
    <n v="25"/>
    <x v="0"/>
    <x v="2"/>
    <x v="2"/>
    <n v="422"/>
    <s v="ST"/>
  </r>
  <r>
    <s v=".1~580"/>
    <n v="580"/>
    <s v="D2"/>
    <s v="03"/>
    <s v="05"/>
    <x v="24"/>
    <n v="5"/>
    <n v="25"/>
    <x v="0"/>
    <x v="3"/>
    <x v="3"/>
    <n v="189"/>
    <s v="ST"/>
  </r>
  <r>
    <s v=".1~581"/>
    <n v="581"/>
    <s v="D2"/>
    <s v="03"/>
    <s v="05"/>
    <x v="24"/>
    <n v="5"/>
    <n v="25"/>
    <x v="0"/>
    <x v="4"/>
    <x v="4"/>
    <n v="265"/>
    <s v="ST"/>
  </r>
  <r>
    <s v=".1~582"/>
    <n v="582"/>
    <s v="D2"/>
    <s v="03"/>
    <s v="05"/>
    <x v="24"/>
    <n v="5"/>
    <n v="25"/>
    <x v="0"/>
    <x v="5"/>
    <x v="5"/>
    <n v="187"/>
    <s v="ST"/>
  </r>
  <r>
    <s v=".1~583"/>
    <n v="583"/>
    <s v="D2"/>
    <s v="03"/>
    <s v="05"/>
    <x v="24"/>
    <n v="5"/>
    <n v="25"/>
    <x v="1"/>
    <x v="0"/>
    <x v="0"/>
    <n v="148"/>
    <s v="ST"/>
  </r>
  <r>
    <s v=".1~584"/>
    <n v="584"/>
    <s v="D2"/>
    <s v="03"/>
    <s v="05"/>
    <x v="24"/>
    <n v="5"/>
    <n v="25"/>
    <x v="1"/>
    <x v="1"/>
    <x v="1"/>
    <n v="50"/>
    <s v="ST"/>
  </r>
  <r>
    <s v=".1~585"/>
    <n v="585"/>
    <s v="D2"/>
    <s v="03"/>
    <s v="05"/>
    <x v="24"/>
    <n v="5"/>
    <n v="25"/>
    <x v="1"/>
    <x v="2"/>
    <x v="2"/>
    <n v="150"/>
    <s v="ST"/>
  </r>
  <r>
    <s v=".1~586"/>
    <n v="586"/>
    <s v="D2"/>
    <s v="03"/>
    <s v="05"/>
    <x v="24"/>
    <n v="5"/>
    <n v="25"/>
    <x v="1"/>
    <x v="3"/>
    <x v="3"/>
    <n v="40"/>
    <s v="ST"/>
  </r>
  <r>
    <s v=".1~587"/>
    <n v="587"/>
    <s v="D2"/>
    <s v="03"/>
    <s v="05"/>
    <x v="24"/>
    <n v="5"/>
    <n v="25"/>
    <x v="1"/>
    <x v="4"/>
    <x v="4"/>
    <n v="13"/>
    <s v="ST"/>
  </r>
  <r>
    <s v=".1~588"/>
    <n v="588"/>
    <s v="D2"/>
    <s v="03"/>
    <s v="05"/>
    <x v="24"/>
    <n v="5"/>
    <n v="25"/>
    <x v="1"/>
    <x v="5"/>
    <x v="5"/>
    <n v="60"/>
    <s v="ST"/>
  </r>
  <r>
    <s v=".1~589"/>
    <n v="589"/>
    <s v="D2"/>
    <s v="03"/>
    <s v="05"/>
    <x v="24"/>
    <n v="5"/>
    <n v="25"/>
    <x v="2"/>
    <x v="0"/>
    <x v="0"/>
    <n v="100"/>
    <s v="ST"/>
  </r>
  <r>
    <s v=".1~590"/>
    <n v="590"/>
    <s v="D2"/>
    <s v="03"/>
    <s v="05"/>
    <x v="24"/>
    <n v="5"/>
    <n v="25"/>
    <x v="2"/>
    <x v="1"/>
    <x v="1"/>
    <n v="40"/>
    <s v="ST"/>
  </r>
  <r>
    <s v=".1~591"/>
    <n v="591"/>
    <s v="D2"/>
    <s v="03"/>
    <s v="05"/>
    <x v="24"/>
    <n v="5"/>
    <n v="25"/>
    <x v="2"/>
    <x v="2"/>
    <x v="2"/>
    <n v="71"/>
    <s v="ST"/>
  </r>
  <r>
    <s v=".1~592"/>
    <n v="592"/>
    <s v="D2"/>
    <s v="03"/>
    <s v="05"/>
    <x v="24"/>
    <n v="5"/>
    <n v="25"/>
    <x v="2"/>
    <x v="3"/>
    <x v="3"/>
    <n v="18"/>
    <s v="ST"/>
  </r>
  <r>
    <s v=".1~593"/>
    <n v="593"/>
    <s v="D2"/>
    <s v="03"/>
    <s v="05"/>
    <x v="24"/>
    <n v="5"/>
    <n v="25"/>
    <x v="2"/>
    <x v="4"/>
    <x v="4"/>
    <n v="46"/>
    <s v="ST"/>
  </r>
  <r>
    <s v=".1~594"/>
    <n v="594"/>
    <s v="D2"/>
    <s v="03"/>
    <s v="05"/>
    <x v="24"/>
    <n v="5"/>
    <n v="25"/>
    <x v="2"/>
    <x v="5"/>
    <x v="5"/>
    <n v="40"/>
    <s v="ST"/>
  </r>
  <r>
    <s v=".1~595"/>
    <n v="595"/>
    <s v="D2"/>
    <s v="03"/>
    <s v="05"/>
    <x v="24"/>
    <n v="5"/>
    <n v="25"/>
    <x v="3"/>
    <x v="0"/>
    <x v="0"/>
    <n v="0"/>
    <s v="ST"/>
  </r>
  <r>
    <s v=".1~596"/>
    <n v="596"/>
    <s v="D2"/>
    <s v="03"/>
    <s v="05"/>
    <x v="24"/>
    <n v="5"/>
    <n v="25"/>
    <x v="3"/>
    <x v="1"/>
    <x v="1"/>
    <n v="40"/>
    <s v="ST"/>
  </r>
  <r>
    <s v=".1~597"/>
    <n v="597"/>
    <s v="D2"/>
    <s v="03"/>
    <s v="05"/>
    <x v="24"/>
    <n v="5"/>
    <n v="25"/>
    <x v="3"/>
    <x v="2"/>
    <x v="2"/>
    <n v="75"/>
    <s v="ST"/>
  </r>
  <r>
    <s v=".1~598"/>
    <n v="598"/>
    <s v="D2"/>
    <s v="03"/>
    <s v="05"/>
    <x v="24"/>
    <n v="5"/>
    <n v="25"/>
    <x v="3"/>
    <x v="3"/>
    <x v="3"/>
    <n v="78"/>
    <s v="ST"/>
  </r>
  <r>
    <s v=".1~599"/>
    <n v="599"/>
    <s v="D2"/>
    <s v="03"/>
    <s v="05"/>
    <x v="24"/>
    <n v="5"/>
    <n v="25"/>
    <x v="3"/>
    <x v="4"/>
    <x v="4"/>
    <n v="40"/>
    <s v="ST"/>
  </r>
  <r>
    <s v=".1~600"/>
    <n v="600"/>
    <s v="D2"/>
    <s v="03"/>
    <s v="05"/>
    <x v="24"/>
    <n v="5"/>
    <n v="25"/>
    <x v="3"/>
    <x v="5"/>
    <x v="5"/>
    <n v="5"/>
    <s v="ST"/>
  </r>
  <r>
    <s v=".1~601"/>
    <n v="601"/>
    <s v="D2"/>
    <s v="03"/>
    <s v="06"/>
    <x v="25"/>
    <n v="6"/>
    <n v="26"/>
    <x v="0"/>
    <x v="0"/>
    <x v="0"/>
    <n v="421"/>
    <s v="ST"/>
  </r>
  <r>
    <s v=".1~602"/>
    <n v="602"/>
    <s v="D2"/>
    <s v="03"/>
    <s v="06"/>
    <x v="25"/>
    <n v="6"/>
    <n v="26"/>
    <x v="0"/>
    <x v="1"/>
    <x v="1"/>
    <n v="302"/>
    <s v="ST"/>
  </r>
  <r>
    <s v=".1~603"/>
    <n v="603"/>
    <s v="D2"/>
    <s v="03"/>
    <s v="06"/>
    <x v="25"/>
    <n v="6"/>
    <n v="26"/>
    <x v="0"/>
    <x v="2"/>
    <x v="2"/>
    <n v="318"/>
    <s v="ST"/>
  </r>
  <r>
    <s v=".1~604"/>
    <n v="604"/>
    <s v="D2"/>
    <s v="03"/>
    <s v="06"/>
    <x v="25"/>
    <n v="6"/>
    <n v="26"/>
    <x v="0"/>
    <x v="3"/>
    <x v="3"/>
    <n v="145"/>
    <s v="ST"/>
  </r>
  <r>
    <s v=".1~605"/>
    <n v="605"/>
    <s v="D2"/>
    <s v="03"/>
    <s v="06"/>
    <x v="25"/>
    <n v="6"/>
    <n v="26"/>
    <x v="0"/>
    <x v="4"/>
    <x v="4"/>
    <n v="194"/>
    <s v="ST"/>
  </r>
  <r>
    <s v=".1~606"/>
    <n v="606"/>
    <s v="D2"/>
    <s v="03"/>
    <s v="06"/>
    <x v="25"/>
    <n v="6"/>
    <n v="26"/>
    <x v="0"/>
    <x v="5"/>
    <x v="5"/>
    <n v="152"/>
    <s v="ST"/>
  </r>
  <r>
    <s v=".1~607"/>
    <n v="607"/>
    <s v="D2"/>
    <s v="03"/>
    <s v="06"/>
    <x v="25"/>
    <n v="6"/>
    <n v="26"/>
    <x v="1"/>
    <x v="0"/>
    <x v="0"/>
    <n v="209"/>
    <s v="ST"/>
  </r>
  <r>
    <s v=".1~608"/>
    <n v="608"/>
    <s v="D2"/>
    <s v="03"/>
    <s v="06"/>
    <x v="25"/>
    <n v="6"/>
    <n v="26"/>
    <x v="1"/>
    <x v="1"/>
    <x v="1"/>
    <n v="21"/>
    <s v="ST"/>
  </r>
  <r>
    <s v=".1~609"/>
    <n v="609"/>
    <s v="D2"/>
    <s v="03"/>
    <s v="06"/>
    <x v="25"/>
    <n v="6"/>
    <n v="26"/>
    <x v="1"/>
    <x v="2"/>
    <x v="2"/>
    <n v="150"/>
    <s v="ST"/>
  </r>
  <r>
    <s v=".1~610"/>
    <n v="610"/>
    <s v="D2"/>
    <s v="03"/>
    <s v="06"/>
    <x v="25"/>
    <n v="6"/>
    <n v="26"/>
    <x v="1"/>
    <x v="3"/>
    <x v="3"/>
    <n v="40"/>
    <s v="ST"/>
  </r>
  <r>
    <s v=".1~611"/>
    <n v="611"/>
    <s v="D2"/>
    <s v="03"/>
    <s v="06"/>
    <x v="25"/>
    <n v="6"/>
    <n v="26"/>
    <x v="1"/>
    <x v="4"/>
    <x v="4"/>
    <n v="47"/>
    <s v="ST"/>
  </r>
  <r>
    <s v=".1~612"/>
    <n v="612"/>
    <s v="D2"/>
    <s v="03"/>
    <s v="06"/>
    <x v="25"/>
    <n v="6"/>
    <n v="26"/>
    <x v="1"/>
    <x v="5"/>
    <x v="5"/>
    <n v="60"/>
    <s v="ST"/>
  </r>
  <r>
    <s v=".1~613"/>
    <n v="613"/>
    <s v="D2"/>
    <s v="03"/>
    <s v="06"/>
    <x v="25"/>
    <n v="6"/>
    <n v="26"/>
    <x v="2"/>
    <x v="0"/>
    <x v="0"/>
    <n v="100"/>
    <s v="ST"/>
  </r>
  <r>
    <s v=".1~614"/>
    <n v="614"/>
    <s v="D2"/>
    <s v="03"/>
    <s v="06"/>
    <x v="25"/>
    <n v="6"/>
    <n v="26"/>
    <x v="2"/>
    <x v="1"/>
    <x v="1"/>
    <n v="40"/>
    <s v="ST"/>
  </r>
  <r>
    <s v=".1~615"/>
    <n v="615"/>
    <s v="D2"/>
    <s v="03"/>
    <s v="06"/>
    <x v="25"/>
    <n v="6"/>
    <n v="26"/>
    <x v="2"/>
    <x v="2"/>
    <x v="2"/>
    <n v="175"/>
    <s v="ST"/>
  </r>
  <r>
    <s v=".1~616"/>
    <n v="616"/>
    <s v="D2"/>
    <s v="03"/>
    <s v="06"/>
    <x v="25"/>
    <n v="6"/>
    <n v="26"/>
    <x v="2"/>
    <x v="3"/>
    <x v="3"/>
    <n v="40"/>
    <s v="ST"/>
  </r>
  <r>
    <s v=".1~617"/>
    <n v="617"/>
    <s v="D2"/>
    <s v="03"/>
    <s v="06"/>
    <x v="25"/>
    <n v="6"/>
    <n v="26"/>
    <x v="2"/>
    <x v="4"/>
    <x v="4"/>
    <n v="24"/>
    <s v="ST"/>
  </r>
  <r>
    <s v=".1~618"/>
    <n v="618"/>
    <s v="D2"/>
    <s v="03"/>
    <s v="06"/>
    <x v="25"/>
    <n v="6"/>
    <n v="26"/>
    <x v="2"/>
    <x v="5"/>
    <x v="5"/>
    <n v="1"/>
    <s v="ST"/>
  </r>
  <r>
    <s v=".1~619"/>
    <n v="619"/>
    <s v="D2"/>
    <s v="03"/>
    <s v="06"/>
    <x v="25"/>
    <n v="6"/>
    <n v="26"/>
    <x v="3"/>
    <x v="0"/>
    <x v="0"/>
    <n v="75"/>
    <s v="ST"/>
  </r>
  <r>
    <s v=".1~620"/>
    <n v="620"/>
    <s v="D2"/>
    <s v="03"/>
    <s v="06"/>
    <x v="25"/>
    <n v="6"/>
    <n v="26"/>
    <x v="3"/>
    <x v="1"/>
    <x v="1"/>
    <n v="40"/>
    <s v="ST"/>
  </r>
  <r>
    <s v=".1~621"/>
    <n v="621"/>
    <s v="D2"/>
    <s v="03"/>
    <s v="06"/>
    <x v="25"/>
    <n v="6"/>
    <n v="26"/>
    <x v="3"/>
    <x v="2"/>
    <x v="2"/>
    <n v="75"/>
    <s v="ST"/>
  </r>
  <r>
    <s v=".1~622"/>
    <n v="622"/>
    <s v="D2"/>
    <s v="03"/>
    <s v="06"/>
    <x v="25"/>
    <n v="6"/>
    <n v="26"/>
    <x v="3"/>
    <x v="3"/>
    <x v="3"/>
    <n v="100"/>
    <s v="ST"/>
  </r>
  <r>
    <s v=".1~623"/>
    <n v="623"/>
    <s v="D2"/>
    <s v="03"/>
    <s v="06"/>
    <x v="25"/>
    <n v="6"/>
    <n v="26"/>
    <x v="3"/>
    <x v="4"/>
    <x v="4"/>
    <n v="40"/>
    <s v="ST"/>
  </r>
  <r>
    <s v=".1~624"/>
    <n v="624"/>
    <s v="D2"/>
    <s v="03"/>
    <s v="06"/>
    <x v="25"/>
    <n v="6"/>
    <n v="26"/>
    <x v="3"/>
    <x v="5"/>
    <x v="5"/>
    <n v="35"/>
    <s v="ST"/>
  </r>
  <r>
    <s v=".1~625"/>
    <n v="625"/>
    <s v="D2"/>
    <s v="03"/>
    <s v="07"/>
    <x v="26"/>
    <n v="6"/>
    <n v="27"/>
    <x v="0"/>
    <x v="0"/>
    <x v="0"/>
    <n v="410"/>
    <s v="ST"/>
  </r>
  <r>
    <s v=".1~626"/>
    <n v="626"/>
    <s v="D2"/>
    <s v="03"/>
    <s v="07"/>
    <x v="26"/>
    <n v="6"/>
    <n v="27"/>
    <x v="0"/>
    <x v="1"/>
    <x v="1"/>
    <n v="273"/>
    <s v="ST"/>
  </r>
  <r>
    <s v=".1~627"/>
    <n v="627"/>
    <s v="D2"/>
    <s v="03"/>
    <s v="07"/>
    <x v="26"/>
    <n v="6"/>
    <n v="27"/>
    <x v="0"/>
    <x v="2"/>
    <x v="2"/>
    <n v="318"/>
    <s v="ST"/>
  </r>
  <r>
    <s v=".1~628"/>
    <n v="628"/>
    <s v="D2"/>
    <s v="03"/>
    <s v="07"/>
    <x v="26"/>
    <n v="6"/>
    <n v="27"/>
    <x v="0"/>
    <x v="3"/>
    <x v="3"/>
    <n v="145"/>
    <s v="ST"/>
  </r>
  <r>
    <s v=".1~629"/>
    <n v="629"/>
    <s v="D2"/>
    <s v="03"/>
    <s v="07"/>
    <x v="26"/>
    <n v="6"/>
    <n v="27"/>
    <x v="0"/>
    <x v="4"/>
    <x v="4"/>
    <n v="135"/>
    <s v="ST"/>
  </r>
  <r>
    <s v=".1~630"/>
    <n v="630"/>
    <s v="D2"/>
    <s v="03"/>
    <s v="07"/>
    <x v="26"/>
    <n v="6"/>
    <n v="27"/>
    <x v="0"/>
    <x v="5"/>
    <x v="5"/>
    <n v="108"/>
    <s v="ST"/>
  </r>
  <r>
    <s v=".1~631"/>
    <n v="631"/>
    <s v="D2"/>
    <s v="03"/>
    <s v="07"/>
    <x v="26"/>
    <n v="6"/>
    <n v="27"/>
    <x v="1"/>
    <x v="0"/>
    <x v="0"/>
    <n v="150"/>
    <s v="ST"/>
  </r>
  <r>
    <s v=".1~632"/>
    <n v="632"/>
    <s v="D2"/>
    <s v="03"/>
    <s v="07"/>
    <x v="26"/>
    <n v="6"/>
    <n v="27"/>
    <x v="1"/>
    <x v="1"/>
    <x v="1"/>
    <n v="50"/>
    <s v="ST"/>
  </r>
  <r>
    <s v=".1~633"/>
    <n v="633"/>
    <s v="D2"/>
    <s v="03"/>
    <s v="07"/>
    <x v="26"/>
    <n v="6"/>
    <n v="27"/>
    <x v="1"/>
    <x v="2"/>
    <x v="2"/>
    <n v="98"/>
    <s v="ST"/>
  </r>
  <r>
    <s v=".1~634"/>
    <n v="634"/>
    <s v="D2"/>
    <s v="03"/>
    <s v="07"/>
    <x v="26"/>
    <n v="6"/>
    <n v="27"/>
    <x v="1"/>
    <x v="3"/>
    <x v="3"/>
    <n v="40"/>
    <s v="ST"/>
  </r>
  <r>
    <s v=".1~635"/>
    <n v="635"/>
    <s v="D2"/>
    <s v="03"/>
    <s v="07"/>
    <x v="26"/>
    <n v="6"/>
    <n v="27"/>
    <x v="1"/>
    <x v="4"/>
    <x v="4"/>
    <n v="60"/>
    <s v="ST"/>
  </r>
  <r>
    <s v=".1~636"/>
    <n v="636"/>
    <s v="D2"/>
    <s v="03"/>
    <s v="07"/>
    <x v="26"/>
    <n v="6"/>
    <n v="27"/>
    <x v="1"/>
    <x v="5"/>
    <x v="5"/>
    <n v="14"/>
    <s v="ST"/>
  </r>
  <r>
    <s v=".1~637"/>
    <n v="637"/>
    <s v="D2"/>
    <s v="03"/>
    <s v="07"/>
    <x v="26"/>
    <n v="6"/>
    <n v="27"/>
    <x v="2"/>
    <x v="0"/>
    <x v="0"/>
    <n v="73"/>
    <s v="ST"/>
  </r>
  <r>
    <s v=".1~638"/>
    <n v="638"/>
    <s v="D2"/>
    <s v="03"/>
    <s v="07"/>
    <x v="26"/>
    <n v="6"/>
    <n v="27"/>
    <x v="2"/>
    <x v="1"/>
    <x v="1"/>
    <n v="40"/>
    <s v="ST"/>
  </r>
  <r>
    <s v=".1~639"/>
    <n v="639"/>
    <s v="D2"/>
    <s v="03"/>
    <s v="07"/>
    <x v="26"/>
    <n v="6"/>
    <n v="27"/>
    <x v="2"/>
    <x v="2"/>
    <x v="2"/>
    <n v="175"/>
    <s v="ST"/>
  </r>
  <r>
    <s v=".1~640"/>
    <n v="640"/>
    <s v="D2"/>
    <s v="03"/>
    <s v="07"/>
    <x v="26"/>
    <n v="6"/>
    <n v="27"/>
    <x v="2"/>
    <x v="3"/>
    <x v="3"/>
    <n v="40"/>
    <s v="ST"/>
  </r>
  <r>
    <s v=".1~641"/>
    <n v="641"/>
    <s v="D2"/>
    <s v="03"/>
    <s v="07"/>
    <x v="26"/>
    <n v="6"/>
    <n v="27"/>
    <x v="2"/>
    <x v="4"/>
    <x v="4"/>
    <n v="70"/>
    <s v="ST"/>
  </r>
  <r>
    <s v=".1~642"/>
    <n v="642"/>
    <s v="D2"/>
    <s v="03"/>
    <s v="07"/>
    <x v="26"/>
    <n v="6"/>
    <n v="27"/>
    <x v="2"/>
    <x v="5"/>
    <x v="5"/>
    <n v="40"/>
    <s v="ST"/>
  </r>
  <r>
    <s v=".1~643"/>
    <n v="643"/>
    <s v="D2"/>
    <s v="03"/>
    <s v="07"/>
    <x v="26"/>
    <n v="6"/>
    <n v="27"/>
    <x v="3"/>
    <x v="0"/>
    <x v="0"/>
    <n v="75"/>
    <s v="ST"/>
  </r>
  <r>
    <s v=".1~644"/>
    <n v="644"/>
    <s v="D2"/>
    <s v="03"/>
    <s v="07"/>
    <x v="26"/>
    <n v="6"/>
    <n v="27"/>
    <x v="3"/>
    <x v="1"/>
    <x v="1"/>
    <n v="40"/>
    <s v="ST"/>
  </r>
  <r>
    <s v=".1~645"/>
    <n v="645"/>
    <s v="D2"/>
    <s v="03"/>
    <s v="07"/>
    <x v="26"/>
    <n v="6"/>
    <n v="27"/>
    <x v="3"/>
    <x v="2"/>
    <x v="2"/>
    <n v="75"/>
    <s v="ST"/>
  </r>
  <r>
    <s v=".1~646"/>
    <n v="646"/>
    <s v="D2"/>
    <s v="03"/>
    <s v="07"/>
    <x v="26"/>
    <n v="6"/>
    <n v="27"/>
    <x v="3"/>
    <x v="3"/>
    <x v="3"/>
    <n v="100"/>
    <s v="ST"/>
  </r>
  <r>
    <s v=".1~647"/>
    <n v="647"/>
    <s v="D2"/>
    <s v="03"/>
    <s v="07"/>
    <x v="26"/>
    <n v="6"/>
    <n v="27"/>
    <x v="3"/>
    <x v="4"/>
    <x v="4"/>
    <n v="40"/>
    <s v="ST"/>
  </r>
  <r>
    <s v=".1~648"/>
    <n v="648"/>
    <s v="D2"/>
    <s v="03"/>
    <s v="07"/>
    <x v="26"/>
    <n v="6"/>
    <n v="27"/>
    <x v="3"/>
    <x v="5"/>
    <x v="5"/>
    <n v="40"/>
    <s v="ST"/>
  </r>
  <r>
    <s v=".1~649"/>
    <n v="649"/>
    <s v="D2"/>
    <s v="03"/>
    <s v="08"/>
    <x v="27"/>
    <n v="6"/>
    <n v="28"/>
    <x v="0"/>
    <x v="0"/>
    <x v="0"/>
    <n v="708"/>
    <s v="ST"/>
  </r>
  <r>
    <s v=".1~650"/>
    <n v="650"/>
    <s v="D2"/>
    <s v="03"/>
    <s v="08"/>
    <x v="27"/>
    <n v="6"/>
    <n v="28"/>
    <x v="0"/>
    <x v="1"/>
    <x v="1"/>
    <n v="273"/>
    <s v="ST"/>
  </r>
  <r>
    <s v=".1~651"/>
    <n v="651"/>
    <s v="D2"/>
    <s v="03"/>
    <s v="08"/>
    <x v="27"/>
    <n v="6"/>
    <n v="28"/>
    <x v="0"/>
    <x v="2"/>
    <x v="2"/>
    <n v="748"/>
    <s v="ST"/>
  </r>
  <r>
    <s v=".1~652"/>
    <n v="652"/>
    <s v="D2"/>
    <s v="03"/>
    <s v="08"/>
    <x v="27"/>
    <n v="6"/>
    <n v="28"/>
    <x v="0"/>
    <x v="3"/>
    <x v="3"/>
    <n v="145"/>
    <s v="ST"/>
  </r>
  <r>
    <s v=".1~653"/>
    <n v="653"/>
    <s v="D2"/>
    <s v="03"/>
    <s v="08"/>
    <x v="27"/>
    <n v="6"/>
    <n v="28"/>
    <x v="0"/>
    <x v="4"/>
    <x v="4"/>
    <n v="280"/>
    <s v="ST"/>
  </r>
  <r>
    <s v=".1~654"/>
    <n v="654"/>
    <s v="D2"/>
    <s v="03"/>
    <s v="08"/>
    <x v="27"/>
    <n v="6"/>
    <n v="28"/>
    <x v="0"/>
    <x v="5"/>
    <x v="5"/>
    <n v="314"/>
    <s v="ST"/>
  </r>
  <r>
    <s v=".1~655"/>
    <n v="655"/>
    <s v="D2"/>
    <s v="03"/>
    <s v="08"/>
    <x v="27"/>
    <n v="6"/>
    <n v="28"/>
    <x v="1"/>
    <x v="0"/>
    <x v="0"/>
    <n v="79"/>
    <s v="ST"/>
  </r>
  <r>
    <s v=".1~656"/>
    <n v="656"/>
    <s v="D2"/>
    <s v="03"/>
    <s v="08"/>
    <x v="27"/>
    <n v="6"/>
    <n v="28"/>
    <x v="1"/>
    <x v="1"/>
    <x v="1"/>
    <n v="29"/>
    <s v="ST"/>
  </r>
  <r>
    <s v=".1~657"/>
    <n v="657"/>
    <s v="D2"/>
    <s v="03"/>
    <s v="08"/>
    <x v="27"/>
    <n v="6"/>
    <n v="28"/>
    <x v="1"/>
    <x v="2"/>
    <x v="2"/>
    <n v="96"/>
    <s v="ST"/>
  </r>
  <r>
    <s v=".1~658"/>
    <n v="658"/>
    <s v="D2"/>
    <s v="03"/>
    <s v="08"/>
    <x v="27"/>
    <n v="6"/>
    <n v="28"/>
    <x v="1"/>
    <x v="3"/>
    <x v="3"/>
    <n v="40"/>
    <s v="ST"/>
  </r>
  <r>
    <s v=".1~659"/>
    <n v="659"/>
    <s v="D2"/>
    <s v="03"/>
    <s v="08"/>
    <x v="27"/>
    <n v="6"/>
    <n v="28"/>
    <x v="1"/>
    <x v="4"/>
    <x v="4"/>
    <n v="60"/>
    <s v="ST"/>
  </r>
  <r>
    <s v=".1~660"/>
    <n v="660"/>
    <s v="D2"/>
    <s v="03"/>
    <s v="08"/>
    <x v="27"/>
    <n v="6"/>
    <n v="28"/>
    <x v="1"/>
    <x v="5"/>
    <x v="5"/>
    <n v="60"/>
    <s v="ST"/>
  </r>
  <r>
    <s v=".1~661"/>
    <n v="661"/>
    <s v="D2"/>
    <s v="03"/>
    <s v="08"/>
    <x v="27"/>
    <n v="6"/>
    <n v="28"/>
    <x v="2"/>
    <x v="0"/>
    <x v="0"/>
    <n v="100"/>
    <s v="ST"/>
  </r>
  <r>
    <s v=".1~662"/>
    <n v="662"/>
    <s v="D2"/>
    <s v="03"/>
    <s v="08"/>
    <x v="27"/>
    <n v="6"/>
    <n v="28"/>
    <x v="2"/>
    <x v="1"/>
    <x v="1"/>
    <n v="40"/>
    <s v="ST"/>
  </r>
  <r>
    <s v=".1~663"/>
    <n v="663"/>
    <s v="D2"/>
    <s v="03"/>
    <s v="08"/>
    <x v="27"/>
    <n v="6"/>
    <n v="28"/>
    <x v="2"/>
    <x v="2"/>
    <x v="2"/>
    <n v="66"/>
    <s v="ST"/>
  </r>
  <r>
    <s v=".1~664"/>
    <n v="664"/>
    <s v="D2"/>
    <s v="03"/>
    <s v="08"/>
    <x v="27"/>
    <n v="6"/>
    <n v="28"/>
    <x v="2"/>
    <x v="3"/>
    <x v="3"/>
    <n v="40"/>
    <s v="ST"/>
  </r>
  <r>
    <s v=".1~665"/>
    <n v="665"/>
    <s v="D2"/>
    <s v="03"/>
    <s v="08"/>
    <x v="27"/>
    <n v="6"/>
    <n v="28"/>
    <x v="2"/>
    <x v="4"/>
    <x v="4"/>
    <n v="14"/>
    <s v="ST"/>
  </r>
  <r>
    <s v=".1~666"/>
    <n v="666"/>
    <s v="D2"/>
    <s v="03"/>
    <s v="08"/>
    <x v="27"/>
    <n v="6"/>
    <n v="28"/>
    <x v="2"/>
    <x v="5"/>
    <x v="5"/>
    <n v="40"/>
    <s v="ST"/>
  </r>
  <r>
    <s v=".1~667"/>
    <n v="667"/>
    <s v="D2"/>
    <s v="03"/>
    <s v="08"/>
    <x v="27"/>
    <n v="6"/>
    <n v="28"/>
    <x v="3"/>
    <x v="0"/>
    <x v="0"/>
    <n v="75"/>
    <s v="ST"/>
  </r>
  <r>
    <s v=".1~668"/>
    <n v="668"/>
    <s v="D2"/>
    <s v="03"/>
    <s v="08"/>
    <x v="27"/>
    <n v="6"/>
    <n v="28"/>
    <x v="3"/>
    <x v="1"/>
    <x v="1"/>
    <n v="40"/>
    <s v="ST"/>
  </r>
  <r>
    <s v=".1~669"/>
    <n v="669"/>
    <s v="D2"/>
    <s v="03"/>
    <s v="08"/>
    <x v="27"/>
    <n v="6"/>
    <n v="28"/>
    <x v="3"/>
    <x v="2"/>
    <x v="2"/>
    <n v="75"/>
    <s v="ST"/>
  </r>
  <r>
    <s v=".1~670"/>
    <n v="670"/>
    <s v="D2"/>
    <s v="03"/>
    <s v="08"/>
    <x v="27"/>
    <n v="6"/>
    <n v="28"/>
    <x v="3"/>
    <x v="3"/>
    <x v="3"/>
    <n v="100"/>
    <s v="ST"/>
  </r>
  <r>
    <s v=".1~671"/>
    <n v="671"/>
    <s v="D2"/>
    <s v="03"/>
    <s v="08"/>
    <x v="27"/>
    <n v="6"/>
    <n v="28"/>
    <x v="3"/>
    <x v="4"/>
    <x v="4"/>
    <n v="40"/>
    <s v="ST"/>
  </r>
  <r>
    <s v=".1~672"/>
    <n v="672"/>
    <s v="D2"/>
    <s v="03"/>
    <s v="08"/>
    <x v="27"/>
    <n v="6"/>
    <n v="28"/>
    <x v="3"/>
    <x v="5"/>
    <x v="5"/>
    <n v="40"/>
    <s v="ST"/>
  </r>
  <r>
    <s v=".1~673"/>
    <n v="673"/>
    <s v="D2"/>
    <s v="03"/>
    <s v="09"/>
    <x v="28"/>
    <n v="6"/>
    <n v="29"/>
    <x v="0"/>
    <x v="0"/>
    <x v="0"/>
    <n v="567"/>
    <s v="ST"/>
  </r>
  <r>
    <s v=".1~674"/>
    <n v="674"/>
    <s v="D2"/>
    <s v="03"/>
    <s v="09"/>
    <x v="28"/>
    <n v="6"/>
    <n v="29"/>
    <x v="0"/>
    <x v="1"/>
    <x v="1"/>
    <n v="252"/>
    <s v="ST"/>
  </r>
  <r>
    <s v=".1~675"/>
    <n v="675"/>
    <s v="D2"/>
    <s v="03"/>
    <s v="09"/>
    <x v="28"/>
    <n v="6"/>
    <n v="29"/>
    <x v="0"/>
    <x v="2"/>
    <x v="2"/>
    <n v="585"/>
    <s v="ST"/>
  </r>
  <r>
    <s v=".1~676"/>
    <n v="676"/>
    <s v="D2"/>
    <s v="03"/>
    <s v="09"/>
    <x v="28"/>
    <n v="6"/>
    <n v="29"/>
    <x v="0"/>
    <x v="3"/>
    <x v="3"/>
    <n v="145"/>
    <s v="ST"/>
  </r>
  <r>
    <s v=".1~677"/>
    <n v="677"/>
    <s v="D2"/>
    <s v="03"/>
    <s v="09"/>
    <x v="28"/>
    <n v="6"/>
    <n v="29"/>
    <x v="0"/>
    <x v="4"/>
    <x v="4"/>
    <n v="224"/>
    <s v="ST"/>
  </r>
  <r>
    <s v=".1~678"/>
    <n v="678"/>
    <s v="D2"/>
    <s v="03"/>
    <s v="09"/>
    <x v="28"/>
    <n v="6"/>
    <n v="29"/>
    <x v="0"/>
    <x v="5"/>
    <x v="5"/>
    <n v="314"/>
    <s v="ST"/>
  </r>
  <r>
    <s v=".1~679"/>
    <n v="679"/>
    <s v="D2"/>
    <s v="03"/>
    <s v="09"/>
    <x v="28"/>
    <n v="6"/>
    <n v="29"/>
    <x v="1"/>
    <x v="0"/>
    <x v="0"/>
    <n v="149"/>
    <s v="ST"/>
  </r>
  <r>
    <s v=".1~680"/>
    <n v="680"/>
    <s v="D2"/>
    <s v="03"/>
    <s v="09"/>
    <x v="28"/>
    <n v="6"/>
    <n v="29"/>
    <x v="1"/>
    <x v="1"/>
    <x v="1"/>
    <n v="50"/>
    <s v="ST"/>
  </r>
  <r>
    <s v=".1~681"/>
    <n v="681"/>
    <s v="D2"/>
    <s v="03"/>
    <s v="09"/>
    <x v="28"/>
    <n v="6"/>
    <n v="29"/>
    <x v="1"/>
    <x v="2"/>
    <x v="2"/>
    <n v="150"/>
    <s v="ST"/>
  </r>
  <r>
    <s v=".1~682"/>
    <n v="682"/>
    <s v="D2"/>
    <s v="03"/>
    <s v="09"/>
    <x v="28"/>
    <n v="6"/>
    <n v="29"/>
    <x v="1"/>
    <x v="3"/>
    <x v="3"/>
    <n v="40"/>
    <s v="ST"/>
  </r>
  <r>
    <s v=".1~683"/>
    <n v="683"/>
    <s v="D2"/>
    <s v="03"/>
    <s v="09"/>
    <x v="28"/>
    <n v="6"/>
    <n v="29"/>
    <x v="1"/>
    <x v="4"/>
    <x v="4"/>
    <n v="60"/>
    <s v="ST"/>
  </r>
  <r>
    <s v=".1~684"/>
    <n v="684"/>
    <s v="D2"/>
    <s v="03"/>
    <s v="09"/>
    <x v="28"/>
    <n v="6"/>
    <n v="29"/>
    <x v="1"/>
    <x v="5"/>
    <x v="5"/>
    <n v="60"/>
    <s v="ST"/>
  </r>
  <r>
    <s v=".1~685"/>
    <n v="685"/>
    <s v="D2"/>
    <s v="03"/>
    <s v="09"/>
    <x v="28"/>
    <n v="6"/>
    <n v="29"/>
    <x v="2"/>
    <x v="0"/>
    <x v="0"/>
    <n v="39"/>
    <s v="ST"/>
  </r>
  <r>
    <s v=".1~686"/>
    <n v="686"/>
    <s v="D2"/>
    <s v="03"/>
    <s v="09"/>
    <x v="28"/>
    <n v="6"/>
    <n v="29"/>
    <x v="2"/>
    <x v="1"/>
    <x v="1"/>
    <n v="11"/>
    <s v="ST"/>
  </r>
  <r>
    <s v=".1~687"/>
    <n v="687"/>
    <s v="D2"/>
    <s v="03"/>
    <s v="09"/>
    <x v="28"/>
    <n v="6"/>
    <n v="29"/>
    <x v="2"/>
    <x v="2"/>
    <x v="2"/>
    <n v="109"/>
    <s v="ST"/>
  </r>
  <r>
    <s v=".1~688"/>
    <n v="688"/>
    <s v="D2"/>
    <s v="03"/>
    <s v="09"/>
    <x v="28"/>
    <n v="6"/>
    <n v="29"/>
    <x v="2"/>
    <x v="3"/>
    <x v="3"/>
    <n v="40"/>
    <s v="ST"/>
  </r>
  <r>
    <s v=".1~689"/>
    <n v="689"/>
    <s v="D2"/>
    <s v="03"/>
    <s v="09"/>
    <x v="28"/>
    <n v="6"/>
    <n v="29"/>
    <x v="2"/>
    <x v="4"/>
    <x v="4"/>
    <n v="56"/>
    <s v="ST"/>
  </r>
  <r>
    <s v=".1~690"/>
    <n v="690"/>
    <s v="D2"/>
    <s v="03"/>
    <s v="09"/>
    <x v="28"/>
    <n v="6"/>
    <n v="29"/>
    <x v="2"/>
    <x v="5"/>
    <x v="5"/>
    <n v="0"/>
    <s v="ST"/>
  </r>
  <r>
    <s v=".1~691"/>
    <n v="691"/>
    <s v="D2"/>
    <s v="03"/>
    <s v="09"/>
    <x v="28"/>
    <n v="6"/>
    <n v="29"/>
    <x v="3"/>
    <x v="0"/>
    <x v="0"/>
    <n v="19"/>
    <s v="ST"/>
  </r>
  <r>
    <s v=".1~692"/>
    <n v="692"/>
    <s v="D2"/>
    <s v="03"/>
    <s v="09"/>
    <x v="28"/>
    <n v="6"/>
    <n v="29"/>
    <x v="3"/>
    <x v="1"/>
    <x v="1"/>
    <n v="40"/>
    <s v="ST"/>
  </r>
  <r>
    <s v=".1~693"/>
    <n v="693"/>
    <s v="D2"/>
    <s v="03"/>
    <s v="09"/>
    <x v="28"/>
    <n v="6"/>
    <n v="29"/>
    <x v="3"/>
    <x v="2"/>
    <x v="2"/>
    <n v="75"/>
    <s v="ST"/>
  </r>
  <r>
    <s v=".1~694"/>
    <n v="694"/>
    <s v="D2"/>
    <s v="03"/>
    <s v="09"/>
    <x v="28"/>
    <n v="6"/>
    <n v="29"/>
    <x v="3"/>
    <x v="3"/>
    <x v="3"/>
    <n v="100"/>
    <s v="ST"/>
  </r>
  <r>
    <s v=".1~695"/>
    <n v="695"/>
    <s v="D2"/>
    <s v="03"/>
    <s v="09"/>
    <x v="28"/>
    <n v="6"/>
    <n v="29"/>
    <x v="3"/>
    <x v="4"/>
    <x v="4"/>
    <n v="40"/>
    <s v="ST"/>
  </r>
  <r>
    <s v=".1~696"/>
    <n v="696"/>
    <s v="D2"/>
    <s v="03"/>
    <s v="09"/>
    <x v="28"/>
    <n v="6"/>
    <n v="29"/>
    <x v="3"/>
    <x v="5"/>
    <x v="5"/>
    <n v="40"/>
    <s v="ST"/>
  </r>
  <r>
    <s v=".1~697"/>
    <n v="697"/>
    <s v="D2"/>
    <s v="03"/>
    <s v="10"/>
    <x v="29"/>
    <n v="6"/>
    <n v="30"/>
    <x v="0"/>
    <x v="0"/>
    <x v="0"/>
    <n v="379"/>
    <s v="ST"/>
  </r>
  <r>
    <s v=".1~698"/>
    <n v="698"/>
    <s v="D2"/>
    <s v="03"/>
    <s v="10"/>
    <x v="29"/>
    <n v="6"/>
    <n v="30"/>
    <x v="0"/>
    <x v="1"/>
    <x v="1"/>
    <n v="223"/>
    <s v="ST"/>
  </r>
  <r>
    <s v=".1~699"/>
    <n v="699"/>
    <s v="D2"/>
    <s v="03"/>
    <s v="10"/>
    <x v="29"/>
    <n v="6"/>
    <n v="30"/>
    <x v="0"/>
    <x v="2"/>
    <x v="2"/>
    <n v="519"/>
    <s v="ST"/>
  </r>
  <r>
    <s v=".1~700"/>
    <n v="700"/>
    <s v="D2"/>
    <s v="03"/>
    <s v="10"/>
    <x v="29"/>
    <n v="6"/>
    <n v="30"/>
    <x v="0"/>
    <x v="3"/>
    <x v="3"/>
    <n v="145"/>
    <s v="ST"/>
  </r>
  <r>
    <s v=".1~701"/>
    <n v="701"/>
    <s v="D2"/>
    <s v="03"/>
    <s v="10"/>
    <x v="29"/>
    <n v="6"/>
    <n v="30"/>
    <x v="0"/>
    <x v="4"/>
    <x v="4"/>
    <n v="210"/>
    <s v="ST"/>
  </r>
  <r>
    <s v=".1~702"/>
    <n v="702"/>
    <s v="D2"/>
    <s v="03"/>
    <s v="10"/>
    <x v="29"/>
    <n v="6"/>
    <n v="30"/>
    <x v="0"/>
    <x v="5"/>
    <x v="5"/>
    <n v="274"/>
    <s v="ST"/>
  </r>
  <r>
    <s v=".1~703"/>
    <n v="703"/>
    <s v="D2"/>
    <s v="03"/>
    <s v="10"/>
    <x v="29"/>
    <n v="6"/>
    <n v="30"/>
    <x v="1"/>
    <x v="0"/>
    <x v="0"/>
    <n v="145"/>
    <s v="ST"/>
  </r>
  <r>
    <s v=".1~704"/>
    <n v="704"/>
    <s v="D2"/>
    <s v="03"/>
    <s v="10"/>
    <x v="29"/>
    <n v="6"/>
    <n v="30"/>
    <x v="1"/>
    <x v="1"/>
    <x v="1"/>
    <n v="50"/>
    <s v="ST"/>
  </r>
  <r>
    <s v=".1~705"/>
    <n v="705"/>
    <s v="D2"/>
    <s v="03"/>
    <s v="10"/>
    <x v="29"/>
    <n v="6"/>
    <n v="30"/>
    <x v="1"/>
    <x v="2"/>
    <x v="2"/>
    <n v="100"/>
    <s v="ST"/>
  </r>
  <r>
    <s v=".1~706"/>
    <n v="706"/>
    <s v="D2"/>
    <s v="03"/>
    <s v="10"/>
    <x v="29"/>
    <n v="6"/>
    <n v="30"/>
    <x v="1"/>
    <x v="3"/>
    <x v="3"/>
    <n v="22"/>
    <s v="ST"/>
  </r>
  <r>
    <s v=".1~707"/>
    <n v="707"/>
    <s v="D2"/>
    <s v="03"/>
    <s v="10"/>
    <x v="29"/>
    <n v="6"/>
    <n v="30"/>
    <x v="1"/>
    <x v="4"/>
    <x v="4"/>
    <n v="31"/>
    <s v="ST"/>
  </r>
  <r>
    <s v=".1~708"/>
    <n v="708"/>
    <s v="D2"/>
    <s v="03"/>
    <s v="10"/>
    <x v="29"/>
    <n v="6"/>
    <n v="30"/>
    <x v="1"/>
    <x v="5"/>
    <x v="5"/>
    <n v="60"/>
    <s v="ST"/>
  </r>
  <r>
    <s v=".1~709"/>
    <n v="709"/>
    <s v="D2"/>
    <s v="03"/>
    <s v="10"/>
    <x v="29"/>
    <n v="6"/>
    <n v="30"/>
    <x v="2"/>
    <x v="0"/>
    <x v="0"/>
    <n v="61"/>
    <s v="ST"/>
  </r>
  <r>
    <s v=".1~710"/>
    <n v="710"/>
    <s v="D2"/>
    <s v="03"/>
    <s v="10"/>
    <x v="29"/>
    <n v="6"/>
    <n v="30"/>
    <x v="2"/>
    <x v="1"/>
    <x v="1"/>
    <n v="40"/>
    <s v="ST"/>
  </r>
  <r>
    <s v=".1~711"/>
    <n v="711"/>
    <s v="D2"/>
    <s v="03"/>
    <s v="10"/>
    <x v="29"/>
    <n v="6"/>
    <n v="30"/>
    <x v="2"/>
    <x v="2"/>
    <x v="2"/>
    <n v="66"/>
    <s v="ST"/>
  </r>
  <r>
    <s v=".1~712"/>
    <n v="712"/>
    <s v="D2"/>
    <s v="03"/>
    <s v="10"/>
    <x v="29"/>
    <n v="6"/>
    <n v="30"/>
    <x v="2"/>
    <x v="3"/>
    <x v="3"/>
    <n v="40"/>
    <s v="ST"/>
  </r>
  <r>
    <s v=".1~713"/>
    <n v="713"/>
    <s v="D2"/>
    <s v="03"/>
    <s v="10"/>
    <x v="29"/>
    <n v="6"/>
    <n v="30"/>
    <x v="2"/>
    <x v="4"/>
    <x v="4"/>
    <n v="14"/>
    <s v="ST"/>
  </r>
  <r>
    <s v=".1~714"/>
    <n v="714"/>
    <s v="D2"/>
    <s v="03"/>
    <s v="10"/>
    <x v="29"/>
    <n v="6"/>
    <n v="30"/>
    <x v="2"/>
    <x v="5"/>
    <x v="5"/>
    <n v="40"/>
    <s v="ST"/>
  </r>
  <r>
    <s v=".1~715"/>
    <n v="715"/>
    <s v="D2"/>
    <s v="03"/>
    <s v="10"/>
    <x v="29"/>
    <n v="6"/>
    <n v="30"/>
    <x v="3"/>
    <x v="0"/>
    <x v="0"/>
    <n v="75"/>
    <s v="ST"/>
  </r>
  <r>
    <s v=".1~716"/>
    <n v="716"/>
    <s v="D2"/>
    <s v="03"/>
    <s v="10"/>
    <x v="29"/>
    <n v="6"/>
    <n v="30"/>
    <x v="3"/>
    <x v="1"/>
    <x v="1"/>
    <n v="40"/>
    <s v="ST"/>
  </r>
  <r>
    <s v=".1~717"/>
    <n v="717"/>
    <s v="D2"/>
    <s v="03"/>
    <s v="10"/>
    <x v="29"/>
    <n v="6"/>
    <n v="30"/>
    <x v="3"/>
    <x v="2"/>
    <x v="2"/>
    <n v="75"/>
    <s v="ST"/>
  </r>
  <r>
    <s v=".1~718"/>
    <n v="718"/>
    <s v="D2"/>
    <s v="03"/>
    <s v="10"/>
    <x v="29"/>
    <n v="6"/>
    <n v="30"/>
    <x v="3"/>
    <x v="3"/>
    <x v="3"/>
    <n v="78"/>
    <s v="ST"/>
  </r>
  <r>
    <s v=".1~719"/>
    <n v="719"/>
    <s v="D2"/>
    <s v="03"/>
    <s v="10"/>
    <x v="29"/>
    <n v="6"/>
    <n v="30"/>
    <x v="3"/>
    <x v="4"/>
    <x v="4"/>
    <n v="40"/>
    <s v="ST"/>
  </r>
  <r>
    <s v=".1~720"/>
    <n v="720"/>
    <s v="D2"/>
    <s v="03"/>
    <s v="10"/>
    <x v="29"/>
    <n v="6"/>
    <n v="30"/>
    <x v="3"/>
    <x v="5"/>
    <x v="5"/>
    <n v="40"/>
    <s v="ST"/>
  </r>
  <r>
    <s v=".1~721"/>
    <n v="721"/>
    <s v="D2"/>
    <s v="04"/>
    <s v="01"/>
    <x v="30"/>
    <n v="7"/>
    <n v="31"/>
    <x v="0"/>
    <x v="0"/>
    <x v="0"/>
    <n v="265"/>
    <s v="ST"/>
  </r>
  <r>
    <s v=".1~722"/>
    <n v="722"/>
    <s v="D2"/>
    <s v="04"/>
    <s v="01"/>
    <x v="30"/>
    <n v="7"/>
    <n v="31"/>
    <x v="0"/>
    <x v="1"/>
    <x v="1"/>
    <n v="223"/>
    <s v="ST"/>
  </r>
  <r>
    <s v=".1~723"/>
    <n v="723"/>
    <s v="D2"/>
    <s v="04"/>
    <s v="01"/>
    <x v="30"/>
    <n v="7"/>
    <n v="31"/>
    <x v="0"/>
    <x v="2"/>
    <x v="2"/>
    <n v="360"/>
    <s v="ST"/>
  </r>
  <r>
    <s v=".1~724"/>
    <n v="724"/>
    <s v="D2"/>
    <s v="04"/>
    <s v="01"/>
    <x v="30"/>
    <n v="7"/>
    <n v="31"/>
    <x v="0"/>
    <x v="3"/>
    <x v="3"/>
    <n v="105"/>
    <s v="ST"/>
  </r>
  <r>
    <s v=".1~725"/>
    <n v="725"/>
    <s v="D2"/>
    <s v="04"/>
    <s v="01"/>
    <x v="30"/>
    <n v="7"/>
    <n v="31"/>
    <x v="0"/>
    <x v="4"/>
    <x v="4"/>
    <n v="125"/>
    <s v="ST"/>
  </r>
  <r>
    <s v=".1~726"/>
    <n v="726"/>
    <s v="D2"/>
    <s v="04"/>
    <s v="01"/>
    <x v="30"/>
    <n v="7"/>
    <n v="31"/>
    <x v="0"/>
    <x v="5"/>
    <x v="5"/>
    <n v="274"/>
    <s v="ST"/>
  </r>
  <r>
    <s v=".1~727"/>
    <n v="727"/>
    <s v="D2"/>
    <s v="04"/>
    <s v="01"/>
    <x v="30"/>
    <n v="7"/>
    <n v="31"/>
    <x v="1"/>
    <x v="0"/>
    <x v="0"/>
    <n v="79"/>
    <s v="ST"/>
  </r>
  <r>
    <s v=".1~728"/>
    <n v="728"/>
    <s v="D2"/>
    <s v="04"/>
    <s v="01"/>
    <x v="30"/>
    <n v="7"/>
    <n v="31"/>
    <x v="1"/>
    <x v="1"/>
    <x v="1"/>
    <n v="27"/>
    <s v="ST"/>
  </r>
  <r>
    <s v=".1~729"/>
    <n v="729"/>
    <s v="D2"/>
    <s v="04"/>
    <s v="01"/>
    <x v="30"/>
    <n v="7"/>
    <n v="31"/>
    <x v="1"/>
    <x v="2"/>
    <x v="2"/>
    <n v="150"/>
    <s v="ST"/>
  </r>
  <r>
    <s v=".1~730"/>
    <n v="730"/>
    <s v="D2"/>
    <s v="04"/>
    <s v="01"/>
    <x v="30"/>
    <n v="7"/>
    <n v="31"/>
    <x v="1"/>
    <x v="3"/>
    <x v="3"/>
    <n v="40"/>
    <s v="ST"/>
  </r>
  <r>
    <s v=".1~731"/>
    <n v="731"/>
    <s v="D2"/>
    <s v="04"/>
    <s v="01"/>
    <x v="30"/>
    <n v="7"/>
    <n v="31"/>
    <x v="1"/>
    <x v="4"/>
    <x v="4"/>
    <n v="60"/>
    <s v="ST"/>
  </r>
  <r>
    <s v=".1~732"/>
    <n v="732"/>
    <s v="D2"/>
    <s v="04"/>
    <s v="01"/>
    <x v="30"/>
    <n v="7"/>
    <n v="31"/>
    <x v="1"/>
    <x v="5"/>
    <x v="5"/>
    <n v="19"/>
    <s v="ST"/>
  </r>
  <r>
    <s v=".1~733"/>
    <n v="733"/>
    <s v="D2"/>
    <s v="04"/>
    <s v="01"/>
    <x v="30"/>
    <n v="7"/>
    <n v="31"/>
    <x v="2"/>
    <x v="0"/>
    <x v="0"/>
    <n v="100"/>
    <s v="ST"/>
  </r>
  <r>
    <s v=".1~734"/>
    <n v="734"/>
    <s v="D2"/>
    <s v="04"/>
    <s v="01"/>
    <x v="30"/>
    <n v="7"/>
    <n v="31"/>
    <x v="2"/>
    <x v="1"/>
    <x v="1"/>
    <n v="40"/>
    <s v="ST"/>
  </r>
  <r>
    <s v=".1~735"/>
    <n v="735"/>
    <s v="D2"/>
    <s v="04"/>
    <s v="01"/>
    <x v="30"/>
    <n v="7"/>
    <n v="31"/>
    <x v="2"/>
    <x v="2"/>
    <x v="2"/>
    <n v="123"/>
    <s v="ST"/>
  </r>
  <r>
    <s v=".1~736"/>
    <n v="736"/>
    <s v="D2"/>
    <s v="04"/>
    <s v="01"/>
    <x v="30"/>
    <n v="7"/>
    <n v="31"/>
    <x v="2"/>
    <x v="3"/>
    <x v="3"/>
    <n v="40"/>
    <s v="ST"/>
  </r>
  <r>
    <s v=".1~737"/>
    <n v="737"/>
    <s v="D2"/>
    <s v="04"/>
    <s v="01"/>
    <x v="30"/>
    <n v="7"/>
    <n v="31"/>
    <x v="2"/>
    <x v="4"/>
    <x v="4"/>
    <n v="56"/>
    <s v="ST"/>
  </r>
  <r>
    <s v=".1~738"/>
    <n v="738"/>
    <s v="D2"/>
    <s v="04"/>
    <s v="01"/>
    <x v="30"/>
    <n v="7"/>
    <n v="31"/>
    <x v="2"/>
    <x v="5"/>
    <x v="5"/>
    <n v="40"/>
    <s v="ST"/>
  </r>
  <r>
    <s v=".1~739"/>
    <n v="739"/>
    <s v="D2"/>
    <s v="04"/>
    <s v="01"/>
    <x v="30"/>
    <n v="7"/>
    <n v="31"/>
    <x v="3"/>
    <x v="0"/>
    <x v="0"/>
    <n v="75"/>
    <s v="ST"/>
  </r>
  <r>
    <s v=".1~740"/>
    <n v="740"/>
    <s v="D2"/>
    <s v="04"/>
    <s v="01"/>
    <x v="30"/>
    <n v="7"/>
    <n v="31"/>
    <x v="3"/>
    <x v="1"/>
    <x v="1"/>
    <n v="40"/>
    <s v="ST"/>
  </r>
  <r>
    <s v=".1~741"/>
    <n v="741"/>
    <s v="D2"/>
    <s v="04"/>
    <s v="01"/>
    <x v="30"/>
    <n v="7"/>
    <n v="31"/>
    <x v="3"/>
    <x v="2"/>
    <x v="2"/>
    <n v="75"/>
    <s v="ST"/>
  </r>
  <r>
    <s v=".1~742"/>
    <n v="742"/>
    <s v="D2"/>
    <s v="04"/>
    <s v="01"/>
    <x v="30"/>
    <n v="7"/>
    <n v="31"/>
    <x v="3"/>
    <x v="3"/>
    <x v="3"/>
    <n v="82"/>
    <s v="ST"/>
  </r>
  <r>
    <s v=".1~743"/>
    <n v="743"/>
    <s v="D2"/>
    <s v="04"/>
    <s v="01"/>
    <x v="30"/>
    <n v="7"/>
    <n v="31"/>
    <x v="3"/>
    <x v="4"/>
    <x v="4"/>
    <n v="40"/>
    <s v="ST"/>
  </r>
  <r>
    <s v=".1~744"/>
    <n v="744"/>
    <s v="D2"/>
    <s v="04"/>
    <s v="01"/>
    <x v="30"/>
    <n v="7"/>
    <n v="31"/>
    <x v="3"/>
    <x v="5"/>
    <x v="5"/>
    <n v="10"/>
    <s v="ST"/>
  </r>
  <r>
    <m/>
    <m/>
    <m/>
    <m/>
    <m/>
    <x v="31"/>
    <m/>
    <m/>
    <x v="4"/>
    <x v="6"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D4127-C4B0-3540-A10A-ACCEBC3EC5F9}" name="PivotTable13" cacheId="15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I32" firstHeaderRow="1" firstDataRow="2" firstDataCol="1"/>
  <pivotFields count="23">
    <pivotField showAll="0"/>
    <pivotField showAll="0"/>
    <pivotField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2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4"/>
        <item x="2"/>
        <item x="3"/>
        <item x="0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Margin" fld="22" baseField="0" baseItem="0"/>
  </dataFields>
  <formats count="1">
    <format dxfId="70">
      <pivotArea field="5" grandCol="1" collapsedLevelsAreSubtotals="1" axis="axisRow" fieldPosition="0">
        <references count="1">
          <reference field="5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21"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37250-CD16-5041-AADB-6A95821EBA7F}" name="PivotTable12" cacheId="15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A33" firstHeaderRow="1" firstDataRow="3" firstDataCol="1"/>
  <pivotFields count="22">
    <pivotField showAll="0"/>
    <pivotField showAll="0"/>
    <pivotField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26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8">
        <item x="4"/>
        <item x="2"/>
        <item x="3"/>
        <item x="0"/>
        <item x="1"/>
        <item x="6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14"/>
    <field x="10"/>
  </colFields>
  <colItems count="26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 v="3"/>
    </i>
    <i t="default">
      <x v="5"/>
    </i>
    <i>
      <x v="6"/>
      <x/>
    </i>
    <i r="1">
      <x v="1"/>
    </i>
    <i r="1">
      <x v="2"/>
    </i>
    <i t="default">
      <x v="6"/>
    </i>
    <i t="grand">
      <x/>
    </i>
  </colItems>
  <dataFields count="1">
    <dataField name="Sum of NET_VALU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6A50D-6A41-4B45-8B37-BFF66E54C088}" name="PivotTable10" cacheId="15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O39" firstHeaderRow="1" firstDataRow="4" firstDataCol="1"/>
  <pivotFields count="13">
    <pivotField showAll="0"/>
    <pivotField showAll="0"/>
    <pivotField showAll="0"/>
    <pivotField showAll="0"/>
    <pivotField showAll="0"/>
    <pivotField axis="axisRow" showAll="0">
      <items count="33">
        <item x="0"/>
        <item x="3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8">
        <item x="4"/>
        <item x="3"/>
        <item x="1"/>
        <item x="5"/>
        <item x="0"/>
        <item x="2"/>
        <item x="6"/>
        <item t="default"/>
      </items>
    </pivotField>
    <pivotField dataField="1" showAll="0"/>
    <pivotField showAll="0"/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3">
    <field x="9"/>
    <field x="10"/>
    <field x="8"/>
  </colFields>
  <colItems count="40">
    <i>
      <x/>
      <x v="4"/>
      <x/>
    </i>
    <i r="2">
      <x v="1"/>
    </i>
    <i r="2">
      <x v="2"/>
    </i>
    <i r="2">
      <x v="3"/>
    </i>
    <i t="default" r="1">
      <x v="4"/>
    </i>
    <i t="default">
      <x/>
    </i>
    <i>
      <x v="1"/>
      <x v="2"/>
      <x/>
    </i>
    <i r="2">
      <x v="1"/>
    </i>
    <i r="2">
      <x v="2"/>
    </i>
    <i r="2">
      <x v="3"/>
    </i>
    <i t="default" r="1">
      <x v="2"/>
    </i>
    <i t="default">
      <x v="1"/>
    </i>
    <i>
      <x v="2"/>
      <x v="5"/>
      <x/>
    </i>
    <i r="2">
      <x v="1"/>
    </i>
    <i r="2">
      <x v="2"/>
    </i>
    <i r="2">
      <x v="3"/>
    </i>
    <i t="default" r="1">
      <x v="5"/>
    </i>
    <i t="default">
      <x v="2"/>
    </i>
    <i>
      <x v="3"/>
      <x v="1"/>
      <x/>
    </i>
    <i r="2">
      <x v="1"/>
    </i>
    <i r="2">
      <x v="2"/>
    </i>
    <i r="2">
      <x v="3"/>
    </i>
    <i t="default" r="1">
      <x v="1"/>
    </i>
    <i t="default">
      <x v="3"/>
    </i>
    <i>
      <x v="4"/>
      <x/>
      <x/>
    </i>
    <i r="2">
      <x v="1"/>
    </i>
    <i r="2">
      <x v="2"/>
    </i>
    <i r="2">
      <x v="3"/>
    </i>
    <i t="default" r="1">
      <x/>
    </i>
    <i t="default">
      <x v="4"/>
    </i>
    <i>
      <x v="5"/>
      <x v="3"/>
      <x/>
    </i>
    <i r="2">
      <x v="1"/>
    </i>
    <i r="2">
      <x v="2"/>
    </i>
    <i r="2">
      <x v="3"/>
    </i>
    <i t="default" r="1">
      <x v="3"/>
    </i>
    <i t="default">
      <x v="5"/>
    </i>
    <i>
      <x v="6"/>
      <x v="6"/>
      <x v="4"/>
    </i>
    <i t="default" r="1">
      <x v="6"/>
    </i>
    <i t="default">
      <x v="6"/>
    </i>
    <i t="grand">
      <x/>
    </i>
  </colItems>
  <dataFields count="1">
    <dataField name="Sum of INVENTORY_OPENING_BALAN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8905B-5F69-2249-AA7A-17B7449253E7}" name="PivotTable11" cacheId="1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D21C17C-8847-F647-AA29-816CC050AAC6}" autoFormatId="16" applyNumberFormats="0" applyBorderFormats="0" applyFontFormats="0" applyPatternFormats="0" applyAlignmentFormats="0" applyWidthHeightFormats="0">
  <queryTableRefresh nextId="24" unboundColumnsRight="1">
    <queryTableFields count="23">
      <queryTableField id="1" name="ID" tableColumnId="1"/>
      <queryTableField id="2" name="ROW_ID" tableColumnId="2"/>
      <queryTableField id="3" name="SALES_ORGANIZATION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ALES_ORDER_NUMBER" tableColumnId="9"/>
      <queryTableField id="10" name="LINE_ITEM" tableColumnId="10"/>
      <queryTableField id="11" name="STORAGE_LOCATION" tableColumnId="11"/>
      <queryTableField id="12" name="AREA" tableColumnId="12"/>
      <queryTableField id="13" name="DISTRIBUTION_CHANNEL" tableColumnId="13"/>
      <queryTableField id="14" name="MATERIAL_NUMBER" tableColumnId="14"/>
      <queryTableField id="15" name="MATERIAL_DESCRIPTION" tableColumnId="15"/>
      <queryTableField id="16" name="QUANTITY" tableColumnId="16"/>
      <queryTableField id="17" name="QUANTITY_DELIVERED" tableColumnId="17"/>
      <queryTableField id="18" name="UNIT" tableColumnId="18"/>
      <queryTableField id="19" name="NET_PRICE" tableColumnId="19"/>
      <queryTableField id="20" name="NET_VALUE" tableColumnId="20"/>
      <queryTableField id="21" name="COST" tableColumnId="21"/>
      <queryTableField id="22" name="CURRENCY" tableColumnId="22"/>
      <queryTableField id="23" dataBound="0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4E4AC7-8B50-A94B-9A01-2253275C3E78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BANK_CASH_ACCOUNT" tableColumnId="9"/>
      <queryTableField id="10" name="ACCOUNTS_RECEIVABLE" tableColumnId="10"/>
      <queryTableField id="11" name="BANK_LOAN" tableColumnId="11"/>
      <queryTableField id="12" name="ACCOUNTS_PAYABLE" tableColumnId="12"/>
      <queryTableField id="13" name="PROFIT" tableColumnId="13"/>
      <queryTableField id="14" name="SETUP_TIME_INVESTMENT" tableColumnId="14"/>
      <queryTableField id="15" name="DEBT_LOADING" tableColumnId="15"/>
      <queryTableField id="16" name="CREDIT_RATING" tableColumnId="16"/>
      <queryTableField id="17" name="COMPANY_RISK_RATE_PCT" tableColumnId="17"/>
      <queryTableField id="18" name="MARKET_RISK_RATE_PCT" tableColumnId="18"/>
      <queryTableField id="19" name="COMPANY_VALUATION" tableColumnId="19"/>
      <queryTableField id="20" name="CURRENCY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88A38E2-0850-DC4A-B858-C8DFD7499F0E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STORAGE_LOCATION" tableColumnId="9"/>
      <queryTableField id="10" name="MATERIAL_NUMBER" tableColumnId="10"/>
      <queryTableField id="11" name="MATERIAL_DESCRIPTION" tableColumnId="11"/>
      <queryTableField id="12" name="INVENTORY_OPENING_BALANCE" tableColumnId="12"/>
      <queryTableField id="13" name="UNIT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29F017B-AE79-ED4F-A60B-9937579C1116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PERIOD" tableColumnId="7"/>
      <queryTableField id="8" name="SIM_ELAPSED_STEPS" tableColumnId="8"/>
      <queryTableField id="9" name="GL_ACCOUNT_NUMBER" tableColumnId="9"/>
      <queryTableField id="10" name="GL_ACCOUNT_NAME" tableColumnId="10"/>
      <queryTableField id="11" name="FS_LEVEL_1" tableColumnId="11"/>
      <queryTableField id="12" name="FS_LEVEL_2" tableColumnId="12"/>
      <queryTableField id="13" name="FS_LEVEL_3" tableColumnId="13"/>
      <queryTableField id="14" name="FS_LEVEL_4" tableColumnId="14"/>
      <queryTableField id="15" name="DEBIT_CREDIT_INDICATOR" tableColumnId="15"/>
      <queryTableField id="16" name="AMOUNT" tableColumnId="16"/>
      <queryTableField id="17" name="CURRENCY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BBD8886-69F8-4B43-85C3-B5BCE8DAAC6D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ROW_ID" tableColumnId="2"/>
      <queryTableField id="3" name="PLANT" tableColumnId="3"/>
      <queryTableField id="4" name="STORAGE_LOCATION" tableColumnId="4"/>
      <queryTableField id="5" name="MATERIAL_NUMBER" tableColumnId="5"/>
      <queryTableField id="6" name="MATERIAL_DESCRIPTION" tableColumnId="6"/>
      <queryTableField id="7" name="CURRENT_INVENTORY" tableColumnId="7"/>
      <queryTableField id="8" name="QUANTITY_SOLD" tableColumnId="8"/>
      <queryTableField id="9" name="UNIT" tableColumnId="9"/>
      <queryTableField id="10" name="NB_STEPS_AVAILABLE" tableColumnId="10"/>
      <queryTableField id="11" name="SIM_ELAPSED_STEPS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527237C-77F0-8941-B4AF-E84E9897B3F8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ROW_ID" tableColumnId="2"/>
      <queryTableField id="3" name="PLANT" tableColumnId="3"/>
      <queryTableField id="4" name="MATERIAL_NUMBER" tableColumnId="4"/>
      <queryTableField id="5" name="MATERIAL_DESCRIPTION" tableColumnId="5"/>
      <queryTableField id="6" name="STORAGE_LOCATION" tableColumnId="6"/>
      <queryTableField id="7" name="STOCK" tableColumnId="7"/>
      <queryTableField id="8" name="RESTRICTED" tableColumnId="8"/>
      <queryTableField id="9" name="UN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1E210A-48DD-5247-A217-FFABF5644F3E}" name="Sales" displayName="Sales" ref="A1:W174" tableType="queryTable" totalsRowShown="0">
  <autoFilter ref="A1:W174" xr:uid="{FD1E210A-48DD-5247-A217-FFABF5644F3E}"/>
  <tableColumns count="23">
    <tableColumn id="1" xr3:uid="{E6E5A371-132A-1C4D-91AB-8C2D670262AF}" uniqueName="1" name="ID" queryTableFieldId="1" dataDxfId="55"/>
    <tableColumn id="2" xr3:uid="{9EEBDDBC-4FDA-3E49-8583-B07C82D58793}" uniqueName="2" name="ROW_ID" queryTableFieldId="2"/>
    <tableColumn id="3" xr3:uid="{1A1A3163-6185-D54D-A8D8-89EC7A84F60E}" uniqueName="3" name="SALES_ORGANIZATION" queryTableFieldId="3" dataDxfId="54"/>
    <tableColumn id="4" xr3:uid="{68543E66-62AD-CF40-8D26-6EDDDA7741FA}" uniqueName="4" name="SIM_ROUND" queryTableFieldId="4" dataDxfId="53"/>
    <tableColumn id="5" xr3:uid="{F278DCEF-1D47-A34C-886F-6B542BCF2F21}" uniqueName="5" name="SIM_STEP" queryTableFieldId="5" dataDxfId="52"/>
    <tableColumn id="6" xr3:uid="{5B5EA83F-2C48-F74C-AF96-42058A0FD143}" uniqueName="6" name="SIM_DATE" queryTableFieldId="6" dataDxfId="51"/>
    <tableColumn id="7" xr3:uid="{B9D52706-6004-8341-8452-51285A158FD0}" uniqueName="7" name="SIM_PERIOD" queryTableFieldId="7"/>
    <tableColumn id="8" xr3:uid="{F48C14F7-98CA-6E46-9B52-7530944D8DA3}" uniqueName="8" name="SIM_ELAPSED_STEPS" queryTableFieldId="8"/>
    <tableColumn id="9" xr3:uid="{62C6E0ED-0B98-FD47-B158-AF9E2C551735}" uniqueName="9" name="SALES_ORDER_NUMBER" queryTableFieldId="9" dataDxfId="50"/>
    <tableColumn id="10" xr3:uid="{94A41D53-59DB-7D46-B190-44B33F422716}" uniqueName="10" name="LINE_ITEM" queryTableFieldId="10" dataDxfId="49"/>
    <tableColumn id="11" xr3:uid="{FBD90FDF-771C-8245-95B7-004450560B0E}" uniqueName="11" name="STORAGE_LOCATION" queryTableFieldId="11" dataDxfId="48"/>
    <tableColumn id="12" xr3:uid="{B28152C6-C0F4-2C48-8F8D-3F3A3EB8FC51}" uniqueName="12" name="AREA" queryTableFieldId="12" dataDxfId="47"/>
    <tableColumn id="13" xr3:uid="{899816E1-1D5E-5949-83AF-AF60BD23FD94}" uniqueName="13" name="DISTRIBUTION_CHANNEL" queryTableFieldId="13" dataDxfId="46"/>
    <tableColumn id="14" xr3:uid="{6ABF288D-C1C9-1D48-A6D6-6804BF427415}" uniqueName="14" name="MATERIAL_NUMBER" queryTableFieldId="14" dataDxfId="45"/>
    <tableColumn id="15" xr3:uid="{7FDD5AEA-0C7A-B144-8E97-03279D83128A}" uniqueName="15" name="MATERIAL_DESCRIPTION" queryTableFieldId="15" dataDxfId="44"/>
    <tableColumn id="16" xr3:uid="{8BB62AC0-4996-6742-AC81-C152DD9B0C7F}" uniqueName="16" name="QUANTITY" queryTableFieldId="16"/>
    <tableColumn id="17" xr3:uid="{FDDDB118-06D5-F24D-90EC-C05D10F8B7FC}" uniqueName="17" name="QUANTITY_DELIVERED" queryTableFieldId="17"/>
    <tableColumn id="18" xr3:uid="{B6A6A0EC-F51B-2245-82B8-C836FEF8CCED}" uniqueName="18" name="UNIT" queryTableFieldId="18" dataDxfId="43"/>
    <tableColumn id="19" xr3:uid="{8ABC1A90-DAA8-084A-B9D1-FA9E45BE881D}" uniqueName="19" name="NET_PRICE" queryTableFieldId="19"/>
    <tableColumn id="20" xr3:uid="{6C8F63C3-24D5-0E4E-BD7F-56F54D42E426}" uniqueName="20" name="NET_VALUE" queryTableFieldId="20"/>
    <tableColumn id="21" xr3:uid="{444D83DB-29D8-814C-9CDF-D87BF3CCCC28}" uniqueName="21" name="COST" queryTableFieldId="21"/>
    <tableColumn id="22" xr3:uid="{5BFD047B-2C62-3C4F-AA29-9D54751BBBEB}" uniqueName="22" name="CURRENCY" queryTableFieldId="22" dataDxfId="42"/>
    <tableColumn id="23" xr3:uid="{80746514-F14D-AE45-8ACC-20E2E43BFC04}" uniqueName="23" name="Margin" queryTableFieldId="23" dataDxfId="41">
      <calculatedColumnFormula>Sales[[#This Row],[NET_VALUE]]-Sales[[#This Row],[COST]]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799A0-294B-AA46-8237-DB4917B1EBB5}" name="Company_Valuation" displayName="Company_Valuation" ref="A1:T31" tableType="queryTable" totalsRowShown="0">
  <autoFilter ref="A1:T31" xr:uid="{7DB799A0-294B-AA46-8237-DB4917B1EBB5}"/>
  <tableColumns count="20">
    <tableColumn id="1" xr3:uid="{B68BAFD9-1944-9744-A3FE-FBB32F23C7FC}" uniqueName="1" name="ID" queryTableFieldId="1" dataDxfId="40"/>
    <tableColumn id="2" xr3:uid="{C5A84262-CEFC-FB47-84F4-1BA79AE5AA6F}" uniqueName="2" name="ROW_ID" queryTableFieldId="2"/>
    <tableColumn id="3" xr3:uid="{9B2EB831-DC0F-C94B-8EDA-7D5A023ADFBB}" uniqueName="3" name="COMPANY_CODE" queryTableFieldId="3" dataDxfId="39"/>
    <tableColumn id="4" xr3:uid="{D126761A-37F9-AF40-8475-B9DA76946AA6}" uniqueName="4" name="SIM_ROUND" queryTableFieldId="4" dataDxfId="38"/>
    <tableColumn id="5" xr3:uid="{17535B9E-1E3D-C94B-A763-0E7886AF4DFB}" uniqueName="5" name="SIM_STEP" queryTableFieldId="5" dataDxfId="37"/>
    <tableColumn id="6" xr3:uid="{B42A94CC-F778-BD46-8549-511AADAF269F}" uniqueName="6" name="SIM_DATE" queryTableFieldId="6" dataDxfId="36"/>
    <tableColumn id="7" xr3:uid="{6EF384AC-059A-BE4C-B296-8722AE1DAAC9}" uniqueName="7" name="SIM_PERIOD" queryTableFieldId="7"/>
    <tableColumn id="8" xr3:uid="{C09904AF-7F6D-7348-9820-EB499DAB721A}" uniqueName="8" name="SIM_ELAPSED_STEPS" queryTableFieldId="8"/>
    <tableColumn id="9" xr3:uid="{E265A022-5E91-A14A-9BDF-96806037DE60}" uniqueName="9" name="BANK_CASH_ACCOUNT" queryTableFieldId="9"/>
    <tableColumn id="10" xr3:uid="{C7FBDE5E-CC2C-4247-A838-8DF4B41577F6}" uniqueName="10" name="ACCOUNTS_RECEIVABLE" queryTableFieldId="10"/>
    <tableColumn id="11" xr3:uid="{99AA38BC-3A7C-BC46-BCEB-DF7A3D7A3682}" uniqueName="11" name="BANK_LOAN" queryTableFieldId="11"/>
    <tableColumn id="12" xr3:uid="{71F93431-819E-EA4A-8833-B15CEA16C404}" uniqueName="12" name="ACCOUNTS_PAYABLE" queryTableFieldId="12"/>
    <tableColumn id="13" xr3:uid="{CBDCC393-C148-764B-AFCA-4A7D5CDD6AFA}" uniqueName="13" name="PROFIT" queryTableFieldId="13"/>
    <tableColumn id="14" xr3:uid="{46352F11-D8C2-C64E-B2CD-0B3FD2854E6E}" uniqueName="14" name="SETUP_TIME_INVESTMENT" queryTableFieldId="14"/>
    <tableColumn id="15" xr3:uid="{8E206D8E-0E95-E144-8522-D625C34B7BDF}" uniqueName="15" name="DEBT_LOADING" queryTableFieldId="15"/>
    <tableColumn id="16" xr3:uid="{90AC2FB1-DA48-F64E-A75B-87C700D0A7C7}" uniqueName="16" name="CREDIT_RATING" queryTableFieldId="16" dataDxfId="35"/>
    <tableColumn id="17" xr3:uid="{F0693EB5-390D-C24D-8E55-03A53A207426}" uniqueName="17" name="COMPANY_RISK_RATE_PCT" queryTableFieldId="17"/>
    <tableColumn id="18" xr3:uid="{D8EF6395-9BE4-1F42-9C81-79BABDA43467}" uniqueName="18" name="MARKET_RISK_RATE_PCT" queryTableFieldId="18"/>
    <tableColumn id="19" xr3:uid="{48D8ABF6-C4D5-B54B-8EC5-19FB9A9DACD3}" uniqueName="19" name="COMPANY_VALUATION" queryTableFieldId="19"/>
    <tableColumn id="20" xr3:uid="{B36EB040-95C8-5B4E-BC05-874544B5C8BF}" uniqueName="20" name="CURRENCY" queryTableFieldId="20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2D195D-0DA5-DC4D-B91E-CC4BE5FA74E2}" name="Inventory" displayName="Inventory" ref="A1:M745" tableType="queryTable" totalsRowShown="0">
  <autoFilter ref="A1:M745" xr:uid="{772D195D-0DA5-DC4D-B91E-CC4BE5FA74E2}"/>
  <tableColumns count="13">
    <tableColumn id="1" xr3:uid="{43D7A9DE-6657-6F46-BAB0-C324C8F61D15}" uniqueName="1" name="ID" queryTableFieldId="1" dataDxfId="33"/>
    <tableColumn id="2" xr3:uid="{5DC2273E-EC06-F249-837D-0387C2DDC13E}" uniqueName="2" name="ROW_ID" queryTableFieldId="2"/>
    <tableColumn id="3" xr3:uid="{58571A65-DADA-6C46-918D-2115BA47229E}" uniqueName="3" name="PLANT" queryTableFieldId="3" dataDxfId="32"/>
    <tableColumn id="4" xr3:uid="{7834768F-38CE-394B-B536-591685105C53}" uniqueName="4" name="SIM_ROUND" queryTableFieldId="4" dataDxfId="31"/>
    <tableColumn id="5" xr3:uid="{3F5D939C-872C-C242-A7AF-846295EE135C}" uniqueName="5" name="SIM_STEP" queryTableFieldId="5" dataDxfId="30"/>
    <tableColumn id="6" xr3:uid="{04ED8DE1-9318-274E-A58A-A3EF61DDD611}" uniqueName="6" name="SIM_DATE" queryTableFieldId="6" dataDxfId="29"/>
    <tableColumn id="7" xr3:uid="{F96BC275-FAC6-7742-A5C6-09F6E1E715F2}" uniqueName="7" name="SIM_PERIOD" queryTableFieldId="7"/>
    <tableColumn id="8" xr3:uid="{361763D5-45AC-504B-919E-4AEC8B674E98}" uniqueName="8" name="SIM_ELAPSED_STEPS" queryTableFieldId="8"/>
    <tableColumn id="9" xr3:uid="{37E79767-C928-C642-A261-3D210ADF58C0}" uniqueName="9" name="STORAGE_LOCATION" queryTableFieldId="9" dataDxfId="28"/>
    <tableColumn id="10" xr3:uid="{B7BF339F-8A60-544B-B3D5-DA588B9E9C86}" uniqueName="10" name="MATERIAL_NUMBER" queryTableFieldId="10" dataDxfId="27"/>
    <tableColumn id="11" xr3:uid="{C1644684-719B-EC49-9A30-13080906E124}" uniqueName="11" name="MATERIAL_DESCRIPTION" queryTableFieldId="11" dataDxfId="26"/>
    <tableColumn id="12" xr3:uid="{FCDFDE36-697C-D74B-A816-E66B536A34FD}" uniqueName="12" name="INVENTORY_OPENING_BALANCE" queryTableFieldId="12"/>
    <tableColumn id="13" xr3:uid="{8F6F49A7-ED83-264C-BD64-DF0943F93155}" uniqueName="13" name="UNIT" queryTableFieldId="13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407BBC-3C1C-9B4F-8C79-B31040B4B3DA}" name="Financial_Postings" displayName="Financial_Postings" ref="A1:Q253" tableType="queryTable" totalsRowShown="0">
  <autoFilter ref="A1:Q253" xr:uid="{31407BBC-3C1C-9B4F-8C79-B31040B4B3DA}"/>
  <tableColumns count="17">
    <tableColumn id="1" xr3:uid="{F363909C-5DF3-D441-864E-81F0D60D2DAF}" uniqueName="1" name="ID" queryTableFieldId="1" dataDxfId="24"/>
    <tableColumn id="2" xr3:uid="{135AF125-859F-8841-ABA9-4ECC1021EA9E}" uniqueName="2" name="ROW_ID" queryTableFieldId="2"/>
    <tableColumn id="3" xr3:uid="{AB3E5F3E-2DD1-5E44-82B6-0A9F0DFDA822}" uniqueName="3" name="COMPANY_CODE" queryTableFieldId="3" dataDxfId="23"/>
    <tableColumn id="4" xr3:uid="{01EEE964-501D-2E43-9F86-55A647B76A63}" uniqueName="4" name="SIM_ROUND" queryTableFieldId="4" dataDxfId="22"/>
    <tableColumn id="5" xr3:uid="{75D1B89F-5B45-0947-ABC2-44E128EE0B77}" uniqueName="5" name="SIM_STEP" queryTableFieldId="5" dataDxfId="21"/>
    <tableColumn id="6" xr3:uid="{FD6F6276-2291-F34C-A9CF-576342110F93}" uniqueName="6" name="SIM_DATE" queryTableFieldId="6" dataDxfId="20"/>
    <tableColumn id="7" xr3:uid="{73CA3C5E-81E6-C147-BBDE-7B1875242B64}" uniqueName="7" name="SIM_PERIOD" queryTableFieldId="7"/>
    <tableColumn id="8" xr3:uid="{9DC24F75-51C0-784C-AC52-8860E66662CC}" uniqueName="8" name="SIM_ELAPSED_STEPS" queryTableFieldId="8"/>
    <tableColumn id="9" xr3:uid="{7192F4C1-C8E0-8049-8277-E177917930BC}" uniqueName="9" name="GL_ACCOUNT_NUMBER" queryTableFieldId="9" dataDxfId="19"/>
    <tableColumn id="10" xr3:uid="{86583622-AA46-9247-B781-9F98214B401A}" uniqueName="10" name="GL_ACCOUNT_NAME" queryTableFieldId="10" dataDxfId="18"/>
    <tableColumn id="11" xr3:uid="{A793EB20-0F0D-AD4F-8A49-5FF4EDEA9BB0}" uniqueName="11" name="FS_LEVEL_1" queryTableFieldId="11" dataDxfId="17"/>
    <tableColumn id="12" xr3:uid="{DE7E64A7-019F-3F49-9474-1381145155BE}" uniqueName="12" name="FS_LEVEL_2" queryTableFieldId="12" dataDxfId="16"/>
    <tableColumn id="13" xr3:uid="{38D4098E-8731-ED46-B843-367FE6B23D5E}" uniqueName="13" name="FS_LEVEL_3" queryTableFieldId="13" dataDxfId="15"/>
    <tableColumn id="14" xr3:uid="{C27BF168-921F-8344-B617-CC04A154A53D}" uniqueName="14" name="FS_LEVEL_4" queryTableFieldId="14" dataDxfId="14"/>
    <tableColumn id="15" xr3:uid="{1268774D-5F03-5F4C-B6CB-4692B469E936}" uniqueName="15" name="DEBIT_CREDIT_INDICATOR" queryTableFieldId="15" dataDxfId="13"/>
    <tableColumn id="16" xr3:uid="{365AD999-C166-E74E-80B8-024508B9F445}" uniqueName="16" name="AMOUNT" queryTableFieldId="16"/>
    <tableColumn id="17" xr3:uid="{C05095B6-FC51-714A-A2DC-CA2AFD01E0F6}" uniqueName="17" name="CURRENCY" queryTableFieldId="17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323B14-ED57-9647-9DCB-EE15DBBDEDF7}" name="Current_Inventory_KPI" displayName="Current_Inventory_KPI" ref="A1:K25" tableType="queryTable" totalsRowShown="0">
  <autoFilter ref="A1:K25" xr:uid="{02323B14-ED57-9647-9DCB-EE15DBBDEDF7}"/>
  <tableColumns count="11">
    <tableColumn id="1" xr3:uid="{2D643841-25F6-D64A-B69D-1F27F77F0BAC}" uniqueName="1" name="ID" queryTableFieldId="1" dataDxfId="11"/>
    <tableColumn id="2" xr3:uid="{90AEF565-2F0E-0C47-9259-7598F31BA5FB}" uniqueName="2" name="ROW_ID" queryTableFieldId="2"/>
    <tableColumn id="3" xr3:uid="{6F1BD533-71C3-6842-980B-224B8C72FD45}" uniqueName="3" name="PLANT" queryTableFieldId="3" dataDxfId="10"/>
    <tableColumn id="4" xr3:uid="{9E6C604D-FFCF-334D-90D0-3FBCB9628050}" uniqueName="4" name="STORAGE_LOCATION" queryTableFieldId="4" dataDxfId="9"/>
    <tableColumn id="5" xr3:uid="{2A2AC6BE-1CEF-474F-B87D-A68DE0AD3152}" uniqueName="5" name="MATERIAL_NUMBER" queryTableFieldId="5" dataDxfId="8"/>
    <tableColumn id="6" xr3:uid="{74473AC6-3940-7A4C-BE49-0F539FFCA41A}" uniqueName="6" name="MATERIAL_DESCRIPTION" queryTableFieldId="6" dataDxfId="7"/>
    <tableColumn id="7" xr3:uid="{279BCDAA-390B-EF4E-81D8-03C573A1AA5F}" uniqueName="7" name="CURRENT_INVENTORY" queryTableFieldId="7"/>
    <tableColumn id="8" xr3:uid="{BBF9C2C1-1C8D-6E47-BAAA-6B01545D952B}" uniqueName="8" name="QUANTITY_SOLD" queryTableFieldId="8"/>
    <tableColumn id="9" xr3:uid="{652CF15E-7562-9949-9F65-18C2571A704F}" uniqueName="9" name="UNIT" queryTableFieldId="9" dataDxfId="6"/>
    <tableColumn id="10" xr3:uid="{030F2681-67A9-B142-A5C2-2009F95CD8F5}" uniqueName="10" name="NB_STEPS_AVAILABLE" queryTableFieldId="10"/>
    <tableColumn id="11" xr3:uid="{F6D2B6FA-1E7B-D849-AAB7-6694A7CFA27C}" uniqueName="11" name="SIM_ELAPSED_STEPS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7A2758-9529-6F4D-B2EC-853312492689}" name="Current_Inventory" displayName="Current_Inventory" ref="A1:I25" tableType="queryTable" totalsRowShown="0">
  <autoFilter ref="A1:I25" xr:uid="{EA7A2758-9529-6F4D-B2EC-853312492689}"/>
  <tableColumns count="9">
    <tableColumn id="1" xr3:uid="{B9465DF6-6758-DD44-905B-58B7FCCFAC28}" uniqueName="1" name="ID" queryTableFieldId="1" dataDxfId="5"/>
    <tableColumn id="2" xr3:uid="{7D823BD6-8100-3C40-A7D8-E929BB2A08B3}" uniqueName="2" name="ROW_ID" queryTableFieldId="2"/>
    <tableColumn id="3" xr3:uid="{4ED12FEF-D969-3C4D-8D9B-F6825CE444BE}" uniqueName="3" name="PLANT" queryTableFieldId="3" dataDxfId="4"/>
    <tableColumn id="4" xr3:uid="{8DC45327-F689-B842-942F-3FE19CB19B0B}" uniqueName="4" name="MATERIAL_NUMBER" queryTableFieldId="4" dataDxfId="3"/>
    <tableColumn id="5" xr3:uid="{D37A25B0-DA4D-7D4D-9C8F-785FA8318E5A}" uniqueName="5" name="MATERIAL_DESCRIPTION" queryTableFieldId="5" dataDxfId="2"/>
    <tableColumn id="6" xr3:uid="{8F322FFF-FDE7-734E-A64F-2FD952A9DE57}" uniqueName="6" name="STORAGE_LOCATION" queryTableFieldId="6" dataDxfId="1"/>
    <tableColumn id="7" xr3:uid="{8CBB581E-3776-4141-A908-2B4BDAD50AD8}" uniqueName="7" name="STOCK" queryTableFieldId="7"/>
    <tableColumn id="8" xr3:uid="{5F4BAAE2-5A05-8F44-9898-29FF96C500EF}" uniqueName="8" name="RESTRICTED" queryTableFieldId="8"/>
    <tableColumn id="9" xr3:uid="{B01C851B-DDA9-1A41-AE3E-7453ABD183F7}" uniqueName="9" name="UNI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F435-58B4-F44A-AFF1-70CC830DEF1B}">
  <dimension ref="A3:I32"/>
  <sheetViews>
    <sheetView tabSelected="1" topLeftCell="I22" workbookViewId="0">
      <selection activeCell="V55" sqref="V55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4" width="8.1640625" bestFit="1" customWidth="1"/>
    <col min="5" max="5" width="9.1640625" bestFit="1" customWidth="1"/>
    <col min="6" max="6" width="8.1640625" bestFit="1" customWidth="1"/>
    <col min="7" max="7" width="7" bestFit="1" customWidth="1"/>
    <col min="8" max="8" width="9.6640625" bestFit="1" customWidth="1"/>
    <col min="9" max="9" width="10.5" bestFit="1" customWidth="1"/>
    <col min="10" max="10" width="7.1640625" bestFit="1" customWidth="1"/>
    <col min="11" max="11" width="11.1640625" bestFit="1" customWidth="1"/>
    <col min="12" max="13" width="8.1640625" bestFit="1" customWidth="1"/>
    <col min="14" max="14" width="7.1640625" bestFit="1" customWidth="1"/>
    <col min="15" max="15" width="9" bestFit="1" customWidth="1"/>
    <col min="16" max="16" width="9.5" bestFit="1" customWidth="1"/>
    <col min="17" max="17" width="8.1640625" bestFit="1" customWidth="1"/>
    <col min="18" max="18" width="6.1640625" bestFit="1" customWidth="1"/>
    <col min="19" max="19" width="11.83203125" bestFit="1" customWidth="1"/>
    <col min="20" max="20" width="9" bestFit="1" customWidth="1"/>
    <col min="21" max="21" width="11.33203125" bestFit="1" customWidth="1"/>
    <col min="22" max="22" width="11.6640625" bestFit="1" customWidth="1"/>
    <col min="23" max="23" width="6.1640625" bestFit="1" customWidth="1"/>
    <col min="24" max="24" width="7.1640625" bestFit="1" customWidth="1"/>
    <col min="25" max="25" width="14" bestFit="1" customWidth="1"/>
    <col min="26" max="26" width="10.5" bestFit="1" customWidth="1"/>
    <col min="27" max="27" width="8.1640625" bestFit="1" customWidth="1"/>
    <col min="28" max="28" width="6.1640625" bestFit="1" customWidth="1"/>
    <col min="29" max="29" width="16.83203125" bestFit="1" customWidth="1"/>
    <col min="30" max="31" width="8.1640625" bestFit="1" customWidth="1"/>
    <col min="32" max="32" width="19.6640625" bestFit="1" customWidth="1"/>
    <col min="33" max="33" width="23.6640625" bestFit="1" customWidth="1"/>
    <col min="34" max="34" width="12.83203125" bestFit="1" customWidth="1"/>
    <col min="35" max="35" width="16.83203125" bestFit="1" customWidth="1"/>
    <col min="36" max="36" width="19.1640625" bestFit="1" customWidth="1"/>
    <col min="37" max="37" width="23.1640625" bestFit="1" customWidth="1"/>
    <col min="38" max="38" width="17.33203125" bestFit="1" customWidth="1"/>
    <col min="39" max="39" width="21.1640625" bestFit="1" customWidth="1"/>
    <col min="40" max="40" width="16.83203125" bestFit="1" customWidth="1"/>
    <col min="41" max="41" width="20.6640625" bestFit="1" customWidth="1"/>
    <col min="42" max="42" width="12.83203125" bestFit="1" customWidth="1"/>
    <col min="43" max="43" width="16.83203125" bestFit="1" customWidth="1"/>
    <col min="44" max="44" width="12.83203125" bestFit="1" customWidth="1"/>
    <col min="45" max="45" width="16.83203125" bestFit="1" customWidth="1"/>
    <col min="46" max="46" width="12.83203125" bestFit="1" customWidth="1"/>
    <col min="47" max="47" width="16.83203125" bestFit="1" customWidth="1"/>
    <col min="48" max="48" width="12.83203125" bestFit="1" customWidth="1"/>
    <col min="49" max="49" width="16.83203125" bestFit="1" customWidth="1"/>
    <col min="50" max="50" width="12.83203125" bestFit="1" customWidth="1"/>
    <col min="51" max="51" width="16.83203125" bestFit="1" customWidth="1"/>
    <col min="52" max="52" width="19.6640625" bestFit="1" customWidth="1"/>
    <col min="53" max="53" width="23.6640625" bestFit="1" customWidth="1"/>
    <col min="54" max="54" width="12.83203125" bestFit="1" customWidth="1"/>
    <col min="55" max="55" width="16.83203125" bestFit="1" customWidth="1"/>
    <col min="56" max="56" width="19.1640625" bestFit="1" customWidth="1"/>
    <col min="57" max="57" width="23.1640625" bestFit="1" customWidth="1"/>
    <col min="58" max="58" width="17.33203125" bestFit="1" customWidth="1"/>
    <col min="59" max="59" width="21.1640625" bestFit="1" customWidth="1"/>
  </cols>
  <sheetData>
    <row r="3" spans="1:9" x14ac:dyDescent="0.2">
      <c r="A3" s="11" t="s">
        <v>469</v>
      </c>
      <c r="B3" s="11" t="s">
        <v>96</v>
      </c>
    </row>
    <row r="4" spans="1:9" x14ac:dyDescent="0.2">
      <c r="A4" s="11" t="s">
        <v>93</v>
      </c>
      <c r="B4" t="s">
        <v>44</v>
      </c>
      <c r="C4" t="s">
        <v>41</v>
      </c>
      <c r="D4" t="s">
        <v>35</v>
      </c>
      <c r="E4" t="s">
        <v>30</v>
      </c>
      <c r="F4" t="s">
        <v>38</v>
      </c>
      <c r="G4" t="s">
        <v>94</v>
      </c>
      <c r="H4" t="s">
        <v>47</v>
      </c>
      <c r="I4" t="s">
        <v>95</v>
      </c>
    </row>
    <row r="5" spans="1:9" x14ac:dyDescent="0.2">
      <c r="A5" s="12" t="s">
        <v>208</v>
      </c>
      <c r="B5" s="1"/>
      <c r="C5" s="1">
        <v>239.25</v>
      </c>
      <c r="D5" s="1"/>
      <c r="E5" s="1">
        <v>882.65999999999985</v>
      </c>
      <c r="F5" s="1">
        <v>531.95999999999981</v>
      </c>
      <c r="G5" s="1"/>
      <c r="H5" s="1"/>
      <c r="I5" s="13">
        <v>1653.8699999999997</v>
      </c>
    </row>
    <row r="6" spans="1:9" x14ac:dyDescent="0.2">
      <c r="A6" s="12" t="s">
        <v>257</v>
      </c>
      <c r="B6" s="1"/>
      <c r="C6" s="1">
        <v>319.83000000000004</v>
      </c>
      <c r="D6" s="1"/>
      <c r="E6" s="1">
        <v>451.86999999999983</v>
      </c>
      <c r="F6" s="1">
        <v>701.35999999999967</v>
      </c>
      <c r="G6" s="1"/>
      <c r="H6" s="1"/>
      <c r="I6" s="13">
        <v>1473.0599999999995</v>
      </c>
    </row>
    <row r="7" spans="1:9" x14ac:dyDescent="0.2">
      <c r="A7" s="12" t="s">
        <v>297</v>
      </c>
      <c r="B7" s="1"/>
      <c r="C7" s="1">
        <v>250.57999999999993</v>
      </c>
      <c r="D7" s="1">
        <v>247</v>
      </c>
      <c r="E7" s="1">
        <v>309.42000000000007</v>
      </c>
      <c r="F7" s="1">
        <v>1047.2000000000003</v>
      </c>
      <c r="G7" s="1"/>
      <c r="H7" s="1"/>
      <c r="I7" s="13">
        <v>1854.2000000000003</v>
      </c>
    </row>
    <row r="8" spans="1:9" x14ac:dyDescent="0.2">
      <c r="A8" s="12" t="s">
        <v>327</v>
      </c>
      <c r="B8" s="1"/>
      <c r="C8" s="1">
        <v>530.63999999999987</v>
      </c>
      <c r="D8" s="1"/>
      <c r="E8" s="1">
        <v>1352.2799999999997</v>
      </c>
      <c r="F8" s="1">
        <v>677.59999999999991</v>
      </c>
      <c r="G8" s="1"/>
      <c r="H8" s="1"/>
      <c r="I8" s="13">
        <v>2560.5199999999995</v>
      </c>
    </row>
    <row r="9" spans="1:9" x14ac:dyDescent="0.2">
      <c r="A9" s="12" t="s">
        <v>358</v>
      </c>
      <c r="B9" s="1">
        <v>582.53999999999974</v>
      </c>
      <c r="C9" s="1">
        <v>339.01999999999975</v>
      </c>
      <c r="D9" s="1"/>
      <c r="E9" s="1">
        <v>309.42000000000007</v>
      </c>
      <c r="F9" s="1">
        <v>1285.9000000000001</v>
      </c>
      <c r="G9" s="1"/>
      <c r="H9" s="1"/>
      <c r="I9" s="13">
        <v>2516.8799999999997</v>
      </c>
    </row>
    <row r="10" spans="1:9" x14ac:dyDescent="0.2">
      <c r="A10" s="12" t="s">
        <v>388</v>
      </c>
      <c r="B10" s="1">
        <v>61.32000000000005</v>
      </c>
      <c r="C10" s="1"/>
      <c r="D10" s="1">
        <v>234.65000000000009</v>
      </c>
      <c r="E10" s="1"/>
      <c r="F10" s="1"/>
      <c r="G10" s="1"/>
      <c r="H10" s="1"/>
      <c r="I10" s="13">
        <v>295.97000000000014</v>
      </c>
    </row>
    <row r="11" spans="1:9" x14ac:dyDescent="0.2">
      <c r="A11" s="12" t="s">
        <v>414</v>
      </c>
      <c r="B11" s="1">
        <v>171.60000000000014</v>
      </c>
      <c r="C11" s="1"/>
      <c r="D11" s="1"/>
      <c r="E11" s="1">
        <v>1432.5</v>
      </c>
      <c r="F11" s="1"/>
      <c r="G11" s="1"/>
      <c r="H11" s="1"/>
      <c r="I11" s="13">
        <v>1604.1000000000001</v>
      </c>
    </row>
    <row r="12" spans="1:9" x14ac:dyDescent="0.2">
      <c r="A12" s="12" t="s">
        <v>94</v>
      </c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2" t="s">
        <v>444</v>
      </c>
      <c r="B13" s="1">
        <v>23.069999999999993</v>
      </c>
      <c r="C13" s="1"/>
      <c r="D13" s="1">
        <v>416.35000000000014</v>
      </c>
      <c r="E13" s="1"/>
      <c r="F13" s="1">
        <v>646.8499999999998</v>
      </c>
      <c r="G13" s="1"/>
      <c r="H13" s="1"/>
      <c r="I13" s="1">
        <v>1086.27</v>
      </c>
    </row>
    <row r="14" spans="1:9" x14ac:dyDescent="0.2">
      <c r="A14" s="12" t="s">
        <v>473</v>
      </c>
      <c r="B14" s="1">
        <v>453.71000000000004</v>
      </c>
      <c r="C14" s="1"/>
      <c r="D14" s="1"/>
      <c r="E14" s="1">
        <v>1840.0000000000002</v>
      </c>
      <c r="F14" s="1">
        <v>966.47000000000025</v>
      </c>
      <c r="G14" s="1"/>
      <c r="H14" s="1"/>
      <c r="I14" s="1">
        <v>3260.1800000000003</v>
      </c>
    </row>
    <row r="15" spans="1:9" x14ac:dyDescent="0.2">
      <c r="A15" s="12" t="s">
        <v>478</v>
      </c>
      <c r="B15" s="1">
        <v>545.9899999999999</v>
      </c>
      <c r="C15" s="1">
        <v>403.57999999999993</v>
      </c>
      <c r="D15" s="1">
        <v>219.52999999999975</v>
      </c>
      <c r="E15" s="1">
        <v>103.49999999999994</v>
      </c>
      <c r="F15" s="1">
        <v>859.93000000000006</v>
      </c>
      <c r="G15" s="1"/>
      <c r="H15" s="1"/>
      <c r="I15" s="1">
        <v>2132.5299999999997</v>
      </c>
    </row>
    <row r="16" spans="1:9" x14ac:dyDescent="0.2">
      <c r="A16" s="12" t="s">
        <v>485</v>
      </c>
      <c r="B16" s="1">
        <v>276.84000000000015</v>
      </c>
      <c r="C16" s="1">
        <v>1103.9099999999996</v>
      </c>
      <c r="D16" s="1"/>
      <c r="E16" s="1">
        <v>368</v>
      </c>
      <c r="F16" s="1">
        <v>859.93000000000006</v>
      </c>
      <c r="G16" s="1"/>
      <c r="H16" s="1"/>
      <c r="I16" s="1">
        <v>2608.6799999999998</v>
      </c>
    </row>
    <row r="17" spans="1:9" x14ac:dyDescent="0.2">
      <c r="A17" s="12" t="s">
        <v>564</v>
      </c>
      <c r="B17" s="1">
        <v>231.87999999999988</v>
      </c>
      <c r="C17" s="1"/>
      <c r="D17" s="1">
        <v>141.17000000000007</v>
      </c>
      <c r="E17" s="1">
        <v>903.24000000000012</v>
      </c>
      <c r="F17" s="1">
        <v>820.79999999999984</v>
      </c>
      <c r="G17" s="1"/>
      <c r="H17" s="1">
        <v>653.10000000000014</v>
      </c>
      <c r="I17" s="1">
        <v>2750.1899999999996</v>
      </c>
    </row>
    <row r="18" spans="1:9" x14ac:dyDescent="0.2">
      <c r="A18" s="12" t="s">
        <v>594</v>
      </c>
      <c r="B18" s="1">
        <v>209.43999999999983</v>
      </c>
      <c r="C18" s="1">
        <v>272.54999999999973</v>
      </c>
      <c r="D18" s="1"/>
      <c r="E18" s="1"/>
      <c r="F18" s="1">
        <v>516.80000000000018</v>
      </c>
      <c r="G18" s="1"/>
      <c r="H18" s="1">
        <v>205.26</v>
      </c>
      <c r="I18" s="1">
        <v>1204.0499999999997</v>
      </c>
    </row>
    <row r="19" spans="1:9" x14ac:dyDescent="0.2">
      <c r="A19" s="12" t="s">
        <v>621</v>
      </c>
      <c r="B19" s="1">
        <v>209.43999999999983</v>
      </c>
      <c r="C19" s="1">
        <v>284.39999999999986</v>
      </c>
      <c r="D19" s="1">
        <v>133.74</v>
      </c>
      <c r="E19" s="1">
        <v>1059.57</v>
      </c>
      <c r="F19" s="1">
        <v>1117.2000000000003</v>
      </c>
      <c r="G19" s="1"/>
      <c r="H19" s="1">
        <v>255.01999999999998</v>
      </c>
      <c r="I19" s="1">
        <v>3059.37</v>
      </c>
    </row>
    <row r="20" spans="1:9" x14ac:dyDescent="0.2">
      <c r="A20" s="12" t="s">
        <v>651</v>
      </c>
      <c r="B20" s="1">
        <v>261.80000000000018</v>
      </c>
      <c r="C20" s="1">
        <v>296.25</v>
      </c>
      <c r="D20" s="1">
        <v>185.75</v>
      </c>
      <c r="E20" s="1">
        <v>75.270000000000039</v>
      </c>
      <c r="F20" s="1">
        <v>934.79999999999984</v>
      </c>
      <c r="G20" s="1"/>
      <c r="H20" s="1">
        <v>118.17999999999995</v>
      </c>
      <c r="I20" s="1">
        <v>1872.0499999999997</v>
      </c>
    </row>
    <row r="21" spans="1:9" x14ac:dyDescent="0.2">
      <c r="A21" s="12" t="s">
        <v>682</v>
      </c>
      <c r="B21" s="1"/>
      <c r="C21" s="1"/>
      <c r="D21" s="1"/>
      <c r="E21" s="1">
        <v>289.5</v>
      </c>
      <c r="F21" s="1">
        <v>205.19999999999993</v>
      </c>
      <c r="G21" s="1"/>
      <c r="H21" s="1"/>
      <c r="I21" s="1">
        <v>494.69999999999993</v>
      </c>
    </row>
    <row r="22" spans="1:9" x14ac:dyDescent="0.2">
      <c r="A22" s="12" t="s">
        <v>709</v>
      </c>
      <c r="B22" s="1">
        <v>246.83999999999992</v>
      </c>
      <c r="C22" s="1">
        <v>272.54999999999973</v>
      </c>
      <c r="D22" s="1"/>
      <c r="E22" s="1"/>
      <c r="F22" s="1"/>
      <c r="G22" s="1"/>
      <c r="H22" s="1"/>
      <c r="I22" s="1">
        <v>519.38999999999965</v>
      </c>
    </row>
    <row r="23" spans="1:9" x14ac:dyDescent="0.2">
      <c r="A23" s="12" t="s">
        <v>736</v>
      </c>
      <c r="B23" s="1">
        <v>225.29999999999973</v>
      </c>
      <c r="C23" s="1"/>
      <c r="D23" s="1">
        <v>155.81999999999982</v>
      </c>
      <c r="E23" s="1">
        <v>5.8800000000000026</v>
      </c>
      <c r="F23" s="1">
        <v>358.39999999999986</v>
      </c>
      <c r="G23" s="1"/>
      <c r="H23" s="1"/>
      <c r="I23" s="1">
        <v>745.39999999999941</v>
      </c>
    </row>
    <row r="24" spans="1:9" x14ac:dyDescent="0.2">
      <c r="A24" s="12" t="s">
        <v>764</v>
      </c>
      <c r="B24" s="1"/>
      <c r="C24" s="1"/>
      <c r="D24" s="1"/>
      <c r="E24" s="1">
        <v>870.23999999999978</v>
      </c>
      <c r="F24" s="1">
        <v>761.59999999999968</v>
      </c>
      <c r="G24" s="1"/>
      <c r="H24" s="1">
        <v>370.80000000000007</v>
      </c>
      <c r="I24" s="1">
        <v>2002.6399999999994</v>
      </c>
    </row>
    <row r="25" spans="1:9" x14ac:dyDescent="0.2">
      <c r="A25" s="12" t="s">
        <v>791</v>
      </c>
      <c r="B25" s="1">
        <v>533.21</v>
      </c>
      <c r="C25" s="1">
        <v>531.08000000000038</v>
      </c>
      <c r="D25" s="1"/>
      <c r="E25" s="1">
        <v>864.36</v>
      </c>
      <c r="F25" s="1">
        <v>665.60000000000014</v>
      </c>
      <c r="G25" s="1"/>
      <c r="H25" s="1">
        <v>216.29999999999995</v>
      </c>
      <c r="I25" s="1">
        <v>2810.5500000000011</v>
      </c>
    </row>
    <row r="26" spans="1:9" x14ac:dyDescent="0.2">
      <c r="A26" s="12" t="s">
        <v>822</v>
      </c>
      <c r="B26" s="1">
        <v>443.09000000000003</v>
      </c>
      <c r="C26" s="1"/>
      <c r="D26" s="1">
        <v>215.17999999999984</v>
      </c>
      <c r="E26" s="1">
        <v>64.680000000000007</v>
      </c>
      <c r="F26" s="1"/>
      <c r="G26" s="1"/>
      <c r="H26" s="1">
        <v>271.91999999999996</v>
      </c>
      <c r="I26" s="1">
        <v>994.86999999999978</v>
      </c>
    </row>
    <row r="27" spans="1:9" x14ac:dyDescent="0.2">
      <c r="A27" s="12" t="s">
        <v>851</v>
      </c>
      <c r="B27" s="1"/>
      <c r="C27" s="1"/>
      <c r="D27" s="1"/>
      <c r="E27" s="1">
        <v>570.3599999999999</v>
      </c>
      <c r="F27" s="1">
        <v>332.79999999999995</v>
      </c>
      <c r="G27" s="1"/>
      <c r="H27" s="1">
        <v>284.27999999999997</v>
      </c>
      <c r="I27" s="1">
        <v>1187.4399999999998</v>
      </c>
    </row>
    <row r="28" spans="1:9" x14ac:dyDescent="0.2">
      <c r="A28" s="12" t="s">
        <v>879</v>
      </c>
      <c r="B28" s="1">
        <v>413.28</v>
      </c>
      <c r="C28" s="1"/>
      <c r="D28" s="1">
        <v>155.81999999999994</v>
      </c>
      <c r="E28" s="1">
        <v>826.25999999999976</v>
      </c>
      <c r="F28" s="1">
        <v>1035.0499999999997</v>
      </c>
      <c r="G28" s="1"/>
      <c r="H28" s="1"/>
      <c r="I28" s="1">
        <v>2430.4099999999994</v>
      </c>
    </row>
    <row r="29" spans="1:9" x14ac:dyDescent="0.2">
      <c r="A29" s="12" t="s">
        <v>907</v>
      </c>
      <c r="B29" s="1">
        <v>103.31999999999994</v>
      </c>
      <c r="C29" s="1"/>
      <c r="D29" s="1">
        <v>215.17999999999984</v>
      </c>
      <c r="E29" s="1">
        <v>1101.6799999999996</v>
      </c>
      <c r="F29" s="1">
        <v>419.09999999999991</v>
      </c>
      <c r="G29" s="1"/>
      <c r="H29" s="1">
        <v>238.79999999999995</v>
      </c>
      <c r="I29" s="1">
        <v>2078.079999999999</v>
      </c>
    </row>
    <row r="30" spans="1:9" x14ac:dyDescent="0.2">
      <c r="A30" s="12" t="s">
        <v>936</v>
      </c>
      <c r="B30" s="1">
        <v>627.29999999999995</v>
      </c>
      <c r="C30" s="1">
        <v>482.80000000000018</v>
      </c>
      <c r="D30" s="1"/>
      <c r="E30" s="1">
        <v>668.04000000000008</v>
      </c>
      <c r="F30" s="1">
        <v>1009.6500000000001</v>
      </c>
      <c r="G30" s="1"/>
      <c r="H30" s="1"/>
      <c r="I30" s="1">
        <v>2787.7900000000004</v>
      </c>
    </row>
    <row r="31" spans="1:9" x14ac:dyDescent="0.2">
      <c r="A31" s="12" t="s">
        <v>964</v>
      </c>
      <c r="B31" s="1">
        <v>103.31999999999994</v>
      </c>
      <c r="C31" s="1">
        <v>217.26</v>
      </c>
      <c r="D31" s="1">
        <v>170.66000000000008</v>
      </c>
      <c r="E31" s="1">
        <v>826.26000000000022</v>
      </c>
      <c r="F31" s="1">
        <v>330.20000000000005</v>
      </c>
      <c r="G31" s="1"/>
      <c r="H31" s="1">
        <v>423.86999999999989</v>
      </c>
      <c r="I31" s="1">
        <v>2071.5700000000002</v>
      </c>
    </row>
    <row r="32" spans="1:9" x14ac:dyDescent="0.2">
      <c r="A32" s="12" t="s">
        <v>95</v>
      </c>
      <c r="B32" s="1">
        <v>5723.2899999999981</v>
      </c>
      <c r="C32" s="1">
        <v>5543.7</v>
      </c>
      <c r="D32" s="1">
        <v>2490.8499999999995</v>
      </c>
      <c r="E32" s="1">
        <v>15174.990000000002</v>
      </c>
      <c r="F32" s="1">
        <v>16084.4</v>
      </c>
      <c r="G32" s="1"/>
      <c r="H32" s="1">
        <v>3037.5299999999997</v>
      </c>
      <c r="I32" s="1">
        <v>48054.759999999995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486D-752E-8849-8DBB-72F5F69678F4}">
  <dimension ref="A3:AA33"/>
  <sheetViews>
    <sheetView topLeftCell="I1" workbookViewId="0">
      <selection activeCell="H31" sqref="H31"/>
    </sheetView>
  </sheetViews>
  <sheetFormatPr baseColWidth="10" defaultRowHeight="16" x14ac:dyDescent="0.2"/>
  <cols>
    <col min="1" max="1" width="16.83203125" bestFit="1" customWidth="1"/>
    <col min="2" max="2" width="16" bestFit="1" customWidth="1"/>
    <col min="3" max="3" width="9.1640625" bestFit="1" customWidth="1"/>
    <col min="4" max="4" width="7.1640625" bestFit="1" customWidth="1"/>
    <col min="5" max="5" width="10.6640625" bestFit="1" customWidth="1"/>
    <col min="6" max="6" width="9.5" bestFit="1" customWidth="1"/>
    <col min="7" max="7" width="8.1640625" bestFit="1" customWidth="1"/>
    <col min="8" max="8" width="9.1640625" bestFit="1" customWidth="1"/>
    <col min="9" max="9" width="11.83203125" bestFit="1" customWidth="1"/>
    <col min="10" max="11" width="9.1640625" bestFit="1" customWidth="1"/>
    <col min="12" max="12" width="11.1640625" bestFit="1" customWidth="1"/>
    <col min="13" max="15" width="8.1640625" bestFit="1" customWidth="1"/>
    <col min="16" max="16" width="9" bestFit="1" customWidth="1"/>
    <col min="17" max="17" width="9.5" bestFit="1" customWidth="1"/>
    <col min="18" max="18" width="9.1640625" bestFit="1" customWidth="1"/>
    <col min="19" max="19" width="8.1640625" bestFit="1" customWidth="1"/>
    <col min="20" max="20" width="11.83203125" bestFit="1" customWidth="1"/>
    <col min="21" max="21" width="9" bestFit="1" customWidth="1"/>
    <col min="22" max="22" width="11.33203125" bestFit="1" customWidth="1"/>
    <col min="23" max="23" width="11.6640625" bestFit="1" customWidth="1"/>
    <col min="24" max="25" width="5.1640625" bestFit="1" customWidth="1"/>
    <col min="26" max="26" width="14" bestFit="1" customWidth="1"/>
    <col min="27" max="27" width="10.5" bestFit="1" customWidth="1"/>
  </cols>
  <sheetData>
    <row r="3" spans="1:27" x14ac:dyDescent="0.2">
      <c r="A3" s="11" t="s">
        <v>438</v>
      </c>
      <c r="B3" s="11" t="s">
        <v>96</v>
      </c>
    </row>
    <row r="4" spans="1:27" x14ac:dyDescent="0.2">
      <c r="B4" t="s">
        <v>44</v>
      </c>
      <c r="E4" t="s">
        <v>109</v>
      </c>
      <c r="F4" t="s">
        <v>41</v>
      </c>
      <c r="I4" t="s">
        <v>108</v>
      </c>
      <c r="J4" t="s">
        <v>35</v>
      </c>
      <c r="L4" t="s">
        <v>106</v>
      </c>
      <c r="M4" t="s">
        <v>30</v>
      </c>
      <c r="P4" t="s">
        <v>105</v>
      </c>
      <c r="Q4" t="s">
        <v>38</v>
      </c>
      <c r="T4" t="s">
        <v>107</v>
      </c>
      <c r="U4" t="s">
        <v>94</v>
      </c>
      <c r="V4" t="s">
        <v>103</v>
      </c>
      <c r="W4" t="s">
        <v>47</v>
      </c>
      <c r="Z4" t="s">
        <v>110</v>
      </c>
      <c r="AA4" t="s">
        <v>95</v>
      </c>
    </row>
    <row r="5" spans="1:27" x14ac:dyDescent="0.2">
      <c r="A5" s="11" t="s">
        <v>93</v>
      </c>
      <c r="B5" t="s">
        <v>49</v>
      </c>
      <c r="C5" t="s">
        <v>56</v>
      </c>
      <c r="D5" t="s">
        <v>63</v>
      </c>
      <c r="F5" t="s">
        <v>49</v>
      </c>
      <c r="G5" t="s">
        <v>56</v>
      </c>
      <c r="H5" t="s">
        <v>63</v>
      </c>
      <c r="J5" t="s">
        <v>49</v>
      </c>
      <c r="K5" t="s">
        <v>56</v>
      </c>
      <c r="M5" t="s">
        <v>49</v>
      </c>
      <c r="N5" t="s">
        <v>56</v>
      </c>
      <c r="O5" t="s">
        <v>63</v>
      </c>
      <c r="Q5" t="s">
        <v>49</v>
      </c>
      <c r="R5" t="s">
        <v>56</v>
      </c>
      <c r="S5" t="s">
        <v>63</v>
      </c>
      <c r="U5" t="s">
        <v>94</v>
      </c>
      <c r="W5" t="s">
        <v>49</v>
      </c>
      <c r="X5" t="s">
        <v>56</v>
      </c>
      <c r="Y5" t="s">
        <v>63</v>
      </c>
    </row>
    <row r="6" spans="1:27" x14ac:dyDescent="0.2">
      <c r="A6" s="12" t="s">
        <v>208</v>
      </c>
      <c r="B6" s="1"/>
      <c r="C6" s="1"/>
      <c r="D6" s="1"/>
      <c r="E6" s="1"/>
      <c r="F6" s="1"/>
      <c r="G6" s="1"/>
      <c r="H6" s="1">
        <v>1486.95</v>
      </c>
      <c r="I6" s="1">
        <v>1486.95</v>
      </c>
      <c r="J6" s="1"/>
      <c r="K6" s="1"/>
      <c r="L6" s="1"/>
      <c r="M6" s="1">
        <v>2377.35</v>
      </c>
      <c r="N6" s="1">
        <v>1761</v>
      </c>
      <c r="O6" s="1"/>
      <c r="P6" s="1">
        <v>4138.3500000000004</v>
      </c>
      <c r="Q6" s="1"/>
      <c r="R6" s="1">
        <v>2248.62</v>
      </c>
      <c r="S6" s="1"/>
      <c r="T6" s="1">
        <v>2248.62</v>
      </c>
      <c r="U6" s="1"/>
      <c r="V6" s="1"/>
      <c r="W6" s="1"/>
      <c r="X6" s="1"/>
      <c r="Y6" s="1"/>
      <c r="Z6" s="1"/>
      <c r="AA6" s="1">
        <v>7873.92</v>
      </c>
    </row>
    <row r="7" spans="1:27" x14ac:dyDescent="0.2">
      <c r="A7" s="12" t="s">
        <v>257</v>
      </c>
      <c r="B7" s="1"/>
      <c r="C7" s="1"/>
      <c r="D7" s="1"/>
      <c r="E7" s="1"/>
      <c r="F7" s="1"/>
      <c r="G7" s="1">
        <v>1486.95</v>
      </c>
      <c r="H7" s="1">
        <v>594.78</v>
      </c>
      <c r="I7" s="1">
        <v>2081.73</v>
      </c>
      <c r="J7" s="1"/>
      <c r="K7" s="1"/>
      <c r="L7" s="1"/>
      <c r="M7" s="1">
        <v>2142.5499999999997</v>
      </c>
      <c r="N7" s="1"/>
      <c r="O7" s="1"/>
      <c r="P7" s="1">
        <v>2142.5499999999997</v>
      </c>
      <c r="Q7" s="1">
        <v>1499.08</v>
      </c>
      <c r="R7" s="1">
        <v>1499.08</v>
      </c>
      <c r="S7" s="1"/>
      <c r="T7" s="1">
        <v>2998.16</v>
      </c>
      <c r="U7" s="1"/>
      <c r="V7" s="1"/>
      <c r="W7" s="1"/>
      <c r="X7" s="1"/>
      <c r="Y7" s="1"/>
      <c r="Z7" s="1"/>
      <c r="AA7" s="1">
        <v>7222.44</v>
      </c>
    </row>
    <row r="8" spans="1:27" x14ac:dyDescent="0.2">
      <c r="A8" s="12" t="s">
        <v>297</v>
      </c>
      <c r="B8" s="1"/>
      <c r="C8" s="1"/>
      <c r="D8" s="1"/>
      <c r="E8" s="1"/>
      <c r="F8" s="1"/>
      <c r="G8" s="1"/>
      <c r="H8" s="1">
        <v>1685.21</v>
      </c>
      <c r="I8" s="1">
        <v>1685.21</v>
      </c>
      <c r="J8" s="1">
        <v>1707.6</v>
      </c>
      <c r="K8" s="1"/>
      <c r="L8" s="1">
        <v>1707.6</v>
      </c>
      <c r="M8" s="1">
        <v>1584.9</v>
      </c>
      <c r="N8" s="1"/>
      <c r="O8" s="1"/>
      <c r="P8" s="1">
        <v>1584.9</v>
      </c>
      <c r="Q8" s="1">
        <v>2418.9699999999998</v>
      </c>
      <c r="R8" s="1">
        <v>2214.5500000000002</v>
      </c>
      <c r="S8" s="1"/>
      <c r="T8" s="1">
        <v>4633.5200000000004</v>
      </c>
      <c r="U8" s="1"/>
      <c r="V8" s="1"/>
      <c r="W8" s="1"/>
      <c r="X8" s="1"/>
      <c r="Y8" s="1"/>
      <c r="Z8" s="1"/>
      <c r="AA8" s="1">
        <v>9611.23</v>
      </c>
    </row>
    <row r="9" spans="1:27" x14ac:dyDescent="0.2">
      <c r="A9" s="12" t="s">
        <v>327</v>
      </c>
      <c r="B9" s="1"/>
      <c r="C9" s="1"/>
      <c r="D9" s="1"/>
      <c r="E9" s="1"/>
      <c r="F9" s="1"/>
      <c r="G9" s="1"/>
      <c r="H9" s="1">
        <v>3568.6800000000003</v>
      </c>
      <c r="I9" s="1">
        <v>3568.6800000000003</v>
      </c>
      <c r="J9" s="1"/>
      <c r="K9" s="1"/>
      <c r="L9" s="1"/>
      <c r="M9" s="1">
        <v>5165.6000000000004</v>
      </c>
      <c r="N9" s="1">
        <v>1761</v>
      </c>
      <c r="O9" s="1"/>
      <c r="P9" s="1">
        <v>6926.6</v>
      </c>
      <c r="Q9" s="1">
        <v>1499.08</v>
      </c>
      <c r="R9" s="1"/>
      <c r="S9" s="1">
        <v>1499.08</v>
      </c>
      <c r="T9" s="1">
        <v>2998.16</v>
      </c>
      <c r="U9" s="1"/>
      <c r="V9" s="1"/>
      <c r="W9" s="1"/>
      <c r="X9" s="1"/>
      <c r="Y9" s="1"/>
      <c r="Z9" s="1"/>
      <c r="AA9" s="1">
        <v>13493.44</v>
      </c>
    </row>
    <row r="10" spans="1:27" x14ac:dyDescent="0.2">
      <c r="A10" s="12" t="s">
        <v>358</v>
      </c>
      <c r="B10" s="1">
        <v>1842.36</v>
      </c>
      <c r="C10" s="1">
        <v>2196.66</v>
      </c>
      <c r="D10" s="1"/>
      <c r="E10" s="1">
        <v>4039.0199999999995</v>
      </c>
      <c r="F10" s="1"/>
      <c r="G10" s="1"/>
      <c r="H10" s="1">
        <v>2279.9899999999998</v>
      </c>
      <c r="I10" s="1">
        <v>2279.9899999999998</v>
      </c>
      <c r="J10" s="1"/>
      <c r="K10" s="1"/>
      <c r="L10" s="1"/>
      <c r="M10" s="1">
        <v>1584.9</v>
      </c>
      <c r="N10" s="1"/>
      <c r="O10" s="1"/>
      <c r="P10" s="1">
        <v>1584.9</v>
      </c>
      <c r="Q10" s="1">
        <v>1941.99</v>
      </c>
      <c r="R10" s="1">
        <v>3747.7</v>
      </c>
      <c r="S10" s="1"/>
      <c r="T10" s="1">
        <v>5689.69</v>
      </c>
      <c r="U10" s="1"/>
      <c r="V10" s="1"/>
      <c r="W10" s="1"/>
      <c r="X10" s="1"/>
      <c r="Y10" s="1"/>
      <c r="Z10" s="1"/>
      <c r="AA10" s="1">
        <v>13593.599999999999</v>
      </c>
    </row>
    <row r="11" spans="1:27" x14ac:dyDescent="0.2">
      <c r="A11" s="12" t="s">
        <v>388</v>
      </c>
      <c r="B11" s="1">
        <v>425.16</v>
      </c>
      <c r="C11" s="1"/>
      <c r="D11" s="1"/>
      <c r="E11" s="1">
        <v>425.16</v>
      </c>
      <c r="F11" s="1"/>
      <c r="G11" s="1"/>
      <c r="H11" s="1"/>
      <c r="I11" s="1"/>
      <c r="J11" s="1">
        <v>1622.22</v>
      </c>
      <c r="K11" s="1"/>
      <c r="L11" s="1">
        <v>1622.22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>
        <v>2047.38</v>
      </c>
    </row>
    <row r="12" spans="1:27" x14ac:dyDescent="0.2">
      <c r="A12" s="12" t="s">
        <v>94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2" t="s">
        <v>414</v>
      </c>
      <c r="B13" s="1">
        <v>1505.68</v>
      </c>
      <c r="C13" s="1"/>
      <c r="D13" s="1"/>
      <c r="E13" s="1">
        <v>1505.68</v>
      </c>
      <c r="F13" s="1"/>
      <c r="G13" s="1"/>
      <c r="H13" s="1"/>
      <c r="I13" s="1"/>
      <c r="J13" s="1"/>
      <c r="K13" s="1"/>
      <c r="L13" s="1"/>
      <c r="M13" s="1">
        <v>4167.7</v>
      </c>
      <c r="N13" s="1">
        <v>1672.95</v>
      </c>
      <c r="O13" s="1">
        <v>1496.85</v>
      </c>
      <c r="P13" s="1">
        <v>7337.5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>
        <v>8843.18</v>
      </c>
    </row>
    <row r="14" spans="1:27" x14ac:dyDescent="0.2">
      <c r="A14" s="12" t="s">
        <v>444</v>
      </c>
      <c r="B14" s="1">
        <v>205.32</v>
      </c>
      <c r="C14" s="1"/>
      <c r="D14" s="1"/>
      <c r="E14" s="1">
        <v>205.32</v>
      </c>
      <c r="F14" s="1"/>
      <c r="G14" s="1"/>
      <c r="H14" s="1"/>
      <c r="I14" s="1"/>
      <c r="J14" s="1"/>
      <c r="K14" s="1">
        <v>4437.3999999999996</v>
      </c>
      <c r="L14" s="1">
        <v>4437.3999999999996</v>
      </c>
      <c r="M14" s="1"/>
      <c r="N14" s="1"/>
      <c r="O14" s="1"/>
      <c r="P14" s="1"/>
      <c r="Q14" s="1"/>
      <c r="R14" s="1">
        <v>2895.95</v>
      </c>
      <c r="S14" s="1"/>
      <c r="T14" s="1">
        <v>2895.95</v>
      </c>
      <c r="U14" s="1"/>
      <c r="V14" s="1"/>
      <c r="W14" s="1"/>
      <c r="X14" s="1"/>
      <c r="Y14" s="1"/>
      <c r="Z14" s="1"/>
      <c r="AA14" s="1">
        <v>7538.6699999999992</v>
      </c>
    </row>
    <row r="15" spans="1:27" x14ac:dyDescent="0.2">
      <c r="A15" s="12" t="s">
        <v>473</v>
      </c>
      <c r="B15" s="1">
        <v>1574.12</v>
      </c>
      <c r="C15" s="1">
        <v>2463.84</v>
      </c>
      <c r="D15" s="1"/>
      <c r="E15" s="1">
        <v>4037.96</v>
      </c>
      <c r="F15" s="1"/>
      <c r="G15" s="1"/>
      <c r="H15" s="1"/>
      <c r="I15" s="1"/>
      <c r="J15" s="1"/>
      <c r="K15" s="1"/>
      <c r="L15" s="1"/>
      <c r="M15" s="1">
        <v>5928.7</v>
      </c>
      <c r="N15" s="1">
        <v>1995.8</v>
      </c>
      <c r="O15" s="1">
        <v>1467.5</v>
      </c>
      <c r="P15" s="1">
        <v>9392</v>
      </c>
      <c r="Q15" s="1">
        <v>2112.34</v>
      </c>
      <c r="R15" s="1">
        <v>2214.5500000000002</v>
      </c>
      <c r="S15" s="1"/>
      <c r="T15" s="1">
        <v>4326.8900000000003</v>
      </c>
      <c r="U15" s="1"/>
      <c r="V15" s="1"/>
      <c r="W15" s="1"/>
      <c r="X15" s="1"/>
      <c r="Y15" s="1"/>
      <c r="Z15" s="1"/>
      <c r="AA15" s="1">
        <v>17756.849999999999</v>
      </c>
    </row>
    <row r="16" spans="1:27" x14ac:dyDescent="0.2">
      <c r="A16" s="12" t="s">
        <v>478</v>
      </c>
      <c r="B16" s="1">
        <v>2532.2799999999997</v>
      </c>
      <c r="C16" s="1">
        <v>2326.96</v>
      </c>
      <c r="D16" s="1"/>
      <c r="E16" s="1">
        <v>4859.24</v>
      </c>
      <c r="F16" s="1"/>
      <c r="G16" s="1"/>
      <c r="H16" s="1">
        <v>3277.6</v>
      </c>
      <c r="I16" s="1">
        <v>3277.6</v>
      </c>
      <c r="J16" s="1">
        <v>2339.7199999999998</v>
      </c>
      <c r="K16" s="1"/>
      <c r="L16" s="1">
        <v>2339.7199999999998</v>
      </c>
      <c r="M16" s="1">
        <v>528.29999999999995</v>
      </c>
      <c r="N16" s="1"/>
      <c r="O16" s="1"/>
      <c r="P16" s="1">
        <v>528.29999999999995</v>
      </c>
      <c r="Q16" s="1">
        <v>1737.57</v>
      </c>
      <c r="R16" s="1">
        <v>2112.34</v>
      </c>
      <c r="S16" s="1"/>
      <c r="T16" s="1">
        <v>3849.91</v>
      </c>
      <c r="U16" s="1"/>
      <c r="V16" s="1"/>
      <c r="W16" s="1"/>
      <c r="X16" s="1"/>
      <c r="Y16" s="1"/>
      <c r="Z16" s="1"/>
      <c r="AA16" s="1">
        <v>14854.769999999999</v>
      </c>
    </row>
    <row r="17" spans="1:27" x14ac:dyDescent="0.2">
      <c r="A17" s="12" t="s">
        <v>485</v>
      </c>
      <c r="B17" s="1"/>
      <c r="C17" s="1">
        <v>2463.84</v>
      </c>
      <c r="D17" s="1"/>
      <c r="E17" s="1">
        <v>2463.84</v>
      </c>
      <c r="F17" s="1">
        <v>2024.4</v>
      </c>
      <c r="G17" s="1">
        <v>2217.1999999999998</v>
      </c>
      <c r="H17" s="1">
        <v>4723.6000000000004</v>
      </c>
      <c r="I17" s="1">
        <v>8965.2000000000007</v>
      </c>
      <c r="J17" s="1"/>
      <c r="K17" s="1"/>
      <c r="L17" s="1"/>
      <c r="M17" s="1">
        <v>1878.4</v>
      </c>
      <c r="N17" s="1"/>
      <c r="O17" s="1"/>
      <c r="P17" s="1">
        <v>1878.4</v>
      </c>
      <c r="Q17" s="1">
        <v>2044.2</v>
      </c>
      <c r="R17" s="1">
        <v>1805.71</v>
      </c>
      <c r="S17" s="1"/>
      <c r="T17" s="1">
        <v>3849.91</v>
      </c>
      <c r="U17" s="1"/>
      <c r="V17" s="1"/>
      <c r="W17" s="1"/>
      <c r="X17" s="1"/>
      <c r="Y17" s="1"/>
      <c r="Z17" s="1"/>
      <c r="AA17" s="1">
        <v>17157.350000000002</v>
      </c>
    </row>
    <row r="18" spans="1:27" x14ac:dyDescent="0.2">
      <c r="A18" s="12" t="s">
        <v>564</v>
      </c>
      <c r="B18" s="1">
        <v>2121.64</v>
      </c>
      <c r="C18" s="1"/>
      <c r="D18" s="1"/>
      <c r="E18" s="1">
        <v>2121.64</v>
      </c>
      <c r="F18" s="1"/>
      <c r="G18" s="1"/>
      <c r="H18" s="1"/>
      <c r="I18" s="1"/>
      <c r="J18" s="1"/>
      <c r="K18" s="1">
        <v>1532.92</v>
      </c>
      <c r="L18" s="1">
        <v>1532.92</v>
      </c>
      <c r="M18" s="1">
        <v>4578.6000000000004</v>
      </c>
      <c r="N18" s="1"/>
      <c r="O18" s="1"/>
      <c r="P18" s="1">
        <v>4578.6000000000004</v>
      </c>
      <c r="Q18" s="1">
        <v>2044.2</v>
      </c>
      <c r="R18" s="1">
        <v>1635.36</v>
      </c>
      <c r="S18" s="1"/>
      <c r="T18" s="1">
        <v>3679.56</v>
      </c>
      <c r="U18" s="1"/>
      <c r="V18" s="1"/>
      <c r="W18" s="1">
        <v>3500</v>
      </c>
      <c r="X18" s="1">
        <v>1750</v>
      </c>
      <c r="Y18" s="1"/>
      <c r="Z18" s="1">
        <v>5250</v>
      </c>
      <c r="AA18" s="1">
        <v>17162.72</v>
      </c>
    </row>
    <row r="19" spans="1:27" x14ac:dyDescent="0.2">
      <c r="A19" s="12" t="s">
        <v>594</v>
      </c>
      <c r="B19" s="1"/>
      <c r="C19" s="1">
        <v>1916.32</v>
      </c>
      <c r="D19" s="1"/>
      <c r="E19" s="1">
        <v>1916.32</v>
      </c>
      <c r="F19" s="1"/>
      <c r="G19" s="1"/>
      <c r="H19" s="1">
        <v>2217.1999999999998</v>
      </c>
      <c r="I19" s="1">
        <v>2217.1999999999998</v>
      </c>
      <c r="J19" s="1"/>
      <c r="K19" s="1"/>
      <c r="L19" s="1"/>
      <c r="M19" s="1"/>
      <c r="N19" s="1"/>
      <c r="O19" s="1"/>
      <c r="P19" s="1"/>
      <c r="Q19" s="1"/>
      <c r="R19" s="1">
        <v>2316.7600000000002</v>
      </c>
      <c r="S19" s="1"/>
      <c r="T19" s="1">
        <v>2316.7600000000002</v>
      </c>
      <c r="U19" s="1"/>
      <c r="V19" s="1"/>
      <c r="W19" s="1"/>
      <c r="X19" s="1"/>
      <c r="Y19" s="1">
        <v>1650</v>
      </c>
      <c r="Z19" s="1">
        <v>1650</v>
      </c>
      <c r="AA19" s="1">
        <v>8100.28</v>
      </c>
    </row>
    <row r="20" spans="1:27" x14ac:dyDescent="0.2">
      <c r="A20" s="12" t="s">
        <v>621</v>
      </c>
      <c r="B20" s="1"/>
      <c r="C20" s="1">
        <v>1916.32</v>
      </c>
      <c r="D20" s="1"/>
      <c r="E20" s="1">
        <v>1916.32</v>
      </c>
      <c r="F20" s="1"/>
      <c r="G20" s="1"/>
      <c r="H20" s="1">
        <v>2313.6</v>
      </c>
      <c r="I20" s="1">
        <v>2313.6</v>
      </c>
      <c r="J20" s="1">
        <v>1452.24</v>
      </c>
      <c r="K20" s="1"/>
      <c r="L20" s="1">
        <v>1452.24</v>
      </c>
      <c r="M20" s="1">
        <v>3903.5499999999997</v>
      </c>
      <c r="N20" s="1"/>
      <c r="O20" s="1">
        <v>1467.5</v>
      </c>
      <c r="P20" s="1">
        <v>5371.0499999999993</v>
      </c>
      <c r="Q20" s="1">
        <v>2214.5500000000002</v>
      </c>
      <c r="R20" s="1">
        <v>919.89</v>
      </c>
      <c r="S20" s="1">
        <v>1873.85</v>
      </c>
      <c r="T20" s="1">
        <v>5008.29</v>
      </c>
      <c r="U20" s="1"/>
      <c r="V20" s="1"/>
      <c r="W20" s="1">
        <v>2050</v>
      </c>
      <c r="X20" s="1"/>
      <c r="Y20" s="1"/>
      <c r="Z20" s="1">
        <v>2050</v>
      </c>
      <c r="AA20" s="1">
        <v>18111.5</v>
      </c>
    </row>
    <row r="21" spans="1:27" x14ac:dyDescent="0.2">
      <c r="A21" s="12" t="s">
        <v>651</v>
      </c>
      <c r="B21" s="1"/>
      <c r="C21" s="1"/>
      <c r="D21" s="1">
        <v>2395.4</v>
      </c>
      <c r="E21" s="1">
        <v>2395.4</v>
      </c>
      <c r="F21" s="1"/>
      <c r="G21" s="1"/>
      <c r="H21" s="1">
        <v>2410</v>
      </c>
      <c r="I21" s="1">
        <v>2410</v>
      </c>
      <c r="J21" s="1"/>
      <c r="K21" s="1">
        <v>2017</v>
      </c>
      <c r="L21" s="1">
        <v>2017</v>
      </c>
      <c r="M21" s="1">
        <v>381.55</v>
      </c>
      <c r="N21" s="1"/>
      <c r="O21" s="1"/>
      <c r="P21" s="1">
        <v>381.55</v>
      </c>
      <c r="Q21" s="1"/>
      <c r="R21" s="1">
        <v>4190.6099999999997</v>
      </c>
      <c r="S21" s="1"/>
      <c r="T21" s="1">
        <v>4190.6099999999997</v>
      </c>
      <c r="U21" s="1"/>
      <c r="V21" s="1"/>
      <c r="W21" s="1">
        <v>950</v>
      </c>
      <c r="X21" s="1"/>
      <c r="Y21" s="1"/>
      <c r="Z21" s="1">
        <v>950</v>
      </c>
      <c r="AA21" s="1">
        <v>12344.56</v>
      </c>
    </row>
    <row r="22" spans="1:27" x14ac:dyDescent="0.2">
      <c r="A22" s="12" t="s">
        <v>682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1467.5</v>
      </c>
      <c r="P22" s="1">
        <v>1467.5</v>
      </c>
      <c r="Q22" s="1"/>
      <c r="R22" s="1">
        <v>919.89</v>
      </c>
      <c r="S22" s="1"/>
      <c r="T22" s="1">
        <v>919.89</v>
      </c>
      <c r="U22" s="1"/>
      <c r="V22" s="1"/>
      <c r="W22" s="1"/>
      <c r="X22" s="1"/>
      <c r="Y22" s="1"/>
      <c r="Z22" s="1"/>
      <c r="AA22" s="1">
        <v>2387.39</v>
      </c>
    </row>
    <row r="23" spans="1:27" x14ac:dyDescent="0.2">
      <c r="A23" s="12" t="s">
        <v>709</v>
      </c>
      <c r="B23" s="1"/>
      <c r="C23" s="1">
        <v>2258.52</v>
      </c>
      <c r="D23" s="1"/>
      <c r="E23" s="1">
        <v>2258.52</v>
      </c>
      <c r="F23" s="1"/>
      <c r="G23" s="1"/>
      <c r="H23" s="1">
        <v>2217.1999999999998</v>
      </c>
      <c r="I23" s="1">
        <v>2217.1999999999998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v>4475.7199999999993</v>
      </c>
    </row>
    <row r="24" spans="1:27" x14ac:dyDescent="0.2">
      <c r="A24" s="12" t="s">
        <v>736</v>
      </c>
      <c r="B24" s="1"/>
      <c r="C24" s="1">
        <v>2053.1999999999998</v>
      </c>
      <c r="D24" s="1"/>
      <c r="E24" s="1">
        <v>2053.1999999999998</v>
      </c>
      <c r="F24" s="1"/>
      <c r="G24" s="1"/>
      <c r="H24" s="1"/>
      <c r="I24" s="1"/>
      <c r="J24" s="1"/>
      <c r="K24" s="1">
        <v>1694.28</v>
      </c>
      <c r="L24" s="1">
        <v>1694.28</v>
      </c>
      <c r="M24" s="1">
        <v>29.35</v>
      </c>
      <c r="N24" s="1"/>
      <c r="O24" s="1"/>
      <c r="P24" s="1">
        <v>29.35</v>
      </c>
      <c r="Q24" s="1"/>
      <c r="R24" s="1">
        <v>1834.56</v>
      </c>
      <c r="S24" s="1"/>
      <c r="T24" s="1">
        <v>1834.56</v>
      </c>
      <c r="U24" s="1"/>
      <c r="V24" s="1"/>
      <c r="W24" s="1"/>
      <c r="X24" s="1"/>
      <c r="Y24" s="1"/>
      <c r="Z24" s="1"/>
      <c r="AA24" s="1">
        <v>5611.3899999999994</v>
      </c>
    </row>
    <row r="25" spans="1:27" x14ac:dyDescent="0.2">
      <c r="A25" s="12" t="s">
        <v>764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4343.7999999999993</v>
      </c>
      <c r="N25" s="1"/>
      <c r="O25" s="1"/>
      <c r="P25" s="1">
        <v>4343.7999999999993</v>
      </c>
      <c r="Q25" s="1">
        <v>1900.08</v>
      </c>
      <c r="R25" s="1">
        <v>1998.36</v>
      </c>
      <c r="S25" s="1"/>
      <c r="T25" s="1">
        <v>3898.4399999999996</v>
      </c>
      <c r="U25" s="1"/>
      <c r="V25" s="1"/>
      <c r="W25" s="1">
        <v>3000</v>
      </c>
      <c r="X25" s="1"/>
      <c r="Y25" s="1"/>
      <c r="Z25" s="1">
        <v>3000</v>
      </c>
      <c r="AA25" s="1">
        <v>11242.24</v>
      </c>
    </row>
    <row r="26" spans="1:27" x14ac:dyDescent="0.2">
      <c r="A26" s="12" t="s">
        <v>791</v>
      </c>
      <c r="B26" s="1">
        <v>3216.6800000000003</v>
      </c>
      <c r="C26" s="1">
        <v>1642.56</v>
      </c>
      <c r="D26" s="1"/>
      <c r="E26" s="1">
        <v>4859.24</v>
      </c>
      <c r="F26" s="1"/>
      <c r="G26" s="1">
        <v>2120.8000000000002</v>
      </c>
      <c r="H26" s="1">
        <v>2120.8000000000002</v>
      </c>
      <c r="I26" s="1">
        <v>4241.6000000000004</v>
      </c>
      <c r="J26" s="1"/>
      <c r="K26" s="1"/>
      <c r="L26" s="1"/>
      <c r="M26" s="1">
        <v>2113.1999999999998</v>
      </c>
      <c r="N26" s="1"/>
      <c r="O26" s="1">
        <v>2201.25</v>
      </c>
      <c r="P26" s="1">
        <v>4314.45</v>
      </c>
      <c r="Q26" s="1"/>
      <c r="R26" s="1">
        <v>3407.04</v>
      </c>
      <c r="S26" s="1"/>
      <c r="T26" s="1">
        <v>3407.04</v>
      </c>
      <c r="U26" s="1"/>
      <c r="V26" s="1"/>
      <c r="W26" s="1"/>
      <c r="X26" s="1"/>
      <c r="Y26" s="1">
        <v>1750</v>
      </c>
      <c r="Z26" s="1">
        <v>1750</v>
      </c>
      <c r="AA26" s="1">
        <v>18572.330000000002</v>
      </c>
    </row>
    <row r="27" spans="1:27" x14ac:dyDescent="0.2">
      <c r="A27" s="12" t="s">
        <v>822</v>
      </c>
      <c r="B27" s="1">
        <v>889.72</v>
      </c>
      <c r="C27" s="1">
        <v>3148.24</v>
      </c>
      <c r="D27" s="1"/>
      <c r="E27" s="1">
        <v>4037.96</v>
      </c>
      <c r="F27" s="1"/>
      <c r="G27" s="1"/>
      <c r="H27" s="1"/>
      <c r="I27" s="1"/>
      <c r="J27" s="1">
        <v>2339.7199999999998</v>
      </c>
      <c r="K27" s="1"/>
      <c r="L27" s="1">
        <v>2339.7199999999998</v>
      </c>
      <c r="M27" s="1">
        <v>322.85000000000002</v>
      </c>
      <c r="N27" s="1"/>
      <c r="O27" s="1"/>
      <c r="P27" s="1">
        <v>322.85000000000002</v>
      </c>
      <c r="Q27" s="1"/>
      <c r="R27" s="1"/>
      <c r="S27" s="1"/>
      <c r="T27" s="1"/>
      <c r="U27" s="1"/>
      <c r="V27" s="1"/>
      <c r="W27" s="1"/>
      <c r="X27" s="1">
        <v>1950</v>
      </c>
      <c r="Y27" s="1">
        <v>250</v>
      </c>
      <c r="Z27" s="1">
        <v>2200</v>
      </c>
      <c r="AA27" s="1">
        <v>8900.5300000000007</v>
      </c>
    </row>
    <row r="28" spans="1:27" x14ac:dyDescent="0.2">
      <c r="A28" s="12" t="s">
        <v>851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>
        <v>2054.5</v>
      </c>
      <c r="N28" s="1">
        <v>792.45</v>
      </c>
      <c r="O28" s="1"/>
      <c r="P28" s="1">
        <v>2846.95</v>
      </c>
      <c r="Q28" s="1">
        <v>1703.52</v>
      </c>
      <c r="R28" s="1"/>
      <c r="S28" s="1"/>
      <c r="T28" s="1">
        <v>1703.52</v>
      </c>
      <c r="U28" s="1"/>
      <c r="V28" s="1"/>
      <c r="W28" s="1">
        <v>2300</v>
      </c>
      <c r="X28" s="1"/>
      <c r="Y28" s="1"/>
      <c r="Z28" s="1">
        <v>2300</v>
      </c>
      <c r="AA28" s="1">
        <v>6850.4699999999993</v>
      </c>
    </row>
    <row r="29" spans="1:27" x14ac:dyDescent="0.2">
      <c r="A29" s="12" t="s">
        <v>879</v>
      </c>
      <c r="B29" s="1"/>
      <c r="C29" s="1">
        <v>3832.64</v>
      </c>
      <c r="D29" s="1"/>
      <c r="E29" s="1">
        <v>3832.64</v>
      </c>
      <c r="F29" s="1"/>
      <c r="G29" s="1"/>
      <c r="H29" s="1"/>
      <c r="I29" s="1"/>
      <c r="J29" s="1">
        <v>1694.28</v>
      </c>
      <c r="K29" s="1"/>
      <c r="L29" s="1">
        <v>1694.28</v>
      </c>
      <c r="M29" s="1">
        <v>4138.3500000000004</v>
      </c>
      <c r="N29" s="1"/>
      <c r="O29" s="1"/>
      <c r="P29" s="1">
        <v>4138.3500000000004</v>
      </c>
      <c r="Q29" s="1">
        <v>1769.04</v>
      </c>
      <c r="R29" s="1">
        <v>3570.8399999999997</v>
      </c>
      <c r="S29" s="1"/>
      <c r="T29" s="1">
        <v>5339.8799999999992</v>
      </c>
      <c r="U29" s="1"/>
      <c r="V29" s="1"/>
      <c r="W29" s="1"/>
      <c r="X29" s="1"/>
      <c r="Y29" s="1"/>
      <c r="Z29" s="1"/>
      <c r="AA29" s="1">
        <v>15005.150000000001</v>
      </c>
    </row>
    <row r="30" spans="1:27" x14ac:dyDescent="0.2">
      <c r="A30" s="12" t="s">
        <v>907</v>
      </c>
      <c r="B30" s="1"/>
      <c r="C30" s="1">
        <v>958.16</v>
      </c>
      <c r="D30" s="1"/>
      <c r="E30" s="1">
        <v>958.16</v>
      </c>
      <c r="F30" s="1"/>
      <c r="G30" s="1"/>
      <c r="H30" s="1"/>
      <c r="I30" s="1"/>
      <c r="J30" s="1"/>
      <c r="K30" s="1">
        <v>2339.7199999999998</v>
      </c>
      <c r="L30" s="1">
        <v>2339.7199999999998</v>
      </c>
      <c r="M30" s="1">
        <v>2083.85</v>
      </c>
      <c r="N30" s="1">
        <v>1790.35</v>
      </c>
      <c r="O30" s="1">
        <v>1643.6</v>
      </c>
      <c r="P30" s="1">
        <v>5517.7999999999993</v>
      </c>
      <c r="Q30" s="1"/>
      <c r="R30" s="1">
        <v>2162.16</v>
      </c>
      <c r="S30" s="1"/>
      <c r="T30" s="1">
        <v>2162.16</v>
      </c>
      <c r="U30" s="1"/>
      <c r="V30" s="1"/>
      <c r="W30" s="1"/>
      <c r="X30" s="1">
        <v>2000</v>
      </c>
      <c r="Y30" s="1"/>
      <c r="Z30" s="1">
        <v>2000</v>
      </c>
      <c r="AA30" s="1">
        <v>12977.84</v>
      </c>
    </row>
    <row r="31" spans="1:27" x14ac:dyDescent="0.2">
      <c r="A31" s="12" t="s">
        <v>936</v>
      </c>
      <c r="B31" s="1">
        <v>1984.76</v>
      </c>
      <c r="C31" s="1">
        <v>3832.64</v>
      </c>
      <c r="D31" s="1"/>
      <c r="E31" s="1">
        <v>5817.4</v>
      </c>
      <c r="F31" s="1">
        <v>1735.2</v>
      </c>
      <c r="G31" s="1"/>
      <c r="H31" s="1">
        <v>2120.8000000000002</v>
      </c>
      <c r="I31" s="1">
        <v>3856</v>
      </c>
      <c r="J31" s="1"/>
      <c r="K31" s="1"/>
      <c r="L31" s="1"/>
      <c r="M31" s="1">
        <v>2201.25</v>
      </c>
      <c r="N31" s="1">
        <v>1144.6500000000001</v>
      </c>
      <c r="O31" s="1"/>
      <c r="P31" s="1">
        <v>3345.9</v>
      </c>
      <c r="Q31" s="1">
        <v>1638</v>
      </c>
      <c r="R31" s="1">
        <v>3570.84</v>
      </c>
      <c r="S31" s="1"/>
      <c r="T31" s="1">
        <v>5208.84</v>
      </c>
      <c r="U31" s="1"/>
      <c r="V31" s="1"/>
      <c r="W31" s="1"/>
      <c r="X31" s="1"/>
      <c r="Y31" s="1"/>
      <c r="Z31" s="1"/>
      <c r="AA31" s="1">
        <v>18228.14</v>
      </c>
    </row>
    <row r="32" spans="1:27" x14ac:dyDescent="0.2">
      <c r="A32" s="12" t="s">
        <v>964</v>
      </c>
      <c r="B32" s="1"/>
      <c r="C32" s="1">
        <v>958.16</v>
      </c>
      <c r="D32" s="1"/>
      <c r="E32" s="1">
        <v>958.16</v>
      </c>
      <c r="F32" s="1"/>
      <c r="G32" s="1"/>
      <c r="H32" s="1">
        <v>1735.2</v>
      </c>
      <c r="I32" s="1">
        <v>1735.2</v>
      </c>
      <c r="J32" s="1">
        <v>1855.64</v>
      </c>
      <c r="K32" s="1"/>
      <c r="L32" s="1">
        <v>1855.64</v>
      </c>
      <c r="M32" s="1">
        <v>4138.3500000000004</v>
      </c>
      <c r="N32" s="1"/>
      <c r="O32" s="1"/>
      <c r="P32" s="1">
        <v>4138.3500000000004</v>
      </c>
      <c r="Q32" s="1"/>
      <c r="R32" s="1">
        <v>1703.52</v>
      </c>
      <c r="S32" s="1"/>
      <c r="T32" s="1">
        <v>1703.52</v>
      </c>
      <c r="U32" s="1"/>
      <c r="V32" s="1"/>
      <c r="W32" s="1">
        <v>2050</v>
      </c>
      <c r="X32" s="1"/>
      <c r="Y32" s="1">
        <v>1500</v>
      </c>
      <c r="Z32" s="1">
        <v>3550</v>
      </c>
      <c r="AA32" s="1">
        <v>13940.87</v>
      </c>
    </row>
    <row r="33" spans="1:27" x14ac:dyDescent="0.2">
      <c r="A33" s="12" t="s">
        <v>95</v>
      </c>
      <c r="B33" s="1">
        <v>16297.72</v>
      </c>
      <c r="C33" s="1">
        <v>31968.059999999998</v>
      </c>
      <c r="D33" s="1">
        <v>2395.4</v>
      </c>
      <c r="E33" s="1">
        <v>50661.180000000008</v>
      </c>
      <c r="F33" s="1">
        <v>3759.6000000000004</v>
      </c>
      <c r="G33" s="1">
        <v>5824.95</v>
      </c>
      <c r="H33" s="1">
        <v>32751.61</v>
      </c>
      <c r="I33" s="1">
        <v>42336.159999999996</v>
      </c>
      <c r="J33" s="1">
        <v>13011.419999999998</v>
      </c>
      <c r="K33" s="1">
        <v>12021.32</v>
      </c>
      <c r="L33" s="1">
        <v>25032.739999999998</v>
      </c>
      <c r="M33" s="1">
        <v>55647.599999999991</v>
      </c>
      <c r="N33" s="1">
        <v>10918.199999999999</v>
      </c>
      <c r="O33" s="1">
        <v>9744.2000000000007</v>
      </c>
      <c r="P33" s="1">
        <v>76310</v>
      </c>
      <c r="Q33" s="1">
        <v>24522.62</v>
      </c>
      <c r="R33" s="1">
        <v>46968.329999999994</v>
      </c>
      <c r="S33" s="1">
        <v>3372.93</v>
      </c>
      <c r="T33" s="1">
        <v>74863.88</v>
      </c>
      <c r="U33" s="1"/>
      <c r="V33" s="1"/>
      <c r="W33" s="1">
        <v>13850</v>
      </c>
      <c r="X33" s="1">
        <v>5700</v>
      </c>
      <c r="Y33" s="1">
        <v>5150</v>
      </c>
      <c r="Z33" s="1">
        <v>24700</v>
      </c>
      <c r="AA33" s="1">
        <v>293903.96000000002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4A75-EDF6-9840-B002-A35BE76DEBDA}">
  <dimension ref="A1:W174"/>
  <sheetViews>
    <sheetView topLeftCell="I82" workbookViewId="0">
      <selection activeCell="O78" sqref="O78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22.8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4.1640625" bestFit="1" customWidth="1"/>
    <col min="10" max="10" width="12.1640625" bestFit="1" customWidth="1"/>
    <col min="11" max="11" width="21.33203125" bestFit="1" customWidth="1"/>
    <col min="12" max="12" width="8.1640625" bestFit="1" customWidth="1"/>
    <col min="13" max="13" width="25" bestFit="1" customWidth="1"/>
    <col min="14" max="14" width="20.33203125" bestFit="1" customWidth="1"/>
    <col min="15" max="15" width="24.6640625" bestFit="1" customWidth="1"/>
    <col min="16" max="16" width="11.83203125" bestFit="1" customWidth="1"/>
    <col min="17" max="17" width="22.33203125" bestFit="1" customWidth="1"/>
    <col min="18" max="18" width="7.5" bestFit="1" customWidth="1"/>
    <col min="19" max="19" width="12.83203125" bestFit="1" customWidth="1"/>
    <col min="20" max="20" width="13.1640625" bestFit="1" customWidth="1"/>
    <col min="21" max="21" width="8.1640625" bestFit="1" customWidth="1"/>
    <col min="22" max="22" width="13.1640625" bestFit="1" customWidth="1"/>
    <col min="23" max="23" width="9.33203125" bestFit="1" customWidth="1"/>
  </cols>
  <sheetData>
    <row r="1" spans="1:23" x14ac:dyDescent="0.2">
      <c r="A1" t="s">
        <v>0</v>
      </c>
      <c r="B1" t="s">
        <v>1</v>
      </c>
      <c r="C1" t="s">
        <v>83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84</v>
      </c>
      <c r="J1" t="s">
        <v>85</v>
      </c>
      <c r="K1" t="s">
        <v>23</v>
      </c>
      <c r="L1" t="s">
        <v>86</v>
      </c>
      <c r="M1" t="s">
        <v>87</v>
      </c>
      <c r="N1" t="s">
        <v>21</v>
      </c>
      <c r="O1" t="s">
        <v>22</v>
      </c>
      <c r="P1" t="s">
        <v>88</v>
      </c>
      <c r="Q1" t="s">
        <v>89</v>
      </c>
      <c r="R1" t="s">
        <v>26</v>
      </c>
      <c r="S1" t="s">
        <v>90</v>
      </c>
      <c r="T1" t="s">
        <v>91</v>
      </c>
      <c r="U1" t="s">
        <v>92</v>
      </c>
      <c r="V1" t="s">
        <v>19</v>
      </c>
      <c r="W1" t="s">
        <v>468</v>
      </c>
    </row>
    <row r="2" spans="1:23" x14ac:dyDescent="0.2">
      <c r="A2" s="1" t="s">
        <v>27</v>
      </c>
      <c r="B2">
        <v>1</v>
      </c>
      <c r="C2" s="1" t="s">
        <v>28</v>
      </c>
      <c r="D2" s="1" t="s">
        <v>81</v>
      </c>
      <c r="E2" s="1" t="s">
        <v>207</v>
      </c>
      <c r="F2" s="1" t="s">
        <v>208</v>
      </c>
      <c r="G2">
        <v>1</v>
      </c>
      <c r="H2">
        <v>5</v>
      </c>
      <c r="I2" s="1" t="s">
        <v>246</v>
      </c>
      <c r="J2" s="1" t="s">
        <v>247</v>
      </c>
      <c r="K2" s="1" t="s">
        <v>49</v>
      </c>
      <c r="L2" s="1" t="s">
        <v>248</v>
      </c>
      <c r="M2" s="1" t="s">
        <v>249</v>
      </c>
      <c r="N2" s="1" t="s">
        <v>29</v>
      </c>
      <c r="O2" s="1" t="s">
        <v>30</v>
      </c>
      <c r="P2">
        <v>81</v>
      </c>
      <c r="Q2">
        <v>81</v>
      </c>
      <c r="R2" s="1" t="s">
        <v>32</v>
      </c>
      <c r="S2">
        <v>29.35</v>
      </c>
      <c r="T2">
        <v>2377.35</v>
      </c>
      <c r="U2">
        <v>1870.29</v>
      </c>
      <c r="V2" s="1" t="s">
        <v>144</v>
      </c>
      <c r="W2" s="1">
        <f>Sales[[#This Row],[NET_VALUE]]-Sales[[#This Row],[COST]]</f>
        <v>507.05999999999995</v>
      </c>
    </row>
    <row r="3" spans="1:23" x14ac:dyDescent="0.2">
      <c r="A3" s="1" t="s">
        <v>33</v>
      </c>
      <c r="B3">
        <v>2</v>
      </c>
      <c r="C3" s="1" t="s">
        <v>28</v>
      </c>
      <c r="D3" s="1" t="s">
        <v>81</v>
      </c>
      <c r="E3" s="1" t="s">
        <v>207</v>
      </c>
      <c r="F3" s="1" t="s">
        <v>208</v>
      </c>
      <c r="G3">
        <v>1</v>
      </c>
      <c r="H3">
        <v>5</v>
      </c>
      <c r="I3" s="1" t="s">
        <v>250</v>
      </c>
      <c r="J3" s="1" t="s">
        <v>247</v>
      </c>
      <c r="K3" s="1" t="s">
        <v>56</v>
      </c>
      <c r="L3" s="1" t="s">
        <v>251</v>
      </c>
      <c r="M3" s="1" t="s">
        <v>249</v>
      </c>
      <c r="N3" s="1" t="s">
        <v>29</v>
      </c>
      <c r="O3" s="1" t="s">
        <v>30</v>
      </c>
      <c r="P3">
        <v>60</v>
      </c>
      <c r="Q3">
        <v>60</v>
      </c>
      <c r="R3" s="1" t="s">
        <v>32</v>
      </c>
      <c r="S3">
        <v>29.35</v>
      </c>
      <c r="T3">
        <v>1761</v>
      </c>
      <c r="U3">
        <v>1385.4</v>
      </c>
      <c r="V3" s="1" t="s">
        <v>144</v>
      </c>
      <c r="W3" s="1">
        <f>Sales[[#This Row],[NET_VALUE]]-Sales[[#This Row],[COST]]</f>
        <v>375.59999999999991</v>
      </c>
    </row>
    <row r="4" spans="1:23" x14ac:dyDescent="0.2">
      <c r="A4" s="1" t="s">
        <v>36</v>
      </c>
      <c r="B4">
        <v>3</v>
      </c>
      <c r="C4" s="1" t="s">
        <v>28</v>
      </c>
      <c r="D4" s="1" t="s">
        <v>81</v>
      </c>
      <c r="E4" s="1" t="s">
        <v>207</v>
      </c>
      <c r="F4" s="1" t="s">
        <v>208</v>
      </c>
      <c r="G4">
        <v>1</v>
      </c>
      <c r="H4">
        <v>5</v>
      </c>
      <c r="I4" s="1" t="s">
        <v>252</v>
      </c>
      <c r="J4" s="1" t="s">
        <v>247</v>
      </c>
      <c r="K4" s="1" t="s">
        <v>56</v>
      </c>
      <c r="L4" s="1" t="s">
        <v>251</v>
      </c>
      <c r="M4" s="1" t="s">
        <v>249</v>
      </c>
      <c r="N4" s="1" t="s">
        <v>37</v>
      </c>
      <c r="O4" s="1" t="s">
        <v>38</v>
      </c>
      <c r="P4">
        <v>66</v>
      </c>
      <c r="Q4">
        <v>66</v>
      </c>
      <c r="R4" s="1" t="s">
        <v>32</v>
      </c>
      <c r="S4">
        <v>34.07</v>
      </c>
      <c r="T4">
        <v>2248.62</v>
      </c>
      <c r="U4">
        <v>1716.66</v>
      </c>
      <c r="V4" s="1" t="s">
        <v>144</v>
      </c>
      <c r="W4" s="1">
        <f>Sales[[#This Row],[NET_VALUE]]-Sales[[#This Row],[COST]]</f>
        <v>531.95999999999981</v>
      </c>
    </row>
    <row r="5" spans="1:23" x14ac:dyDescent="0.2">
      <c r="A5" s="1" t="s">
        <v>39</v>
      </c>
      <c r="B5">
        <v>4</v>
      </c>
      <c r="C5" s="1" t="s">
        <v>28</v>
      </c>
      <c r="D5" s="1" t="s">
        <v>81</v>
      </c>
      <c r="E5" s="1" t="s">
        <v>207</v>
      </c>
      <c r="F5" s="1" t="s">
        <v>208</v>
      </c>
      <c r="G5">
        <v>1</v>
      </c>
      <c r="H5">
        <v>5</v>
      </c>
      <c r="I5" s="1" t="s">
        <v>253</v>
      </c>
      <c r="J5" s="1" t="s">
        <v>247</v>
      </c>
      <c r="K5" s="1" t="s">
        <v>63</v>
      </c>
      <c r="L5" s="1" t="s">
        <v>254</v>
      </c>
      <c r="M5" s="1" t="s">
        <v>249</v>
      </c>
      <c r="N5" s="1" t="s">
        <v>40</v>
      </c>
      <c r="O5" s="1" t="s">
        <v>41</v>
      </c>
      <c r="P5">
        <v>15</v>
      </c>
      <c r="Q5">
        <v>15</v>
      </c>
      <c r="R5" s="1" t="s">
        <v>32</v>
      </c>
      <c r="S5">
        <v>99.13</v>
      </c>
      <c r="T5">
        <v>1486.95</v>
      </c>
      <c r="U5">
        <v>1247.7</v>
      </c>
      <c r="V5" s="1" t="s">
        <v>144</v>
      </c>
      <c r="W5" s="1">
        <f>Sales[[#This Row],[NET_VALUE]]-Sales[[#This Row],[COST]]</f>
        <v>239.25</v>
      </c>
    </row>
    <row r="6" spans="1:23" x14ac:dyDescent="0.2">
      <c r="A6" s="1" t="s">
        <v>42</v>
      </c>
      <c r="B6">
        <v>5</v>
      </c>
      <c r="C6" s="1" t="s">
        <v>28</v>
      </c>
      <c r="D6" s="1" t="s">
        <v>81</v>
      </c>
      <c r="E6" s="1" t="s">
        <v>256</v>
      </c>
      <c r="F6" s="1" t="s">
        <v>257</v>
      </c>
      <c r="G6">
        <v>2</v>
      </c>
      <c r="H6">
        <v>6</v>
      </c>
      <c r="I6" s="1" t="s">
        <v>290</v>
      </c>
      <c r="J6" s="1" t="s">
        <v>247</v>
      </c>
      <c r="K6" s="1" t="s">
        <v>49</v>
      </c>
      <c r="L6" s="1" t="s">
        <v>248</v>
      </c>
      <c r="M6" s="1" t="s">
        <v>249</v>
      </c>
      <c r="N6" s="1" t="s">
        <v>29</v>
      </c>
      <c r="O6" s="1" t="s">
        <v>30</v>
      </c>
      <c r="P6">
        <v>1</v>
      </c>
      <c r="Q6">
        <v>1</v>
      </c>
      <c r="R6" s="1" t="s">
        <v>32</v>
      </c>
      <c r="S6">
        <v>29.35</v>
      </c>
      <c r="T6">
        <v>29.35</v>
      </c>
      <c r="U6">
        <v>23.16</v>
      </c>
      <c r="V6" s="1" t="s">
        <v>144</v>
      </c>
      <c r="W6" s="1">
        <f>Sales[[#This Row],[NET_VALUE]]-Sales[[#This Row],[COST]]</f>
        <v>6.1900000000000013</v>
      </c>
    </row>
    <row r="7" spans="1:23" x14ac:dyDescent="0.2">
      <c r="A7" s="1" t="s">
        <v>45</v>
      </c>
      <c r="B7">
        <v>6</v>
      </c>
      <c r="C7" s="1" t="s">
        <v>28</v>
      </c>
      <c r="D7" s="1" t="s">
        <v>81</v>
      </c>
      <c r="E7" s="1" t="s">
        <v>256</v>
      </c>
      <c r="F7" s="1" t="s">
        <v>257</v>
      </c>
      <c r="G7">
        <v>2</v>
      </c>
      <c r="H7">
        <v>6</v>
      </c>
      <c r="I7" s="1" t="s">
        <v>289</v>
      </c>
      <c r="J7" s="1" t="s">
        <v>247</v>
      </c>
      <c r="K7" s="1" t="s">
        <v>49</v>
      </c>
      <c r="L7" s="1" t="s">
        <v>248</v>
      </c>
      <c r="M7" s="1" t="s">
        <v>249</v>
      </c>
      <c r="N7" s="1" t="s">
        <v>29</v>
      </c>
      <c r="O7" s="1" t="s">
        <v>30</v>
      </c>
      <c r="P7">
        <v>72</v>
      </c>
      <c r="Q7">
        <v>72</v>
      </c>
      <c r="R7" s="1" t="s">
        <v>32</v>
      </c>
      <c r="S7">
        <v>29.35</v>
      </c>
      <c r="T7">
        <v>2113.1999999999998</v>
      </c>
      <c r="U7">
        <v>1667.52</v>
      </c>
      <c r="V7" s="1" t="s">
        <v>144</v>
      </c>
      <c r="W7" s="1">
        <f>Sales[[#This Row],[NET_VALUE]]-Sales[[#This Row],[COST]]</f>
        <v>445.67999999999984</v>
      </c>
    </row>
    <row r="8" spans="1:23" x14ac:dyDescent="0.2">
      <c r="A8" s="1" t="s">
        <v>48</v>
      </c>
      <c r="B8">
        <v>7</v>
      </c>
      <c r="C8" s="1" t="s">
        <v>28</v>
      </c>
      <c r="D8" s="1" t="s">
        <v>81</v>
      </c>
      <c r="E8" s="1" t="s">
        <v>256</v>
      </c>
      <c r="F8" s="1" t="s">
        <v>257</v>
      </c>
      <c r="G8">
        <v>2</v>
      </c>
      <c r="H8">
        <v>6</v>
      </c>
      <c r="I8" s="1" t="s">
        <v>289</v>
      </c>
      <c r="J8" s="1" t="s">
        <v>291</v>
      </c>
      <c r="K8" s="1" t="s">
        <v>49</v>
      </c>
      <c r="L8" s="1" t="s">
        <v>248</v>
      </c>
      <c r="M8" s="1" t="s">
        <v>249</v>
      </c>
      <c r="N8" s="1" t="s">
        <v>37</v>
      </c>
      <c r="O8" s="1" t="s">
        <v>38</v>
      </c>
      <c r="P8">
        <v>44</v>
      </c>
      <c r="Q8">
        <v>44</v>
      </c>
      <c r="R8" s="1" t="s">
        <v>32</v>
      </c>
      <c r="S8">
        <v>34.07</v>
      </c>
      <c r="T8">
        <v>1499.08</v>
      </c>
      <c r="U8">
        <v>1148.4000000000001</v>
      </c>
      <c r="V8" s="1" t="s">
        <v>144</v>
      </c>
      <c r="W8" s="1">
        <f>Sales[[#This Row],[NET_VALUE]]-Sales[[#This Row],[COST]]</f>
        <v>350.67999999999984</v>
      </c>
    </row>
    <row r="9" spans="1:23" x14ac:dyDescent="0.2">
      <c r="A9" s="1" t="s">
        <v>50</v>
      </c>
      <c r="B9">
        <v>8</v>
      </c>
      <c r="C9" s="1" t="s">
        <v>28</v>
      </c>
      <c r="D9" s="1" t="s">
        <v>81</v>
      </c>
      <c r="E9" s="1" t="s">
        <v>256</v>
      </c>
      <c r="F9" s="1" t="s">
        <v>257</v>
      </c>
      <c r="G9">
        <v>2</v>
      </c>
      <c r="H9">
        <v>6</v>
      </c>
      <c r="I9" s="1" t="s">
        <v>292</v>
      </c>
      <c r="J9" s="1" t="s">
        <v>293</v>
      </c>
      <c r="K9" s="1" t="s">
        <v>56</v>
      </c>
      <c r="L9" s="1" t="s">
        <v>251</v>
      </c>
      <c r="M9" s="1" t="s">
        <v>249</v>
      </c>
      <c r="N9" s="1" t="s">
        <v>37</v>
      </c>
      <c r="O9" s="1" t="s">
        <v>38</v>
      </c>
      <c r="P9">
        <v>44</v>
      </c>
      <c r="Q9">
        <v>44</v>
      </c>
      <c r="R9" s="1" t="s">
        <v>32</v>
      </c>
      <c r="S9">
        <v>34.07</v>
      </c>
      <c r="T9">
        <v>1499.08</v>
      </c>
      <c r="U9">
        <v>1148.4000000000001</v>
      </c>
      <c r="V9" s="1" t="s">
        <v>144</v>
      </c>
      <c r="W9" s="1">
        <f>Sales[[#This Row],[NET_VALUE]]-Sales[[#This Row],[COST]]</f>
        <v>350.67999999999984</v>
      </c>
    </row>
    <row r="10" spans="1:23" x14ac:dyDescent="0.2">
      <c r="A10" s="1" t="s">
        <v>51</v>
      </c>
      <c r="B10">
        <v>9</v>
      </c>
      <c r="C10" s="1" t="s">
        <v>28</v>
      </c>
      <c r="D10" s="1" t="s">
        <v>81</v>
      </c>
      <c r="E10" s="1" t="s">
        <v>256</v>
      </c>
      <c r="F10" s="1" t="s">
        <v>257</v>
      </c>
      <c r="G10">
        <v>2</v>
      </c>
      <c r="H10">
        <v>6</v>
      </c>
      <c r="I10" s="1" t="s">
        <v>292</v>
      </c>
      <c r="J10" s="1" t="s">
        <v>247</v>
      </c>
      <c r="K10" s="1" t="s">
        <v>56</v>
      </c>
      <c r="L10" s="1" t="s">
        <v>251</v>
      </c>
      <c r="M10" s="1" t="s">
        <v>249</v>
      </c>
      <c r="N10" s="1" t="s">
        <v>40</v>
      </c>
      <c r="O10" s="1" t="s">
        <v>41</v>
      </c>
      <c r="P10">
        <v>15</v>
      </c>
      <c r="Q10">
        <v>15</v>
      </c>
      <c r="R10" s="1" t="s">
        <v>32</v>
      </c>
      <c r="S10">
        <v>99.13</v>
      </c>
      <c r="T10">
        <v>1486.95</v>
      </c>
      <c r="U10">
        <v>1258.5</v>
      </c>
      <c r="V10" s="1" t="s">
        <v>144</v>
      </c>
      <c r="W10" s="1">
        <f>Sales[[#This Row],[NET_VALUE]]-Sales[[#This Row],[COST]]</f>
        <v>228.45000000000005</v>
      </c>
    </row>
    <row r="11" spans="1:23" x14ac:dyDescent="0.2">
      <c r="A11" s="1" t="s">
        <v>52</v>
      </c>
      <c r="B11">
        <v>10</v>
      </c>
      <c r="C11" s="1" t="s">
        <v>28</v>
      </c>
      <c r="D11" s="1" t="s">
        <v>81</v>
      </c>
      <c r="E11" s="1" t="s">
        <v>256</v>
      </c>
      <c r="F11" s="1" t="s">
        <v>257</v>
      </c>
      <c r="G11">
        <v>2</v>
      </c>
      <c r="H11">
        <v>6</v>
      </c>
      <c r="I11" s="1" t="s">
        <v>294</v>
      </c>
      <c r="J11" s="1" t="s">
        <v>247</v>
      </c>
      <c r="K11" s="1" t="s">
        <v>63</v>
      </c>
      <c r="L11" s="1" t="s">
        <v>254</v>
      </c>
      <c r="M11" s="1" t="s">
        <v>249</v>
      </c>
      <c r="N11" s="1" t="s">
        <v>40</v>
      </c>
      <c r="O11" s="1" t="s">
        <v>41</v>
      </c>
      <c r="P11">
        <v>6</v>
      </c>
      <c r="Q11">
        <v>6</v>
      </c>
      <c r="R11" s="1" t="s">
        <v>32</v>
      </c>
      <c r="S11">
        <v>99.13</v>
      </c>
      <c r="T11">
        <v>594.78</v>
      </c>
      <c r="U11">
        <v>503.4</v>
      </c>
      <c r="V11" s="1" t="s">
        <v>144</v>
      </c>
      <c r="W11" s="1">
        <f>Sales[[#This Row],[NET_VALUE]]-Sales[[#This Row],[COST]]</f>
        <v>91.38</v>
      </c>
    </row>
    <row r="12" spans="1:23" x14ac:dyDescent="0.2">
      <c r="A12" s="1" t="s">
        <v>53</v>
      </c>
      <c r="B12">
        <v>11</v>
      </c>
      <c r="C12" s="1" t="s">
        <v>28</v>
      </c>
      <c r="D12" s="1" t="s">
        <v>81</v>
      </c>
      <c r="E12" s="1" t="s">
        <v>296</v>
      </c>
      <c r="F12" s="1" t="s">
        <v>297</v>
      </c>
      <c r="G12">
        <v>2</v>
      </c>
      <c r="H12">
        <v>7</v>
      </c>
      <c r="I12" s="1" t="s">
        <v>321</v>
      </c>
      <c r="J12" s="1" t="s">
        <v>293</v>
      </c>
      <c r="K12" s="1" t="s">
        <v>49</v>
      </c>
      <c r="L12" s="1" t="s">
        <v>248</v>
      </c>
      <c r="M12" s="1" t="s">
        <v>249</v>
      </c>
      <c r="N12" s="1" t="s">
        <v>29</v>
      </c>
      <c r="O12" s="1" t="s">
        <v>30</v>
      </c>
      <c r="P12">
        <v>54</v>
      </c>
      <c r="Q12">
        <v>54</v>
      </c>
      <c r="R12" s="1" t="s">
        <v>32</v>
      </c>
      <c r="S12">
        <v>29.35</v>
      </c>
      <c r="T12">
        <v>1584.9</v>
      </c>
      <c r="U12">
        <v>1275.48</v>
      </c>
      <c r="V12" s="1" t="s">
        <v>144</v>
      </c>
      <c r="W12" s="1">
        <f>Sales[[#This Row],[NET_VALUE]]-Sales[[#This Row],[COST]]</f>
        <v>309.42000000000007</v>
      </c>
    </row>
    <row r="13" spans="1:23" x14ac:dyDescent="0.2">
      <c r="A13" s="1" t="s">
        <v>54</v>
      </c>
      <c r="B13">
        <v>12</v>
      </c>
      <c r="C13" s="1" t="s">
        <v>28</v>
      </c>
      <c r="D13" s="1" t="s">
        <v>81</v>
      </c>
      <c r="E13" s="1" t="s">
        <v>296</v>
      </c>
      <c r="F13" s="1" t="s">
        <v>297</v>
      </c>
      <c r="G13">
        <v>2</v>
      </c>
      <c r="H13">
        <v>7</v>
      </c>
      <c r="I13" s="1" t="s">
        <v>321</v>
      </c>
      <c r="J13" s="1" t="s">
        <v>247</v>
      </c>
      <c r="K13" s="1" t="s">
        <v>49</v>
      </c>
      <c r="L13" s="1" t="s">
        <v>248</v>
      </c>
      <c r="M13" s="1" t="s">
        <v>249</v>
      </c>
      <c r="N13" s="1" t="s">
        <v>34</v>
      </c>
      <c r="O13" s="1" t="s">
        <v>35</v>
      </c>
      <c r="P13">
        <v>20</v>
      </c>
      <c r="Q13">
        <v>20</v>
      </c>
      <c r="R13" s="1" t="s">
        <v>32</v>
      </c>
      <c r="S13">
        <v>85.38</v>
      </c>
      <c r="T13">
        <v>1707.6</v>
      </c>
      <c r="U13">
        <v>1460.6</v>
      </c>
      <c r="V13" s="1" t="s">
        <v>144</v>
      </c>
      <c r="W13" s="1">
        <f>Sales[[#This Row],[NET_VALUE]]-Sales[[#This Row],[COST]]</f>
        <v>247</v>
      </c>
    </row>
    <row r="14" spans="1:23" x14ac:dyDescent="0.2">
      <c r="A14" s="1" t="s">
        <v>55</v>
      </c>
      <c r="B14">
        <v>13</v>
      </c>
      <c r="C14" s="1" t="s">
        <v>28</v>
      </c>
      <c r="D14" s="1" t="s">
        <v>81</v>
      </c>
      <c r="E14" s="1" t="s">
        <v>296</v>
      </c>
      <c r="F14" s="1" t="s">
        <v>297</v>
      </c>
      <c r="G14">
        <v>2</v>
      </c>
      <c r="H14">
        <v>7</v>
      </c>
      <c r="I14" s="1" t="s">
        <v>321</v>
      </c>
      <c r="J14" s="1" t="s">
        <v>291</v>
      </c>
      <c r="K14" s="1" t="s">
        <v>49</v>
      </c>
      <c r="L14" s="1" t="s">
        <v>248</v>
      </c>
      <c r="M14" s="1" t="s">
        <v>249</v>
      </c>
      <c r="N14" s="1" t="s">
        <v>37</v>
      </c>
      <c r="O14" s="1" t="s">
        <v>38</v>
      </c>
      <c r="P14">
        <v>61</v>
      </c>
      <c r="Q14">
        <v>61</v>
      </c>
      <c r="R14" s="1" t="s">
        <v>32</v>
      </c>
      <c r="S14">
        <v>34.07</v>
      </c>
      <c r="T14">
        <v>2078.27</v>
      </c>
      <c r="U14">
        <v>1608.57</v>
      </c>
      <c r="V14" s="1" t="s">
        <v>144</v>
      </c>
      <c r="W14" s="1">
        <f>Sales[[#This Row],[NET_VALUE]]-Sales[[#This Row],[COST]]</f>
        <v>469.70000000000005</v>
      </c>
    </row>
    <row r="15" spans="1:23" x14ac:dyDescent="0.2">
      <c r="A15" s="1" t="s">
        <v>57</v>
      </c>
      <c r="B15">
        <v>14</v>
      </c>
      <c r="C15" s="1" t="s">
        <v>28</v>
      </c>
      <c r="D15" s="1" t="s">
        <v>81</v>
      </c>
      <c r="E15" s="1" t="s">
        <v>296</v>
      </c>
      <c r="F15" s="1" t="s">
        <v>297</v>
      </c>
      <c r="G15">
        <v>2</v>
      </c>
      <c r="H15">
        <v>7</v>
      </c>
      <c r="I15" s="1" t="s">
        <v>321</v>
      </c>
      <c r="J15" s="1" t="s">
        <v>322</v>
      </c>
      <c r="K15" s="1" t="s">
        <v>49</v>
      </c>
      <c r="L15" s="1" t="s">
        <v>248</v>
      </c>
      <c r="M15" s="1" t="s">
        <v>249</v>
      </c>
      <c r="N15" s="1" t="s">
        <v>37</v>
      </c>
      <c r="O15" s="1" t="s">
        <v>38</v>
      </c>
      <c r="P15">
        <v>10</v>
      </c>
      <c r="Q15">
        <v>10</v>
      </c>
      <c r="R15" s="1" t="s">
        <v>32</v>
      </c>
      <c r="S15">
        <v>34.07</v>
      </c>
      <c r="T15">
        <v>340.7</v>
      </c>
      <c r="U15">
        <v>263.7</v>
      </c>
      <c r="V15" s="1" t="s">
        <v>144</v>
      </c>
      <c r="W15" s="1">
        <f>Sales[[#This Row],[NET_VALUE]]-Sales[[#This Row],[COST]]</f>
        <v>77</v>
      </c>
    </row>
    <row r="16" spans="1:23" x14ac:dyDescent="0.2">
      <c r="A16" s="1" t="s">
        <v>58</v>
      </c>
      <c r="B16">
        <v>15</v>
      </c>
      <c r="C16" s="1" t="s">
        <v>28</v>
      </c>
      <c r="D16" s="1" t="s">
        <v>81</v>
      </c>
      <c r="E16" s="1" t="s">
        <v>296</v>
      </c>
      <c r="F16" s="1" t="s">
        <v>297</v>
      </c>
      <c r="G16">
        <v>2</v>
      </c>
      <c r="H16">
        <v>7</v>
      </c>
      <c r="I16" s="1" t="s">
        <v>323</v>
      </c>
      <c r="J16" s="1" t="s">
        <v>247</v>
      </c>
      <c r="K16" s="1" t="s">
        <v>56</v>
      </c>
      <c r="L16" s="1" t="s">
        <v>251</v>
      </c>
      <c r="M16" s="1" t="s">
        <v>249</v>
      </c>
      <c r="N16" s="1" t="s">
        <v>37</v>
      </c>
      <c r="O16" s="1" t="s">
        <v>38</v>
      </c>
      <c r="P16">
        <v>65</v>
      </c>
      <c r="Q16">
        <v>65</v>
      </c>
      <c r="R16" s="1" t="s">
        <v>32</v>
      </c>
      <c r="S16">
        <v>34.07</v>
      </c>
      <c r="T16">
        <v>2214.5500000000002</v>
      </c>
      <c r="U16">
        <v>1714.05</v>
      </c>
      <c r="V16" s="1" t="s">
        <v>144</v>
      </c>
      <c r="W16" s="1">
        <f>Sales[[#This Row],[NET_VALUE]]-Sales[[#This Row],[COST]]</f>
        <v>500.50000000000023</v>
      </c>
    </row>
    <row r="17" spans="1:23" x14ac:dyDescent="0.2">
      <c r="A17" s="1" t="s">
        <v>59</v>
      </c>
      <c r="B17">
        <v>16</v>
      </c>
      <c r="C17" s="1" t="s">
        <v>28</v>
      </c>
      <c r="D17" s="1" t="s">
        <v>81</v>
      </c>
      <c r="E17" s="1" t="s">
        <v>296</v>
      </c>
      <c r="F17" s="1" t="s">
        <v>297</v>
      </c>
      <c r="G17">
        <v>2</v>
      </c>
      <c r="H17">
        <v>7</v>
      </c>
      <c r="I17" s="1" t="s">
        <v>324</v>
      </c>
      <c r="J17" s="1" t="s">
        <v>247</v>
      </c>
      <c r="K17" s="1" t="s">
        <v>63</v>
      </c>
      <c r="L17" s="1" t="s">
        <v>254</v>
      </c>
      <c r="M17" s="1" t="s">
        <v>249</v>
      </c>
      <c r="N17" s="1" t="s">
        <v>40</v>
      </c>
      <c r="O17" s="1" t="s">
        <v>41</v>
      </c>
      <c r="P17">
        <v>17</v>
      </c>
      <c r="Q17">
        <v>17</v>
      </c>
      <c r="R17" s="1" t="s">
        <v>32</v>
      </c>
      <c r="S17">
        <v>99.13</v>
      </c>
      <c r="T17">
        <v>1685.21</v>
      </c>
      <c r="U17">
        <v>1434.63</v>
      </c>
      <c r="V17" s="1" t="s">
        <v>144</v>
      </c>
      <c r="W17" s="1">
        <f>Sales[[#This Row],[NET_VALUE]]-Sales[[#This Row],[COST]]</f>
        <v>250.57999999999993</v>
      </c>
    </row>
    <row r="18" spans="1:23" x14ac:dyDescent="0.2">
      <c r="A18" s="1" t="s">
        <v>60</v>
      </c>
      <c r="B18">
        <v>17</v>
      </c>
      <c r="C18" s="1" t="s">
        <v>28</v>
      </c>
      <c r="D18" s="1" t="s">
        <v>81</v>
      </c>
      <c r="E18" s="1" t="s">
        <v>326</v>
      </c>
      <c r="F18" s="1" t="s">
        <v>327</v>
      </c>
      <c r="G18">
        <v>2</v>
      </c>
      <c r="H18">
        <v>8</v>
      </c>
      <c r="I18" s="1" t="s">
        <v>351</v>
      </c>
      <c r="J18" s="1" t="s">
        <v>247</v>
      </c>
      <c r="K18" s="1" t="s">
        <v>49</v>
      </c>
      <c r="L18" s="1" t="s">
        <v>248</v>
      </c>
      <c r="M18" s="1" t="s">
        <v>249</v>
      </c>
      <c r="N18" s="1" t="s">
        <v>29</v>
      </c>
      <c r="O18" s="1" t="s">
        <v>30</v>
      </c>
      <c r="P18">
        <v>76</v>
      </c>
      <c r="Q18">
        <v>76</v>
      </c>
      <c r="R18" s="1" t="s">
        <v>32</v>
      </c>
      <c r="S18">
        <v>29.35</v>
      </c>
      <c r="T18">
        <v>2230.6</v>
      </c>
      <c r="U18">
        <v>1795.12</v>
      </c>
      <c r="V18" s="1" t="s">
        <v>144</v>
      </c>
      <c r="W18" s="1">
        <f>Sales[[#This Row],[NET_VALUE]]-Sales[[#This Row],[COST]]</f>
        <v>435.48</v>
      </c>
    </row>
    <row r="19" spans="1:23" x14ac:dyDescent="0.2">
      <c r="A19" s="1" t="s">
        <v>61</v>
      </c>
      <c r="B19">
        <v>18</v>
      </c>
      <c r="C19" s="1" t="s">
        <v>28</v>
      </c>
      <c r="D19" s="1" t="s">
        <v>81</v>
      </c>
      <c r="E19" s="1" t="s">
        <v>326</v>
      </c>
      <c r="F19" s="1" t="s">
        <v>327</v>
      </c>
      <c r="G19">
        <v>2</v>
      </c>
      <c r="H19">
        <v>8</v>
      </c>
      <c r="I19" s="1" t="s">
        <v>351</v>
      </c>
      <c r="J19" s="1" t="s">
        <v>291</v>
      </c>
      <c r="K19" s="1" t="s">
        <v>49</v>
      </c>
      <c r="L19" s="1" t="s">
        <v>248</v>
      </c>
      <c r="M19" s="1" t="s">
        <v>249</v>
      </c>
      <c r="N19" s="1" t="s">
        <v>29</v>
      </c>
      <c r="O19" s="1" t="s">
        <v>30</v>
      </c>
      <c r="P19">
        <v>19</v>
      </c>
      <c r="Q19">
        <v>19</v>
      </c>
      <c r="R19" s="1" t="s">
        <v>32</v>
      </c>
      <c r="S19">
        <v>29.35</v>
      </c>
      <c r="T19">
        <v>557.65</v>
      </c>
      <c r="U19">
        <v>448.78</v>
      </c>
      <c r="V19" s="1" t="s">
        <v>144</v>
      </c>
      <c r="W19" s="1">
        <f>Sales[[#This Row],[NET_VALUE]]-Sales[[#This Row],[COST]]</f>
        <v>108.87</v>
      </c>
    </row>
    <row r="20" spans="1:23" x14ac:dyDescent="0.2">
      <c r="A20" s="1" t="s">
        <v>62</v>
      </c>
      <c r="B20">
        <v>19</v>
      </c>
      <c r="C20" s="1" t="s">
        <v>28</v>
      </c>
      <c r="D20" s="1" t="s">
        <v>81</v>
      </c>
      <c r="E20" s="1" t="s">
        <v>326</v>
      </c>
      <c r="F20" s="1" t="s">
        <v>327</v>
      </c>
      <c r="G20">
        <v>2</v>
      </c>
      <c r="H20">
        <v>8</v>
      </c>
      <c r="I20" s="1" t="s">
        <v>352</v>
      </c>
      <c r="J20" s="1" t="s">
        <v>247</v>
      </c>
      <c r="K20" s="1" t="s">
        <v>49</v>
      </c>
      <c r="L20" s="1" t="s">
        <v>248</v>
      </c>
      <c r="M20" s="1" t="s">
        <v>249</v>
      </c>
      <c r="N20" s="1" t="s">
        <v>29</v>
      </c>
      <c r="O20" s="1" t="s">
        <v>30</v>
      </c>
      <c r="P20">
        <v>81</v>
      </c>
      <c r="Q20">
        <v>81</v>
      </c>
      <c r="R20" s="1" t="s">
        <v>32</v>
      </c>
      <c r="S20">
        <v>29.35</v>
      </c>
      <c r="T20">
        <v>2377.35</v>
      </c>
      <c r="U20">
        <v>1913.22</v>
      </c>
      <c r="V20" s="1" t="s">
        <v>144</v>
      </c>
      <c r="W20" s="1">
        <f>Sales[[#This Row],[NET_VALUE]]-Sales[[#This Row],[COST]]</f>
        <v>464.12999999999988</v>
      </c>
    </row>
    <row r="21" spans="1:23" x14ac:dyDescent="0.2">
      <c r="A21" s="1" t="s">
        <v>64</v>
      </c>
      <c r="B21">
        <v>20</v>
      </c>
      <c r="C21" s="1" t="s">
        <v>28</v>
      </c>
      <c r="D21" s="1" t="s">
        <v>81</v>
      </c>
      <c r="E21" s="1" t="s">
        <v>326</v>
      </c>
      <c r="F21" s="1" t="s">
        <v>327</v>
      </c>
      <c r="G21">
        <v>2</v>
      </c>
      <c r="H21">
        <v>8</v>
      </c>
      <c r="I21" s="1" t="s">
        <v>352</v>
      </c>
      <c r="J21" s="1" t="s">
        <v>291</v>
      </c>
      <c r="K21" s="1" t="s">
        <v>49</v>
      </c>
      <c r="L21" s="1" t="s">
        <v>248</v>
      </c>
      <c r="M21" s="1" t="s">
        <v>249</v>
      </c>
      <c r="N21" s="1" t="s">
        <v>37</v>
      </c>
      <c r="O21" s="1" t="s">
        <v>38</v>
      </c>
      <c r="P21">
        <v>44</v>
      </c>
      <c r="Q21">
        <v>44</v>
      </c>
      <c r="R21" s="1" t="s">
        <v>32</v>
      </c>
      <c r="S21">
        <v>34.07</v>
      </c>
      <c r="T21">
        <v>1499.08</v>
      </c>
      <c r="U21">
        <v>1160.28</v>
      </c>
      <c r="V21" s="1" t="s">
        <v>144</v>
      </c>
      <c r="W21" s="1">
        <f>Sales[[#This Row],[NET_VALUE]]-Sales[[#This Row],[COST]]</f>
        <v>338.79999999999995</v>
      </c>
    </row>
    <row r="22" spans="1:23" x14ac:dyDescent="0.2">
      <c r="A22" s="1" t="s">
        <v>65</v>
      </c>
      <c r="B22">
        <v>21</v>
      </c>
      <c r="C22" s="1" t="s">
        <v>28</v>
      </c>
      <c r="D22" s="1" t="s">
        <v>81</v>
      </c>
      <c r="E22" s="1" t="s">
        <v>326</v>
      </c>
      <c r="F22" s="1" t="s">
        <v>327</v>
      </c>
      <c r="G22">
        <v>2</v>
      </c>
      <c r="H22">
        <v>8</v>
      </c>
      <c r="I22" s="1" t="s">
        <v>353</v>
      </c>
      <c r="J22" s="1" t="s">
        <v>247</v>
      </c>
      <c r="K22" s="1" t="s">
        <v>56</v>
      </c>
      <c r="L22" s="1" t="s">
        <v>251</v>
      </c>
      <c r="M22" s="1" t="s">
        <v>249</v>
      </c>
      <c r="N22" s="1" t="s">
        <v>29</v>
      </c>
      <c r="O22" s="1" t="s">
        <v>30</v>
      </c>
      <c r="P22">
        <v>60</v>
      </c>
      <c r="Q22">
        <v>60</v>
      </c>
      <c r="R22" s="1" t="s">
        <v>32</v>
      </c>
      <c r="S22">
        <v>29.35</v>
      </c>
      <c r="T22">
        <v>1761</v>
      </c>
      <c r="U22">
        <v>1417.2</v>
      </c>
      <c r="V22" s="1" t="s">
        <v>144</v>
      </c>
      <c r="W22" s="1">
        <f>Sales[[#This Row],[NET_VALUE]]-Sales[[#This Row],[COST]]</f>
        <v>343.79999999999995</v>
      </c>
    </row>
    <row r="23" spans="1:23" x14ac:dyDescent="0.2">
      <c r="A23" s="1" t="s">
        <v>66</v>
      </c>
      <c r="B23">
        <v>22</v>
      </c>
      <c r="C23" s="1" t="s">
        <v>28</v>
      </c>
      <c r="D23" s="1" t="s">
        <v>81</v>
      </c>
      <c r="E23" s="1" t="s">
        <v>326</v>
      </c>
      <c r="F23" s="1" t="s">
        <v>327</v>
      </c>
      <c r="G23">
        <v>2</v>
      </c>
      <c r="H23">
        <v>8</v>
      </c>
      <c r="I23" s="1" t="s">
        <v>354</v>
      </c>
      <c r="J23" s="1" t="s">
        <v>247</v>
      </c>
      <c r="K23" s="1" t="s">
        <v>63</v>
      </c>
      <c r="L23" s="1" t="s">
        <v>254</v>
      </c>
      <c r="M23" s="1" t="s">
        <v>249</v>
      </c>
      <c r="N23" s="1" t="s">
        <v>37</v>
      </c>
      <c r="O23" s="1" t="s">
        <v>38</v>
      </c>
      <c r="P23">
        <v>44</v>
      </c>
      <c r="Q23">
        <v>44</v>
      </c>
      <c r="R23" s="1" t="s">
        <v>32</v>
      </c>
      <c r="S23">
        <v>34.07</v>
      </c>
      <c r="T23">
        <v>1499.08</v>
      </c>
      <c r="U23">
        <v>1160.28</v>
      </c>
      <c r="V23" s="1" t="s">
        <v>144</v>
      </c>
      <c r="W23" s="1">
        <f>Sales[[#This Row],[NET_VALUE]]-Sales[[#This Row],[COST]]</f>
        <v>338.79999999999995</v>
      </c>
    </row>
    <row r="24" spans="1:23" x14ac:dyDescent="0.2">
      <c r="A24" s="1" t="s">
        <v>67</v>
      </c>
      <c r="B24">
        <v>23</v>
      </c>
      <c r="C24" s="1" t="s">
        <v>28</v>
      </c>
      <c r="D24" s="1" t="s">
        <v>81</v>
      </c>
      <c r="E24" s="1" t="s">
        <v>326</v>
      </c>
      <c r="F24" s="1" t="s">
        <v>327</v>
      </c>
      <c r="G24">
        <v>2</v>
      </c>
      <c r="H24">
        <v>8</v>
      </c>
      <c r="I24" s="1" t="s">
        <v>354</v>
      </c>
      <c r="J24" s="1" t="s">
        <v>291</v>
      </c>
      <c r="K24" s="1" t="s">
        <v>63</v>
      </c>
      <c r="L24" s="1" t="s">
        <v>254</v>
      </c>
      <c r="M24" s="1" t="s">
        <v>249</v>
      </c>
      <c r="N24" s="1" t="s">
        <v>40</v>
      </c>
      <c r="O24" s="1" t="s">
        <v>41</v>
      </c>
      <c r="P24">
        <v>19</v>
      </c>
      <c r="Q24">
        <v>19</v>
      </c>
      <c r="R24" s="1" t="s">
        <v>32</v>
      </c>
      <c r="S24">
        <v>99.13</v>
      </c>
      <c r="T24">
        <v>1883.47</v>
      </c>
      <c r="U24">
        <v>1603.41</v>
      </c>
      <c r="V24" s="1" t="s">
        <v>144</v>
      </c>
      <c r="W24" s="1">
        <f>Sales[[#This Row],[NET_VALUE]]-Sales[[#This Row],[COST]]</f>
        <v>280.05999999999995</v>
      </c>
    </row>
    <row r="25" spans="1:23" x14ac:dyDescent="0.2">
      <c r="A25" s="1" t="s">
        <v>68</v>
      </c>
      <c r="B25">
        <v>24</v>
      </c>
      <c r="C25" s="1" t="s">
        <v>28</v>
      </c>
      <c r="D25" s="1" t="s">
        <v>81</v>
      </c>
      <c r="E25" s="1" t="s">
        <v>326</v>
      </c>
      <c r="F25" s="1" t="s">
        <v>327</v>
      </c>
      <c r="G25">
        <v>2</v>
      </c>
      <c r="H25">
        <v>8</v>
      </c>
      <c r="I25" s="1" t="s">
        <v>355</v>
      </c>
      <c r="J25" s="1" t="s">
        <v>247</v>
      </c>
      <c r="K25" s="1" t="s">
        <v>63</v>
      </c>
      <c r="L25" s="1" t="s">
        <v>254</v>
      </c>
      <c r="M25" s="1" t="s">
        <v>249</v>
      </c>
      <c r="N25" s="1" t="s">
        <v>40</v>
      </c>
      <c r="O25" s="1" t="s">
        <v>41</v>
      </c>
      <c r="P25">
        <v>17</v>
      </c>
      <c r="Q25">
        <v>17</v>
      </c>
      <c r="R25" s="1" t="s">
        <v>32</v>
      </c>
      <c r="S25">
        <v>99.13</v>
      </c>
      <c r="T25">
        <v>1685.21</v>
      </c>
      <c r="U25">
        <v>1434.63</v>
      </c>
      <c r="V25" s="1" t="s">
        <v>144</v>
      </c>
      <c r="W25" s="1">
        <f>Sales[[#This Row],[NET_VALUE]]-Sales[[#This Row],[COST]]</f>
        <v>250.57999999999993</v>
      </c>
    </row>
    <row r="26" spans="1:23" x14ac:dyDescent="0.2">
      <c r="A26" s="1" t="s">
        <v>111</v>
      </c>
      <c r="B26">
        <v>25</v>
      </c>
      <c r="C26" s="1" t="s">
        <v>28</v>
      </c>
      <c r="D26" s="1" t="s">
        <v>81</v>
      </c>
      <c r="E26" s="1" t="s">
        <v>357</v>
      </c>
      <c r="F26" s="1" t="s">
        <v>358</v>
      </c>
      <c r="G26">
        <v>2</v>
      </c>
      <c r="H26">
        <v>9</v>
      </c>
      <c r="I26" s="1" t="s">
        <v>382</v>
      </c>
      <c r="J26" s="1" t="s">
        <v>247</v>
      </c>
      <c r="K26" s="1" t="s">
        <v>49</v>
      </c>
      <c r="L26" s="1" t="s">
        <v>248</v>
      </c>
      <c r="M26" s="1" t="s">
        <v>249</v>
      </c>
      <c r="N26" s="1" t="s">
        <v>29</v>
      </c>
      <c r="O26" s="1" t="s">
        <v>30</v>
      </c>
      <c r="P26">
        <v>54</v>
      </c>
      <c r="Q26">
        <v>54</v>
      </c>
      <c r="R26" s="1" t="s">
        <v>32</v>
      </c>
      <c r="S26">
        <v>29.35</v>
      </c>
      <c r="T26">
        <v>1584.9</v>
      </c>
      <c r="U26">
        <v>1275.48</v>
      </c>
      <c r="V26" s="1" t="s">
        <v>144</v>
      </c>
      <c r="W26" s="1">
        <f>Sales[[#This Row],[NET_VALUE]]-Sales[[#This Row],[COST]]</f>
        <v>309.42000000000007</v>
      </c>
    </row>
    <row r="27" spans="1:23" x14ac:dyDescent="0.2">
      <c r="A27" s="1" t="s">
        <v>114</v>
      </c>
      <c r="B27">
        <v>26</v>
      </c>
      <c r="C27" s="1" t="s">
        <v>28</v>
      </c>
      <c r="D27" s="1" t="s">
        <v>81</v>
      </c>
      <c r="E27" s="1" t="s">
        <v>357</v>
      </c>
      <c r="F27" s="1" t="s">
        <v>358</v>
      </c>
      <c r="G27">
        <v>2</v>
      </c>
      <c r="H27">
        <v>9</v>
      </c>
      <c r="I27" s="1" t="s">
        <v>383</v>
      </c>
      <c r="J27" s="1" t="s">
        <v>247</v>
      </c>
      <c r="K27" s="1" t="s">
        <v>49</v>
      </c>
      <c r="L27" s="1" t="s">
        <v>248</v>
      </c>
      <c r="M27" s="1" t="s">
        <v>249</v>
      </c>
      <c r="N27" s="1" t="s">
        <v>37</v>
      </c>
      <c r="O27" s="1" t="s">
        <v>38</v>
      </c>
      <c r="P27">
        <v>57</v>
      </c>
      <c r="Q27">
        <v>57</v>
      </c>
      <c r="R27" s="1" t="s">
        <v>32</v>
      </c>
      <c r="S27">
        <v>34.07</v>
      </c>
      <c r="T27">
        <v>1941.99</v>
      </c>
      <c r="U27">
        <v>1503.09</v>
      </c>
      <c r="V27" s="1" t="s">
        <v>144</v>
      </c>
      <c r="W27" s="1">
        <f>Sales[[#This Row],[NET_VALUE]]-Sales[[#This Row],[COST]]</f>
        <v>438.90000000000009</v>
      </c>
    </row>
    <row r="28" spans="1:23" x14ac:dyDescent="0.2">
      <c r="A28" s="1" t="s">
        <v>115</v>
      </c>
      <c r="B28">
        <v>27</v>
      </c>
      <c r="C28" s="1" t="s">
        <v>28</v>
      </c>
      <c r="D28" s="1" t="s">
        <v>81</v>
      </c>
      <c r="E28" s="1" t="s">
        <v>357</v>
      </c>
      <c r="F28" s="1" t="s">
        <v>358</v>
      </c>
      <c r="G28">
        <v>2</v>
      </c>
      <c r="H28">
        <v>9</v>
      </c>
      <c r="I28" s="1" t="s">
        <v>383</v>
      </c>
      <c r="J28" s="1" t="s">
        <v>291</v>
      </c>
      <c r="K28" s="1" t="s">
        <v>49</v>
      </c>
      <c r="L28" s="1" t="s">
        <v>248</v>
      </c>
      <c r="M28" s="1" t="s">
        <v>249</v>
      </c>
      <c r="N28" s="1" t="s">
        <v>43</v>
      </c>
      <c r="O28" s="1" t="s">
        <v>44</v>
      </c>
      <c r="P28">
        <v>26</v>
      </c>
      <c r="Q28">
        <v>26</v>
      </c>
      <c r="R28" s="1" t="s">
        <v>32</v>
      </c>
      <c r="S28">
        <v>70.86</v>
      </c>
      <c r="T28">
        <v>1842.36</v>
      </c>
      <c r="U28">
        <v>1576.64</v>
      </c>
      <c r="V28" s="1" t="s">
        <v>144</v>
      </c>
      <c r="W28" s="1">
        <f>Sales[[#This Row],[NET_VALUE]]-Sales[[#This Row],[COST]]</f>
        <v>265.7199999999998</v>
      </c>
    </row>
    <row r="29" spans="1:23" x14ac:dyDescent="0.2">
      <c r="A29" s="1" t="s">
        <v>116</v>
      </c>
      <c r="B29">
        <v>28</v>
      </c>
      <c r="C29" s="1" t="s">
        <v>28</v>
      </c>
      <c r="D29" s="1" t="s">
        <v>81</v>
      </c>
      <c r="E29" s="1" t="s">
        <v>357</v>
      </c>
      <c r="F29" s="1" t="s">
        <v>358</v>
      </c>
      <c r="G29">
        <v>2</v>
      </c>
      <c r="H29">
        <v>9</v>
      </c>
      <c r="I29" s="1" t="s">
        <v>384</v>
      </c>
      <c r="J29" s="1" t="s">
        <v>293</v>
      </c>
      <c r="K29" s="1" t="s">
        <v>56</v>
      </c>
      <c r="L29" s="1" t="s">
        <v>251</v>
      </c>
      <c r="M29" s="1" t="s">
        <v>249</v>
      </c>
      <c r="N29" s="1" t="s">
        <v>37</v>
      </c>
      <c r="O29" s="1" t="s">
        <v>38</v>
      </c>
      <c r="P29">
        <v>54</v>
      </c>
      <c r="Q29">
        <v>54</v>
      </c>
      <c r="R29" s="1" t="s">
        <v>32</v>
      </c>
      <c r="S29">
        <v>34.07</v>
      </c>
      <c r="T29">
        <v>1839.78</v>
      </c>
      <c r="U29">
        <v>1423.98</v>
      </c>
      <c r="V29" s="1" t="s">
        <v>144</v>
      </c>
      <c r="W29" s="1">
        <f>Sales[[#This Row],[NET_VALUE]]-Sales[[#This Row],[COST]]</f>
        <v>415.79999999999995</v>
      </c>
    </row>
    <row r="30" spans="1:23" x14ac:dyDescent="0.2">
      <c r="A30" s="1" t="s">
        <v>117</v>
      </c>
      <c r="B30">
        <v>29</v>
      </c>
      <c r="C30" s="1" t="s">
        <v>28</v>
      </c>
      <c r="D30" s="1" t="s">
        <v>81</v>
      </c>
      <c r="E30" s="1" t="s">
        <v>357</v>
      </c>
      <c r="F30" s="1" t="s">
        <v>358</v>
      </c>
      <c r="G30">
        <v>2</v>
      </c>
      <c r="H30">
        <v>9</v>
      </c>
      <c r="I30" s="1" t="s">
        <v>384</v>
      </c>
      <c r="J30" s="1" t="s">
        <v>291</v>
      </c>
      <c r="K30" s="1" t="s">
        <v>56</v>
      </c>
      <c r="L30" s="1" t="s">
        <v>251</v>
      </c>
      <c r="M30" s="1" t="s">
        <v>249</v>
      </c>
      <c r="N30" s="1" t="s">
        <v>37</v>
      </c>
      <c r="O30" s="1" t="s">
        <v>38</v>
      </c>
      <c r="P30">
        <v>56</v>
      </c>
      <c r="Q30">
        <v>56</v>
      </c>
      <c r="R30" s="1" t="s">
        <v>32</v>
      </c>
      <c r="S30">
        <v>34.07</v>
      </c>
      <c r="T30">
        <v>1907.92</v>
      </c>
      <c r="U30">
        <v>1476.72</v>
      </c>
      <c r="V30" s="1" t="s">
        <v>144</v>
      </c>
      <c r="W30" s="1">
        <f>Sales[[#This Row],[NET_VALUE]]-Sales[[#This Row],[COST]]</f>
        <v>431.20000000000005</v>
      </c>
    </row>
    <row r="31" spans="1:23" x14ac:dyDescent="0.2">
      <c r="A31" s="1" t="s">
        <v>118</v>
      </c>
      <c r="B31">
        <v>30</v>
      </c>
      <c r="C31" s="1" t="s">
        <v>28</v>
      </c>
      <c r="D31" s="1" t="s">
        <v>81</v>
      </c>
      <c r="E31" s="1" t="s">
        <v>357</v>
      </c>
      <c r="F31" s="1" t="s">
        <v>358</v>
      </c>
      <c r="G31">
        <v>2</v>
      </c>
      <c r="H31">
        <v>9</v>
      </c>
      <c r="I31" s="1" t="s">
        <v>384</v>
      </c>
      <c r="J31" s="1" t="s">
        <v>247</v>
      </c>
      <c r="K31" s="1" t="s">
        <v>56</v>
      </c>
      <c r="L31" s="1" t="s">
        <v>251</v>
      </c>
      <c r="M31" s="1" t="s">
        <v>249</v>
      </c>
      <c r="N31" s="1" t="s">
        <v>43</v>
      </c>
      <c r="O31" s="1" t="s">
        <v>44</v>
      </c>
      <c r="P31">
        <v>31</v>
      </c>
      <c r="Q31">
        <v>31</v>
      </c>
      <c r="R31" s="1" t="s">
        <v>32</v>
      </c>
      <c r="S31">
        <v>70.86</v>
      </c>
      <c r="T31">
        <v>2196.66</v>
      </c>
      <c r="U31">
        <v>1879.84</v>
      </c>
      <c r="V31" s="1" t="s">
        <v>144</v>
      </c>
      <c r="W31" s="1">
        <f>Sales[[#This Row],[NET_VALUE]]-Sales[[#This Row],[COST]]</f>
        <v>316.81999999999994</v>
      </c>
    </row>
    <row r="32" spans="1:23" x14ac:dyDescent="0.2">
      <c r="A32" s="1" t="s">
        <v>119</v>
      </c>
      <c r="B32">
        <v>31</v>
      </c>
      <c r="C32" s="1" t="s">
        <v>28</v>
      </c>
      <c r="D32" s="1" t="s">
        <v>81</v>
      </c>
      <c r="E32" s="1" t="s">
        <v>357</v>
      </c>
      <c r="F32" s="1" t="s">
        <v>358</v>
      </c>
      <c r="G32">
        <v>2</v>
      </c>
      <c r="H32">
        <v>9</v>
      </c>
      <c r="I32" s="1" t="s">
        <v>385</v>
      </c>
      <c r="J32" s="1" t="s">
        <v>247</v>
      </c>
      <c r="K32" s="1" t="s">
        <v>63</v>
      </c>
      <c r="L32" s="1" t="s">
        <v>254</v>
      </c>
      <c r="M32" s="1" t="s">
        <v>249</v>
      </c>
      <c r="N32" s="1" t="s">
        <v>40</v>
      </c>
      <c r="O32" s="1" t="s">
        <v>41</v>
      </c>
      <c r="P32">
        <v>23</v>
      </c>
      <c r="Q32">
        <v>23</v>
      </c>
      <c r="R32" s="1" t="s">
        <v>32</v>
      </c>
      <c r="S32">
        <v>99.13</v>
      </c>
      <c r="T32">
        <v>2279.9899999999998</v>
      </c>
      <c r="U32">
        <v>1940.97</v>
      </c>
      <c r="V32" s="1" t="s">
        <v>144</v>
      </c>
      <c r="W32" s="1">
        <f>Sales[[#This Row],[NET_VALUE]]-Sales[[#This Row],[COST]]</f>
        <v>339.01999999999975</v>
      </c>
    </row>
    <row r="33" spans="1:23" x14ac:dyDescent="0.2">
      <c r="A33" s="1" t="s">
        <v>120</v>
      </c>
      <c r="B33">
        <v>32</v>
      </c>
      <c r="C33" s="1" t="s">
        <v>28</v>
      </c>
      <c r="D33" s="1" t="s">
        <v>81</v>
      </c>
      <c r="E33" s="1" t="s">
        <v>387</v>
      </c>
      <c r="F33" s="1" t="s">
        <v>388</v>
      </c>
      <c r="G33">
        <v>2</v>
      </c>
      <c r="H33">
        <v>10</v>
      </c>
      <c r="I33" s="1" t="s">
        <v>412</v>
      </c>
      <c r="J33" s="1" t="s">
        <v>291</v>
      </c>
      <c r="K33" s="1" t="s">
        <v>49</v>
      </c>
      <c r="L33" s="1" t="s">
        <v>248</v>
      </c>
      <c r="M33" s="1" t="s">
        <v>249</v>
      </c>
      <c r="N33" s="1" t="s">
        <v>34</v>
      </c>
      <c r="O33" s="1" t="s">
        <v>35</v>
      </c>
      <c r="P33">
        <v>19</v>
      </c>
      <c r="Q33">
        <v>19</v>
      </c>
      <c r="R33" s="1" t="s">
        <v>32</v>
      </c>
      <c r="S33">
        <v>85.38</v>
      </c>
      <c r="T33">
        <v>1622.22</v>
      </c>
      <c r="U33">
        <v>1387.57</v>
      </c>
      <c r="V33" s="1" t="s">
        <v>144</v>
      </c>
      <c r="W33" s="1">
        <f>Sales[[#This Row],[NET_VALUE]]-Sales[[#This Row],[COST]]</f>
        <v>234.65000000000009</v>
      </c>
    </row>
    <row r="34" spans="1:23" x14ac:dyDescent="0.2">
      <c r="A34" s="1" t="s">
        <v>121</v>
      </c>
      <c r="B34">
        <v>33</v>
      </c>
      <c r="C34" s="1" t="s">
        <v>28</v>
      </c>
      <c r="D34" s="1" t="s">
        <v>81</v>
      </c>
      <c r="E34" s="1" t="s">
        <v>387</v>
      </c>
      <c r="F34" s="1" t="s">
        <v>388</v>
      </c>
      <c r="G34">
        <v>2</v>
      </c>
      <c r="H34">
        <v>10</v>
      </c>
      <c r="I34" s="1" t="s">
        <v>412</v>
      </c>
      <c r="J34" s="1" t="s">
        <v>247</v>
      </c>
      <c r="K34" s="1" t="s">
        <v>49</v>
      </c>
      <c r="L34" s="1" t="s">
        <v>248</v>
      </c>
      <c r="M34" s="1" t="s">
        <v>249</v>
      </c>
      <c r="N34" s="1" t="s">
        <v>43</v>
      </c>
      <c r="O34" s="1" t="s">
        <v>44</v>
      </c>
      <c r="P34">
        <v>6</v>
      </c>
      <c r="Q34">
        <v>6</v>
      </c>
      <c r="R34" s="1" t="s">
        <v>32</v>
      </c>
      <c r="S34">
        <v>70.86</v>
      </c>
      <c r="T34">
        <v>425.16</v>
      </c>
      <c r="U34">
        <v>363.84</v>
      </c>
      <c r="V34" s="1" t="s">
        <v>144</v>
      </c>
      <c r="W34" s="1">
        <f>Sales[[#This Row],[NET_VALUE]]-Sales[[#This Row],[COST]]</f>
        <v>61.32000000000005</v>
      </c>
    </row>
    <row r="35" spans="1:23" x14ac:dyDescent="0.2">
      <c r="A35" s="1" t="s">
        <v>122</v>
      </c>
      <c r="B35">
        <v>34</v>
      </c>
      <c r="C35" s="1" t="s">
        <v>28</v>
      </c>
      <c r="D35" s="1" t="s">
        <v>112</v>
      </c>
      <c r="E35" s="1" t="s">
        <v>81</v>
      </c>
      <c r="F35" s="1" t="s">
        <v>414</v>
      </c>
      <c r="G35">
        <v>3</v>
      </c>
      <c r="H35">
        <v>11</v>
      </c>
      <c r="I35" s="1" t="s">
        <v>440</v>
      </c>
      <c r="J35" s="1" t="s">
        <v>291</v>
      </c>
      <c r="K35" s="1" t="s">
        <v>49</v>
      </c>
      <c r="L35" s="1" t="s">
        <v>248</v>
      </c>
      <c r="M35" s="1" t="s">
        <v>249</v>
      </c>
      <c r="N35" s="1" t="s">
        <v>29</v>
      </c>
      <c r="O35" s="1" t="s">
        <v>30</v>
      </c>
      <c r="P35">
        <v>71</v>
      </c>
      <c r="Q35">
        <v>71</v>
      </c>
      <c r="R35" s="1" t="s">
        <v>32</v>
      </c>
      <c r="S35">
        <v>29.35</v>
      </c>
      <c r="T35">
        <v>2083.85</v>
      </c>
      <c r="U35">
        <v>1677.02</v>
      </c>
      <c r="V35" s="1" t="s">
        <v>144</v>
      </c>
      <c r="W35" s="1">
        <f>Sales[[#This Row],[NET_VALUE]]-Sales[[#This Row],[COST]]</f>
        <v>406.82999999999993</v>
      </c>
    </row>
    <row r="36" spans="1:23" x14ac:dyDescent="0.2">
      <c r="A36" s="1" t="s">
        <v>123</v>
      </c>
      <c r="B36">
        <v>35</v>
      </c>
      <c r="C36" s="1" t="s">
        <v>28</v>
      </c>
      <c r="D36" s="1" t="s">
        <v>112</v>
      </c>
      <c r="E36" s="1" t="s">
        <v>81</v>
      </c>
      <c r="F36" s="1" t="s">
        <v>414</v>
      </c>
      <c r="G36">
        <v>3</v>
      </c>
      <c r="H36">
        <v>11</v>
      </c>
      <c r="I36" s="1" t="s">
        <v>440</v>
      </c>
      <c r="J36" s="1" t="s">
        <v>293</v>
      </c>
      <c r="K36" s="1" t="s">
        <v>49</v>
      </c>
      <c r="L36" s="1" t="s">
        <v>248</v>
      </c>
      <c r="M36" s="1" t="s">
        <v>249</v>
      </c>
      <c r="N36" s="1" t="s">
        <v>29</v>
      </c>
      <c r="O36" s="1" t="s">
        <v>30</v>
      </c>
      <c r="P36">
        <v>7</v>
      </c>
      <c r="Q36">
        <v>7</v>
      </c>
      <c r="R36" s="1" t="s">
        <v>32</v>
      </c>
      <c r="S36">
        <v>29.35</v>
      </c>
      <c r="T36">
        <v>205.45</v>
      </c>
      <c r="U36">
        <v>165.34</v>
      </c>
      <c r="V36" s="1" t="s">
        <v>144</v>
      </c>
      <c r="W36" s="1">
        <f>Sales[[#This Row],[NET_VALUE]]-Sales[[#This Row],[COST]]</f>
        <v>40.109999999999985</v>
      </c>
    </row>
    <row r="37" spans="1:23" x14ac:dyDescent="0.2">
      <c r="A37" s="1" t="s">
        <v>124</v>
      </c>
      <c r="B37">
        <v>36</v>
      </c>
      <c r="C37" s="1" t="s">
        <v>28</v>
      </c>
      <c r="D37" s="1" t="s">
        <v>112</v>
      </c>
      <c r="E37" s="1" t="s">
        <v>81</v>
      </c>
      <c r="F37" s="1" t="s">
        <v>414</v>
      </c>
      <c r="G37">
        <v>3</v>
      </c>
      <c r="H37">
        <v>11</v>
      </c>
      <c r="I37" s="1" t="s">
        <v>439</v>
      </c>
      <c r="J37" s="1" t="s">
        <v>247</v>
      </c>
      <c r="K37" s="1" t="s">
        <v>49</v>
      </c>
      <c r="L37" s="1" t="s">
        <v>248</v>
      </c>
      <c r="M37" s="1" t="s">
        <v>249</v>
      </c>
      <c r="N37" s="1" t="s">
        <v>29</v>
      </c>
      <c r="O37" s="1" t="s">
        <v>30</v>
      </c>
      <c r="P37">
        <v>64</v>
      </c>
      <c r="Q37">
        <v>64</v>
      </c>
      <c r="R37" s="1" t="s">
        <v>32</v>
      </c>
      <c r="S37">
        <v>29.35</v>
      </c>
      <c r="T37">
        <v>1878.4</v>
      </c>
      <c r="U37">
        <v>1511.68</v>
      </c>
      <c r="V37" s="1" t="s">
        <v>144</v>
      </c>
      <c r="W37" s="1">
        <f>Sales[[#This Row],[NET_VALUE]]-Sales[[#This Row],[COST]]</f>
        <v>366.72</v>
      </c>
    </row>
    <row r="38" spans="1:23" x14ac:dyDescent="0.2">
      <c r="A38" s="1" t="s">
        <v>125</v>
      </c>
      <c r="B38">
        <v>37</v>
      </c>
      <c r="C38" s="1" t="s">
        <v>28</v>
      </c>
      <c r="D38" s="1" t="s">
        <v>112</v>
      </c>
      <c r="E38" s="1" t="s">
        <v>81</v>
      </c>
      <c r="F38" s="1" t="s">
        <v>414</v>
      </c>
      <c r="G38">
        <v>3</v>
      </c>
      <c r="H38">
        <v>11</v>
      </c>
      <c r="I38" s="1" t="s">
        <v>440</v>
      </c>
      <c r="J38" s="1" t="s">
        <v>247</v>
      </c>
      <c r="K38" s="1" t="s">
        <v>49</v>
      </c>
      <c r="L38" s="1" t="s">
        <v>248</v>
      </c>
      <c r="M38" s="1" t="s">
        <v>249</v>
      </c>
      <c r="N38" s="1" t="s">
        <v>43</v>
      </c>
      <c r="O38" s="1" t="s">
        <v>44</v>
      </c>
      <c r="P38">
        <v>22</v>
      </c>
      <c r="Q38">
        <v>22</v>
      </c>
      <c r="R38" s="1" t="s">
        <v>32</v>
      </c>
      <c r="S38">
        <v>68.44</v>
      </c>
      <c r="T38">
        <v>1505.68</v>
      </c>
      <c r="U38">
        <v>1334.08</v>
      </c>
      <c r="V38" s="1" t="s">
        <v>144</v>
      </c>
      <c r="W38" s="1">
        <f>Sales[[#This Row],[NET_VALUE]]-Sales[[#This Row],[COST]]</f>
        <v>171.60000000000014</v>
      </c>
    </row>
    <row r="39" spans="1:23" x14ac:dyDescent="0.2">
      <c r="A39" s="1" t="s">
        <v>126</v>
      </c>
      <c r="B39">
        <v>38</v>
      </c>
      <c r="C39" s="1" t="s">
        <v>28</v>
      </c>
      <c r="D39" s="1" t="s">
        <v>112</v>
      </c>
      <c r="E39" s="1" t="s">
        <v>81</v>
      </c>
      <c r="F39" s="1" t="s">
        <v>414</v>
      </c>
      <c r="G39">
        <v>3</v>
      </c>
      <c r="H39">
        <v>11</v>
      </c>
      <c r="I39" s="1" t="s">
        <v>441</v>
      </c>
      <c r="J39" s="1" t="s">
        <v>247</v>
      </c>
      <c r="K39" s="1" t="s">
        <v>56</v>
      </c>
      <c r="L39" s="1" t="s">
        <v>251</v>
      </c>
      <c r="M39" s="1" t="s">
        <v>249</v>
      </c>
      <c r="N39" s="1" t="s">
        <v>29</v>
      </c>
      <c r="O39" s="1" t="s">
        <v>30</v>
      </c>
      <c r="P39">
        <v>57</v>
      </c>
      <c r="Q39">
        <v>57</v>
      </c>
      <c r="R39" s="1" t="s">
        <v>32</v>
      </c>
      <c r="S39">
        <v>29.35</v>
      </c>
      <c r="T39">
        <v>1672.95</v>
      </c>
      <c r="U39">
        <v>1346.34</v>
      </c>
      <c r="V39" s="1" t="s">
        <v>144</v>
      </c>
      <c r="W39" s="1">
        <f>Sales[[#This Row],[NET_VALUE]]-Sales[[#This Row],[COST]]</f>
        <v>326.61000000000013</v>
      </c>
    </row>
    <row r="40" spans="1:23" x14ac:dyDescent="0.2">
      <c r="A40" s="1" t="s">
        <v>127</v>
      </c>
      <c r="B40">
        <v>39</v>
      </c>
      <c r="C40" s="1" t="s">
        <v>28</v>
      </c>
      <c r="D40" s="1" t="s">
        <v>112</v>
      </c>
      <c r="E40" s="1" t="s">
        <v>81</v>
      </c>
      <c r="F40" s="1" t="s">
        <v>414</v>
      </c>
      <c r="G40">
        <v>3</v>
      </c>
      <c r="H40">
        <v>11</v>
      </c>
      <c r="I40" s="1" t="s">
        <v>442</v>
      </c>
      <c r="J40" s="1" t="s">
        <v>247</v>
      </c>
      <c r="K40" s="1" t="s">
        <v>63</v>
      </c>
      <c r="L40" s="1" t="s">
        <v>254</v>
      </c>
      <c r="M40" s="1" t="s">
        <v>249</v>
      </c>
      <c r="N40" s="1" t="s">
        <v>29</v>
      </c>
      <c r="O40" s="1" t="s">
        <v>30</v>
      </c>
      <c r="P40">
        <v>51</v>
      </c>
      <c r="Q40">
        <v>51</v>
      </c>
      <c r="R40" s="1" t="s">
        <v>32</v>
      </c>
      <c r="S40">
        <v>29.35</v>
      </c>
      <c r="T40">
        <v>1496.85</v>
      </c>
      <c r="U40">
        <v>1204.6199999999999</v>
      </c>
      <c r="V40" s="1" t="s">
        <v>144</v>
      </c>
      <c r="W40" s="1">
        <f>Sales[[#This Row],[NET_VALUE]]-Sales[[#This Row],[COST]]</f>
        <v>292.23</v>
      </c>
    </row>
    <row r="41" spans="1:23" x14ac:dyDescent="0.2">
      <c r="A41" s="1" t="s">
        <v>128</v>
      </c>
      <c r="B41">
        <v>40</v>
      </c>
      <c r="C41" s="1" t="s">
        <v>28</v>
      </c>
      <c r="D41" s="1" t="s">
        <v>112</v>
      </c>
      <c r="E41" s="1" t="s">
        <v>112</v>
      </c>
      <c r="F41" s="1" t="s">
        <v>444</v>
      </c>
      <c r="G41">
        <v>3</v>
      </c>
      <c r="H41">
        <v>12</v>
      </c>
      <c r="I41" s="1" t="s">
        <v>470</v>
      </c>
      <c r="J41" s="1" t="s">
        <v>247</v>
      </c>
      <c r="K41" s="1" t="s">
        <v>49</v>
      </c>
      <c r="L41" s="1" t="s">
        <v>248</v>
      </c>
      <c r="M41" s="1" t="s">
        <v>249</v>
      </c>
      <c r="N41" s="1" t="s">
        <v>43</v>
      </c>
      <c r="O41" s="1" t="s">
        <v>44</v>
      </c>
      <c r="P41">
        <v>3</v>
      </c>
      <c r="Q41">
        <v>3</v>
      </c>
      <c r="R41" s="1" t="s">
        <v>32</v>
      </c>
      <c r="S41">
        <v>68.44</v>
      </c>
      <c r="T41">
        <v>205.32</v>
      </c>
      <c r="U41">
        <v>182.25</v>
      </c>
      <c r="V41" s="1" t="s">
        <v>144</v>
      </c>
      <c r="W41" s="1">
        <f>Sales[[#This Row],[NET_VALUE]]-Sales[[#This Row],[COST]]</f>
        <v>23.069999999999993</v>
      </c>
    </row>
    <row r="42" spans="1:23" x14ac:dyDescent="0.2">
      <c r="A42" s="1" t="s">
        <v>129</v>
      </c>
      <c r="B42">
        <v>41</v>
      </c>
      <c r="C42" s="1" t="s">
        <v>28</v>
      </c>
      <c r="D42" s="1" t="s">
        <v>112</v>
      </c>
      <c r="E42" s="1" t="s">
        <v>112</v>
      </c>
      <c r="F42" s="1" t="s">
        <v>444</v>
      </c>
      <c r="G42">
        <v>3</v>
      </c>
      <c r="H42">
        <v>12</v>
      </c>
      <c r="I42" s="1" t="s">
        <v>471</v>
      </c>
      <c r="J42" s="1" t="s">
        <v>291</v>
      </c>
      <c r="K42" s="1" t="s">
        <v>56</v>
      </c>
      <c r="L42" s="1" t="s">
        <v>251</v>
      </c>
      <c r="M42" s="1" t="s">
        <v>249</v>
      </c>
      <c r="N42" s="1" t="s">
        <v>34</v>
      </c>
      <c r="O42" s="1" t="s">
        <v>35</v>
      </c>
      <c r="P42">
        <v>28</v>
      </c>
      <c r="Q42">
        <v>28</v>
      </c>
      <c r="R42" s="1" t="s">
        <v>32</v>
      </c>
      <c r="S42">
        <v>80.680000000000007</v>
      </c>
      <c r="T42">
        <v>2259.04</v>
      </c>
      <c r="U42">
        <v>2047.08</v>
      </c>
      <c r="V42" s="1" t="s">
        <v>144</v>
      </c>
      <c r="W42" s="1">
        <f>Sales[[#This Row],[NET_VALUE]]-Sales[[#This Row],[COST]]</f>
        <v>211.96000000000004</v>
      </c>
    </row>
    <row r="43" spans="1:23" x14ac:dyDescent="0.2">
      <c r="A43" s="1" t="s">
        <v>130</v>
      </c>
      <c r="B43">
        <v>42</v>
      </c>
      <c r="C43" s="1" t="s">
        <v>28</v>
      </c>
      <c r="D43" s="1" t="s">
        <v>112</v>
      </c>
      <c r="E43" s="1" t="s">
        <v>112</v>
      </c>
      <c r="F43" s="1" t="s">
        <v>444</v>
      </c>
      <c r="G43">
        <v>3</v>
      </c>
      <c r="H43">
        <v>12</v>
      </c>
      <c r="I43" s="1" t="s">
        <v>472</v>
      </c>
      <c r="J43" s="1" t="s">
        <v>247</v>
      </c>
      <c r="K43" s="1" t="s">
        <v>56</v>
      </c>
      <c r="L43" s="1" t="s">
        <v>251</v>
      </c>
      <c r="M43" s="1" t="s">
        <v>249</v>
      </c>
      <c r="N43" s="1" t="s">
        <v>34</v>
      </c>
      <c r="O43" s="1" t="s">
        <v>35</v>
      </c>
      <c r="P43">
        <v>27</v>
      </c>
      <c r="Q43">
        <v>27</v>
      </c>
      <c r="R43" s="1" t="s">
        <v>32</v>
      </c>
      <c r="S43">
        <v>80.680000000000007</v>
      </c>
      <c r="T43">
        <v>2178.36</v>
      </c>
      <c r="U43">
        <v>1973.97</v>
      </c>
      <c r="V43" s="1" t="s">
        <v>144</v>
      </c>
      <c r="W43" s="1">
        <f>Sales[[#This Row],[NET_VALUE]]-Sales[[#This Row],[COST]]</f>
        <v>204.3900000000001</v>
      </c>
    </row>
    <row r="44" spans="1:23" x14ac:dyDescent="0.2">
      <c r="A44" s="1" t="s">
        <v>131</v>
      </c>
      <c r="B44">
        <v>43</v>
      </c>
      <c r="C44" s="1" t="s">
        <v>28</v>
      </c>
      <c r="D44" s="1" t="s">
        <v>112</v>
      </c>
      <c r="E44" s="1" t="s">
        <v>112</v>
      </c>
      <c r="F44" s="1" t="s">
        <v>444</v>
      </c>
      <c r="G44">
        <v>3</v>
      </c>
      <c r="H44">
        <v>12</v>
      </c>
      <c r="I44" s="1" t="s">
        <v>471</v>
      </c>
      <c r="J44" s="1" t="s">
        <v>247</v>
      </c>
      <c r="K44" s="1" t="s">
        <v>56</v>
      </c>
      <c r="L44" s="1" t="s">
        <v>251</v>
      </c>
      <c r="M44" s="1" t="s">
        <v>249</v>
      </c>
      <c r="N44" s="1" t="s">
        <v>37</v>
      </c>
      <c r="O44" s="1" t="s">
        <v>38</v>
      </c>
      <c r="P44">
        <v>63</v>
      </c>
      <c r="Q44">
        <v>63</v>
      </c>
      <c r="R44" s="1" t="s">
        <v>32</v>
      </c>
      <c r="S44">
        <v>34.07</v>
      </c>
      <c r="T44">
        <v>2146.41</v>
      </c>
      <c r="U44">
        <v>1666.98</v>
      </c>
      <c r="V44" s="1" t="s">
        <v>144</v>
      </c>
      <c r="W44" s="1">
        <f>Sales[[#This Row],[NET_VALUE]]-Sales[[#This Row],[COST]]</f>
        <v>479.42999999999984</v>
      </c>
    </row>
    <row r="45" spans="1:23" x14ac:dyDescent="0.2">
      <c r="A45" s="1" t="s">
        <v>132</v>
      </c>
      <c r="B45">
        <v>44</v>
      </c>
      <c r="C45" s="1" t="s">
        <v>28</v>
      </c>
      <c r="D45" s="1" t="s">
        <v>112</v>
      </c>
      <c r="E45" s="1" t="s">
        <v>112</v>
      </c>
      <c r="F45" s="1" t="s">
        <v>444</v>
      </c>
      <c r="G45">
        <v>3</v>
      </c>
      <c r="H45">
        <v>12</v>
      </c>
      <c r="I45" s="1" t="s">
        <v>471</v>
      </c>
      <c r="J45" s="1" t="s">
        <v>293</v>
      </c>
      <c r="K45" s="1" t="s">
        <v>56</v>
      </c>
      <c r="L45" s="1" t="s">
        <v>251</v>
      </c>
      <c r="M45" s="1" t="s">
        <v>249</v>
      </c>
      <c r="N45" s="1" t="s">
        <v>37</v>
      </c>
      <c r="O45" s="1" t="s">
        <v>38</v>
      </c>
      <c r="P45">
        <v>22</v>
      </c>
      <c r="Q45">
        <v>22</v>
      </c>
      <c r="R45" s="1" t="s">
        <v>32</v>
      </c>
      <c r="S45">
        <v>34.07</v>
      </c>
      <c r="T45">
        <v>749.54</v>
      </c>
      <c r="U45">
        <v>582.12</v>
      </c>
      <c r="V45" s="1" t="s">
        <v>144</v>
      </c>
      <c r="W45" s="1">
        <f>Sales[[#This Row],[NET_VALUE]]-Sales[[#This Row],[COST]]</f>
        <v>167.41999999999996</v>
      </c>
    </row>
    <row r="46" spans="1:23" x14ac:dyDescent="0.2">
      <c r="A46" s="1" t="s">
        <v>133</v>
      </c>
      <c r="B46">
        <v>45</v>
      </c>
      <c r="C46" s="1" t="s">
        <v>28</v>
      </c>
      <c r="D46" s="1" t="s">
        <v>112</v>
      </c>
      <c r="E46" s="1" t="s">
        <v>31</v>
      </c>
      <c r="F46" s="1" t="s">
        <v>473</v>
      </c>
      <c r="G46">
        <v>3</v>
      </c>
      <c r="H46">
        <v>13</v>
      </c>
      <c r="I46" s="1" t="s">
        <v>474</v>
      </c>
      <c r="J46" s="1" t="s">
        <v>475</v>
      </c>
      <c r="K46" s="1" t="s">
        <v>49</v>
      </c>
      <c r="L46" s="1" t="s">
        <v>248</v>
      </c>
      <c r="M46" s="1" t="s">
        <v>249</v>
      </c>
      <c r="N46" s="1" t="s">
        <v>29</v>
      </c>
      <c r="O46" s="1" t="s">
        <v>30</v>
      </c>
      <c r="P46">
        <v>56</v>
      </c>
      <c r="Q46">
        <v>56</v>
      </c>
      <c r="R46" s="1" t="s">
        <v>32</v>
      </c>
      <c r="S46">
        <v>29.35</v>
      </c>
      <c r="T46">
        <v>1643.6</v>
      </c>
      <c r="U46">
        <v>1321.6</v>
      </c>
      <c r="V46" s="1" t="s">
        <v>144</v>
      </c>
      <c r="W46" s="1">
        <f>Sales[[#This Row],[NET_VALUE]]-Sales[[#This Row],[COST]]</f>
        <v>322</v>
      </c>
    </row>
    <row r="47" spans="1:23" x14ac:dyDescent="0.2">
      <c r="A47" s="1" t="s">
        <v>134</v>
      </c>
      <c r="B47">
        <v>46</v>
      </c>
      <c r="C47" s="1" t="s">
        <v>28</v>
      </c>
      <c r="D47" s="1" t="s">
        <v>112</v>
      </c>
      <c r="E47" s="1" t="s">
        <v>31</v>
      </c>
      <c r="F47" s="1" t="s">
        <v>473</v>
      </c>
      <c r="G47">
        <v>3</v>
      </c>
      <c r="H47">
        <v>13</v>
      </c>
      <c r="I47" s="1" t="s">
        <v>474</v>
      </c>
      <c r="J47" s="1" t="s">
        <v>322</v>
      </c>
      <c r="K47" s="1" t="s">
        <v>49</v>
      </c>
      <c r="L47" s="1" t="s">
        <v>248</v>
      </c>
      <c r="M47" s="1" t="s">
        <v>249</v>
      </c>
      <c r="N47" s="1" t="s">
        <v>29</v>
      </c>
      <c r="O47" s="1" t="s">
        <v>30</v>
      </c>
      <c r="P47">
        <v>63</v>
      </c>
      <c r="Q47">
        <v>63</v>
      </c>
      <c r="R47" s="1" t="s">
        <v>32</v>
      </c>
      <c r="S47">
        <v>29.35</v>
      </c>
      <c r="T47">
        <v>1849.05</v>
      </c>
      <c r="U47">
        <v>1486.8</v>
      </c>
      <c r="V47" s="1" t="s">
        <v>144</v>
      </c>
      <c r="W47" s="1">
        <f>Sales[[#This Row],[NET_VALUE]]-Sales[[#This Row],[COST]]</f>
        <v>362.25</v>
      </c>
    </row>
    <row r="48" spans="1:23" x14ac:dyDescent="0.2">
      <c r="A48" s="1" t="s">
        <v>135</v>
      </c>
      <c r="B48">
        <v>47</v>
      </c>
      <c r="C48" s="1" t="s">
        <v>28</v>
      </c>
      <c r="D48" s="1" t="s">
        <v>112</v>
      </c>
      <c r="E48" s="1" t="s">
        <v>31</v>
      </c>
      <c r="F48" s="1" t="s">
        <v>473</v>
      </c>
      <c r="G48">
        <v>3</v>
      </c>
      <c r="H48">
        <v>13</v>
      </c>
      <c r="I48" s="1" t="s">
        <v>474</v>
      </c>
      <c r="J48" s="1" t="s">
        <v>291</v>
      </c>
      <c r="K48" s="1" t="s">
        <v>49</v>
      </c>
      <c r="L48" s="1" t="s">
        <v>248</v>
      </c>
      <c r="M48" s="1" t="s">
        <v>249</v>
      </c>
      <c r="N48" s="1" t="s">
        <v>29</v>
      </c>
      <c r="O48" s="1" t="s">
        <v>30</v>
      </c>
      <c r="P48">
        <v>83</v>
      </c>
      <c r="Q48">
        <v>83</v>
      </c>
      <c r="R48" s="1" t="s">
        <v>32</v>
      </c>
      <c r="S48">
        <v>29.35</v>
      </c>
      <c r="T48">
        <v>2436.0500000000002</v>
      </c>
      <c r="U48">
        <v>1958.8</v>
      </c>
      <c r="V48" s="1" t="s">
        <v>144</v>
      </c>
      <c r="W48" s="1">
        <f>Sales[[#This Row],[NET_VALUE]]-Sales[[#This Row],[COST]]</f>
        <v>477.25000000000023</v>
      </c>
    </row>
    <row r="49" spans="1:23" x14ac:dyDescent="0.2">
      <c r="A49" s="1" t="s">
        <v>136</v>
      </c>
      <c r="B49">
        <v>48</v>
      </c>
      <c r="C49" s="1" t="s">
        <v>28</v>
      </c>
      <c r="D49" s="1" t="s">
        <v>112</v>
      </c>
      <c r="E49" s="1" t="s">
        <v>31</v>
      </c>
      <c r="F49" s="1" t="s">
        <v>473</v>
      </c>
      <c r="G49">
        <v>3</v>
      </c>
      <c r="H49">
        <v>13</v>
      </c>
      <c r="I49" s="1" t="s">
        <v>474</v>
      </c>
      <c r="J49" s="1" t="s">
        <v>247</v>
      </c>
      <c r="K49" s="1" t="s">
        <v>49</v>
      </c>
      <c r="L49" s="1" t="s">
        <v>248</v>
      </c>
      <c r="M49" s="1" t="s">
        <v>249</v>
      </c>
      <c r="N49" s="1" t="s">
        <v>37</v>
      </c>
      <c r="O49" s="1" t="s">
        <v>38</v>
      </c>
      <c r="P49">
        <v>62</v>
      </c>
      <c r="Q49">
        <v>62</v>
      </c>
      <c r="R49" s="1" t="s">
        <v>32</v>
      </c>
      <c r="S49">
        <v>34.07</v>
      </c>
      <c r="T49">
        <v>2112.34</v>
      </c>
      <c r="U49">
        <v>1640.52</v>
      </c>
      <c r="V49" s="1" t="s">
        <v>144</v>
      </c>
      <c r="W49" s="1">
        <f>Sales[[#This Row],[NET_VALUE]]-Sales[[#This Row],[COST]]</f>
        <v>471.82000000000016</v>
      </c>
    </row>
    <row r="50" spans="1:23" x14ac:dyDescent="0.2">
      <c r="A50" s="1" t="s">
        <v>155</v>
      </c>
      <c r="B50">
        <v>49</v>
      </c>
      <c r="C50" s="1" t="s">
        <v>28</v>
      </c>
      <c r="D50" s="1" t="s">
        <v>112</v>
      </c>
      <c r="E50" s="1" t="s">
        <v>31</v>
      </c>
      <c r="F50" s="1" t="s">
        <v>473</v>
      </c>
      <c r="G50">
        <v>3</v>
      </c>
      <c r="H50">
        <v>13</v>
      </c>
      <c r="I50" s="1" t="s">
        <v>474</v>
      </c>
      <c r="J50" s="1" t="s">
        <v>293</v>
      </c>
      <c r="K50" s="1" t="s">
        <v>49</v>
      </c>
      <c r="L50" s="1" t="s">
        <v>248</v>
      </c>
      <c r="M50" s="1" t="s">
        <v>249</v>
      </c>
      <c r="N50" s="1" t="s">
        <v>43</v>
      </c>
      <c r="O50" s="1" t="s">
        <v>44</v>
      </c>
      <c r="P50">
        <v>23</v>
      </c>
      <c r="Q50">
        <v>23</v>
      </c>
      <c r="R50" s="1" t="s">
        <v>32</v>
      </c>
      <c r="S50">
        <v>68.44</v>
      </c>
      <c r="T50">
        <v>1574.12</v>
      </c>
      <c r="U50">
        <v>1397.25</v>
      </c>
      <c r="V50" s="1" t="s">
        <v>144</v>
      </c>
      <c r="W50" s="1">
        <f>Sales[[#This Row],[NET_VALUE]]-Sales[[#This Row],[COST]]</f>
        <v>176.86999999999989</v>
      </c>
    </row>
    <row r="51" spans="1:23" x14ac:dyDescent="0.2">
      <c r="A51" s="1" t="s">
        <v>157</v>
      </c>
      <c r="B51">
        <v>50</v>
      </c>
      <c r="C51" s="1" t="s">
        <v>28</v>
      </c>
      <c r="D51" s="1" t="s">
        <v>112</v>
      </c>
      <c r="E51" s="1" t="s">
        <v>31</v>
      </c>
      <c r="F51" s="1" t="s">
        <v>473</v>
      </c>
      <c r="G51">
        <v>3</v>
      </c>
      <c r="H51">
        <v>13</v>
      </c>
      <c r="I51" s="1" t="s">
        <v>476</v>
      </c>
      <c r="J51" s="1" t="s">
        <v>293</v>
      </c>
      <c r="K51" s="1" t="s">
        <v>56</v>
      </c>
      <c r="L51" s="1" t="s">
        <v>251</v>
      </c>
      <c r="M51" s="1" t="s">
        <v>249</v>
      </c>
      <c r="N51" s="1" t="s">
        <v>29</v>
      </c>
      <c r="O51" s="1" t="s">
        <v>30</v>
      </c>
      <c r="P51">
        <v>68</v>
      </c>
      <c r="Q51">
        <v>68</v>
      </c>
      <c r="R51" s="1" t="s">
        <v>32</v>
      </c>
      <c r="S51">
        <v>29.35</v>
      </c>
      <c r="T51">
        <v>1995.8</v>
      </c>
      <c r="U51">
        <v>1604.8</v>
      </c>
      <c r="V51" s="1" t="s">
        <v>144</v>
      </c>
      <c r="W51" s="1">
        <f>Sales[[#This Row],[NET_VALUE]]-Sales[[#This Row],[COST]]</f>
        <v>391</v>
      </c>
    </row>
    <row r="52" spans="1:23" x14ac:dyDescent="0.2">
      <c r="A52" s="1" t="s">
        <v>158</v>
      </c>
      <c r="B52">
        <v>51</v>
      </c>
      <c r="C52" s="1" t="s">
        <v>28</v>
      </c>
      <c r="D52" s="1" t="s">
        <v>112</v>
      </c>
      <c r="E52" s="1" t="s">
        <v>31</v>
      </c>
      <c r="F52" s="1" t="s">
        <v>473</v>
      </c>
      <c r="G52">
        <v>3</v>
      </c>
      <c r="H52">
        <v>13</v>
      </c>
      <c r="I52" s="1" t="s">
        <v>476</v>
      </c>
      <c r="J52" s="1" t="s">
        <v>247</v>
      </c>
      <c r="K52" s="1" t="s">
        <v>56</v>
      </c>
      <c r="L52" s="1" t="s">
        <v>251</v>
      </c>
      <c r="M52" s="1" t="s">
        <v>249</v>
      </c>
      <c r="N52" s="1" t="s">
        <v>37</v>
      </c>
      <c r="O52" s="1" t="s">
        <v>38</v>
      </c>
      <c r="P52">
        <v>65</v>
      </c>
      <c r="Q52">
        <v>65</v>
      </c>
      <c r="R52" s="1" t="s">
        <v>32</v>
      </c>
      <c r="S52">
        <v>34.07</v>
      </c>
      <c r="T52">
        <v>2214.5500000000002</v>
      </c>
      <c r="U52">
        <v>1719.9</v>
      </c>
      <c r="V52" s="1" t="s">
        <v>144</v>
      </c>
      <c r="W52" s="1">
        <f>Sales[[#This Row],[NET_VALUE]]-Sales[[#This Row],[COST]]</f>
        <v>494.65000000000009</v>
      </c>
    </row>
    <row r="53" spans="1:23" x14ac:dyDescent="0.2">
      <c r="A53" s="1" t="s">
        <v>159</v>
      </c>
      <c r="B53">
        <v>52</v>
      </c>
      <c r="C53" s="1" t="s">
        <v>28</v>
      </c>
      <c r="D53" s="1" t="s">
        <v>112</v>
      </c>
      <c r="E53" s="1" t="s">
        <v>31</v>
      </c>
      <c r="F53" s="1" t="s">
        <v>473</v>
      </c>
      <c r="G53">
        <v>3</v>
      </c>
      <c r="H53">
        <v>13</v>
      </c>
      <c r="I53" s="1" t="s">
        <v>476</v>
      </c>
      <c r="J53" s="1" t="s">
        <v>291</v>
      </c>
      <c r="K53" s="1" t="s">
        <v>56</v>
      </c>
      <c r="L53" s="1" t="s">
        <v>251</v>
      </c>
      <c r="M53" s="1" t="s">
        <v>249</v>
      </c>
      <c r="N53" s="1" t="s">
        <v>43</v>
      </c>
      <c r="O53" s="1" t="s">
        <v>44</v>
      </c>
      <c r="P53">
        <v>36</v>
      </c>
      <c r="Q53">
        <v>36</v>
      </c>
      <c r="R53" s="1" t="s">
        <v>32</v>
      </c>
      <c r="S53">
        <v>68.44</v>
      </c>
      <c r="T53">
        <v>2463.84</v>
      </c>
      <c r="U53">
        <v>2187</v>
      </c>
      <c r="V53" s="1" t="s">
        <v>144</v>
      </c>
      <c r="W53" s="1">
        <f>Sales[[#This Row],[NET_VALUE]]-Sales[[#This Row],[COST]]</f>
        <v>276.84000000000015</v>
      </c>
    </row>
    <row r="54" spans="1:23" x14ac:dyDescent="0.2">
      <c r="A54" s="1" t="s">
        <v>160</v>
      </c>
      <c r="B54">
        <v>53</v>
      </c>
      <c r="C54" s="1" t="s">
        <v>28</v>
      </c>
      <c r="D54" s="1" t="s">
        <v>112</v>
      </c>
      <c r="E54" s="1" t="s">
        <v>31</v>
      </c>
      <c r="F54" s="1" t="s">
        <v>473</v>
      </c>
      <c r="G54">
        <v>3</v>
      </c>
      <c r="H54">
        <v>13</v>
      </c>
      <c r="I54" s="1" t="s">
        <v>477</v>
      </c>
      <c r="J54" s="1" t="s">
        <v>247</v>
      </c>
      <c r="K54" s="1" t="s">
        <v>63</v>
      </c>
      <c r="L54" s="1" t="s">
        <v>254</v>
      </c>
      <c r="M54" s="1" t="s">
        <v>249</v>
      </c>
      <c r="N54" s="1" t="s">
        <v>29</v>
      </c>
      <c r="O54" s="1" t="s">
        <v>30</v>
      </c>
      <c r="P54">
        <v>50</v>
      </c>
      <c r="Q54">
        <v>50</v>
      </c>
      <c r="R54" s="1" t="s">
        <v>32</v>
      </c>
      <c r="S54">
        <v>29.35</v>
      </c>
      <c r="T54">
        <v>1467.5</v>
      </c>
      <c r="U54">
        <v>1180</v>
      </c>
      <c r="V54" s="1" t="s">
        <v>144</v>
      </c>
      <c r="W54" s="1">
        <f>Sales[[#This Row],[NET_VALUE]]-Sales[[#This Row],[COST]]</f>
        <v>287.5</v>
      </c>
    </row>
    <row r="55" spans="1:23" x14ac:dyDescent="0.2">
      <c r="A55" s="1" t="s">
        <v>161</v>
      </c>
      <c r="B55">
        <v>54</v>
      </c>
      <c r="C55" s="1" t="s">
        <v>28</v>
      </c>
      <c r="D55" s="1" t="s">
        <v>112</v>
      </c>
      <c r="E55" s="1" t="s">
        <v>181</v>
      </c>
      <c r="F55" s="1" t="s">
        <v>478</v>
      </c>
      <c r="G55">
        <v>3</v>
      </c>
      <c r="H55">
        <v>14</v>
      </c>
      <c r="I55" s="1" t="s">
        <v>479</v>
      </c>
      <c r="J55" s="1" t="s">
        <v>291</v>
      </c>
      <c r="K55" s="1" t="s">
        <v>49</v>
      </c>
      <c r="L55" s="1" t="s">
        <v>248</v>
      </c>
      <c r="M55" s="1" t="s">
        <v>249</v>
      </c>
      <c r="N55" s="1" t="s">
        <v>29</v>
      </c>
      <c r="O55" s="1" t="s">
        <v>30</v>
      </c>
      <c r="P55">
        <v>18</v>
      </c>
      <c r="Q55">
        <v>18</v>
      </c>
      <c r="R55" s="1" t="s">
        <v>32</v>
      </c>
      <c r="S55">
        <v>29.35</v>
      </c>
      <c r="T55">
        <v>528.29999999999995</v>
      </c>
      <c r="U55">
        <v>424.8</v>
      </c>
      <c r="V55" s="1" t="s">
        <v>144</v>
      </c>
      <c r="W55" s="1">
        <f>Sales[[#This Row],[NET_VALUE]]-Sales[[#This Row],[COST]]</f>
        <v>103.49999999999994</v>
      </c>
    </row>
    <row r="56" spans="1:23" x14ac:dyDescent="0.2">
      <c r="A56" s="1" t="s">
        <v>162</v>
      </c>
      <c r="B56">
        <v>55</v>
      </c>
      <c r="C56" s="1" t="s">
        <v>28</v>
      </c>
      <c r="D56" s="1" t="s">
        <v>112</v>
      </c>
      <c r="E56" s="1" t="s">
        <v>181</v>
      </c>
      <c r="F56" s="1" t="s">
        <v>478</v>
      </c>
      <c r="G56">
        <v>3</v>
      </c>
      <c r="H56">
        <v>14</v>
      </c>
      <c r="I56" s="1" t="s">
        <v>479</v>
      </c>
      <c r="J56" s="1" t="s">
        <v>247</v>
      </c>
      <c r="K56" s="1" t="s">
        <v>49</v>
      </c>
      <c r="L56" s="1" t="s">
        <v>248</v>
      </c>
      <c r="M56" s="1" t="s">
        <v>249</v>
      </c>
      <c r="N56" s="1" t="s">
        <v>34</v>
      </c>
      <c r="O56" s="1" t="s">
        <v>35</v>
      </c>
      <c r="P56">
        <v>29</v>
      </c>
      <c r="Q56">
        <v>29</v>
      </c>
      <c r="R56" s="1" t="s">
        <v>32</v>
      </c>
      <c r="S56">
        <v>80.680000000000007</v>
      </c>
      <c r="T56">
        <v>2339.7199999999998</v>
      </c>
      <c r="U56">
        <v>2120.19</v>
      </c>
      <c r="V56" s="1" t="s">
        <v>144</v>
      </c>
      <c r="W56" s="1">
        <f>Sales[[#This Row],[NET_VALUE]]-Sales[[#This Row],[COST]]</f>
        <v>219.52999999999975</v>
      </c>
    </row>
    <row r="57" spans="1:23" x14ac:dyDescent="0.2">
      <c r="A57" s="1" t="s">
        <v>163</v>
      </c>
      <c r="B57">
        <v>56</v>
      </c>
      <c r="C57" s="1" t="s">
        <v>28</v>
      </c>
      <c r="D57" s="1" t="s">
        <v>112</v>
      </c>
      <c r="E57" s="1" t="s">
        <v>181</v>
      </c>
      <c r="F57" s="1" t="s">
        <v>478</v>
      </c>
      <c r="G57">
        <v>3</v>
      </c>
      <c r="H57">
        <v>14</v>
      </c>
      <c r="I57" s="1" t="s">
        <v>480</v>
      </c>
      <c r="J57" s="1" t="s">
        <v>291</v>
      </c>
      <c r="K57" s="1" t="s">
        <v>49</v>
      </c>
      <c r="L57" s="1" t="s">
        <v>248</v>
      </c>
      <c r="M57" s="1" t="s">
        <v>249</v>
      </c>
      <c r="N57" s="1" t="s">
        <v>37</v>
      </c>
      <c r="O57" s="1" t="s">
        <v>38</v>
      </c>
      <c r="P57">
        <v>51</v>
      </c>
      <c r="Q57">
        <v>51</v>
      </c>
      <c r="R57" s="1" t="s">
        <v>32</v>
      </c>
      <c r="S57">
        <v>34.07</v>
      </c>
      <c r="T57">
        <v>1737.57</v>
      </c>
      <c r="U57">
        <v>1349.46</v>
      </c>
      <c r="V57" s="1" t="s">
        <v>144</v>
      </c>
      <c r="W57" s="1">
        <f>Sales[[#This Row],[NET_VALUE]]-Sales[[#This Row],[COST]]</f>
        <v>388.1099999999999</v>
      </c>
    </row>
    <row r="58" spans="1:23" x14ac:dyDescent="0.2">
      <c r="A58" s="1" t="s">
        <v>164</v>
      </c>
      <c r="B58">
        <v>57</v>
      </c>
      <c r="C58" s="1" t="s">
        <v>28</v>
      </c>
      <c r="D58" s="1" t="s">
        <v>112</v>
      </c>
      <c r="E58" s="1" t="s">
        <v>181</v>
      </c>
      <c r="F58" s="1" t="s">
        <v>478</v>
      </c>
      <c r="G58">
        <v>3</v>
      </c>
      <c r="H58">
        <v>14</v>
      </c>
      <c r="I58" s="1" t="s">
        <v>479</v>
      </c>
      <c r="J58" s="1" t="s">
        <v>293</v>
      </c>
      <c r="K58" s="1" t="s">
        <v>49</v>
      </c>
      <c r="L58" s="1" t="s">
        <v>248</v>
      </c>
      <c r="M58" s="1" t="s">
        <v>249</v>
      </c>
      <c r="N58" s="1" t="s">
        <v>43</v>
      </c>
      <c r="O58" s="1" t="s">
        <v>44</v>
      </c>
      <c r="P58">
        <v>6</v>
      </c>
      <c r="Q58">
        <v>6</v>
      </c>
      <c r="R58" s="1" t="s">
        <v>32</v>
      </c>
      <c r="S58">
        <v>68.44</v>
      </c>
      <c r="T58">
        <v>410.64</v>
      </c>
      <c r="U58">
        <v>364.5</v>
      </c>
      <c r="V58" s="1" t="s">
        <v>144</v>
      </c>
      <c r="W58" s="1">
        <f>Sales[[#This Row],[NET_VALUE]]-Sales[[#This Row],[COST]]</f>
        <v>46.139999999999986</v>
      </c>
    </row>
    <row r="59" spans="1:23" x14ac:dyDescent="0.2">
      <c r="A59" s="1" t="s">
        <v>165</v>
      </c>
      <c r="B59">
        <v>58</v>
      </c>
      <c r="C59" s="1" t="s">
        <v>28</v>
      </c>
      <c r="D59" s="1" t="s">
        <v>112</v>
      </c>
      <c r="E59" s="1" t="s">
        <v>181</v>
      </c>
      <c r="F59" s="1" t="s">
        <v>478</v>
      </c>
      <c r="G59">
        <v>3</v>
      </c>
      <c r="H59">
        <v>14</v>
      </c>
      <c r="I59" s="1" t="s">
        <v>480</v>
      </c>
      <c r="J59" s="1" t="s">
        <v>247</v>
      </c>
      <c r="K59" s="1" t="s">
        <v>49</v>
      </c>
      <c r="L59" s="1" t="s">
        <v>248</v>
      </c>
      <c r="M59" s="1" t="s">
        <v>249</v>
      </c>
      <c r="N59" s="1" t="s">
        <v>43</v>
      </c>
      <c r="O59" s="1" t="s">
        <v>44</v>
      </c>
      <c r="P59">
        <v>31</v>
      </c>
      <c r="Q59">
        <v>31</v>
      </c>
      <c r="R59" s="1" t="s">
        <v>32</v>
      </c>
      <c r="S59">
        <v>68.44</v>
      </c>
      <c r="T59">
        <v>2121.64</v>
      </c>
      <c r="U59">
        <v>1883.25</v>
      </c>
      <c r="V59" s="1" t="s">
        <v>144</v>
      </c>
      <c r="W59" s="1">
        <f>Sales[[#This Row],[NET_VALUE]]-Sales[[#This Row],[COST]]</f>
        <v>238.38999999999987</v>
      </c>
    </row>
    <row r="60" spans="1:23" x14ac:dyDescent="0.2">
      <c r="A60" s="1" t="s">
        <v>166</v>
      </c>
      <c r="B60">
        <v>59</v>
      </c>
      <c r="C60" s="1" t="s">
        <v>28</v>
      </c>
      <c r="D60" s="1" t="s">
        <v>112</v>
      </c>
      <c r="E60" s="1" t="s">
        <v>181</v>
      </c>
      <c r="F60" s="1" t="s">
        <v>478</v>
      </c>
      <c r="G60">
        <v>3</v>
      </c>
      <c r="H60">
        <v>14</v>
      </c>
      <c r="I60" s="1" t="s">
        <v>481</v>
      </c>
      <c r="J60" s="1" t="s">
        <v>247</v>
      </c>
      <c r="K60" s="1" t="s">
        <v>56</v>
      </c>
      <c r="L60" s="1" t="s">
        <v>251</v>
      </c>
      <c r="M60" s="1" t="s">
        <v>249</v>
      </c>
      <c r="N60" s="1" t="s">
        <v>37</v>
      </c>
      <c r="O60" s="1" t="s">
        <v>38</v>
      </c>
      <c r="P60">
        <v>62</v>
      </c>
      <c r="Q60">
        <v>62</v>
      </c>
      <c r="R60" s="1" t="s">
        <v>32</v>
      </c>
      <c r="S60">
        <v>34.07</v>
      </c>
      <c r="T60">
        <v>2112.34</v>
      </c>
      <c r="U60">
        <v>1640.52</v>
      </c>
      <c r="V60" s="1" t="s">
        <v>144</v>
      </c>
      <c r="W60" s="1">
        <f>Sales[[#This Row],[NET_VALUE]]-Sales[[#This Row],[COST]]</f>
        <v>471.82000000000016</v>
      </c>
    </row>
    <row r="61" spans="1:23" x14ac:dyDescent="0.2">
      <c r="A61" s="1" t="s">
        <v>167</v>
      </c>
      <c r="B61">
        <v>60</v>
      </c>
      <c r="C61" s="1" t="s">
        <v>28</v>
      </c>
      <c r="D61" s="1" t="s">
        <v>112</v>
      </c>
      <c r="E61" s="1" t="s">
        <v>181</v>
      </c>
      <c r="F61" s="1" t="s">
        <v>478</v>
      </c>
      <c r="G61">
        <v>3</v>
      </c>
      <c r="H61">
        <v>14</v>
      </c>
      <c r="I61" s="1" t="s">
        <v>482</v>
      </c>
      <c r="J61" s="1" t="s">
        <v>247</v>
      </c>
      <c r="K61" s="1" t="s">
        <v>56</v>
      </c>
      <c r="L61" s="1" t="s">
        <v>251</v>
      </c>
      <c r="M61" s="1" t="s">
        <v>249</v>
      </c>
      <c r="N61" s="1" t="s">
        <v>43</v>
      </c>
      <c r="O61" s="1" t="s">
        <v>44</v>
      </c>
      <c r="P61">
        <v>34</v>
      </c>
      <c r="Q61">
        <v>34</v>
      </c>
      <c r="R61" s="1" t="s">
        <v>32</v>
      </c>
      <c r="S61">
        <v>68.44</v>
      </c>
      <c r="T61">
        <v>2326.96</v>
      </c>
      <c r="U61">
        <v>2065.5</v>
      </c>
      <c r="V61" s="1" t="s">
        <v>144</v>
      </c>
      <c r="W61" s="1">
        <f>Sales[[#This Row],[NET_VALUE]]-Sales[[#This Row],[COST]]</f>
        <v>261.46000000000004</v>
      </c>
    </row>
    <row r="62" spans="1:23" x14ac:dyDescent="0.2">
      <c r="A62" s="1" t="s">
        <v>168</v>
      </c>
      <c r="B62">
        <v>61</v>
      </c>
      <c r="C62" s="1" t="s">
        <v>28</v>
      </c>
      <c r="D62" s="1" t="s">
        <v>112</v>
      </c>
      <c r="E62" s="1" t="s">
        <v>181</v>
      </c>
      <c r="F62" s="1" t="s">
        <v>478</v>
      </c>
      <c r="G62">
        <v>3</v>
      </c>
      <c r="H62">
        <v>14</v>
      </c>
      <c r="I62" s="1" t="s">
        <v>483</v>
      </c>
      <c r="J62" s="1" t="s">
        <v>247</v>
      </c>
      <c r="K62" s="1" t="s">
        <v>63</v>
      </c>
      <c r="L62" s="1" t="s">
        <v>254</v>
      </c>
      <c r="M62" s="1" t="s">
        <v>249</v>
      </c>
      <c r="N62" s="1" t="s">
        <v>40</v>
      </c>
      <c r="O62" s="1" t="s">
        <v>41</v>
      </c>
      <c r="P62">
        <v>17</v>
      </c>
      <c r="Q62">
        <v>17</v>
      </c>
      <c r="R62" s="1" t="s">
        <v>32</v>
      </c>
      <c r="S62">
        <v>96.4</v>
      </c>
      <c r="T62">
        <v>1638.8</v>
      </c>
      <c r="U62">
        <v>1437.01</v>
      </c>
      <c r="V62" s="1" t="s">
        <v>144</v>
      </c>
      <c r="W62" s="1">
        <f>Sales[[#This Row],[NET_VALUE]]-Sales[[#This Row],[COST]]</f>
        <v>201.78999999999996</v>
      </c>
    </row>
    <row r="63" spans="1:23" x14ac:dyDescent="0.2">
      <c r="A63" s="1" t="s">
        <v>169</v>
      </c>
      <c r="B63">
        <v>62</v>
      </c>
      <c r="C63" s="1" t="s">
        <v>28</v>
      </c>
      <c r="D63" s="1" t="s">
        <v>112</v>
      </c>
      <c r="E63" s="1" t="s">
        <v>181</v>
      </c>
      <c r="F63" s="1" t="s">
        <v>478</v>
      </c>
      <c r="G63">
        <v>3</v>
      </c>
      <c r="H63">
        <v>14</v>
      </c>
      <c r="I63" s="1" t="s">
        <v>484</v>
      </c>
      <c r="J63" s="1" t="s">
        <v>247</v>
      </c>
      <c r="K63" s="1" t="s">
        <v>63</v>
      </c>
      <c r="L63" s="1" t="s">
        <v>254</v>
      </c>
      <c r="M63" s="1" t="s">
        <v>249</v>
      </c>
      <c r="N63" s="1" t="s">
        <v>40</v>
      </c>
      <c r="O63" s="1" t="s">
        <v>41</v>
      </c>
      <c r="P63">
        <v>17</v>
      </c>
      <c r="Q63">
        <v>17</v>
      </c>
      <c r="R63" s="1" t="s">
        <v>32</v>
      </c>
      <c r="S63">
        <v>96.4</v>
      </c>
      <c r="T63">
        <v>1638.8</v>
      </c>
      <c r="U63">
        <v>1437.01</v>
      </c>
      <c r="V63" s="1" t="s">
        <v>144</v>
      </c>
      <c r="W63" s="1">
        <f>Sales[[#This Row],[NET_VALUE]]-Sales[[#This Row],[COST]]</f>
        <v>201.78999999999996</v>
      </c>
    </row>
    <row r="64" spans="1:23" x14ac:dyDescent="0.2">
      <c r="A64" s="1" t="s">
        <v>170</v>
      </c>
      <c r="B64">
        <v>63</v>
      </c>
      <c r="C64" s="1" t="s">
        <v>28</v>
      </c>
      <c r="D64" s="1" t="s">
        <v>112</v>
      </c>
      <c r="E64" s="1" t="s">
        <v>207</v>
      </c>
      <c r="F64" s="1" t="s">
        <v>485</v>
      </c>
      <c r="G64">
        <v>3</v>
      </c>
      <c r="H64">
        <v>15</v>
      </c>
      <c r="I64" s="1" t="s">
        <v>486</v>
      </c>
      <c r="J64" s="1" t="s">
        <v>247</v>
      </c>
      <c r="K64" s="1" t="s">
        <v>49</v>
      </c>
      <c r="L64" s="1" t="s">
        <v>248</v>
      </c>
      <c r="M64" s="1" t="s">
        <v>249</v>
      </c>
      <c r="N64" s="1" t="s">
        <v>29</v>
      </c>
      <c r="O64" s="1" t="s">
        <v>30</v>
      </c>
      <c r="P64">
        <v>64</v>
      </c>
      <c r="Q64">
        <v>64</v>
      </c>
      <c r="R64" s="1" t="s">
        <v>32</v>
      </c>
      <c r="S64">
        <v>29.35</v>
      </c>
      <c r="T64">
        <v>1878.4</v>
      </c>
      <c r="U64">
        <v>1510.4</v>
      </c>
      <c r="V64" s="1" t="s">
        <v>144</v>
      </c>
      <c r="W64" s="1">
        <f>Sales[[#This Row],[NET_VALUE]]-Sales[[#This Row],[COST]]</f>
        <v>368</v>
      </c>
    </row>
    <row r="65" spans="1:23" x14ac:dyDescent="0.2">
      <c r="A65" s="1" t="s">
        <v>171</v>
      </c>
      <c r="B65">
        <v>64</v>
      </c>
      <c r="C65" s="1" t="s">
        <v>28</v>
      </c>
      <c r="D65" s="1" t="s">
        <v>112</v>
      </c>
      <c r="E65" s="1" t="s">
        <v>207</v>
      </c>
      <c r="F65" s="1" t="s">
        <v>485</v>
      </c>
      <c r="G65">
        <v>3</v>
      </c>
      <c r="H65">
        <v>15</v>
      </c>
      <c r="I65" s="1" t="s">
        <v>487</v>
      </c>
      <c r="J65" s="1" t="s">
        <v>247</v>
      </c>
      <c r="K65" s="1" t="s">
        <v>49</v>
      </c>
      <c r="L65" s="1" t="s">
        <v>248</v>
      </c>
      <c r="M65" s="1" t="s">
        <v>249</v>
      </c>
      <c r="N65" s="1" t="s">
        <v>37</v>
      </c>
      <c r="O65" s="1" t="s">
        <v>38</v>
      </c>
      <c r="P65">
        <v>60</v>
      </c>
      <c r="Q65">
        <v>60</v>
      </c>
      <c r="R65" s="1" t="s">
        <v>32</v>
      </c>
      <c r="S65">
        <v>34.07</v>
      </c>
      <c r="T65">
        <v>2044.2</v>
      </c>
      <c r="U65">
        <v>1587.6</v>
      </c>
      <c r="V65" s="1" t="s">
        <v>144</v>
      </c>
      <c r="W65" s="1">
        <f>Sales[[#This Row],[NET_VALUE]]-Sales[[#This Row],[COST]]</f>
        <v>456.60000000000014</v>
      </c>
    </row>
    <row r="66" spans="1:23" x14ac:dyDescent="0.2">
      <c r="A66" s="1" t="s">
        <v>172</v>
      </c>
      <c r="B66">
        <v>65</v>
      </c>
      <c r="C66" s="1" t="s">
        <v>28</v>
      </c>
      <c r="D66" s="1" t="s">
        <v>112</v>
      </c>
      <c r="E66" s="1" t="s">
        <v>207</v>
      </c>
      <c r="F66" s="1" t="s">
        <v>485</v>
      </c>
      <c r="G66">
        <v>3</v>
      </c>
      <c r="H66">
        <v>15</v>
      </c>
      <c r="I66" s="1" t="s">
        <v>486</v>
      </c>
      <c r="J66" s="1" t="s">
        <v>291</v>
      </c>
      <c r="K66" s="1" t="s">
        <v>49</v>
      </c>
      <c r="L66" s="1" t="s">
        <v>248</v>
      </c>
      <c r="M66" s="1" t="s">
        <v>249</v>
      </c>
      <c r="N66" s="1" t="s">
        <v>40</v>
      </c>
      <c r="O66" s="1" t="s">
        <v>41</v>
      </c>
      <c r="P66">
        <v>21</v>
      </c>
      <c r="Q66">
        <v>21</v>
      </c>
      <c r="R66" s="1" t="s">
        <v>32</v>
      </c>
      <c r="S66">
        <v>96.4</v>
      </c>
      <c r="T66">
        <v>2024.4</v>
      </c>
      <c r="U66">
        <v>1775.13</v>
      </c>
      <c r="V66" s="1" t="s">
        <v>144</v>
      </c>
      <c r="W66" s="1">
        <f>Sales[[#This Row],[NET_VALUE]]-Sales[[#This Row],[COST]]</f>
        <v>249.26999999999998</v>
      </c>
    </row>
    <row r="67" spans="1:23" x14ac:dyDescent="0.2">
      <c r="A67" s="1" t="s">
        <v>173</v>
      </c>
      <c r="B67">
        <v>66</v>
      </c>
      <c r="C67" s="1" t="s">
        <v>28</v>
      </c>
      <c r="D67" s="1" t="s">
        <v>112</v>
      </c>
      <c r="E67" s="1" t="s">
        <v>207</v>
      </c>
      <c r="F67" s="1" t="s">
        <v>485</v>
      </c>
      <c r="G67">
        <v>3</v>
      </c>
      <c r="H67">
        <v>15</v>
      </c>
      <c r="I67" s="1" t="s">
        <v>488</v>
      </c>
      <c r="J67" s="1" t="s">
        <v>247</v>
      </c>
      <c r="K67" s="1" t="s">
        <v>56</v>
      </c>
      <c r="L67" s="1" t="s">
        <v>251</v>
      </c>
      <c r="M67" s="1" t="s">
        <v>249</v>
      </c>
      <c r="N67" s="1" t="s">
        <v>37</v>
      </c>
      <c r="O67" s="1" t="s">
        <v>38</v>
      </c>
      <c r="P67">
        <v>53</v>
      </c>
      <c r="Q67">
        <v>53</v>
      </c>
      <c r="R67" s="1" t="s">
        <v>32</v>
      </c>
      <c r="S67">
        <v>34.07</v>
      </c>
      <c r="T67">
        <v>1805.71</v>
      </c>
      <c r="U67">
        <v>1402.38</v>
      </c>
      <c r="V67" s="1" t="s">
        <v>144</v>
      </c>
      <c r="W67" s="1">
        <f>Sales[[#This Row],[NET_VALUE]]-Sales[[#This Row],[COST]]</f>
        <v>403.32999999999993</v>
      </c>
    </row>
    <row r="68" spans="1:23" x14ac:dyDescent="0.2">
      <c r="A68" s="1" t="s">
        <v>174</v>
      </c>
      <c r="B68">
        <v>67</v>
      </c>
      <c r="C68" s="1" t="s">
        <v>28</v>
      </c>
      <c r="D68" s="1" t="s">
        <v>112</v>
      </c>
      <c r="E68" s="1" t="s">
        <v>207</v>
      </c>
      <c r="F68" s="1" t="s">
        <v>485</v>
      </c>
      <c r="G68">
        <v>3</v>
      </c>
      <c r="H68">
        <v>15</v>
      </c>
      <c r="I68" s="1" t="s">
        <v>489</v>
      </c>
      <c r="J68" s="1" t="s">
        <v>247</v>
      </c>
      <c r="K68" s="1" t="s">
        <v>56</v>
      </c>
      <c r="L68" s="1" t="s">
        <v>251</v>
      </c>
      <c r="M68" s="1" t="s">
        <v>249</v>
      </c>
      <c r="N68" s="1" t="s">
        <v>40</v>
      </c>
      <c r="O68" s="1" t="s">
        <v>41</v>
      </c>
      <c r="P68">
        <v>23</v>
      </c>
      <c r="Q68">
        <v>23</v>
      </c>
      <c r="R68" s="1" t="s">
        <v>32</v>
      </c>
      <c r="S68">
        <v>96.4</v>
      </c>
      <c r="T68">
        <v>2217.1999999999998</v>
      </c>
      <c r="U68">
        <v>1944.19</v>
      </c>
      <c r="V68" s="1" t="s">
        <v>144</v>
      </c>
      <c r="W68" s="1">
        <f>Sales[[#This Row],[NET_VALUE]]-Sales[[#This Row],[COST]]</f>
        <v>273.00999999999976</v>
      </c>
    </row>
    <row r="69" spans="1:23" x14ac:dyDescent="0.2">
      <c r="A69" s="1" t="s">
        <v>175</v>
      </c>
      <c r="B69">
        <v>68</v>
      </c>
      <c r="C69" s="1" t="s">
        <v>28</v>
      </c>
      <c r="D69" s="1" t="s">
        <v>112</v>
      </c>
      <c r="E69" s="1" t="s">
        <v>207</v>
      </c>
      <c r="F69" s="1" t="s">
        <v>485</v>
      </c>
      <c r="G69">
        <v>3</v>
      </c>
      <c r="H69">
        <v>15</v>
      </c>
      <c r="I69" s="1" t="s">
        <v>489</v>
      </c>
      <c r="J69" s="1" t="s">
        <v>291</v>
      </c>
      <c r="K69" s="1" t="s">
        <v>56</v>
      </c>
      <c r="L69" s="1" t="s">
        <v>251</v>
      </c>
      <c r="M69" s="1" t="s">
        <v>249</v>
      </c>
      <c r="N69" s="1" t="s">
        <v>43</v>
      </c>
      <c r="O69" s="1" t="s">
        <v>44</v>
      </c>
      <c r="P69">
        <v>36</v>
      </c>
      <c r="Q69">
        <v>36</v>
      </c>
      <c r="R69" s="1" t="s">
        <v>32</v>
      </c>
      <c r="S69">
        <v>68.44</v>
      </c>
      <c r="T69">
        <v>2463.84</v>
      </c>
      <c r="U69">
        <v>2187</v>
      </c>
      <c r="V69" s="1" t="s">
        <v>144</v>
      </c>
      <c r="W69" s="1">
        <f>Sales[[#This Row],[NET_VALUE]]-Sales[[#This Row],[COST]]</f>
        <v>276.84000000000015</v>
      </c>
    </row>
    <row r="70" spans="1:23" x14ac:dyDescent="0.2">
      <c r="A70" s="1" t="s">
        <v>176</v>
      </c>
      <c r="B70">
        <v>69</v>
      </c>
      <c r="C70" s="1" t="s">
        <v>28</v>
      </c>
      <c r="D70" s="1" t="s">
        <v>112</v>
      </c>
      <c r="E70" s="1" t="s">
        <v>207</v>
      </c>
      <c r="F70" s="1" t="s">
        <v>485</v>
      </c>
      <c r="G70">
        <v>3</v>
      </c>
      <c r="H70">
        <v>15</v>
      </c>
      <c r="I70" s="1" t="s">
        <v>490</v>
      </c>
      <c r="J70" s="1" t="s">
        <v>247</v>
      </c>
      <c r="K70" s="1" t="s">
        <v>63</v>
      </c>
      <c r="L70" s="1" t="s">
        <v>254</v>
      </c>
      <c r="M70" s="1" t="s">
        <v>249</v>
      </c>
      <c r="N70" s="1" t="s">
        <v>40</v>
      </c>
      <c r="O70" s="1" t="s">
        <v>41</v>
      </c>
      <c r="P70">
        <v>25</v>
      </c>
      <c r="Q70">
        <v>25</v>
      </c>
      <c r="R70" s="1" t="s">
        <v>32</v>
      </c>
      <c r="S70">
        <v>96.4</v>
      </c>
      <c r="T70">
        <v>2410</v>
      </c>
      <c r="U70">
        <v>2113.25</v>
      </c>
      <c r="V70" s="1" t="s">
        <v>144</v>
      </c>
      <c r="W70" s="1">
        <f>Sales[[#This Row],[NET_VALUE]]-Sales[[#This Row],[COST]]</f>
        <v>296.75</v>
      </c>
    </row>
    <row r="71" spans="1:23" x14ac:dyDescent="0.2">
      <c r="A71" s="1" t="s">
        <v>177</v>
      </c>
      <c r="B71">
        <v>70</v>
      </c>
      <c r="C71" s="1" t="s">
        <v>28</v>
      </c>
      <c r="D71" s="1" t="s">
        <v>112</v>
      </c>
      <c r="E71" s="1" t="s">
        <v>207</v>
      </c>
      <c r="F71" s="1" t="s">
        <v>485</v>
      </c>
      <c r="G71">
        <v>3</v>
      </c>
      <c r="H71">
        <v>15</v>
      </c>
      <c r="I71" s="1" t="s">
        <v>490</v>
      </c>
      <c r="J71" s="1" t="s">
        <v>291</v>
      </c>
      <c r="K71" s="1" t="s">
        <v>63</v>
      </c>
      <c r="L71" s="1" t="s">
        <v>254</v>
      </c>
      <c r="M71" s="1" t="s">
        <v>249</v>
      </c>
      <c r="N71" s="1" t="s">
        <v>40</v>
      </c>
      <c r="O71" s="1" t="s">
        <v>41</v>
      </c>
      <c r="P71">
        <v>24</v>
      </c>
      <c r="Q71">
        <v>24</v>
      </c>
      <c r="R71" s="1" t="s">
        <v>32</v>
      </c>
      <c r="S71">
        <v>96.4</v>
      </c>
      <c r="T71">
        <v>2313.6</v>
      </c>
      <c r="U71">
        <v>2028.72</v>
      </c>
      <c r="V71" s="1" t="s">
        <v>144</v>
      </c>
      <c r="W71" s="1">
        <f>Sales[[#This Row],[NET_VALUE]]-Sales[[#This Row],[COST]]</f>
        <v>284.87999999999988</v>
      </c>
    </row>
    <row r="72" spans="1:23" x14ac:dyDescent="0.2">
      <c r="A72" s="1" t="s">
        <v>178</v>
      </c>
      <c r="B72">
        <v>71</v>
      </c>
      <c r="C72" s="1" t="s">
        <v>28</v>
      </c>
      <c r="D72" s="1" t="s">
        <v>112</v>
      </c>
      <c r="E72" s="1" t="s">
        <v>256</v>
      </c>
      <c r="F72" s="1" t="s">
        <v>564</v>
      </c>
      <c r="G72">
        <v>4</v>
      </c>
      <c r="H72">
        <v>16</v>
      </c>
      <c r="I72" s="1" t="s">
        <v>588</v>
      </c>
      <c r="J72" s="1" t="s">
        <v>291</v>
      </c>
      <c r="K72" s="1" t="s">
        <v>49</v>
      </c>
      <c r="L72" s="1" t="s">
        <v>248</v>
      </c>
      <c r="M72" s="1" t="s">
        <v>249</v>
      </c>
      <c r="N72" s="1" t="s">
        <v>29</v>
      </c>
      <c r="O72" s="1" t="s">
        <v>30</v>
      </c>
      <c r="P72">
        <v>73</v>
      </c>
      <c r="Q72">
        <v>73</v>
      </c>
      <c r="R72" s="1" t="s">
        <v>32</v>
      </c>
      <c r="S72">
        <v>29.35</v>
      </c>
      <c r="T72">
        <v>2142.5500000000002</v>
      </c>
      <c r="U72">
        <v>1719.88</v>
      </c>
      <c r="V72" s="1" t="s">
        <v>144</v>
      </c>
      <c r="W72" s="1">
        <f>Sales[[#This Row],[NET_VALUE]]-Sales[[#This Row],[COST]]</f>
        <v>422.67000000000007</v>
      </c>
    </row>
    <row r="73" spans="1:23" x14ac:dyDescent="0.2">
      <c r="A73" s="1" t="s">
        <v>179</v>
      </c>
      <c r="B73">
        <v>72</v>
      </c>
      <c r="C73" s="1" t="s">
        <v>28</v>
      </c>
      <c r="D73" s="1" t="s">
        <v>112</v>
      </c>
      <c r="E73" s="1" t="s">
        <v>256</v>
      </c>
      <c r="F73" s="1" t="s">
        <v>564</v>
      </c>
      <c r="G73">
        <v>4</v>
      </c>
      <c r="H73">
        <v>16</v>
      </c>
      <c r="I73" s="1" t="s">
        <v>588</v>
      </c>
      <c r="J73" s="1" t="s">
        <v>322</v>
      </c>
      <c r="K73" s="1" t="s">
        <v>49</v>
      </c>
      <c r="L73" s="1" t="s">
        <v>248</v>
      </c>
      <c r="M73" s="1" t="s">
        <v>249</v>
      </c>
      <c r="N73" s="1" t="s">
        <v>29</v>
      </c>
      <c r="O73" s="1" t="s">
        <v>30</v>
      </c>
      <c r="P73">
        <v>27</v>
      </c>
      <c r="Q73">
        <v>27</v>
      </c>
      <c r="R73" s="1" t="s">
        <v>32</v>
      </c>
      <c r="S73">
        <v>29.35</v>
      </c>
      <c r="T73">
        <v>792.45</v>
      </c>
      <c r="U73">
        <v>636.12</v>
      </c>
      <c r="V73" s="1" t="s">
        <v>144</v>
      </c>
      <c r="W73" s="1">
        <f>Sales[[#This Row],[NET_VALUE]]-Sales[[#This Row],[COST]]</f>
        <v>156.33000000000004</v>
      </c>
    </row>
    <row r="74" spans="1:23" x14ac:dyDescent="0.2">
      <c r="A74" s="1" t="s">
        <v>180</v>
      </c>
      <c r="B74">
        <v>73</v>
      </c>
      <c r="C74" s="1" t="s">
        <v>28</v>
      </c>
      <c r="D74" s="1" t="s">
        <v>112</v>
      </c>
      <c r="E74" s="1" t="s">
        <v>256</v>
      </c>
      <c r="F74" s="1" t="s">
        <v>564</v>
      </c>
      <c r="G74">
        <v>4</v>
      </c>
      <c r="H74">
        <v>16</v>
      </c>
      <c r="I74" s="1" t="s">
        <v>589</v>
      </c>
      <c r="J74" s="1" t="s">
        <v>247</v>
      </c>
      <c r="K74" s="1" t="s">
        <v>49</v>
      </c>
      <c r="L74" s="1" t="s">
        <v>248</v>
      </c>
      <c r="M74" s="1" t="s">
        <v>249</v>
      </c>
      <c r="N74" s="1" t="s">
        <v>29</v>
      </c>
      <c r="O74" s="1" t="s">
        <v>30</v>
      </c>
      <c r="P74">
        <v>56</v>
      </c>
      <c r="Q74">
        <v>56</v>
      </c>
      <c r="R74" s="1" t="s">
        <v>32</v>
      </c>
      <c r="S74">
        <v>29.35</v>
      </c>
      <c r="T74">
        <v>1643.6</v>
      </c>
      <c r="U74">
        <v>1319.36</v>
      </c>
      <c r="V74" s="1" t="s">
        <v>144</v>
      </c>
      <c r="W74" s="1">
        <f>Sales[[#This Row],[NET_VALUE]]-Sales[[#This Row],[COST]]</f>
        <v>324.24</v>
      </c>
    </row>
    <row r="75" spans="1:23" x14ac:dyDescent="0.2">
      <c r="A75" s="1" t="s">
        <v>183</v>
      </c>
      <c r="B75">
        <v>74</v>
      </c>
      <c r="C75" s="1" t="s">
        <v>28</v>
      </c>
      <c r="D75" s="1" t="s">
        <v>112</v>
      </c>
      <c r="E75" s="1" t="s">
        <v>256</v>
      </c>
      <c r="F75" s="1" t="s">
        <v>564</v>
      </c>
      <c r="G75">
        <v>4</v>
      </c>
      <c r="H75">
        <v>16</v>
      </c>
      <c r="I75" s="1" t="s">
        <v>589</v>
      </c>
      <c r="J75" s="1" t="s">
        <v>293</v>
      </c>
      <c r="K75" s="1" t="s">
        <v>49</v>
      </c>
      <c r="L75" s="1" t="s">
        <v>248</v>
      </c>
      <c r="M75" s="1" t="s">
        <v>249</v>
      </c>
      <c r="N75" s="1" t="s">
        <v>37</v>
      </c>
      <c r="O75" s="1" t="s">
        <v>38</v>
      </c>
      <c r="P75">
        <v>60</v>
      </c>
      <c r="Q75">
        <v>60</v>
      </c>
      <c r="R75" s="1" t="s">
        <v>32</v>
      </c>
      <c r="S75">
        <v>34.07</v>
      </c>
      <c r="T75">
        <v>2044.2</v>
      </c>
      <c r="U75">
        <v>1588.2</v>
      </c>
      <c r="V75" s="1" t="s">
        <v>144</v>
      </c>
      <c r="W75" s="1">
        <f>Sales[[#This Row],[NET_VALUE]]-Sales[[#This Row],[COST]]</f>
        <v>456</v>
      </c>
    </row>
    <row r="76" spans="1:23" x14ac:dyDescent="0.2">
      <c r="A76" s="1" t="s">
        <v>184</v>
      </c>
      <c r="B76">
        <v>75</v>
      </c>
      <c r="C76" s="1" t="s">
        <v>28</v>
      </c>
      <c r="D76" s="1" t="s">
        <v>112</v>
      </c>
      <c r="E76" s="1" t="s">
        <v>256</v>
      </c>
      <c r="F76" s="1" t="s">
        <v>564</v>
      </c>
      <c r="G76">
        <v>4</v>
      </c>
      <c r="H76">
        <v>16</v>
      </c>
      <c r="I76" s="1" t="s">
        <v>588</v>
      </c>
      <c r="J76" s="1" t="s">
        <v>293</v>
      </c>
      <c r="K76" s="1" t="s">
        <v>49</v>
      </c>
      <c r="L76" s="1" t="s">
        <v>248</v>
      </c>
      <c r="M76" s="1" t="s">
        <v>249</v>
      </c>
      <c r="N76" s="1" t="s">
        <v>43</v>
      </c>
      <c r="O76" s="1" t="s">
        <v>44</v>
      </c>
      <c r="P76">
        <v>31</v>
      </c>
      <c r="Q76">
        <v>31</v>
      </c>
      <c r="R76" s="1" t="s">
        <v>32</v>
      </c>
      <c r="S76">
        <v>68.44</v>
      </c>
      <c r="T76">
        <v>2121.64</v>
      </c>
      <c r="U76">
        <v>1889.76</v>
      </c>
      <c r="V76" s="1" t="s">
        <v>144</v>
      </c>
      <c r="W76" s="1">
        <f>Sales[[#This Row],[NET_VALUE]]-Sales[[#This Row],[COST]]</f>
        <v>231.87999999999988</v>
      </c>
    </row>
    <row r="77" spans="1:23" x14ac:dyDescent="0.2">
      <c r="A77" s="1" t="s">
        <v>185</v>
      </c>
      <c r="B77">
        <v>76</v>
      </c>
      <c r="C77" s="1" t="s">
        <v>28</v>
      </c>
      <c r="D77" s="1" t="s">
        <v>112</v>
      </c>
      <c r="E77" s="1" t="s">
        <v>256</v>
      </c>
      <c r="F77" s="1" t="s">
        <v>564</v>
      </c>
      <c r="G77">
        <v>4</v>
      </c>
      <c r="H77">
        <v>16</v>
      </c>
      <c r="I77" s="1" t="s">
        <v>588</v>
      </c>
      <c r="J77" s="1" t="s">
        <v>247</v>
      </c>
      <c r="K77" s="1" t="s">
        <v>49</v>
      </c>
      <c r="L77" s="1" t="s">
        <v>248</v>
      </c>
      <c r="M77" s="1" t="s">
        <v>249</v>
      </c>
      <c r="N77" s="1" t="s">
        <v>46</v>
      </c>
      <c r="O77" s="1" t="s">
        <v>47</v>
      </c>
      <c r="P77">
        <v>23</v>
      </c>
      <c r="Q77">
        <v>23</v>
      </c>
      <c r="R77" s="1" t="s">
        <v>32</v>
      </c>
      <c r="S77">
        <v>50</v>
      </c>
      <c r="T77">
        <v>1150</v>
      </c>
      <c r="U77">
        <v>1006.94</v>
      </c>
      <c r="V77" s="1" t="s">
        <v>144</v>
      </c>
      <c r="W77" s="1">
        <f>Sales[[#This Row],[NET_VALUE]]-Sales[[#This Row],[COST]]</f>
        <v>143.05999999999995</v>
      </c>
    </row>
    <row r="78" spans="1:23" x14ac:dyDescent="0.2">
      <c r="A78" s="1" t="s">
        <v>186</v>
      </c>
      <c r="B78">
        <v>77</v>
      </c>
      <c r="C78" s="1" t="s">
        <v>28</v>
      </c>
      <c r="D78" s="1" t="s">
        <v>112</v>
      </c>
      <c r="E78" s="1" t="s">
        <v>256</v>
      </c>
      <c r="F78" s="1" t="s">
        <v>564</v>
      </c>
      <c r="G78">
        <v>4</v>
      </c>
      <c r="H78">
        <v>16</v>
      </c>
      <c r="I78" s="1" t="s">
        <v>589</v>
      </c>
      <c r="J78" s="1" t="s">
        <v>291</v>
      </c>
      <c r="K78" s="1" t="s">
        <v>49</v>
      </c>
      <c r="L78" s="1" t="s">
        <v>248</v>
      </c>
      <c r="M78" s="1" t="s">
        <v>249</v>
      </c>
      <c r="N78" s="1" t="s">
        <v>46</v>
      </c>
      <c r="O78" s="1" t="s">
        <v>47</v>
      </c>
      <c r="P78">
        <v>47</v>
      </c>
      <c r="Q78">
        <v>47</v>
      </c>
      <c r="R78" s="1" t="s">
        <v>32</v>
      </c>
      <c r="S78">
        <v>50</v>
      </c>
      <c r="T78">
        <v>2350</v>
      </c>
      <c r="U78">
        <v>2057.66</v>
      </c>
      <c r="V78" s="1" t="s">
        <v>144</v>
      </c>
      <c r="W78" s="1">
        <f>Sales[[#This Row],[NET_VALUE]]-Sales[[#This Row],[COST]]</f>
        <v>292.34000000000015</v>
      </c>
    </row>
    <row r="79" spans="1:23" x14ac:dyDescent="0.2">
      <c r="A79" s="1" t="s">
        <v>187</v>
      </c>
      <c r="B79">
        <v>78</v>
      </c>
      <c r="C79" s="1" t="s">
        <v>28</v>
      </c>
      <c r="D79" s="1" t="s">
        <v>112</v>
      </c>
      <c r="E79" s="1" t="s">
        <v>256</v>
      </c>
      <c r="F79" s="1" t="s">
        <v>564</v>
      </c>
      <c r="G79">
        <v>4</v>
      </c>
      <c r="H79">
        <v>16</v>
      </c>
      <c r="I79" s="1" t="s">
        <v>590</v>
      </c>
      <c r="J79" s="1" t="s">
        <v>247</v>
      </c>
      <c r="K79" s="1" t="s">
        <v>56</v>
      </c>
      <c r="L79" s="1" t="s">
        <v>251</v>
      </c>
      <c r="M79" s="1" t="s">
        <v>249</v>
      </c>
      <c r="N79" s="1" t="s">
        <v>34</v>
      </c>
      <c r="O79" s="1" t="s">
        <v>35</v>
      </c>
      <c r="P79">
        <v>19</v>
      </c>
      <c r="Q79">
        <v>19</v>
      </c>
      <c r="R79" s="1" t="s">
        <v>32</v>
      </c>
      <c r="S79">
        <v>80.680000000000007</v>
      </c>
      <c r="T79">
        <v>1532.92</v>
      </c>
      <c r="U79">
        <v>1391.75</v>
      </c>
      <c r="V79" s="1" t="s">
        <v>144</v>
      </c>
      <c r="W79" s="1">
        <f>Sales[[#This Row],[NET_VALUE]]-Sales[[#This Row],[COST]]</f>
        <v>141.17000000000007</v>
      </c>
    </row>
    <row r="80" spans="1:23" x14ac:dyDescent="0.2">
      <c r="A80" s="1" t="s">
        <v>188</v>
      </c>
      <c r="B80">
        <v>79</v>
      </c>
      <c r="C80" s="1" t="s">
        <v>28</v>
      </c>
      <c r="D80" s="1" t="s">
        <v>112</v>
      </c>
      <c r="E80" s="1" t="s">
        <v>256</v>
      </c>
      <c r="F80" s="1" t="s">
        <v>564</v>
      </c>
      <c r="G80">
        <v>4</v>
      </c>
      <c r="H80">
        <v>16</v>
      </c>
      <c r="I80" s="1" t="s">
        <v>590</v>
      </c>
      <c r="J80" s="1" t="s">
        <v>591</v>
      </c>
      <c r="K80" s="1" t="s">
        <v>56</v>
      </c>
      <c r="L80" s="1" t="s">
        <v>251</v>
      </c>
      <c r="M80" s="1" t="s">
        <v>249</v>
      </c>
      <c r="N80" s="1" t="s">
        <v>37</v>
      </c>
      <c r="O80" s="1" t="s">
        <v>38</v>
      </c>
      <c r="P80">
        <v>44</v>
      </c>
      <c r="Q80">
        <v>44</v>
      </c>
      <c r="R80" s="1" t="s">
        <v>32</v>
      </c>
      <c r="S80">
        <v>34.07</v>
      </c>
      <c r="T80">
        <v>1499.08</v>
      </c>
      <c r="U80">
        <v>1164.68</v>
      </c>
      <c r="V80" s="1" t="s">
        <v>144</v>
      </c>
      <c r="W80" s="1">
        <f>Sales[[#This Row],[NET_VALUE]]-Sales[[#This Row],[COST]]</f>
        <v>334.39999999999986</v>
      </c>
    </row>
    <row r="81" spans="1:23" x14ac:dyDescent="0.2">
      <c r="A81" s="1" t="s">
        <v>189</v>
      </c>
      <c r="B81">
        <v>80</v>
      </c>
      <c r="C81" s="1" t="s">
        <v>28</v>
      </c>
      <c r="D81" s="1" t="s">
        <v>112</v>
      </c>
      <c r="E81" s="1" t="s">
        <v>256</v>
      </c>
      <c r="F81" s="1" t="s">
        <v>564</v>
      </c>
      <c r="G81">
        <v>4</v>
      </c>
      <c r="H81">
        <v>16</v>
      </c>
      <c r="I81" s="1" t="s">
        <v>590</v>
      </c>
      <c r="J81" s="1" t="s">
        <v>592</v>
      </c>
      <c r="K81" s="1" t="s">
        <v>56</v>
      </c>
      <c r="L81" s="1" t="s">
        <v>251</v>
      </c>
      <c r="M81" s="1" t="s">
        <v>249</v>
      </c>
      <c r="N81" s="1" t="s">
        <v>37</v>
      </c>
      <c r="O81" s="1" t="s">
        <v>38</v>
      </c>
      <c r="P81">
        <v>4</v>
      </c>
      <c r="Q81">
        <v>4</v>
      </c>
      <c r="R81" s="1" t="s">
        <v>32</v>
      </c>
      <c r="S81">
        <v>34.07</v>
      </c>
      <c r="T81">
        <v>136.28</v>
      </c>
      <c r="U81">
        <v>105.88</v>
      </c>
      <c r="V81" s="1" t="s">
        <v>144</v>
      </c>
      <c r="W81" s="1">
        <f>Sales[[#This Row],[NET_VALUE]]-Sales[[#This Row],[COST]]</f>
        <v>30.400000000000006</v>
      </c>
    </row>
    <row r="82" spans="1:23" x14ac:dyDescent="0.2">
      <c r="A82" s="1" t="s">
        <v>190</v>
      </c>
      <c r="B82">
        <v>81</v>
      </c>
      <c r="C82" s="1" t="s">
        <v>28</v>
      </c>
      <c r="D82" s="1" t="s">
        <v>112</v>
      </c>
      <c r="E82" s="1" t="s">
        <v>256</v>
      </c>
      <c r="F82" s="1" t="s">
        <v>564</v>
      </c>
      <c r="G82">
        <v>4</v>
      </c>
      <c r="H82">
        <v>16</v>
      </c>
      <c r="I82" s="1" t="s">
        <v>590</v>
      </c>
      <c r="J82" s="1" t="s">
        <v>291</v>
      </c>
      <c r="K82" s="1" t="s">
        <v>56</v>
      </c>
      <c r="L82" s="1" t="s">
        <v>251</v>
      </c>
      <c r="M82" s="1" t="s">
        <v>249</v>
      </c>
      <c r="N82" s="1" t="s">
        <v>46</v>
      </c>
      <c r="O82" s="1" t="s">
        <v>47</v>
      </c>
      <c r="P82">
        <v>35</v>
      </c>
      <c r="Q82">
        <v>35</v>
      </c>
      <c r="R82" s="1" t="s">
        <v>32</v>
      </c>
      <c r="S82">
        <v>50</v>
      </c>
      <c r="T82">
        <v>1750</v>
      </c>
      <c r="U82">
        <v>1532.3</v>
      </c>
      <c r="V82" s="1" t="s">
        <v>144</v>
      </c>
      <c r="W82" s="1">
        <f>Sales[[#This Row],[NET_VALUE]]-Sales[[#This Row],[COST]]</f>
        <v>217.70000000000005</v>
      </c>
    </row>
    <row r="83" spans="1:23" x14ac:dyDescent="0.2">
      <c r="A83" s="1" t="s">
        <v>191</v>
      </c>
      <c r="B83">
        <v>82</v>
      </c>
      <c r="C83" s="1" t="s">
        <v>28</v>
      </c>
      <c r="D83" s="1" t="s">
        <v>112</v>
      </c>
      <c r="E83" s="1" t="s">
        <v>296</v>
      </c>
      <c r="F83" s="1" t="s">
        <v>594</v>
      </c>
      <c r="G83">
        <v>4</v>
      </c>
      <c r="H83">
        <v>17</v>
      </c>
      <c r="I83" s="1" t="s">
        <v>618</v>
      </c>
      <c r="J83" s="1" t="s">
        <v>247</v>
      </c>
      <c r="K83" s="1" t="s">
        <v>56</v>
      </c>
      <c r="L83" s="1" t="s">
        <v>251</v>
      </c>
      <c r="M83" s="1" t="s">
        <v>249</v>
      </c>
      <c r="N83" s="1" t="s">
        <v>37</v>
      </c>
      <c r="O83" s="1" t="s">
        <v>38</v>
      </c>
      <c r="P83">
        <v>68</v>
      </c>
      <c r="Q83">
        <v>68</v>
      </c>
      <c r="R83" s="1" t="s">
        <v>32</v>
      </c>
      <c r="S83">
        <v>34.07</v>
      </c>
      <c r="T83">
        <v>2316.7600000000002</v>
      </c>
      <c r="U83">
        <v>1799.96</v>
      </c>
      <c r="V83" s="1" t="s">
        <v>144</v>
      </c>
      <c r="W83" s="1">
        <f>Sales[[#This Row],[NET_VALUE]]-Sales[[#This Row],[COST]]</f>
        <v>516.80000000000018</v>
      </c>
    </row>
    <row r="84" spans="1:23" x14ac:dyDescent="0.2">
      <c r="A84" s="1" t="s">
        <v>192</v>
      </c>
      <c r="B84">
        <v>83</v>
      </c>
      <c r="C84" s="1" t="s">
        <v>28</v>
      </c>
      <c r="D84" s="1" t="s">
        <v>112</v>
      </c>
      <c r="E84" s="1" t="s">
        <v>296</v>
      </c>
      <c r="F84" s="1" t="s">
        <v>594</v>
      </c>
      <c r="G84">
        <v>4</v>
      </c>
      <c r="H84">
        <v>17</v>
      </c>
      <c r="I84" s="1" t="s">
        <v>618</v>
      </c>
      <c r="J84" s="1" t="s">
        <v>291</v>
      </c>
      <c r="K84" s="1" t="s">
        <v>56</v>
      </c>
      <c r="L84" s="1" t="s">
        <v>251</v>
      </c>
      <c r="M84" s="1" t="s">
        <v>249</v>
      </c>
      <c r="N84" s="1" t="s">
        <v>43</v>
      </c>
      <c r="O84" s="1" t="s">
        <v>44</v>
      </c>
      <c r="P84">
        <v>28</v>
      </c>
      <c r="Q84">
        <v>28</v>
      </c>
      <c r="R84" s="1" t="s">
        <v>32</v>
      </c>
      <c r="S84">
        <v>68.44</v>
      </c>
      <c r="T84">
        <v>1916.32</v>
      </c>
      <c r="U84">
        <v>1706.88</v>
      </c>
      <c r="V84" s="1" t="s">
        <v>144</v>
      </c>
      <c r="W84" s="1">
        <f>Sales[[#This Row],[NET_VALUE]]-Sales[[#This Row],[COST]]</f>
        <v>209.43999999999983</v>
      </c>
    </row>
    <row r="85" spans="1:23" x14ac:dyDescent="0.2">
      <c r="A85" s="1" t="s">
        <v>193</v>
      </c>
      <c r="B85">
        <v>84</v>
      </c>
      <c r="C85" s="1" t="s">
        <v>28</v>
      </c>
      <c r="D85" s="1" t="s">
        <v>112</v>
      </c>
      <c r="E85" s="1" t="s">
        <v>296</v>
      </c>
      <c r="F85" s="1" t="s">
        <v>594</v>
      </c>
      <c r="G85">
        <v>4</v>
      </c>
      <c r="H85">
        <v>17</v>
      </c>
      <c r="I85" s="1" t="s">
        <v>619</v>
      </c>
      <c r="J85" s="1" t="s">
        <v>247</v>
      </c>
      <c r="K85" s="1" t="s">
        <v>63</v>
      </c>
      <c r="L85" s="1" t="s">
        <v>254</v>
      </c>
      <c r="M85" s="1" t="s">
        <v>249</v>
      </c>
      <c r="N85" s="1" t="s">
        <v>40</v>
      </c>
      <c r="O85" s="1" t="s">
        <v>41</v>
      </c>
      <c r="P85">
        <v>23</v>
      </c>
      <c r="Q85">
        <v>23</v>
      </c>
      <c r="R85" s="1" t="s">
        <v>32</v>
      </c>
      <c r="S85">
        <v>96.4</v>
      </c>
      <c r="T85">
        <v>2217.1999999999998</v>
      </c>
      <c r="U85">
        <v>1944.65</v>
      </c>
      <c r="V85" s="1" t="s">
        <v>144</v>
      </c>
      <c r="W85" s="1">
        <f>Sales[[#This Row],[NET_VALUE]]-Sales[[#This Row],[COST]]</f>
        <v>272.54999999999973</v>
      </c>
    </row>
    <row r="86" spans="1:23" x14ac:dyDescent="0.2">
      <c r="A86" s="1" t="s">
        <v>194</v>
      </c>
      <c r="B86">
        <v>85</v>
      </c>
      <c r="C86" s="1" t="s">
        <v>28</v>
      </c>
      <c r="D86" s="1" t="s">
        <v>112</v>
      </c>
      <c r="E86" s="1" t="s">
        <v>296</v>
      </c>
      <c r="F86" s="1" t="s">
        <v>594</v>
      </c>
      <c r="G86">
        <v>4</v>
      </c>
      <c r="H86">
        <v>17</v>
      </c>
      <c r="I86" s="1" t="s">
        <v>619</v>
      </c>
      <c r="J86" s="1" t="s">
        <v>291</v>
      </c>
      <c r="K86" s="1" t="s">
        <v>63</v>
      </c>
      <c r="L86" s="1" t="s">
        <v>254</v>
      </c>
      <c r="M86" s="1" t="s">
        <v>249</v>
      </c>
      <c r="N86" s="1" t="s">
        <v>46</v>
      </c>
      <c r="O86" s="1" t="s">
        <v>47</v>
      </c>
      <c r="P86">
        <v>33</v>
      </c>
      <c r="Q86">
        <v>33</v>
      </c>
      <c r="R86" s="1" t="s">
        <v>32</v>
      </c>
      <c r="S86">
        <v>50</v>
      </c>
      <c r="T86">
        <v>1650</v>
      </c>
      <c r="U86">
        <v>1444.74</v>
      </c>
      <c r="V86" s="1" t="s">
        <v>144</v>
      </c>
      <c r="W86" s="1">
        <f>Sales[[#This Row],[NET_VALUE]]-Sales[[#This Row],[COST]]</f>
        <v>205.26</v>
      </c>
    </row>
    <row r="87" spans="1:23" x14ac:dyDescent="0.2">
      <c r="A87" s="1" t="s">
        <v>195</v>
      </c>
      <c r="B87">
        <v>86</v>
      </c>
      <c r="C87" s="1" t="s">
        <v>28</v>
      </c>
      <c r="D87" s="1" t="s">
        <v>112</v>
      </c>
      <c r="E87" s="1" t="s">
        <v>326</v>
      </c>
      <c r="F87" s="1" t="s">
        <v>621</v>
      </c>
      <c r="G87">
        <v>4</v>
      </c>
      <c r="H87">
        <v>18</v>
      </c>
      <c r="I87" s="1" t="s">
        <v>646</v>
      </c>
      <c r="J87" s="1" t="s">
        <v>291</v>
      </c>
      <c r="K87" s="1" t="s">
        <v>49</v>
      </c>
      <c r="L87" s="1" t="s">
        <v>248</v>
      </c>
      <c r="M87" s="1" t="s">
        <v>249</v>
      </c>
      <c r="N87" s="1" t="s">
        <v>29</v>
      </c>
      <c r="O87" s="1" t="s">
        <v>30</v>
      </c>
      <c r="P87">
        <v>77</v>
      </c>
      <c r="Q87">
        <v>77</v>
      </c>
      <c r="R87" s="1" t="s">
        <v>32</v>
      </c>
      <c r="S87">
        <v>29.35</v>
      </c>
      <c r="T87">
        <v>2259.9499999999998</v>
      </c>
      <c r="U87">
        <v>1814.12</v>
      </c>
      <c r="V87" s="1" t="s">
        <v>144</v>
      </c>
      <c r="W87" s="1">
        <f>Sales[[#This Row],[NET_VALUE]]-Sales[[#This Row],[COST]]</f>
        <v>445.82999999999993</v>
      </c>
    </row>
    <row r="88" spans="1:23" x14ac:dyDescent="0.2">
      <c r="A88" s="1" t="s">
        <v>196</v>
      </c>
      <c r="B88">
        <v>87</v>
      </c>
      <c r="C88" s="1" t="s">
        <v>28</v>
      </c>
      <c r="D88" s="1" t="s">
        <v>112</v>
      </c>
      <c r="E88" s="1" t="s">
        <v>326</v>
      </c>
      <c r="F88" s="1" t="s">
        <v>621</v>
      </c>
      <c r="G88">
        <v>4</v>
      </c>
      <c r="H88">
        <v>18</v>
      </c>
      <c r="I88" s="1" t="s">
        <v>645</v>
      </c>
      <c r="J88" s="1" t="s">
        <v>247</v>
      </c>
      <c r="K88" s="1" t="s">
        <v>49</v>
      </c>
      <c r="L88" s="1" t="s">
        <v>248</v>
      </c>
      <c r="M88" s="1" t="s">
        <v>249</v>
      </c>
      <c r="N88" s="1" t="s">
        <v>29</v>
      </c>
      <c r="O88" s="1" t="s">
        <v>30</v>
      </c>
      <c r="P88">
        <v>56</v>
      </c>
      <c r="Q88">
        <v>56</v>
      </c>
      <c r="R88" s="1" t="s">
        <v>32</v>
      </c>
      <c r="S88">
        <v>29.35</v>
      </c>
      <c r="T88">
        <v>1643.6</v>
      </c>
      <c r="U88">
        <v>1319.36</v>
      </c>
      <c r="V88" s="1" t="s">
        <v>144</v>
      </c>
      <c r="W88" s="1">
        <f>Sales[[#This Row],[NET_VALUE]]-Sales[[#This Row],[COST]]</f>
        <v>324.24</v>
      </c>
    </row>
    <row r="89" spans="1:23" x14ac:dyDescent="0.2">
      <c r="A89" s="1" t="s">
        <v>197</v>
      </c>
      <c r="B89">
        <v>88</v>
      </c>
      <c r="C89" s="1" t="s">
        <v>28</v>
      </c>
      <c r="D89" s="1" t="s">
        <v>112</v>
      </c>
      <c r="E89" s="1" t="s">
        <v>326</v>
      </c>
      <c r="F89" s="1" t="s">
        <v>621</v>
      </c>
      <c r="G89">
        <v>4</v>
      </c>
      <c r="H89">
        <v>18</v>
      </c>
      <c r="I89" s="1" t="s">
        <v>646</v>
      </c>
      <c r="J89" s="1" t="s">
        <v>293</v>
      </c>
      <c r="K89" s="1" t="s">
        <v>49</v>
      </c>
      <c r="L89" s="1" t="s">
        <v>248</v>
      </c>
      <c r="M89" s="1" t="s">
        <v>249</v>
      </c>
      <c r="N89" s="1" t="s">
        <v>34</v>
      </c>
      <c r="O89" s="1" t="s">
        <v>35</v>
      </c>
      <c r="P89">
        <v>18</v>
      </c>
      <c r="Q89">
        <v>18</v>
      </c>
      <c r="R89" s="1" t="s">
        <v>32</v>
      </c>
      <c r="S89">
        <v>80.680000000000007</v>
      </c>
      <c r="T89">
        <v>1452.24</v>
      </c>
      <c r="U89">
        <v>1318.5</v>
      </c>
      <c r="V89" s="1" t="s">
        <v>144</v>
      </c>
      <c r="W89" s="1">
        <f>Sales[[#This Row],[NET_VALUE]]-Sales[[#This Row],[COST]]</f>
        <v>133.74</v>
      </c>
    </row>
    <row r="90" spans="1:23" x14ac:dyDescent="0.2">
      <c r="A90" s="1" t="s">
        <v>198</v>
      </c>
      <c r="B90">
        <v>89</v>
      </c>
      <c r="C90" s="1" t="s">
        <v>28</v>
      </c>
      <c r="D90" s="1" t="s">
        <v>112</v>
      </c>
      <c r="E90" s="1" t="s">
        <v>326</v>
      </c>
      <c r="F90" s="1" t="s">
        <v>621</v>
      </c>
      <c r="G90">
        <v>4</v>
      </c>
      <c r="H90">
        <v>18</v>
      </c>
      <c r="I90" s="1" t="s">
        <v>645</v>
      </c>
      <c r="J90" s="1" t="s">
        <v>291</v>
      </c>
      <c r="K90" s="1" t="s">
        <v>49</v>
      </c>
      <c r="L90" s="1" t="s">
        <v>248</v>
      </c>
      <c r="M90" s="1" t="s">
        <v>249</v>
      </c>
      <c r="N90" s="1" t="s">
        <v>37</v>
      </c>
      <c r="O90" s="1" t="s">
        <v>38</v>
      </c>
      <c r="P90">
        <v>65</v>
      </c>
      <c r="Q90">
        <v>65</v>
      </c>
      <c r="R90" s="1" t="s">
        <v>32</v>
      </c>
      <c r="S90">
        <v>34.07</v>
      </c>
      <c r="T90">
        <v>2214.5500000000002</v>
      </c>
      <c r="U90">
        <v>1720.55</v>
      </c>
      <c r="V90" s="1" t="s">
        <v>144</v>
      </c>
      <c r="W90" s="1">
        <f>Sales[[#This Row],[NET_VALUE]]-Sales[[#This Row],[COST]]</f>
        <v>494.00000000000023</v>
      </c>
    </row>
    <row r="91" spans="1:23" x14ac:dyDescent="0.2">
      <c r="A91" s="1" t="s">
        <v>199</v>
      </c>
      <c r="B91">
        <v>90</v>
      </c>
      <c r="C91" s="1" t="s">
        <v>28</v>
      </c>
      <c r="D91" s="1" t="s">
        <v>112</v>
      </c>
      <c r="E91" s="1" t="s">
        <v>326</v>
      </c>
      <c r="F91" s="1" t="s">
        <v>621</v>
      </c>
      <c r="G91">
        <v>4</v>
      </c>
      <c r="H91">
        <v>18</v>
      </c>
      <c r="I91" s="1" t="s">
        <v>646</v>
      </c>
      <c r="J91" s="1" t="s">
        <v>247</v>
      </c>
      <c r="K91" s="1" t="s">
        <v>49</v>
      </c>
      <c r="L91" s="1" t="s">
        <v>248</v>
      </c>
      <c r="M91" s="1" t="s">
        <v>249</v>
      </c>
      <c r="N91" s="1" t="s">
        <v>46</v>
      </c>
      <c r="O91" s="1" t="s">
        <v>47</v>
      </c>
      <c r="P91">
        <v>41</v>
      </c>
      <c r="Q91">
        <v>41</v>
      </c>
      <c r="R91" s="1" t="s">
        <v>32</v>
      </c>
      <c r="S91">
        <v>50</v>
      </c>
      <c r="T91">
        <v>2050</v>
      </c>
      <c r="U91">
        <v>1794.98</v>
      </c>
      <c r="V91" s="1" t="s">
        <v>144</v>
      </c>
      <c r="W91" s="1">
        <f>Sales[[#This Row],[NET_VALUE]]-Sales[[#This Row],[COST]]</f>
        <v>255.01999999999998</v>
      </c>
    </row>
    <row r="92" spans="1:23" x14ac:dyDescent="0.2">
      <c r="A92" s="1" t="s">
        <v>200</v>
      </c>
      <c r="B92">
        <v>91</v>
      </c>
      <c r="C92" s="1" t="s">
        <v>28</v>
      </c>
      <c r="D92" s="1" t="s">
        <v>112</v>
      </c>
      <c r="E92" s="1" t="s">
        <v>326</v>
      </c>
      <c r="F92" s="1" t="s">
        <v>621</v>
      </c>
      <c r="G92">
        <v>4</v>
      </c>
      <c r="H92">
        <v>18</v>
      </c>
      <c r="I92" s="1" t="s">
        <v>647</v>
      </c>
      <c r="J92" s="1" t="s">
        <v>247</v>
      </c>
      <c r="K92" s="1" t="s">
        <v>56</v>
      </c>
      <c r="L92" s="1" t="s">
        <v>251</v>
      </c>
      <c r="M92" s="1" t="s">
        <v>249</v>
      </c>
      <c r="N92" s="1" t="s">
        <v>37</v>
      </c>
      <c r="O92" s="1" t="s">
        <v>38</v>
      </c>
      <c r="P92">
        <v>27</v>
      </c>
      <c r="Q92">
        <v>27</v>
      </c>
      <c r="R92" s="1" t="s">
        <v>32</v>
      </c>
      <c r="S92">
        <v>34.07</v>
      </c>
      <c r="T92">
        <v>919.89</v>
      </c>
      <c r="U92">
        <v>714.69</v>
      </c>
      <c r="V92" s="1" t="s">
        <v>144</v>
      </c>
      <c r="W92" s="1">
        <f>Sales[[#This Row],[NET_VALUE]]-Sales[[#This Row],[COST]]</f>
        <v>205.19999999999993</v>
      </c>
    </row>
    <row r="93" spans="1:23" x14ac:dyDescent="0.2">
      <c r="A93" s="1" t="s">
        <v>201</v>
      </c>
      <c r="B93">
        <v>92</v>
      </c>
      <c r="C93" s="1" t="s">
        <v>28</v>
      </c>
      <c r="D93" s="1" t="s">
        <v>112</v>
      </c>
      <c r="E93" s="1" t="s">
        <v>326</v>
      </c>
      <c r="F93" s="1" t="s">
        <v>621</v>
      </c>
      <c r="G93">
        <v>4</v>
      </c>
      <c r="H93">
        <v>18</v>
      </c>
      <c r="I93" s="1" t="s">
        <v>648</v>
      </c>
      <c r="J93" s="1" t="s">
        <v>247</v>
      </c>
      <c r="K93" s="1" t="s">
        <v>56</v>
      </c>
      <c r="L93" s="1" t="s">
        <v>251</v>
      </c>
      <c r="M93" s="1" t="s">
        <v>249</v>
      </c>
      <c r="N93" s="1" t="s">
        <v>43</v>
      </c>
      <c r="O93" s="1" t="s">
        <v>44</v>
      </c>
      <c r="P93">
        <v>28</v>
      </c>
      <c r="Q93">
        <v>28</v>
      </c>
      <c r="R93" s="1" t="s">
        <v>32</v>
      </c>
      <c r="S93">
        <v>68.44</v>
      </c>
      <c r="T93">
        <v>1916.32</v>
      </c>
      <c r="U93">
        <v>1706.88</v>
      </c>
      <c r="V93" s="1" t="s">
        <v>144</v>
      </c>
      <c r="W93" s="1">
        <f>Sales[[#This Row],[NET_VALUE]]-Sales[[#This Row],[COST]]</f>
        <v>209.43999999999983</v>
      </c>
    </row>
    <row r="94" spans="1:23" x14ac:dyDescent="0.2">
      <c r="A94" s="1" t="s">
        <v>202</v>
      </c>
      <c r="B94">
        <v>93</v>
      </c>
      <c r="C94" s="1" t="s">
        <v>28</v>
      </c>
      <c r="D94" s="1" t="s">
        <v>112</v>
      </c>
      <c r="E94" s="1" t="s">
        <v>326</v>
      </c>
      <c r="F94" s="1" t="s">
        <v>621</v>
      </c>
      <c r="G94">
        <v>4</v>
      </c>
      <c r="H94">
        <v>18</v>
      </c>
      <c r="I94" s="1" t="s">
        <v>649</v>
      </c>
      <c r="J94" s="1" t="s">
        <v>293</v>
      </c>
      <c r="K94" s="1" t="s">
        <v>63</v>
      </c>
      <c r="L94" s="1" t="s">
        <v>254</v>
      </c>
      <c r="M94" s="1" t="s">
        <v>249</v>
      </c>
      <c r="N94" s="1" t="s">
        <v>29</v>
      </c>
      <c r="O94" s="1" t="s">
        <v>30</v>
      </c>
      <c r="P94">
        <v>50</v>
      </c>
      <c r="Q94">
        <v>50</v>
      </c>
      <c r="R94" s="1" t="s">
        <v>32</v>
      </c>
      <c r="S94">
        <v>29.35</v>
      </c>
      <c r="T94">
        <v>1467.5</v>
      </c>
      <c r="U94">
        <v>1178</v>
      </c>
      <c r="V94" s="1" t="s">
        <v>144</v>
      </c>
      <c r="W94" s="1">
        <f>Sales[[#This Row],[NET_VALUE]]-Sales[[#This Row],[COST]]</f>
        <v>289.5</v>
      </c>
    </row>
    <row r="95" spans="1:23" x14ac:dyDescent="0.2">
      <c r="A95" s="1" t="s">
        <v>203</v>
      </c>
      <c r="B95">
        <v>94</v>
      </c>
      <c r="C95" s="1" t="s">
        <v>28</v>
      </c>
      <c r="D95" s="1" t="s">
        <v>112</v>
      </c>
      <c r="E95" s="1" t="s">
        <v>326</v>
      </c>
      <c r="F95" s="1" t="s">
        <v>621</v>
      </c>
      <c r="G95">
        <v>4</v>
      </c>
      <c r="H95">
        <v>18</v>
      </c>
      <c r="I95" s="1" t="s">
        <v>649</v>
      </c>
      <c r="J95" s="1" t="s">
        <v>247</v>
      </c>
      <c r="K95" s="1" t="s">
        <v>63</v>
      </c>
      <c r="L95" s="1" t="s">
        <v>254</v>
      </c>
      <c r="M95" s="1" t="s">
        <v>249</v>
      </c>
      <c r="N95" s="1" t="s">
        <v>37</v>
      </c>
      <c r="O95" s="1" t="s">
        <v>38</v>
      </c>
      <c r="P95">
        <v>55</v>
      </c>
      <c r="Q95">
        <v>55</v>
      </c>
      <c r="R95" s="1" t="s">
        <v>32</v>
      </c>
      <c r="S95">
        <v>34.07</v>
      </c>
      <c r="T95">
        <v>1873.85</v>
      </c>
      <c r="U95">
        <v>1455.85</v>
      </c>
      <c r="V95" s="1" t="s">
        <v>144</v>
      </c>
      <c r="W95" s="1">
        <f>Sales[[#This Row],[NET_VALUE]]-Sales[[#This Row],[COST]]</f>
        <v>418</v>
      </c>
    </row>
    <row r="96" spans="1:23" x14ac:dyDescent="0.2">
      <c r="A96" s="1" t="s">
        <v>204</v>
      </c>
      <c r="B96">
        <v>95</v>
      </c>
      <c r="C96" s="1" t="s">
        <v>28</v>
      </c>
      <c r="D96" s="1" t="s">
        <v>112</v>
      </c>
      <c r="E96" s="1" t="s">
        <v>326</v>
      </c>
      <c r="F96" s="1" t="s">
        <v>621</v>
      </c>
      <c r="G96">
        <v>4</v>
      </c>
      <c r="H96">
        <v>18</v>
      </c>
      <c r="I96" s="1" t="s">
        <v>649</v>
      </c>
      <c r="J96" s="1" t="s">
        <v>291</v>
      </c>
      <c r="K96" s="1" t="s">
        <v>63</v>
      </c>
      <c r="L96" s="1" t="s">
        <v>254</v>
      </c>
      <c r="M96" s="1" t="s">
        <v>249</v>
      </c>
      <c r="N96" s="1" t="s">
        <v>40</v>
      </c>
      <c r="O96" s="1" t="s">
        <v>41</v>
      </c>
      <c r="P96">
        <v>24</v>
      </c>
      <c r="Q96">
        <v>24</v>
      </c>
      <c r="R96" s="1" t="s">
        <v>32</v>
      </c>
      <c r="S96">
        <v>96.4</v>
      </c>
      <c r="T96">
        <v>2313.6</v>
      </c>
      <c r="U96">
        <v>2029.2</v>
      </c>
      <c r="V96" s="1" t="s">
        <v>144</v>
      </c>
      <c r="W96" s="1">
        <f>Sales[[#This Row],[NET_VALUE]]-Sales[[#This Row],[COST]]</f>
        <v>284.39999999999986</v>
      </c>
    </row>
    <row r="97" spans="1:23" x14ac:dyDescent="0.2">
      <c r="A97" s="1" t="s">
        <v>205</v>
      </c>
      <c r="B97">
        <v>96</v>
      </c>
      <c r="C97" s="1" t="s">
        <v>28</v>
      </c>
      <c r="D97" s="1" t="s">
        <v>112</v>
      </c>
      <c r="E97" s="1" t="s">
        <v>357</v>
      </c>
      <c r="F97" s="1" t="s">
        <v>651</v>
      </c>
      <c r="G97">
        <v>4</v>
      </c>
      <c r="H97">
        <v>19</v>
      </c>
      <c r="I97" s="1" t="s">
        <v>675</v>
      </c>
      <c r="J97" s="1" t="s">
        <v>247</v>
      </c>
      <c r="K97" s="1" t="s">
        <v>49</v>
      </c>
      <c r="L97" s="1" t="s">
        <v>248</v>
      </c>
      <c r="M97" s="1" t="s">
        <v>249</v>
      </c>
      <c r="N97" s="1" t="s">
        <v>29</v>
      </c>
      <c r="O97" s="1" t="s">
        <v>30</v>
      </c>
      <c r="P97">
        <v>13</v>
      </c>
      <c r="Q97">
        <v>13</v>
      </c>
      <c r="R97" s="1" t="s">
        <v>32</v>
      </c>
      <c r="S97">
        <v>29.35</v>
      </c>
      <c r="T97">
        <v>381.55</v>
      </c>
      <c r="U97">
        <v>306.27999999999997</v>
      </c>
      <c r="V97" s="1" t="s">
        <v>144</v>
      </c>
      <c r="W97" s="1">
        <f>Sales[[#This Row],[NET_VALUE]]-Sales[[#This Row],[COST]]</f>
        <v>75.270000000000039</v>
      </c>
    </row>
    <row r="98" spans="1:23" x14ac:dyDescent="0.2">
      <c r="A98" s="1" t="s">
        <v>206</v>
      </c>
      <c r="B98">
        <v>97</v>
      </c>
      <c r="C98" s="1" t="s">
        <v>28</v>
      </c>
      <c r="D98" s="1" t="s">
        <v>112</v>
      </c>
      <c r="E98" s="1" t="s">
        <v>357</v>
      </c>
      <c r="F98" s="1" t="s">
        <v>651</v>
      </c>
      <c r="G98">
        <v>4</v>
      </c>
      <c r="H98">
        <v>19</v>
      </c>
      <c r="I98" s="1" t="s">
        <v>676</v>
      </c>
      <c r="J98" s="1" t="s">
        <v>247</v>
      </c>
      <c r="K98" s="1" t="s">
        <v>49</v>
      </c>
      <c r="L98" s="1" t="s">
        <v>248</v>
      </c>
      <c r="M98" s="1" t="s">
        <v>249</v>
      </c>
      <c r="N98" s="1" t="s">
        <v>46</v>
      </c>
      <c r="O98" s="1" t="s">
        <v>47</v>
      </c>
      <c r="P98">
        <v>19</v>
      </c>
      <c r="Q98">
        <v>19</v>
      </c>
      <c r="R98" s="1" t="s">
        <v>32</v>
      </c>
      <c r="S98">
        <v>50</v>
      </c>
      <c r="T98">
        <v>950</v>
      </c>
      <c r="U98">
        <v>831.82</v>
      </c>
      <c r="V98" s="1" t="s">
        <v>144</v>
      </c>
      <c r="W98" s="1">
        <f>Sales[[#This Row],[NET_VALUE]]-Sales[[#This Row],[COST]]</f>
        <v>118.17999999999995</v>
      </c>
    </row>
    <row r="99" spans="1:23" x14ac:dyDescent="0.2">
      <c r="A99" s="1" t="s">
        <v>209</v>
      </c>
      <c r="B99">
        <v>98</v>
      </c>
      <c r="C99" s="1" t="s">
        <v>28</v>
      </c>
      <c r="D99" s="1" t="s">
        <v>112</v>
      </c>
      <c r="E99" s="1" t="s">
        <v>357</v>
      </c>
      <c r="F99" s="1" t="s">
        <v>651</v>
      </c>
      <c r="G99">
        <v>4</v>
      </c>
      <c r="H99">
        <v>19</v>
      </c>
      <c r="I99" s="1" t="s">
        <v>677</v>
      </c>
      <c r="J99" s="1" t="s">
        <v>291</v>
      </c>
      <c r="K99" s="1" t="s">
        <v>56</v>
      </c>
      <c r="L99" s="1" t="s">
        <v>251</v>
      </c>
      <c r="M99" s="1" t="s">
        <v>249</v>
      </c>
      <c r="N99" s="1" t="s">
        <v>34</v>
      </c>
      <c r="O99" s="1" t="s">
        <v>35</v>
      </c>
      <c r="P99">
        <v>25</v>
      </c>
      <c r="Q99">
        <v>25</v>
      </c>
      <c r="R99" s="1" t="s">
        <v>32</v>
      </c>
      <c r="S99">
        <v>80.680000000000007</v>
      </c>
      <c r="T99">
        <v>2017</v>
      </c>
      <c r="U99">
        <v>1831.25</v>
      </c>
      <c r="V99" s="1" t="s">
        <v>144</v>
      </c>
      <c r="W99" s="1">
        <f>Sales[[#This Row],[NET_VALUE]]-Sales[[#This Row],[COST]]</f>
        <v>185.75</v>
      </c>
    </row>
    <row r="100" spans="1:23" x14ac:dyDescent="0.2">
      <c r="A100" s="1" t="s">
        <v>210</v>
      </c>
      <c r="B100">
        <v>99</v>
      </c>
      <c r="C100" s="1" t="s">
        <v>28</v>
      </c>
      <c r="D100" s="1" t="s">
        <v>112</v>
      </c>
      <c r="E100" s="1" t="s">
        <v>357</v>
      </c>
      <c r="F100" s="1" t="s">
        <v>651</v>
      </c>
      <c r="G100">
        <v>4</v>
      </c>
      <c r="H100">
        <v>19</v>
      </c>
      <c r="I100" s="1" t="s">
        <v>677</v>
      </c>
      <c r="J100" s="1" t="s">
        <v>247</v>
      </c>
      <c r="K100" s="1" t="s">
        <v>56</v>
      </c>
      <c r="L100" s="1" t="s">
        <v>251</v>
      </c>
      <c r="M100" s="1" t="s">
        <v>249</v>
      </c>
      <c r="N100" s="1" t="s">
        <v>37</v>
      </c>
      <c r="O100" s="1" t="s">
        <v>38</v>
      </c>
      <c r="P100">
        <v>48</v>
      </c>
      <c r="Q100">
        <v>48</v>
      </c>
      <c r="R100" s="1" t="s">
        <v>32</v>
      </c>
      <c r="S100">
        <v>34.07</v>
      </c>
      <c r="T100">
        <v>1635.36</v>
      </c>
      <c r="U100">
        <v>1270.56</v>
      </c>
      <c r="V100" s="1" t="s">
        <v>144</v>
      </c>
      <c r="W100" s="1">
        <f>Sales[[#This Row],[NET_VALUE]]-Sales[[#This Row],[COST]]</f>
        <v>364.79999999999995</v>
      </c>
    </row>
    <row r="101" spans="1:23" x14ac:dyDescent="0.2">
      <c r="A101" s="1" t="s">
        <v>211</v>
      </c>
      <c r="B101">
        <v>100</v>
      </c>
      <c r="C101" s="1" t="s">
        <v>28</v>
      </c>
      <c r="D101" s="1" t="s">
        <v>112</v>
      </c>
      <c r="E101" s="1" t="s">
        <v>357</v>
      </c>
      <c r="F101" s="1" t="s">
        <v>651</v>
      </c>
      <c r="G101">
        <v>4</v>
      </c>
      <c r="H101">
        <v>19</v>
      </c>
      <c r="I101" s="1" t="s">
        <v>677</v>
      </c>
      <c r="J101" s="1" t="s">
        <v>293</v>
      </c>
      <c r="K101" s="1" t="s">
        <v>56</v>
      </c>
      <c r="L101" s="1" t="s">
        <v>251</v>
      </c>
      <c r="M101" s="1" t="s">
        <v>249</v>
      </c>
      <c r="N101" s="1" t="s">
        <v>37</v>
      </c>
      <c r="O101" s="1" t="s">
        <v>38</v>
      </c>
      <c r="P101">
        <v>22</v>
      </c>
      <c r="Q101">
        <v>22</v>
      </c>
      <c r="R101" s="1" t="s">
        <v>32</v>
      </c>
      <c r="S101">
        <v>34.07</v>
      </c>
      <c r="T101">
        <v>749.54</v>
      </c>
      <c r="U101">
        <v>582.34</v>
      </c>
      <c r="V101" s="1" t="s">
        <v>144</v>
      </c>
      <c r="W101" s="1">
        <f>Sales[[#This Row],[NET_VALUE]]-Sales[[#This Row],[COST]]</f>
        <v>167.19999999999993</v>
      </c>
    </row>
    <row r="102" spans="1:23" x14ac:dyDescent="0.2">
      <c r="A102" s="1" t="s">
        <v>212</v>
      </c>
      <c r="B102">
        <v>101</v>
      </c>
      <c r="C102" s="1" t="s">
        <v>28</v>
      </c>
      <c r="D102" s="1" t="s">
        <v>112</v>
      </c>
      <c r="E102" s="1" t="s">
        <v>357</v>
      </c>
      <c r="F102" s="1" t="s">
        <v>651</v>
      </c>
      <c r="G102">
        <v>4</v>
      </c>
      <c r="H102">
        <v>19</v>
      </c>
      <c r="I102" s="1" t="s">
        <v>677</v>
      </c>
      <c r="J102" s="1" t="s">
        <v>678</v>
      </c>
      <c r="K102" s="1" t="s">
        <v>56</v>
      </c>
      <c r="L102" s="1" t="s">
        <v>251</v>
      </c>
      <c r="M102" s="1" t="s">
        <v>249</v>
      </c>
      <c r="N102" s="1" t="s">
        <v>37</v>
      </c>
      <c r="O102" s="1" t="s">
        <v>38</v>
      </c>
      <c r="P102">
        <v>53</v>
      </c>
      <c r="Q102">
        <v>53</v>
      </c>
      <c r="R102" s="1" t="s">
        <v>32</v>
      </c>
      <c r="S102">
        <v>34.07</v>
      </c>
      <c r="T102">
        <v>1805.71</v>
      </c>
      <c r="U102">
        <v>1402.91</v>
      </c>
      <c r="V102" s="1" t="s">
        <v>144</v>
      </c>
      <c r="W102" s="1">
        <f>Sales[[#This Row],[NET_VALUE]]-Sales[[#This Row],[COST]]</f>
        <v>402.79999999999995</v>
      </c>
    </row>
    <row r="103" spans="1:23" x14ac:dyDescent="0.2">
      <c r="A103" s="1" t="s">
        <v>213</v>
      </c>
      <c r="B103">
        <v>102</v>
      </c>
      <c r="C103" s="1" t="s">
        <v>28</v>
      </c>
      <c r="D103" s="1" t="s">
        <v>112</v>
      </c>
      <c r="E103" s="1" t="s">
        <v>357</v>
      </c>
      <c r="F103" s="1" t="s">
        <v>651</v>
      </c>
      <c r="G103">
        <v>4</v>
      </c>
      <c r="H103">
        <v>19</v>
      </c>
      <c r="I103" s="1" t="s">
        <v>679</v>
      </c>
      <c r="J103" s="1" t="s">
        <v>247</v>
      </c>
      <c r="K103" s="1" t="s">
        <v>63</v>
      </c>
      <c r="L103" s="1" t="s">
        <v>254</v>
      </c>
      <c r="M103" s="1" t="s">
        <v>249</v>
      </c>
      <c r="N103" s="1" t="s">
        <v>40</v>
      </c>
      <c r="O103" s="1" t="s">
        <v>41</v>
      </c>
      <c r="P103">
        <v>25</v>
      </c>
      <c r="Q103">
        <v>25</v>
      </c>
      <c r="R103" s="1" t="s">
        <v>32</v>
      </c>
      <c r="S103">
        <v>96.4</v>
      </c>
      <c r="T103">
        <v>2410</v>
      </c>
      <c r="U103">
        <v>2113.75</v>
      </c>
      <c r="V103" s="1" t="s">
        <v>144</v>
      </c>
      <c r="W103" s="1">
        <f>Sales[[#This Row],[NET_VALUE]]-Sales[[#This Row],[COST]]</f>
        <v>296.25</v>
      </c>
    </row>
    <row r="104" spans="1:23" x14ac:dyDescent="0.2">
      <c r="A104" s="1" t="s">
        <v>214</v>
      </c>
      <c r="B104">
        <v>103</v>
      </c>
      <c r="C104" s="1" t="s">
        <v>28</v>
      </c>
      <c r="D104" s="1" t="s">
        <v>112</v>
      </c>
      <c r="E104" s="1" t="s">
        <v>357</v>
      </c>
      <c r="F104" s="1" t="s">
        <v>651</v>
      </c>
      <c r="G104">
        <v>4</v>
      </c>
      <c r="H104">
        <v>19</v>
      </c>
      <c r="I104" s="1" t="s">
        <v>680</v>
      </c>
      <c r="J104" s="1" t="s">
        <v>247</v>
      </c>
      <c r="K104" s="1" t="s">
        <v>63</v>
      </c>
      <c r="L104" s="1" t="s">
        <v>254</v>
      </c>
      <c r="M104" s="1" t="s">
        <v>249</v>
      </c>
      <c r="N104" s="1" t="s">
        <v>43</v>
      </c>
      <c r="O104" s="1" t="s">
        <v>44</v>
      </c>
      <c r="P104">
        <v>35</v>
      </c>
      <c r="Q104">
        <v>35</v>
      </c>
      <c r="R104" s="1" t="s">
        <v>32</v>
      </c>
      <c r="S104">
        <v>68.44</v>
      </c>
      <c r="T104">
        <v>2395.4</v>
      </c>
      <c r="U104">
        <v>2133.6</v>
      </c>
      <c r="V104" s="1" t="s">
        <v>144</v>
      </c>
      <c r="W104" s="1">
        <f>Sales[[#This Row],[NET_VALUE]]-Sales[[#This Row],[COST]]</f>
        <v>261.80000000000018</v>
      </c>
    </row>
    <row r="105" spans="1:23" x14ac:dyDescent="0.2">
      <c r="A105" s="1" t="s">
        <v>215</v>
      </c>
      <c r="B105">
        <v>104</v>
      </c>
      <c r="C105" s="1" t="s">
        <v>28</v>
      </c>
      <c r="D105" s="1" t="s">
        <v>112</v>
      </c>
      <c r="E105" s="1" t="s">
        <v>387</v>
      </c>
      <c r="F105" s="1" t="s">
        <v>682</v>
      </c>
      <c r="G105">
        <v>4</v>
      </c>
      <c r="H105">
        <v>20</v>
      </c>
      <c r="I105" s="1" t="s">
        <v>706</v>
      </c>
      <c r="J105" s="1" t="s">
        <v>247</v>
      </c>
      <c r="K105" s="1" t="s">
        <v>56</v>
      </c>
      <c r="L105" s="1" t="s">
        <v>251</v>
      </c>
      <c r="M105" s="1" t="s">
        <v>249</v>
      </c>
      <c r="N105" s="1" t="s">
        <v>37</v>
      </c>
      <c r="O105" s="1" t="s">
        <v>38</v>
      </c>
      <c r="P105">
        <v>27</v>
      </c>
      <c r="Q105">
        <v>27</v>
      </c>
      <c r="R105" s="1" t="s">
        <v>32</v>
      </c>
      <c r="S105">
        <v>34.07</v>
      </c>
      <c r="T105">
        <v>919.89</v>
      </c>
      <c r="U105">
        <v>714.69</v>
      </c>
      <c r="V105" s="1" t="s">
        <v>144</v>
      </c>
      <c r="W105" s="1">
        <f>Sales[[#This Row],[NET_VALUE]]-Sales[[#This Row],[COST]]</f>
        <v>205.19999999999993</v>
      </c>
    </row>
    <row r="106" spans="1:23" x14ac:dyDescent="0.2">
      <c r="A106" s="1" t="s">
        <v>216</v>
      </c>
      <c r="B106">
        <v>105</v>
      </c>
      <c r="C106" s="1" t="s">
        <v>28</v>
      </c>
      <c r="D106" s="1" t="s">
        <v>112</v>
      </c>
      <c r="E106" s="1" t="s">
        <v>387</v>
      </c>
      <c r="F106" s="1" t="s">
        <v>682</v>
      </c>
      <c r="G106">
        <v>4</v>
      </c>
      <c r="H106">
        <v>20</v>
      </c>
      <c r="I106" s="1" t="s">
        <v>707</v>
      </c>
      <c r="J106" s="1" t="s">
        <v>247</v>
      </c>
      <c r="K106" s="1" t="s">
        <v>63</v>
      </c>
      <c r="L106" s="1" t="s">
        <v>254</v>
      </c>
      <c r="M106" s="1" t="s">
        <v>249</v>
      </c>
      <c r="N106" s="1" t="s">
        <v>29</v>
      </c>
      <c r="O106" s="1" t="s">
        <v>30</v>
      </c>
      <c r="P106">
        <v>50</v>
      </c>
      <c r="Q106">
        <v>50</v>
      </c>
      <c r="R106" s="1" t="s">
        <v>32</v>
      </c>
      <c r="S106">
        <v>29.35</v>
      </c>
      <c r="T106">
        <v>1467.5</v>
      </c>
      <c r="U106">
        <v>1178</v>
      </c>
      <c r="V106" s="1" t="s">
        <v>144</v>
      </c>
      <c r="W106" s="1">
        <f>Sales[[#This Row],[NET_VALUE]]-Sales[[#This Row],[COST]]</f>
        <v>289.5</v>
      </c>
    </row>
    <row r="107" spans="1:23" x14ac:dyDescent="0.2">
      <c r="A107" s="1" t="s">
        <v>217</v>
      </c>
      <c r="B107">
        <v>106</v>
      </c>
      <c r="C107" s="1" t="s">
        <v>28</v>
      </c>
      <c r="D107" s="1" t="s">
        <v>31</v>
      </c>
      <c r="E107" s="1" t="s">
        <v>81</v>
      </c>
      <c r="F107" s="1" t="s">
        <v>709</v>
      </c>
      <c r="G107">
        <v>5</v>
      </c>
      <c r="H107">
        <v>21</v>
      </c>
      <c r="I107" s="1" t="s">
        <v>733</v>
      </c>
      <c r="J107" s="1" t="s">
        <v>247</v>
      </c>
      <c r="K107" s="1" t="s">
        <v>56</v>
      </c>
      <c r="L107" s="1" t="s">
        <v>251</v>
      </c>
      <c r="M107" s="1" t="s">
        <v>249</v>
      </c>
      <c r="N107" s="1" t="s">
        <v>43</v>
      </c>
      <c r="O107" s="1" t="s">
        <v>44</v>
      </c>
      <c r="P107">
        <v>33</v>
      </c>
      <c r="Q107">
        <v>33</v>
      </c>
      <c r="R107" s="1" t="s">
        <v>32</v>
      </c>
      <c r="S107">
        <v>68.44</v>
      </c>
      <c r="T107">
        <v>2258.52</v>
      </c>
      <c r="U107">
        <v>2011.68</v>
      </c>
      <c r="V107" s="1" t="s">
        <v>144</v>
      </c>
      <c r="W107" s="1">
        <f>Sales[[#This Row],[NET_VALUE]]-Sales[[#This Row],[COST]]</f>
        <v>246.83999999999992</v>
      </c>
    </row>
    <row r="108" spans="1:23" x14ac:dyDescent="0.2">
      <c r="A108" s="1" t="s">
        <v>218</v>
      </c>
      <c r="B108">
        <v>107</v>
      </c>
      <c r="C108" s="1" t="s">
        <v>28</v>
      </c>
      <c r="D108" s="1" t="s">
        <v>31</v>
      </c>
      <c r="E108" s="1" t="s">
        <v>81</v>
      </c>
      <c r="F108" s="1" t="s">
        <v>709</v>
      </c>
      <c r="G108">
        <v>5</v>
      </c>
      <c r="H108">
        <v>21</v>
      </c>
      <c r="I108" s="1" t="s">
        <v>734</v>
      </c>
      <c r="J108" s="1" t="s">
        <v>247</v>
      </c>
      <c r="K108" s="1" t="s">
        <v>63</v>
      </c>
      <c r="L108" s="1" t="s">
        <v>254</v>
      </c>
      <c r="M108" s="1" t="s">
        <v>249</v>
      </c>
      <c r="N108" s="1" t="s">
        <v>40</v>
      </c>
      <c r="O108" s="1" t="s">
        <v>41</v>
      </c>
      <c r="P108">
        <v>23</v>
      </c>
      <c r="Q108">
        <v>23</v>
      </c>
      <c r="R108" s="1" t="s">
        <v>32</v>
      </c>
      <c r="S108">
        <v>96.4</v>
      </c>
      <c r="T108">
        <v>2217.1999999999998</v>
      </c>
      <c r="U108">
        <v>1944.65</v>
      </c>
      <c r="V108" s="1" t="s">
        <v>144</v>
      </c>
      <c r="W108" s="1">
        <f>Sales[[#This Row],[NET_VALUE]]-Sales[[#This Row],[COST]]</f>
        <v>272.54999999999973</v>
      </c>
    </row>
    <row r="109" spans="1:23" x14ac:dyDescent="0.2">
      <c r="A109" s="1" t="s">
        <v>219</v>
      </c>
      <c r="B109">
        <v>108</v>
      </c>
      <c r="C109" s="1" t="s">
        <v>28</v>
      </c>
      <c r="D109" s="1" t="s">
        <v>31</v>
      </c>
      <c r="E109" s="1" t="s">
        <v>112</v>
      </c>
      <c r="F109" s="1" t="s">
        <v>736</v>
      </c>
      <c r="G109">
        <v>5</v>
      </c>
      <c r="H109">
        <v>22</v>
      </c>
      <c r="I109" s="1" t="s">
        <v>760</v>
      </c>
      <c r="J109" s="1" t="s">
        <v>247</v>
      </c>
      <c r="K109" s="1" t="s">
        <v>49</v>
      </c>
      <c r="L109" s="1" t="s">
        <v>248</v>
      </c>
      <c r="M109" s="1" t="s">
        <v>249</v>
      </c>
      <c r="N109" s="1" t="s">
        <v>29</v>
      </c>
      <c r="O109" s="1" t="s">
        <v>30</v>
      </c>
      <c r="P109">
        <v>1</v>
      </c>
      <c r="Q109">
        <v>1</v>
      </c>
      <c r="R109" s="1" t="s">
        <v>32</v>
      </c>
      <c r="S109">
        <v>29.35</v>
      </c>
      <c r="T109">
        <v>29.35</v>
      </c>
      <c r="U109">
        <v>23.47</v>
      </c>
      <c r="V109" s="1" t="s">
        <v>144</v>
      </c>
      <c r="W109" s="1">
        <f>Sales[[#This Row],[NET_VALUE]]-Sales[[#This Row],[COST]]</f>
        <v>5.8800000000000026</v>
      </c>
    </row>
    <row r="110" spans="1:23" x14ac:dyDescent="0.2">
      <c r="A110" s="1" t="s">
        <v>220</v>
      </c>
      <c r="B110">
        <v>109</v>
      </c>
      <c r="C110" s="1" t="s">
        <v>28</v>
      </c>
      <c r="D110" s="1" t="s">
        <v>31</v>
      </c>
      <c r="E110" s="1" t="s">
        <v>112</v>
      </c>
      <c r="F110" s="1" t="s">
        <v>736</v>
      </c>
      <c r="G110">
        <v>5</v>
      </c>
      <c r="H110">
        <v>22</v>
      </c>
      <c r="I110" s="1" t="s">
        <v>761</v>
      </c>
      <c r="J110" s="1" t="s">
        <v>247</v>
      </c>
      <c r="K110" s="1" t="s">
        <v>56</v>
      </c>
      <c r="L110" s="1" t="s">
        <v>251</v>
      </c>
      <c r="M110" s="1" t="s">
        <v>249</v>
      </c>
      <c r="N110" s="1" t="s">
        <v>34</v>
      </c>
      <c r="O110" s="1" t="s">
        <v>35</v>
      </c>
      <c r="P110">
        <v>7</v>
      </c>
      <c r="Q110">
        <v>7</v>
      </c>
      <c r="R110" s="1" t="s">
        <v>32</v>
      </c>
      <c r="S110">
        <v>80.680000000000007</v>
      </c>
      <c r="T110">
        <v>564.76</v>
      </c>
      <c r="U110">
        <v>512.82000000000005</v>
      </c>
      <c r="V110" s="1" t="s">
        <v>144</v>
      </c>
      <c r="W110" s="1">
        <f>Sales[[#This Row],[NET_VALUE]]-Sales[[#This Row],[COST]]</f>
        <v>51.939999999999941</v>
      </c>
    </row>
    <row r="111" spans="1:23" x14ac:dyDescent="0.2">
      <c r="A111" s="1" t="s">
        <v>221</v>
      </c>
      <c r="B111">
        <v>110</v>
      </c>
      <c r="C111" s="1" t="s">
        <v>28</v>
      </c>
      <c r="D111" s="1" t="s">
        <v>31</v>
      </c>
      <c r="E111" s="1" t="s">
        <v>112</v>
      </c>
      <c r="F111" s="1" t="s">
        <v>736</v>
      </c>
      <c r="G111">
        <v>5</v>
      </c>
      <c r="H111">
        <v>22</v>
      </c>
      <c r="I111" s="1" t="s">
        <v>762</v>
      </c>
      <c r="J111" s="1" t="s">
        <v>291</v>
      </c>
      <c r="K111" s="1" t="s">
        <v>56</v>
      </c>
      <c r="L111" s="1" t="s">
        <v>251</v>
      </c>
      <c r="M111" s="1" t="s">
        <v>249</v>
      </c>
      <c r="N111" s="1" t="s">
        <v>34</v>
      </c>
      <c r="O111" s="1" t="s">
        <v>35</v>
      </c>
      <c r="P111">
        <v>14</v>
      </c>
      <c r="Q111">
        <v>14</v>
      </c>
      <c r="R111" s="1" t="s">
        <v>32</v>
      </c>
      <c r="S111">
        <v>80.680000000000007</v>
      </c>
      <c r="T111">
        <v>1129.52</v>
      </c>
      <c r="U111">
        <v>1025.6400000000001</v>
      </c>
      <c r="V111" s="1" t="s">
        <v>144</v>
      </c>
      <c r="W111" s="1">
        <f>Sales[[#This Row],[NET_VALUE]]-Sales[[#This Row],[COST]]</f>
        <v>103.87999999999988</v>
      </c>
    </row>
    <row r="112" spans="1:23" x14ac:dyDescent="0.2">
      <c r="A112" s="1" t="s">
        <v>222</v>
      </c>
      <c r="B112">
        <v>111</v>
      </c>
      <c r="C112" s="1" t="s">
        <v>28</v>
      </c>
      <c r="D112" s="1" t="s">
        <v>31</v>
      </c>
      <c r="E112" s="1" t="s">
        <v>112</v>
      </c>
      <c r="F112" s="1" t="s">
        <v>736</v>
      </c>
      <c r="G112">
        <v>5</v>
      </c>
      <c r="H112">
        <v>22</v>
      </c>
      <c r="I112" s="1" t="s">
        <v>762</v>
      </c>
      <c r="J112" s="1" t="s">
        <v>247</v>
      </c>
      <c r="K112" s="1" t="s">
        <v>56</v>
      </c>
      <c r="L112" s="1" t="s">
        <v>251</v>
      </c>
      <c r="M112" s="1" t="s">
        <v>249</v>
      </c>
      <c r="N112" s="1" t="s">
        <v>37</v>
      </c>
      <c r="O112" s="1" t="s">
        <v>38</v>
      </c>
      <c r="P112">
        <v>56</v>
      </c>
      <c r="Q112">
        <v>56</v>
      </c>
      <c r="R112" s="1" t="s">
        <v>32</v>
      </c>
      <c r="S112">
        <v>32.76</v>
      </c>
      <c r="T112">
        <v>1834.56</v>
      </c>
      <c r="U112">
        <v>1476.16</v>
      </c>
      <c r="V112" s="1" t="s">
        <v>144</v>
      </c>
      <c r="W112" s="1">
        <f>Sales[[#This Row],[NET_VALUE]]-Sales[[#This Row],[COST]]</f>
        <v>358.39999999999986</v>
      </c>
    </row>
    <row r="113" spans="1:23" x14ac:dyDescent="0.2">
      <c r="A113" s="1" t="s">
        <v>223</v>
      </c>
      <c r="B113">
        <v>112</v>
      </c>
      <c r="C113" s="1" t="s">
        <v>28</v>
      </c>
      <c r="D113" s="1" t="s">
        <v>31</v>
      </c>
      <c r="E113" s="1" t="s">
        <v>112</v>
      </c>
      <c r="F113" s="1" t="s">
        <v>736</v>
      </c>
      <c r="G113">
        <v>5</v>
      </c>
      <c r="H113">
        <v>22</v>
      </c>
      <c r="I113" s="1" t="s">
        <v>761</v>
      </c>
      <c r="J113" s="1" t="s">
        <v>291</v>
      </c>
      <c r="K113" s="1" t="s">
        <v>56</v>
      </c>
      <c r="L113" s="1" t="s">
        <v>251</v>
      </c>
      <c r="M113" s="1" t="s">
        <v>249</v>
      </c>
      <c r="N113" s="1" t="s">
        <v>43</v>
      </c>
      <c r="O113" s="1" t="s">
        <v>44</v>
      </c>
      <c r="P113">
        <v>30</v>
      </c>
      <c r="Q113">
        <v>30</v>
      </c>
      <c r="R113" s="1" t="s">
        <v>32</v>
      </c>
      <c r="S113">
        <v>68.44</v>
      </c>
      <c r="T113">
        <v>2053.1999999999998</v>
      </c>
      <c r="U113">
        <v>1827.9</v>
      </c>
      <c r="V113" s="1" t="s">
        <v>144</v>
      </c>
      <c r="W113" s="1">
        <f>Sales[[#This Row],[NET_VALUE]]-Sales[[#This Row],[COST]]</f>
        <v>225.29999999999973</v>
      </c>
    </row>
    <row r="114" spans="1:23" x14ac:dyDescent="0.2">
      <c r="A114" s="1" t="s">
        <v>224</v>
      </c>
      <c r="B114">
        <v>113</v>
      </c>
      <c r="C114" s="1" t="s">
        <v>28</v>
      </c>
      <c r="D114" s="1" t="s">
        <v>31</v>
      </c>
      <c r="E114" s="1" t="s">
        <v>31</v>
      </c>
      <c r="F114" s="1" t="s">
        <v>764</v>
      </c>
      <c r="G114">
        <v>5</v>
      </c>
      <c r="H114">
        <v>23</v>
      </c>
      <c r="I114" s="1" t="s">
        <v>788</v>
      </c>
      <c r="J114" s="1" t="s">
        <v>291</v>
      </c>
      <c r="K114" s="1" t="s">
        <v>49</v>
      </c>
      <c r="L114" s="1" t="s">
        <v>248</v>
      </c>
      <c r="M114" s="1" t="s">
        <v>249</v>
      </c>
      <c r="N114" s="1" t="s">
        <v>29</v>
      </c>
      <c r="O114" s="1" t="s">
        <v>30</v>
      </c>
      <c r="P114">
        <v>71</v>
      </c>
      <c r="Q114">
        <v>71</v>
      </c>
      <c r="R114" s="1" t="s">
        <v>32</v>
      </c>
      <c r="S114">
        <v>29.35</v>
      </c>
      <c r="T114">
        <v>2083.85</v>
      </c>
      <c r="U114">
        <v>1666.37</v>
      </c>
      <c r="V114" s="1" t="s">
        <v>144</v>
      </c>
      <c r="W114" s="1">
        <f>Sales[[#This Row],[NET_VALUE]]-Sales[[#This Row],[COST]]</f>
        <v>417.48</v>
      </c>
    </row>
    <row r="115" spans="1:23" x14ac:dyDescent="0.2">
      <c r="A115" s="1" t="s">
        <v>225</v>
      </c>
      <c r="B115">
        <v>114</v>
      </c>
      <c r="C115" s="1" t="s">
        <v>28</v>
      </c>
      <c r="D115" s="1" t="s">
        <v>31</v>
      </c>
      <c r="E115" s="1" t="s">
        <v>31</v>
      </c>
      <c r="F115" s="1" t="s">
        <v>764</v>
      </c>
      <c r="G115">
        <v>5</v>
      </c>
      <c r="H115">
        <v>23</v>
      </c>
      <c r="I115" s="1" t="s">
        <v>788</v>
      </c>
      <c r="J115" s="1" t="s">
        <v>592</v>
      </c>
      <c r="K115" s="1" t="s">
        <v>49</v>
      </c>
      <c r="L115" s="1" t="s">
        <v>248</v>
      </c>
      <c r="M115" s="1" t="s">
        <v>249</v>
      </c>
      <c r="N115" s="1" t="s">
        <v>29</v>
      </c>
      <c r="O115" s="1" t="s">
        <v>30</v>
      </c>
      <c r="P115">
        <v>77</v>
      </c>
      <c r="Q115">
        <v>77</v>
      </c>
      <c r="R115" s="1" t="s">
        <v>32</v>
      </c>
      <c r="S115">
        <v>29.35</v>
      </c>
      <c r="T115">
        <v>2259.9499999999998</v>
      </c>
      <c r="U115">
        <v>1807.19</v>
      </c>
      <c r="V115" s="1" t="s">
        <v>144</v>
      </c>
      <c r="W115" s="1">
        <f>Sales[[#This Row],[NET_VALUE]]-Sales[[#This Row],[COST]]</f>
        <v>452.75999999999976</v>
      </c>
    </row>
    <row r="116" spans="1:23" x14ac:dyDescent="0.2">
      <c r="A116" s="1" t="s">
        <v>226</v>
      </c>
      <c r="B116">
        <v>115</v>
      </c>
      <c r="C116" s="1" t="s">
        <v>28</v>
      </c>
      <c r="D116" s="1" t="s">
        <v>31</v>
      </c>
      <c r="E116" s="1" t="s">
        <v>31</v>
      </c>
      <c r="F116" s="1" t="s">
        <v>764</v>
      </c>
      <c r="G116">
        <v>5</v>
      </c>
      <c r="H116">
        <v>23</v>
      </c>
      <c r="I116" s="1" t="s">
        <v>788</v>
      </c>
      <c r="J116" s="1" t="s">
        <v>247</v>
      </c>
      <c r="K116" s="1" t="s">
        <v>49</v>
      </c>
      <c r="L116" s="1" t="s">
        <v>248</v>
      </c>
      <c r="M116" s="1" t="s">
        <v>249</v>
      </c>
      <c r="N116" s="1" t="s">
        <v>37</v>
      </c>
      <c r="O116" s="1" t="s">
        <v>38</v>
      </c>
      <c r="P116">
        <v>58</v>
      </c>
      <c r="Q116">
        <v>58</v>
      </c>
      <c r="R116" s="1" t="s">
        <v>32</v>
      </c>
      <c r="S116">
        <v>32.76</v>
      </c>
      <c r="T116">
        <v>1900.08</v>
      </c>
      <c r="U116">
        <v>1528.88</v>
      </c>
      <c r="V116" s="1" t="s">
        <v>144</v>
      </c>
      <c r="W116" s="1">
        <f>Sales[[#This Row],[NET_VALUE]]-Sales[[#This Row],[COST]]</f>
        <v>371.19999999999982</v>
      </c>
    </row>
    <row r="117" spans="1:23" x14ac:dyDescent="0.2">
      <c r="A117" s="1" t="s">
        <v>227</v>
      </c>
      <c r="B117">
        <v>116</v>
      </c>
      <c r="C117" s="1" t="s">
        <v>28</v>
      </c>
      <c r="D117" s="1" t="s">
        <v>31</v>
      </c>
      <c r="E117" s="1" t="s">
        <v>31</v>
      </c>
      <c r="F117" s="1" t="s">
        <v>764</v>
      </c>
      <c r="G117">
        <v>5</v>
      </c>
      <c r="H117">
        <v>23</v>
      </c>
      <c r="I117" s="1" t="s">
        <v>788</v>
      </c>
      <c r="J117" s="1" t="s">
        <v>591</v>
      </c>
      <c r="K117" s="1" t="s">
        <v>49</v>
      </c>
      <c r="L117" s="1" t="s">
        <v>248</v>
      </c>
      <c r="M117" s="1" t="s">
        <v>249</v>
      </c>
      <c r="N117" s="1" t="s">
        <v>46</v>
      </c>
      <c r="O117" s="1" t="s">
        <v>47</v>
      </c>
      <c r="P117">
        <v>44</v>
      </c>
      <c r="Q117">
        <v>44</v>
      </c>
      <c r="R117" s="1" t="s">
        <v>32</v>
      </c>
      <c r="S117">
        <v>50</v>
      </c>
      <c r="T117">
        <v>2200</v>
      </c>
      <c r="U117">
        <v>1928.08</v>
      </c>
      <c r="V117" s="1" t="s">
        <v>144</v>
      </c>
      <c r="W117" s="1">
        <f>Sales[[#This Row],[NET_VALUE]]-Sales[[#This Row],[COST]]</f>
        <v>271.92000000000007</v>
      </c>
    </row>
    <row r="118" spans="1:23" x14ac:dyDescent="0.2">
      <c r="A118" s="1" t="s">
        <v>228</v>
      </c>
      <c r="B118">
        <v>117</v>
      </c>
      <c r="C118" s="1" t="s">
        <v>28</v>
      </c>
      <c r="D118" s="1" t="s">
        <v>31</v>
      </c>
      <c r="E118" s="1" t="s">
        <v>31</v>
      </c>
      <c r="F118" s="1" t="s">
        <v>764</v>
      </c>
      <c r="G118">
        <v>5</v>
      </c>
      <c r="H118">
        <v>23</v>
      </c>
      <c r="I118" s="1" t="s">
        <v>788</v>
      </c>
      <c r="J118" s="1" t="s">
        <v>678</v>
      </c>
      <c r="K118" s="1" t="s">
        <v>49</v>
      </c>
      <c r="L118" s="1" t="s">
        <v>248</v>
      </c>
      <c r="M118" s="1" t="s">
        <v>249</v>
      </c>
      <c r="N118" s="1" t="s">
        <v>46</v>
      </c>
      <c r="O118" s="1" t="s">
        <v>47</v>
      </c>
      <c r="P118">
        <v>16</v>
      </c>
      <c r="Q118">
        <v>16</v>
      </c>
      <c r="R118" s="1" t="s">
        <v>32</v>
      </c>
      <c r="S118">
        <v>50</v>
      </c>
      <c r="T118">
        <v>800</v>
      </c>
      <c r="U118">
        <v>701.12</v>
      </c>
      <c r="V118" s="1" t="s">
        <v>144</v>
      </c>
      <c r="W118" s="1">
        <f>Sales[[#This Row],[NET_VALUE]]-Sales[[#This Row],[COST]]</f>
        <v>98.88</v>
      </c>
    </row>
    <row r="119" spans="1:23" x14ac:dyDescent="0.2">
      <c r="A119" s="1" t="s">
        <v>229</v>
      </c>
      <c r="B119">
        <v>118</v>
      </c>
      <c r="C119" s="1" t="s">
        <v>28</v>
      </c>
      <c r="D119" s="1" t="s">
        <v>31</v>
      </c>
      <c r="E119" s="1" t="s">
        <v>31</v>
      </c>
      <c r="F119" s="1" t="s">
        <v>764</v>
      </c>
      <c r="G119">
        <v>5</v>
      </c>
      <c r="H119">
        <v>23</v>
      </c>
      <c r="I119" s="1" t="s">
        <v>789</v>
      </c>
      <c r="J119" s="1" t="s">
        <v>247</v>
      </c>
      <c r="K119" s="1" t="s">
        <v>56</v>
      </c>
      <c r="L119" s="1" t="s">
        <v>251</v>
      </c>
      <c r="M119" s="1" t="s">
        <v>249</v>
      </c>
      <c r="N119" s="1" t="s">
        <v>37</v>
      </c>
      <c r="O119" s="1" t="s">
        <v>38</v>
      </c>
      <c r="P119">
        <v>61</v>
      </c>
      <c r="Q119">
        <v>61</v>
      </c>
      <c r="R119" s="1" t="s">
        <v>32</v>
      </c>
      <c r="S119">
        <v>32.76</v>
      </c>
      <c r="T119">
        <v>1998.36</v>
      </c>
      <c r="U119">
        <v>1607.96</v>
      </c>
      <c r="V119" s="1" t="s">
        <v>144</v>
      </c>
      <c r="W119" s="1">
        <f>Sales[[#This Row],[NET_VALUE]]-Sales[[#This Row],[COST]]</f>
        <v>390.39999999999986</v>
      </c>
    </row>
    <row r="120" spans="1:23" x14ac:dyDescent="0.2">
      <c r="A120" s="1" t="s">
        <v>230</v>
      </c>
      <c r="B120">
        <v>119</v>
      </c>
      <c r="C120" s="1" t="s">
        <v>28</v>
      </c>
      <c r="D120" s="1" t="s">
        <v>31</v>
      </c>
      <c r="E120" s="1" t="s">
        <v>181</v>
      </c>
      <c r="F120" s="1" t="s">
        <v>791</v>
      </c>
      <c r="G120">
        <v>5</v>
      </c>
      <c r="H120">
        <v>24</v>
      </c>
      <c r="I120" s="1" t="s">
        <v>815</v>
      </c>
      <c r="J120" s="1" t="s">
        <v>247</v>
      </c>
      <c r="K120" s="1" t="s">
        <v>49</v>
      </c>
      <c r="L120" s="1" t="s">
        <v>248</v>
      </c>
      <c r="M120" s="1" t="s">
        <v>249</v>
      </c>
      <c r="N120" s="1" t="s">
        <v>29</v>
      </c>
      <c r="O120" s="1" t="s">
        <v>30</v>
      </c>
      <c r="P120">
        <v>63</v>
      </c>
      <c r="Q120">
        <v>63</v>
      </c>
      <c r="R120" s="1" t="s">
        <v>32</v>
      </c>
      <c r="S120">
        <v>29.35</v>
      </c>
      <c r="T120">
        <v>1849.05</v>
      </c>
      <c r="U120">
        <v>1478.61</v>
      </c>
      <c r="V120" s="1" t="s">
        <v>144</v>
      </c>
      <c r="W120" s="1">
        <f>Sales[[#This Row],[NET_VALUE]]-Sales[[#This Row],[COST]]</f>
        <v>370.44000000000005</v>
      </c>
    </row>
    <row r="121" spans="1:23" x14ac:dyDescent="0.2">
      <c r="A121" s="1" t="s">
        <v>231</v>
      </c>
      <c r="B121">
        <v>120</v>
      </c>
      <c r="C121" s="1" t="s">
        <v>28</v>
      </c>
      <c r="D121" s="1" t="s">
        <v>31</v>
      </c>
      <c r="E121" s="1" t="s">
        <v>181</v>
      </c>
      <c r="F121" s="1" t="s">
        <v>791</v>
      </c>
      <c r="G121">
        <v>5</v>
      </c>
      <c r="H121">
        <v>24</v>
      </c>
      <c r="I121" s="1" t="s">
        <v>816</v>
      </c>
      <c r="J121" s="1" t="s">
        <v>247</v>
      </c>
      <c r="K121" s="1" t="s">
        <v>49</v>
      </c>
      <c r="L121" s="1" t="s">
        <v>248</v>
      </c>
      <c r="M121" s="1" t="s">
        <v>249</v>
      </c>
      <c r="N121" s="1" t="s">
        <v>29</v>
      </c>
      <c r="O121" s="1" t="s">
        <v>30</v>
      </c>
      <c r="P121">
        <v>9</v>
      </c>
      <c r="Q121">
        <v>9</v>
      </c>
      <c r="R121" s="1" t="s">
        <v>32</v>
      </c>
      <c r="S121">
        <v>29.35</v>
      </c>
      <c r="T121">
        <v>264.14999999999998</v>
      </c>
      <c r="U121">
        <v>211.23</v>
      </c>
      <c r="V121" s="1" t="s">
        <v>144</v>
      </c>
      <c r="W121" s="1">
        <f>Sales[[#This Row],[NET_VALUE]]-Sales[[#This Row],[COST]]</f>
        <v>52.919999999999987</v>
      </c>
    </row>
    <row r="122" spans="1:23" x14ac:dyDescent="0.2">
      <c r="A122" s="1" t="s">
        <v>255</v>
      </c>
      <c r="B122">
        <v>121</v>
      </c>
      <c r="C122" s="1" t="s">
        <v>28</v>
      </c>
      <c r="D122" s="1" t="s">
        <v>31</v>
      </c>
      <c r="E122" s="1" t="s">
        <v>181</v>
      </c>
      <c r="F122" s="1" t="s">
        <v>791</v>
      </c>
      <c r="G122">
        <v>5</v>
      </c>
      <c r="H122">
        <v>24</v>
      </c>
      <c r="I122" s="1" t="s">
        <v>815</v>
      </c>
      <c r="J122" s="1" t="s">
        <v>291</v>
      </c>
      <c r="K122" s="1" t="s">
        <v>49</v>
      </c>
      <c r="L122" s="1" t="s">
        <v>248</v>
      </c>
      <c r="M122" s="1" t="s">
        <v>249</v>
      </c>
      <c r="N122" s="1" t="s">
        <v>43</v>
      </c>
      <c r="O122" s="1" t="s">
        <v>44</v>
      </c>
      <c r="P122">
        <v>22</v>
      </c>
      <c r="Q122">
        <v>22</v>
      </c>
      <c r="R122" s="1" t="s">
        <v>32</v>
      </c>
      <c r="S122">
        <v>68.44</v>
      </c>
      <c r="T122">
        <v>1505.68</v>
      </c>
      <c r="U122">
        <v>1340.46</v>
      </c>
      <c r="V122" s="1" t="s">
        <v>144</v>
      </c>
      <c r="W122" s="1">
        <f>Sales[[#This Row],[NET_VALUE]]-Sales[[#This Row],[COST]]</f>
        <v>165.22000000000003</v>
      </c>
    </row>
    <row r="123" spans="1:23" x14ac:dyDescent="0.2">
      <c r="A123" s="1" t="s">
        <v>258</v>
      </c>
      <c r="B123">
        <v>122</v>
      </c>
      <c r="C123" s="1" t="s">
        <v>28</v>
      </c>
      <c r="D123" s="1" t="s">
        <v>31</v>
      </c>
      <c r="E123" s="1" t="s">
        <v>181</v>
      </c>
      <c r="F123" s="1" t="s">
        <v>791</v>
      </c>
      <c r="G123">
        <v>5</v>
      </c>
      <c r="H123">
        <v>24</v>
      </c>
      <c r="I123" s="1" t="s">
        <v>816</v>
      </c>
      <c r="J123" s="1" t="s">
        <v>291</v>
      </c>
      <c r="K123" s="1" t="s">
        <v>49</v>
      </c>
      <c r="L123" s="1" t="s">
        <v>248</v>
      </c>
      <c r="M123" s="1" t="s">
        <v>249</v>
      </c>
      <c r="N123" s="1" t="s">
        <v>43</v>
      </c>
      <c r="O123" s="1" t="s">
        <v>44</v>
      </c>
      <c r="P123">
        <v>25</v>
      </c>
      <c r="Q123">
        <v>25</v>
      </c>
      <c r="R123" s="1" t="s">
        <v>32</v>
      </c>
      <c r="S123">
        <v>68.44</v>
      </c>
      <c r="T123">
        <v>1711</v>
      </c>
      <c r="U123">
        <v>1523.25</v>
      </c>
      <c r="V123" s="1" t="s">
        <v>144</v>
      </c>
      <c r="W123" s="1">
        <f>Sales[[#This Row],[NET_VALUE]]-Sales[[#This Row],[COST]]</f>
        <v>187.75</v>
      </c>
    </row>
    <row r="124" spans="1:23" x14ac:dyDescent="0.2">
      <c r="A124" s="1" t="s">
        <v>259</v>
      </c>
      <c r="B124">
        <v>123</v>
      </c>
      <c r="C124" s="1" t="s">
        <v>28</v>
      </c>
      <c r="D124" s="1" t="s">
        <v>31</v>
      </c>
      <c r="E124" s="1" t="s">
        <v>181</v>
      </c>
      <c r="F124" s="1" t="s">
        <v>791</v>
      </c>
      <c r="G124">
        <v>5</v>
      </c>
      <c r="H124">
        <v>24</v>
      </c>
      <c r="I124" s="1" t="s">
        <v>818</v>
      </c>
      <c r="J124" s="1" t="s">
        <v>247</v>
      </c>
      <c r="K124" s="1" t="s">
        <v>56</v>
      </c>
      <c r="L124" s="1" t="s">
        <v>251</v>
      </c>
      <c r="M124" s="1" t="s">
        <v>249</v>
      </c>
      <c r="N124" s="1" t="s">
        <v>37</v>
      </c>
      <c r="O124" s="1" t="s">
        <v>38</v>
      </c>
      <c r="P124">
        <v>41</v>
      </c>
      <c r="Q124">
        <v>41</v>
      </c>
      <c r="R124" s="1" t="s">
        <v>32</v>
      </c>
      <c r="S124">
        <v>32.76</v>
      </c>
      <c r="T124">
        <v>1343.16</v>
      </c>
      <c r="U124">
        <v>1080.76</v>
      </c>
      <c r="V124" s="1" t="s">
        <v>144</v>
      </c>
      <c r="W124" s="1">
        <f>Sales[[#This Row],[NET_VALUE]]-Sales[[#This Row],[COST]]</f>
        <v>262.40000000000009</v>
      </c>
    </row>
    <row r="125" spans="1:23" x14ac:dyDescent="0.2">
      <c r="A125" s="1" t="s">
        <v>260</v>
      </c>
      <c r="B125">
        <v>124</v>
      </c>
      <c r="C125" s="1" t="s">
        <v>28</v>
      </c>
      <c r="D125" s="1" t="s">
        <v>31</v>
      </c>
      <c r="E125" s="1" t="s">
        <v>181</v>
      </c>
      <c r="F125" s="1" t="s">
        <v>791</v>
      </c>
      <c r="G125">
        <v>5</v>
      </c>
      <c r="H125">
        <v>24</v>
      </c>
      <c r="I125" s="1" t="s">
        <v>817</v>
      </c>
      <c r="J125" s="1" t="s">
        <v>247</v>
      </c>
      <c r="K125" s="1" t="s">
        <v>56</v>
      </c>
      <c r="L125" s="1" t="s">
        <v>251</v>
      </c>
      <c r="M125" s="1" t="s">
        <v>249</v>
      </c>
      <c r="N125" s="1" t="s">
        <v>37</v>
      </c>
      <c r="O125" s="1" t="s">
        <v>38</v>
      </c>
      <c r="P125">
        <v>63</v>
      </c>
      <c r="Q125">
        <v>63</v>
      </c>
      <c r="R125" s="1" t="s">
        <v>32</v>
      </c>
      <c r="S125">
        <v>32.76</v>
      </c>
      <c r="T125">
        <v>2063.88</v>
      </c>
      <c r="U125">
        <v>1660.68</v>
      </c>
      <c r="V125" s="1" t="s">
        <v>144</v>
      </c>
      <c r="W125" s="1">
        <f>Sales[[#This Row],[NET_VALUE]]-Sales[[#This Row],[COST]]</f>
        <v>403.20000000000005</v>
      </c>
    </row>
    <row r="126" spans="1:23" x14ac:dyDescent="0.2">
      <c r="A126" s="1" t="s">
        <v>261</v>
      </c>
      <c r="B126">
        <v>125</v>
      </c>
      <c r="C126" s="1" t="s">
        <v>28</v>
      </c>
      <c r="D126" s="1" t="s">
        <v>31</v>
      </c>
      <c r="E126" s="1" t="s">
        <v>181</v>
      </c>
      <c r="F126" s="1" t="s">
        <v>791</v>
      </c>
      <c r="G126">
        <v>5</v>
      </c>
      <c r="H126">
        <v>24</v>
      </c>
      <c r="I126" s="1" t="s">
        <v>817</v>
      </c>
      <c r="J126" s="1" t="s">
        <v>291</v>
      </c>
      <c r="K126" s="1" t="s">
        <v>56</v>
      </c>
      <c r="L126" s="1" t="s">
        <v>251</v>
      </c>
      <c r="M126" s="1" t="s">
        <v>249</v>
      </c>
      <c r="N126" s="1" t="s">
        <v>40</v>
      </c>
      <c r="O126" s="1" t="s">
        <v>41</v>
      </c>
      <c r="P126">
        <v>22</v>
      </c>
      <c r="Q126">
        <v>22</v>
      </c>
      <c r="R126" s="1" t="s">
        <v>32</v>
      </c>
      <c r="S126">
        <v>96.4</v>
      </c>
      <c r="T126">
        <v>2120.8000000000002</v>
      </c>
      <c r="U126">
        <v>1855.26</v>
      </c>
      <c r="V126" s="1" t="s">
        <v>144</v>
      </c>
      <c r="W126" s="1">
        <f>Sales[[#This Row],[NET_VALUE]]-Sales[[#This Row],[COST]]</f>
        <v>265.54000000000019</v>
      </c>
    </row>
    <row r="127" spans="1:23" x14ac:dyDescent="0.2">
      <c r="A127" s="1" t="s">
        <v>262</v>
      </c>
      <c r="B127">
        <v>126</v>
      </c>
      <c r="C127" s="1" t="s">
        <v>28</v>
      </c>
      <c r="D127" s="1" t="s">
        <v>31</v>
      </c>
      <c r="E127" s="1" t="s">
        <v>181</v>
      </c>
      <c r="F127" s="1" t="s">
        <v>791</v>
      </c>
      <c r="G127">
        <v>5</v>
      </c>
      <c r="H127">
        <v>24</v>
      </c>
      <c r="I127" s="1" t="s">
        <v>817</v>
      </c>
      <c r="J127" s="1" t="s">
        <v>293</v>
      </c>
      <c r="K127" s="1" t="s">
        <v>56</v>
      </c>
      <c r="L127" s="1" t="s">
        <v>251</v>
      </c>
      <c r="M127" s="1" t="s">
        <v>249</v>
      </c>
      <c r="N127" s="1" t="s">
        <v>43</v>
      </c>
      <c r="O127" s="1" t="s">
        <v>44</v>
      </c>
      <c r="P127">
        <v>24</v>
      </c>
      <c r="Q127">
        <v>24</v>
      </c>
      <c r="R127" s="1" t="s">
        <v>32</v>
      </c>
      <c r="S127">
        <v>68.44</v>
      </c>
      <c r="T127">
        <v>1642.56</v>
      </c>
      <c r="U127">
        <v>1462.32</v>
      </c>
      <c r="V127" s="1" t="s">
        <v>144</v>
      </c>
      <c r="W127" s="1">
        <f>Sales[[#This Row],[NET_VALUE]]-Sales[[#This Row],[COST]]</f>
        <v>180.24</v>
      </c>
    </row>
    <row r="128" spans="1:23" x14ac:dyDescent="0.2">
      <c r="A128" s="1" t="s">
        <v>263</v>
      </c>
      <c r="B128">
        <v>127</v>
      </c>
      <c r="C128" s="1" t="s">
        <v>28</v>
      </c>
      <c r="D128" s="1" t="s">
        <v>31</v>
      </c>
      <c r="E128" s="1" t="s">
        <v>181</v>
      </c>
      <c r="F128" s="1" t="s">
        <v>791</v>
      </c>
      <c r="G128">
        <v>5</v>
      </c>
      <c r="H128">
        <v>24</v>
      </c>
      <c r="I128" s="1" t="s">
        <v>819</v>
      </c>
      <c r="J128" s="1" t="s">
        <v>291</v>
      </c>
      <c r="K128" s="1" t="s">
        <v>63</v>
      </c>
      <c r="L128" s="1" t="s">
        <v>254</v>
      </c>
      <c r="M128" s="1" t="s">
        <v>249</v>
      </c>
      <c r="N128" s="1" t="s">
        <v>29</v>
      </c>
      <c r="O128" s="1" t="s">
        <v>30</v>
      </c>
      <c r="P128">
        <v>75</v>
      </c>
      <c r="Q128">
        <v>75</v>
      </c>
      <c r="R128" s="1" t="s">
        <v>32</v>
      </c>
      <c r="S128">
        <v>29.35</v>
      </c>
      <c r="T128">
        <v>2201.25</v>
      </c>
      <c r="U128">
        <v>1760.25</v>
      </c>
      <c r="V128" s="1" t="s">
        <v>144</v>
      </c>
      <c r="W128" s="1">
        <f>Sales[[#This Row],[NET_VALUE]]-Sales[[#This Row],[COST]]</f>
        <v>441</v>
      </c>
    </row>
    <row r="129" spans="1:23" x14ac:dyDescent="0.2">
      <c r="A129" s="1" t="s">
        <v>264</v>
      </c>
      <c r="B129">
        <v>128</v>
      </c>
      <c r="C129" s="1" t="s">
        <v>28</v>
      </c>
      <c r="D129" s="1" t="s">
        <v>31</v>
      </c>
      <c r="E129" s="1" t="s">
        <v>181</v>
      </c>
      <c r="F129" s="1" t="s">
        <v>791</v>
      </c>
      <c r="G129">
        <v>5</v>
      </c>
      <c r="H129">
        <v>24</v>
      </c>
      <c r="I129" s="1" t="s">
        <v>819</v>
      </c>
      <c r="J129" s="1" t="s">
        <v>247</v>
      </c>
      <c r="K129" s="1" t="s">
        <v>63</v>
      </c>
      <c r="L129" s="1" t="s">
        <v>254</v>
      </c>
      <c r="M129" s="1" t="s">
        <v>249</v>
      </c>
      <c r="N129" s="1" t="s">
        <v>40</v>
      </c>
      <c r="O129" s="1" t="s">
        <v>41</v>
      </c>
      <c r="P129">
        <v>22</v>
      </c>
      <c r="Q129">
        <v>22</v>
      </c>
      <c r="R129" s="1" t="s">
        <v>32</v>
      </c>
      <c r="S129">
        <v>96.4</v>
      </c>
      <c r="T129">
        <v>2120.8000000000002</v>
      </c>
      <c r="U129">
        <v>1855.26</v>
      </c>
      <c r="V129" s="1" t="s">
        <v>144</v>
      </c>
      <c r="W129" s="1">
        <f>Sales[[#This Row],[NET_VALUE]]-Sales[[#This Row],[COST]]</f>
        <v>265.54000000000019</v>
      </c>
    </row>
    <row r="130" spans="1:23" x14ac:dyDescent="0.2">
      <c r="A130" s="1" t="s">
        <v>265</v>
      </c>
      <c r="B130">
        <v>129</v>
      </c>
      <c r="C130" s="1" t="s">
        <v>28</v>
      </c>
      <c r="D130" s="1" t="s">
        <v>31</v>
      </c>
      <c r="E130" s="1" t="s">
        <v>181</v>
      </c>
      <c r="F130" s="1" t="s">
        <v>791</v>
      </c>
      <c r="G130">
        <v>5</v>
      </c>
      <c r="H130">
        <v>24</v>
      </c>
      <c r="I130" s="1" t="s">
        <v>820</v>
      </c>
      <c r="J130" s="1" t="s">
        <v>247</v>
      </c>
      <c r="K130" s="1" t="s">
        <v>63</v>
      </c>
      <c r="L130" s="1" t="s">
        <v>254</v>
      </c>
      <c r="M130" s="1" t="s">
        <v>249</v>
      </c>
      <c r="N130" s="1" t="s">
        <v>46</v>
      </c>
      <c r="O130" s="1" t="s">
        <v>47</v>
      </c>
      <c r="P130">
        <v>35</v>
      </c>
      <c r="Q130">
        <v>35</v>
      </c>
      <c r="R130" s="1" t="s">
        <v>32</v>
      </c>
      <c r="S130">
        <v>50</v>
      </c>
      <c r="T130">
        <v>1750</v>
      </c>
      <c r="U130">
        <v>1533.7</v>
      </c>
      <c r="V130" s="1" t="s">
        <v>144</v>
      </c>
      <c r="W130" s="1">
        <f>Sales[[#This Row],[NET_VALUE]]-Sales[[#This Row],[COST]]</f>
        <v>216.29999999999995</v>
      </c>
    </row>
    <row r="131" spans="1:23" x14ac:dyDescent="0.2">
      <c r="A131" s="1" t="s">
        <v>266</v>
      </c>
      <c r="B131">
        <v>130</v>
      </c>
      <c r="C131" s="1" t="s">
        <v>28</v>
      </c>
      <c r="D131" s="1" t="s">
        <v>31</v>
      </c>
      <c r="E131" s="1" t="s">
        <v>207</v>
      </c>
      <c r="F131" s="1" t="s">
        <v>822</v>
      </c>
      <c r="G131">
        <v>5</v>
      </c>
      <c r="H131">
        <v>25</v>
      </c>
      <c r="I131" s="1" t="s">
        <v>846</v>
      </c>
      <c r="J131" s="1" t="s">
        <v>291</v>
      </c>
      <c r="K131" s="1" t="s">
        <v>49</v>
      </c>
      <c r="L131" s="1" t="s">
        <v>248</v>
      </c>
      <c r="M131" s="1" t="s">
        <v>249</v>
      </c>
      <c r="N131" s="1" t="s">
        <v>29</v>
      </c>
      <c r="O131" s="1" t="s">
        <v>30</v>
      </c>
      <c r="P131">
        <v>11</v>
      </c>
      <c r="Q131">
        <v>11</v>
      </c>
      <c r="R131" s="1" t="s">
        <v>32</v>
      </c>
      <c r="S131">
        <v>29.35</v>
      </c>
      <c r="T131">
        <v>322.85000000000002</v>
      </c>
      <c r="U131">
        <v>258.17</v>
      </c>
      <c r="V131" s="1" t="s">
        <v>144</v>
      </c>
      <c r="W131" s="1">
        <f>Sales[[#This Row],[NET_VALUE]]-Sales[[#This Row],[COST]]</f>
        <v>64.680000000000007</v>
      </c>
    </row>
    <row r="132" spans="1:23" x14ac:dyDescent="0.2">
      <c r="A132" s="1" t="s">
        <v>267</v>
      </c>
      <c r="B132">
        <v>131</v>
      </c>
      <c r="C132" s="1" t="s">
        <v>28</v>
      </c>
      <c r="D132" s="1" t="s">
        <v>31</v>
      </c>
      <c r="E132" s="1" t="s">
        <v>207</v>
      </c>
      <c r="F132" s="1" t="s">
        <v>822</v>
      </c>
      <c r="G132">
        <v>5</v>
      </c>
      <c r="H132">
        <v>25</v>
      </c>
      <c r="I132" s="1" t="s">
        <v>846</v>
      </c>
      <c r="J132" s="1" t="s">
        <v>293</v>
      </c>
      <c r="K132" s="1" t="s">
        <v>49</v>
      </c>
      <c r="L132" s="1" t="s">
        <v>248</v>
      </c>
      <c r="M132" s="1" t="s">
        <v>249</v>
      </c>
      <c r="N132" s="1" t="s">
        <v>34</v>
      </c>
      <c r="O132" s="1" t="s">
        <v>35</v>
      </c>
      <c r="P132">
        <v>29</v>
      </c>
      <c r="Q132">
        <v>29</v>
      </c>
      <c r="R132" s="1" t="s">
        <v>32</v>
      </c>
      <c r="S132">
        <v>80.680000000000007</v>
      </c>
      <c r="T132">
        <v>2339.7199999999998</v>
      </c>
      <c r="U132">
        <v>2124.54</v>
      </c>
      <c r="V132" s="1" t="s">
        <v>144</v>
      </c>
      <c r="W132" s="1">
        <f>Sales[[#This Row],[NET_VALUE]]-Sales[[#This Row],[COST]]</f>
        <v>215.17999999999984</v>
      </c>
    </row>
    <row r="133" spans="1:23" x14ac:dyDescent="0.2">
      <c r="A133" s="1" t="s">
        <v>268</v>
      </c>
      <c r="B133">
        <v>132</v>
      </c>
      <c r="C133" s="1" t="s">
        <v>28</v>
      </c>
      <c r="D133" s="1" t="s">
        <v>31</v>
      </c>
      <c r="E133" s="1" t="s">
        <v>207</v>
      </c>
      <c r="F133" s="1" t="s">
        <v>822</v>
      </c>
      <c r="G133">
        <v>5</v>
      </c>
      <c r="H133">
        <v>25</v>
      </c>
      <c r="I133" s="1" t="s">
        <v>846</v>
      </c>
      <c r="J133" s="1" t="s">
        <v>247</v>
      </c>
      <c r="K133" s="1" t="s">
        <v>49</v>
      </c>
      <c r="L133" s="1" t="s">
        <v>248</v>
      </c>
      <c r="M133" s="1" t="s">
        <v>249</v>
      </c>
      <c r="N133" s="1" t="s">
        <v>43</v>
      </c>
      <c r="O133" s="1" t="s">
        <v>44</v>
      </c>
      <c r="P133">
        <v>13</v>
      </c>
      <c r="Q133">
        <v>13</v>
      </c>
      <c r="R133" s="1" t="s">
        <v>32</v>
      </c>
      <c r="S133">
        <v>68.44</v>
      </c>
      <c r="T133">
        <v>889.72</v>
      </c>
      <c r="U133">
        <v>792.09</v>
      </c>
      <c r="V133" s="1" t="s">
        <v>144</v>
      </c>
      <c r="W133" s="1">
        <f>Sales[[#This Row],[NET_VALUE]]-Sales[[#This Row],[COST]]</f>
        <v>97.63</v>
      </c>
    </row>
    <row r="134" spans="1:23" x14ac:dyDescent="0.2">
      <c r="A134" s="1" t="s">
        <v>269</v>
      </c>
      <c r="B134">
        <v>133</v>
      </c>
      <c r="C134" s="1" t="s">
        <v>28</v>
      </c>
      <c r="D134" s="1" t="s">
        <v>31</v>
      </c>
      <c r="E134" s="1" t="s">
        <v>207</v>
      </c>
      <c r="F134" s="1" t="s">
        <v>822</v>
      </c>
      <c r="G134">
        <v>5</v>
      </c>
      <c r="H134">
        <v>25</v>
      </c>
      <c r="I134" s="1" t="s">
        <v>847</v>
      </c>
      <c r="J134" s="1" t="s">
        <v>247</v>
      </c>
      <c r="K134" s="1" t="s">
        <v>56</v>
      </c>
      <c r="L134" s="1" t="s">
        <v>251</v>
      </c>
      <c r="M134" s="1" t="s">
        <v>249</v>
      </c>
      <c r="N134" s="1" t="s">
        <v>43</v>
      </c>
      <c r="O134" s="1" t="s">
        <v>44</v>
      </c>
      <c r="P134">
        <v>17</v>
      </c>
      <c r="Q134">
        <v>17</v>
      </c>
      <c r="R134" s="1" t="s">
        <v>32</v>
      </c>
      <c r="S134">
        <v>68.44</v>
      </c>
      <c r="T134">
        <v>1163.48</v>
      </c>
      <c r="U134">
        <v>1035.81</v>
      </c>
      <c r="V134" s="1" t="s">
        <v>144</v>
      </c>
      <c r="W134" s="1">
        <f>Sales[[#This Row],[NET_VALUE]]-Sales[[#This Row],[COST]]</f>
        <v>127.67000000000007</v>
      </c>
    </row>
    <row r="135" spans="1:23" x14ac:dyDescent="0.2">
      <c r="A135" s="1" t="s">
        <v>270</v>
      </c>
      <c r="B135">
        <v>134</v>
      </c>
      <c r="C135" s="1" t="s">
        <v>28</v>
      </c>
      <c r="D135" s="1" t="s">
        <v>31</v>
      </c>
      <c r="E135" s="1" t="s">
        <v>207</v>
      </c>
      <c r="F135" s="1" t="s">
        <v>822</v>
      </c>
      <c r="G135">
        <v>5</v>
      </c>
      <c r="H135">
        <v>25</v>
      </c>
      <c r="I135" s="1" t="s">
        <v>848</v>
      </c>
      <c r="J135" s="1" t="s">
        <v>247</v>
      </c>
      <c r="K135" s="1" t="s">
        <v>56</v>
      </c>
      <c r="L135" s="1" t="s">
        <v>251</v>
      </c>
      <c r="M135" s="1" t="s">
        <v>249</v>
      </c>
      <c r="N135" s="1" t="s">
        <v>43</v>
      </c>
      <c r="O135" s="1" t="s">
        <v>44</v>
      </c>
      <c r="P135">
        <v>29</v>
      </c>
      <c r="Q135">
        <v>29</v>
      </c>
      <c r="R135" s="1" t="s">
        <v>32</v>
      </c>
      <c r="S135">
        <v>68.44</v>
      </c>
      <c r="T135">
        <v>1984.76</v>
      </c>
      <c r="U135">
        <v>1766.97</v>
      </c>
      <c r="V135" s="1" t="s">
        <v>144</v>
      </c>
      <c r="W135" s="1">
        <f>Sales[[#This Row],[NET_VALUE]]-Sales[[#This Row],[COST]]</f>
        <v>217.78999999999996</v>
      </c>
    </row>
    <row r="136" spans="1:23" x14ac:dyDescent="0.2">
      <c r="A136" s="1" t="s">
        <v>271</v>
      </c>
      <c r="B136">
        <v>135</v>
      </c>
      <c r="C136" s="1" t="s">
        <v>28</v>
      </c>
      <c r="D136" s="1" t="s">
        <v>31</v>
      </c>
      <c r="E136" s="1" t="s">
        <v>207</v>
      </c>
      <c r="F136" s="1" t="s">
        <v>822</v>
      </c>
      <c r="G136">
        <v>5</v>
      </c>
      <c r="H136">
        <v>25</v>
      </c>
      <c r="I136" s="1" t="s">
        <v>848</v>
      </c>
      <c r="J136" s="1" t="s">
        <v>291</v>
      </c>
      <c r="K136" s="1" t="s">
        <v>56</v>
      </c>
      <c r="L136" s="1" t="s">
        <v>251</v>
      </c>
      <c r="M136" s="1" t="s">
        <v>249</v>
      </c>
      <c r="N136" s="1" t="s">
        <v>46</v>
      </c>
      <c r="O136" s="1" t="s">
        <v>47</v>
      </c>
      <c r="P136">
        <v>39</v>
      </c>
      <c r="Q136">
        <v>39</v>
      </c>
      <c r="R136" s="1" t="s">
        <v>32</v>
      </c>
      <c r="S136">
        <v>50</v>
      </c>
      <c r="T136">
        <v>1950</v>
      </c>
      <c r="U136">
        <v>1708.98</v>
      </c>
      <c r="V136" s="1" t="s">
        <v>144</v>
      </c>
      <c r="W136" s="1">
        <f>Sales[[#This Row],[NET_VALUE]]-Sales[[#This Row],[COST]]</f>
        <v>241.01999999999998</v>
      </c>
    </row>
    <row r="137" spans="1:23" x14ac:dyDescent="0.2">
      <c r="A137" s="1" t="s">
        <v>272</v>
      </c>
      <c r="B137">
        <v>136</v>
      </c>
      <c r="C137" s="1" t="s">
        <v>28</v>
      </c>
      <c r="D137" s="1" t="s">
        <v>31</v>
      </c>
      <c r="E137" s="1" t="s">
        <v>207</v>
      </c>
      <c r="F137" s="1" t="s">
        <v>822</v>
      </c>
      <c r="G137">
        <v>5</v>
      </c>
      <c r="H137">
        <v>25</v>
      </c>
      <c r="I137" s="1" t="s">
        <v>849</v>
      </c>
      <c r="J137" s="1" t="s">
        <v>247</v>
      </c>
      <c r="K137" s="1" t="s">
        <v>63</v>
      </c>
      <c r="L137" s="1" t="s">
        <v>254</v>
      </c>
      <c r="M137" s="1" t="s">
        <v>249</v>
      </c>
      <c r="N137" s="1" t="s">
        <v>46</v>
      </c>
      <c r="O137" s="1" t="s">
        <v>47</v>
      </c>
      <c r="P137">
        <v>5</v>
      </c>
      <c r="Q137">
        <v>5</v>
      </c>
      <c r="R137" s="1" t="s">
        <v>32</v>
      </c>
      <c r="S137">
        <v>50</v>
      </c>
      <c r="T137">
        <v>250</v>
      </c>
      <c r="U137">
        <v>219.1</v>
      </c>
      <c r="V137" s="1" t="s">
        <v>144</v>
      </c>
      <c r="W137" s="1">
        <f>Sales[[#This Row],[NET_VALUE]]-Sales[[#This Row],[COST]]</f>
        <v>30.900000000000006</v>
      </c>
    </row>
    <row r="138" spans="1:23" x14ac:dyDescent="0.2">
      <c r="A138" s="1" t="s">
        <v>273</v>
      </c>
      <c r="B138">
        <v>137</v>
      </c>
      <c r="C138" s="1" t="s">
        <v>28</v>
      </c>
      <c r="D138" s="1" t="s">
        <v>31</v>
      </c>
      <c r="E138" s="1" t="s">
        <v>256</v>
      </c>
      <c r="F138" s="1" t="s">
        <v>851</v>
      </c>
      <c r="G138">
        <v>6</v>
      </c>
      <c r="H138">
        <v>26</v>
      </c>
      <c r="I138" s="1" t="s">
        <v>875</v>
      </c>
      <c r="J138" s="1" t="s">
        <v>291</v>
      </c>
      <c r="K138" s="1" t="s">
        <v>49</v>
      </c>
      <c r="L138" s="1" t="s">
        <v>248</v>
      </c>
      <c r="M138" s="1" t="s">
        <v>249</v>
      </c>
      <c r="N138" s="1" t="s">
        <v>29</v>
      </c>
      <c r="O138" s="1" t="s">
        <v>30</v>
      </c>
      <c r="P138">
        <v>70</v>
      </c>
      <c r="Q138">
        <v>70</v>
      </c>
      <c r="R138" s="1" t="s">
        <v>32</v>
      </c>
      <c r="S138">
        <v>29.35</v>
      </c>
      <c r="T138">
        <v>2054.5</v>
      </c>
      <c r="U138">
        <v>1642.9</v>
      </c>
      <c r="V138" s="1" t="s">
        <v>144</v>
      </c>
      <c r="W138" s="1">
        <f>Sales[[#This Row],[NET_VALUE]]-Sales[[#This Row],[COST]]</f>
        <v>411.59999999999991</v>
      </c>
    </row>
    <row r="139" spans="1:23" x14ac:dyDescent="0.2">
      <c r="A139" s="1" t="s">
        <v>274</v>
      </c>
      <c r="B139">
        <v>138</v>
      </c>
      <c r="C139" s="1" t="s">
        <v>28</v>
      </c>
      <c r="D139" s="1" t="s">
        <v>31</v>
      </c>
      <c r="E139" s="1" t="s">
        <v>256</v>
      </c>
      <c r="F139" s="1" t="s">
        <v>851</v>
      </c>
      <c r="G139">
        <v>6</v>
      </c>
      <c r="H139">
        <v>26</v>
      </c>
      <c r="I139" s="1" t="s">
        <v>876</v>
      </c>
      <c r="J139" s="1" t="s">
        <v>247</v>
      </c>
      <c r="K139" s="1" t="s">
        <v>49</v>
      </c>
      <c r="L139" s="1" t="s">
        <v>248</v>
      </c>
      <c r="M139" s="1" t="s">
        <v>249</v>
      </c>
      <c r="N139" s="1" t="s">
        <v>37</v>
      </c>
      <c r="O139" s="1" t="s">
        <v>38</v>
      </c>
      <c r="P139">
        <v>52</v>
      </c>
      <c r="Q139">
        <v>52</v>
      </c>
      <c r="R139" s="1" t="s">
        <v>32</v>
      </c>
      <c r="S139">
        <v>32.76</v>
      </c>
      <c r="T139">
        <v>1703.52</v>
      </c>
      <c r="U139">
        <v>1370.72</v>
      </c>
      <c r="V139" s="1" t="s">
        <v>144</v>
      </c>
      <c r="W139" s="1">
        <f>Sales[[#This Row],[NET_VALUE]]-Sales[[#This Row],[COST]]</f>
        <v>332.79999999999995</v>
      </c>
    </row>
    <row r="140" spans="1:23" x14ac:dyDescent="0.2">
      <c r="A140" s="1" t="s">
        <v>275</v>
      </c>
      <c r="B140">
        <v>139</v>
      </c>
      <c r="C140" s="1" t="s">
        <v>28</v>
      </c>
      <c r="D140" s="1" t="s">
        <v>31</v>
      </c>
      <c r="E140" s="1" t="s">
        <v>256</v>
      </c>
      <c r="F140" s="1" t="s">
        <v>851</v>
      </c>
      <c r="G140">
        <v>6</v>
      </c>
      <c r="H140">
        <v>26</v>
      </c>
      <c r="I140" s="1" t="s">
        <v>875</v>
      </c>
      <c r="J140" s="1" t="s">
        <v>247</v>
      </c>
      <c r="K140" s="1" t="s">
        <v>49</v>
      </c>
      <c r="L140" s="1" t="s">
        <v>248</v>
      </c>
      <c r="M140" s="1" t="s">
        <v>249</v>
      </c>
      <c r="N140" s="1" t="s">
        <v>46</v>
      </c>
      <c r="O140" s="1" t="s">
        <v>47</v>
      </c>
      <c r="P140">
        <v>46</v>
      </c>
      <c r="Q140">
        <v>46</v>
      </c>
      <c r="R140" s="1" t="s">
        <v>32</v>
      </c>
      <c r="S140">
        <v>50</v>
      </c>
      <c r="T140">
        <v>2300</v>
      </c>
      <c r="U140">
        <v>2015.72</v>
      </c>
      <c r="V140" s="1" t="s">
        <v>144</v>
      </c>
      <c r="W140" s="1">
        <f>Sales[[#This Row],[NET_VALUE]]-Sales[[#This Row],[COST]]</f>
        <v>284.27999999999997</v>
      </c>
    </row>
    <row r="141" spans="1:23" x14ac:dyDescent="0.2">
      <c r="A141" s="1" t="s">
        <v>276</v>
      </c>
      <c r="B141">
        <v>140</v>
      </c>
      <c r="C141" s="1" t="s">
        <v>28</v>
      </c>
      <c r="D141" s="1" t="s">
        <v>31</v>
      </c>
      <c r="E141" s="1" t="s">
        <v>256</v>
      </c>
      <c r="F141" s="1" t="s">
        <v>851</v>
      </c>
      <c r="G141">
        <v>6</v>
      </c>
      <c r="H141">
        <v>26</v>
      </c>
      <c r="I141" s="1" t="s">
        <v>877</v>
      </c>
      <c r="J141" s="1" t="s">
        <v>247</v>
      </c>
      <c r="K141" s="1" t="s">
        <v>56</v>
      </c>
      <c r="L141" s="1" t="s">
        <v>251</v>
      </c>
      <c r="M141" s="1" t="s">
        <v>249</v>
      </c>
      <c r="N141" s="1" t="s">
        <v>29</v>
      </c>
      <c r="O141" s="1" t="s">
        <v>30</v>
      </c>
      <c r="P141">
        <v>27</v>
      </c>
      <c r="Q141">
        <v>27</v>
      </c>
      <c r="R141" s="1" t="s">
        <v>32</v>
      </c>
      <c r="S141">
        <v>29.35</v>
      </c>
      <c r="T141">
        <v>792.45</v>
      </c>
      <c r="U141">
        <v>633.69000000000005</v>
      </c>
      <c r="V141" s="1" t="s">
        <v>144</v>
      </c>
      <c r="W141" s="1">
        <f>Sales[[#This Row],[NET_VALUE]]-Sales[[#This Row],[COST]]</f>
        <v>158.76</v>
      </c>
    </row>
    <row r="142" spans="1:23" x14ac:dyDescent="0.2">
      <c r="A142" s="1" t="s">
        <v>277</v>
      </c>
      <c r="B142">
        <v>141</v>
      </c>
      <c r="C142" s="1" t="s">
        <v>28</v>
      </c>
      <c r="D142" s="1" t="s">
        <v>31</v>
      </c>
      <c r="E142" s="1" t="s">
        <v>296</v>
      </c>
      <c r="F142" s="1" t="s">
        <v>879</v>
      </c>
      <c r="G142">
        <v>6</v>
      </c>
      <c r="H142">
        <v>27</v>
      </c>
      <c r="I142" s="1" t="s">
        <v>903</v>
      </c>
      <c r="J142" s="1" t="s">
        <v>247</v>
      </c>
      <c r="K142" s="1" t="s">
        <v>49</v>
      </c>
      <c r="L142" s="1" t="s">
        <v>248</v>
      </c>
      <c r="M142" s="1" t="s">
        <v>249</v>
      </c>
      <c r="N142" s="1" t="s">
        <v>29</v>
      </c>
      <c r="O142" s="1" t="s">
        <v>30</v>
      </c>
      <c r="P142">
        <v>60</v>
      </c>
      <c r="Q142">
        <v>60</v>
      </c>
      <c r="R142" s="1" t="s">
        <v>32</v>
      </c>
      <c r="S142">
        <v>29.35</v>
      </c>
      <c r="T142">
        <v>1761</v>
      </c>
      <c r="U142">
        <v>1409.4</v>
      </c>
      <c r="V142" s="1" t="s">
        <v>144</v>
      </c>
      <c r="W142" s="1">
        <f>Sales[[#This Row],[NET_VALUE]]-Sales[[#This Row],[COST]]</f>
        <v>351.59999999999991</v>
      </c>
    </row>
    <row r="143" spans="1:23" x14ac:dyDescent="0.2">
      <c r="A143" s="1" t="s">
        <v>278</v>
      </c>
      <c r="B143">
        <v>142</v>
      </c>
      <c r="C143" s="1" t="s">
        <v>28</v>
      </c>
      <c r="D143" s="1" t="s">
        <v>31</v>
      </c>
      <c r="E143" s="1" t="s">
        <v>296</v>
      </c>
      <c r="F143" s="1" t="s">
        <v>879</v>
      </c>
      <c r="G143">
        <v>6</v>
      </c>
      <c r="H143">
        <v>27</v>
      </c>
      <c r="I143" s="1" t="s">
        <v>904</v>
      </c>
      <c r="J143" s="1" t="s">
        <v>291</v>
      </c>
      <c r="K143" s="1" t="s">
        <v>49</v>
      </c>
      <c r="L143" s="1" t="s">
        <v>248</v>
      </c>
      <c r="M143" s="1" t="s">
        <v>249</v>
      </c>
      <c r="N143" s="1" t="s">
        <v>29</v>
      </c>
      <c r="O143" s="1" t="s">
        <v>30</v>
      </c>
      <c r="P143">
        <v>81</v>
      </c>
      <c r="Q143">
        <v>81</v>
      </c>
      <c r="R143" s="1" t="s">
        <v>32</v>
      </c>
      <c r="S143">
        <v>29.35</v>
      </c>
      <c r="T143">
        <v>2377.35</v>
      </c>
      <c r="U143">
        <v>1902.69</v>
      </c>
      <c r="V143" s="1" t="s">
        <v>144</v>
      </c>
      <c r="W143" s="1">
        <f>Sales[[#This Row],[NET_VALUE]]-Sales[[#This Row],[COST]]</f>
        <v>474.65999999999985</v>
      </c>
    </row>
    <row r="144" spans="1:23" x14ac:dyDescent="0.2">
      <c r="A144" s="1" t="s">
        <v>279</v>
      </c>
      <c r="B144">
        <v>143</v>
      </c>
      <c r="C144" s="1" t="s">
        <v>28</v>
      </c>
      <c r="D144" s="1" t="s">
        <v>31</v>
      </c>
      <c r="E144" s="1" t="s">
        <v>296</v>
      </c>
      <c r="F144" s="1" t="s">
        <v>879</v>
      </c>
      <c r="G144">
        <v>6</v>
      </c>
      <c r="H144">
        <v>27</v>
      </c>
      <c r="I144" s="1" t="s">
        <v>904</v>
      </c>
      <c r="J144" s="1" t="s">
        <v>293</v>
      </c>
      <c r="K144" s="1" t="s">
        <v>49</v>
      </c>
      <c r="L144" s="1" t="s">
        <v>248</v>
      </c>
      <c r="M144" s="1" t="s">
        <v>249</v>
      </c>
      <c r="N144" s="1" t="s">
        <v>34</v>
      </c>
      <c r="O144" s="1" t="s">
        <v>35</v>
      </c>
      <c r="P144">
        <v>21</v>
      </c>
      <c r="Q144">
        <v>21</v>
      </c>
      <c r="R144" s="1" t="s">
        <v>32</v>
      </c>
      <c r="S144">
        <v>80.680000000000007</v>
      </c>
      <c r="T144">
        <v>1694.28</v>
      </c>
      <c r="U144">
        <v>1538.46</v>
      </c>
      <c r="V144" s="1" t="s">
        <v>144</v>
      </c>
      <c r="W144" s="1">
        <f>Sales[[#This Row],[NET_VALUE]]-Sales[[#This Row],[COST]]</f>
        <v>155.81999999999994</v>
      </c>
    </row>
    <row r="145" spans="1:23" x14ac:dyDescent="0.2">
      <c r="A145" s="1" t="s">
        <v>280</v>
      </c>
      <c r="B145">
        <v>144</v>
      </c>
      <c r="C145" s="1" t="s">
        <v>28</v>
      </c>
      <c r="D145" s="1" t="s">
        <v>31</v>
      </c>
      <c r="E145" s="1" t="s">
        <v>296</v>
      </c>
      <c r="F145" s="1" t="s">
        <v>879</v>
      </c>
      <c r="G145">
        <v>6</v>
      </c>
      <c r="H145">
        <v>27</v>
      </c>
      <c r="I145" s="1" t="s">
        <v>904</v>
      </c>
      <c r="J145" s="1" t="s">
        <v>247</v>
      </c>
      <c r="K145" s="1" t="s">
        <v>49</v>
      </c>
      <c r="L145" s="1" t="s">
        <v>248</v>
      </c>
      <c r="M145" s="1" t="s">
        <v>249</v>
      </c>
      <c r="N145" s="1" t="s">
        <v>37</v>
      </c>
      <c r="O145" s="1" t="s">
        <v>38</v>
      </c>
      <c r="P145">
        <v>54</v>
      </c>
      <c r="Q145">
        <v>54</v>
      </c>
      <c r="R145" s="1" t="s">
        <v>32</v>
      </c>
      <c r="S145">
        <v>32.76</v>
      </c>
      <c r="T145">
        <v>1769.04</v>
      </c>
      <c r="U145">
        <v>1426.14</v>
      </c>
      <c r="V145" s="1" t="s">
        <v>144</v>
      </c>
      <c r="W145" s="1">
        <f>Sales[[#This Row],[NET_VALUE]]-Sales[[#This Row],[COST]]</f>
        <v>342.89999999999986</v>
      </c>
    </row>
    <row r="146" spans="1:23" x14ac:dyDescent="0.2">
      <c r="A146" s="1" t="s">
        <v>295</v>
      </c>
      <c r="B146">
        <v>145</v>
      </c>
      <c r="C146" s="1" t="s">
        <v>28</v>
      </c>
      <c r="D146" s="1" t="s">
        <v>31</v>
      </c>
      <c r="E146" s="1" t="s">
        <v>296</v>
      </c>
      <c r="F146" s="1" t="s">
        <v>879</v>
      </c>
      <c r="G146">
        <v>6</v>
      </c>
      <c r="H146">
        <v>27</v>
      </c>
      <c r="I146" s="1" t="s">
        <v>905</v>
      </c>
      <c r="J146" s="1" t="s">
        <v>247</v>
      </c>
      <c r="K146" s="1" t="s">
        <v>56</v>
      </c>
      <c r="L146" s="1" t="s">
        <v>251</v>
      </c>
      <c r="M146" s="1" t="s">
        <v>249</v>
      </c>
      <c r="N146" s="1" t="s">
        <v>37</v>
      </c>
      <c r="O146" s="1" t="s">
        <v>38</v>
      </c>
      <c r="P146">
        <v>74</v>
      </c>
      <c r="Q146">
        <v>74</v>
      </c>
      <c r="R146" s="1" t="s">
        <v>32</v>
      </c>
      <c r="S146">
        <v>32.76</v>
      </c>
      <c r="T146">
        <v>2424.2399999999998</v>
      </c>
      <c r="U146">
        <v>1954.34</v>
      </c>
      <c r="V146" s="1" t="s">
        <v>144</v>
      </c>
      <c r="W146" s="1">
        <f>Sales[[#This Row],[NET_VALUE]]-Sales[[#This Row],[COST]]</f>
        <v>469.89999999999986</v>
      </c>
    </row>
    <row r="147" spans="1:23" x14ac:dyDescent="0.2">
      <c r="A147" s="1" t="s">
        <v>298</v>
      </c>
      <c r="B147">
        <v>146</v>
      </c>
      <c r="C147" s="1" t="s">
        <v>28</v>
      </c>
      <c r="D147" s="1" t="s">
        <v>31</v>
      </c>
      <c r="E147" s="1" t="s">
        <v>296</v>
      </c>
      <c r="F147" s="1" t="s">
        <v>879</v>
      </c>
      <c r="G147">
        <v>6</v>
      </c>
      <c r="H147">
        <v>27</v>
      </c>
      <c r="I147" s="1" t="s">
        <v>905</v>
      </c>
      <c r="J147" s="1" t="s">
        <v>291</v>
      </c>
      <c r="K147" s="1" t="s">
        <v>56</v>
      </c>
      <c r="L147" s="1" t="s">
        <v>251</v>
      </c>
      <c r="M147" s="1" t="s">
        <v>249</v>
      </c>
      <c r="N147" s="1" t="s">
        <v>37</v>
      </c>
      <c r="O147" s="1" t="s">
        <v>38</v>
      </c>
      <c r="P147">
        <v>35</v>
      </c>
      <c r="Q147">
        <v>35</v>
      </c>
      <c r="R147" s="1" t="s">
        <v>32</v>
      </c>
      <c r="S147">
        <v>32.76</v>
      </c>
      <c r="T147">
        <v>1146.5999999999999</v>
      </c>
      <c r="U147">
        <v>924.35</v>
      </c>
      <c r="V147" s="1" t="s">
        <v>144</v>
      </c>
      <c r="W147" s="1">
        <f>Sales[[#This Row],[NET_VALUE]]-Sales[[#This Row],[COST]]</f>
        <v>222.24999999999989</v>
      </c>
    </row>
    <row r="148" spans="1:23" x14ac:dyDescent="0.2">
      <c r="A148" s="1" t="s">
        <v>299</v>
      </c>
      <c r="B148">
        <v>147</v>
      </c>
      <c r="C148" s="1" t="s">
        <v>28</v>
      </c>
      <c r="D148" s="1" t="s">
        <v>31</v>
      </c>
      <c r="E148" s="1" t="s">
        <v>296</v>
      </c>
      <c r="F148" s="1" t="s">
        <v>879</v>
      </c>
      <c r="G148">
        <v>6</v>
      </c>
      <c r="H148">
        <v>27</v>
      </c>
      <c r="I148" s="1" t="s">
        <v>905</v>
      </c>
      <c r="J148" s="1" t="s">
        <v>591</v>
      </c>
      <c r="K148" s="1" t="s">
        <v>56</v>
      </c>
      <c r="L148" s="1" t="s">
        <v>251</v>
      </c>
      <c r="M148" s="1" t="s">
        <v>249</v>
      </c>
      <c r="N148" s="1" t="s">
        <v>43</v>
      </c>
      <c r="O148" s="1" t="s">
        <v>44</v>
      </c>
      <c r="P148">
        <v>26</v>
      </c>
      <c r="Q148">
        <v>26</v>
      </c>
      <c r="R148" s="1" t="s">
        <v>32</v>
      </c>
      <c r="S148">
        <v>68.44</v>
      </c>
      <c r="T148">
        <v>1779.44</v>
      </c>
      <c r="U148">
        <v>1587.56</v>
      </c>
      <c r="V148" s="1" t="s">
        <v>144</v>
      </c>
      <c r="W148" s="1">
        <f>Sales[[#This Row],[NET_VALUE]]-Sales[[#This Row],[COST]]</f>
        <v>191.88000000000011</v>
      </c>
    </row>
    <row r="149" spans="1:23" x14ac:dyDescent="0.2">
      <c r="A149" s="1" t="s">
        <v>300</v>
      </c>
      <c r="B149">
        <v>148</v>
      </c>
      <c r="C149" s="1" t="s">
        <v>28</v>
      </c>
      <c r="D149" s="1" t="s">
        <v>31</v>
      </c>
      <c r="E149" s="1" t="s">
        <v>296</v>
      </c>
      <c r="F149" s="1" t="s">
        <v>879</v>
      </c>
      <c r="G149">
        <v>6</v>
      </c>
      <c r="H149">
        <v>27</v>
      </c>
      <c r="I149" s="1" t="s">
        <v>905</v>
      </c>
      <c r="J149" s="1" t="s">
        <v>592</v>
      </c>
      <c r="K149" s="1" t="s">
        <v>56</v>
      </c>
      <c r="L149" s="1" t="s">
        <v>251</v>
      </c>
      <c r="M149" s="1" t="s">
        <v>249</v>
      </c>
      <c r="N149" s="1" t="s">
        <v>43</v>
      </c>
      <c r="O149" s="1" t="s">
        <v>44</v>
      </c>
      <c r="P149">
        <v>30</v>
      </c>
      <c r="Q149">
        <v>30</v>
      </c>
      <c r="R149" s="1" t="s">
        <v>32</v>
      </c>
      <c r="S149">
        <v>68.44</v>
      </c>
      <c r="T149">
        <v>2053.1999999999998</v>
      </c>
      <c r="U149">
        <v>1831.8</v>
      </c>
      <c r="V149" s="1" t="s">
        <v>144</v>
      </c>
      <c r="W149" s="1">
        <f>Sales[[#This Row],[NET_VALUE]]-Sales[[#This Row],[COST]]</f>
        <v>221.39999999999986</v>
      </c>
    </row>
    <row r="150" spans="1:23" x14ac:dyDescent="0.2">
      <c r="A150" s="1" t="s">
        <v>301</v>
      </c>
      <c r="B150">
        <v>149</v>
      </c>
      <c r="C150" s="1" t="s">
        <v>28</v>
      </c>
      <c r="D150" s="1" t="s">
        <v>31</v>
      </c>
      <c r="E150" s="1" t="s">
        <v>326</v>
      </c>
      <c r="F150" s="1" t="s">
        <v>907</v>
      </c>
      <c r="G150">
        <v>6</v>
      </c>
      <c r="H150">
        <v>28</v>
      </c>
      <c r="I150" s="1" t="s">
        <v>931</v>
      </c>
      <c r="J150" s="1" t="s">
        <v>247</v>
      </c>
      <c r="K150" s="1" t="s">
        <v>49</v>
      </c>
      <c r="L150" s="1" t="s">
        <v>248</v>
      </c>
      <c r="M150" s="1" t="s">
        <v>249</v>
      </c>
      <c r="N150" s="1" t="s">
        <v>29</v>
      </c>
      <c r="O150" s="1" t="s">
        <v>30</v>
      </c>
      <c r="P150">
        <v>71</v>
      </c>
      <c r="Q150">
        <v>71</v>
      </c>
      <c r="R150" s="1" t="s">
        <v>32</v>
      </c>
      <c r="S150">
        <v>29.35</v>
      </c>
      <c r="T150">
        <v>2083.85</v>
      </c>
      <c r="U150">
        <v>1667.79</v>
      </c>
      <c r="V150" s="1" t="s">
        <v>144</v>
      </c>
      <c r="W150" s="1">
        <f>Sales[[#This Row],[NET_VALUE]]-Sales[[#This Row],[COST]]</f>
        <v>416.05999999999995</v>
      </c>
    </row>
    <row r="151" spans="1:23" x14ac:dyDescent="0.2">
      <c r="A151" s="1" t="s">
        <v>302</v>
      </c>
      <c r="B151">
        <v>150</v>
      </c>
      <c r="C151" s="1" t="s">
        <v>28</v>
      </c>
      <c r="D151" s="1" t="s">
        <v>31</v>
      </c>
      <c r="E151" s="1" t="s">
        <v>326</v>
      </c>
      <c r="F151" s="1" t="s">
        <v>907</v>
      </c>
      <c r="G151">
        <v>6</v>
      </c>
      <c r="H151">
        <v>28</v>
      </c>
      <c r="I151" s="1" t="s">
        <v>932</v>
      </c>
      <c r="J151" s="1" t="s">
        <v>293</v>
      </c>
      <c r="K151" s="1" t="s">
        <v>56</v>
      </c>
      <c r="L151" s="1" t="s">
        <v>251</v>
      </c>
      <c r="M151" s="1" t="s">
        <v>249</v>
      </c>
      <c r="N151" s="1" t="s">
        <v>29</v>
      </c>
      <c r="O151" s="1" t="s">
        <v>30</v>
      </c>
      <c r="P151">
        <v>61</v>
      </c>
      <c r="Q151">
        <v>61</v>
      </c>
      <c r="R151" s="1" t="s">
        <v>32</v>
      </c>
      <c r="S151">
        <v>29.35</v>
      </c>
      <c r="T151">
        <v>1790.35</v>
      </c>
      <c r="U151">
        <v>1432.89</v>
      </c>
      <c r="V151" s="1" t="s">
        <v>144</v>
      </c>
      <c r="W151" s="1">
        <f>Sales[[#This Row],[NET_VALUE]]-Sales[[#This Row],[COST]]</f>
        <v>357.45999999999981</v>
      </c>
    </row>
    <row r="152" spans="1:23" x14ac:dyDescent="0.2">
      <c r="A152" s="1" t="s">
        <v>303</v>
      </c>
      <c r="B152">
        <v>151</v>
      </c>
      <c r="C152" s="1" t="s">
        <v>28</v>
      </c>
      <c r="D152" s="1" t="s">
        <v>31</v>
      </c>
      <c r="E152" s="1" t="s">
        <v>326</v>
      </c>
      <c r="F152" s="1" t="s">
        <v>907</v>
      </c>
      <c r="G152">
        <v>6</v>
      </c>
      <c r="H152">
        <v>28</v>
      </c>
      <c r="I152" s="1" t="s">
        <v>932</v>
      </c>
      <c r="J152" s="1" t="s">
        <v>291</v>
      </c>
      <c r="K152" s="1" t="s">
        <v>56</v>
      </c>
      <c r="L152" s="1" t="s">
        <v>251</v>
      </c>
      <c r="M152" s="1" t="s">
        <v>249</v>
      </c>
      <c r="N152" s="1" t="s">
        <v>34</v>
      </c>
      <c r="O152" s="1" t="s">
        <v>35</v>
      </c>
      <c r="P152">
        <v>29</v>
      </c>
      <c r="Q152">
        <v>29</v>
      </c>
      <c r="R152" s="1" t="s">
        <v>32</v>
      </c>
      <c r="S152">
        <v>80.680000000000007</v>
      </c>
      <c r="T152">
        <v>2339.7199999999998</v>
      </c>
      <c r="U152">
        <v>2124.54</v>
      </c>
      <c r="V152" s="1" t="s">
        <v>144</v>
      </c>
      <c r="W152" s="1">
        <f>Sales[[#This Row],[NET_VALUE]]-Sales[[#This Row],[COST]]</f>
        <v>215.17999999999984</v>
      </c>
    </row>
    <row r="153" spans="1:23" x14ac:dyDescent="0.2">
      <c r="A153" s="1" t="s">
        <v>304</v>
      </c>
      <c r="B153">
        <v>152</v>
      </c>
      <c r="C153" s="1" t="s">
        <v>28</v>
      </c>
      <c r="D153" s="1" t="s">
        <v>31</v>
      </c>
      <c r="E153" s="1" t="s">
        <v>326</v>
      </c>
      <c r="F153" s="1" t="s">
        <v>907</v>
      </c>
      <c r="G153">
        <v>6</v>
      </c>
      <c r="H153">
        <v>28</v>
      </c>
      <c r="I153" s="1" t="s">
        <v>932</v>
      </c>
      <c r="J153" s="1" t="s">
        <v>247</v>
      </c>
      <c r="K153" s="1" t="s">
        <v>56</v>
      </c>
      <c r="L153" s="1" t="s">
        <v>251</v>
      </c>
      <c r="M153" s="1" t="s">
        <v>249</v>
      </c>
      <c r="N153" s="1" t="s">
        <v>37</v>
      </c>
      <c r="O153" s="1" t="s">
        <v>38</v>
      </c>
      <c r="P153">
        <v>66</v>
      </c>
      <c r="Q153">
        <v>66</v>
      </c>
      <c r="R153" s="1" t="s">
        <v>32</v>
      </c>
      <c r="S153">
        <v>32.76</v>
      </c>
      <c r="T153">
        <v>2162.16</v>
      </c>
      <c r="U153">
        <v>1743.06</v>
      </c>
      <c r="V153" s="1" t="s">
        <v>144</v>
      </c>
      <c r="W153" s="1">
        <f>Sales[[#This Row],[NET_VALUE]]-Sales[[#This Row],[COST]]</f>
        <v>419.09999999999991</v>
      </c>
    </row>
    <row r="154" spans="1:23" x14ac:dyDescent="0.2">
      <c r="A154" s="1" t="s">
        <v>305</v>
      </c>
      <c r="B154">
        <v>153</v>
      </c>
      <c r="C154" s="1" t="s">
        <v>28</v>
      </c>
      <c r="D154" s="1" t="s">
        <v>31</v>
      </c>
      <c r="E154" s="1" t="s">
        <v>326</v>
      </c>
      <c r="F154" s="1" t="s">
        <v>907</v>
      </c>
      <c r="G154">
        <v>6</v>
      </c>
      <c r="H154">
        <v>28</v>
      </c>
      <c r="I154" s="1" t="s">
        <v>933</v>
      </c>
      <c r="J154" s="1" t="s">
        <v>247</v>
      </c>
      <c r="K154" s="1" t="s">
        <v>56</v>
      </c>
      <c r="L154" s="1" t="s">
        <v>251</v>
      </c>
      <c r="M154" s="1" t="s">
        <v>249</v>
      </c>
      <c r="N154" s="1" t="s">
        <v>43</v>
      </c>
      <c r="O154" s="1" t="s">
        <v>44</v>
      </c>
      <c r="P154">
        <v>14</v>
      </c>
      <c r="Q154">
        <v>14</v>
      </c>
      <c r="R154" s="1" t="s">
        <v>32</v>
      </c>
      <c r="S154">
        <v>68.44</v>
      </c>
      <c r="T154">
        <v>958.16</v>
      </c>
      <c r="U154">
        <v>854.84</v>
      </c>
      <c r="V154" s="1" t="s">
        <v>144</v>
      </c>
      <c r="W154" s="1">
        <f>Sales[[#This Row],[NET_VALUE]]-Sales[[#This Row],[COST]]</f>
        <v>103.31999999999994</v>
      </c>
    </row>
    <row r="155" spans="1:23" x14ac:dyDescent="0.2">
      <c r="A155" s="1" t="s">
        <v>306</v>
      </c>
      <c r="B155">
        <v>154</v>
      </c>
      <c r="C155" s="1" t="s">
        <v>28</v>
      </c>
      <c r="D155" s="1" t="s">
        <v>31</v>
      </c>
      <c r="E155" s="1" t="s">
        <v>326</v>
      </c>
      <c r="F155" s="1" t="s">
        <v>907</v>
      </c>
      <c r="G155">
        <v>6</v>
      </c>
      <c r="H155">
        <v>28</v>
      </c>
      <c r="I155" s="1" t="s">
        <v>932</v>
      </c>
      <c r="J155" s="1" t="s">
        <v>322</v>
      </c>
      <c r="K155" s="1" t="s">
        <v>56</v>
      </c>
      <c r="L155" s="1" t="s">
        <v>251</v>
      </c>
      <c r="M155" s="1" t="s">
        <v>249</v>
      </c>
      <c r="N155" s="1" t="s">
        <v>46</v>
      </c>
      <c r="O155" s="1" t="s">
        <v>47</v>
      </c>
      <c r="P155">
        <v>40</v>
      </c>
      <c r="Q155">
        <v>40</v>
      </c>
      <c r="R155" s="1" t="s">
        <v>32</v>
      </c>
      <c r="S155">
        <v>50</v>
      </c>
      <c r="T155">
        <v>2000</v>
      </c>
      <c r="U155">
        <v>1761.2</v>
      </c>
      <c r="V155" s="1" t="s">
        <v>144</v>
      </c>
      <c r="W155" s="1">
        <f>Sales[[#This Row],[NET_VALUE]]-Sales[[#This Row],[COST]]</f>
        <v>238.79999999999995</v>
      </c>
    </row>
    <row r="156" spans="1:23" x14ac:dyDescent="0.2">
      <c r="A156" s="1" t="s">
        <v>307</v>
      </c>
      <c r="B156">
        <v>155</v>
      </c>
      <c r="C156" s="1" t="s">
        <v>28</v>
      </c>
      <c r="D156" s="1" t="s">
        <v>31</v>
      </c>
      <c r="E156" s="1" t="s">
        <v>326</v>
      </c>
      <c r="F156" s="1" t="s">
        <v>907</v>
      </c>
      <c r="G156">
        <v>6</v>
      </c>
      <c r="H156">
        <v>28</v>
      </c>
      <c r="I156" s="1" t="s">
        <v>934</v>
      </c>
      <c r="J156" s="1" t="s">
        <v>247</v>
      </c>
      <c r="K156" s="1" t="s">
        <v>63</v>
      </c>
      <c r="L156" s="1" t="s">
        <v>254</v>
      </c>
      <c r="M156" s="1" t="s">
        <v>249</v>
      </c>
      <c r="N156" s="1" t="s">
        <v>29</v>
      </c>
      <c r="O156" s="1" t="s">
        <v>30</v>
      </c>
      <c r="P156">
        <v>56</v>
      </c>
      <c r="Q156">
        <v>56</v>
      </c>
      <c r="R156" s="1" t="s">
        <v>32</v>
      </c>
      <c r="S156">
        <v>29.35</v>
      </c>
      <c r="T156">
        <v>1643.6</v>
      </c>
      <c r="U156">
        <v>1315.44</v>
      </c>
      <c r="V156" s="1" t="s">
        <v>144</v>
      </c>
      <c r="W156" s="1">
        <f>Sales[[#This Row],[NET_VALUE]]-Sales[[#This Row],[COST]]</f>
        <v>328.15999999999985</v>
      </c>
    </row>
    <row r="157" spans="1:23" x14ac:dyDescent="0.2">
      <c r="A157" s="1" t="s">
        <v>308</v>
      </c>
      <c r="B157">
        <v>156</v>
      </c>
      <c r="C157" s="1" t="s">
        <v>28</v>
      </c>
      <c r="D157" s="1" t="s">
        <v>31</v>
      </c>
      <c r="E157" s="1" t="s">
        <v>357</v>
      </c>
      <c r="F157" s="1" t="s">
        <v>936</v>
      </c>
      <c r="G157">
        <v>6</v>
      </c>
      <c r="H157">
        <v>29</v>
      </c>
      <c r="I157" s="1" t="s">
        <v>960</v>
      </c>
      <c r="J157" s="1" t="s">
        <v>247</v>
      </c>
      <c r="K157" s="1" t="s">
        <v>49</v>
      </c>
      <c r="L157" s="1" t="s">
        <v>248</v>
      </c>
      <c r="M157" s="1" t="s">
        <v>249</v>
      </c>
      <c r="N157" s="1" t="s">
        <v>29</v>
      </c>
      <c r="O157" s="1" t="s">
        <v>30</v>
      </c>
      <c r="P157">
        <v>75</v>
      </c>
      <c r="Q157">
        <v>75</v>
      </c>
      <c r="R157" s="1" t="s">
        <v>32</v>
      </c>
      <c r="S157">
        <v>29.35</v>
      </c>
      <c r="T157">
        <v>2201.25</v>
      </c>
      <c r="U157">
        <v>1761.75</v>
      </c>
      <c r="V157" s="1" t="s">
        <v>144</v>
      </c>
      <c r="W157" s="1">
        <f>Sales[[#This Row],[NET_VALUE]]-Sales[[#This Row],[COST]]</f>
        <v>439.5</v>
      </c>
    </row>
    <row r="158" spans="1:23" x14ac:dyDescent="0.2">
      <c r="A158" s="1" t="s">
        <v>309</v>
      </c>
      <c r="B158">
        <v>157</v>
      </c>
      <c r="C158" s="1" t="s">
        <v>28</v>
      </c>
      <c r="D158" s="1" t="s">
        <v>31</v>
      </c>
      <c r="E158" s="1" t="s">
        <v>357</v>
      </c>
      <c r="F158" s="1" t="s">
        <v>936</v>
      </c>
      <c r="G158">
        <v>6</v>
      </c>
      <c r="H158">
        <v>29</v>
      </c>
      <c r="I158" s="1" t="s">
        <v>960</v>
      </c>
      <c r="J158" s="1" t="s">
        <v>293</v>
      </c>
      <c r="K158" s="1" t="s">
        <v>49</v>
      </c>
      <c r="L158" s="1" t="s">
        <v>248</v>
      </c>
      <c r="M158" s="1" t="s">
        <v>249</v>
      </c>
      <c r="N158" s="1" t="s">
        <v>37</v>
      </c>
      <c r="O158" s="1" t="s">
        <v>38</v>
      </c>
      <c r="P158">
        <v>50</v>
      </c>
      <c r="Q158">
        <v>50</v>
      </c>
      <c r="R158" s="1" t="s">
        <v>32</v>
      </c>
      <c r="S158">
        <v>32.76</v>
      </c>
      <c r="T158">
        <v>1638</v>
      </c>
      <c r="U158">
        <v>1320.5</v>
      </c>
      <c r="V158" s="1" t="s">
        <v>144</v>
      </c>
      <c r="W158" s="1">
        <f>Sales[[#This Row],[NET_VALUE]]-Sales[[#This Row],[COST]]</f>
        <v>317.5</v>
      </c>
    </row>
    <row r="159" spans="1:23" x14ac:dyDescent="0.2">
      <c r="A159" s="1" t="s">
        <v>310</v>
      </c>
      <c r="B159">
        <v>158</v>
      </c>
      <c r="C159" s="1" t="s">
        <v>28</v>
      </c>
      <c r="D159" s="1" t="s">
        <v>31</v>
      </c>
      <c r="E159" s="1" t="s">
        <v>357</v>
      </c>
      <c r="F159" s="1" t="s">
        <v>936</v>
      </c>
      <c r="G159">
        <v>6</v>
      </c>
      <c r="H159">
        <v>29</v>
      </c>
      <c r="I159" s="1" t="s">
        <v>960</v>
      </c>
      <c r="J159" s="1" t="s">
        <v>322</v>
      </c>
      <c r="K159" s="1" t="s">
        <v>49</v>
      </c>
      <c r="L159" s="1" t="s">
        <v>248</v>
      </c>
      <c r="M159" s="1" t="s">
        <v>249</v>
      </c>
      <c r="N159" s="1" t="s">
        <v>40</v>
      </c>
      <c r="O159" s="1" t="s">
        <v>41</v>
      </c>
      <c r="P159">
        <v>18</v>
      </c>
      <c r="Q159">
        <v>18</v>
      </c>
      <c r="R159" s="1" t="s">
        <v>32</v>
      </c>
      <c r="S159">
        <v>96.4</v>
      </c>
      <c r="T159">
        <v>1735.2</v>
      </c>
      <c r="U159">
        <v>1517.94</v>
      </c>
      <c r="V159" s="1" t="s">
        <v>144</v>
      </c>
      <c r="W159" s="1">
        <f>Sales[[#This Row],[NET_VALUE]]-Sales[[#This Row],[COST]]</f>
        <v>217.26</v>
      </c>
    </row>
    <row r="160" spans="1:23" x14ac:dyDescent="0.2">
      <c r="A160" s="1" t="s">
        <v>311</v>
      </c>
      <c r="B160">
        <v>159</v>
      </c>
      <c r="C160" s="1" t="s">
        <v>28</v>
      </c>
      <c r="D160" s="1" t="s">
        <v>31</v>
      </c>
      <c r="E160" s="1" t="s">
        <v>357</v>
      </c>
      <c r="F160" s="1" t="s">
        <v>936</v>
      </c>
      <c r="G160">
        <v>6</v>
      </c>
      <c r="H160">
        <v>29</v>
      </c>
      <c r="I160" s="1" t="s">
        <v>960</v>
      </c>
      <c r="J160" s="1" t="s">
        <v>291</v>
      </c>
      <c r="K160" s="1" t="s">
        <v>49</v>
      </c>
      <c r="L160" s="1" t="s">
        <v>248</v>
      </c>
      <c r="M160" s="1" t="s">
        <v>249</v>
      </c>
      <c r="N160" s="1" t="s">
        <v>43</v>
      </c>
      <c r="O160" s="1" t="s">
        <v>44</v>
      </c>
      <c r="P160">
        <v>29</v>
      </c>
      <c r="Q160">
        <v>29</v>
      </c>
      <c r="R160" s="1" t="s">
        <v>32</v>
      </c>
      <c r="S160">
        <v>68.44</v>
      </c>
      <c r="T160">
        <v>1984.76</v>
      </c>
      <c r="U160">
        <v>1770.74</v>
      </c>
      <c r="V160" s="1" t="s">
        <v>144</v>
      </c>
      <c r="W160" s="1">
        <f>Sales[[#This Row],[NET_VALUE]]-Sales[[#This Row],[COST]]</f>
        <v>214.01999999999998</v>
      </c>
    </row>
    <row r="161" spans="1:23" x14ac:dyDescent="0.2">
      <c r="A161" s="1" t="s">
        <v>312</v>
      </c>
      <c r="B161">
        <v>160</v>
      </c>
      <c r="C161" s="1" t="s">
        <v>28</v>
      </c>
      <c r="D161" s="1" t="s">
        <v>31</v>
      </c>
      <c r="E161" s="1" t="s">
        <v>357</v>
      </c>
      <c r="F161" s="1" t="s">
        <v>936</v>
      </c>
      <c r="G161">
        <v>6</v>
      </c>
      <c r="H161">
        <v>29</v>
      </c>
      <c r="I161" s="1" t="s">
        <v>961</v>
      </c>
      <c r="J161" s="1" t="s">
        <v>592</v>
      </c>
      <c r="K161" s="1" t="s">
        <v>56</v>
      </c>
      <c r="L161" s="1" t="s">
        <v>251</v>
      </c>
      <c r="M161" s="1" t="s">
        <v>249</v>
      </c>
      <c r="N161" s="1" t="s">
        <v>29</v>
      </c>
      <c r="O161" s="1" t="s">
        <v>30</v>
      </c>
      <c r="P161">
        <v>39</v>
      </c>
      <c r="Q161">
        <v>39</v>
      </c>
      <c r="R161" s="1" t="s">
        <v>32</v>
      </c>
      <c r="S161">
        <v>29.35</v>
      </c>
      <c r="T161">
        <v>1144.6500000000001</v>
      </c>
      <c r="U161">
        <v>916.11</v>
      </c>
      <c r="V161" s="1" t="s">
        <v>144</v>
      </c>
      <c r="W161" s="1">
        <f>Sales[[#This Row],[NET_VALUE]]-Sales[[#This Row],[COST]]</f>
        <v>228.54000000000008</v>
      </c>
    </row>
    <row r="162" spans="1:23" x14ac:dyDescent="0.2">
      <c r="A162" s="1" t="s">
        <v>313</v>
      </c>
      <c r="B162">
        <v>161</v>
      </c>
      <c r="C162" s="1" t="s">
        <v>28</v>
      </c>
      <c r="D162" s="1" t="s">
        <v>31</v>
      </c>
      <c r="E162" s="1" t="s">
        <v>357</v>
      </c>
      <c r="F162" s="1" t="s">
        <v>936</v>
      </c>
      <c r="G162">
        <v>6</v>
      </c>
      <c r="H162">
        <v>29</v>
      </c>
      <c r="I162" s="1" t="s">
        <v>961</v>
      </c>
      <c r="J162" s="1" t="s">
        <v>322</v>
      </c>
      <c r="K162" s="1" t="s">
        <v>56</v>
      </c>
      <c r="L162" s="1" t="s">
        <v>251</v>
      </c>
      <c r="M162" s="1" t="s">
        <v>249</v>
      </c>
      <c r="N162" s="1" t="s">
        <v>37</v>
      </c>
      <c r="O162" s="1" t="s">
        <v>38</v>
      </c>
      <c r="P162">
        <v>42</v>
      </c>
      <c r="Q162">
        <v>42</v>
      </c>
      <c r="R162" s="1" t="s">
        <v>32</v>
      </c>
      <c r="S162">
        <v>32.76</v>
      </c>
      <c r="T162">
        <v>1375.92</v>
      </c>
      <c r="U162">
        <v>1109.22</v>
      </c>
      <c r="V162" s="1" t="s">
        <v>144</v>
      </c>
      <c r="W162" s="1">
        <f>Sales[[#This Row],[NET_VALUE]]-Sales[[#This Row],[COST]]</f>
        <v>266.70000000000005</v>
      </c>
    </row>
    <row r="163" spans="1:23" x14ac:dyDescent="0.2">
      <c r="A163" s="1" t="s">
        <v>314</v>
      </c>
      <c r="B163">
        <v>162</v>
      </c>
      <c r="C163" s="1" t="s">
        <v>28</v>
      </c>
      <c r="D163" s="1" t="s">
        <v>31</v>
      </c>
      <c r="E163" s="1" t="s">
        <v>357</v>
      </c>
      <c r="F163" s="1" t="s">
        <v>936</v>
      </c>
      <c r="G163">
        <v>6</v>
      </c>
      <c r="H163">
        <v>29</v>
      </c>
      <c r="I163" s="1" t="s">
        <v>961</v>
      </c>
      <c r="J163" s="1" t="s">
        <v>247</v>
      </c>
      <c r="K163" s="1" t="s">
        <v>56</v>
      </c>
      <c r="L163" s="1" t="s">
        <v>251</v>
      </c>
      <c r="M163" s="1" t="s">
        <v>249</v>
      </c>
      <c r="N163" s="1" t="s">
        <v>37</v>
      </c>
      <c r="O163" s="1" t="s">
        <v>38</v>
      </c>
      <c r="P163">
        <v>67</v>
      </c>
      <c r="Q163">
        <v>67</v>
      </c>
      <c r="R163" s="1" t="s">
        <v>32</v>
      </c>
      <c r="S163">
        <v>32.76</v>
      </c>
      <c r="T163">
        <v>2194.92</v>
      </c>
      <c r="U163">
        <v>1769.47</v>
      </c>
      <c r="V163" s="1" t="s">
        <v>144</v>
      </c>
      <c r="W163" s="1">
        <f>Sales[[#This Row],[NET_VALUE]]-Sales[[#This Row],[COST]]</f>
        <v>425.45000000000005</v>
      </c>
    </row>
    <row r="164" spans="1:23" x14ac:dyDescent="0.2">
      <c r="A164" s="1" t="s">
        <v>315</v>
      </c>
      <c r="B164">
        <v>163</v>
      </c>
      <c r="C164" s="1" t="s">
        <v>28</v>
      </c>
      <c r="D164" s="1" t="s">
        <v>31</v>
      </c>
      <c r="E164" s="1" t="s">
        <v>357</v>
      </c>
      <c r="F164" s="1" t="s">
        <v>936</v>
      </c>
      <c r="G164">
        <v>6</v>
      </c>
      <c r="H164">
        <v>29</v>
      </c>
      <c r="I164" s="1" t="s">
        <v>961</v>
      </c>
      <c r="J164" s="1" t="s">
        <v>591</v>
      </c>
      <c r="K164" s="1" t="s">
        <v>56</v>
      </c>
      <c r="L164" s="1" t="s">
        <v>251</v>
      </c>
      <c r="M164" s="1" t="s">
        <v>249</v>
      </c>
      <c r="N164" s="1" t="s">
        <v>43</v>
      </c>
      <c r="O164" s="1" t="s">
        <v>44</v>
      </c>
      <c r="P164">
        <v>30</v>
      </c>
      <c r="Q164">
        <v>30</v>
      </c>
      <c r="R164" s="1" t="s">
        <v>32</v>
      </c>
      <c r="S164">
        <v>68.44</v>
      </c>
      <c r="T164">
        <v>2053.1999999999998</v>
      </c>
      <c r="U164">
        <v>1831.8</v>
      </c>
      <c r="V164" s="1" t="s">
        <v>144</v>
      </c>
      <c r="W164" s="1">
        <f>Sales[[#This Row],[NET_VALUE]]-Sales[[#This Row],[COST]]</f>
        <v>221.39999999999986</v>
      </c>
    </row>
    <row r="165" spans="1:23" x14ac:dyDescent="0.2">
      <c r="A165" s="1" t="s">
        <v>316</v>
      </c>
      <c r="B165">
        <v>164</v>
      </c>
      <c r="C165" s="1" t="s">
        <v>28</v>
      </c>
      <c r="D165" s="1" t="s">
        <v>31</v>
      </c>
      <c r="E165" s="1" t="s">
        <v>357</v>
      </c>
      <c r="F165" s="1" t="s">
        <v>936</v>
      </c>
      <c r="G165">
        <v>6</v>
      </c>
      <c r="H165">
        <v>29</v>
      </c>
      <c r="I165" s="1" t="s">
        <v>961</v>
      </c>
      <c r="J165" s="1" t="s">
        <v>293</v>
      </c>
      <c r="K165" s="1" t="s">
        <v>56</v>
      </c>
      <c r="L165" s="1" t="s">
        <v>251</v>
      </c>
      <c r="M165" s="1" t="s">
        <v>249</v>
      </c>
      <c r="N165" s="1" t="s">
        <v>43</v>
      </c>
      <c r="O165" s="1" t="s">
        <v>44</v>
      </c>
      <c r="P165">
        <v>26</v>
      </c>
      <c r="Q165">
        <v>26</v>
      </c>
      <c r="R165" s="1" t="s">
        <v>32</v>
      </c>
      <c r="S165">
        <v>68.44</v>
      </c>
      <c r="T165">
        <v>1779.44</v>
      </c>
      <c r="U165">
        <v>1587.56</v>
      </c>
      <c r="V165" s="1" t="s">
        <v>144</v>
      </c>
      <c r="W165" s="1">
        <f>Sales[[#This Row],[NET_VALUE]]-Sales[[#This Row],[COST]]</f>
        <v>191.88000000000011</v>
      </c>
    </row>
    <row r="166" spans="1:23" x14ac:dyDescent="0.2">
      <c r="A166" s="1" t="s">
        <v>317</v>
      </c>
      <c r="B166">
        <v>165</v>
      </c>
      <c r="C166" s="1" t="s">
        <v>28</v>
      </c>
      <c r="D166" s="1" t="s">
        <v>31</v>
      </c>
      <c r="E166" s="1" t="s">
        <v>357</v>
      </c>
      <c r="F166" s="1" t="s">
        <v>936</v>
      </c>
      <c r="G166">
        <v>6</v>
      </c>
      <c r="H166">
        <v>29</v>
      </c>
      <c r="I166" s="1" t="s">
        <v>962</v>
      </c>
      <c r="J166" s="1" t="s">
        <v>247</v>
      </c>
      <c r="K166" s="1" t="s">
        <v>63</v>
      </c>
      <c r="L166" s="1" t="s">
        <v>254</v>
      </c>
      <c r="M166" s="1" t="s">
        <v>249</v>
      </c>
      <c r="N166" s="1" t="s">
        <v>40</v>
      </c>
      <c r="O166" s="1" t="s">
        <v>41</v>
      </c>
      <c r="P166">
        <v>22</v>
      </c>
      <c r="Q166">
        <v>22</v>
      </c>
      <c r="R166" s="1" t="s">
        <v>32</v>
      </c>
      <c r="S166">
        <v>96.4</v>
      </c>
      <c r="T166">
        <v>2120.8000000000002</v>
      </c>
      <c r="U166">
        <v>1855.26</v>
      </c>
      <c r="V166" s="1" t="s">
        <v>144</v>
      </c>
      <c r="W166" s="1">
        <f>Sales[[#This Row],[NET_VALUE]]-Sales[[#This Row],[COST]]</f>
        <v>265.54000000000019</v>
      </c>
    </row>
    <row r="167" spans="1:23" x14ac:dyDescent="0.2">
      <c r="A167" s="1" t="s">
        <v>318</v>
      </c>
      <c r="B167">
        <v>166</v>
      </c>
      <c r="C167" s="1" t="s">
        <v>28</v>
      </c>
      <c r="D167" s="1" t="s">
        <v>31</v>
      </c>
      <c r="E167" s="1" t="s">
        <v>387</v>
      </c>
      <c r="F167" s="1" t="s">
        <v>964</v>
      </c>
      <c r="G167">
        <v>6</v>
      </c>
      <c r="H167">
        <v>30</v>
      </c>
      <c r="I167" s="1" t="s">
        <v>988</v>
      </c>
      <c r="J167" s="1" t="s">
        <v>322</v>
      </c>
      <c r="K167" s="1" t="s">
        <v>49</v>
      </c>
      <c r="L167" s="1" t="s">
        <v>248</v>
      </c>
      <c r="M167" s="1" t="s">
        <v>249</v>
      </c>
      <c r="N167" s="1" t="s">
        <v>29</v>
      </c>
      <c r="O167" s="1" t="s">
        <v>30</v>
      </c>
      <c r="P167">
        <v>63</v>
      </c>
      <c r="Q167">
        <v>63</v>
      </c>
      <c r="R167" s="1" t="s">
        <v>32</v>
      </c>
      <c r="S167">
        <v>29.35</v>
      </c>
      <c r="T167">
        <v>1849.05</v>
      </c>
      <c r="U167">
        <v>1479.87</v>
      </c>
      <c r="V167" s="1" t="s">
        <v>144</v>
      </c>
      <c r="W167" s="1">
        <f>Sales[[#This Row],[NET_VALUE]]-Sales[[#This Row],[COST]]</f>
        <v>369.18000000000006</v>
      </c>
    </row>
    <row r="168" spans="1:23" x14ac:dyDescent="0.2">
      <c r="A168" s="1" t="s">
        <v>319</v>
      </c>
      <c r="B168">
        <v>167</v>
      </c>
      <c r="C168" s="1" t="s">
        <v>28</v>
      </c>
      <c r="D168" s="1" t="s">
        <v>31</v>
      </c>
      <c r="E168" s="1" t="s">
        <v>387</v>
      </c>
      <c r="F168" s="1" t="s">
        <v>964</v>
      </c>
      <c r="G168">
        <v>6</v>
      </c>
      <c r="H168">
        <v>30</v>
      </c>
      <c r="I168" s="1" t="s">
        <v>988</v>
      </c>
      <c r="J168" s="1" t="s">
        <v>293</v>
      </c>
      <c r="K168" s="1" t="s">
        <v>49</v>
      </c>
      <c r="L168" s="1" t="s">
        <v>248</v>
      </c>
      <c r="M168" s="1" t="s">
        <v>249</v>
      </c>
      <c r="N168" s="1" t="s">
        <v>29</v>
      </c>
      <c r="O168" s="1" t="s">
        <v>30</v>
      </c>
      <c r="P168">
        <v>78</v>
      </c>
      <c r="Q168">
        <v>78</v>
      </c>
      <c r="R168" s="1" t="s">
        <v>32</v>
      </c>
      <c r="S168">
        <v>29.35</v>
      </c>
      <c r="T168">
        <v>2289.3000000000002</v>
      </c>
      <c r="U168">
        <v>1832.22</v>
      </c>
      <c r="V168" s="1" t="s">
        <v>144</v>
      </c>
      <c r="W168" s="1">
        <f>Sales[[#This Row],[NET_VALUE]]-Sales[[#This Row],[COST]]</f>
        <v>457.08000000000015</v>
      </c>
    </row>
    <row r="169" spans="1:23" x14ac:dyDescent="0.2">
      <c r="A169" s="1" t="s">
        <v>320</v>
      </c>
      <c r="B169">
        <v>168</v>
      </c>
      <c r="C169" s="1" t="s">
        <v>28</v>
      </c>
      <c r="D169" s="1" t="s">
        <v>31</v>
      </c>
      <c r="E169" s="1" t="s">
        <v>387</v>
      </c>
      <c r="F169" s="1" t="s">
        <v>964</v>
      </c>
      <c r="G169">
        <v>6</v>
      </c>
      <c r="H169">
        <v>30</v>
      </c>
      <c r="I169" s="1" t="s">
        <v>988</v>
      </c>
      <c r="J169" s="1" t="s">
        <v>591</v>
      </c>
      <c r="K169" s="1" t="s">
        <v>49</v>
      </c>
      <c r="L169" s="1" t="s">
        <v>248</v>
      </c>
      <c r="M169" s="1" t="s">
        <v>249</v>
      </c>
      <c r="N169" s="1" t="s">
        <v>34</v>
      </c>
      <c r="O169" s="1" t="s">
        <v>35</v>
      </c>
      <c r="P169">
        <v>23</v>
      </c>
      <c r="Q169">
        <v>23</v>
      </c>
      <c r="R169" s="1" t="s">
        <v>32</v>
      </c>
      <c r="S169">
        <v>80.680000000000007</v>
      </c>
      <c r="T169">
        <v>1855.64</v>
      </c>
      <c r="U169">
        <v>1684.98</v>
      </c>
      <c r="V169" s="1" t="s">
        <v>144</v>
      </c>
      <c r="W169" s="1">
        <f>Sales[[#This Row],[NET_VALUE]]-Sales[[#This Row],[COST]]</f>
        <v>170.66000000000008</v>
      </c>
    </row>
    <row r="170" spans="1:23" x14ac:dyDescent="0.2">
      <c r="A170" s="1" t="s">
        <v>325</v>
      </c>
      <c r="B170">
        <v>169</v>
      </c>
      <c r="C170" s="1" t="s">
        <v>28</v>
      </c>
      <c r="D170" s="1" t="s">
        <v>31</v>
      </c>
      <c r="E170" s="1" t="s">
        <v>387</v>
      </c>
      <c r="F170" s="1" t="s">
        <v>964</v>
      </c>
      <c r="G170">
        <v>6</v>
      </c>
      <c r="H170">
        <v>30</v>
      </c>
      <c r="I170" s="1" t="s">
        <v>988</v>
      </c>
      <c r="J170" s="1" t="s">
        <v>247</v>
      </c>
      <c r="K170" s="1" t="s">
        <v>49</v>
      </c>
      <c r="L170" s="1" t="s">
        <v>248</v>
      </c>
      <c r="M170" s="1" t="s">
        <v>249</v>
      </c>
      <c r="N170" s="1" t="s">
        <v>46</v>
      </c>
      <c r="O170" s="1" t="s">
        <v>47</v>
      </c>
      <c r="P170">
        <v>41</v>
      </c>
      <c r="Q170">
        <v>41</v>
      </c>
      <c r="R170" s="1" t="s">
        <v>32</v>
      </c>
      <c r="S170">
        <v>50</v>
      </c>
      <c r="T170">
        <v>2050</v>
      </c>
      <c r="U170">
        <v>1805.23</v>
      </c>
      <c r="V170" s="1" t="s">
        <v>144</v>
      </c>
      <c r="W170" s="1">
        <f>Sales[[#This Row],[NET_VALUE]]-Sales[[#This Row],[COST]]</f>
        <v>244.76999999999998</v>
      </c>
    </row>
    <row r="171" spans="1:23" x14ac:dyDescent="0.2">
      <c r="A171" s="1" t="s">
        <v>328</v>
      </c>
      <c r="B171">
        <v>170</v>
      </c>
      <c r="C171" s="1" t="s">
        <v>28</v>
      </c>
      <c r="D171" s="1" t="s">
        <v>31</v>
      </c>
      <c r="E171" s="1" t="s">
        <v>387</v>
      </c>
      <c r="F171" s="1" t="s">
        <v>964</v>
      </c>
      <c r="G171">
        <v>6</v>
      </c>
      <c r="H171">
        <v>30</v>
      </c>
      <c r="I171" s="1" t="s">
        <v>989</v>
      </c>
      <c r="J171" s="1" t="s">
        <v>247</v>
      </c>
      <c r="K171" s="1" t="s">
        <v>56</v>
      </c>
      <c r="L171" s="1" t="s">
        <v>251</v>
      </c>
      <c r="M171" s="1" t="s">
        <v>249</v>
      </c>
      <c r="N171" s="1" t="s">
        <v>37</v>
      </c>
      <c r="O171" s="1" t="s">
        <v>38</v>
      </c>
      <c r="P171">
        <v>52</v>
      </c>
      <c r="Q171">
        <v>52</v>
      </c>
      <c r="R171" s="1" t="s">
        <v>32</v>
      </c>
      <c r="S171">
        <v>32.76</v>
      </c>
      <c r="T171">
        <v>1703.52</v>
      </c>
      <c r="U171">
        <v>1373.32</v>
      </c>
      <c r="V171" s="1" t="s">
        <v>144</v>
      </c>
      <c r="W171" s="1">
        <f>Sales[[#This Row],[NET_VALUE]]-Sales[[#This Row],[COST]]</f>
        <v>330.20000000000005</v>
      </c>
    </row>
    <row r="172" spans="1:23" x14ac:dyDescent="0.2">
      <c r="A172" s="1" t="s">
        <v>329</v>
      </c>
      <c r="B172">
        <v>171</v>
      </c>
      <c r="C172" s="1" t="s">
        <v>28</v>
      </c>
      <c r="D172" s="1" t="s">
        <v>31</v>
      </c>
      <c r="E172" s="1" t="s">
        <v>387</v>
      </c>
      <c r="F172" s="1" t="s">
        <v>964</v>
      </c>
      <c r="G172">
        <v>6</v>
      </c>
      <c r="H172">
        <v>30</v>
      </c>
      <c r="I172" s="1" t="s">
        <v>990</v>
      </c>
      <c r="J172" s="1" t="s">
        <v>247</v>
      </c>
      <c r="K172" s="1" t="s">
        <v>56</v>
      </c>
      <c r="L172" s="1" t="s">
        <v>251</v>
      </c>
      <c r="M172" s="1" t="s">
        <v>249</v>
      </c>
      <c r="N172" s="1" t="s">
        <v>43</v>
      </c>
      <c r="O172" s="1" t="s">
        <v>44</v>
      </c>
      <c r="P172">
        <v>14</v>
      </c>
      <c r="Q172">
        <v>14</v>
      </c>
      <c r="R172" s="1" t="s">
        <v>32</v>
      </c>
      <c r="S172">
        <v>68.44</v>
      </c>
      <c r="T172">
        <v>958.16</v>
      </c>
      <c r="U172">
        <v>854.84</v>
      </c>
      <c r="V172" s="1" t="s">
        <v>144</v>
      </c>
      <c r="W172" s="1">
        <f>Sales[[#This Row],[NET_VALUE]]-Sales[[#This Row],[COST]]</f>
        <v>103.31999999999994</v>
      </c>
    </row>
    <row r="173" spans="1:23" x14ac:dyDescent="0.2">
      <c r="A173" s="1" t="s">
        <v>330</v>
      </c>
      <c r="B173">
        <v>172</v>
      </c>
      <c r="C173" s="1" t="s">
        <v>28</v>
      </c>
      <c r="D173" s="1" t="s">
        <v>31</v>
      </c>
      <c r="E173" s="1" t="s">
        <v>387</v>
      </c>
      <c r="F173" s="1" t="s">
        <v>964</v>
      </c>
      <c r="G173">
        <v>6</v>
      </c>
      <c r="H173">
        <v>30</v>
      </c>
      <c r="I173" s="1" t="s">
        <v>991</v>
      </c>
      <c r="J173" s="1" t="s">
        <v>291</v>
      </c>
      <c r="K173" s="1" t="s">
        <v>63</v>
      </c>
      <c r="L173" s="1" t="s">
        <v>254</v>
      </c>
      <c r="M173" s="1" t="s">
        <v>249</v>
      </c>
      <c r="N173" s="1" t="s">
        <v>40</v>
      </c>
      <c r="O173" s="1" t="s">
        <v>41</v>
      </c>
      <c r="P173">
        <v>18</v>
      </c>
      <c r="Q173">
        <v>18</v>
      </c>
      <c r="R173" s="1" t="s">
        <v>32</v>
      </c>
      <c r="S173">
        <v>96.4</v>
      </c>
      <c r="T173">
        <v>1735.2</v>
      </c>
      <c r="U173">
        <v>1517.94</v>
      </c>
      <c r="V173" s="1" t="s">
        <v>144</v>
      </c>
      <c r="W173" s="1">
        <f>Sales[[#This Row],[NET_VALUE]]-Sales[[#This Row],[COST]]</f>
        <v>217.26</v>
      </c>
    </row>
    <row r="174" spans="1:23" x14ac:dyDescent="0.2">
      <c r="A174" s="1" t="s">
        <v>331</v>
      </c>
      <c r="B174">
        <v>173</v>
      </c>
      <c r="C174" s="1" t="s">
        <v>28</v>
      </c>
      <c r="D174" s="1" t="s">
        <v>31</v>
      </c>
      <c r="E174" s="1" t="s">
        <v>387</v>
      </c>
      <c r="F174" s="1" t="s">
        <v>964</v>
      </c>
      <c r="G174">
        <v>6</v>
      </c>
      <c r="H174">
        <v>30</v>
      </c>
      <c r="I174" s="1" t="s">
        <v>991</v>
      </c>
      <c r="J174" s="1" t="s">
        <v>247</v>
      </c>
      <c r="K174" s="1" t="s">
        <v>63</v>
      </c>
      <c r="L174" s="1" t="s">
        <v>254</v>
      </c>
      <c r="M174" s="1" t="s">
        <v>249</v>
      </c>
      <c r="N174" s="1" t="s">
        <v>46</v>
      </c>
      <c r="O174" s="1" t="s">
        <v>47</v>
      </c>
      <c r="P174">
        <v>30</v>
      </c>
      <c r="Q174">
        <v>30</v>
      </c>
      <c r="R174" s="1" t="s">
        <v>32</v>
      </c>
      <c r="S174">
        <v>50</v>
      </c>
      <c r="T174">
        <v>1500</v>
      </c>
      <c r="U174">
        <v>1320.9</v>
      </c>
      <c r="V174" s="1" t="s">
        <v>144</v>
      </c>
      <c r="W174" s="1">
        <f>Sales[[#This Row],[NET_VALUE]]-Sales[[#This Row],[COST]]</f>
        <v>179.09999999999991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26BF-E2FA-3248-981B-46AD137991D2}">
  <dimension ref="A1:T31"/>
  <sheetViews>
    <sheetView topLeftCell="L25" workbookViewId="0">
      <selection activeCell="Q61" sqref="Q61"/>
    </sheetView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3.6640625" bestFit="1" customWidth="1"/>
    <col min="10" max="10" width="24.83203125" bestFit="1" customWidth="1"/>
    <col min="11" max="11" width="14.1640625" bestFit="1" customWidth="1"/>
    <col min="12" max="12" width="21.83203125" bestFit="1" customWidth="1"/>
    <col min="13" max="13" width="9.6640625" bestFit="1" customWidth="1"/>
    <col min="14" max="14" width="25.1640625" bestFit="1" customWidth="1"/>
    <col min="15" max="15" width="16.83203125" bestFit="1" customWidth="1"/>
    <col min="16" max="16" width="17" bestFit="1" customWidth="1"/>
    <col min="17" max="17" width="26.6640625" bestFit="1" customWidth="1"/>
    <col min="18" max="18" width="24.6640625" bestFit="1" customWidth="1"/>
    <col min="19" max="19" width="23.1640625" bestFit="1" customWidth="1"/>
    <col min="20" max="20" width="13.1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27</v>
      </c>
      <c r="B2">
        <v>1</v>
      </c>
      <c r="C2" s="1" t="s">
        <v>28</v>
      </c>
      <c r="D2" s="1" t="s">
        <v>81</v>
      </c>
      <c r="E2" s="1" t="s">
        <v>81</v>
      </c>
      <c r="F2" s="1" t="s">
        <v>82</v>
      </c>
      <c r="G2">
        <v>1</v>
      </c>
      <c r="H2">
        <v>1</v>
      </c>
      <c r="I2">
        <v>250000</v>
      </c>
      <c r="J2">
        <v>0</v>
      </c>
      <c r="K2">
        <v>0</v>
      </c>
      <c r="L2">
        <v>0</v>
      </c>
      <c r="M2">
        <v>0</v>
      </c>
      <c r="N2">
        <v>0</v>
      </c>
      <c r="O2">
        <v>250000</v>
      </c>
      <c r="P2" s="1" t="s">
        <v>154</v>
      </c>
      <c r="Q2">
        <v>3</v>
      </c>
      <c r="R2">
        <v>7</v>
      </c>
      <c r="S2">
        <v>0</v>
      </c>
      <c r="T2" s="1" t="s">
        <v>144</v>
      </c>
    </row>
    <row r="3" spans="1:20" x14ac:dyDescent="0.2">
      <c r="A3" s="1" t="s">
        <v>33</v>
      </c>
      <c r="B3">
        <v>2</v>
      </c>
      <c r="C3" s="1" t="s">
        <v>28</v>
      </c>
      <c r="D3" s="1" t="s">
        <v>81</v>
      </c>
      <c r="E3" s="1" t="s">
        <v>112</v>
      </c>
      <c r="F3" s="1" t="s">
        <v>113</v>
      </c>
      <c r="G3">
        <v>1</v>
      </c>
      <c r="H3">
        <v>2</v>
      </c>
      <c r="I3">
        <v>250000</v>
      </c>
      <c r="J3">
        <v>0</v>
      </c>
      <c r="K3">
        <v>0</v>
      </c>
      <c r="L3">
        <v>0</v>
      </c>
      <c r="M3">
        <v>0</v>
      </c>
      <c r="N3">
        <v>0</v>
      </c>
      <c r="O3">
        <v>250000</v>
      </c>
      <c r="P3" s="1" t="s">
        <v>154</v>
      </c>
      <c r="Q3">
        <v>3</v>
      </c>
      <c r="R3">
        <v>7</v>
      </c>
      <c r="S3">
        <v>0</v>
      </c>
      <c r="T3" s="1" t="s">
        <v>144</v>
      </c>
    </row>
    <row r="4" spans="1:20" x14ac:dyDescent="0.2">
      <c r="A4" s="1" t="s">
        <v>36</v>
      </c>
      <c r="B4">
        <v>3</v>
      </c>
      <c r="C4" s="1" t="s">
        <v>28</v>
      </c>
      <c r="D4" s="1" t="s">
        <v>81</v>
      </c>
      <c r="E4" s="1" t="s">
        <v>31</v>
      </c>
      <c r="F4" s="1" t="s">
        <v>156</v>
      </c>
      <c r="G4">
        <v>1</v>
      </c>
      <c r="H4">
        <v>3</v>
      </c>
      <c r="I4">
        <v>250000</v>
      </c>
      <c r="J4">
        <v>0</v>
      </c>
      <c r="K4">
        <v>0</v>
      </c>
      <c r="L4">
        <v>-165409.28</v>
      </c>
      <c r="M4">
        <v>0</v>
      </c>
      <c r="N4">
        <v>0</v>
      </c>
      <c r="O4">
        <v>84590.720000000001</v>
      </c>
      <c r="P4" s="1" t="s">
        <v>154</v>
      </c>
      <c r="Q4">
        <v>3</v>
      </c>
      <c r="R4">
        <v>7</v>
      </c>
      <c r="S4">
        <v>0</v>
      </c>
      <c r="T4" s="1" t="s">
        <v>144</v>
      </c>
    </row>
    <row r="5" spans="1:20" x14ac:dyDescent="0.2">
      <c r="A5" s="1" t="s">
        <v>39</v>
      </c>
      <c r="B5">
        <v>4</v>
      </c>
      <c r="C5" s="1" t="s">
        <v>28</v>
      </c>
      <c r="D5" s="1" t="s">
        <v>81</v>
      </c>
      <c r="E5" s="1" t="s">
        <v>181</v>
      </c>
      <c r="F5" s="1" t="s">
        <v>182</v>
      </c>
      <c r="G5">
        <v>1</v>
      </c>
      <c r="H5">
        <v>4</v>
      </c>
      <c r="I5">
        <v>249700</v>
      </c>
      <c r="J5">
        <v>0</v>
      </c>
      <c r="K5">
        <v>0</v>
      </c>
      <c r="L5">
        <v>-165409.28</v>
      </c>
      <c r="M5">
        <v>-300</v>
      </c>
      <c r="N5">
        <v>0</v>
      </c>
      <c r="O5">
        <v>84290.72</v>
      </c>
      <c r="P5" s="1" t="s">
        <v>154</v>
      </c>
      <c r="Q5">
        <v>3</v>
      </c>
      <c r="R5">
        <v>7</v>
      </c>
      <c r="S5">
        <v>-60000</v>
      </c>
      <c r="T5" s="1" t="s">
        <v>144</v>
      </c>
    </row>
    <row r="6" spans="1:20" x14ac:dyDescent="0.2">
      <c r="A6" s="1" t="s">
        <v>42</v>
      </c>
      <c r="B6">
        <v>5</v>
      </c>
      <c r="C6" s="1" t="s">
        <v>28</v>
      </c>
      <c r="D6" s="1" t="s">
        <v>81</v>
      </c>
      <c r="E6" s="1" t="s">
        <v>207</v>
      </c>
      <c r="F6" s="1" t="s">
        <v>208</v>
      </c>
      <c r="G6">
        <v>1</v>
      </c>
      <c r="H6">
        <v>5</v>
      </c>
      <c r="I6">
        <v>249700</v>
      </c>
      <c r="J6">
        <v>7873.92</v>
      </c>
      <c r="K6">
        <v>0</v>
      </c>
      <c r="L6">
        <v>-165409.28</v>
      </c>
      <c r="M6">
        <v>1354.06</v>
      </c>
      <c r="N6">
        <v>0</v>
      </c>
      <c r="O6">
        <v>92164.64</v>
      </c>
      <c r="P6" s="1" t="s">
        <v>154</v>
      </c>
      <c r="Q6">
        <v>3</v>
      </c>
      <c r="R6">
        <v>7</v>
      </c>
      <c r="S6">
        <v>216649.60000000001</v>
      </c>
      <c r="T6" s="1" t="s">
        <v>144</v>
      </c>
    </row>
    <row r="7" spans="1:20" x14ac:dyDescent="0.2">
      <c r="A7" s="1" t="s">
        <v>45</v>
      </c>
      <c r="B7">
        <v>6</v>
      </c>
      <c r="C7" s="1" t="s">
        <v>28</v>
      </c>
      <c r="D7" s="1" t="s">
        <v>81</v>
      </c>
      <c r="E7" s="1" t="s">
        <v>256</v>
      </c>
      <c r="F7" s="1" t="s">
        <v>257</v>
      </c>
      <c r="G7">
        <v>2</v>
      </c>
      <c r="H7">
        <v>6</v>
      </c>
      <c r="I7">
        <v>249400</v>
      </c>
      <c r="J7">
        <v>15096.36</v>
      </c>
      <c r="K7">
        <v>0</v>
      </c>
      <c r="L7">
        <v>-166715.85999999999</v>
      </c>
      <c r="M7">
        <v>2527.4299999999998</v>
      </c>
      <c r="N7">
        <v>0</v>
      </c>
      <c r="O7">
        <v>97780.5</v>
      </c>
      <c r="P7" s="1" t="s">
        <v>154</v>
      </c>
      <c r="Q7">
        <v>3</v>
      </c>
      <c r="R7">
        <v>7</v>
      </c>
      <c r="S7">
        <v>336990.67</v>
      </c>
      <c r="T7" s="1" t="s">
        <v>144</v>
      </c>
    </row>
    <row r="8" spans="1:20" x14ac:dyDescent="0.2">
      <c r="A8" s="1" t="s">
        <v>48</v>
      </c>
      <c r="B8">
        <v>7</v>
      </c>
      <c r="C8" s="1" t="s">
        <v>28</v>
      </c>
      <c r="D8" s="1" t="s">
        <v>81</v>
      </c>
      <c r="E8" s="1" t="s">
        <v>296</v>
      </c>
      <c r="F8" s="1" t="s">
        <v>297</v>
      </c>
      <c r="G8">
        <v>2</v>
      </c>
      <c r="H8">
        <v>7</v>
      </c>
      <c r="I8">
        <v>249100</v>
      </c>
      <c r="J8">
        <v>24707.59</v>
      </c>
      <c r="K8">
        <v>0</v>
      </c>
      <c r="L8">
        <v>-173898.11</v>
      </c>
      <c r="M8">
        <v>4081.59</v>
      </c>
      <c r="N8">
        <v>0</v>
      </c>
      <c r="O8">
        <v>99909.48</v>
      </c>
      <c r="P8" s="1" t="s">
        <v>154</v>
      </c>
      <c r="Q8">
        <v>3</v>
      </c>
      <c r="R8">
        <v>7</v>
      </c>
      <c r="S8">
        <v>466467.43</v>
      </c>
      <c r="T8" s="1" t="s">
        <v>144</v>
      </c>
    </row>
    <row r="9" spans="1:20" x14ac:dyDescent="0.2">
      <c r="A9" s="1" t="s">
        <v>50</v>
      </c>
      <c r="B9">
        <v>8</v>
      </c>
      <c r="C9" s="1" t="s">
        <v>28</v>
      </c>
      <c r="D9" s="1" t="s">
        <v>81</v>
      </c>
      <c r="E9" s="1" t="s">
        <v>326</v>
      </c>
      <c r="F9" s="1" t="s">
        <v>327</v>
      </c>
      <c r="G9">
        <v>2</v>
      </c>
      <c r="H9">
        <v>8</v>
      </c>
      <c r="I9">
        <v>83390.720000000001</v>
      </c>
      <c r="J9">
        <v>38201.03</v>
      </c>
      <c r="K9">
        <v>0</v>
      </c>
      <c r="L9">
        <v>-8488.83</v>
      </c>
      <c r="M9">
        <v>6342.9</v>
      </c>
      <c r="N9">
        <v>0</v>
      </c>
      <c r="O9">
        <v>113102.92</v>
      </c>
      <c r="P9" s="1" t="s">
        <v>154</v>
      </c>
      <c r="Q9">
        <v>3</v>
      </c>
      <c r="R9">
        <v>7</v>
      </c>
      <c r="S9">
        <v>634290</v>
      </c>
      <c r="T9" s="1" t="s">
        <v>144</v>
      </c>
    </row>
    <row r="10" spans="1:20" x14ac:dyDescent="0.2">
      <c r="A10" s="1" t="s">
        <v>51</v>
      </c>
      <c r="B10">
        <v>9</v>
      </c>
      <c r="C10" s="1" t="s">
        <v>28</v>
      </c>
      <c r="D10" s="1" t="s">
        <v>81</v>
      </c>
      <c r="E10" s="1" t="s">
        <v>357</v>
      </c>
      <c r="F10" s="1" t="s">
        <v>358</v>
      </c>
      <c r="G10">
        <v>2</v>
      </c>
      <c r="H10">
        <v>9</v>
      </c>
      <c r="I10">
        <v>90964.64</v>
      </c>
      <c r="J10">
        <v>43920.71</v>
      </c>
      <c r="K10">
        <v>0</v>
      </c>
      <c r="L10">
        <v>-8488.83</v>
      </c>
      <c r="M10">
        <v>8559.84</v>
      </c>
      <c r="N10">
        <v>0</v>
      </c>
      <c r="O10">
        <v>126396.52</v>
      </c>
      <c r="P10" s="1" t="s">
        <v>154</v>
      </c>
      <c r="Q10">
        <v>3</v>
      </c>
      <c r="R10">
        <v>7</v>
      </c>
      <c r="S10">
        <v>760874.67</v>
      </c>
      <c r="T10" s="1" t="s">
        <v>144</v>
      </c>
    </row>
    <row r="11" spans="1:20" x14ac:dyDescent="0.2">
      <c r="A11" s="1" t="s">
        <v>52</v>
      </c>
      <c r="B11">
        <v>10</v>
      </c>
      <c r="C11" s="1" t="s">
        <v>28</v>
      </c>
      <c r="D11" s="1" t="s">
        <v>81</v>
      </c>
      <c r="E11" s="1" t="s">
        <v>387</v>
      </c>
      <c r="F11" s="1" t="s">
        <v>388</v>
      </c>
      <c r="G11">
        <v>2</v>
      </c>
      <c r="H11">
        <v>10</v>
      </c>
      <c r="I11">
        <v>97887.08</v>
      </c>
      <c r="J11">
        <v>38745.65</v>
      </c>
      <c r="K11">
        <v>0</v>
      </c>
      <c r="L11">
        <v>-8488.83</v>
      </c>
      <c r="M11">
        <v>8555.91</v>
      </c>
      <c r="N11">
        <v>0</v>
      </c>
      <c r="O11">
        <v>128143.9</v>
      </c>
      <c r="P11" s="1" t="s">
        <v>154</v>
      </c>
      <c r="Q11">
        <v>3</v>
      </c>
      <c r="R11">
        <v>7</v>
      </c>
      <c r="S11">
        <v>684472.8</v>
      </c>
      <c r="T11" s="1" t="s">
        <v>144</v>
      </c>
    </row>
    <row r="12" spans="1:20" x14ac:dyDescent="0.2">
      <c r="A12" s="1" t="s">
        <v>53</v>
      </c>
      <c r="B12">
        <v>11</v>
      </c>
      <c r="C12" s="1" t="s">
        <v>28</v>
      </c>
      <c r="D12" s="1" t="s">
        <v>112</v>
      </c>
      <c r="E12" s="1" t="s">
        <v>81</v>
      </c>
      <c r="F12" s="1" t="s">
        <v>414</v>
      </c>
      <c r="G12">
        <v>3</v>
      </c>
      <c r="H12">
        <v>11</v>
      </c>
      <c r="I12">
        <v>105891.73</v>
      </c>
      <c r="J12">
        <v>37977.599999999999</v>
      </c>
      <c r="K12">
        <v>0</v>
      </c>
      <c r="L12">
        <v>-7182.25</v>
      </c>
      <c r="M12">
        <v>9861.15</v>
      </c>
      <c r="N12">
        <v>0</v>
      </c>
      <c r="O12">
        <v>136687.07999999999</v>
      </c>
      <c r="P12" s="1" t="s">
        <v>154</v>
      </c>
      <c r="Q12">
        <v>3</v>
      </c>
      <c r="R12">
        <v>7</v>
      </c>
      <c r="S12">
        <v>717174.55</v>
      </c>
      <c r="T12" s="1" t="s">
        <v>144</v>
      </c>
    </row>
    <row r="13" spans="1:20" x14ac:dyDescent="0.2">
      <c r="A13" s="1" t="s">
        <v>54</v>
      </c>
      <c r="B13">
        <v>12</v>
      </c>
      <c r="C13" s="1" t="s">
        <v>28</v>
      </c>
      <c r="D13" s="1" t="s">
        <v>112</v>
      </c>
      <c r="E13" s="1" t="s">
        <v>112</v>
      </c>
      <c r="F13" s="1" t="s">
        <v>444</v>
      </c>
      <c r="G13">
        <v>3</v>
      </c>
      <c r="H13">
        <v>12</v>
      </c>
      <c r="I13">
        <v>111902.92</v>
      </c>
      <c r="J13">
        <v>32022.83</v>
      </c>
      <c r="K13">
        <v>0</v>
      </c>
      <c r="L13">
        <v>-37555.43</v>
      </c>
      <c r="M13">
        <v>10647.3</v>
      </c>
      <c r="N13">
        <v>0</v>
      </c>
      <c r="O13">
        <v>106370.32</v>
      </c>
      <c r="P13" s="1" t="s">
        <v>154</v>
      </c>
      <c r="Q13">
        <v>3</v>
      </c>
      <c r="R13">
        <v>7</v>
      </c>
      <c r="S13">
        <v>709820</v>
      </c>
      <c r="T13" s="1" t="s">
        <v>144</v>
      </c>
    </row>
    <row r="14" spans="1:20" x14ac:dyDescent="0.2">
      <c r="A14" s="1" t="s">
        <v>55</v>
      </c>
      <c r="B14">
        <v>13</v>
      </c>
      <c r="C14" s="1" t="s">
        <v>28</v>
      </c>
      <c r="D14" s="1" t="s">
        <v>112</v>
      </c>
      <c r="E14" s="1" t="s">
        <v>31</v>
      </c>
      <c r="F14" s="1" t="s">
        <v>473</v>
      </c>
      <c r="G14">
        <v>3</v>
      </c>
      <c r="H14">
        <v>13</v>
      </c>
      <c r="I14">
        <v>125296.52</v>
      </c>
      <c r="J14">
        <v>36186.080000000002</v>
      </c>
      <c r="K14">
        <v>0</v>
      </c>
      <c r="L14">
        <v>-37555.43</v>
      </c>
      <c r="M14">
        <v>13707.97</v>
      </c>
      <c r="N14">
        <v>0</v>
      </c>
      <c r="O14">
        <v>123927.17</v>
      </c>
      <c r="P14" s="1" t="s">
        <v>154</v>
      </c>
      <c r="Q14">
        <v>3</v>
      </c>
      <c r="R14">
        <v>7</v>
      </c>
      <c r="S14">
        <v>843567.38</v>
      </c>
      <c r="T14" s="1" t="s">
        <v>144</v>
      </c>
    </row>
    <row r="15" spans="1:20" x14ac:dyDescent="0.2">
      <c r="A15" s="1" t="s">
        <v>57</v>
      </c>
      <c r="B15">
        <v>14</v>
      </c>
      <c r="C15" s="1" t="s">
        <v>28</v>
      </c>
      <c r="D15" s="1" t="s">
        <v>112</v>
      </c>
      <c r="E15" s="1" t="s">
        <v>181</v>
      </c>
      <c r="F15" s="1" t="s">
        <v>478</v>
      </c>
      <c r="G15">
        <v>3</v>
      </c>
      <c r="H15">
        <v>14</v>
      </c>
      <c r="I15">
        <v>127043.9</v>
      </c>
      <c r="J15">
        <v>48993.47</v>
      </c>
      <c r="K15">
        <v>0</v>
      </c>
      <c r="L15">
        <v>-37555.43</v>
      </c>
      <c r="M15">
        <v>15540.53</v>
      </c>
      <c r="N15">
        <v>0</v>
      </c>
      <c r="O15">
        <v>138481.94</v>
      </c>
      <c r="P15" s="1" t="s">
        <v>154</v>
      </c>
      <c r="Q15">
        <v>3</v>
      </c>
      <c r="R15">
        <v>7</v>
      </c>
      <c r="S15">
        <v>888030.29</v>
      </c>
      <c r="T15" s="1" t="s">
        <v>144</v>
      </c>
    </row>
    <row r="16" spans="1:20" x14ac:dyDescent="0.2">
      <c r="A16" s="1" t="s">
        <v>58</v>
      </c>
      <c r="B16">
        <v>15</v>
      </c>
      <c r="C16" s="1" t="s">
        <v>28</v>
      </c>
      <c r="D16" s="1" t="s">
        <v>112</v>
      </c>
      <c r="E16" s="1" t="s">
        <v>207</v>
      </c>
      <c r="F16" s="1" t="s">
        <v>485</v>
      </c>
      <c r="G16">
        <v>3</v>
      </c>
      <c r="H16">
        <v>15</v>
      </c>
      <c r="I16">
        <v>135587.07999999999</v>
      </c>
      <c r="J16">
        <v>57307.64</v>
      </c>
      <c r="K16">
        <v>0</v>
      </c>
      <c r="L16">
        <v>-37555.43</v>
      </c>
      <c r="M16">
        <v>17849.78</v>
      </c>
      <c r="N16">
        <v>0</v>
      </c>
      <c r="O16">
        <v>155339.29</v>
      </c>
      <c r="P16" s="1" t="s">
        <v>154</v>
      </c>
      <c r="Q16">
        <v>3</v>
      </c>
      <c r="R16">
        <v>7</v>
      </c>
      <c r="S16">
        <v>951988.27</v>
      </c>
      <c r="T16" s="1" t="s">
        <v>144</v>
      </c>
    </row>
    <row r="17" spans="1:20" x14ac:dyDescent="0.2">
      <c r="A17" s="1" t="s">
        <v>59</v>
      </c>
      <c r="B17">
        <v>16</v>
      </c>
      <c r="C17" s="1" t="s">
        <v>28</v>
      </c>
      <c r="D17" s="1" t="s">
        <v>112</v>
      </c>
      <c r="E17" s="1" t="s">
        <v>256</v>
      </c>
      <c r="F17" s="1" t="s">
        <v>564</v>
      </c>
      <c r="G17">
        <v>4</v>
      </c>
      <c r="H17">
        <v>16</v>
      </c>
      <c r="I17">
        <v>142825.75</v>
      </c>
      <c r="J17">
        <v>66931.69</v>
      </c>
      <c r="K17">
        <v>0</v>
      </c>
      <c r="L17">
        <v>-78597.679999999993</v>
      </c>
      <c r="M17">
        <v>20300.38</v>
      </c>
      <c r="N17">
        <v>0</v>
      </c>
      <c r="O17">
        <v>131159.76</v>
      </c>
      <c r="P17" s="1" t="s">
        <v>154</v>
      </c>
      <c r="Q17">
        <v>3</v>
      </c>
      <c r="R17">
        <v>7</v>
      </c>
      <c r="S17">
        <v>1015019</v>
      </c>
      <c r="T17" s="1" t="s">
        <v>144</v>
      </c>
    </row>
    <row r="18" spans="1:20" x14ac:dyDescent="0.2">
      <c r="A18" s="1" t="s">
        <v>60</v>
      </c>
      <c r="B18">
        <v>17</v>
      </c>
      <c r="C18" s="1" t="s">
        <v>28</v>
      </c>
      <c r="D18" s="1" t="s">
        <v>112</v>
      </c>
      <c r="E18" s="1" t="s">
        <v>296</v>
      </c>
      <c r="F18" s="1" t="s">
        <v>594</v>
      </c>
      <c r="G18">
        <v>4</v>
      </c>
      <c r="H18">
        <v>17</v>
      </c>
      <c r="I18">
        <v>122827.17</v>
      </c>
      <c r="J18">
        <v>57275.12</v>
      </c>
      <c r="K18">
        <v>0</v>
      </c>
      <c r="L18">
        <v>-41042.25</v>
      </c>
      <c r="M18">
        <v>21304.39</v>
      </c>
      <c r="N18">
        <v>0</v>
      </c>
      <c r="O18">
        <v>139060.04</v>
      </c>
      <c r="P18" s="1" t="s">
        <v>154</v>
      </c>
      <c r="Q18">
        <v>3</v>
      </c>
      <c r="R18">
        <v>7</v>
      </c>
      <c r="S18">
        <v>1002559.53</v>
      </c>
      <c r="T18" s="1" t="s">
        <v>144</v>
      </c>
    </row>
    <row r="19" spans="1:20" x14ac:dyDescent="0.2">
      <c r="A19" s="1" t="s">
        <v>61</v>
      </c>
      <c r="B19">
        <v>18</v>
      </c>
      <c r="C19" s="1" t="s">
        <v>28</v>
      </c>
      <c r="D19" s="1" t="s">
        <v>112</v>
      </c>
      <c r="E19" s="1" t="s">
        <v>326</v>
      </c>
      <c r="F19" s="1" t="s">
        <v>621</v>
      </c>
      <c r="G19">
        <v>4</v>
      </c>
      <c r="H19">
        <v>18</v>
      </c>
      <c r="I19">
        <v>137481.94</v>
      </c>
      <c r="J19">
        <v>60531.85</v>
      </c>
      <c r="K19">
        <v>0</v>
      </c>
      <c r="L19">
        <v>-41042.25</v>
      </c>
      <c r="M19">
        <v>24163.87</v>
      </c>
      <c r="N19">
        <v>0</v>
      </c>
      <c r="O19">
        <v>156971.54</v>
      </c>
      <c r="P19" s="1" t="s">
        <v>154</v>
      </c>
      <c r="Q19">
        <v>3</v>
      </c>
      <c r="R19">
        <v>7</v>
      </c>
      <c r="S19">
        <v>1073949.78</v>
      </c>
      <c r="T19" s="1" t="s">
        <v>144</v>
      </c>
    </row>
    <row r="20" spans="1:20" x14ac:dyDescent="0.2">
      <c r="A20" s="1" t="s">
        <v>62</v>
      </c>
      <c r="B20">
        <v>19</v>
      </c>
      <c r="C20" s="1" t="s">
        <v>28</v>
      </c>
      <c r="D20" s="1" t="s">
        <v>112</v>
      </c>
      <c r="E20" s="1" t="s">
        <v>357</v>
      </c>
      <c r="F20" s="1" t="s">
        <v>651</v>
      </c>
      <c r="G20">
        <v>4</v>
      </c>
      <c r="H20">
        <v>19</v>
      </c>
      <c r="I20">
        <v>154339.29</v>
      </c>
      <c r="J20">
        <v>55719.06</v>
      </c>
      <c r="K20">
        <v>0</v>
      </c>
      <c r="L20">
        <v>-41042.25</v>
      </c>
      <c r="M20">
        <v>25735.62</v>
      </c>
      <c r="N20">
        <v>0</v>
      </c>
      <c r="O20">
        <v>169016.1</v>
      </c>
      <c r="P20" s="1" t="s">
        <v>154</v>
      </c>
      <c r="Q20">
        <v>3</v>
      </c>
      <c r="R20">
        <v>7</v>
      </c>
      <c r="S20">
        <v>1083605.05</v>
      </c>
      <c r="T20" s="1" t="s">
        <v>144</v>
      </c>
    </row>
    <row r="21" spans="1:20" x14ac:dyDescent="0.2">
      <c r="A21" s="1" t="s">
        <v>64</v>
      </c>
      <c r="B21">
        <v>20</v>
      </c>
      <c r="C21" s="1" t="s">
        <v>28</v>
      </c>
      <c r="D21" s="1" t="s">
        <v>112</v>
      </c>
      <c r="E21" s="1" t="s">
        <v>387</v>
      </c>
      <c r="F21" s="1" t="s">
        <v>682</v>
      </c>
      <c r="G21">
        <v>4</v>
      </c>
      <c r="H21">
        <v>20</v>
      </c>
      <c r="I21">
        <v>171202.01</v>
      </c>
      <c r="J21">
        <v>40943.730000000003</v>
      </c>
      <c r="K21">
        <v>0</v>
      </c>
      <c r="L21">
        <v>-41042.25</v>
      </c>
      <c r="M21">
        <v>25930.36</v>
      </c>
      <c r="N21">
        <v>0</v>
      </c>
      <c r="O21">
        <v>171103.49</v>
      </c>
      <c r="P21" s="1" t="s">
        <v>154</v>
      </c>
      <c r="Q21">
        <v>3</v>
      </c>
      <c r="R21">
        <v>7</v>
      </c>
      <c r="S21">
        <v>1037214.4</v>
      </c>
      <c r="T21" s="1" t="s">
        <v>144</v>
      </c>
    </row>
    <row r="22" spans="1:20" x14ac:dyDescent="0.2">
      <c r="A22" s="1" t="s">
        <v>65</v>
      </c>
      <c r="B22">
        <v>21</v>
      </c>
      <c r="C22" s="1" t="s">
        <v>28</v>
      </c>
      <c r="D22" s="1" t="s">
        <v>31</v>
      </c>
      <c r="E22" s="1" t="s">
        <v>81</v>
      </c>
      <c r="F22" s="1" t="s">
        <v>709</v>
      </c>
      <c r="G22">
        <v>5</v>
      </c>
      <c r="H22">
        <v>21</v>
      </c>
      <c r="I22">
        <v>137960.04</v>
      </c>
      <c r="J22">
        <v>37319.17</v>
      </c>
      <c r="K22">
        <v>0</v>
      </c>
      <c r="L22">
        <v>0</v>
      </c>
      <c r="M22">
        <v>26149.69</v>
      </c>
      <c r="N22">
        <v>0</v>
      </c>
      <c r="O22">
        <v>175279.21</v>
      </c>
      <c r="P22" s="1" t="s">
        <v>154</v>
      </c>
      <c r="Q22">
        <v>3</v>
      </c>
      <c r="R22">
        <v>7</v>
      </c>
      <c r="S22">
        <v>996178.67</v>
      </c>
      <c r="T22" s="1" t="s">
        <v>144</v>
      </c>
    </row>
    <row r="23" spans="1:20" x14ac:dyDescent="0.2">
      <c r="A23" s="1" t="s">
        <v>66</v>
      </c>
      <c r="B23">
        <v>22</v>
      </c>
      <c r="C23" s="1" t="s">
        <v>28</v>
      </c>
      <c r="D23" s="1" t="s">
        <v>31</v>
      </c>
      <c r="E23" s="1" t="s">
        <v>112</v>
      </c>
      <c r="F23" s="1" t="s">
        <v>736</v>
      </c>
      <c r="G23">
        <v>5</v>
      </c>
      <c r="H23">
        <v>22</v>
      </c>
      <c r="I23">
        <v>155871.54</v>
      </c>
      <c r="J23">
        <v>24819.06</v>
      </c>
      <c r="K23">
        <v>0</v>
      </c>
      <c r="L23">
        <v>-61112.63</v>
      </c>
      <c r="M23">
        <v>26694.87</v>
      </c>
      <c r="N23">
        <v>0</v>
      </c>
      <c r="O23">
        <v>119577.97</v>
      </c>
      <c r="P23" s="1" t="s">
        <v>154</v>
      </c>
      <c r="Q23">
        <v>3</v>
      </c>
      <c r="R23">
        <v>7</v>
      </c>
      <c r="S23">
        <v>970722.55</v>
      </c>
      <c r="T23" s="1" t="s">
        <v>144</v>
      </c>
    </row>
    <row r="24" spans="1:20" x14ac:dyDescent="0.2">
      <c r="A24" s="1" t="s">
        <v>67</v>
      </c>
      <c r="B24">
        <v>23</v>
      </c>
      <c r="C24" s="1" t="s">
        <v>28</v>
      </c>
      <c r="D24" s="1" t="s">
        <v>31</v>
      </c>
      <c r="E24" s="1" t="s">
        <v>31</v>
      </c>
      <c r="F24" s="1" t="s">
        <v>764</v>
      </c>
      <c r="G24">
        <v>5</v>
      </c>
      <c r="H24">
        <v>23</v>
      </c>
      <c r="I24">
        <v>168016.1</v>
      </c>
      <c r="J24">
        <v>23716.74</v>
      </c>
      <c r="K24">
        <v>0</v>
      </c>
      <c r="L24">
        <v>-61112.63</v>
      </c>
      <c r="M24">
        <v>28496.31</v>
      </c>
      <c r="N24">
        <v>0</v>
      </c>
      <c r="O24">
        <v>130620.21</v>
      </c>
      <c r="P24" s="1" t="s">
        <v>154</v>
      </c>
      <c r="Q24">
        <v>3</v>
      </c>
      <c r="R24">
        <v>7</v>
      </c>
      <c r="S24">
        <v>991176</v>
      </c>
      <c r="T24" s="1" t="s">
        <v>144</v>
      </c>
    </row>
    <row r="25" spans="1:20" x14ac:dyDescent="0.2">
      <c r="A25" s="1" t="s">
        <v>68</v>
      </c>
      <c r="B25">
        <v>24</v>
      </c>
      <c r="C25" s="1" t="s">
        <v>28</v>
      </c>
      <c r="D25" s="1" t="s">
        <v>31</v>
      </c>
      <c r="E25" s="1" t="s">
        <v>181</v>
      </c>
      <c r="F25" s="1" t="s">
        <v>791</v>
      </c>
      <c r="G25">
        <v>5</v>
      </c>
      <c r="H25">
        <v>24</v>
      </c>
      <c r="I25">
        <v>170203.49</v>
      </c>
      <c r="J25">
        <v>39901.68</v>
      </c>
      <c r="K25">
        <v>0</v>
      </c>
      <c r="L25">
        <v>-61112.63</v>
      </c>
      <c r="M25">
        <v>31105.66</v>
      </c>
      <c r="N25">
        <v>0</v>
      </c>
      <c r="O25">
        <v>148992.54</v>
      </c>
      <c r="P25" s="1" t="s">
        <v>154</v>
      </c>
      <c r="Q25">
        <v>3</v>
      </c>
      <c r="R25">
        <v>7</v>
      </c>
      <c r="S25">
        <v>1036855.33</v>
      </c>
      <c r="T25" s="1" t="s">
        <v>144</v>
      </c>
    </row>
    <row r="26" spans="1:20" x14ac:dyDescent="0.2">
      <c r="A26" s="1" t="s">
        <v>111</v>
      </c>
      <c r="B26">
        <v>25</v>
      </c>
      <c r="C26" s="1" t="s">
        <v>28</v>
      </c>
      <c r="D26" s="1" t="s">
        <v>31</v>
      </c>
      <c r="E26" s="1" t="s">
        <v>207</v>
      </c>
      <c r="F26" s="1" t="s">
        <v>822</v>
      </c>
      <c r="G26">
        <v>5</v>
      </c>
      <c r="H26">
        <v>25</v>
      </c>
      <c r="I26">
        <v>174379.21</v>
      </c>
      <c r="J26">
        <v>44326.49</v>
      </c>
      <c r="K26">
        <v>0</v>
      </c>
      <c r="L26">
        <v>-61112.63</v>
      </c>
      <c r="M26">
        <v>31800.35</v>
      </c>
      <c r="N26">
        <v>0</v>
      </c>
      <c r="O26">
        <v>157593.07</v>
      </c>
      <c r="P26" s="1" t="s">
        <v>154</v>
      </c>
      <c r="Q26">
        <v>3</v>
      </c>
      <c r="R26">
        <v>7</v>
      </c>
      <c r="S26">
        <v>1017611.2</v>
      </c>
      <c r="T26" s="1" t="s">
        <v>144</v>
      </c>
    </row>
    <row r="27" spans="1:20" x14ac:dyDescent="0.2">
      <c r="A27" s="1" t="s">
        <v>114</v>
      </c>
      <c r="B27">
        <v>26</v>
      </c>
      <c r="C27" s="1" t="s">
        <v>28</v>
      </c>
      <c r="D27" s="1" t="s">
        <v>31</v>
      </c>
      <c r="E27" s="1" t="s">
        <v>256</v>
      </c>
      <c r="F27" s="1" t="s">
        <v>851</v>
      </c>
      <c r="G27">
        <v>6</v>
      </c>
      <c r="H27">
        <v>26</v>
      </c>
      <c r="I27">
        <v>179690.6</v>
      </c>
      <c r="J27">
        <v>45565.57</v>
      </c>
      <c r="K27">
        <v>0</v>
      </c>
      <c r="L27">
        <v>-61112.63</v>
      </c>
      <c r="M27">
        <v>32687.11</v>
      </c>
      <c r="N27">
        <v>0</v>
      </c>
      <c r="O27">
        <v>164143.54</v>
      </c>
      <c r="P27" s="1" t="s">
        <v>154</v>
      </c>
      <c r="Q27">
        <v>3</v>
      </c>
      <c r="R27">
        <v>7</v>
      </c>
      <c r="S27">
        <v>1005757.23</v>
      </c>
      <c r="T27" s="1" t="s">
        <v>144</v>
      </c>
    </row>
    <row r="28" spans="1:20" x14ac:dyDescent="0.2">
      <c r="A28" s="1" t="s">
        <v>115</v>
      </c>
      <c r="B28">
        <v>27</v>
      </c>
      <c r="C28" s="1" t="s">
        <v>28</v>
      </c>
      <c r="D28" s="1" t="s">
        <v>31</v>
      </c>
      <c r="E28" s="1" t="s">
        <v>296</v>
      </c>
      <c r="F28" s="1" t="s">
        <v>879</v>
      </c>
      <c r="G28">
        <v>6</v>
      </c>
      <c r="H28">
        <v>27</v>
      </c>
      <c r="I28">
        <v>129620.21</v>
      </c>
      <c r="J28">
        <v>49328.480000000003</v>
      </c>
      <c r="K28">
        <v>0</v>
      </c>
      <c r="L28">
        <v>-42081.35</v>
      </c>
      <c r="M28">
        <v>34917.57</v>
      </c>
      <c r="N28">
        <v>0</v>
      </c>
      <c r="O28">
        <v>136867.34</v>
      </c>
      <c r="P28" s="1" t="s">
        <v>154</v>
      </c>
      <c r="Q28">
        <v>3</v>
      </c>
      <c r="R28">
        <v>7</v>
      </c>
      <c r="S28">
        <v>1034594.67</v>
      </c>
      <c r="T28" s="1" t="s">
        <v>144</v>
      </c>
    </row>
    <row r="29" spans="1:20" x14ac:dyDescent="0.2">
      <c r="A29" s="1" t="s">
        <v>116</v>
      </c>
      <c r="B29">
        <v>28</v>
      </c>
      <c r="C29" s="1" t="s">
        <v>28</v>
      </c>
      <c r="D29" s="1" t="s">
        <v>31</v>
      </c>
      <c r="E29" s="1" t="s">
        <v>326</v>
      </c>
      <c r="F29" s="1" t="s">
        <v>907</v>
      </c>
      <c r="G29">
        <v>6</v>
      </c>
      <c r="H29">
        <v>28</v>
      </c>
      <c r="I29">
        <v>147992.54</v>
      </c>
      <c r="J29">
        <v>43733.99</v>
      </c>
      <c r="K29">
        <v>0</v>
      </c>
      <c r="L29">
        <v>-42081.35</v>
      </c>
      <c r="M29">
        <v>36796.21</v>
      </c>
      <c r="N29">
        <v>0</v>
      </c>
      <c r="O29">
        <v>149645.18</v>
      </c>
      <c r="P29" s="1" t="s">
        <v>154</v>
      </c>
      <c r="Q29">
        <v>3</v>
      </c>
      <c r="R29">
        <v>7</v>
      </c>
      <c r="S29">
        <v>1051320.29</v>
      </c>
      <c r="T29" s="1" t="s">
        <v>144</v>
      </c>
    </row>
    <row r="30" spans="1:20" x14ac:dyDescent="0.2">
      <c r="A30" s="1" t="s">
        <v>117</v>
      </c>
      <c r="B30">
        <v>29</v>
      </c>
      <c r="C30" s="1" t="s">
        <v>28</v>
      </c>
      <c r="D30" s="1" t="s">
        <v>31</v>
      </c>
      <c r="E30" s="1" t="s">
        <v>357</v>
      </c>
      <c r="F30" s="1" t="s">
        <v>936</v>
      </c>
      <c r="G30">
        <v>6</v>
      </c>
      <c r="H30">
        <v>29</v>
      </c>
      <c r="I30">
        <v>156593.07</v>
      </c>
      <c r="J30">
        <v>53061.599999999999</v>
      </c>
      <c r="K30">
        <v>0</v>
      </c>
      <c r="L30">
        <v>-42081.35</v>
      </c>
      <c r="M30">
        <v>39283.82</v>
      </c>
      <c r="N30">
        <v>0</v>
      </c>
      <c r="O30">
        <v>167573.32</v>
      </c>
      <c r="P30" s="1" t="s">
        <v>154</v>
      </c>
      <c r="Q30">
        <v>3</v>
      </c>
      <c r="R30">
        <v>7</v>
      </c>
      <c r="S30">
        <v>1083691.5900000001</v>
      </c>
      <c r="T30" s="1" t="s">
        <v>144</v>
      </c>
    </row>
    <row r="31" spans="1:20" x14ac:dyDescent="0.2">
      <c r="A31" s="1" t="s">
        <v>118</v>
      </c>
      <c r="B31">
        <v>30</v>
      </c>
      <c r="C31" s="1" t="s">
        <v>28</v>
      </c>
      <c r="D31" s="1" t="s">
        <v>31</v>
      </c>
      <c r="E31" s="1" t="s">
        <v>387</v>
      </c>
      <c r="F31" s="1" t="s">
        <v>964</v>
      </c>
      <c r="G31">
        <v>6</v>
      </c>
      <c r="H31">
        <v>30</v>
      </c>
      <c r="I31">
        <v>163143.54</v>
      </c>
      <c r="J31">
        <v>60152</v>
      </c>
      <c r="K31">
        <v>0</v>
      </c>
      <c r="L31">
        <v>-42081.35</v>
      </c>
      <c r="M31">
        <v>41055.71</v>
      </c>
      <c r="N31">
        <v>0</v>
      </c>
      <c r="O31">
        <v>181214.19</v>
      </c>
      <c r="P31" s="1" t="s">
        <v>154</v>
      </c>
      <c r="Q31">
        <v>3</v>
      </c>
      <c r="R31">
        <v>7</v>
      </c>
      <c r="S31">
        <v>1094818.93</v>
      </c>
      <c r="T31" s="1" t="s">
        <v>144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0459-22A3-CB40-A0C2-78BDD2F1F9A4}">
  <dimension ref="A3:AO39"/>
  <sheetViews>
    <sheetView topLeftCell="N1" workbookViewId="0">
      <selection activeCell="R33" sqref="R33"/>
    </sheetView>
  </sheetViews>
  <sheetFormatPr baseColWidth="10" defaultRowHeight="16" x14ac:dyDescent="0.2"/>
  <cols>
    <col min="1" max="1" width="35.33203125" bestFit="1" customWidth="1"/>
    <col min="2" max="2" width="16" bestFit="1" customWidth="1"/>
    <col min="3" max="5" width="5.1640625" bestFit="1" customWidth="1"/>
    <col min="6" max="6" width="9" bestFit="1" customWidth="1"/>
    <col min="7" max="7" width="11.6640625" bestFit="1" customWidth="1"/>
    <col min="8" max="8" width="9.33203125" bestFit="1" customWidth="1"/>
    <col min="9" max="10" width="5.1640625" bestFit="1" customWidth="1"/>
    <col min="11" max="11" width="4.83203125" bestFit="1" customWidth="1"/>
    <col min="12" max="12" width="11.1640625" bestFit="1" customWidth="1"/>
    <col min="13" max="13" width="11.6640625" bestFit="1" customWidth="1"/>
    <col min="14" max="14" width="9.5" bestFit="1" customWidth="1"/>
    <col min="15" max="17" width="5.1640625" bestFit="1" customWidth="1"/>
    <col min="18" max="18" width="11.83203125" bestFit="1" customWidth="1"/>
    <col min="19" max="19" width="11.6640625" bestFit="1" customWidth="1"/>
    <col min="20" max="20" width="9.5" bestFit="1" customWidth="1"/>
    <col min="21" max="21" width="5.1640625" bestFit="1" customWidth="1"/>
    <col min="22" max="22" width="4.1640625" bestFit="1" customWidth="1"/>
    <col min="23" max="23" width="5.1640625" bestFit="1" customWidth="1"/>
    <col min="24" max="24" width="11.83203125" bestFit="1" customWidth="1"/>
    <col min="25" max="25" width="11.6640625" bestFit="1" customWidth="1"/>
    <col min="26" max="26" width="9.33203125" bestFit="1" customWidth="1"/>
    <col min="27" max="28" width="5.1640625" bestFit="1" customWidth="1"/>
    <col min="29" max="29" width="4.83203125" bestFit="1" customWidth="1"/>
    <col min="30" max="30" width="10.6640625" bestFit="1" customWidth="1"/>
    <col min="31" max="32" width="11.6640625" bestFit="1" customWidth="1"/>
    <col min="33" max="33" width="5.1640625" bestFit="1" customWidth="1"/>
    <col min="34" max="34" width="4.1640625" bestFit="1" customWidth="1"/>
    <col min="35" max="35" width="4.83203125" bestFit="1" customWidth="1"/>
    <col min="36" max="36" width="14" bestFit="1" customWidth="1"/>
    <col min="37" max="37" width="11.6640625" bestFit="1" customWidth="1"/>
    <col min="38" max="38" width="9" bestFit="1" customWidth="1"/>
    <col min="39" max="40" width="11.33203125" bestFit="1" customWidth="1"/>
    <col min="41" max="41" width="10.5" bestFit="1" customWidth="1"/>
    <col min="42" max="42" width="35.33203125" bestFit="1" customWidth="1"/>
    <col min="43" max="43" width="12.33203125" bestFit="1" customWidth="1"/>
    <col min="44" max="44" width="35.33203125" bestFit="1" customWidth="1"/>
    <col min="45" max="45" width="12.33203125" bestFit="1" customWidth="1"/>
    <col min="46" max="46" width="42.33203125" bestFit="1" customWidth="1"/>
    <col min="47" max="47" width="19.1640625" bestFit="1" customWidth="1"/>
    <col min="48" max="48" width="42.1640625" bestFit="1" customWidth="1"/>
    <col min="49" max="49" width="19" bestFit="1" customWidth="1"/>
    <col min="50" max="50" width="35.33203125" bestFit="1" customWidth="1"/>
    <col min="51" max="51" width="12.33203125" bestFit="1" customWidth="1"/>
    <col min="52" max="52" width="35.33203125" bestFit="1" customWidth="1"/>
    <col min="53" max="53" width="12.33203125" bestFit="1" customWidth="1"/>
    <col min="54" max="54" width="35.33203125" bestFit="1" customWidth="1"/>
    <col min="55" max="55" width="12.33203125" bestFit="1" customWidth="1"/>
    <col min="56" max="56" width="35.33203125" bestFit="1" customWidth="1"/>
    <col min="57" max="57" width="12.33203125" bestFit="1" customWidth="1"/>
    <col min="58" max="58" width="41" bestFit="1" customWidth="1"/>
    <col min="59" max="59" width="18" bestFit="1" customWidth="1"/>
    <col min="60" max="60" width="42.1640625" bestFit="1" customWidth="1"/>
    <col min="61" max="61" width="19" bestFit="1" customWidth="1"/>
    <col min="62" max="62" width="35.33203125" bestFit="1" customWidth="1"/>
    <col min="63" max="63" width="12.33203125" bestFit="1" customWidth="1"/>
    <col min="64" max="64" width="35.33203125" bestFit="1" customWidth="1"/>
    <col min="65" max="65" width="12.33203125" bestFit="1" customWidth="1"/>
    <col min="66" max="66" width="35.33203125" bestFit="1" customWidth="1"/>
    <col min="67" max="67" width="12.33203125" bestFit="1" customWidth="1"/>
    <col min="68" max="68" width="35.33203125" bestFit="1" customWidth="1"/>
    <col min="69" max="69" width="12.33203125" bestFit="1" customWidth="1"/>
    <col min="70" max="70" width="44.5" bestFit="1" customWidth="1"/>
    <col min="71" max="71" width="21.5" bestFit="1" customWidth="1"/>
    <col min="72" max="72" width="42.1640625" bestFit="1" customWidth="1"/>
    <col min="73" max="73" width="19" bestFit="1" customWidth="1"/>
    <col min="74" max="74" width="35.33203125" bestFit="1" customWidth="1"/>
    <col min="75" max="75" width="12.33203125" bestFit="1" customWidth="1"/>
    <col min="76" max="76" width="41.6640625" bestFit="1" customWidth="1"/>
    <col min="77" max="77" width="18.6640625" bestFit="1" customWidth="1"/>
    <col min="78" max="78" width="41.6640625" bestFit="1" customWidth="1"/>
    <col min="79" max="79" width="18.6640625" bestFit="1" customWidth="1"/>
    <col min="80" max="80" width="39.83203125" bestFit="1" customWidth="1"/>
    <col min="81" max="81" width="16.83203125" bestFit="1" customWidth="1"/>
  </cols>
  <sheetData>
    <row r="3" spans="1:41" x14ac:dyDescent="0.2">
      <c r="A3" s="11" t="s">
        <v>104</v>
      </c>
      <c r="B3" s="11" t="s">
        <v>96</v>
      </c>
    </row>
    <row r="4" spans="1:41" x14ac:dyDescent="0.2">
      <c r="B4" t="s">
        <v>29</v>
      </c>
      <c r="G4" t="s">
        <v>97</v>
      </c>
      <c r="H4" t="s">
        <v>34</v>
      </c>
      <c r="M4" t="s">
        <v>98</v>
      </c>
      <c r="N4" t="s">
        <v>37</v>
      </c>
      <c r="S4" t="s">
        <v>99</v>
      </c>
      <c r="T4" t="s">
        <v>40</v>
      </c>
      <c r="Y4" t="s">
        <v>100</v>
      </c>
      <c r="Z4" t="s">
        <v>43</v>
      </c>
      <c r="AE4" t="s">
        <v>101</v>
      </c>
      <c r="AF4" t="s">
        <v>46</v>
      </c>
      <c r="AK4" t="s">
        <v>102</v>
      </c>
      <c r="AL4" t="s">
        <v>94</v>
      </c>
      <c r="AN4" t="s">
        <v>103</v>
      </c>
      <c r="AO4" t="s">
        <v>95</v>
      </c>
    </row>
    <row r="5" spans="1:41" x14ac:dyDescent="0.2">
      <c r="B5" t="s">
        <v>30</v>
      </c>
      <c r="F5" t="s">
        <v>105</v>
      </c>
      <c r="H5" t="s">
        <v>35</v>
      </c>
      <c r="L5" t="s">
        <v>106</v>
      </c>
      <c r="N5" t="s">
        <v>38</v>
      </c>
      <c r="R5" t="s">
        <v>107</v>
      </c>
      <c r="T5" t="s">
        <v>41</v>
      </c>
      <c r="X5" t="s">
        <v>108</v>
      </c>
      <c r="Z5" t="s">
        <v>44</v>
      </c>
      <c r="AD5" t="s">
        <v>109</v>
      </c>
      <c r="AF5" t="s">
        <v>47</v>
      </c>
      <c r="AJ5" t="s">
        <v>110</v>
      </c>
      <c r="AL5" t="s">
        <v>94</v>
      </c>
      <c r="AM5" t="s">
        <v>103</v>
      </c>
    </row>
    <row r="6" spans="1:41" x14ac:dyDescent="0.2">
      <c r="A6" s="11" t="s">
        <v>93</v>
      </c>
      <c r="B6" t="s">
        <v>31</v>
      </c>
      <c r="C6" t="s">
        <v>49</v>
      </c>
      <c r="D6" t="s">
        <v>56</v>
      </c>
      <c r="E6" t="s">
        <v>63</v>
      </c>
      <c r="H6" t="s">
        <v>31</v>
      </c>
      <c r="I6" t="s">
        <v>49</v>
      </c>
      <c r="J6" t="s">
        <v>56</v>
      </c>
      <c r="K6" t="s">
        <v>63</v>
      </c>
      <c r="N6" t="s">
        <v>31</v>
      </c>
      <c r="O6" t="s">
        <v>49</v>
      </c>
      <c r="P6" t="s">
        <v>56</v>
      </c>
      <c r="Q6" t="s">
        <v>63</v>
      </c>
      <c r="T6" t="s">
        <v>31</v>
      </c>
      <c r="U6" t="s">
        <v>49</v>
      </c>
      <c r="V6" t="s">
        <v>56</v>
      </c>
      <c r="W6" t="s">
        <v>63</v>
      </c>
      <c r="Z6" t="s">
        <v>31</v>
      </c>
      <c r="AA6" t="s">
        <v>49</v>
      </c>
      <c r="AB6" t="s">
        <v>56</v>
      </c>
      <c r="AC6" t="s">
        <v>63</v>
      </c>
      <c r="AF6" t="s">
        <v>31</v>
      </c>
      <c r="AG6" t="s">
        <v>49</v>
      </c>
      <c r="AH6" t="s">
        <v>56</v>
      </c>
      <c r="AI6" t="s">
        <v>63</v>
      </c>
      <c r="AL6" t="s">
        <v>94</v>
      </c>
    </row>
    <row r="7" spans="1:41" x14ac:dyDescent="0.2">
      <c r="A7" s="12" t="s">
        <v>82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/>
      <c r="AM7" s="1"/>
      <c r="AN7" s="1"/>
      <c r="AO7" s="1">
        <v>0</v>
      </c>
    </row>
    <row r="8" spans="1:41" x14ac:dyDescent="0.2">
      <c r="A8" s="12" t="s">
        <v>94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2">
      <c r="A9" s="12" t="s">
        <v>113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/>
      <c r="AM9" s="1"/>
      <c r="AN9" s="1"/>
      <c r="AO9" s="1">
        <v>0</v>
      </c>
    </row>
    <row r="10" spans="1:41" x14ac:dyDescent="0.2">
      <c r="A10" s="12" t="s">
        <v>156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/>
      <c r="AM10" s="1"/>
      <c r="AN10" s="1"/>
      <c r="AO10" s="1">
        <v>0</v>
      </c>
    </row>
    <row r="11" spans="1:41" x14ac:dyDescent="0.2">
      <c r="A11" s="12" t="s">
        <v>182</v>
      </c>
      <c r="B11" s="1">
        <v>1161</v>
      </c>
      <c r="C11" s="1">
        <v>0</v>
      </c>
      <c r="D11" s="1">
        <v>0</v>
      </c>
      <c r="E11" s="1">
        <v>0</v>
      </c>
      <c r="F11" s="1">
        <v>1161</v>
      </c>
      <c r="G11" s="1">
        <v>1161</v>
      </c>
      <c r="H11" s="1">
        <v>452</v>
      </c>
      <c r="I11" s="1">
        <v>0</v>
      </c>
      <c r="J11" s="1">
        <v>0</v>
      </c>
      <c r="K11" s="1">
        <v>0</v>
      </c>
      <c r="L11" s="1">
        <v>452</v>
      </c>
      <c r="M11" s="1">
        <v>452</v>
      </c>
      <c r="N11" s="1">
        <v>1023</v>
      </c>
      <c r="O11" s="1">
        <v>0</v>
      </c>
      <c r="P11" s="1">
        <v>0</v>
      </c>
      <c r="Q11" s="1">
        <v>0</v>
      </c>
      <c r="R11" s="1">
        <v>1023</v>
      </c>
      <c r="S11" s="1">
        <v>1023</v>
      </c>
      <c r="T11" s="1">
        <v>391</v>
      </c>
      <c r="U11" s="1">
        <v>0</v>
      </c>
      <c r="V11" s="1">
        <v>0</v>
      </c>
      <c r="W11" s="1">
        <v>0</v>
      </c>
      <c r="X11" s="1">
        <v>391</v>
      </c>
      <c r="Y11" s="1">
        <v>391</v>
      </c>
      <c r="Z11" s="1">
        <v>497</v>
      </c>
      <c r="AA11" s="1">
        <v>0</v>
      </c>
      <c r="AB11" s="1">
        <v>0</v>
      </c>
      <c r="AC11" s="1">
        <v>0</v>
      </c>
      <c r="AD11" s="1">
        <v>497</v>
      </c>
      <c r="AE11" s="1">
        <v>497</v>
      </c>
      <c r="AF11" s="1">
        <v>386</v>
      </c>
      <c r="AG11" s="1">
        <v>0</v>
      </c>
      <c r="AH11" s="1">
        <v>0</v>
      </c>
      <c r="AI11" s="1">
        <v>0</v>
      </c>
      <c r="AJ11" s="1">
        <v>386</v>
      </c>
      <c r="AK11" s="1">
        <v>386</v>
      </c>
      <c r="AL11" s="1"/>
      <c r="AM11" s="1"/>
      <c r="AN11" s="1"/>
      <c r="AO11" s="1">
        <v>3910</v>
      </c>
    </row>
    <row r="12" spans="1:41" x14ac:dyDescent="0.2">
      <c r="A12" s="12" t="s">
        <v>208</v>
      </c>
      <c r="B12" s="1">
        <v>806</v>
      </c>
      <c r="C12" s="1">
        <v>230</v>
      </c>
      <c r="D12" s="1">
        <v>60</v>
      </c>
      <c r="E12" s="1">
        <v>65</v>
      </c>
      <c r="F12" s="1">
        <v>1161</v>
      </c>
      <c r="G12" s="1">
        <v>1161</v>
      </c>
      <c r="H12" s="1">
        <v>312</v>
      </c>
      <c r="I12" s="1">
        <v>60</v>
      </c>
      <c r="J12" s="1">
        <v>60</v>
      </c>
      <c r="K12" s="1">
        <v>20</v>
      </c>
      <c r="L12" s="1">
        <v>452</v>
      </c>
      <c r="M12" s="1">
        <v>452</v>
      </c>
      <c r="N12" s="1">
        <v>713</v>
      </c>
      <c r="O12" s="1">
        <v>115</v>
      </c>
      <c r="P12" s="1">
        <v>110</v>
      </c>
      <c r="Q12" s="1">
        <v>85</v>
      </c>
      <c r="R12" s="1">
        <v>1023</v>
      </c>
      <c r="S12" s="1">
        <v>1023</v>
      </c>
      <c r="T12" s="1">
        <v>256</v>
      </c>
      <c r="U12" s="1">
        <v>35</v>
      </c>
      <c r="V12" s="1">
        <v>15</v>
      </c>
      <c r="W12" s="1">
        <v>85</v>
      </c>
      <c r="X12" s="1">
        <v>391</v>
      </c>
      <c r="Y12" s="1">
        <v>391</v>
      </c>
      <c r="Z12" s="1">
        <v>337</v>
      </c>
      <c r="AA12" s="1">
        <v>60</v>
      </c>
      <c r="AB12" s="1">
        <v>70</v>
      </c>
      <c r="AC12" s="1">
        <v>30</v>
      </c>
      <c r="AD12" s="1">
        <v>497</v>
      </c>
      <c r="AE12" s="1">
        <v>497</v>
      </c>
      <c r="AF12" s="1">
        <v>261</v>
      </c>
      <c r="AG12" s="1">
        <v>70</v>
      </c>
      <c r="AH12" s="1">
        <v>25</v>
      </c>
      <c r="AI12" s="1">
        <v>30</v>
      </c>
      <c r="AJ12" s="1">
        <v>386</v>
      </c>
      <c r="AK12" s="1">
        <v>386</v>
      </c>
      <c r="AL12" s="1"/>
      <c r="AM12" s="1"/>
      <c r="AN12" s="1"/>
      <c r="AO12" s="1">
        <v>3910</v>
      </c>
    </row>
    <row r="13" spans="1:41" x14ac:dyDescent="0.2">
      <c r="A13" s="12" t="s">
        <v>257</v>
      </c>
      <c r="B13" s="1">
        <v>806</v>
      </c>
      <c r="C13" s="1">
        <v>149</v>
      </c>
      <c r="D13" s="1">
        <v>0</v>
      </c>
      <c r="E13" s="1">
        <v>65</v>
      </c>
      <c r="F13" s="1">
        <v>1020</v>
      </c>
      <c r="G13" s="1">
        <v>1020</v>
      </c>
      <c r="H13" s="1">
        <v>312</v>
      </c>
      <c r="I13" s="1">
        <v>60</v>
      </c>
      <c r="J13" s="1">
        <v>60</v>
      </c>
      <c r="K13" s="1">
        <v>20</v>
      </c>
      <c r="L13" s="1">
        <v>452</v>
      </c>
      <c r="M13" s="1">
        <v>452</v>
      </c>
      <c r="N13" s="1">
        <v>713</v>
      </c>
      <c r="O13" s="1">
        <v>115</v>
      </c>
      <c r="P13" s="1">
        <v>44</v>
      </c>
      <c r="Q13" s="1">
        <v>85</v>
      </c>
      <c r="R13" s="1">
        <v>957</v>
      </c>
      <c r="S13" s="1">
        <v>957</v>
      </c>
      <c r="T13" s="1">
        <v>256</v>
      </c>
      <c r="U13" s="1">
        <v>35</v>
      </c>
      <c r="V13" s="1">
        <v>15</v>
      </c>
      <c r="W13" s="1">
        <v>70</v>
      </c>
      <c r="X13" s="1">
        <v>376</v>
      </c>
      <c r="Y13" s="1">
        <v>376</v>
      </c>
      <c r="Z13" s="1">
        <v>337</v>
      </c>
      <c r="AA13" s="1">
        <v>60</v>
      </c>
      <c r="AB13" s="1">
        <v>70</v>
      </c>
      <c r="AC13" s="1">
        <v>30</v>
      </c>
      <c r="AD13" s="1">
        <v>497</v>
      </c>
      <c r="AE13" s="1">
        <v>497</v>
      </c>
      <c r="AF13" s="1">
        <v>261</v>
      </c>
      <c r="AG13" s="1">
        <v>70</v>
      </c>
      <c r="AH13" s="1">
        <v>25</v>
      </c>
      <c r="AI13" s="1">
        <v>30</v>
      </c>
      <c r="AJ13" s="1">
        <v>386</v>
      </c>
      <c r="AK13" s="1">
        <v>386</v>
      </c>
      <c r="AL13" s="1"/>
      <c r="AM13" s="1"/>
      <c r="AN13" s="1"/>
      <c r="AO13" s="1">
        <v>3688</v>
      </c>
    </row>
    <row r="14" spans="1:41" x14ac:dyDescent="0.2">
      <c r="A14" s="12" t="s">
        <v>297</v>
      </c>
      <c r="B14" s="1">
        <v>666</v>
      </c>
      <c r="C14" s="1">
        <v>157</v>
      </c>
      <c r="D14" s="1">
        <v>60</v>
      </c>
      <c r="E14" s="1">
        <v>65</v>
      </c>
      <c r="F14" s="1">
        <v>948</v>
      </c>
      <c r="G14" s="1">
        <v>948</v>
      </c>
      <c r="H14" s="1">
        <v>313</v>
      </c>
      <c r="I14" s="1">
        <v>60</v>
      </c>
      <c r="J14" s="1">
        <v>60</v>
      </c>
      <c r="K14" s="1">
        <v>20</v>
      </c>
      <c r="L14" s="1">
        <v>453</v>
      </c>
      <c r="M14" s="1">
        <v>453</v>
      </c>
      <c r="N14" s="1">
        <v>648</v>
      </c>
      <c r="O14" s="1">
        <v>71</v>
      </c>
      <c r="P14" s="1">
        <v>66</v>
      </c>
      <c r="Q14" s="1">
        <v>85</v>
      </c>
      <c r="R14" s="1">
        <v>870</v>
      </c>
      <c r="S14" s="1">
        <v>870</v>
      </c>
      <c r="T14" s="1">
        <v>242</v>
      </c>
      <c r="U14" s="1">
        <v>35</v>
      </c>
      <c r="V14" s="1">
        <v>0</v>
      </c>
      <c r="W14" s="1">
        <v>79</v>
      </c>
      <c r="X14" s="1">
        <v>356</v>
      </c>
      <c r="Y14" s="1">
        <v>356</v>
      </c>
      <c r="Z14" s="1">
        <v>338</v>
      </c>
      <c r="AA14" s="1">
        <v>60</v>
      </c>
      <c r="AB14" s="1">
        <v>70</v>
      </c>
      <c r="AC14" s="1">
        <v>30</v>
      </c>
      <c r="AD14" s="1">
        <v>498</v>
      </c>
      <c r="AE14" s="1">
        <v>498</v>
      </c>
      <c r="AF14" s="1">
        <v>262</v>
      </c>
      <c r="AG14" s="1">
        <v>70</v>
      </c>
      <c r="AH14" s="1">
        <v>25</v>
      </c>
      <c r="AI14" s="1">
        <v>30</v>
      </c>
      <c r="AJ14" s="1">
        <v>387</v>
      </c>
      <c r="AK14" s="1">
        <v>387</v>
      </c>
      <c r="AL14" s="1"/>
      <c r="AM14" s="1"/>
      <c r="AN14" s="1"/>
      <c r="AO14" s="1">
        <v>3512</v>
      </c>
    </row>
    <row r="15" spans="1:41" x14ac:dyDescent="0.2">
      <c r="A15" s="12" t="s">
        <v>327</v>
      </c>
      <c r="B15" s="1">
        <v>734</v>
      </c>
      <c r="C15" s="1">
        <v>176</v>
      </c>
      <c r="D15" s="1">
        <v>60</v>
      </c>
      <c r="E15" s="1">
        <v>65</v>
      </c>
      <c r="F15" s="1">
        <v>1035</v>
      </c>
      <c r="G15" s="1">
        <v>1035</v>
      </c>
      <c r="H15" s="1">
        <v>313</v>
      </c>
      <c r="I15" s="1">
        <v>40</v>
      </c>
      <c r="J15" s="1">
        <v>60</v>
      </c>
      <c r="K15" s="1">
        <v>20</v>
      </c>
      <c r="L15" s="1">
        <v>433</v>
      </c>
      <c r="M15" s="1">
        <v>433</v>
      </c>
      <c r="N15" s="1">
        <v>626</v>
      </c>
      <c r="O15" s="1">
        <v>44</v>
      </c>
      <c r="P15" s="1">
        <v>45</v>
      </c>
      <c r="Q15" s="1">
        <v>85</v>
      </c>
      <c r="R15" s="1">
        <v>800</v>
      </c>
      <c r="S15" s="1">
        <v>800</v>
      </c>
      <c r="T15" s="1">
        <v>236</v>
      </c>
      <c r="U15" s="1">
        <v>35</v>
      </c>
      <c r="V15" s="1">
        <v>15</v>
      </c>
      <c r="W15" s="1">
        <v>68</v>
      </c>
      <c r="X15" s="1">
        <v>354</v>
      </c>
      <c r="Y15" s="1">
        <v>354</v>
      </c>
      <c r="Z15" s="1">
        <v>338</v>
      </c>
      <c r="AA15" s="1">
        <v>60</v>
      </c>
      <c r="AB15" s="1">
        <v>70</v>
      </c>
      <c r="AC15" s="1">
        <v>30</v>
      </c>
      <c r="AD15" s="1">
        <v>498</v>
      </c>
      <c r="AE15" s="1">
        <v>498</v>
      </c>
      <c r="AF15" s="1">
        <v>262</v>
      </c>
      <c r="AG15" s="1">
        <v>70</v>
      </c>
      <c r="AH15" s="1">
        <v>25</v>
      </c>
      <c r="AI15" s="1">
        <v>30</v>
      </c>
      <c r="AJ15" s="1">
        <v>387</v>
      </c>
      <c r="AK15" s="1">
        <v>387</v>
      </c>
      <c r="AL15" s="1"/>
      <c r="AM15" s="1"/>
      <c r="AN15" s="1"/>
      <c r="AO15" s="1">
        <v>3507</v>
      </c>
    </row>
    <row r="16" spans="1:41" x14ac:dyDescent="0.2">
      <c r="A16" s="12" t="s">
        <v>358</v>
      </c>
      <c r="B16" s="1">
        <v>680</v>
      </c>
      <c r="C16" s="1">
        <v>54</v>
      </c>
      <c r="D16" s="1">
        <v>0</v>
      </c>
      <c r="E16" s="1">
        <v>65</v>
      </c>
      <c r="F16" s="1">
        <v>799</v>
      </c>
      <c r="G16" s="1">
        <v>799</v>
      </c>
      <c r="H16" s="1">
        <v>293</v>
      </c>
      <c r="I16" s="1">
        <v>60</v>
      </c>
      <c r="J16" s="1">
        <v>60</v>
      </c>
      <c r="K16" s="1">
        <v>20</v>
      </c>
      <c r="L16" s="1">
        <v>433</v>
      </c>
      <c r="M16" s="1">
        <v>433</v>
      </c>
      <c r="N16" s="1">
        <v>490</v>
      </c>
      <c r="O16" s="1">
        <v>71</v>
      </c>
      <c r="P16" s="1">
        <v>110</v>
      </c>
      <c r="Q16" s="1">
        <v>41</v>
      </c>
      <c r="R16" s="1">
        <v>712</v>
      </c>
      <c r="S16" s="1">
        <v>712</v>
      </c>
      <c r="T16" s="1">
        <v>219</v>
      </c>
      <c r="U16" s="1">
        <v>35</v>
      </c>
      <c r="V16" s="1">
        <v>15</v>
      </c>
      <c r="W16" s="1">
        <v>49</v>
      </c>
      <c r="X16" s="1">
        <v>318</v>
      </c>
      <c r="Y16" s="1">
        <v>318</v>
      </c>
      <c r="Z16" s="1">
        <v>338</v>
      </c>
      <c r="AA16" s="1">
        <v>60</v>
      </c>
      <c r="AB16" s="1">
        <v>70</v>
      </c>
      <c r="AC16" s="1">
        <v>30</v>
      </c>
      <c r="AD16" s="1">
        <v>498</v>
      </c>
      <c r="AE16" s="1">
        <v>498</v>
      </c>
      <c r="AF16" s="1">
        <v>262</v>
      </c>
      <c r="AG16" s="1">
        <v>70</v>
      </c>
      <c r="AH16" s="1">
        <v>25</v>
      </c>
      <c r="AI16" s="1">
        <v>30</v>
      </c>
      <c r="AJ16" s="1">
        <v>387</v>
      </c>
      <c r="AK16" s="1">
        <v>387</v>
      </c>
      <c r="AL16" s="1"/>
      <c r="AM16" s="1"/>
      <c r="AN16" s="1"/>
      <c r="AO16" s="1">
        <v>3147</v>
      </c>
    </row>
    <row r="17" spans="1:41" x14ac:dyDescent="0.2">
      <c r="A17" s="12" t="s">
        <v>388</v>
      </c>
      <c r="B17" s="1">
        <v>444</v>
      </c>
      <c r="C17" s="1">
        <v>176</v>
      </c>
      <c r="D17" s="1">
        <v>60</v>
      </c>
      <c r="E17" s="1">
        <v>65</v>
      </c>
      <c r="F17" s="1">
        <v>745</v>
      </c>
      <c r="G17" s="1">
        <v>745</v>
      </c>
      <c r="H17" s="1">
        <v>293</v>
      </c>
      <c r="I17" s="1">
        <v>60</v>
      </c>
      <c r="J17" s="1">
        <v>60</v>
      </c>
      <c r="K17" s="1">
        <v>20</v>
      </c>
      <c r="L17" s="1">
        <v>433</v>
      </c>
      <c r="M17" s="1">
        <v>433</v>
      </c>
      <c r="N17" s="1">
        <v>402</v>
      </c>
      <c r="O17" s="1">
        <v>58</v>
      </c>
      <c r="P17" s="1">
        <v>0</v>
      </c>
      <c r="Q17" s="1">
        <v>85</v>
      </c>
      <c r="R17" s="1">
        <v>545</v>
      </c>
      <c r="S17" s="1">
        <v>545</v>
      </c>
      <c r="T17" s="1">
        <v>183</v>
      </c>
      <c r="U17" s="1">
        <v>35</v>
      </c>
      <c r="V17" s="1">
        <v>15</v>
      </c>
      <c r="W17" s="1">
        <v>62</v>
      </c>
      <c r="X17" s="1">
        <v>295</v>
      </c>
      <c r="Y17" s="1">
        <v>295</v>
      </c>
      <c r="Z17" s="1">
        <v>338</v>
      </c>
      <c r="AA17" s="1">
        <v>34</v>
      </c>
      <c r="AB17" s="1">
        <v>39</v>
      </c>
      <c r="AC17" s="1">
        <v>30</v>
      </c>
      <c r="AD17" s="1">
        <v>441</v>
      </c>
      <c r="AE17" s="1">
        <v>441</v>
      </c>
      <c r="AF17" s="1">
        <v>262</v>
      </c>
      <c r="AG17" s="1">
        <v>70</v>
      </c>
      <c r="AH17" s="1">
        <v>25</v>
      </c>
      <c r="AI17" s="1">
        <v>30</v>
      </c>
      <c r="AJ17" s="1">
        <v>387</v>
      </c>
      <c r="AK17" s="1">
        <v>387</v>
      </c>
      <c r="AL17" s="1"/>
      <c r="AM17" s="1"/>
      <c r="AN17" s="1"/>
      <c r="AO17" s="1">
        <v>2846</v>
      </c>
    </row>
    <row r="18" spans="1:41" x14ac:dyDescent="0.2">
      <c r="A18" s="12" t="s">
        <v>414</v>
      </c>
      <c r="B18" s="1">
        <v>390</v>
      </c>
      <c r="C18" s="1">
        <v>230</v>
      </c>
      <c r="D18" s="1">
        <v>60</v>
      </c>
      <c r="E18" s="1">
        <v>65</v>
      </c>
      <c r="F18" s="1">
        <v>745</v>
      </c>
      <c r="G18" s="1">
        <v>745</v>
      </c>
      <c r="H18" s="1">
        <v>293</v>
      </c>
      <c r="I18" s="1">
        <v>41</v>
      </c>
      <c r="J18" s="1">
        <v>60</v>
      </c>
      <c r="K18" s="1">
        <v>20</v>
      </c>
      <c r="L18" s="1">
        <v>414</v>
      </c>
      <c r="M18" s="1">
        <v>414</v>
      </c>
      <c r="N18" s="1">
        <v>235</v>
      </c>
      <c r="O18" s="1">
        <v>115</v>
      </c>
      <c r="P18" s="1">
        <v>110</v>
      </c>
      <c r="Q18" s="1">
        <v>85</v>
      </c>
      <c r="R18" s="1">
        <v>545</v>
      </c>
      <c r="S18" s="1">
        <v>545</v>
      </c>
      <c r="T18" s="1">
        <v>160</v>
      </c>
      <c r="U18" s="1">
        <v>35</v>
      </c>
      <c r="V18" s="1">
        <v>15</v>
      </c>
      <c r="W18" s="1">
        <v>85</v>
      </c>
      <c r="X18" s="1">
        <v>295</v>
      </c>
      <c r="Y18" s="1">
        <v>295</v>
      </c>
      <c r="Z18" s="1">
        <v>281</v>
      </c>
      <c r="AA18" s="1">
        <v>54</v>
      </c>
      <c r="AB18" s="1">
        <v>70</v>
      </c>
      <c r="AC18" s="1">
        <v>30</v>
      </c>
      <c r="AD18" s="1">
        <v>435</v>
      </c>
      <c r="AE18" s="1">
        <v>435</v>
      </c>
      <c r="AF18" s="1">
        <v>262</v>
      </c>
      <c r="AG18" s="1">
        <v>70</v>
      </c>
      <c r="AH18" s="1">
        <v>25</v>
      </c>
      <c r="AI18" s="1">
        <v>30</v>
      </c>
      <c r="AJ18" s="1">
        <v>387</v>
      </c>
      <c r="AK18" s="1">
        <v>387</v>
      </c>
      <c r="AL18" s="1"/>
      <c r="AM18" s="1"/>
      <c r="AN18" s="1"/>
      <c r="AO18" s="1">
        <v>2821</v>
      </c>
    </row>
    <row r="19" spans="1:41" x14ac:dyDescent="0.2">
      <c r="A19" s="12" t="s">
        <v>444</v>
      </c>
      <c r="B19" s="1">
        <v>350</v>
      </c>
      <c r="C19" s="1">
        <v>88</v>
      </c>
      <c r="D19" s="1">
        <v>43</v>
      </c>
      <c r="E19" s="1">
        <v>14</v>
      </c>
      <c r="F19" s="1">
        <v>495</v>
      </c>
      <c r="G19" s="1">
        <v>495</v>
      </c>
      <c r="H19" s="1">
        <v>264</v>
      </c>
      <c r="I19" s="1">
        <v>50</v>
      </c>
      <c r="J19" s="1">
        <v>60</v>
      </c>
      <c r="K19" s="1">
        <v>40</v>
      </c>
      <c r="L19" s="1">
        <v>414</v>
      </c>
      <c r="M19" s="1">
        <v>414</v>
      </c>
      <c r="N19" s="1">
        <v>190</v>
      </c>
      <c r="O19" s="1">
        <v>120</v>
      </c>
      <c r="P19" s="1">
        <v>150</v>
      </c>
      <c r="Q19" s="1">
        <v>85</v>
      </c>
      <c r="R19" s="1">
        <v>545</v>
      </c>
      <c r="S19" s="1">
        <v>545</v>
      </c>
      <c r="T19" s="1">
        <v>115</v>
      </c>
      <c r="U19" s="1">
        <v>40</v>
      </c>
      <c r="V19" s="1">
        <v>40</v>
      </c>
      <c r="W19" s="1">
        <v>100</v>
      </c>
      <c r="X19" s="1">
        <v>295</v>
      </c>
      <c r="Y19" s="1">
        <v>295</v>
      </c>
      <c r="Z19" s="1">
        <v>265</v>
      </c>
      <c r="AA19" s="1">
        <v>38</v>
      </c>
      <c r="AB19" s="1">
        <v>70</v>
      </c>
      <c r="AC19" s="1">
        <v>40</v>
      </c>
      <c r="AD19" s="1">
        <v>413</v>
      </c>
      <c r="AE19" s="1">
        <v>413</v>
      </c>
      <c r="AF19" s="1">
        <v>237</v>
      </c>
      <c r="AG19" s="1">
        <v>70</v>
      </c>
      <c r="AH19" s="1">
        <v>40</v>
      </c>
      <c r="AI19" s="1">
        <v>40</v>
      </c>
      <c r="AJ19" s="1">
        <v>387</v>
      </c>
      <c r="AK19" s="1">
        <v>387</v>
      </c>
      <c r="AL19" s="1"/>
      <c r="AM19" s="1"/>
      <c r="AN19" s="1"/>
      <c r="AO19" s="1">
        <v>2549</v>
      </c>
    </row>
    <row r="20" spans="1:41" x14ac:dyDescent="0.2">
      <c r="A20" s="12" t="s">
        <v>473</v>
      </c>
      <c r="B20" s="1">
        <v>542</v>
      </c>
      <c r="C20" s="1">
        <v>220</v>
      </c>
      <c r="D20" s="1">
        <v>100</v>
      </c>
      <c r="E20" s="1">
        <v>50</v>
      </c>
      <c r="F20" s="1">
        <v>912</v>
      </c>
      <c r="G20" s="1">
        <v>912</v>
      </c>
      <c r="H20" s="1">
        <v>303</v>
      </c>
      <c r="I20" s="1">
        <v>50</v>
      </c>
      <c r="J20" s="1">
        <v>5</v>
      </c>
      <c r="K20" s="1">
        <v>40</v>
      </c>
      <c r="L20" s="1">
        <v>398</v>
      </c>
      <c r="M20" s="1">
        <v>398</v>
      </c>
      <c r="N20" s="1">
        <v>669</v>
      </c>
      <c r="O20" s="1">
        <v>120</v>
      </c>
      <c r="P20" s="1">
        <v>65</v>
      </c>
      <c r="Q20" s="1">
        <v>85</v>
      </c>
      <c r="R20" s="1">
        <v>939</v>
      </c>
      <c r="S20" s="1">
        <v>939</v>
      </c>
      <c r="T20" s="1">
        <v>212</v>
      </c>
      <c r="U20" s="1">
        <v>40</v>
      </c>
      <c r="V20" s="1">
        <v>40</v>
      </c>
      <c r="W20" s="1">
        <v>100</v>
      </c>
      <c r="X20" s="1">
        <v>392</v>
      </c>
      <c r="Y20" s="1">
        <v>392</v>
      </c>
      <c r="Z20" s="1">
        <v>306</v>
      </c>
      <c r="AA20" s="1">
        <v>57</v>
      </c>
      <c r="AB20" s="1">
        <v>70</v>
      </c>
      <c r="AC20" s="1">
        <v>40</v>
      </c>
      <c r="AD20" s="1">
        <v>473</v>
      </c>
      <c r="AE20" s="1">
        <v>473</v>
      </c>
      <c r="AF20" s="1">
        <v>237</v>
      </c>
      <c r="AG20" s="1">
        <v>70</v>
      </c>
      <c r="AH20" s="1">
        <v>40</v>
      </c>
      <c r="AI20" s="1">
        <v>40</v>
      </c>
      <c r="AJ20" s="1">
        <v>387</v>
      </c>
      <c r="AK20" s="1">
        <v>387</v>
      </c>
      <c r="AL20" s="1"/>
      <c r="AM20" s="1"/>
      <c r="AN20" s="1"/>
      <c r="AO20" s="1">
        <v>3501</v>
      </c>
    </row>
    <row r="21" spans="1:41" x14ac:dyDescent="0.2">
      <c r="A21" s="12" t="s">
        <v>478</v>
      </c>
      <c r="B21" s="1">
        <v>542</v>
      </c>
      <c r="C21" s="1">
        <v>18</v>
      </c>
      <c r="D21" s="1">
        <v>32</v>
      </c>
      <c r="E21" s="1">
        <v>0</v>
      </c>
      <c r="F21" s="1">
        <v>592</v>
      </c>
      <c r="G21" s="1">
        <v>592</v>
      </c>
      <c r="H21" s="1">
        <v>268</v>
      </c>
      <c r="I21" s="1">
        <v>50</v>
      </c>
      <c r="J21" s="1">
        <v>40</v>
      </c>
      <c r="K21" s="1">
        <v>40</v>
      </c>
      <c r="L21" s="1">
        <v>398</v>
      </c>
      <c r="M21" s="1">
        <v>398</v>
      </c>
      <c r="N21" s="1">
        <v>584</v>
      </c>
      <c r="O21" s="1">
        <v>58</v>
      </c>
      <c r="P21" s="1">
        <v>85</v>
      </c>
      <c r="Q21" s="1">
        <v>85</v>
      </c>
      <c r="R21" s="1">
        <v>812</v>
      </c>
      <c r="S21" s="1">
        <v>812</v>
      </c>
      <c r="T21" s="1">
        <v>212</v>
      </c>
      <c r="U21" s="1">
        <v>40</v>
      </c>
      <c r="V21" s="1">
        <v>40</v>
      </c>
      <c r="W21" s="1">
        <v>100</v>
      </c>
      <c r="X21" s="1">
        <v>392</v>
      </c>
      <c r="Y21" s="1">
        <v>392</v>
      </c>
      <c r="Z21" s="1">
        <v>303</v>
      </c>
      <c r="AA21" s="1">
        <v>37</v>
      </c>
      <c r="AB21" s="1">
        <v>34</v>
      </c>
      <c r="AC21" s="1">
        <v>40</v>
      </c>
      <c r="AD21" s="1">
        <v>414</v>
      </c>
      <c r="AE21" s="1">
        <v>414</v>
      </c>
      <c r="AF21" s="1">
        <v>237</v>
      </c>
      <c r="AG21" s="1">
        <v>70</v>
      </c>
      <c r="AH21" s="1">
        <v>40</v>
      </c>
      <c r="AI21" s="1">
        <v>40</v>
      </c>
      <c r="AJ21" s="1">
        <v>387</v>
      </c>
      <c r="AK21" s="1">
        <v>387</v>
      </c>
      <c r="AL21" s="1"/>
      <c r="AM21" s="1"/>
      <c r="AN21" s="1"/>
      <c r="AO21" s="1">
        <v>2995</v>
      </c>
    </row>
    <row r="22" spans="1:41" x14ac:dyDescent="0.2">
      <c r="A22" s="12" t="s">
        <v>485</v>
      </c>
      <c r="B22" s="1">
        <v>222</v>
      </c>
      <c r="C22" s="1">
        <v>202</v>
      </c>
      <c r="D22" s="1">
        <v>100</v>
      </c>
      <c r="E22" s="1">
        <v>50</v>
      </c>
      <c r="F22" s="1">
        <v>574</v>
      </c>
      <c r="G22" s="1">
        <v>574</v>
      </c>
      <c r="H22" s="1">
        <v>268</v>
      </c>
      <c r="I22" s="1">
        <v>21</v>
      </c>
      <c r="J22" s="1">
        <v>40</v>
      </c>
      <c r="K22" s="1">
        <v>40</v>
      </c>
      <c r="L22" s="1">
        <v>369</v>
      </c>
      <c r="M22" s="1">
        <v>369</v>
      </c>
      <c r="N22" s="1">
        <v>457</v>
      </c>
      <c r="O22" s="1">
        <v>69</v>
      </c>
      <c r="P22" s="1">
        <v>88</v>
      </c>
      <c r="Q22" s="1">
        <v>85</v>
      </c>
      <c r="R22" s="1">
        <v>699</v>
      </c>
      <c r="S22" s="1">
        <v>699</v>
      </c>
      <c r="T22" s="1">
        <v>212</v>
      </c>
      <c r="U22" s="1">
        <v>40</v>
      </c>
      <c r="V22" s="1">
        <v>40</v>
      </c>
      <c r="W22" s="1">
        <v>66</v>
      </c>
      <c r="X22" s="1">
        <v>358</v>
      </c>
      <c r="Y22" s="1">
        <v>358</v>
      </c>
      <c r="Z22" s="1">
        <v>244</v>
      </c>
      <c r="AA22" s="1">
        <v>23</v>
      </c>
      <c r="AB22" s="1">
        <v>36</v>
      </c>
      <c r="AC22" s="1">
        <v>40</v>
      </c>
      <c r="AD22" s="1">
        <v>343</v>
      </c>
      <c r="AE22" s="1">
        <v>343</v>
      </c>
      <c r="AF22" s="1">
        <v>237</v>
      </c>
      <c r="AG22" s="1">
        <v>70</v>
      </c>
      <c r="AH22" s="1">
        <v>40</v>
      </c>
      <c r="AI22" s="1">
        <v>40</v>
      </c>
      <c r="AJ22" s="1">
        <v>387</v>
      </c>
      <c r="AK22" s="1">
        <v>387</v>
      </c>
      <c r="AL22" s="1"/>
      <c r="AM22" s="1"/>
      <c r="AN22" s="1"/>
      <c r="AO22" s="1">
        <v>2730</v>
      </c>
    </row>
    <row r="23" spans="1:41" x14ac:dyDescent="0.2">
      <c r="A23" s="12" t="s">
        <v>564</v>
      </c>
      <c r="B23" s="1">
        <v>204</v>
      </c>
      <c r="C23" s="1">
        <v>156</v>
      </c>
      <c r="D23" s="1">
        <v>100</v>
      </c>
      <c r="E23" s="1">
        <v>50</v>
      </c>
      <c r="F23" s="1">
        <v>510</v>
      </c>
      <c r="G23" s="1">
        <v>510</v>
      </c>
      <c r="H23" s="1">
        <v>239</v>
      </c>
      <c r="I23" s="1">
        <v>50</v>
      </c>
      <c r="J23" s="1">
        <v>40</v>
      </c>
      <c r="K23" s="1">
        <v>40</v>
      </c>
      <c r="L23" s="1">
        <v>369</v>
      </c>
      <c r="M23" s="1">
        <v>369</v>
      </c>
      <c r="N23" s="1">
        <v>344</v>
      </c>
      <c r="O23" s="1">
        <v>60</v>
      </c>
      <c r="P23" s="1">
        <v>97</v>
      </c>
      <c r="Q23" s="1">
        <v>85</v>
      </c>
      <c r="R23" s="1">
        <v>586</v>
      </c>
      <c r="S23" s="1">
        <v>586</v>
      </c>
      <c r="T23" s="1">
        <v>178</v>
      </c>
      <c r="U23" s="1">
        <v>19</v>
      </c>
      <c r="V23" s="1">
        <v>17</v>
      </c>
      <c r="W23" s="1">
        <v>51</v>
      </c>
      <c r="X23" s="1">
        <v>265</v>
      </c>
      <c r="Y23" s="1">
        <v>265</v>
      </c>
      <c r="Z23" s="1">
        <v>173</v>
      </c>
      <c r="AA23" s="1">
        <v>60</v>
      </c>
      <c r="AB23" s="1">
        <v>34</v>
      </c>
      <c r="AC23" s="1">
        <v>40</v>
      </c>
      <c r="AD23" s="1">
        <v>307</v>
      </c>
      <c r="AE23" s="1">
        <v>307</v>
      </c>
      <c r="AF23" s="1">
        <v>237</v>
      </c>
      <c r="AG23" s="1">
        <v>70</v>
      </c>
      <c r="AH23" s="1">
        <v>40</v>
      </c>
      <c r="AI23" s="1">
        <v>40</v>
      </c>
      <c r="AJ23" s="1">
        <v>387</v>
      </c>
      <c r="AK23" s="1">
        <v>387</v>
      </c>
      <c r="AL23" s="1"/>
      <c r="AM23" s="1"/>
      <c r="AN23" s="1"/>
      <c r="AO23" s="1">
        <v>2424</v>
      </c>
    </row>
    <row r="24" spans="1:41" x14ac:dyDescent="0.2">
      <c r="A24" s="12" t="s">
        <v>594</v>
      </c>
      <c r="B24" s="1">
        <v>728</v>
      </c>
      <c r="C24" s="1">
        <v>64</v>
      </c>
      <c r="D24" s="1">
        <v>100</v>
      </c>
      <c r="E24" s="1">
        <v>50</v>
      </c>
      <c r="F24" s="1">
        <v>942</v>
      </c>
      <c r="G24" s="1">
        <v>942</v>
      </c>
      <c r="H24" s="1">
        <v>323</v>
      </c>
      <c r="I24" s="1">
        <v>50</v>
      </c>
      <c r="J24" s="1">
        <v>21</v>
      </c>
      <c r="K24" s="1">
        <v>40</v>
      </c>
      <c r="L24" s="1">
        <v>434</v>
      </c>
      <c r="M24" s="1">
        <v>434</v>
      </c>
      <c r="N24" s="1">
        <v>556</v>
      </c>
      <c r="O24" s="1">
        <v>60</v>
      </c>
      <c r="P24" s="1">
        <v>102</v>
      </c>
      <c r="Q24" s="1">
        <v>85</v>
      </c>
      <c r="R24" s="1">
        <v>803</v>
      </c>
      <c r="S24" s="1">
        <v>803</v>
      </c>
      <c r="T24" s="1">
        <v>119</v>
      </c>
      <c r="U24" s="1">
        <v>40</v>
      </c>
      <c r="V24" s="1">
        <v>40</v>
      </c>
      <c r="W24" s="1">
        <v>100</v>
      </c>
      <c r="X24" s="1">
        <v>299</v>
      </c>
      <c r="Y24" s="1">
        <v>299</v>
      </c>
      <c r="Z24" s="1">
        <v>292</v>
      </c>
      <c r="AA24" s="1">
        <v>29</v>
      </c>
      <c r="AB24" s="1">
        <v>70</v>
      </c>
      <c r="AC24" s="1">
        <v>40</v>
      </c>
      <c r="AD24" s="1">
        <v>431</v>
      </c>
      <c r="AE24" s="1">
        <v>431</v>
      </c>
      <c r="AF24" s="1">
        <v>237</v>
      </c>
      <c r="AG24" s="1">
        <v>0</v>
      </c>
      <c r="AH24" s="1">
        <v>5</v>
      </c>
      <c r="AI24" s="1">
        <v>40</v>
      </c>
      <c r="AJ24" s="1">
        <v>282</v>
      </c>
      <c r="AK24" s="1">
        <v>282</v>
      </c>
      <c r="AL24" s="1"/>
      <c r="AM24" s="1"/>
      <c r="AN24" s="1"/>
      <c r="AO24" s="1">
        <v>3191</v>
      </c>
    </row>
    <row r="25" spans="1:41" x14ac:dyDescent="0.2">
      <c r="A25" s="12" t="s">
        <v>621</v>
      </c>
      <c r="B25" s="1">
        <v>572</v>
      </c>
      <c r="C25" s="1">
        <v>220</v>
      </c>
      <c r="D25" s="1">
        <v>100</v>
      </c>
      <c r="E25" s="1">
        <v>50</v>
      </c>
      <c r="F25" s="1">
        <v>942</v>
      </c>
      <c r="G25" s="1">
        <v>942</v>
      </c>
      <c r="H25" s="1">
        <v>304</v>
      </c>
      <c r="I25" s="1">
        <v>50</v>
      </c>
      <c r="J25" s="1">
        <v>40</v>
      </c>
      <c r="K25" s="1">
        <v>40</v>
      </c>
      <c r="L25" s="1">
        <v>434</v>
      </c>
      <c r="M25" s="1">
        <v>434</v>
      </c>
      <c r="N25" s="1">
        <v>448</v>
      </c>
      <c r="O25" s="1">
        <v>120</v>
      </c>
      <c r="P25" s="1">
        <v>82</v>
      </c>
      <c r="Q25" s="1">
        <v>85</v>
      </c>
      <c r="R25" s="1">
        <v>735</v>
      </c>
      <c r="S25" s="1">
        <v>735</v>
      </c>
      <c r="T25" s="1">
        <v>119</v>
      </c>
      <c r="U25" s="1">
        <v>40</v>
      </c>
      <c r="V25" s="1">
        <v>40</v>
      </c>
      <c r="W25" s="1">
        <v>77</v>
      </c>
      <c r="X25" s="1">
        <v>276</v>
      </c>
      <c r="Y25" s="1">
        <v>276</v>
      </c>
      <c r="Z25" s="1">
        <v>261</v>
      </c>
      <c r="AA25" s="1">
        <v>60</v>
      </c>
      <c r="AB25" s="1">
        <v>42</v>
      </c>
      <c r="AC25" s="1">
        <v>40</v>
      </c>
      <c r="AD25" s="1">
        <v>403</v>
      </c>
      <c r="AE25" s="1">
        <v>403</v>
      </c>
      <c r="AF25" s="1">
        <v>142</v>
      </c>
      <c r="AG25" s="1">
        <v>60</v>
      </c>
      <c r="AH25" s="1">
        <v>40</v>
      </c>
      <c r="AI25" s="1">
        <v>7</v>
      </c>
      <c r="AJ25" s="1">
        <v>249</v>
      </c>
      <c r="AK25" s="1">
        <v>249</v>
      </c>
      <c r="AL25" s="1"/>
      <c r="AM25" s="1"/>
      <c r="AN25" s="1"/>
      <c r="AO25" s="1">
        <v>3039</v>
      </c>
    </row>
    <row r="26" spans="1:41" x14ac:dyDescent="0.2">
      <c r="A26" s="12" t="s">
        <v>651</v>
      </c>
      <c r="B26" s="1">
        <v>572</v>
      </c>
      <c r="C26" s="1">
        <v>87</v>
      </c>
      <c r="D26" s="1">
        <v>100</v>
      </c>
      <c r="E26" s="1">
        <v>0</v>
      </c>
      <c r="F26" s="1">
        <v>759</v>
      </c>
      <c r="G26" s="1">
        <v>759</v>
      </c>
      <c r="H26" s="1">
        <v>304</v>
      </c>
      <c r="I26" s="1">
        <v>32</v>
      </c>
      <c r="J26" s="1">
        <v>40</v>
      </c>
      <c r="K26" s="1">
        <v>40</v>
      </c>
      <c r="L26" s="1">
        <v>416</v>
      </c>
      <c r="M26" s="1">
        <v>416</v>
      </c>
      <c r="N26" s="1">
        <v>380</v>
      </c>
      <c r="O26" s="1">
        <v>55</v>
      </c>
      <c r="P26" s="1">
        <v>123</v>
      </c>
      <c r="Q26" s="1">
        <v>30</v>
      </c>
      <c r="R26" s="1">
        <v>588</v>
      </c>
      <c r="S26" s="1">
        <v>588</v>
      </c>
      <c r="T26" s="1">
        <v>96</v>
      </c>
      <c r="U26" s="1">
        <v>40</v>
      </c>
      <c r="V26" s="1">
        <v>40</v>
      </c>
      <c r="W26" s="1">
        <v>76</v>
      </c>
      <c r="X26" s="1">
        <v>252</v>
      </c>
      <c r="Y26" s="1">
        <v>252</v>
      </c>
      <c r="Z26" s="1">
        <v>233</v>
      </c>
      <c r="AA26" s="1">
        <v>60</v>
      </c>
      <c r="AB26" s="1">
        <v>42</v>
      </c>
      <c r="AC26" s="1">
        <v>40</v>
      </c>
      <c r="AD26" s="1">
        <v>375</v>
      </c>
      <c r="AE26" s="1">
        <v>375</v>
      </c>
      <c r="AF26" s="1">
        <v>109</v>
      </c>
      <c r="AG26" s="1">
        <v>19</v>
      </c>
      <c r="AH26" s="1">
        <v>40</v>
      </c>
      <c r="AI26" s="1">
        <v>40</v>
      </c>
      <c r="AJ26" s="1">
        <v>208</v>
      </c>
      <c r="AK26" s="1">
        <v>208</v>
      </c>
      <c r="AL26" s="1"/>
      <c r="AM26" s="1"/>
      <c r="AN26" s="1"/>
      <c r="AO26" s="1">
        <v>2598</v>
      </c>
    </row>
    <row r="27" spans="1:41" x14ac:dyDescent="0.2">
      <c r="A27" s="12" t="s">
        <v>682</v>
      </c>
      <c r="B27" s="1">
        <v>389</v>
      </c>
      <c r="C27" s="1">
        <v>207</v>
      </c>
      <c r="D27" s="1">
        <v>100</v>
      </c>
      <c r="E27" s="1">
        <v>50</v>
      </c>
      <c r="F27" s="1">
        <v>746</v>
      </c>
      <c r="G27" s="1">
        <v>746</v>
      </c>
      <c r="H27" s="1">
        <v>286</v>
      </c>
      <c r="I27" s="1">
        <v>50</v>
      </c>
      <c r="J27" s="1">
        <v>15</v>
      </c>
      <c r="K27" s="1">
        <v>40</v>
      </c>
      <c r="L27" s="1">
        <v>391</v>
      </c>
      <c r="M27" s="1">
        <v>391</v>
      </c>
      <c r="N27" s="1">
        <v>268</v>
      </c>
      <c r="O27" s="1">
        <v>120</v>
      </c>
      <c r="P27" s="1">
        <v>27</v>
      </c>
      <c r="Q27" s="1">
        <v>50</v>
      </c>
      <c r="R27" s="1">
        <v>465</v>
      </c>
      <c r="S27" s="1">
        <v>465</v>
      </c>
      <c r="T27" s="1">
        <v>72</v>
      </c>
      <c r="U27" s="1">
        <v>40</v>
      </c>
      <c r="V27" s="1">
        <v>40</v>
      </c>
      <c r="W27" s="1">
        <v>75</v>
      </c>
      <c r="X27" s="1">
        <v>227</v>
      </c>
      <c r="Y27" s="1">
        <v>227</v>
      </c>
      <c r="Z27" s="1">
        <v>205</v>
      </c>
      <c r="AA27" s="1">
        <v>60</v>
      </c>
      <c r="AB27" s="1">
        <v>70</v>
      </c>
      <c r="AC27" s="1">
        <v>5</v>
      </c>
      <c r="AD27" s="1">
        <v>340</v>
      </c>
      <c r="AE27" s="1">
        <v>340</v>
      </c>
      <c r="AF27" s="1">
        <v>68</v>
      </c>
      <c r="AG27" s="1">
        <v>41</v>
      </c>
      <c r="AH27" s="1">
        <v>40</v>
      </c>
      <c r="AI27" s="1">
        <v>40</v>
      </c>
      <c r="AJ27" s="1">
        <v>189</v>
      </c>
      <c r="AK27" s="1">
        <v>189</v>
      </c>
      <c r="AL27" s="1"/>
      <c r="AM27" s="1"/>
      <c r="AN27" s="1"/>
      <c r="AO27" s="1">
        <v>2358</v>
      </c>
    </row>
    <row r="28" spans="1:41" x14ac:dyDescent="0.2">
      <c r="A28" s="12" t="s">
        <v>709</v>
      </c>
      <c r="B28" s="1">
        <v>376</v>
      </c>
      <c r="C28" s="1">
        <v>220</v>
      </c>
      <c r="D28" s="1">
        <v>100</v>
      </c>
      <c r="E28" s="1">
        <v>0</v>
      </c>
      <c r="F28" s="1">
        <v>696</v>
      </c>
      <c r="G28" s="1">
        <v>696</v>
      </c>
      <c r="H28" s="1">
        <v>261</v>
      </c>
      <c r="I28" s="1">
        <v>50</v>
      </c>
      <c r="J28" s="1">
        <v>40</v>
      </c>
      <c r="K28" s="1">
        <v>40</v>
      </c>
      <c r="L28" s="1">
        <v>391</v>
      </c>
      <c r="M28" s="1">
        <v>391</v>
      </c>
      <c r="N28" s="1">
        <v>145</v>
      </c>
      <c r="O28" s="1">
        <v>120</v>
      </c>
      <c r="P28" s="1">
        <v>123</v>
      </c>
      <c r="Q28" s="1">
        <v>50</v>
      </c>
      <c r="R28" s="1">
        <v>438</v>
      </c>
      <c r="S28" s="1">
        <v>438</v>
      </c>
      <c r="T28" s="1">
        <v>47</v>
      </c>
      <c r="U28" s="1">
        <v>40</v>
      </c>
      <c r="V28" s="1">
        <v>40</v>
      </c>
      <c r="W28" s="1">
        <v>100</v>
      </c>
      <c r="X28" s="1">
        <v>227</v>
      </c>
      <c r="Y28" s="1">
        <v>227</v>
      </c>
      <c r="Z28" s="1">
        <v>170</v>
      </c>
      <c r="AA28" s="1">
        <v>60</v>
      </c>
      <c r="AB28" s="1">
        <v>70</v>
      </c>
      <c r="AC28" s="1">
        <v>40</v>
      </c>
      <c r="AD28" s="1">
        <v>340</v>
      </c>
      <c r="AE28" s="1">
        <v>340</v>
      </c>
      <c r="AF28" s="1">
        <v>49</v>
      </c>
      <c r="AG28" s="1">
        <v>60</v>
      </c>
      <c r="AH28" s="1">
        <v>40</v>
      </c>
      <c r="AI28" s="1">
        <v>40</v>
      </c>
      <c r="AJ28" s="1">
        <v>189</v>
      </c>
      <c r="AK28" s="1">
        <v>189</v>
      </c>
      <c r="AL28" s="1"/>
      <c r="AM28" s="1"/>
      <c r="AN28" s="1"/>
      <c r="AO28" s="1">
        <v>2281</v>
      </c>
    </row>
    <row r="29" spans="1:41" x14ac:dyDescent="0.2">
      <c r="A29" s="12" t="s">
        <v>736</v>
      </c>
      <c r="B29" s="1">
        <v>301</v>
      </c>
      <c r="C29" s="1">
        <v>220</v>
      </c>
      <c r="D29" s="1">
        <v>100</v>
      </c>
      <c r="E29" s="1">
        <v>75</v>
      </c>
      <c r="F29" s="1">
        <v>696</v>
      </c>
      <c r="G29" s="1">
        <v>696</v>
      </c>
      <c r="H29" s="1">
        <v>261</v>
      </c>
      <c r="I29" s="1">
        <v>50</v>
      </c>
      <c r="J29" s="1">
        <v>40</v>
      </c>
      <c r="K29" s="1">
        <v>40</v>
      </c>
      <c r="L29" s="1">
        <v>391</v>
      </c>
      <c r="M29" s="1">
        <v>391</v>
      </c>
      <c r="N29" s="1">
        <v>38</v>
      </c>
      <c r="O29" s="1">
        <v>150</v>
      </c>
      <c r="P29" s="1">
        <v>175</v>
      </c>
      <c r="Q29" s="1">
        <v>75</v>
      </c>
      <c r="R29" s="1">
        <v>438</v>
      </c>
      <c r="S29" s="1">
        <v>438</v>
      </c>
      <c r="T29" s="1">
        <v>47</v>
      </c>
      <c r="U29" s="1">
        <v>40</v>
      </c>
      <c r="V29" s="1">
        <v>40</v>
      </c>
      <c r="W29" s="1">
        <v>77</v>
      </c>
      <c r="X29" s="1">
        <v>204</v>
      </c>
      <c r="Y29" s="1">
        <v>204</v>
      </c>
      <c r="Z29" s="1">
        <v>170</v>
      </c>
      <c r="AA29" s="1">
        <v>60</v>
      </c>
      <c r="AB29" s="1">
        <v>37</v>
      </c>
      <c r="AC29" s="1">
        <v>40</v>
      </c>
      <c r="AD29" s="1">
        <v>307</v>
      </c>
      <c r="AE29" s="1">
        <v>307</v>
      </c>
      <c r="AF29" s="1">
        <v>49</v>
      </c>
      <c r="AG29" s="1">
        <v>60</v>
      </c>
      <c r="AH29" s="1">
        <v>40</v>
      </c>
      <c r="AI29" s="1">
        <v>40</v>
      </c>
      <c r="AJ29" s="1">
        <v>189</v>
      </c>
      <c r="AK29" s="1">
        <v>189</v>
      </c>
      <c r="AL29" s="1"/>
      <c r="AM29" s="1"/>
      <c r="AN29" s="1"/>
      <c r="AO29" s="1">
        <v>2225</v>
      </c>
    </row>
    <row r="30" spans="1:41" x14ac:dyDescent="0.2">
      <c r="A30" s="12" t="s">
        <v>764</v>
      </c>
      <c r="B30" s="1">
        <v>717</v>
      </c>
      <c r="C30" s="1">
        <v>219</v>
      </c>
      <c r="D30" s="1">
        <v>100</v>
      </c>
      <c r="E30" s="1">
        <v>75</v>
      </c>
      <c r="F30" s="1">
        <v>1111</v>
      </c>
      <c r="G30" s="1">
        <v>1111</v>
      </c>
      <c r="H30" s="1">
        <v>323</v>
      </c>
      <c r="I30" s="1">
        <v>50</v>
      </c>
      <c r="J30" s="1">
        <v>19</v>
      </c>
      <c r="K30" s="1">
        <v>40</v>
      </c>
      <c r="L30" s="1">
        <v>432</v>
      </c>
      <c r="M30" s="1">
        <v>432</v>
      </c>
      <c r="N30" s="1">
        <v>597</v>
      </c>
      <c r="O30" s="1">
        <v>150</v>
      </c>
      <c r="P30" s="1">
        <v>119</v>
      </c>
      <c r="Q30" s="1">
        <v>75</v>
      </c>
      <c r="R30" s="1">
        <v>941</v>
      </c>
      <c r="S30" s="1">
        <v>941</v>
      </c>
      <c r="T30" s="1">
        <v>189</v>
      </c>
      <c r="U30" s="1">
        <v>40</v>
      </c>
      <c r="V30" s="1">
        <v>40</v>
      </c>
      <c r="W30" s="1">
        <v>100</v>
      </c>
      <c r="X30" s="1">
        <v>369</v>
      </c>
      <c r="Y30" s="1">
        <v>369</v>
      </c>
      <c r="Z30" s="1">
        <v>295</v>
      </c>
      <c r="AA30" s="1">
        <v>60</v>
      </c>
      <c r="AB30" s="1">
        <v>40</v>
      </c>
      <c r="AC30" s="1">
        <v>40</v>
      </c>
      <c r="AD30" s="1">
        <v>435</v>
      </c>
      <c r="AE30" s="1">
        <v>435</v>
      </c>
      <c r="AF30" s="1">
        <v>247</v>
      </c>
      <c r="AG30" s="1">
        <v>60</v>
      </c>
      <c r="AH30" s="1">
        <v>40</v>
      </c>
      <c r="AI30" s="1">
        <v>40</v>
      </c>
      <c r="AJ30" s="1">
        <v>387</v>
      </c>
      <c r="AK30" s="1">
        <v>387</v>
      </c>
      <c r="AL30" s="1"/>
      <c r="AM30" s="1"/>
      <c r="AN30" s="1"/>
      <c r="AO30" s="1">
        <v>3675</v>
      </c>
    </row>
    <row r="31" spans="1:41" x14ac:dyDescent="0.2">
      <c r="A31" s="12" t="s">
        <v>791</v>
      </c>
      <c r="B31" s="1">
        <v>716</v>
      </c>
      <c r="C31" s="1">
        <v>72</v>
      </c>
      <c r="D31" s="1">
        <v>100</v>
      </c>
      <c r="E31" s="1">
        <v>75</v>
      </c>
      <c r="F31" s="1">
        <v>963</v>
      </c>
      <c r="G31" s="1">
        <v>963</v>
      </c>
      <c r="H31" s="1">
        <v>302</v>
      </c>
      <c r="I31" s="1">
        <v>50</v>
      </c>
      <c r="J31" s="1">
        <v>40</v>
      </c>
      <c r="K31" s="1">
        <v>40</v>
      </c>
      <c r="L31" s="1">
        <v>432</v>
      </c>
      <c r="M31" s="1">
        <v>432</v>
      </c>
      <c r="N31" s="1">
        <v>541</v>
      </c>
      <c r="O31" s="1">
        <v>92</v>
      </c>
      <c r="P31" s="1">
        <v>114</v>
      </c>
      <c r="Q31" s="1">
        <v>75</v>
      </c>
      <c r="R31" s="1">
        <v>822</v>
      </c>
      <c r="S31" s="1">
        <v>822</v>
      </c>
      <c r="T31" s="1">
        <v>189</v>
      </c>
      <c r="U31" s="1">
        <v>40</v>
      </c>
      <c r="V31" s="1">
        <v>40</v>
      </c>
      <c r="W31" s="1">
        <v>100</v>
      </c>
      <c r="X31" s="1">
        <v>369</v>
      </c>
      <c r="Y31" s="1">
        <v>369</v>
      </c>
      <c r="Z31" s="1">
        <v>265</v>
      </c>
      <c r="AA31" s="1">
        <v>60</v>
      </c>
      <c r="AB31" s="1">
        <v>70</v>
      </c>
      <c r="AC31" s="1">
        <v>40</v>
      </c>
      <c r="AD31" s="1">
        <v>435</v>
      </c>
      <c r="AE31" s="1">
        <v>435</v>
      </c>
      <c r="AF31" s="1">
        <v>247</v>
      </c>
      <c r="AG31" s="1">
        <v>0</v>
      </c>
      <c r="AH31" s="1">
        <v>40</v>
      </c>
      <c r="AI31" s="1">
        <v>40</v>
      </c>
      <c r="AJ31" s="1">
        <v>327</v>
      </c>
      <c r="AK31" s="1">
        <v>327</v>
      </c>
      <c r="AL31" s="1"/>
      <c r="AM31" s="1"/>
      <c r="AN31" s="1"/>
      <c r="AO31" s="1">
        <v>3348</v>
      </c>
    </row>
    <row r="32" spans="1:41" x14ac:dyDescent="0.2">
      <c r="A32" s="12" t="s">
        <v>822</v>
      </c>
      <c r="B32" s="1">
        <v>568</v>
      </c>
      <c r="C32" s="1">
        <v>148</v>
      </c>
      <c r="D32" s="1">
        <v>100</v>
      </c>
      <c r="E32" s="1">
        <v>0</v>
      </c>
      <c r="F32" s="1">
        <v>816</v>
      </c>
      <c r="G32" s="1">
        <v>816</v>
      </c>
      <c r="H32" s="1">
        <v>302</v>
      </c>
      <c r="I32" s="1">
        <v>50</v>
      </c>
      <c r="J32" s="1">
        <v>40</v>
      </c>
      <c r="K32" s="1">
        <v>40</v>
      </c>
      <c r="L32" s="1">
        <v>432</v>
      </c>
      <c r="M32" s="1">
        <v>432</v>
      </c>
      <c r="N32" s="1">
        <v>422</v>
      </c>
      <c r="O32" s="1">
        <v>150</v>
      </c>
      <c r="P32" s="1">
        <v>71</v>
      </c>
      <c r="Q32" s="1">
        <v>75</v>
      </c>
      <c r="R32" s="1">
        <v>718</v>
      </c>
      <c r="S32" s="1">
        <v>718</v>
      </c>
      <c r="T32" s="1">
        <v>189</v>
      </c>
      <c r="U32" s="1">
        <v>40</v>
      </c>
      <c r="V32" s="1">
        <v>18</v>
      </c>
      <c r="W32" s="1">
        <v>78</v>
      </c>
      <c r="X32" s="1">
        <v>325</v>
      </c>
      <c r="Y32" s="1">
        <v>325</v>
      </c>
      <c r="Z32" s="1">
        <v>265</v>
      </c>
      <c r="AA32" s="1">
        <v>13</v>
      </c>
      <c r="AB32" s="1">
        <v>46</v>
      </c>
      <c r="AC32" s="1">
        <v>40</v>
      </c>
      <c r="AD32" s="1">
        <v>364</v>
      </c>
      <c r="AE32" s="1">
        <v>364</v>
      </c>
      <c r="AF32" s="1">
        <v>187</v>
      </c>
      <c r="AG32" s="1">
        <v>60</v>
      </c>
      <c r="AH32" s="1">
        <v>40</v>
      </c>
      <c r="AI32" s="1">
        <v>5</v>
      </c>
      <c r="AJ32" s="1">
        <v>292</v>
      </c>
      <c r="AK32" s="1">
        <v>292</v>
      </c>
      <c r="AL32" s="1"/>
      <c r="AM32" s="1"/>
      <c r="AN32" s="1"/>
      <c r="AO32" s="1">
        <v>2947</v>
      </c>
    </row>
    <row r="33" spans="1:41" x14ac:dyDescent="0.2">
      <c r="A33" s="12" t="s">
        <v>851</v>
      </c>
      <c r="B33" s="1">
        <v>421</v>
      </c>
      <c r="C33" s="1">
        <v>209</v>
      </c>
      <c r="D33" s="1">
        <v>100</v>
      </c>
      <c r="E33" s="1">
        <v>75</v>
      </c>
      <c r="F33" s="1">
        <v>805</v>
      </c>
      <c r="G33" s="1">
        <v>805</v>
      </c>
      <c r="H33" s="1">
        <v>302</v>
      </c>
      <c r="I33" s="1">
        <v>21</v>
      </c>
      <c r="J33" s="1">
        <v>40</v>
      </c>
      <c r="K33" s="1">
        <v>40</v>
      </c>
      <c r="L33" s="1">
        <v>403</v>
      </c>
      <c r="M33" s="1">
        <v>403</v>
      </c>
      <c r="N33" s="1">
        <v>318</v>
      </c>
      <c r="O33" s="1">
        <v>150</v>
      </c>
      <c r="P33" s="1">
        <v>175</v>
      </c>
      <c r="Q33" s="1">
        <v>75</v>
      </c>
      <c r="R33" s="1">
        <v>718</v>
      </c>
      <c r="S33" s="1">
        <v>718</v>
      </c>
      <c r="T33" s="1">
        <v>145</v>
      </c>
      <c r="U33" s="1">
        <v>40</v>
      </c>
      <c r="V33" s="1">
        <v>40</v>
      </c>
      <c r="W33" s="1">
        <v>100</v>
      </c>
      <c r="X33" s="1">
        <v>325</v>
      </c>
      <c r="Y33" s="1">
        <v>325</v>
      </c>
      <c r="Z33" s="1">
        <v>194</v>
      </c>
      <c r="AA33" s="1">
        <v>47</v>
      </c>
      <c r="AB33" s="1">
        <v>24</v>
      </c>
      <c r="AC33" s="1">
        <v>40</v>
      </c>
      <c r="AD33" s="1">
        <v>305</v>
      </c>
      <c r="AE33" s="1">
        <v>305</v>
      </c>
      <c r="AF33" s="1">
        <v>152</v>
      </c>
      <c r="AG33" s="1">
        <v>60</v>
      </c>
      <c r="AH33" s="1">
        <v>1</v>
      </c>
      <c r="AI33" s="1">
        <v>35</v>
      </c>
      <c r="AJ33" s="1">
        <v>248</v>
      </c>
      <c r="AK33" s="1">
        <v>248</v>
      </c>
      <c r="AL33" s="1"/>
      <c r="AM33" s="1"/>
      <c r="AN33" s="1"/>
      <c r="AO33" s="1">
        <v>2804</v>
      </c>
    </row>
    <row r="34" spans="1:41" x14ac:dyDescent="0.2">
      <c r="A34" s="12" t="s">
        <v>879</v>
      </c>
      <c r="B34" s="1">
        <v>410</v>
      </c>
      <c r="C34" s="1">
        <v>150</v>
      </c>
      <c r="D34" s="1">
        <v>73</v>
      </c>
      <c r="E34" s="1">
        <v>75</v>
      </c>
      <c r="F34" s="1">
        <v>708</v>
      </c>
      <c r="G34" s="1">
        <v>708</v>
      </c>
      <c r="H34" s="1">
        <v>273</v>
      </c>
      <c r="I34" s="1">
        <v>50</v>
      </c>
      <c r="J34" s="1">
        <v>40</v>
      </c>
      <c r="K34" s="1">
        <v>40</v>
      </c>
      <c r="L34" s="1">
        <v>403</v>
      </c>
      <c r="M34" s="1">
        <v>403</v>
      </c>
      <c r="N34" s="1">
        <v>318</v>
      </c>
      <c r="O34" s="1">
        <v>98</v>
      </c>
      <c r="P34" s="1">
        <v>175</v>
      </c>
      <c r="Q34" s="1">
        <v>75</v>
      </c>
      <c r="R34" s="1">
        <v>666</v>
      </c>
      <c r="S34" s="1">
        <v>666</v>
      </c>
      <c r="T34" s="1">
        <v>145</v>
      </c>
      <c r="U34" s="1">
        <v>40</v>
      </c>
      <c r="V34" s="1">
        <v>40</v>
      </c>
      <c r="W34" s="1">
        <v>100</v>
      </c>
      <c r="X34" s="1">
        <v>325</v>
      </c>
      <c r="Y34" s="1">
        <v>325</v>
      </c>
      <c r="Z34" s="1">
        <v>135</v>
      </c>
      <c r="AA34" s="1">
        <v>60</v>
      </c>
      <c r="AB34" s="1">
        <v>70</v>
      </c>
      <c r="AC34" s="1">
        <v>40</v>
      </c>
      <c r="AD34" s="1">
        <v>305</v>
      </c>
      <c r="AE34" s="1">
        <v>305</v>
      </c>
      <c r="AF34" s="1">
        <v>108</v>
      </c>
      <c r="AG34" s="1">
        <v>14</v>
      </c>
      <c r="AH34" s="1">
        <v>40</v>
      </c>
      <c r="AI34" s="1">
        <v>40</v>
      </c>
      <c r="AJ34" s="1">
        <v>202</v>
      </c>
      <c r="AK34" s="1">
        <v>202</v>
      </c>
      <c r="AL34" s="1"/>
      <c r="AM34" s="1"/>
      <c r="AN34" s="1"/>
      <c r="AO34" s="1">
        <v>2609</v>
      </c>
    </row>
    <row r="35" spans="1:41" x14ac:dyDescent="0.2">
      <c r="A35" s="12" t="s">
        <v>907</v>
      </c>
      <c r="B35" s="1">
        <v>708</v>
      </c>
      <c r="C35" s="1">
        <v>79</v>
      </c>
      <c r="D35" s="1">
        <v>100</v>
      </c>
      <c r="E35" s="1">
        <v>75</v>
      </c>
      <c r="F35" s="1">
        <v>962</v>
      </c>
      <c r="G35" s="1">
        <v>962</v>
      </c>
      <c r="H35" s="1">
        <v>273</v>
      </c>
      <c r="I35" s="1">
        <v>29</v>
      </c>
      <c r="J35" s="1">
        <v>40</v>
      </c>
      <c r="K35" s="1">
        <v>40</v>
      </c>
      <c r="L35" s="1">
        <v>382</v>
      </c>
      <c r="M35" s="1">
        <v>382</v>
      </c>
      <c r="N35" s="1">
        <v>748</v>
      </c>
      <c r="O35" s="1">
        <v>96</v>
      </c>
      <c r="P35" s="1">
        <v>66</v>
      </c>
      <c r="Q35" s="1">
        <v>75</v>
      </c>
      <c r="R35" s="1">
        <v>985</v>
      </c>
      <c r="S35" s="1">
        <v>985</v>
      </c>
      <c r="T35" s="1">
        <v>145</v>
      </c>
      <c r="U35" s="1">
        <v>40</v>
      </c>
      <c r="V35" s="1">
        <v>40</v>
      </c>
      <c r="W35" s="1">
        <v>100</v>
      </c>
      <c r="X35" s="1">
        <v>325</v>
      </c>
      <c r="Y35" s="1">
        <v>325</v>
      </c>
      <c r="Z35" s="1">
        <v>280</v>
      </c>
      <c r="AA35" s="1">
        <v>60</v>
      </c>
      <c r="AB35" s="1">
        <v>14</v>
      </c>
      <c r="AC35" s="1">
        <v>40</v>
      </c>
      <c r="AD35" s="1">
        <v>394</v>
      </c>
      <c r="AE35" s="1">
        <v>394</v>
      </c>
      <c r="AF35" s="1">
        <v>314</v>
      </c>
      <c r="AG35" s="1">
        <v>60</v>
      </c>
      <c r="AH35" s="1">
        <v>40</v>
      </c>
      <c r="AI35" s="1">
        <v>40</v>
      </c>
      <c r="AJ35" s="1">
        <v>454</v>
      </c>
      <c r="AK35" s="1">
        <v>454</v>
      </c>
      <c r="AL35" s="1"/>
      <c r="AM35" s="1"/>
      <c r="AN35" s="1"/>
      <c r="AO35" s="1">
        <v>3502</v>
      </c>
    </row>
    <row r="36" spans="1:41" x14ac:dyDescent="0.2">
      <c r="A36" s="12" t="s">
        <v>936</v>
      </c>
      <c r="B36" s="1">
        <v>567</v>
      </c>
      <c r="C36" s="1">
        <v>149</v>
      </c>
      <c r="D36" s="1">
        <v>39</v>
      </c>
      <c r="E36" s="1">
        <v>19</v>
      </c>
      <c r="F36" s="1">
        <v>774</v>
      </c>
      <c r="G36" s="1">
        <v>774</v>
      </c>
      <c r="H36" s="1">
        <v>252</v>
      </c>
      <c r="I36" s="1">
        <v>50</v>
      </c>
      <c r="J36" s="1">
        <v>11</v>
      </c>
      <c r="K36" s="1">
        <v>40</v>
      </c>
      <c r="L36" s="1">
        <v>353</v>
      </c>
      <c r="M36" s="1">
        <v>353</v>
      </c>
      <c r="N36" s="1">
        <v>585</v>
      </c>
      <c r="O36" s="1">
        <v>150</v>
      </c>
      <c r="P36" s="1">
        <v>109</v>
      </c>
      <c r="Q36" s="1">
        <v>75</v>
      </c>
      <c r="R36" s="1">
        <v>919</v>
      </c>
      <c r="S36" s="1">
        <v>919</v>
      </c>
      <c r="T36" s="1">
        <v>145</v>
      </c>
      <c r="U36" s="1">
        <v>40</v>
      </c>
      <c r="V36" s="1">
        <v>40</v>
      </c>
      <c r="W36" s="1">
        <v>100</v>
      </c>
      <c r="X36" s="1">
        <v>325</v>
      </c>
      <c r="Y36" s="1">
        <v>325</v>
      </c>
      <c r="Z36" s="1">
        <v>224</v>
      </c>
      <c r="AA36" s="1">
        <v>60</v>
      </c>
      <c r="AB36" s="1">
        <v>56</v>
      </c>
      <c r="AC36" s="1">
        <v>40</v>
      </c>
      <c r="AD36" s="1">
        <v>380</v>
      </c>
      <c r="AE36" s="1">
        <v>380</v>
      </c>
      <c r="AF36" s="1">
        <v>314</v>
      </c>
      <c r="AG36" s="1">
        <v>60</v>
      </c>
      <c r="AH36" s="1">
        <v>0</v>
      </c>
      <c r="AI36" s="1">
        <v>40</v>
      </c>
      <c r="AJ36" s="1">
        <v>414</v>
      </c>
      <c r="AK36" s="1">
        <v>414</v>
      </c>
      <c r="AL36" s="1"/>
      <c r="AM36" s="1"/>
      <c r="AN36" s="1"/>
      <c r="AO36" s="1">
        <v>3165</v>
      </c>
    </row>
    <row r="37" spans="1:41" x14ac:dyDescent="0.2">
      <c r="A37" s="12" t="s">
        <v>964</v>
      </c>
      <c r="B37" s="1">
        <v>379</v>
      </c>
      <c r="C37" s="1">
        <v>145</v>
      </c>
      <c r="D37" s="1">
        <v>61</v>
      </c>
      <c r="E37" s="1">
        <v>75</v>
      </c>
      <c r="F37" s="1">
        <v>660</v>
      </c>
      <c r="G37" s="1">
        <v>660</v>
      </c>
      <c r="H37" s="1">
        <v>223</v>
      </c>
      <c r="I37" s="1">
        <v>50</v>
      </c>
      <c r="J37" s="1">
        <v>40</v>
      </c>
      <c r="K37" s="1">
        <v>40</v>
      </c>
      <c r="L37" s="1">
        <v>353</v>
      </c>
      <c r="M37" s="1">
        <v>353</v>
      </c>
      <c r="N37" s="1">
        <v>519</v>
      </c>
      <c r="O37" s="1">
        <v>100</v>
      </c>
      <c r="P37" s="1">
        <v>66</v>
      </c>
      <c r="Q37" s="1">
        <v>75</v>
      </c>
      <c r="R37" s="1">
        <v>760</v>
      </c>
      <c r="S37" s="1">
        <v>760</v>
      </c>
      <c r="T37" s="1">
        <v>145</v>
      </c>
      <c r="U37" s="1">
        <v>22</v>
      </c>
      <c r="V37" s="1">
        <v>40</v>
      </c>
      <c r="W37" s="1">
        <v>78</v>
      </c>
      <c r="X37" s="1">
        <v>285</v>
      </c>
      <c r="Y37" s="1">
        <v>285</v>
      </c>
      <c r="Z37" s="1">
        <v>210</v>
      </c>
      <c r="AA37" s="1">
        <v>31</v>
      </c>
      <c r="AB37" s="1">
        <v>14</v>
      </c>
      <c r="AC37" s="1">
        <v>40</v>
      </c>
      <c r="AD37" s="1">
        <v>295</v>
      </c>
      <c r="AE37" s="1">
        <v>295</v>
      </c>
      <c r="AF37" s="1">
        <v>274</v>
      </c>
      <c r="AG37" s="1">
        <v>60</v>
      </c>
      <c r="AH37" s="1">
        <v>40</v>
      </c>
      <c r="AI37" s="1">
        <v>40</v>
      </c>
      <c r="AJ37" s="1">
        <v>414</v>
      </c>
      <c r="AK37" s="1">
        <v>414</v>
      </c>
      <c r="AL37" s="1"/>
      <c r="AM37" s="1"/>
      <c r="AN37" s="1"/>
      <c r="AO37" s="1">
        <v>2767</v>
      </c>
    </row>
    <row r="38" spans="1:41" x14ac:dyDescent="0.2">
      <c r="A38" s="12" t="s">
        <v>993</v>
      </c>
      <c r="B38" s="1">
        <v>265</v>
      </c>
      <c r="C38" s="1">
        <v>79</v>
      </c>
      <c r="D38" s="1">
        <v>100</v>
      </c>
      <c r="E38" s="1">
        <v>75</v>
      </c>
      <c r="F38" s="1">
        <v>519</v>
      </c>
      <c r="G38" s="1">
        <v>519</v>
      </c>
      <c r="H38" s="1">
        <v>223</v>
      </c>
      <c r="I38" s="1">
        <v>27</v>
      </c>
      <c r="J38" s="1">
        <v>40</v>
      </c>
      <c r="K38" s="1">
        <v>40</v>
      </c>
      <c r="L38" s="1">
        <v>330</v>
      </c>
      <c r="M38" s="1">
        <v>330</v>
      </c>
      <c r="N38" s="1">
        <v>360</v>
      </c>
      <c r="O38" s="1">
        <v>150</v>
      </c>
      <c r="P38" s="1">
        <v>123</v>
      </c>
      <c r="Q38" s="1">
        <v>75</v>
      </c>
      <c r="R38" s="1">
        <v>708</v>
      </c>
      <c r="S38" s="1">
        <v>708</v>
      </c>
      <c r="T38" s="1">
        <v>105</v>
      </c>
      <c r="U38" s="1">
        <v>40</v>
      </c>
      <c r="V38" s="1">
        <v>40</v>
      </c>
      <c r="W38" s="1">
        <v>82</v>
      </c>
      <c r="X38" s="1">
        <v>267</v>
      </c>
      <c r="Y38" s="1">
        <v>267</v>
      </c>
      <c r="Z38" s="1">
        <v>125</v>
      </c>
      <c r="AA38" s="1">
        <v>60</v>
      </c>
      <c r="AB38" s="1">
        <v>56</v>
      </c>
      <c r="AC38" s="1">
        <v>40</v>
      </c>
      <c r="AD38" s="1">
        <v>281</v>
      </c>
      <c r="AE38" s="1">
        <v>281</v>
      </c>
      <c r="AF38" s="1">
        <v>274</v>
      </c>
      <c r="AG38" s="1">
        <v>19</v>
      </c>
      <c r="AH38" s="1">
        <v>40</v>
      </c>
      <c r="AI38" s="1">
        <v>10</v>
      </c>
      <c r="AJ38" s="1">
        <v>343</v>
      </c>
      <c r="AK38" s="1">
        <v>343</v>
      </c>
      <c r="AL38" s="1"/>
      <c r="AM38" s="1"/>
      <c r="AN38" s="1"/>
      <c r="AO38" s="1">
        <v>2448</v>
      </c>
    </row>
    <row r="39" spans="1:41" x14ac:dyDescent="0.2">
      <c r="A39" s="12" t="s">
        <v>95</v>
      </c>
      <c r="B39" s="1">
        <v>15236</v>
      </c>
      <c r="C39" s="1">
        <v>4124</v>
      </c>
      <c r="D39" s="1">
        <v>2048</v>
      </c>
      <c r="E39" s="1">
        <v>1388</v>
      </c>
      <c r="F39" s="1">
        <v>22796</v>
      </c>
      <c r="G39" s="1">
        <v>22796</v>
      </c>
      <c r="H39" s="1">
        <v>8135</v>
      </c>
      <c r="I39" s="1">
        <v>1261</v>
      </c>
      <c r="J39" s="1">
        <v>1111</v>
      </c>
      <c r="K39" s="1">
        <v>940</v>
      </c>
      <c r="L39" s="1">
        <v>11447</v>
      </c>
      <c r="M39" s="1">
        <v>11447</v>
      </c>
      <c r="N39" s="1">
        <v>13337</v>
      </c>
      <c r="O39" s="1">
        <v>2777</v>
      </c>
      <c r="P39" s="1">
        <v>2620</v>
      </c>
      <c r="Q39" s="1">
        <v>2026</v>
      </c>
      <c r="R39" s="1">
        <v>20760</v>
      </c>
      <c r="S39" s="1">
        <v>20760</v>
      </c>
      <c r="T39" s="1">
        <v>4769</v>
      </c>
      <c r="U39" s="1">
        <v>1006</v>
      </c>
      <c r="V39" s="1">
        <v>845</v>
      </c>
      <c r="W39" s="1">
        <v>2258</v>
      </c>
      <c r="X39" s="1">
        <v>8878</v>
      </c>
      <c r="Y39" s="1">
        <v>8878</v>
      </c>
      <c r="Z39" s="1">
        <v>7419</v>
      </c>
      <c r="AA39" s="1">
        <v>1383</v>
      </c>
      <c r="AB39" s="1">
        <v>1424</v>
      </c>
      <c r="AC39" s="1">
        <v>975</v>
      </c>
      <c r="AD39" s="1">
        <v>11201</v>
      </c>
      <c r="AE39" s="1">
        <v>11201</v>
      </c>
      <c r="AF39" s="1">
        <v>6174</v>
      </c>
      <c r="AG39" s="1">
        <v>1473</v>
      </c>
      <c r="AH39" s="1">
        <v>861</v>
      </c>
      <c r="AI39" s="1">
        <v>907</v>
      </c>
      <c r="AJ39" s="1">
        <v>9415</v>
      </c>
      <c r="AK39" s="1">
        <v>9415</v>
      </c>
      <c r="AL39" s="1"/>
      <c r="AM39" s="1"/>
      <c r="AN39" s="1"/>
      <c r="AO39" s="1">
        <v>84497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8346-C3CE-1042-9136-A871515B0387}">
  <dimension ref="A1:M745"/>
  <sheetViews>
    <sheetView topLeftCell="H234" workbookViewId="0">
      <selection activeCell="E28" sqref="E28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9.16406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1.33203125" bestFit="1" customWidth="1"/>
    <col min="10" max="10" width="20.33203125" bestFit="1" customWidth="1"/>
    <col min="11" max="11" width="24.6640625" bestFit="1" customWidth="1"/>
    <col min="12" max="12" width="31.6640625" bestFit="1" customWidth="1"/>
    <col min="13" max="13" width="7.5" bestFit="1" customWidth="1"/>
  </cols>
  <sheetData>
    <row r="1" spans="1:13" x14ac:dyDescent="0.2">
      <c r="A1" t="s">
        <v>0</v>
      </c>
      <c r="B1" t="s">
        <v>1</v>
      </c>
      <c r="C1" t="s">
        <v>20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</v>
      </c>
      <c r="J1" t="s">
        <v>21</v>
      </c>
      <c r="K1" t="s">
        <v>22</v>
      </c>
      <c r="L1" t="s">
        <v>80</v>
      </c>
      <c r="M1" t="s">
        <v>26</v>
      </c>
    </row>
    <row r="2" spans="1:13" x14ac:dyDescent="0.2">
      <c r="A2" s="1" t="s">
        <v>27</v>
      </c>
      <c r="B2">
        <v>1</v>
      </c>
      <c r="C2" s="1" t="s">
        <v>28</v>
      </c>
      <c r="D2" s="1" t="s">
        <v>81</v>
      </c>
      <c r="E2" s="1" t="s">
        <v>81</v>
      </c>
      <c r="F2" s="1" t="s">
        <v>82</v>
      </c>
      <c r="G2">
        <v>1</v>
      </c>
      <c r="H2">
        <v>1</v>
      </c>
      <c r="I2" s="1" t="s">
        <v>31</v>
      </c>
      <c r="J2" s="1" t="s">
        <v>29</v>
      </c>
      <c r="K2" s="1" t="s">
        <v>30</v>
      </c>
      <c r="L2">
        <v>0</v>
      </c>
      <c r="M2" s="1" t="s">
        <v>32</v>
      </c>
    </row>
    <row r="3" spans="1:13" x14ac:dyDescent="0.2">
      <c r="A3" s="1" t="s">
        <v>33</v>
      </c>
      <c r="B3">
        <v>2</v>
      </c>
      <c r="C3" s="1" t="s">
        <v>28</v>
      </c>
      <c r="D3" s="1" t="s">
        <v>81</v>
      </c>
      <c r="E3" s="1" t="s">
        <v>81</v>
      </c>
      <c r="F3" s="1" t="s">
        <v>82</v>
      </c>
      <c r="G3">
        <v>1</v>
      </c>
      <c r="H3">
        <v>1</v>
      </c>
      <c r="I3" s="1" t="s">
        <v>31</v>
      </c>
      <c r="J3" s="1" t="s">
        <v>34</v>
      </c>
      <c r="K3" s="1" t="s">
        <v>35</v>
      </c>
      <c r="L3">
        <v>0</v>
      </c>
      <c r="M3" s="1" t="s">
        <v>32</v>
      </c>
    </row>
    <row r="4" spans="1:13" x14ac:dyDescent="0.2">
      <c r="A4" s="1" t="s">
        <v>36</v>
      </c>
      <c r="B4">
        <v>3</v>
      </c>
      <c r="C4" s="1" t="s">
        <v>28</v>
      </c>
      <c r="D4" s="1" t="s">
        <v>81</v>
      </c>
      <c r="E4" s="1" t="s">
        <v>81</v>
      </c>
      <c r="F4" s="1" t="s">
        <v>82</v>
      </c>
      <c r="G4">
        <v>1</v>
      </c>
      <c r="H4">
        <v>1</v>
      </c>
      <c r="I4" s="1" t="s">
        <v>31</v>
      </c>
      <c r="J4" s="1" t="s">
        <v>37</v>
      </c>
      <c r="K4" s="1" t="s">
        <v>38</v>
      </c>
      <c r="L4">
        <v>0</v>
      </c>
      <c r="M4" s="1" t="s">
        <v>32</v>
      </c>
    </row>
    <row r="5" spans="1:13" x14ac:dyDescent="0.2">
      <c r="A5" s="1" t="s">
        <v>39</v>
      </c>
      <c r="B5">
        <v>4</v>
      </c>
      <c r="C5" s="1" t="s">
        <v>28</v>
      </c>
      <c r="D5" s="1" t="s">
        <v>81</v>
      </c>
      <c r="E5" s="1" t="s">
        <v>81</v>
      </c>
      <c r="F5" s="1" t="s">
        <v>82</v>
      </c>
      <c r="G5">
        <v>1</v>
      </c>
      <c r="H5">
        <v>1</v>
      </c>
      <c r="I5" s="1" t="s">
        <v>31</v>
      </c>
      <c r="J5" s="1" t="s">
        <v>40</v>
      </c>
      <c r="K5" s="1" t="s">
        <v>41</v>
      </c>
      <c r="L5">
        <v>0</v>
      </c>
      <c r="M5" s="1" t="s">
        <v>32</v>
      </c>
    </row>
    <row r="6" spans="1:13" x14ac:dyDescent="0.2">
      <c r="A6" s="1" t="s">
        <v>42</v>
      </c>
      <c r="B6">
        <v>5</v>
      </c>
      <c r="C6" s="1" t="s">
        <v>28</v>
      </c>
      <c r="D6" s="1" t="s">
        <v>81</v>
      </c>
      <c r="E6" s="1" t="s">
        <v>81</v>
      </c>
      <c r="F6" s="1" t="s">
        <v>82</v>
      </c>
      <c r="G6">
        <v>1</v>
      </c>
      <c r="H6">
        <v>1</v>
      </c>
      <c r="I6" s="1" t="s">
        <v>31</v>
      </c>
      <c r="J6" s="1" t="s">
        <v>43</v>
      </c>
      <c r="K6" s="1" t="s">
        <v>44</v>
      </c>
      <c r="L6">
        <v>0</v>
      </c>
      <c r="M6" s="1" t="s">
        <v>32</v>
      </c>
    </row>
    <row r="7" spans="1:13" x14ac:dyDescent="0.2">
      <c r="A7" s="1" t="s">
        <v>45</v>
      </c>
      <c r="B7">
        <v>6</v>
      </c>
      <c r="C7" s="1" t="s">
        <v>28</v>
      </c>
      <c r="D7" s="1" t="s">
        <v>81</v>
      </c>
      <c r="E7" s="1" t="s">
        <v>81</v>
      </c>
      <c r="F7" s="1" t="s">
        <v>82</v>
      </c>
      <c r="G7">
        <v>1</v>
      </c>
      <c r="H7">
        <v>1</v>
      </c>
      <c r="I7" s="1" t="s">
        <v>31</v>
      </c>
      <c r="J7" s="1" t="s">
        <v>46</v>
      </c>
      <c r="K7" s="1" t="s">
        <v>47</v>
      </c>
      <c r="L7">
        <v>0</v>
      </c>
      <c r="M7" s="1" t="s">
        <v>32</v>
      </c>
    </row>
    <row r="8" spans="1:13" x14ac:dyDescent="0.2">
      <c r="A8" s="1" t="s">
        <v>48</v>
      </c>
      <c r="B8">
        <v>7</v>
      </c>
      <c r="C8" s="1" t="s">
        <v>28</v>
      </c>
      <c r="D8" s="1" t="s">
        <v>81</v>
      </c>
      <c r="E8" s="1" t="s">
        <v>81</v>
      </c>
      <c r="F8" s="1" t="s">
        <v>82</v>
      </c>
      <c r="G8">
        <v>1</v>
      </c>
      <c r="H8">
        <v>1</v>
      </c>
      <c r="I8" s="1" t="s">
        <v>49</v>
      </c>
      <c r="J8" s="1" t="s">
        <v>29</v>
      </c>
      <c r="K8" s="1" t="s">
        <v>30</v>
      </c>
      <c r="L8">
        <v>0</v>
      </c>
      <c r="M8" s="1" t="s">
        <v>32</v>
      </c>
    </row>
    <row r="9" spans="1:13" x14ac:dyDescent="0.2">
      <c r="A9" s="1" t="s">
        <v>50</v>
      </c>
      <c r="B9">
        <v>8</v>
      </c>
      <c r="C9" s="1" t="s">
        <v>28</v>
      </c>
      <c r="D9" s="1" t="s">
        <v>81</v>
      </c>
      <c r="E9" s="1" t="s">
        <v>81</v>
      </c>
      <c r="F9" s="1" t="s">
        <v>82</v>
      </c>
      <c r="G9">
        <v>1</v>
      </c>
      <c r="H9">
        <v>1</v>
      </c>
      <c r="I9" s="1" t="s">
        <v>49</v>
      </c>
      <c r="J9" s="1" t="s">
        <v>34</v>
      </c>
      <c r="K9" s="1" t="s">
        <v>35</v>
      </c>
      <c r="L9">
        <v>0</v>
      </c>
      <c r="M9" s="1" t="s">
        <v>32</v>
      </c>
    </row>
    <row r="10" spans="1:13" x14ac:dyDescent="0.2">
      <c r="A10" s="1" t="s">
        <v>51</v>
      </c>
      <c r="B10">
        <v>9</v>
      </c>
      <c r="C10" s="1" t="s">
        <v>28</v>
      </c>
      <c r="D10" s="1" t="s">
        <v>81</v>
      </c>
      <c r="E10" s="1" t="s">
        <v>81</v>
      </c>
      <c r="F10" s="1" t="s">
        <v>82</v>
      </c>
      <c r="G10">
        <v>1</v>
      </c>
      <c r="H10">
        <v>1</v>
      </c>
      <c r="I10" s="1" t="s">
        <v>49</v>
      </c>
      <c r="J10" s="1" t="s">
        <v>37</v>
      </c>
      <c r="K10" s="1" t="s">
        <v>38</v>
      </c>
      <c r="L10">
        <v>0</v>
      </c>
      <c r="M10" s="1" t="s">
        <v>32</v>
      </c>
    </row>
    <row r="11" spans="1:13" x14ac:dyDescent="0.2">
      <c r="A11" s="1" t="s">
        <v>52</v>
      </c>
      <c r="B11">
        <v>10</v>
      </c>
      <c r="C11" s="1" t="s">
        <v>28</v>
      </c>
      <c r="D11" s="1" t="s">
        <v>81</v>
      </c>
      <c r="E11" s="1" t="s">
        <v>81</v>
      </c>
      <c r="F11" s="1" t="s">
        <v>82</v>
      </c>
      <c r="G11">
        <v>1</v>
      </c>
      <c r="H11">
        <v>1</v>
      </c>
      <c r="I11" s="1" t="s">
        <v>49</v>
      </c>
      <c r="J11" s="1" t="s">
        <v>40</v>
      </c>
      <c r="K11" s="1" t="s">
        <v>41</v>
      </c>
      <c r="L11">
        <v>0</v>
      </c>
      <c r="M11" s="1" t="s">
        <v>32</v>
      </c>
    </row>
    <row r="12" spans="1:13" x14ac:dyDescent="0.2">
      <c r="A12" s="1" t="s">
        <v>53</v>
      </c>
      <c r="B12">
        <v>11</v>
      </c>
      <c r="C12" s="1" t="s">
        <v>28</v>
      </c>
      <c r="D12" s="1" t="s">
        <v>81</v>
      </c>
      <c r="E12" s="1" t="s">
        <v>81</v>
      </c>
      <c r="F12" s="1" t="s">
        <v>82</v>
      </c>
      <c r="G12">
        <v>1</v>
      </c>
      <c r="H12">
        <v>1</v>
      </c>
      <c r="I12" s="1" t="s">
        <v>49</v>
      </c>
      <c r="J12" s="1" t="s">
        <v>43</v>
      </c>
      <c r="K12" s="1" t="s">
        <v>44</v>
      </c>
      <c r="L12">
        <v>0</v>
      </c>
      <c r="M12" s="1" t="s">
        <v>32</v>
      </c>
    </row>
    <row r="13" spans="1:13" x14ac:dyDescent="0.2">
      <c r="A13" s="1" t="s">
        <v>54</v>
      </c>
      <c r="B13">
        <v>12</v>
      </c>
      <c r="C13" s="1" t="s">
        <v>28</v>
      </c>
      <c r="D13" s="1" t="s">
        <v>81</v>
      </c>
      <c r="E13" s="1" t="s">
        <v>81</v>
      </c>
      <c r="F13" s="1" t="s">
        <v>82</v>
      </c>
      <c r="G13">
        <v>1</v>
      </c>
      <c r="H13">
        <v>1</v>
      </c>
      <c r="I13" s="1" t="s">
        <v>49</v>
      </c>
      <c r="J13" s="1" t="s">
        <v>46</v>
      </c>
      <c r="K13" s="1" t="s">
        <v>47</v>
      </c>
      <c r="L13">
        <v>0</v>
      </c>
      <c r="M13" s="1" t="s">
        <v>32</v>
      </c>
    </row>
    <row r="14" spans="1:13" x14ac:dyDescent="0.2">
      <c r="A14" s="1" t="s">
        <v>55</v>
      </c>
      <c r="B14">
        <v>13</v>
      </c>
      <c r="C14" s="1" t="s">
        <v>28</v>
      </c>
      <c r="D14" s="1" t="s">
        <v>81</v>
      </c>
      <c r="E14" s="1" t="s">
        <v>81</v>
      </c>
      <c r="F14" s="1" t="s">
        <v>82</v>
      </c>
      <c r="G14">
        <v>1</v>
      </c>
      <c r="H14">
        <v>1</v>
      </c>
      <c r="I14" s="1" t="s">
        <v>56</v>
      </c>
      <c r="J14" s="1" t="s">
        <v>29</v>
      </c>
      <c r="K14" s="1" t="s">
        <v>30</v>
      </c>
      <c r="L14">
        <v>0</v>
      </c>
      <c r="M14" s="1" t="s">
        <v>32</v>
      </c>
    </row>
    <row r="15" spans="1:13" x14ac:dyDescent="0.2">
      <c r="A15" s="1" t="s">
        <v>57</v>
      </c>
      <c r="B15">
        <v>14</v>
      </c>
      <c r="C15" s="1" t="s">
        <v>28</v>
      </c>
      <c r="D15" s="1" t="s">
        <v>81</v>
      </c>
      <c r="E15" s="1" t="s">
        <v>81</v>
      </c>
      <c r="F15" s="1" t="s">
        <v>82</v>
      </c>
      <c r="G15">
        <v>1</v>
      </c>
      <c r="H15">
        <v>1</v>
      </c>
      <c r="I15" s="1" t="s">
        <v>56</v>
      </c>
      <c r="J15" s="1" t="s">
        <v>34</v>
      </c>
      <c r="K15" s="1" t="s">
        <v>35</v>
      </c>
      <c r="L15">
        <v>0</v>
      </c>
      <c r="M15" s="1" t="s">
        <v>32</v>
      </c>
    </row>
    <row r="16" spans="1:13" x14ac:dyDescent="0.2">
      <c r="A16" s="1" t="s">
        <v>58</v>
      </c>
      <c r="B16">
        <v>15</v>
      </c>
      <c r="C16" s="1" t="s">
        <v>28</v>
      </c>
      <c r="D16" s="1" t="s">
        <v>81</v>
      </c>
      <c r="E16" s="1" t="s">
        <v>81</v>
      </c>
      <c r="F16" s="1" t="s">
        <v>82</v>
      </c>
      <c r="G16">
        <v>1</v>
      </c>
      <c r="H16">
        <v>1</v>
      </c>
      <c r="I16" s="1" t="s">
        <v>56</v>
      </c>
      <c r="J16" s="1" t="s">
        <v>37</v>
      </c>
      <c r="K16" s="1" t="s">
        <v>38</v>
      </c>
      <c r="L16">
        <v>0</v>
      </c>
      <c r="M16" s="1" t="s">
        <v>32</v>
      </c>
    </row>
    <row r="17" spans="1:13" x14ac:dyDescent="0.2">
      <c r="A17" s="1" t="s">
        <v>59</v>
      </c>
      <c r="B17">
        <v>16</v>
      </c>
      <c r="C17" s="1" t="s">
        <v>28</v>
      </c>
      <c r="D17" s="1" t="s">
        <v>81</v>
      </c>
      <c r="E17" s="1" t="s">
        <v>81</v>
      </c>
      <c r="F17" s="1" t="s">
        <v>82</v>
      </c>
      <c r="G17">
        <v>1</v>
      </c>
      <c r="H17">
        <v>1</v>
      </c>
      <c r="I17" s="1" t="s">
        <v>56</v>
      </c>
      <c r="J17" s="1" t="s">
        <v>40</v>
      </c>
      <c r="K17" s="1" t="s">
        <v>41</v>
      </c>
      <c r="L17">
        <v>0</v>
      </c>
      <c r="M17" s="1" t="s">
        <v>32</v>
      </c>
    </row>
    <row r="18" spans="1:13" x14ac:dyDescent="0.2">
      <c r="A18" s="1" t="s">
        <v>60</v>
      </c>
      <c r="B18">
        <v>17</v>
      </c>
      <c r="C18" s="1" t="s">
        <v>28</v>
      </c>
      <c r="D18" s="1" t="s">
        <v>81</v>
      </c>
      <c r="E18" s="1" t="s">
        <v>81</v>
      </c>
      <c r="F18" s="1" t="s">
        <v>82</v>
      </c>
      <c r="G18">
        <v>1</v>
      </c>
      <c r="H18">
        <v>1</v>
      </c>
      <c r="I18" s="1" t="s">
        <v>56</v>
      </c>
      <c r="J18" s="1" t="s">
        <v>43</v>
      </c>
      <c r="K18" s="1" t="s">
        <v>44</v>
      </c>
      <c r="L18">
        <v>0</v>
      </c>
      <c r="M18" s="1" t="s">
        <v>32</v>
      </c>
    </row>
    <row r="19" spans="1:13" x14ac:dyDescent="0.2">
      <c r="A19" s="1" t="s">
        <v>61</v>
      </c>
      <c r="B19">
        <v>18</v>
      </c>
      <c r="C19" s="1" t="s">
        <v>28</v>
      </c>
      <c r="D19" s="1" t="s">
        <v>81</v>
      </c>
      <c r="E19" s="1" t="s">
        <v>81</v>
      </c>
      <c r="F19" s="1" t="s">
        <v>82</v>
      </c>
      <c r="G19">
        <v>1</v>
      </c>
      <c r="H19">
        <v>1</v>
      </c>
      <c r="I19" s="1" t="s">
        <v>56</v>
      </c>
      <c r="J19" s="1" t="s">
        <v>46</v>
      </c>
      <c r="K19" s="1" t="s">
        <v>47</v>
      </c>
      <c r="L19">
        <v>0</v>
      </c>
      <c r="M19" s="1" t="s">
        <v>32</v>
      </c>
    </row>
    <row r="20" spans="1:13" x14ac:dyDescent="0.2">
      <c r="A20" s="1" t="s">
        <v>62</v>
      </c>
      <c r="B20">
        <v>19</v>
      </c>
      <c r="C20" s="1" t="s">
        <v>28</v>
      </c>
      <c r="D20" s="1" t="s">
        <v>81</v>
      </c>
      <c r="E20" s="1" t="s">
        <v>81</v>
      </c>
      <c r="F20" s="1" t="s">
        <v>82</v>
      </c>
      <c r="G20">
        <v>1</v>
      </c>
      <c r="H20">
        <v>1</v>
      </c>
      <c r="I20" s="1" t="s">
        <v>63</v>
      </c>
      <c r="J20" s="1" t="s">
        <v>29</v>
      </c>
      <c r="K20" s="1" t="s">
        <v>30</v>
      </c>
      <c r="L20">
        <v>0</v>
      </c>
      <c r="M20" s="1" t="s">
        <v>32</v>
      </c>
    </row>
    <row r="21" spans="1:13" x14ac:dyDescent="0.2">
      <c r="A21" s="1" t="s">
        <v>64</v>
      </c>
      <c r="B21">
        <v>20</v>
      </c>
      <c r="C21" s="1" t="s">
        <v>28</v>
      </c>
      <c r="D21" s="1" t="s">
        <v>81</v>
      </c>
      <c r="E21" s="1" t="s">
        <v>81</v>
      </c>
      <c r="F21" s="1" t="s">
        <v>82</v>
      </c>
      <c r="G21">
        <v>1</v>
      </c>
      <c r="H21">
        <v>1</v>
      </c>
      <c r="I21" s="1" t="s">
        <v>63</v>
      </c>
      <c r="J21" s="1" t="s">
        <v>34</v>
      </c>
      <c r="K21" s="1" t="s">
        <v>35</v>
      </c>
      <c r="L21">
        <v>0</v>
      </c>
      <c r="M21" s="1" t="s">
        <v>32</v>
      </c>
    </row>
    <row r="22" spans="1:13" x14ac:dyDescent="0.2">
      <c r="A22" s="1" t="s">
        <v>65</v>
      </c>
      <c r="B22">
        <v>21</v>
      </c>
      <c r="C22" s="1" t="s">
        <v>28</v>
      </c>
      <c r="D22" s="1" t="s">
        <v>81</v>
      </c>
      <c r="E22" s="1" t="s">
        <v>81</v>
      </c>
      <c r="F22" s="1" t="s">
        <v>82</v>
      </c>
      <c r="G22">
        <v>1</v>
      </c>
      <c r="H22">
        <v>1</v>
      </c>
      <c r="I22" s="1" t="s">
        <v>63</v>
      </c>
      <c r="J22" s="1" t="s">
        <v>37</v>
      </c>
      <c r="K22" s="1" t="s">
        <v>38</v>
      </c>
      <c r="L22">
        <v>0</v>
      </c>
      <c r="M22" s="1" t="s">
        <v>32</v>
      </c>
    </row>
    <row r="23" spans="1:13" x14ac:dyDescent="0.2">
      <c r="A23" s="1" t="s">
        <v>66</v>
      </c>
      <c r="B23">
        <v>22</v>
      </c>
      <c r="C23" s="1" t="s">
        <v>28</v>
      </c>
      <c r="D23" s="1" t="s">
        <v>81</v>
      </c>
      <c r="E23" s="1" t="s">
        <v>81</v>
      </c>
      <c r="F23" s="1" t="s">
        <v>82</v>
      </c>
      <c r="G23">
        <v>1</v>
      </c>
      <c r="H23">
        <v>1</v>
      </c>
      <c r="I23" s="1" t="s">
        <v>63</v>
      </c>
      <c r="J23" s="1" t="s">
        <v>40</v>
      </c>
      <c r="K23" s="1" t="s">
        <v>41</v>
      </c>
      <c r="L23">
        <v>0</v>
      </c>
      <c r="M23" s="1" t="s">
        <v>32</v>
      </c>
    </row>
    <row r="24" spans="1:13" x14ac:dyDescent="0.2">
      <c r="A24" s="1" t="s">
        <v>67</v>
      </c>
      <c r="B24">
        <v>23</v>
      </c>
      <c r="C24" s="1" t="s">
        <v>28</v>
      </c>
      <c r="D24" s="1" t="s">
        <v>81</v>
      </c>
      <c r="E24" s="1" t="s">
        <v>81</v>
      </c>
      <c r="F24" s="1" t="s">
        <v>82</v>
      </c>
      <c r="G24">
        <v>1</v>
      </c>
      <c r="H24">
        <v>1</v>
      </c>
      <c r="I24" s="1" t="s">
        <v>63</v>
      </c>
      <c r="J24" s="1" t="s">
        <v>43</v>
      </c>
      <c r="K24" s="1" t="s">
        <v>44</v>
      </c>
      <c r="L24">
        <v>0</v>
      </c>
      <c r="M24" s="1" t="s">
        <v>32</v>
      </c>
    </row>
    <row r="25" spans="1:13" x14ac:dyDescent="0.2">
      <c r="A25" s="1" t="s">
        <v>68</v>
      </c>
      <c r="B25">
        <v>24</v>
      </c>
      <c r="C25" s="1" t="s">
        <v>28</v>
      </c>
      <c r="D25" s="1" t="s">
        <v>81</v>
      </c>
      <c r="E25" s="1" t="s">
        <v>81</v>
      </c>
      <c r="F25" s="1" t="s">
        <v>82</v>
      </c>
      <c r="G25">
        <v>1</v>
      </c>
      <c r="H25">
        <v>1</v>
      </c>
      <c r="I25" s="1" t="s">
        <v>63</v>
      </c>
      <c r="J25" s="1" t="s">
        <v>46</v>
      </c>
      <c r="K25" s="1" t="s">
        <v>47</v>
      </c>
      <c r="L25">
        <v>0</v>
      </c>
      <c r="M25" s="1" t="s">
        <v>32</v>
      </c>
    </row>
    <row r="26" spans="1:13" x14ac:dyDescent="0.2">
      <c r="A26" s="1" t="s">
        <v>111</v>
      </c>
      <c r="B26">
        <v>25</v>
      </c>
      <c r="C26" s="1" t="s">
        <v>28</v>
      </c>
      <c r="D26" s="1" t="s">
        <v>81</v>
      </c>
      <c r="E26" s="1" t="s">
        <v>112</v>
      </c>
      <c r="F26" s="1" t="s">
        <v>113</v>
      </c>
      <c r="G26">
        <v>1</v>
      </c>
      <c r="H26">
        <v>2</v>
      </c>
      <c r="I26" s="1" t="s">
        <v>31</v>
      </c>
      <c r="J26" s="1" t="s">
        <v>29</v>
      </c>
      <c r="K26" s="1" t="s">
        <v>30</v>
      </c>
      <c r="L26">
        <v>0</v>
      </c>
      <c r="M26" s="1" t="s">
        <v>32</v>
      </c>
    </row>
    <row r="27" spans="1:13" x14ac:dyDescent="0.2">
      <c r="A27" s="1" t="s">
        <v>114</v>
      </c>
      <c r="B27">
        <v>26</v>
      </c>
      <c r="C27" s="1" t="s">
        <v>28</v>
      </c>
      <c r="D27" s="1" t="s">
        <v>81</v>
      </c>
      <c r="E27" s="1" t="s">
        <v>112</v>
      </c>
      <c r="F27" s="1" t="s">
        <v>113</v>
      </c>
      <c r="G27">
        <v>1</v>
      </c>
      <c r="H27">
        <v>2</v>
      </c>
      <c r="I27" s="1" t="s">
        <v>31</v>
      </c>
      <c r="J27" s="1" t="s">
        <v>34</v>
      </c>
      <c r="K27" s="1" t="s">
        <v>35</v>
      </c>
      <c r="L27">
        <v>0</v>
      </c>
      <c r="M27" s="1" t="s">
        <v>32</v>
      </c>
    </row>
    <row r="28" spans="1:13" x14ac:dyDescent="0.2">
      <c r="A28" s="1" t="s">
        <v>115</v>
      </c>
      <c r="B28">
        <v>27</v>
      </c>
      <c r="C28" s="1" t="s">
        <v>28</v>
      </c>
      <c r="D28" s="1" t="s">
        <v>81</v>
      </c>
      <c r="E28" s="1" t="s">
        <v>112</v>
      </c>
      <c r="F28" s="1" t="s">
        <v>113</v>
      </c>
      <c r="G28">
        <v>1</v>
      </c>
      <c r="H28">
        <v>2</v>
      </c>
      <c r="I28" s="1" t="s">
        <v>31</v>
      </c>
      <c r="J28" s="1" t="s">
        <v>37</v>
      </c>
      <c r="K28" s="1" t="s">
        <v>38</v>
      </c>
      <c r="L28">
        <v>0</v>
      </c>
      <c r="M28" s="1" t="s">
        <v>32</v>
      </c>
    </row>
    <row r="29" spans="1:13" x14ac:dyDescent="0.2">
      <c r="A29" s="1" t="s">
        <v>116</v>
      </c>
      <c r="B29">
        <v>28</v>
      </c>
      <c r="C29" s="1" t="s">
        <v>28</v>
      </c>
      <c r="D29" s="1" t="s">
        <v>81</v>
      </c>
      <c r="E29" s="1" t="s">
        <v>112</v>
      </c>
      <c r="F29" s="1" t="s">
        <v>113</v>
      </c>
      <c r="G29">
        <v>1</v>
      </c>
      <c r="H29">
        <v>2</v>
      </c>
      <c r="I29" s="1" t="s">
        <v>31</v>
      </c>
      <c r="J29" s="1" t="s">
        <v>40</v>
      </c>
      <c r="K29" s="1" t="s">
        <v>41</v>
      </c>
      <c r="L29">
        <v>0</v>
      </c>
      <c r="M29" s="1" t="s">
        <v>32</v>
      </c>
    </row>
    <row r="30" spans="1:13" x14ac:dyDescent="0.2">
      <c r="A30" s="1" t="s">
        <v>117</v>
      </c>
      <c r="B30">
        <v>29</v>
      </c>
      <c r="C30" s="1" t="s">
        <v>28</v>
      </c>
      <c r="D30" s="1" t="s">
        <v>81</v>
      </c>
      <c r="E30" s="1" t="s">
        <v>112</v>
      </c>
      <c r="F30" s="1" t="s">
        <v>113</v>
      </c>
      <c r="G30">
        <v>1</v>
      </c>
      <c r="H30">
        <v>2</v>
      </c>
      <c r="I30" s="1" t="s">
        <v>31</v>
      </c>
      <c r="J30" s="1" t="s">
        <v>43</v>
      </c>
      <c r="K30" s="1" t="s">
        <v>44</v>
      </c>
      <c r="L30">
        <v>0</v>
      </c>
      <c r="M30" s="1" t="s">
        <v>32</v>
      </c>
    </row>
    <row r="31" spans="1:13" x14ac:dyDescent="0.2">
      <c r="A31" s="1" t="s">
        <v>118</v>
      </c>
      <c r="B31">
        <v>30</v>
      </c>
      <c r="C31" s="1" t="s">
        <v>28</v>
      </c>
      <c r="D31" s="1" t="s">
        <v>81</v>
      </c>
      <c r="E31" s="1" t="s">
        <v>112</v>
      </c>
      <c r="F31" s="1" t="s">
        <v>113</v>
      </c>
      <c r="G31">
        <v>1</v>
      </c>
      <c r="H31">
        <v>2</v>
      </c>
      <c r="I31" s="1" t="s">
        <v>31</v>
      </c>
      <c r="J31" s="1" t="s">
        <v>46</v>
      </c>
      <c r="K31" s="1" t="s">
        <v>47</v>
      </c>
      <c r="L31">
        <v>0</v>
      </c>
      <c r="M31" s="1" t="s">
        <v>32</v>
      </c>
    </row>
    <row r="32" spans="1:13" x14ac:dyDescent="0.2">
      <c r="A32" s="1" t="s">
        <v>119</v>
      </c>
      <c r="B32">
        <v>31</v>
      </c>
      <c r="C32" s="1" t="s">
        <v>28</v>
      </c>
      <c r="D32" s="1" t="s">
        <v>81</v>
      </c>
      <c r="E32" s="1" t="s">
        <v>112</v>
      </c>
      <c r="F32" s="1" t="s">
        <v>113</v>
      </c>
      <c r="G32">
        <v>1</v>
      </c>
      <c r="H32">
        <v>2</v>
      </c>
      <c r="I32" s="1" t="s">
        <v>49</v>
      </c>
      <c r="J32" s="1" t="s">
        <v>29</v>
      </c>
      <c r="K32" s="1" t="s">
        <v>30</v>
      </c>
      <c r="L32">
        <v>0</v>
      </c>
      <c r="M32" s="1" t="s">
        <v>32</v>
      </c>
    </row>
    <row r="33" spans="1:13" x14ac:dyDescent="0.2">
      <c r="A33" s="1" t="s">
        <v>120</v>
      </c>
      <c r="B33">
        <v>32</v>
      </c>
      <c r="C33" s="1" t="s">
        <v>28</v>
      </c>
      <c r="D33" s="1" t="s">
        <v>81</v>
      </c>
      <c r="E33" s="1" t="s">
        <v>112</v>
      </c>
      <c r="F33" s="1" t="s">
        <v>113</v>
      </c>
      <c r="G33">
        <v>1</v>
      </c>
      <c r="H33">
        <v>2</v>
      </c>
      <c r="I33" s="1" t="s">
        <v>49</v>
      </c>
      <c r="J33" s="1" t="s">
        <v>34</v>
      </c>
      <c r="K33" s="1" t="s">
        <v>35</v>
      </c>
      <c r="L33">
        <v>0</v>
      </c>
      <c r="M33" s="1" t="s">
        <v>32</v>
      </c>
    </row>
    <row r="34" spans="1:13" x14ac:dyDescent="0.2">
      <c r="A34" s="1" t="s">
        <v>121</v>
      </c>
      <c r="B34">
        <v>33</v>
      </c>
      <c r="C34" s="1" t="s">
        <v>28</v>
      </c>
      <c r="D34" s="1" t="s">
        <v>81</v>
      </c>
      <c r="E34" s="1" t="s">
        <v>112</v>
      </c>
      <c r="F34" s="1" t="s">
        <v>113</v>
      </c>
      <c r="G34">
        <v>1</v>
      </c>
      <c r="H34">
        <v>2</v>
      </c>
      <c r="I34" s="1" t="s">
        <v>49</v>
      </c>
      <c r="J34" s="1" t="s">
        <v>37</v>
      </c>
      <c r="K34" s="1" t="s">
        <v>38</v>
      </c>
      <c r="L34">
        <v>0</v>
      </c>
      <c r="M34" s="1" t="s">
        <v>32</v>
      </c>
    </row>
    <row r="35" spans="1:13" x14ac:dyDescent="0.2">
      <c r="A35" s="1" t="s">
        <v>122</v>
      </c>
      <c r="B35">
        <v>34</v>
      </c>
      <c r="C35" s="1" t="s">
        <v>28</v>
      </c>
      <c r="D35" s="1" t="s">
        <v>81</v>
      </c>
      <c r="E35" s="1" t="s">
        <v>112</v>
      </c>
      <c r="F35" s="1" t="s">
        <v>113</v>
      </c>
      <c r="G35">
        <v>1</v>
      </c>
      <c r="H35">
        <v>2</v>
      </c>
      <c r="I35" s="1" t="s">
        <v>49</v>
      </c>
      <c r="J35" s="1" t="s">
        <v>40</v>
      </c>
      <c r="K35" s="1" t="s">
        <v>41</v>
      </c>
      <c r="L35">
        <v>0</v>
      </c>
      <c r="M35" s="1" t="s">
        <v>32</v>
      </c>
    </row>
    <row r="36" spans="1:13" x14ac:dyDescent="0.2">
      <c r="A36" s="1" t="s">
        <v>123</v>
      </c>
      <c r="B36">
        <v>35</v>
      </c>
      <c r="C36" s="1" t="s">
        <v>28</v>
      </c>
      <c r="D36" s="1" t="s">
        <v>81</v>
      </c>
      <c r="E36" s="1" t="s">
        <v>112</v>
      </c>
      <c r="F36" s="1" t="s">
        <v>113</v>
      </c>
      <c r="G36">
        <v>1</v>
      </c>
      <c r="H36">
        <v>2</v>
      </c>
      <c r="I36" s="1" t="s">
        <v>49</v>
      </c>
      <c r="J36" s="1" t="s">
        <v>43</v>
      </c>
      <c r="K36" s="1" t="s">
        <v>44</v>
      </c>
      <c r="L36">
        <v>0</v>
      </c>
      <c r="M36" s="1" t="s">
        <v>32</v>
      </c>
    </row>
    <row r="37" spans="1:13" x14ac:dyDescent="0.2">
      <c r="A37" s="1" t="s">
        <v>124</v>
      </c>
      <c r="B37">
        <v>36</v>
      </c>
      <c r="C37" s="1" t="s">
        <v>28</v>
      </c>
      <c r="D37" s="1" t="s">
        <v>81</v>
      </c>
      <c r="E37" s="1" t="s">
        <v>112</v>
      </c>
      <c r="F37" s="1" t="s">
        <v>113</v>
      </c>
      <c r="G37">
        <v>1</v>
      </c>
      <c r="H37">
        <v>2</v>
      </c>
      <c r="I37" s="1" t="s">
        <v>49</v>
      </c>
      <c r="J37" s="1" t="s">
        <v>46</v>
      </c>
      <c r="K37" s="1" t="s">
        <v>47</v>
      </c>
      <c r="L37">
        <v>0</v>
      </c>
      <c r="M37" s="1" t="s">
        <v>32</v>
      </c>
    </row>
    <row r="38" spans="1:13" x14ac:dyDescent="0.2">
      <c r="A38" s="1" t="s">
        <v>125</v>
      </c>
      <c r="B38">
        <v>37</v>
      </c>
      <c r="C38" s="1" t="s">
        <v>28</v>
      </c>
      <c r="D38" s="1" t="s">
        <v>81</v>
      </c>
      <c r="E38" s="1" t="s">
        <v>112</v>
      </c>
      <c r="F38" s="1" t="s">
        <v>113</v>
      </c>
      <c r="G38">
        <v>1</v>
      </c>
      <c r="H38">
        <v>2</v>
      </c>
      <c r="I38" s="1" t="s">
        <v>56</v>
      </c>
      <c r="J38" s="1" t="s">
        <v>29</v>
      </c>
      <c r="K38" s="1" t="s">
        <v>30</v>
      </c>
      <c r="L38">
        <v>0</v>
      </c>
      <c r="M38" s="1" t="s">
        <v>32</v>
      </c>
    </row>
    <row r="39" spans="1:13" x14ac:dyDescent="0.2">
      <c r="A39" s="1" t="s">
        <v>126</v>
      </c>
      <c r="B39">
        <v>38</v>
      </c>
      <c r="C39" s="1" t="s">
        <v>28</v>
      </c>
      <c r="D39" s="1" t="s">
        <v>81</v>
      </c>
      <c r="E39" s="1" t="s">
        <v>112</v>
      </c>
      <c r="F39" s="1" t="s">
        <v>113</v>
      </c>
      <c r="G39">
        <v>1</v>
      </c>
      <c r="H39">
        <v>2</v>
      </c>
      <c r="I39" s="1" t="s">
        <v>56</v>
      </c>
      <c r="J39" s="1" t="s">
        <v>34</v>
      </c>
      <c r="K39" s="1" t="s">
        <v>35</v>
      </c>
      <c r="L39">
        <v>0</v>
      </c>
      <c r="M39" s="1" t="s">
        <v>32</v>
      </c>
    </row>
    <row r="40" spans="1:13" x14ac:dyDescent="0.2">
      <c r="A40" s="1" t="s">
        <v>127</v>
      </c>
      <c r="B40">
        <v>39</v>
      </c>
      <c r="C40" s="1" t="s">
        <v>28</v>
      </c>
      <c r="D40" s="1" t="s">
        <v>81</v>
      </c>
      <c r="E40" s="1" t="s">
        <v>112</v>
      </c>
      <c r="F40" s="1" t="s">
        <v>113</v>
      </c>
      <c r="G40">
        <v>1</v>
      </c>
      <c r="H40">
        <v>2</v>
      </c>
      <c r="I40" s="1" t="s">
        <v>56</v>
      </c>
      <c r="J40" s="1" t="s">
        <v>37</v>
      </c>
      <c r="K40" s="1" t="s">
        <v>38</v>
      </c>
      <c r="L40">
        <v>0</v>
      </c>
      <c r="M40" s="1" t="s">
        <v>32</v>
      </c>
    </row>
    <row r="41" spans="1:13" x14ac:dyDescent="0.2">
      <c r="A41" s="1" t="s">
        <v>128</v>
      </c>
      <c r="B41">
        <v>40</v>
      </c>
      <c r="C41" s="1" t="s">
        <v>28</v>
      </c>
      <c r="D41" s="1" t="s">
        <v>81</v>
      </c>
      <c r="E41" s="1" t="s">
        <v>112</v>
      </c>
      <c r="F41" s="1" t="s">
        <v>113</v>
      </c>
      <c r="G41">
        <v>1</v>
      </c>
      <c r="H41">
        <v>2</v>
      </c>
      <c r="I41" s="1" t="s">
        <v>56</v>
      </c>
      <c r="J41" s="1" t="s">
        <v>40</v>
      </c>
      <c r="K41" s="1" t="s">
        <v>41</v>
      </c>
      <c r="L41">
        <v>0</v>
      </c>
      <c r="M41" s="1" t="s">
        <v>32</v>
      </c>
    </row>
    <row r="42" spans="1:13" x14ac:dyDescent="0.2">
      <c r="A42" s="1" t="s">
        <v>129</v>
      </c>
      <c r="B42">
        <v>41</v>
      </c>
      <c r="C42" s="1" t="s">
        <v>28</v>
      </c>
      <c r="D42" s="1" t="s">
        <v>81</v>
      </c>
      <c r="E42" s="1" t="s">
        <v>112</v>
      </c>
      <c r="F42" s="1" t="s">
        <v>113</v>
      </c>
      <c r="G42">
        <v>1</v>
      </c>
      <c r="H42">
        <v>2</v>
      </c>
      <c r="I42" s="1" t="s">
        <v>56</v>
      </c>
      <c r="J42" s="1" t="s">
        <v>43</v>
      </c>
      <c r="K42" s="1" t="s">
        <v>44</v>
      </c>
      <c r="L42">
        <v>0</v>
      </c>
      <c r="M42" s="1" t="s">
        <v>32</v>
      </c>
    </row>
    <row r="43" spans="1:13" x14ac:dyDescent="0.2">
      <c r="A43" s="1" t="s">
        <v>130</v>
      </c>
      <c r="B43">
        <v>42</v>
      </c>
      <c r="C43" s="1" t="s">
        <v>28</v>
      </c>
      <c r="D43" s="1" t="s">
        <v>81</v>
      </c>
      <c r="E43" s="1" t="s">
        <v>112</v>
      </c>
      <c r="F43" s="1" t="s">
        <v>113</v>
      </c>
      <c r="G43">
        <v>1</v>
      </c>
      <c r="H43">
        <v>2</v>
      </c>
      <c r="I43" s="1" t="s">
        <v>56</v>
      </c>
      <c r="J43" s="1" t="s">
        <v>46</v>
      </c>
      <c r="K43" s="1" t="s">
        <v>47</v>
      </c>
      <c r="L43">
        <v>0</v>
      </c>
      <c r="M43" s="1" t="s">
        <v>32</v>
      </c>
    </row>
    <row r="44" spans="1:13" x14ac:dyDescent="0.2">
      <c r="A44" s="1" t="s">
        <v>131</v>
      </c>
      <c r="B44">
        <v>43</v>
      </c>
      <c r="C44" s="1" t="s">
        <v>28</v>
      </c>
      <c r="D44" s="1" t="s">
        <v>81</v>
      </c>
      <c r="E44" s="1" t="s">
        <v>112</v>
      </c>
      <c r="F44" s="1" t="s">
        <v>113</v>
      </c>
      <c r="G44">
        <v>1</v>
      </c>
      <c r="H44">
        <v>2</v>
      </c>
      <c r="I44" s="1" t="s">
        <v>63</v>
      </c>
      <c r="J44" s="1" t="s">
        <v>29</v>
      </c>
      <c r="K44" s="1" t="s">
        <v>30</v>
      </c>
      <c r="L44">
        <v>0</v>
      </c>
      <c r="M44" s="1" t="s">
        <v>32</v>
      </c>
    </row>
    <row r="45" spans="1:13" x14ac:dyDescent="0.2">
      <c r="A45" s="1" t="s">
        <v>132</v>
      </c>
      <c r="B45">
        <v>44</v>
      </c>
      <c r="C45" s="1" t="s">
        <v>28</v>
      </c>
      <c r="D45" s="1" t="s">
        <v>81</v>
      </c>
      <c r="E45" s="1" t="s">
        <v>112</v>
      </c>
      <c r="F45" s="1" t="s">
        <v>113</v>
      </c>
      <c r="G45">
        <v>1</v>
      </c>
      <c r="H45">
        <v>2</v>
      </c>
      <c r="I45" s="1" t="s">
        <v>63</v>
      </c>
      <c r="J45" s="1" t="s">
        <v>34</v>
      </c>
      <c r="K45" s="1" t="s">
        <v>35</v>
      </c>
      <c r="L45">
        <v>0</v>
      </c>
      <c r="M45" s="1" t="s">
        <v>32</v>
      </c>
    </row>
    <row r="46" spans="1:13" x14ac:dyDescent="0.2">
      <c r="A46" s="1" t="s">
        <v>133</v>
      </c>
      <c r="B46">
        <v>45</v>
      </c>
      <c r="C46" s="1" t="s">
        <v>28</v>
      </c>
      <c r="D46" s="1" t="s">
        <v>81</v>
      </c>
      <c r="E46" s="1" t="s">
        <v>112</v>
      </c>
      <c r="F46" s="1" t="s">
        <v>113</v>
      </c>
      <c r="G46">
        <v>1</v>
      </c>
      <c r="H46">
        <v>2</v>
      </c>
      <c r="I46" s="1" t="s">
        <v>63</v>
      </c>
      <c r="J46" s="1" t="s">
        <v>37</v>
      </c>
      <c r="K46" s="1" t="s">
        <v>38</v>
      </c>
      <c r="L46">
        <v>0</v>
      </c>
      <c r="M46" s="1" t="s">
        <v>32</v>
      </c>
    </row>
    <row r="47" spans="1:13" x14ac:dyDescent="0.2">
      <c r="A47" s="1" t="s">
        <v>134</v>
      </c>
      <c r="B47">
        <v>46</v>
      </c>
      <c r="C47" s="1" t="s">
        <v>28</v>
      </c>
      <c r="D47" s="1" t="s">
        <v>81</v>
      </c>
      <c r="E47" s="1" t="s">
        <v>112</v>
      </c>
      <c r="F47" s="1" t="s">
        <v>113</v>
      </c>
      <c r="G47">
        <v>1</v>
      </c>
      <c r="H47">
        <v>2</v>
      </c>
      <c r="I47" s="1" t="s">
        <v>63</v>
      </c>
      <c r="J47" s="1" t="s">
        <v>40</v>
      </c>
      <c r="K47" s="1" t="s">
        <v>41</v>
      </c>
      <c r="L47">
        <v>0</v>
      </c>
      <c r="M47" s="1" t="s">
        <v>32</v>
      </c>
    </row>
    <row r="48" spans="1:13" x14ac:dyDescent="0.2">
      <c r="A48" s="1" t="s">
        <v>135</v>
      </c>
      <c r="B48">
        <v>47</v>
      </c>
      <c r="C48" s="1" t="s">
        <v>28</v>
      </c>
      <c r="D48" s="1" t="s">
        <v>81</v>
      </c>
      <c r="E48" s="1" t="s">
        <v>112</v>
      </c>
      <c r="F48" s="1" t="s">
        <v>113</v>
      </c>
      <c r="G48">
        <v>1</v>
      </c>
      <c r="H48">
        <v>2</v>
      </c>
      <c r="I48" s="1" t="s">
        <v>63</v>
      </c>
      <c r="J48" s="1" t="s">
        <v>43</v>
      </c>
      <c r="K48" s="1" t="s">
        <v>44</v>
      </c>
      <c r="L48">
        <v>0</v>
      </c>
      <c r="M48" s="1" t="s">
        <v>32</v>
      </c>
    </row>
    <row r="49" spans="1:13" x14ac:dyDescent="0.2">
      <c r="A49" s="1" t="s">
        <v>136</v>
      </c>
      <c r="B49">
        <v>48</v>
      </c>
      <c r="C49" s="1" t="s">
        <v>28</v>
      </c>
      <c r="D49" s="1" t="s">
        <v>81</v>
      </c>
      <c r="E49" s="1" t="s">
        <v>112</v>
      </c>
      <c r="F49" s="1" t="s">
        <v>113</v>
      </c>
      <c r="G49">
        <v>1</v>
      </c>
      <c r="H49">
        <v>2</v>
      </c>
      <c r="I49" s="1" t="s">
        <v>63</v>
      </c>
      <c r="J49" s="1" t="s">
        <v>46</v>
      </c>
      <c r="K49" s="1" t="s">
        <v>47</v>
      </c>
      <c r="L49">
        <v>0</v>
      </c>
      <c r="M49" s="1" t="s">
        <v>32</v>
      </c>
    </row>
    <row r="50" spans="1:13" x14ac:dyDescent="0.2">
      <c r="A50" s="1" t="s">
        <v>155</v>
      </c>
      <c r="B50">
        <v>49</v>
      </c>
      <c r="C50" s="1" t="s">
        <v>28</v>
      </c>
      <c r="D50" s="1" t="s">
        <v>81</v>
      </c>
      <c r="E50" s="1" t="s">
        <v>31</v>
      </c>
      <c r="F50" s="1" t="s">
        <v>156</v>
      </c>
      <c r="G50">
        <v>1</v>
      </c>
      <c r="H50">
        <v>3</v>
      </c>
      <c r="I50" s="1" t="s">
        <v>31</v>
      </c>
      <c r="J50" s="1" t="s">
        <v>29</v>
      </c>
      <c r="K50" s="1" t="s">
        <v>30</v>
      </c>
      <c r="L50">
        <v>0</v>
      </c>
      <c r="M50" s="1" t="s">
        <v>32</v>
      </c>
    </row>
    <row r="51" spans="1:13" x14ac:dyDescent="0.2">
      <c r="A51" s="1" t="s">
        <v>157</v>
      </c>
      <c r="B51">
        <v>50</v>
      </c>
      <c r="C51" s="1" t="s">
        <v>28</v>
      </c>
      <c r="D51" s="1" t="s">
        <v>81</v>
      </c>
      <c r="E51" s="1" t="s">
        <v>31</v>
      </c>
      <c r="F51" s="1" t="s">
        <v>156</v>
      </c>
      <c r="G51">
        <v>1</v>
      </c>
      <c r="H51">
        <v>3</v>
      </c>
      <c r="I51" s="1" t="s">
        <v>31</v>
      </c>
      <c r="J51" s="1" t="s">
        <v>34</v>
      </c>
      <c r="K51" s="1" t="s">
        <v>35</v>
      </c>
      <c r="L51">
        <v>0</v>
      </c>
      <c r="M51" s="1" t="s">
        <v>32</v>
      </c>
    </row>
    <row r="52" spans="1:13" x14ac:dyDescent="0.2">
      <c r="A52" s="1" t="s">
        <v>158</v>
      </c>
      <c r="B52">
        <v>51</v>
      </c>
      <c r="C52" s="1" t="s">
        <v>28</v>
      </c>
      <c r="D52" s="1" t="s">
        <v>81</v>
      </c>
      <c r="E52" s="1" t="s">
        <v>31</v>
      </c>
      <c r="F52" s="1" t="s">
        <v>156</v>
      </c>
      <c r="G52">
        <v>1</v>
      </c>
      <c r="H52">
        <v>3</v>
      </c>
      <c r="I52" s="1" t="s">
        <v>31</v>
      </c>
      <c r="J52" s="1" t="s">
        <v>37</v>
      </c>
      <c r="K52" s="1" t="s">
        <v>38</v>
      </c>
      <c r="L52">
        <v>0</v>
      </c>
      <c r="M52" s="1" t="s">
        <v>32</v>
      </c>
    </row>
    <row r="53" spans="1:13" x14ac:dyDescent="0.2">
      <c r="A53" s="1" t="s">
        <v>159</v>
      </c>
      <c r="B53">
        <v>52</v>
      </c>
      <c r="C53" s="1" t="s">
        <v>28</v>
      </c>
      <c r="D53" s="1" t="s">
        <v>81</v>
      </c>
      <c r="E53" s="1" t="s">
        <v>31</v>
      </c>
      <c r="F53" s="1" t="s">
        <v>156</v>
      </c>
      <c r="G53">
        <v>1</v>
      </c>
      <c r="H53">
        <v>3</v>
      </c>
      <c r="I53" s="1" t="s">
        <v>31</v>
      </c>
      <c r="J53" s="1" t="s">
        <v>40</v>
      </c>
      <c r="K53" s="1" t="s">
        <v>41</v>
      </c>
      <c r="L53">
        <v>0</v>
      </c>
      <c r="M53" s="1" t="s">
        <v>32</v>
      </c>
    </row>
    <row r="54" spans="1:13" x14ac:dyDescent="0.2">
      <c r="A54" s="1" t="s">
        <v>160</v>
      </c>
      <c r="B54">
        <v>53</v>
      </c>
      <c r="C54" s="1" t="s">
        <v>28</v>
      </c>
      <c r="D54" s="1" t="s">
        <v>81</v>
      </c>
      <c r="E54" s="1" t="s">
        <v>31</v>
      </c>
      <c r="F54" s="1" t="s">
        <v>156</v>
      </c>
      <c r="G54">
        <v>1</v>
      </c>
      <c r="H54">
        <v>3</v>
      </c>
      <c r="I54" s="1" t="s">
        <v>31</v>
      </c>
      <c r="J54" s="1" t="s">
        <v>43</v>
      </c>
      <c r="K54" s="1" t="s">
        <v>44</v>
      </c>
      <c r="L54">
        <v>0</v>
      </c>
      <c r="M54" s="1" t="s">
        <v>32</v>
      </c>
    </row>
    <row r="55" spans="1:13" x14ac:dyDescent="0.2">
      <c r="A55" s="1" t="s">
        <v>161</v>
      </c>
      <c r="B55">
        <v>54</v>
      </c>
      <c r="C55" s="1" t="s">
        <v>28</v>
      </c>
      <c r="D55" s="1" t="s">
        <v>81</v>
      </c>
      <c r="E55" s="1" t="s">
        <v>31</v>
      </c>
      <c r="F55" s="1" t="s">
        <v>156</v>
      </c>
      <c r="G55">
        <v>1</v>
      </c>
      <c r="H55">
        <v>3</v>
      </c>
      <c r="I55" s="1" t="s">
        <v>31</v>
      </c>
      <c r="J55" s="1" t="s">
        <v>46</v>
      </c>
      <c r="K55" s="1" t="s">
        <v>47</v>
      </c>
      <c r="L55">
        <v>0</v>
      </c>
      <c r="M55" s="1" t="s">
        <v>32</v>
      </c>
    </row>
    <row r="56" spans="1:13" x14ac:dyDescent="0.2">
      <c r="A56" s="1" t="s">
        <v>162</v>
      </c>
      <c r="B56">
        <v>55</v>
      </c>
      <c r="C56" s="1" t="s">
        <v>28</v>
      </c>
      <c r="D56" s="1" t="s">
        <v>81</v>
      </c>
      <c r="E56" s="1" t="s">
        <v>31</v>
      </c>
      <c r="F56" s="1" t="s">
        <v>156</v>
      </c>
      <c r="G56">
        <v>1</v>
      </c>
      <c r="H56">
        <v>3</v>
      </c>
      <c r="I56" s="1" t="s">
        <v>49</v>
      </c>
      <c r="J56" s="1" t="s">
        <v>29</v>
      </c>
      <c r="K56" s="1" t="s">
        <v>30</v>
      </c>
      <c r="L56">
        <v>0</v>
      </c>
      <c r="M56" s="1" t="s">
        <v>32</v>
      </c>
    </row>
    <row r="57" spans="1:13" x14ac:dyDescent="0.2">
      <c r="A57" s="1" t="s">
        <v>163</v>
      </c>
      <c r="B57">
        <v>56</v>
      </c>
      <c r="C57" s="1" t="s">
        <v>28</v>
      </c>
      <c r="D57" s="1" t="s">
        <v>81</v>
      </c>
      <c r="E57" s="1" t="s">
        <v>31</v>
      </c>
      <c r="F57" s="1" t="s">
        <v>156</v>
      </c>
      <c r="G57">
        <v>1</v>
      </c>
      <c r="H57">
        <v>3</v>
      </c>
      <c r="I57" s="1" t="s">
        <v>49</v>
      </c>
      <c r="J57" s="1" t="s">
        <v>34</v>
      </c>
      <c r="K57" s="1" t="s">
        <v>35</v>
      </c>
      <c r="L57">
        <v>0</v>
      </c>
      <c r="M57" s="1" t="s">
        <v>32</v>
      </c>
    </row>
    <row r="58" spans="1:13" x14ac:dyDescent="0.2">
      <c r="A58" s="1" t="s">
        <v>164</v>
      </c>
      <c r="B58">
        <v>57</v>
      </c>
      <c r="C58" s="1" t="s">
        <v>28</v>
      </c>
      <c r="D58" s="1" t="s">
        <v>81</v>
      </c>
      <c r="E58" s="1" t="s">
        <v>31</v>
      </c>
      <c r="F58" s="1" t="s">
        <v>156</v>
      </c>
      <c r="G58">
        <v>1</v>
      </c>
      <c r="H58">
        <v>3</v>
      </c>
      <c r="I58" s="1" t="s">
        <v>49</v>
      </c>
      <c r="J58" s="1" t="s">
        <v>37</v>
      </c>
      <c r="K58" s="1" t="s">
        <v>38</v>
      </c>
      <c r="L58">
        <v>0</v>
      </c>
      <c r="M58" s="1" t="s">
        <v>32</v>
      </c>
    </row>
    <row r="59" spans="1:13" x14ac:dyDescent="0.2">
      <c r="A59" s="1" t="s">
        <v>165</v>
      </c>
      <c r="B59">
        <v>58</v>
      </c>
      <c r="C59" s="1" t="s">
        <v>28</v>
      </c>
      <c r="D59" s="1" t="s">
        <v>81</v>
      </c>
      <c r="E59" s="1" t="s">
        <v>31</v>
      </c>
      <c r="F59" s="1" t="s">
        <v>156</v>
      </c>
      <c r="G59">
        <v>1</v>
      </c>
      <c r="H59">
        <v>3</v>
      </c>
      <c r="I59" s="1" t="s">
        <v>49</v>
      </c>
      <c r="J59" s="1" t="s">
        <v>40</v>
      </c>
      <c r="K59" s="1" t="s">
        <v>41</v>
      </c>
      <c r="L59">
        <v>0</v>
      </c>
      <c r="M59" s="1" t="s">
        <v>32</v>
      </c>
    </row>
    <row r="60" spans="1:13" x14ac:dyDescent="0.2">
      <c r="A60" s="1" t="s">
        <v>166</v>
      </c>
      <c r="B60">
        <v>59</v>
      </c>
      <c r="C60" s="1" t="s">
        <v>28</v>
      </c>
      <c r="D60" s="1" t="s">
        <v>81</v>
      </c>
      <c r="E60" s="1" t="s">
        <v>31</v>
      </c>
      <c r="F60" s="1" t="s">
        <v>156</v>
      </c>
      <c r="G60">
        <v>1</v>
      </c>
      <c r="H60">
        <v>3</v>
      </c>
      <c r="I60" s="1" t="s">
        <v>49</v>
      </c>
      <c r="J60" s="1" t="s">
        <v>43</v>
      </c>
      <c r="K60" s="1" t="s">
        <v>44</v>
      </c>
      <c r="L60">
        <v>0</v>
      </c>
      <c r="M60" s="1" t="s">
        <v>32</v>
      </c>
    </row>
    <row r="61" spans="1:13" x14ac:dyDescent="0.2">
      <c r="A61" s="1" t="s">
        <v>167</v>
      </c>
      <c r="B61">
        <v>60</v>
      </c>
      <c r="C61" s="1" t="s">
        <v>28</v>
      </c>
      <c r="D61" s="1" t="s">
        <v>81</v>
      </c>
      <c r="E61" s="1" t="s">
        <v>31</v>
      </c>
      <c r="F61" s="1" t="s">
        <v>156</v>
      </c>
      <c r="G61">
        <v>1</v>
      </c>
      <c r="H61">
        <v>3</v>
      </c>
      <c r="I61" s="1" t="s">
        <v>49</v>
      </c>
      <c r="J61" s="1" t="s">
        <v>46</v>
      </c>
      <c r="K61" s="1" t="s">
        <v>47</v>
      </c>
      <c r="L61">
        <v>0</v>
      </c>
      <c r="M61" s="1" t="s">
        <v>32</v>
      </c>
    </row>
    <row r="62" spans="1:13" x14ac:dyDescent="0.2">
      <c r="A62" s="1" t="s">
        <v>168</v>
      </c>
      <c r="B62">
        <v>61</v>
      </c>
      <c r="C62" s="1" t="s">
        <v>28</v>
      </c>
      <c r="D62" s="1" t="s">
        <v>81</v>
      </c>
      <c r="E62" s="1" t="s">
        <v>31</v>
      </c>
      <c r="F62" s="1" t="s">
        <v>156</v>
      </c>
      <c r="G62">
        <v>1</v>
      </c>
      <c r="H62">
        <v>3</v>
      </c>
      <c r="I62" s="1" t="s">
        <v>56</v>
      </c>
      <c r="J62" s="1" t="s">
        <v>29</v>
      </c>
      <c r="K62" s="1" t="s">
        <v>30</v>
      </c>
      <c r="L62">
        <v>0</v>
      </c>
      <c r="M62" s="1" t="s">
        <v>32</v>
      </c>
    </row>
    <row r="63" spans="1:13" x14ac:dyDescent="0.2">
      <c r="A63" s="1" t="s">
        <v>169</v>
      </c>
      <c r="B63">
        <v>62</v>
      </c>
      <c r="C63" s="1" t="s">
        <v>28</v>
      </c>
      <c r="D63" s="1" t="s">
        <v>81</v>
      </c>
      <c r="E63" s="1" t="s">
        <v>31</v>
      </c>
      <c r="F63" s="1" t="s">
        <v>156</v>
      </c>
      <c r="G63">
        <v>1</v>
      </c>
      <c r="H63">
        <v>3</v>
      </c>
      <c r="I63" s="1" t="s">
        <v>56</v>
      </c>
      <c r="J63" s="1" t="s">
        <v>34</v>
      </c>
      <c r="K63" s="1" t="s">
        <v>35</v>
      </c>
      <c r="L63">
        <v>0</v>
      </c>
      <c r="M63" s="1" t="s">
        <v>32</v>
      </c>
    </row>
    <row r="64" spans="1:13" x14ac:dyDescent="0.2">
      <c r="A64" s="1" t="s">
        <v>170</v>
      </c>
      <c r="B64">
        <v>63</v>
      </c>
      <c r="C64" s="1" t="s">
        <v>28</v>
      </c>
      <c r="D64" s="1" t="s">
        <v>81</v>
      </c>
      <c r="E64" s="1" t="s">
        <v>31</v>
      </c>
      <c r="F64" s="1" t="s">
        <v>156</v>
      </c>
      <c r="G64">
        <v>1</v>
      </c>
      <c r="H64">
        <v>3</v>
      </c>
      <c r="I64" s="1" t="s">
        <v>56</v>
      </c>
      <c r="J64" s="1" t="s">
        <v>37</v>
      </c>
      <c r="K64" s="1" t="s">
        <v>38</v>
      </c>
      <c r="L64">
        <v>0</v>
      </c>
      <c r="M64" s="1" t="s">
        <v>32</v>
      </c>
    </row>
    <row r="65" spans="1:13" x14ac:dyDescent="0.2">
      <c r="A65" s="1" t="s">
        <v>171</v>
      </c>
      <c r="B65">
        <v>64</v>
      </c>
      <c r="C65" s="1" t="s">
        <v>28</v>
      </c>
      <c r="D65" s="1" t="s">
        <v>81</v>
      </c>
      <c r="E65" s="1" t="s">
        <v>31</v>
      </c>
      <c r="F65" s="1" t="s">
        <v>156</v>
      </c>
      <c r="G65">
        <v>1</v>
      </c>
      <c r="H65">
        <v>3</v>
      </c>
      <c r="I65" s="1" t="s">
        <v>56</v>
      </c>
      <c r="J65" s="1" t="s">
        <v>40</v>
      </c>
      <c r="K65" s="1" t="s">
        <v>41</v>
      </c>
      <c r="L65">
        <v>0</v>
      </c>
      <c r="M65" s="1" t="s">
        <v>32</v>
      </c>
    </row>
    <row r="66" spans="1:13" x14ac:dyDescent="0.2">
      <c r="A66" s="1" t="s">
        <v>172</v>
      </c>
      <c r="B66">
        <v>65</v>
      </c>
      <c r="C66" s="1" t="s">
        <v>28</v>
      </c>
      <c r="D66" s="1" t="s">
        <v>81</v>
      </c>
      <c r="E66" s="1" t="s">
        <v>31</v>
      </c>
      <c r="F66" s="1" t="s">
        <v>156</v>
      </c>
      <c r="G66">
        <v>1</v>
      </c>
      <c r="H66">
        <v>3</v>
      </c>
      <c r="I66" s="1" t="s">
        <v>56</v>
      </c>
      <c r="J66" s="1" t="s">
        <v>43</v>
      </c>
      <c r="K66" s="1" t="s">
        <v>44</v>
      </c>
      <c r="L66">
        <v>0</v>
      </c>
      <c r="M66" s="1" t="s">
        <v>32</v>
      </c>
    </row>
    <row r="67" spans="1:13" x14ac:dyDescent="0.2">
      <c r="A67" s="1" t="s">
        <v>173</v>
      </c>
      <c r="B67">
        <v>66</v>
      </c>
      <c r="C67" s="1" t="s">
        <v>28</v>
      </c>
      <c r="D67" s="1" t="s">
        <v>81</v>
      </c>
      <c r="E67" s="1" t="s">
        <v>31</v>
      </c>
      <c r="F67" s="1" t="s">
        <v>156</v>
      </c>
      <c r="G67">
        <v>1</v>
      </c>
      <c r="H67">
        <v>3</v>
      </c>
      <c r="I67" s="1" t="s">
        <v>56</v>
      </c>
      <c r="J67" s="1" t="s">
        <v>46</v>
      </c>
      <c r="K67" s="1" t="s">
        <v>47</v>
      </c>
      <c r="L67">
        <v>0</v>
      </c>
      <c r="M67" s="1" t="s">
        <v>32</v>
      </c>
    </row>
    <row r="68" spans="1:13" x14ac:dyDescent="0.2">
      <c r="A68" s="1" t="s">
        <v>174</v>
      </c>
      <c r="B68">
        <v>67</v>
      </c>
      <c r="C68" s="1" t="s">
        <v>28</v>
      </c>
      <c r="D68" s="1" t="s">
        <v>81</v>
      </c>
      <c r="E68" s="1" t="s">
        <v>31</v>
      </c>
      <c r="F68" s="1" t="s">
        <v>156</v>
      </c>
      <c r="G68">
        <v>1</v>
      </c>
      <c r="H68">
        <v>3</v>
      </c>
      <c r="I68" s="1" t="s">
        <v>63</v>
      </c>
      <c r="J68" s="1" t="s">
        <v>29</v>
      </c>
      <c r="K68" s="1" t="s">
        <v>30</v>
      </c>
      <c r="L68">
        <v>0</v>
      </c>
      <c r="M68" s="1" t="s">
        <v>32</v>
      </c>
    </row>
    <row r="69" spans="1:13" x14ac:dyDescent="0.2">
      <c r="A69" s="1" t="s">
        <v>175</v>
      </c>
      <c r="B69">
        <v>68</v>
      </c>
      <c r="C69" s="1" t="s">
        <v>28</v>
      </c>
      <c r="D69" s="1" t="s">
        <v>81</v>
      </c>
      <c r="E69" s="1" t="s">
        <v>31</v>
      </c>
      <c r="F69" s="1" t="s">
        <v>156</v>
      </c>
      <c r="G69">
        <v>1</v>
      </c>
      <c r="H69">
        <v>3</v>
      </c>
      <c r="I69" s="1" t="s">
        <v>63</v>
      </c>
      <c r="J69" s="1" t="s">
        <v>34</v>
      </c>
      <c r="K69" s="1" t="s">
        <v>35</v>
      </c>
      <c r="L69">
        <v>0</v>
      </c>
      <c r="M69" s="1" t="s">
        <v>32</v>
      </c>
    </row>
    <row r="70" spans="1:13" x14ac:dyDescent="0.2">
      <c r="A70" s="1" t="s">
        <v>176</v>
      </c>
      <c r="B70">
        <v>69</v>
      </c>
      <c r="C70" s="1" t="s">
        <v>28</v>
      </c>
      <c r="D70" s="1" t="s">
        <v>81</v>
      </c>
      <c r="E70" s="1" t="s">
        <v>31</v>
      </c>
      <c r="F70" s="1" t="s">
        <v>156</v>
      </c>
      <c r="G70">
        <v>1</v>
      </c>
      <c r="H70">
        <v>3</v>
      </c>
      <c r="I70" s="1" t="s">
        <v>63</v>
      </c>
      <c r="J70" s="1" t="s">
        <v>37</v>
      </c>
      <c r="K70" s="1" t="s">
        <v>38</v>
      </c>
      <c r="L70">
        <v>0</v>
      </c>
      <c r="M70" s="1" t="s">
        <v>32</v>
      </c>
    </row>
    <row r="71" spans="1:13" x14ac:dyDescent="0.2">
      <c r="A71" s="1" t="s">
        <v>177</v>
      </c>
      <c r="B71">
        <v>70</v>
      </c>
      <c r="C71" s="1" t="s">
        <v>28</v>
      </c>
      <c r="D71" s="1" t="s">
        <v>81</v>
      </c>
      <c r="E71" s="1" t="s">
        <v>31</v>
      </c>
      <c r="F71" s="1" t="s">
        <v>156</v>
      </c>
      <c r="G71">
        <v>1</v>
      </c>
      <c r="H71">
        <v>3</v>
      </c>
      <c r="I71" s="1" t="s">
        <v>63</v>
      </c>
      <c r="J71" s="1" t="s">
        <v>40</v>
      </c>
      <c r="K71" s="1" t="s">
        <v>41</v>
      </c>
      <c r="L71">
        <v>0</v>
      </c>
      <c r="M71" s="1" t="s">
        <v>32</v>
      </c>
    </row>
    <row r="72" spans="1:13" x14ac:dyDescent="0.2">
      <c r="A72" s="1" t="s">
        <v>178</v>
      </c>
      <c r="B72">
        <v>71</v>
      </c>
      <c r="C72" s="1" t="s">
        <v>28</v>
      </c>
      <c r="D72" s="1" t="s">
        <v>81</v>
      </c>
      <c r="E72" s="1" t="s">
        <v>31</v>
      </c>
      <c r="F72" s="1" t="s">
        <v>156</v>
      </c>
      <c r="G72">
        <v>1</v>
      </c>
      <c r="H72">
        <v>3</v>
      </c>
      <c r="I72" s="1" t="s">
        <v>63</v>
      </c>
      <c r="J72" s="1" t="s">
        <v>43</v>
      </c>
      <c r="K72" s="1" t="s">
        <v>44</v>
      </c>
      <c r="L72">
        <v>0</v>
      </c>
      <c r="M72" s="1" t="s">
        <v>32</v>
      </c>
    </row>
    <row r="73" spans="1:13" x14ac:dyDescent="0.2">
      <c r="A73" s="1" t="s">
        <v>179</v>
      </c>
      <c r="B73">
        <v>72</v>
      </c>
      <c r="C73" s="1" t="s">
        <v>28</v>
      </c>
      <c r="D73" s="1" t="s">
        <v>81</v>
      </c>
      <c r="E73" s="1" t="s">
        <v>31</v>
      </c>
      <c r="F73" s="1" t="s">
        <v>156</v>
      </c>
      <c r="G73">
        <v>1</v>
      </c>
      <c r="H73">
        <v>3</v>
      </c>
      <c r="I73" s="1" t="s">
        <v>63</v>
      </c>
      <c r="J73" s="1" t="s">
        <v>46</v>
      </c>
      <c r="K73" s="1" t="s">
        <v>47</v>
      </c>
      <c r="L73">
        <v>0</v>
      </c>
      <c r="M73" s="1" t="s">
        <v>32</v>
      </c>
    </row>
    <row r="74" spans="1:13" x14ac:dyDescent="0.2">
      <c r="A74" s="1" t="s">
        <v>180</v>
      </c>
      <c r="B74">
        <v>73</v>
      </c>
      <c r="C74" s="1" t="s">
        <v>28</v>
      </c>
      <c r="D74" s="1" t="s">
        <v>81</v>
      </c>
      <c r="E74" s="1" t="s">
        <v>181</v>
      </c>
      <c r="F74" s="1" t="s">
        <v>182</v>
      </c>
      <c r="G74">
        <v>1</v>
      </c>
      <c r="H74">
        <v>4</v>
      </c>
      <c r="I74" s="1" t="s">
        <v>31</v>
      </c>
      <c r="J74" s="1" t="s">
        <v>29</v>
      </c>
      <c r="K74" s="1" t="s">
        <v>30</v>
      </c>
      <c r="L74">
        <v>1161</v>
      </c>
      <c r="M74" s="1" t="s">
        <v>32</v>
      </c>
    </row>
    <row r="75" spans="1:13" x14ac:dyDescent="0.2">
      <c r="A75" s="1" t="s">
        <v>183</v>
      </c>
      <c r="B75">
        <v>74</v>
      </c>
      <c r="C75" s="1" t="s">
        <v>28</v>
      </c>
      <c r="D75" s="1" t="s">
        <v>81</v>
      </c>
      <c r="E75" s="1" t="s">
        <v>181</v>
      </c>
      <c r="F75" s="1" t="s">
        <v>182</v>
      </c>
      <c r="G75">
        <v>1</v>
      </c>
      <c r="H75">
        <v>4</v>
      </c>
      <c r="I75" s="1" t="s">
        <v>31</v>
      </c>
      <c r="J75" s="1" t="s">
        <v>34</v>
      </c>
      <c r="K75" s="1" t="s">
        <v>35</v>
      </c>
      <c r="L75">
        <v>452</v>
      </c>
      <c r="M75" s="1" t="s">
        <v>32</v>
      </c>
    </row>
    <row r="76" spans="1:13" x14ac:dyDescent="0.2">
      <c r="A76" s="1" t="s">
        <v>184</v>
      </c>
      <c r="B76">
        <v>75</v>
      </c>
      <c r="C76" s="1" t="s">
        <v>28</v>
      </c>
      <c r="D76" s="1" t="s">
        <v>81</v>
      </c>
      <c r="E76" s="1" t="s">
        <v>181</v>
      </c>
      <c r="F76" s="1" t="s">
        <v>182</v>
      </c>
      <c r="G76">
        <v>1</v>
      </c>
      <c r="H76">
        <v>4</v>
      </c>
      <c r="I76" s="1" t="s">
        <v>31</v>
      </c>
      <c r="J76" s="1" t="s">
        <v>37</v>
      </c>
      <c r="K76" s="1" t="s">
        <v>38</v>
      </c>
      <c r="L76">
        <v>1023</v>
      </c>
      <c r="M76" s="1" t="s">
        <v>32</v>
      </c>
    </row>
    <row r="77" spans="1:13" x14ac:dyDescent="0.2">
      <c r="A77" s="1" t="s">
        <v>185</v>
      </c>
      <c r="B77">
        <v>76</v>
      </c>
      <c r="C77" s="1" t="s">
        <v>28</v>
      </c>
      <c r="D77" s="1" t="s">
        <v>81</v>
      </c>
      <c r="E77" s="1" t="s">
        <v>181</v>
      </c>
      <c r="F77" s="1" t="s">
        <v>182</v>
      </c>
      <c r="G77">
        <v>1</v>
      </c>
      <c r="H77">
        <v>4</v>
      </c>
      <c r="I77" s="1" t="s">
        <v>31</v>
      </c>
      <c r="J77" s="1" t="s">
        <v>40</v>
      </c>
      <c r="K77" s="1" t="s">
        <v>41</v>
      </c>
      <c r="L77">
        <v>391</v>
      </c>
      <c r="M77" s="1" t="s">
        <v>32</v>
      </c>
    </row>
    <row r="78" spans="1:13" x14ac:dyDescent="0.2">
      <c r="A78" s="1" t="s">
        <v>186</v>
      </c>
      <c r="B78">
        <v>77</v>
      </c>
      <c r="C78" s="1" t="s">
        <v>28</v>
      </c>
      <c r="D78" s="1" t="s">
        <v>81</v>
      </c>
      <c r="E78" s="1" t="s">
        <v>181</v>
      </c>
      <c r="F78" s="1" t="s">
        <v>182</v>
      </c>
      <c r="G78">
        <v>1</v>
      </c>
      <c r="H78">
        <v>4</v>
      </c>
      <c r="I78" s="1" t="s">
        <v>31</v>
      </c>
      <c r="J78" s="1" t="s">
        <v>43</v>
      </c>
      <c r="K78" s="1" t="s">
        <v>44</v>
      </c>
      <c r="L78">
        <v>497</v>
      </c>
      <c r="M78" s="1" t="s">
        <v>32</v>
      </c>
    </row>
    <row r="79" spans="1:13" x14ac:dyDescent="0.2">
      <c r="A79" s="1" t="s">
        <v>187</v>
      </c>
      <c r="B79">
        <v>78</v>
      </c>
      <c r="C79" s="1" t="s">
        <v>28</v>
      </c>
      <c r="D79" s="1" t="s">
        <v>81</v>
      </c>
      <c r="E79" s="1" t="s">
        <v>181</v>
      </c>
      <c r="F79" s="1" t="s">
        <v>182</v>
      </c>
      <c r="G79">
        <v>1</v>
      </c>
      <c r="H79">
        <v>4</v>
      </c>
      <c r="I79" s="1" t="s">
        <v>31</v>
      </c>
      <c r="J79" s="1" t="s">
        <v>46</v>
      </c>
      <c r="K79" s="1" t="s">
        <v>47</v>
      </c>
      <c r="L79">
        <v>386</v>
      </c>
      <c r="M79" s="1" t="s">
        <v>32</v>
      </c>
    </row>
    <row r="80" spans="1:13" x14ac:dyDescent="0.2">
      <c r="A80" s="1" t="s">
        <v>188</v>
      </c>
      <c r="B80">
        <v>79</v>
      </c>
      <c r="C80" s="1" t="s">
        <v>28</v>
      </c>
      <c r="D80" s="1" t="s">
        <v>81</v>
      </c>
      <c r="E80" s="1" t="s">
        <v>181</v>
      </c>
      <c r="F80" s="1" t="s">
        <v>182</v>
      </c>
      <c r="G80">
        <v>1</v>
      </c>
      <c r="H80">
        <v>4</v>
      </c>
      <c r="I80" s="1" t="s">
        <v>49</v>
      </c>
      <c r="J80" s="1" t="s">
        <v>29</v>
      </c>
      <c r="K80" s="1" t="s">
        <v>30</v>
      </c>
      <c r="L80">
        <v>0</v>
      </c>
      <c r="M80" s="1" t="s">
        <v>32</v>
      </c>
    </row>
    <row r="81" spans="1:13" x14ac:dyDescent="0.2">
      <c r="A81" s="1" t="s">
        <v>189</v>
      </c>
      <c r="B81">
        <v>80</v>
      </c>
      <c r="C81" s="1" t="s">
        <v>28</v>
      </c>
      <c r="D81" s="1" t="s">
        <v>81</v>
      </c>
      <c r="E81" s="1" t="s">
        <v>181</v>
      </c>
      <c r="F81" s="1" t="s">
        <v>182</v>
      </c>
      <c r="G81">
        <v>1</v>
      </c>
      <c r="H81">
        <v>4</v>
      </c>
      <c r="I81" s="1" t="s">
        <v>49</v>
      </c>
      <c r="J81" s="1" t="s">
        <v>34</v>
      </c>
      <c r="K81" s="1" t="s">
        <v>35</v>
      </c>
      <c r="L81">
        <v>0</v>
      </c>
      <c r="M81" s="1" t="s">
        <v>32</v>
      </c>
    </row>
    <row r="82" spans="1:13" x14ac:dyDescent="0.2">
      <c r="A82" s="1" t="s">
        <v>190</v>
      </c>
      <c r="B82">
        <v>81</v>
      </c>
      <c r="C82" s="1" t="s">
        <v>28</v>
      </c>
      <c r="D82" s="1" t="s">
        <v>81</v>
      </c>
      <c r="E82" s="1" t="s">
        <v>181</v>
      </c>
      <c r="F82" s="1" t="s">
        <v>182</v>
      </c>
      <c r="G82">
        <v>1</v>
      </c>
      <c r="H82">
        <v>4</v>
      </c>
      <c r="I82" s="1" t="s">
        <v>49</v>
      </c>
      <c r="J82" s="1" t="s">
        <v>37</v>
      </c>
      <c r="K82" s="1" t="s">
        <v>38</v>
      </c>
      <c r="L82">
        <v>0</v>
      </c>
      <c r="M82" s="1" t="s">
        <v>32</v>
      </c>
    </row>
    <row r="83" spans="1:13" x14ac:dyDescent="0.2">
      <c r="A83" s="1" t="s">
        <v>191</v>
      </c>
      <c r="B83">
        <v>82</v>
      </c>
      <c r="C83" s="1" t="s">
        <v>28</v>
      </c>
      <c r="D83" s="1" t="s">
        <v>81</v>
      </c>
      <c r="E83" s="1" t="s">
        <v>181</v>
      </c>
      <c r="F83" s="1" t="s">
        <v>182</v>
      </c>
      <c r="G83">
        <v>1</v>
      </c>
      <c r="H83">
        <v>4</v>
      </c>
      <c r="I83" s="1" t="s">
        <v>49</v>
      </c>
      <c r="J83" s="1" t="s">
        <v>40</v>
      </c>
      <c r="K83" s="1" t="s">
        <v>41</v>
      </c>
      <c r="L83">
        <v>0</v>
      </c>
      <c r="M83" s="1" t="s">
        <v>32</v>
      </c>
    </row>
    <row r="84" spans="1:13" x14ac:dyDescent="0.2">
      <c r="A84" s="1" t="s">
        <v>192</v>
      </c>
      <c r="B84">
        <v>83</v>
      </c>
      <c r="C84" s="1" t="s">
        <v>28</v>
      </c>
      <c r="D84" s="1" t="s">
        <v>81</v>
      </c>
      <c r="E84" s="1" t="s">
        <v>181</v>
      </c>
      <c r="F84" s="1" t="s">
        <v>182</v>
      </c>
      <c r="G84">
        <v>1</v>
      </c>
      <c r="H84">
        <v>4</v>
      </c>
      <c r="I84" s="1" t="s">
        <v>49</v>
      </c>
      <c r="J84" s="1" t="s">
        <v>43</v>
      </c>
      <c r="K84" s="1" t="s">
        <v>44</v>
      </c>
      <c r="L84">
        <v>0</v>
      </c>
      <c r="M84" s="1" t="s">
        <v>32</v>
      </c>
    </row>
    <row r="85" spans="1:13" x14ac:dyDescent="0.2">
      <c r="A85" s="1" t="s">
        <v>193</v>
      </c>
      <c r="B85">
        <v>84</v>
      </c>
      <c r="C85" s="1" t="s">
        <v>28</v>
      </c>
      <c r="D85" s="1" t="s">
        <v>81</v>
      </c>
      <c r="E85" s="1" t="s">
        <v>181</v>
      </c>
      <c r="F85" s="1" t="s">
        <v>182</v>
      </c>
      <c r="G85">
        <v>1</v>
      </c>
      <c r="H85">
        <v>4</v>
      </c>
      <c r="I85" s="1" t="s">
        <v>49</v>
      </c>
      <c r="J85" s="1" t="s">
        <v>46</v>
      </c>
      <c r="K85" s="1" t="s">
        <v>47</v>
      </c>
      <c r="L85">
        <v>0</v>
      </c>
      <c r="M85" s="1" t="s">
        <v>32</v>
      </c>
    </row>
    <row r="86" spans="1:13" x14ac:dyDescent="0.2">
      <c r="A86" s="1" t="s">
        <v>194</v>
      </c>
      <c r="B86">
        <v>85</v>
      </c>
      <c r="C86" s="1" t="s">
        <v>28</v>
      </c>
      <c r="D86" s="1" t="s">
        <v>81</v>
      </c>
      <c r="E86" s="1" t="s">
        <v>181</v>
      </c>
      <c r="F86" s="1" t="s">
        <v>182</v>
      </c>
      <c r="G86">
        <v>1</v>
      </c>
      <c r="H86">
        <v>4</v>
      </c>
      <c r="I86" s="1" t="s">
        <v>56</v>
      </c>
      <c r="J86" s="1" t="s">
        <v>29</v>
      </c>
      <c r="K86" s="1" t="s">
        <v>30</v>
      </c>
      <c r="L86">
        <v>0</v>
      </c>
      <c r="M86" s="1" t="s">
        <v>32</v>
      </c>
    </row>
    <row r="87" spans="1:13" x14ac:dyDescent="0.2">
      <c r="A87" s="1" t="s">
        <v>195</v>
      </c>
      <c r="B87">
        <v>86</v>
      </c>
      <c r="C87" s="1" t="s">
        <v>28</v>
      </c>
      <c r="D87" s="1" t="s">
        <v>81</v>
      </c>
      <c r="E87" s="1" t="s">
        <v>181</v>
      </c>
      <c r="F87" s="1" t="s">
        <v>182</v>
      </c>
      <c r="G87">
        <v>1</v>
      </c>
      <c r="H87">
        <v>4</v>
      </c>
      <c r="I87" s="1" t="s">
        <v>56</v>
      </c>
      <c r="J87" s="1" t="s">
        <v>34</v>
      </c>
      <c r="K87" s="1" t="s">
        <v>35</v>
      </c>
      <c r="L87">
        <v>0</v>
      </c>
      <c r="M87" s="1" t="s">
        <v>32</v>
      </c>
    </row>
    <row r="88" spans="1:13" x14ac:dyDescent="0.2">
      <c r="A88" s="1" t="s">
        <v>196</v>
      </c>
      <c r="B88">
        <v>87</v>
      </c>
      <c r="C88" s="1" t="s">
        <v>28</v>
      </c>
      <c r="D88" s="1" t="s">
        <v>81</v>
      </c>
      <c r="E88" s="1" t="s">
        <v>181</v>
      </c>
      <c r="F88" s="1" t="s">
        <v>182</v>
      </c>
      <c r="G88">
        <v>1</v>
      </c>
      <c r="H88">
        <v>4</v>
      </c>
      <c r="I88" s="1" t="s">
        <v>56</v>
      </c>
      <c r="J88" s="1" t="s">
        <v>37</v>
      </c>
      <c r="K88" s="1" t="s">
        <v>38</v>
      </c>
      <c r="L88">
        <v>0</v>
      </c>
      <c r="M88" s="1" t="s">
        <v>32</v>
      </c>
    </row>
    <row r="89" spans="1:13" x14ac:dyDescent="0.2">
      <c r="A89" s="1" t="s">
        <v>197</v>
      </c>
      <c r="B89">
        <v>88</v>
      </c>
      <c r="C89" s="1" t="s">
        <v>28</v>
      </c>
      <c r="D89" s="1" t="s">
        <v>81</v>
      </c>
      <c r="E89" s="1" t="s">
        <v>181</v>
      </c>
      <c r="F89" s="1" t="s">
        <v>182</v>
      </c>
      <c r="G89">
        <v>1</v>
      </c>
      <c r="H89">
        <v>4</v>
      </c>
      <c r="I89" s="1" t="s">
        <v>56</v>
      </c>
      <c r="J89" s="1" t="s">
        <v>40</v>
      </c>
      <c r="K89" s="1" t="s">
        <v>41</v>
      </c>
      <c r="L89">
        <v>0</v>
      </c>
      <c r="M89" s="1" t="s">
        <v>32</v>
      </c>
    </row>
    <row r="90" spans="1:13" x14ac:dyDescent="0.2">
      <c r="A90" s="1" t="s">
        <v>198</v>
      </c>
      <c r="B90">
        <v>89</v>
      </c>
      <c r="C90" s="1" t="s">
        <v>28</v>
      </c>
      <c r="D90" s="1" t="s">
        <v>81</v>
      </c>
      <c r="E90" s="1" t="s">
        <v>181</v>
      </c>
      <c r="F90" s="1" t="s">
        <v>182</v>
      </c>
      <c r="G90">
        <v>1</v>
      </c>
      <c r="H90">
        <v>4</v>
      </c>
      <c r="I90" s="1" t="s">
        <v>56</v>
      </c>
      <c r="J90" s="1" t="s">
        <v>43</v>
      </c>
      <c r="K90" s="1" t="s">
        <v>44</v>
      </c>
      <c r="L90">
        <v>0</v>
      </c>
      <c r="M90" s="1" t="s">
        <v>32</v>
      </c>
    </row>
    <row r="91" spans="1:13" x14ac:dyDescent="0.2">
      <c r="A91" s="1" t="s">
        <v>199</v>
      </c>
      <c r="B91">
        <v>90</v>
      </c>
      <c r="C91" s="1" t="s">
        <v>28</v>
      </c>
      <c r="D91" s="1" t="s">
        <v>81</v>
      </c>
      <c r="E91" s="1" t="s">
        <v>181</v>
      </c>
      <c r="F91" s="1" t="s">
        <v>182</v>
      </c>
      <c r="G91">
        <v>1</v>
      </c>
      <c r="H91">
        <v>4</v>
      </c>
      <c r="I91" s="1" t="s">
        <v>56</v>
      </c>
      <c r="J91" s="1" t="s">
        <v>46</v>
      </c>
      <c r="K91" s="1" t="s">
        <v>47</v>
      </c>
      <c r="L91">
        <v>0</v>
      </c>
      <c r="M91" s="1" t="s">
        <v>32</v>
      </c>
    </row>
    <row r="92" spans="1:13" x14ac:dyDescent="0.2">
      <c r="A92" s="1" t="s">
        <v>200</v>
      </c>
      <c r="B92">
        <v>91</v>
      </c>
      <c r="C92" s="1" t="s">
        <v>28</v>
      </c>
      <c r="D92" s="1" t="s">
        <v>81</v>
      </c>
      <c r="E92" s="1" t="s">
        <v>181</v>
      </c>
      <c r="F92" s="1" t="s">
        <v>182</v>
      </c>
      <c r="G92">
        <v>1</v>
      </c>
      <c r="H92">
        <v>4</v>
      </c>
      <c r="I92" s="1" t="s">
        <v>63</v>
      </c>
      <c r="J92" s="1" t="s">
        <v>29</v>
      </c>
      <c r="K92" s="1" t="s">
        <v>30</v>
      </c>
      <c r="L92">
        <v>0</v>
      </c>
      <c r="M92" s="1" t="s">
        <v>32</v>
      </c>
    </row>
    <row r="93" spans="1:13" x14ac:dyDescent="0.2">
      <c r="A93" s="1" t="s">
        <v>201</v>
      </c>
      <c r="B93">
        <v>92</v>
      </c>
      <c r="C93" s="1" t="s">
        <v>28</v>
      </c>
      <c r="D93" s="1" t="s">
        <v>81</v>
      </c>
      <c r="E93" s="1" t="s">
        <v>181</v>
      </c>
      <c r="F93" s="1" t="s">
        <v>182</v>
      </c>
      <c r="G93">
        <v>1</v>
      </c>
      <c r="H93">
        <v>4</v>
      </c>
      <c r="I93" s="1" t="s">
        <v>63</v>
      </c>
      <c r="J93" s="1" t="s">
        <v>34</v>
      </c>
      <c r="K93" s="1" t="s">
        <v>35</v>
      </c>
      <c r="L93">
        <v>0</v>
      </c>
      <c r="M93" s="1" t="s">
        <v>32</v>
      </c>
    </row>
    <row r="94" spans="1:13" x14ac:dyDescent="0.2">
      <c r="A94" s="1" t="s">
        <v>202</v>
      </c>
      <c r="B94">
        <v>93</v>
      </c>
      <c r="C94" s="1" t="s">
        <v>28</v>
      </c>
      <c r="D94" s="1" t="s">
        <v>81</v>
      </c>
      <c r="E94" s="1" t="s">
        <v>181</v>
      </c>
      <c r="F94" s="1" t="s">
        <v>182</v>
      </c>
      <c r="G94">
        <v>1</v>
      </c>
      <c r="H94">
        <v>4</v>
      </c>
      <c r="I94" s="1" t="s">
        <v>63</v>
      </c>
      <c r="J94" s="1" t="s">
        <v>37</v>
      </c>
      <c r="K94" s="1" t="s">
        <v>38</v>
      </c>
      <c r="L94">
        <v>0</v>
      </c>
      <c r="M94" s="1" t="s">
        <v>32</v>
      </c>
    </row>
    <row r="95" spans="1:13" x14ac:dyDescent="0.2">
      <c r="A95" s="1" t="s">
        <v>203</v>
      </c>
      <c r="B95">
        <v>94</v>
      </c>
      <c r="C95" s="1" t="s">
        <v>28</v>
      </c>
      <c r="D95" s="1" t="s">
        <v>81</v>
      </c>
      <c r="E95" s="1" t="s">
        <v>181</v>
      </c>
      <c r="F95" s="1" t="s">
        <v>182</v>
      </c>
      <c r="G95">
        <v>1</v>
      </c>
      <c r="H95">
        <v>4</v>
      </c>
      <c r="I95" s="1" t="s">
        <v>63</v>
      </c>
      <c r="J95" s="1" t="s">
        <v>40</v>
      </c>
      <c r="K95" s="1" t="s">
        <v>41</v>
      </c>
      <c r="L95">
        <v>0</v>
      </c>
      <c r="M95" s="1" t="s">
        <v>32</v>
      </c>
    </row>
    <row r="96" spans="1:13" x14ac:dyDescent="0.2">
      <c r="A96" s="1" t="s">
        <v>204</v>
      </c>
      <c r="B96">
        <v>95</v>
      </c>
      <c r="C96" s="1" t="s">
        <v>28</v>
      </c>
      <c r="D96" s="1" t="s">
        <v>81</v>
      </c>
      <c r="E96" s="1" t="s">
        <v>181</v>
      </c>
      <c r="F96" s="1" t="s">
        <v>182</v>
      </c>
      <c r="G96">
        <v>1</v>
      </c>
      <c r="H96">
        <v>4</v>
      </c>
      <c r="I96" s="1" t="s">
        <v>63</v>
      </c>
      <c r="J96" s="1" t="s">
        <v>43</v>
      </c>
      <c r="K96" s="1" t="s">
        <v>44</v>
      </c>
      <c r="L96">
        <v>0</v>
      </c>
      <c r="M96" s="1" t="s">
        <v>32</v>
      </c>
    </row>
    <row r="97" spans="1:13" x14ac:dyDescent="0.2">
      <c r="A97" s="1" t="s">
        <v>205</v>
      </c>
      <c r="B97">
        <v>96</v>
      </c>
      <c r="C97" s="1" t="s">
        <v>28</v>
      </c>
      <c r="D97" s="1" t="s">
        <v>81</v>
      </c>
      <c r="E97" s="1" t="s">
        <v>181</v>
      </c>
      <c r="F97" s="1" t="s">
        <v>182</v>
      </c>
      <c r="G97">
        <v>1</v>
      </c>
      <c r="H97">
        <v>4</v>
      </c>
      <c r="I97" s="1" t="s">
        <v>63</v>
      </c>
      <c r="J97" s="1" t="s">
        <v>46</v>
      </c>
      <c r="K97" s="1" t="s">
        <v>47</v>
      </c>
      <c r="L97">
        <v>0</v>
      </c>
      <c r="M97" s="1" t="s">
        <v>32</v>
      </c>
    </row>
    <row r="98" spans="1:13" x14ac:dyDescent="0.2">
      <c r="A98" s="1" t="s">
        <v>206</v>
      </c>
      <c r="B98">
        <v>97</v>
      </c>
      <c r="C98" s="1" t="s">
        <v>28</v>
      </c>
      <c r="D98" s="1" t="s">
        <v>81</v>
      </c>
      <c r="E98" s="1" t="s">
        <v>207</v>
      </c>
      <c r="F98" s="1" t="s">
        <v>208</v>
      </c>
      <c r="G98">
        <v>1</v>
      </c>
      <c r="H98">
        <v>5</v>
      </c>
      <c r="I98" s="1" t="s">
        <v>31</v>
      </c>
      <c r="J98" s="1" t="s">
        <v>29</v>
      </c>
      <c r="K98" s="1" t="s">
        <v>30</v>
      </c>
      <c r="L98">
        <v>806</v>
      </c>
      <c r="M98" s="1" t="s">
        <v>32</v>
      </c>
    </row>
    <row r="99" spans="1:13" x14ac:dyDescent="0.2">
      <c r="A99" s="1" t="s">
        <v>209</v>
      </c>
      <c r="B99">
        <v>98</v>
      </c>
      <c r="C99" s="1" t="s">
        <v>28</v>
      </c>
      <c r="D99" s="1" t="s">
        <v>81</v>
      </c>
      <c r="E99" s="1" t="s">
        <v>207</v>
      </c>
      <c r="F99" s="1" t="s">
        <v>208</v>
      </c>
      <c r="G99">
        <v>1</v>
      </c>
      <c r="H99">
        <v>5</v>
      </c>
      <c r="I99" s="1" t="s">
        <v>31</v>
      </c>
      <c r="J99" s="1" t="s">
        <v>34</v>
      </c>
      <c r="K99" s="1" t="s">
        <v>35</v>
      </c>
      <c r="L99">
        <v>312</v>
      </c>
      <c r="M99" s="1" t="s">
        <v>32</v>
      </c>
    </row>
    <row r="100" spans="1:13" x14ac:dyDescent="0.2">
      <c r="A100" s="1" t="s">
        <v>210</v>
      </c>
      <c r="B100">
        <v>99</v>
      </c>
      <c r="C100" s="1" t="s">
        <v>28</v>
      </c>
      <c r="D100" s="1" t="s">
        <v>81</v>
      </c>
      <c r="E100" s="1" t="s">
        <v>207</v>
      </c>
      <c r="F100" s="1" t="s">
        <v>208</v>
      </c>
      <c r="G100">
        <v>1</v>
      </c>
      <c r="H100">
        <v>5</v>
      </c>
      <c r="I100" s="1" t="s">
        <v>31</v>
      </c>
      <c r="J100" s="1" t="s">
        <v>37</v>
      </c>
      <c r="K100" s="1" t="s">
        <v>38</v>
      </c>
      <c r="L100">
        <v>713</v>
      </c>
      <c r="M100" s="1" t="s">
        <v>32</v>
      </c>
    </row>
    <row r="101" spans="1:13" x14ac:dyDescent="0.2">
      <c r="A101" s="1" t="s">
        <v>211</v>
      </c>
      <c r="B101">
        <v>100</v>
      </c>
      <c r="C101" s="1" t="s">
        <v>28</v>
      </c>
      <c r="D101" s="1" t="s">
        <v>81</v>
      </c>
      <c r="E101" s="1" t="s">
        <v>207</v>
      </c>
      <c r="F101" s="1" t="s">
        <v>208</v>
      </c>
      <c r="G101">
        <v>1</v>
      </c>
      <c r="H101">
        <v>5</v>
      </c>
      <c r="I101" s="1" t="s">
        <v>31</v>
      </c>
      <c r="J101" s="1" t="s">
        <v>40</v>
      </c>
      <c r="K101" s="1" t="s">
        <v>41</v>
      </c>
      <c r="L101">
        <v>256</v>
      </c>
      <c r="M101" s="1" t="s">
        <v>32</v>
      </c>
    </row>
    <row r="102" spans="1:13" x14ac:dyDescent="0.2">
      <c r="A102" s="1" t="s">
        <v>212</v>
      </c>
      <c r="B102">
        <v>101</v>
      </c>
      <c r="C102" s="1" t="s">
        <v>28</v>
      </c>
      <c r="D102" s="1" t="s">
        <v>81</v>
      </c>
      <c r="E102" s="1" t="s">
        <v>207</v>
      </c>
      <c r="F102" s="1" t="s">
        <v>208</v>
      </c>
      <c r="G102">
        <v>1</v>
      </c>
      <c r="H102">
        <v>5</v>
      </c>
      <c r="I102" s="1" t="s">
        <v>31</v>
      </c>
      <c r="J102" s="1" t="s">
        <v>43</v>
      </c>
      <c r="K102" s="1" t="s">
        <v>44</v>
      </c>
      <c r="L102">
        <v>337</v>
      </c>
      <c r="M102" s="1" t="s">
        <v>32</v>
      </c>
    </row>
    <row r="103" spans="1:13" x14ac:dyDescent="0.2">
      <c r="A103" s="1" t="s">
        <v>213</v>
      </c>
      <c r="B103">
        <v>102</v>
      </c>
      <c r="C103" s="1" t="s">
        <v>28</v>
      </c>
      <c r="D103" s="1" t="s">
        <v>81</v>
      </c>
      <c r="E103" s="1" t="s">
        <v>207</v>
      </c>
      <c r="F103" s="1" t="s">
        <v>208</v>
      </c>
      <c r="G103">
        <v>1</v>
      </c>
      <c r="H103">
        <v>5</v>
      </c>
      <c r="I103" s="1" t="s">
        <v>31</v>
      </c>
      <c r="J103" s="1" t="s">
        <v>46</v>
      </c>
      <c r="K103" s="1" t="s">
        <v>47</v>
      </c>
      <c r="L103">
        <v>261</v>
      </c>
      <c r="M103" s="1" t="s">
        <v>32</v>
      </c>
    </row>
    <row r="104" spans="1:13" x14ac:dyDescent="0.2">
      <c r="A104" s="1" t="s">
        <v>214</v>
      </c>
      <c r="B104">
        <v>103</v>
      </c>
      <c r="C104" s="1" t="s">
        <v>28</v>
      </c>
      <c r="D104" s="1" t="s">
        <v>81</v>
      </c>
      <c r="E104" s="1" t="s">
        <v>207</v>
      </c>
      <c r="F104" s="1" t="s">
        <v>208</v>
      </c>
      <c r="G104">
        <v>1</v>
      </c>
      <c r="H104">
        <v>5</v>
      </c>
      <c r="I104" s="1" t="s">
        <v>49</v>
      </c>
      <c r="J104" s="1" t="s">
        <v>29</v>
      </c>
      <c r="K104" s="1" t="s">
        <v>30</v>
      </c>
      <c r="L104">
        <v>230</v>
      </c>
      <c r="M104" s="1" t="s">
        <v>32</v>
      </c>
    </row>
    <row r="105" spans="1:13" x14ac:dyDescent="0.2">
      <c r="A105" s="1" t="s">
        <v>215</v>
      </c>
      <c r="B105">
        <v>104</v>
      </c>
      <c r="C105" s="1" t="s">
        <v>28</v>
      </c>
      <c r="D105" s="1" t="s">
        <v>81</v>
      </c>
      <c r="E105" s="1" t="s">
        <v>207</v>
      </c>
      <c r="F105" s="1" t="s">
        <v>208</v>
      </c>
      <c r="G105">
        <v>1</v>
      </c>
      <c r="H105">
        <v>5</v>
      </c>
      <c r="I105" s="1" t="s">
        <v>49</v>
      </c>
      <c r="J105" s="1" t="s">
        <v>34</v>
      </c>
      <c r="K105" s="1" t="s">
        <v>35</v>
      </c>
      <c r="L105">
        <v>60</v>
      </c>
      <c r="M105" s="1" t="s">
        <v>32</v>
      </c>
    </row>
    <row r="106" spans="1:13" x14ac:dyDescent="0.2">
      <c r="A106" s="1" t="s">
        <v>216</v>
      </c>
      <c r="B106">
        <v>105</v>
      </c>
      <c r="C106" s="1" t="s">
        <v>28</v>
      </c>
      <c r="D106" s="1" t="s">
        <v>81</v>
      </c>
      <c r="E106" s="1" t="s">
        <v>207</v>
      </c>
      <c r="F106" s="1" t="s">
        <v>208</v>
      </c>
      <c r="G106">
        <v>1</v>
      </c>
      <c r="H106">
        <v>5</v>
      </c>
      <c r="I106" s="1" t="s">
        <v>49</v>
      </c>
      <c r="J106" s="1" t="s">
        <v>37</v>
      </c>
      <c r="K106" s="1" t="s">
        <v>38</v>
      </c>
      <c r="L106">
        <v>115</v>
      </c>
      <c r="M106" s="1" t="s">
        <v>32</v>
      </c>
    </row>
    <row r="107" spans="1:13" x14ac:dyDescent="0.2">
      <c r="A107" s="1" t="s">
        <v>217</v>
      </c>
      <c r="B107">
        <v>106</v>
      </c>
      <c r="C107" s="1" t="s">
        <v>28</v>
      </c>
      <c r="D107" s="1" t="s">
        <v>81</v>
      </c>
      <c r="E107" s="1" t="s">
        <v>207</v>
      </c>
      <c r="F107" s="1" t="s">
        <v>208</v>
      </c>
      <c r="G107">
        <v>1</v>
      </c>
      <c r="H107">
        <v>5</v>
      </c>
      <c r="I107" s="1" t="s">
        <v>49</v>
      </c>
      <c r="J107" s="1" t="s">
        <v>40</v>
      </c>
      <c r="K107" s="1" t="s">
        <v>41</v>
      </c>
      <c r="L107">
        <v>35</v>
      </c>
      <c r="M107" s="1" t="s">
        <v>32</v>
      </c>
    </row>
    <row r="108" spans="1:13" x14ac:dyDescent="0.2">
      <c r="A108" s="1" t="s">
        <v>218</v>
      </c>
      <c r="B108">
        <v>107</v>
      </c>
      <c r="C108" s="1" t="s">
        <v>28</v>
      </c>
      <c r="D108" s="1" t="s">
        <v>81</v>
      </c>
      <c r="E108" s="1" t="s">
        <v>207</v>
      </c>
      <c r="F108" s="1" t="s">
        <v>208</v>
      </c>
      <c r="G108">
        <v>1</v>
      </c>
      <c r="H108">
        <v>5</v>
      </c>
      <c r="I108" s="1" t="s">
        <v>49</v>
      </c>
      <c r="J108" s="1" t="s">
        <v>43</v>
      </c>
      <c r="K108" s="1" t="s">
        <v>44</v>
      </c>
      <c r="L108">
        <v>60</v>
      </c>
      <c r="M108" s="1" t="s">
        <v>32</v>
      </c>
    </row>
    <row r="109" spans="1:13" x14ac:dyDescent="0.2">
      <c r="A109" s="1" t="s">
        <v>219</v>
      </c>
      <c r="B109">
        <v>108</v>
      </c>
      <c r="C109" s="1" t="s">
        <v>28</v>
      </c>
      <c r="D109" s="1" t="s">
        <v>81</v>
      </c>
      <c r="E109" s="1" t="s">
        <v>207</v>
      </c>
      <c r="F109" s="1" t="s">
        <v>208</v>
      </c>
      <c r="G109">
        <v>1</v>
      </c>
      <c r="H109">
        <v>5</v>
      </c>
      <c r="I109" s="1" t="s">
        <v>49</v>
      </c>
      <c r="J109" s="1" t="s">
        <v>46</v>
      </c>
      <c r="K109" s="1" t="s">
        <v>47</v>
      </c>
      <c r="L109">
        <v>70</v>
      </c>
      <c r="M109" s="1" t="s">
        <v>32</v>
      </c>
    </row>
    <row r="110" spans="1:13" x14ac:dyDescent="0.2">
      <c r="A110" s="1" t="s">
        <v>220</v>
      </c>
      <c r="B110">
        <v>109</v>
      </c>
      <c r="C110" s="1" t="s">
        <v>28</v>
      </c>
      <c r="D110" s="1" t="s">
        <v>81</v>
      </c>
      <c r="E110" s="1" t="s">
        <v>207</v>
      </c>
      <c r="F110" s="1" t="s">
        <v>208</v>
      </c>
      <c r="G110">
        <v>1</v>
      </c>
      <c r="H110">
        <v>5</v>
      </c>
      <c r="I110" s="1" t="s">
        <v>56</v>
      </c>
      <c r="J110" s="1" t="s">
        <v>29</v>
      </c>
      <c r="K110" s="1" t="s">
        <v>30</v>
      </c>
      <c r="L110">
        <v>60</v>
      </c>
      <c r="M110" s="1" t="s">
        <v>32</v>
      </c>
    </row>
    <row r="111" spans="1:13" x14ac:dyDescent="0.2">
      <c r="A111" s="1" t="s">
        <v>221</v>
      </c>
      <c r="B111">
        <v>110</v>
      </c>
      <c r="C111" s="1" t="s">
        <v>28</v>
      </c>
      <c r="D111" s="1" t="s">
        <v>81</v>
      </c>
      <c r="E111" s="1" t="s">
        <v>207</v>
      </c>
      <c r="F111" s="1" t="s">
        <v>208</v>
      </c>
      <c r="G111">
        <v>1</v>
      </c>
      <c r="H111">
        <v>5</v>
      </c>
      <c r="I111" s="1" t="s">
        <v>56</v>
      </c>
      <c r="J111" s="1" t="s">
        <v>34</v>
      </c>
      <c r="K111" s="1" t="s">
        <v>35</v>
      </c>
      <c r="L111">
        <v>60</v>
      </c>
      <c r="M111" s="1" t="s">
        <v>32</v>
      </c>
    </row>
    <row r="112" spans="1:13" x14ac:dyDescent="0.2">
      <c r="A112" s="1" t="s">
        <v>222</v>
      </c>
      <c r="B112">
        <v>111</v>
      </c>
      <c r="C112" s="1" t="s">
        <v>28</v>
      </c>
      <c r="D112" s="1" t="s">
        <v>81</v>
      </c>
      <c r="E112" s="1" t="s">
        <v>207</v>
      </c>
      <c r="F112" s="1" t="s">
        <v>208</v>
      </c>
      <c r="G112">
        <v>1</v>
      </c>
      <c r="H112">
        <v>5</v>
      </c>
      <c r="I112" s="1" t="s">
        <v>56</v>
      </c>
      <c r="J112" s="1" t="s">
        <v>37</v>
      </c>
      <c r="K112" s="1" t="s">
        <v>38</v>
      </c>
      <c r="L112">
        <v>110</v>
      </c>
      <c r="M112" s="1" t="s">
        <v>32</v>
      </c>
    </row>
    <row r="113" spans="1:13" x14ac:dyDescent="0.2">
      <c r="A113" s="1" t="s">
        <v>223</v>
      </c>
      <c r="B113">
        <v>112</v>
      </c>
      <c r="C113" s="1" t="s">
        <v>28</v>
      </c>
      <c r="D113" s="1" t="s">
        <v>81</v>
      </c>
      <c r="E113" s="1" t="s">
        <v>207</v>
      </c>
      <c r="F113" s="1" t="s">
        <v>208</v>
      </c>
      <c r="G113">
        <v>1</v>
      </c>
      <c r="H113">
        <v>5</v>
      </c>
      <c r="I113" s="1" t="s">
        <v>56</v>
      </c>
      <c r="J113" s="1" t="s">
        <v>40</v>
      </c>
      <c r="K113" s="1" t="s">
        <v>41</v>
      </c>
      <c r="L113">
        <v>15</v>
      </c>
      <c r="M113" s="1" t="s">
        <v>32</v>
      </c>
    </row>
    <row r="114" spans="1:13" x14ac:dyDescent="0.2">
      <c r="A114" s="1" t="s">
        <v>224</v>
      </c>
      <c r="B114">
        <v>113</v>
      </c>
      <c r="C114" s="1" t="s">
        <v>28</v>
      </c>
      <c r="D114" s="1" t="s">
        <v>81</v>
      </c>
      <c r="E114" s="1" t="s">
        <v>207</v>
      </c>
      <c r="F114" s="1" t="s">
        <v>208</v>
      </c>
      <c r="G114">
        <v>1</v>
      </c>
      <c r="H114">
        <v>5</v>
      </c>
      <c r="I114" s="1" t="s">
        <v>56</v>
      </c>
      <c r="J114" s="1" t="s">
        <v>43</v>
      </c>
      <c r="K114" s="1" t="s">
        <v>44</v>
      </c>
      <c r="L114">
        <v>70</v>
      </c>
      <c r="M114" s="1" t="s">
        <v>32</v>
      </c>
    </row>
    <row r="115" spans="1:13" x14ac:dyDescent="0.2">
      <c r="A115" s="1" t="s">
        <v>225</v>
      </c>
      <c r="B115">
        <v>114</v>
      </c>
      <c r="C115" s="1" t="s">
        <v>28</v>
      </c>
      <c r="D115" s="1" t="s">
        <v>81</v>
      </c>
      <c r="E115" s="1" t="s">
        <v>207</v>
      </c>
      <c r="F115" s="1" t="s">
        <v>208</v>
      </c>
      <c r="G115">
        <v>1</v>
      </c>
      <c r="H115">
        <v>5</v>
      </c>
      <c r="I115" s="1" t="s">
        <v>56</v>
      </c>
      <c r="J115" s="1" t="s">
        <v>46</v>
      </c>
      <c r="K115" s="1" t="s">
        <v>47</v>
      </c>
      <c r="L115">
        <v>25</v>
      </c>
      <c r="M115" s="1" t="s">
        <v>32</v>
      </c>
    </row>
    <row r="116" spans="1:13" x14ac:dyDescent="0.2">
      <c r="A116" s="1" t="s">
        <v>226</v>
      </c>
      <c r="B116">
        <v>115</v>
      </c>
      <c r="C116" s="1" t="s">
        <v>28</v>
      </c>
      <c r="D116" s="1" t="s">
        <v>81</v>
      </c>
      <c r="E116" s="1" t="s">
        <v>207</v>
      </c>
      <c r="F116" s="1" t="s">
        <v>208</v>
      </c>
      <c r="G116">
        <v>1</v>
      </c>
      <c r="H116">
        <v>5</v>
      </c>
      <c r="I116" s="1" t="s">
        <v>63</v>
      </c>
      <c r="J116" s="1" t="s">
        <v>29</v>
      </c>
      <c r="K116" s="1" t="s">
        <v>30</v>
      </c>
      <c r="L116">
        <v>65</v>
      </c>
      <c r="M116" s="1" t="s">
        <v>32</v>
      </c>
    </row>
    <row r="117" spans="1:13" x14ac:dyDescent="0.2">
      <c r="A117" s="1" t="s">
        <v>227</v>
      </c>
      <c r="B117">
        <v>116</v>
      </c>
      <c r="C117" s="1" t="s">
        <v>28</v>
      </c>
      <c r="D117" s="1" t="s">
        <v>81</v>
      </c>
      <c r="E117" s="1" t="s">
        <v>207</v>
      </c>
      <c r="F117" s="1" t="s">
        <v>208</v>
      </c>
      <c r="G117">
        <v>1</v>
      </c>
      <c r="H117">
        <v>5</v>
      </c>
      <c r="I117" s="1" t="s">
        <v>63</v>
      </c>
      <c r="J117" s="1" t="s">
        <v>34</v>
      </c>
      <c r="K117" s="1" t="s">
        <v>35</v>
      </c>
      <c r="L117">
        <v>20</v>
      </c>
      <c r="M117" s="1" t="s">
        <v>32</v>
      </c>
    </row>
    <row r="118" spans="1:13" x14ac:dyDescent="0.2">
      <c r="A118" s="1" t="s">
        <v>228</v>
      </c>
      <c r="B118">
        <v>117</v>
      </c>
      <c r="C118" s="1" t="s">
        <v>28</v>
      </c>
      <c r="D118" s="1" t="s">
        <v>81</v>
      </c>
      <c r="E118" s="1" t="s">
        <v>207</v>
      </c>
      <c r="F118" s="1" t="s">
        <v>208</v>
      </c>
      <c r="G118">
        <v>1</v>
      </c>
      <c r="H118">
        <v>5</v>
      </c>
      <c r="I118" s="1" t="s">
        <v>63</v>
      </c>
      <c r="J118" s="1" t="s">
        <v>37</v>
      </c>
      <c r="K118" s="1" t="s">
        <v>38</v>
      </c>
      <c r="L118">
        <v>85</v>
      </c>
      <c r="M118" s="1" t="s">
        <v>32</v>
      </c>
    </row>
    <row r="119" spans="1:13" x14ac:dyDescent="0.2">
      <c r="A119" s="1" t="s">
        <v>229</v>
      </c>
      <c r="B119">
        <v>118</v>
      </c>
      <c r="C119" s="1" t="s">
        <v>28</v>
      </c>
      <c r="D119" s="1" t="s">
        <v>81</v>
      </c>
      <c r="E119" s="1" t="s">
        <v>207</v>
      </c>
      <c r="F119" s="1" t="s">
        <v>208</v>
      </c>
      <c r="G119">
        <v>1</v>
      </c>
      <c r="H119">
        <v>5</v>
      </c>
      <c r="I119" s="1" t="s">
        <v>63</v>
      </c>
      <c r="J119" s="1" t="s">
        <v>40</v>
      </c>
      <c r="K119" s="1" t="s">
        <v>41</v>
      </c>
      <c r="L119">
        <v>85</v>
      </c>
      <c r="M119" s="1" t="s">
        <v>32</v>
      </c>
    </row>
    <row r="120" spans="1:13" x14ac:dyDescent="0.2">
      <c r="A120" s="1" t="s">
        <v>230</v>
      </c>
      <c r="B120">
        <v>119</v>
      </c>
      <c r="C120" s="1" t="s">
        <v>28</v>
      </c>
      <c r="D120" s="1" t="s">
        <v>81</v>
      </c>
      <c r="E120" s="1" t="s">
        <v>207</v>
      </c>
      <c r="F120" s="1" t="s">
        <v>208</v>
      </c>
      <c r="G120">
        <v>1</v>
      </c>
      <c r="H120">
        <v>5</v>
      </c>
      <c r="I120" s="1" t="s">
        <v>63</v>
      </c>
      <c r="J120" s="1" t="s">
        <v>43</v>
      </c>
      <c r="K120" s="1" t="s">
        <v>44</v>
      </c>
      <c r="L120">
        <v>30</v>
      </c>
      <c r="M120" s="1" t="s">
        <v>32</v>
      </c>
    </row>
    <row r="121" spans="1:13" x14ac:dyDescent="0.2">
      <c r="A121" s="1" t="s">
        <v>231</v>
      </c>
      <c r="B121">
        <v>120</v>
      </c>
      <c r="C121" s="1" t="s">
        <v>28</v>
      </c>
      <c r="D121" s="1" t="s">
        <v>81</v>
      </c>
      <c r="E121" s="1" t="s">
        <v>207</v>
      </c>
      <c r="F121" s="1" t="s">
        <v>208</v>
      </c>
      <c r="G121">
        <v>1</v>
      </c>
      <c r="H121">
        <v>5</v>
      </c>
      <c r="I121" s="1" t="s">
        <v>63</v>
      </c>
      <c r="J121" s="1" t="s">
        <v>46</v>
      </c>
      <c r="K121" s="1" t="s">
        <v>47</v>
      </c>
      <c r="L121">
        <v>30</v>
      </c>
      <c r="M121" s="1" t="s">
        <v>32</v>
      </c>
    </row>
    <row r="122" spans="1:13" x14ac:dyDescent="0.2">
      <c r="A122" s="1" t="s">
        <v>255</v>
      </c>
      <c r="B122">
        <v>121</v>
      </c>
      <c r="C122" s="1" t="s">
        <v>28</v>
      </c>
      <c r="D122" s="1" t="s">
        <v>81</v>
      </c>
      <c r="E122" s="1" t="s">
        <v>256</v>
      </c>
      <c r="F122" s="1" t="s">
        <v>257</v>
      </c>
      <c r="G122">
        <v>2</v>
      </c>
      <c r="H122">
        <v>6</v>
      </c>
      <c r="I122" s="1" t="s">
        <v>31</v>
      </c>
      <c r="J122" s="1" t="s">
        <v>29</v>
      </c>
      <c r="K122" s="1" t="s">
        <v>30</v>
      </c>
      <c r="L122">
        <v>806</v>
      </c>
      <c r="M122" s="1" t="s">
        <v>32</v>
      </c>
    </row>
    <row r="123" spans="1:13" x14ac:dyDescent="0.2">
      <c r="A123" s="1" t="s">
        <v>258</v>
      </c>
      <c r="B123">
        <v>122</v>
      </c>
      <c r="C123" s="1" t="s">
        <v>28</v>
      </c>
      <c r="D123" s="1" t="s">
        <v>81</v>
      </c>
      <c r="E123" s="1" t="s">
        <v>256</v>
      </c>
      <c r="F123" s="1" t="s">
        <v>257</v>
      </c>
      <c r="G123">
        <v>2</v>
      </c>
      <c r="H123">
        <v>6</v>
      </c>
      <c r="I123" s="1" t="s">
        <v>31</v>
      </c>
      <c r="J123" s="1" t="s">
        <v>34</v>
      </c>
      <c r="K123" s="1" t="s">
        <v>35</v>
      </c>
      <c r="L123">
        <v>312</v>
      </c>
      <c r="M123" s="1" t="s">
        <v>32</v>
      </c>
    </row>
    <row r="124" spans="1:13" x14ac:dyDescent="0.2">
      <c r="A124" s="1" t="s">
        <v>259</v>
      </c>
      <c r="B124">
        <v>123</v>
      </c>
      <c r="C124" s="1" t="s">
        <v>28</v>
      </c>
      <c r="D124" s="1" t="s">
        <v>81</v>
      </c>
      <c r="E124" s="1" t="s">
        <v>256</v>
      </c>
      <c r="F124" s="1" t="s">
        <v>257</v>
      </c>
      <c r="G124">
        <v>2</v>
      </c>
      <c r="H124">
        <v>6</v>
      </c>
      <c r="I124" s="1" t="s">
        <v>31</v>
      </c>
      <c r="J124" s="1" t="s">
        <v>37</v>
      </c>
      <c r="K124" s="1" t="s">
        <v>38</v>
      </c>
      <c r="L124">
        <v>713</v>
      </c>
      <c r="M124" s="1" t="s">
        <v>32</v>
      </c>
    </row>
    <row r="125" spans="1:13" x14ac:dyDescent="0.2">
      <c r="A125" s="1" t="s">
        <v>260</v>
      </c>
      <c r="B125">
        <v>124</v>
      </c>
      <c r="C125" s="1" t="s">
        <v>28</v>
      </c>
      <c r="D125" s="1" t="s">
        <v>81</v>
      </c>
      <c r="E125" s="1" t="s">
        <v>256</v>
      </c>
      <c r="F125" s="1" t="s">
        <v>257</v>
      </c>
      <c r="G125">
        <v>2</v>
      </c>
      <c r="H125">
        <v>6</v>
      </c>
      <c r="I125" s="1" t="s">
        <v>31</v>
      </c>
      <c r="J125" s="1" t="s">
        <v>40</v>
      </c>
      <c r="K125" s="1" t="s">
        <v>41</v>
      </c>
      <c r="L125">
        <v>256</v>
      </c>
      <c r="M125" s="1" t="s">
        <v>32</v>
      </c>
    </row>
    <row r="126" spans="1:13" x14ac:dyDescent="0.2">
      <c r="A126" s="1" t="s">
        <v>261</v>
      </c>
      <c r="B126">
        <v>125</v>
      </c>
      <c r="C126" s="1" t="s">
        <v>28</v>
      </c>
      <c r="D126" s="1" t="s">
        <v>81</v>
      </c>
      <c r="E126" s="1" t="s">
        <v>256</v>
      </c>
      <c r="F126" s="1" t="s">
        <v>257</v>
      </c>
      <c r="G126">
        <v>2</v>
      </c>
      <c r="H126">
        <v>6</v>
      </c>
      <c r="I126" s="1" t="s">
        <v>31</v>
      </c>
      <c r="J126" s="1" t="s">
        <v>43</v>
      </c>
      <c r="K126" s="1" t="s">
        <v>44</v>
      </c>
      <c r="L126">
        <v>337</v>
      </c>
      <c r="M126" s="1" t="s">
        <v>32</v>
      </c>
    </row>
    <row r="127" spans="1:13" x14ac:dyDescent="0.2">
      <c r="A127" s="1" t="s">
        <v>262</v>
      </c>
      <c r="B127">
        <v>126</v>
      </c>
      <c r="C127" s="1" t="s">
        <v>28</v>
      </c>
      <c r="D127" s="1" t="s">
        <v>81</v>
      </c>
      <c r="E127" s="1" t="s">
        <v>256</v>
      </c>
      <c r="F127" s="1" t="s">
        <v>257</v>
      </c>
      <c r="G127">
        <v>2</v>
      </c>
      <c r="H127">
        <v>6</v>
      </c>
      <c r="I127" s="1" t="s">
        <v>31</v>
      </c>
      <c r="J127" s="1" t="s">
        <v>46</v>
      </c>
      <c r="K127" s="1" t="s">
        <v>47</v>
      </c>
      <c r="L127">
        <v>261</v>
      </c>
      <c r="M127" s="1" t="s">
        <v>32</v>
      </c>
    </row>
    <row r="128" spans="1:13" x14ac:dyDescent="0.2">
      <c r="A128" s="1" t="s">
        <v>263</v>
      </c>
      <c r="B128">
        <v>127</v>
      </c>
      <c r="C128" s="1" t="s">
        <v>28</v>
      </c>
      <c r="D128" s="1" t="s">
        <v>81</v>
      </c>
      <c r="E128" s="1" t="s">
        <v>256</v>
      </c>
      <c r="F128" s="1" t="s">
        <v>257</v>
      </c>
      <c r="G128">
        <v>2</v>
      </c>
      <c r="H128">
        <v>6</v>
      </c>
      <c r="I128" s="1" t="s">
        <v>49</v>
      </c>
      <c r="J128" s="1" t="s">
        <v>29</v>
      </c>
      <c r="K128" s="1" t="s">
        <v>30</v>
      </c>
      <c r="L128">
        <v>149</v>
      </c>
      <c r="M128" s="1" t="s">
        <v>32</v>
      </c>
    </row>
    <row r="129" spans="1:13" x14ac:dyDescent="0.2">
      <c r="A129" s="1" t="s">
        <v>264</v>
      </c>
      <c r="B129">
        <v>128</v>
      </c>
      <c r="C129" s="1" t="s">
        <v>28</v>
      </c>
      <c r="D129" s="1" t="s">
        <v>81</v>
      </c>
      <c r="E129" s="1" t="s">
        <v>256</v>
      </c>
      <c r="F129" s="1" t="s">
        <v>257</v>
      </c>
      <c r="G129">
        <v>2</v>
      </c>
      <c r="H129">
        <v>6</v>
      </c>
      <c r="I129" s="1" t="s">
        <v>49</v>
      </c>
      <c r="J129" s="1" t="s">
        <v>34</v>
      </c>
      <c r="K129" s="1" t="s">
        <v>35</v>
      </c>
      <c r="L129">
        <v>60</v>
      </c>
      <c r="M129" s="1" t="s">
        <v>32</v>
      </c>
    </row>
    <row r="130" spans="1:13" x14ac:dyDescent="0.2">
      <c r="A130" s="1" t="s">
        <v>265</v>
      </c>
      <c r="B130">
        <v>129</v>
      </c>
      <c r="C130" s="1" t="s">
        <v>28</v>
      </c>
      <c r="D130" s="1" t="s">
        <v>81</v>
      </c>
      <c r="E130" s="1" t="s">
        <v>256</v>
      </c>
      <c r="F130" s="1" t="s">
        <v>257</v>
      </c>
      <c r="G130">
        <v>2</v>
      </c>
      <c r="H130">
        <v>6</v>
      </c>
      <c r="I130" s="1" t="s">
        <v>49</v>
      </c>
      <c r="J130" s="1" t="s">
        <v>37</v>
      </c>
      <c r="K130" s="1" t="s">
        <v>38</v>
      </c>
      <c r="L130">
        <v>115</v>
      </c>
      <c r="M130" s="1" t="s">
        <v>32</v>
      </c>
    </row>
    <row r="131" spans="1:13" x14ac:dyDescent="0.2">
      <c r="A131" s="1" t="s">
        <v>266</v>
      </c>
      <c r="B131">
        <v>130</v>
      </c>
      <c r="C131" s="1" t="s">
        <v>28</v>
      </c>
      <c r="D131" s="1" t="s">
        <v>81</v>
      </c>
      <c r="E131" s="1" t="s">
        <v>256</v>
      </c>
      <c r="F131" s="1" t="s">
        <v>257</v>
      </c>
      <c r="G131">
        <v>2</v>
      </c>
      <c r="H131">
        <v>6</v>
      </c>
      <c r="I131" s="1" t="s">
        <v>49</v>
      </c>
      <c r="J131" s="1" t="s">
        <v>40</v>
      </c>
      <c r="K131" s="1" t="s">
        <v>41</v>
      </c>
      <c r="L131">
        <v>35</v>
      </c>
      <c r="M131" s="1" t="s">
        <v>32</v>
      </c>
    </row>
    <row r="132" spans="1:13" x14ac:dyDescent="0.2">
      <c r="A132" s="1" t="s">
        <v>267</v>
      </c>
      <c r="B132">
        <v>131</v>
      </c>
      <c r="C132" s="1" t="s">
        <v>28</v>
      </c>
      <c r="D132" s="1" t="s">
        <v>81</v>
      </c>
      <c r="E132" s="1" t="s">
        <v>256</v>
      </c>
      <c r="F132" s="1" t="s">
        <v>257</v>
      </c>
      <c r="G132">
        <v>2</v>
      </c>
      <c r="H132">
        <v>6</v>
      </c>
      <c r="I132" s="1" t="s">
        <v>49</v>
      </c>
      <c r="J132" s="1" t="s">
        <v>43</v>
      </c>
      <c r="K132" s="1" t="s">
        <v>44</v>
      </c>
      <c r="L132">
        <v>60</v>
      </c>
      <c r="M132" s="1" t="s">
        <v>32</v>
      </c>
    </row>
    <row r="133" spans="1:13" x14ac:dyDescent="0.2">
      <c r="A133" s="1" t="s">
        <v>268</v>
      </c>
      <c r="B133">
        <v>132</v>
      </c>
      <c r="C133" s="1" t="s">
        <v>28</v>
      </c>
      <c r="D133" s="1" t="s">
        <v>81</v>
      </c>
      <c r="E133" s="1" t="s">
        <v>256</v>
      </c>
      <c r="F133" s="1" t="s">
        <v>257</v>
      </c>
      <c r="G133">
        <v>2</v>
      </c>
      <c r="H133">
        <v>6</v>
      </c>
      <c r="I133" s="1" t="s">
        <v>49</v>
      </c>
      <c r="J133" s="1" t="s">
        <v>46</v>
      </c>
      <c r="K133" s="1" t="s">
        <v>47</v>
      </c>
      <c r="L133">
        <v>70</v>
      </c>
      <c r="M133" s="1" t="s">
        <v>32</v>
      </c>
    </row>
    <row r="134" spans="1:13" x14ac:dyDescent="0.2">
      <c r="A134" s="1" t="s">
        <v>269</v>
      </c>
      <c r="B134">
        <v>133</v>
      </c>
      <c r="C134" s="1" t="s">
        <v>28</v>
      </c>
      <c r="D134" s="1" t="s">
        <v>81</v>
      </c>
      <c r="E134" s="1" t="s">
        <v>256</v>
      </c>
      <c r="F134" s="1" t="s">
        <v>257</v>
      </c>
      <c r="G134">
        <v>2</v>
      </c>
      <c r="H134">
        <v>6</v>
      </c>
      <c r="I134" s="1" t="s">
        <v>56</v>
      </c>
      <c r="J134" s="1" t="s">
        <v>29</v>
      </c>
      <c r="K134" s="1" t="s">
        <v>30</v>
      </c>
      <c r="L134">
        <v>0</v>
      </c>
      <c r="M134" s="1" t="s">
        <v>32</v>
      </c>
    </row>
    <row r="135" spans="1:13" x14ac:dyDescent="0.2">
      <c r="A135" s="1" t="s">
        <v>270</v>
      </c>
      <c r="B135">
        <v>134</v>
      </c>
      <c r="C135" s="1" t="s">
        <v>28</v>
      </c>
      <c r="D135" s="1" t="s">
        <v>81</v>
      </c>
      <c r="E135" s="1" t="s">
        <v>256</v>
      </c>
      <c r="F135" s="1" t="s">
        <v>257</v>
      </c>
      <c r="G135">
        <v>2</v>
      </c>
      <c r="H135">
        <v>6</v>
      </c>
      <c r="I135" s="1" t="s">
        <v>56</v>
      </c>
      <c r="J135" s="1" t="s">
        <v>34</v>
      </c>
      <c r="K135" s="1" t="s">
        <v>35</v>
      </c>
      <c r="L135">
        <v>60</v>
      </c>
      <c r="M135" s="1" t="s">
        <v>32</v>
      </c>
    </row>
    <row r="136" spans="1:13" x14ac:dyDescent="0.2">
      <c r="A136" s="1" t="s">
        <v>271</v>
      </c>
      <c r="B136">
        <v>135</v>
      </c>
      <c r="C136" s="1" t="s">
        <v>28</v>
      </c>
      <c r="D136" s="1" t="s">
        <v>81</v>
      </c>
      <c r="E136" s="1" t="s">
        <v>256</v>
      </c>
      <c r="F136" s="1" t="s">
        <v>257</v>
      </c>
      <c r="G136">
        <v>2</v>
      </c>
      <c r="H136">
        <v>6</v>
      </c>
      <c r="I136" s="1" t="s">
        <v>56</v>
      </c>
      <c r="J136" s="1" t="s">
        <v>37</v>
      </c>
      <c r="K136" s="1" t="s">
        <v>38</v>
      </c>
      <c r="L136">
        <v>44</v>
      </c>
      <c r="M136" s="1" t="s">
        <v>32</v>
      </c>
    </row>
    <row r="137" spans="1:13" x14ac:dyDescent="0.2">
      <c r="A137" s="1" t="s">
        <v>272</v>
      </c>
      <c r="B137">
        <v>136</v>
      </c>
      <c r="C137" s="1" t="s">
        <v>28</v>
      </c>
      <c r="D137" s="1" t="s">
        <v>81</v>
      </c>
      <c r="E137" s="1" t="s">
        <v>256</v>
      </c>
      <c r="F137" s="1" t="s">
        <v>257</v>
      </c>
      <c r="G137">
        <v>2</v>
      </c>
      <c r="H137">
        <v>6</v>
      </c>
      <c r="I137" s="1" t="s">
        <v>56</v>
      </c>
      <c r="J137" s="1" t="s">
        <v>40</v>
      </c>
      <c r="K137" s="1" t="s">
        <v>41</v>
      </c>
      <c r="L137">
        <v>15</v>
      </c>
      <c r="M137" s="1" t="s">
        <v>32</v>
      </c>
    </row>
    <row r="138" spans="1:13" x14ac:dyDescent="0.2">
      <c r="A138" s="1" t="s">
        <v>273</v>
      </c>
      <c r="B138">
        <v>137</v>
      </c>
      <c r="C138" s="1" t="s">
        <v>28</v>
      </c>
      <c r="D138" s="1" t="s">
        <v>81</v>
      </c>
      <c r="E138" s="1" t="s">
        <v>256</v>
      </c>
      <c r="F138" s="1" t="s">
        <v>257</v>
      </c>
      <c r="G138">
        <v>2</v>
      </c>
      <c r="H138">
        <v>6</v>
      </c>
      <c r="I138" s="1" t="s">
        <v>56</v>
      </c>
      <c r="J138" s="1" t="s">
        <v>43</v>
      </c>
      <c r="K138" s="1" t="s">
        <v>44</v>
      </c>
      <c r="L138">
        <v>70</v>
      </c>
      <c r="M138" s="1" t="s">
        <v>32</v>
      </c>
    </row>
    <row r="139" spans="1:13" x14ac:dyDescent="0.2">
      <c r="A139" s="1" t="s">
        <v>274</v>
      </c>
      <c r="B139">
        <v>138</v>
      </c>
      <c r="C139" s="1" t="s">
        <v>28</v>
      </c>
      <c r="D139" s="1" t="s">
        <v>81</v>
      </c>
      <c r="E139" s="1" t="s">
        <v>256</v>
      </c>
      <c r="F139" s="1" t="s">
        <v>257</v>
      </c>
      <c r="G139">
        <v>2</v>
      </c>
      <c r="H139">
        <v>6</v>
      </c>
      <c r="I139" s="1" t="s">
        <v>56</v>
      </c>
      <c r="J139" s="1" t="s">
        <v>46</v>
      </c>
      <c r="K139" s="1" t="s">
        <v>47</v>
      </c>
      <c r="L139">
        <v>25</v>
      </c>
      <c r="M139" s="1" t="s">
        <v>32</v>
      </c>
    </row>
    <row r="140" spans="1:13" x14ac:dyDescent="0.2">
      <c r="A140" s="1" t="s">
        <v>275</v>
      </c>
      <c r="B140">
        <v>139</v>
      </c>
      <c r="C140" s="1" t="s">
        <v>28</v>
      </c>
      <c r="D140" s="1" t="s">
        <v>81</v>
      </c>
      <c r="E140" s="1" t="s">
        <v>256</v>
      </c>
      <c r="F140" s="1" t="s">
        <v>257</v>
      </c>
      <c r="G140">
        <v>2</v>
      </c>
      <c r="H140">
        <v>6</v>
      </c>
      <c r="I140" s="1" t="s">
        <v>63</v>
      </c>
      <c r="J140" s="1" t="s">
        <v>29</v>
      </c>
      <c r="K140" s="1" t="s">
        <v>30</v>
      </c>
      <c r="L140">
        <v>65</v>
      </c>
      <c r="M140" s="1" t="s">
        <v>32</v>
      </c>
    </row>
    <row r="141" spans="1:13" x14ac:dyDescent="0.2">
      <c r="A141" s="1" t="s">
        <v>276</v>
      </c>
      <c r="B141">
        <v>140</v>
      </c>
      <c r="C141" s="1" t="s">
        <v>28</v>
      </c>
      <c r="D141" s="1" t="s">
        <v>81</v>
      </c>
      <c r="E141" s="1" t="s">
        <v>256</v>
      </c>
      <c r="F141" s="1" t="s">
        <v>257</v>
      </c>
      <c r="G141">
        <v>2</v>
      </c>
      <c r="H141">
        <v>6</v>
      </c>
      <c r="I141" s="1" t="s">
        <v>63</v>
      </c>
      <c r="J141" s="1" t="s">
        <v>34</v>
      </c>
      <c r="K141" s="1" t="s">
        <v>35</v>
      </c>
      <c r="L141">
        <v>20</v>
      </c>
      <c r="M141" s="1" t="s">
        <v>32</v>
      </c>
    </row>
    <row r="142" spans="1:13" x14ac:dyDescent="0.2">
      <c r="A142" s="1" t="s">
        <v>277</v>
      </c>
      <c r="B142">
        <v>141</v>
      </c>
      <c r="C142" s="1" t="s">
        <v>28</v>
      </c>
      <c r="D142" s="1" t="s">
        <v>81</v>
      </c>
      <c r="E142" s="1" t="s">
        <v>256</v>
      </c>
      <c r="F142" s="1" t="s">
        <v>257</v>
      </c>
      <c r="G142">
        <v>2</v>
      </c>
      <c r="H142">
        <v>6</v>
      </c>
      <c r="I142" s="1" t="s">
        <v>63</v>
      </c>
      <c r="J142" s="1" t="s">
        <v>37</v>
      </c>
      <c r="K142" s="1" t="s">
        <v>38</v>
      </c>
      <c r="L142">
        <v>85</v>
      </c>
      <c r="M142" s="1" t="s">
        <v>32</v>
      </c>
    </row>
    <row r="143" spans="1:13" x14ac:dyDescent="0.2">
      <c r="A143" s="1" t="s">
        <v>278</v>
      </c>
      <c r="B143">
        <v>142</v>
      </c>
      <c r="C143" s="1" t="s">
        <v>28</v>
      </c>
      <c r="D143" s="1" t="s">
        <v>81</v>
      </c>
      <c r="E143" s="1" t="s">
        <v>256</v>
      </c>
      <c r="F143" s="1" t="s">
        <v>257</v>
      </c>
      <c r="G143">
        <v>2</v>
      </c>
      <c r="H143">
        <v>6</v>
      </c>
      <c r="I143" s="1" t="s">
        <v>63</v>
      </c>
      <c r="J143" s="1" t="s">
        <v>40</v>
      </c>
      <c r="K143" s="1" t="s">
        <v>41</v>
      </c>
      <c r="L143">
        <v>70</v>
      </c>
      <c r="M143" s="1" t="s">
        <v>32</v>
      </c>
    </row>
    <row r="144" spans="1:13" x14ac:dyDescent="0.2">
      <c r="A144" s="1" t="s">
        <v>279</v>
      </c>
      <c r="B144">
        <v>143</v>
      </c>
      <c r="C144" s="1" t="s">
        <v>28</v>
      </c>
      <c r="D144" s="1" t="s">
        <v>81</v>
      </c>
      <c r="E144" s="1" t="s">
        <v>256</v>
      </c>
      <c r="F144" s="1" t="s">
        <v>257</v>
      </c>
      <c r="G144">
        <v>2</v>
      </c>
      <c r="H144">
        <v>6</v>
      </c>
      <c r="I144" s="1" t="s">
        <v>63</v>
      </c>
      <c r="J144" s="1" t="s">
        <v>43</v>
      </c>
      <c r="K144" s="1" t="s">
        <v>44</v>
      </c>
      <c r="L144">
        <v>30</v>
      </c>
      <c r="M144" s="1" t="s">
        <v>32</v>
      </c>
    </row>
    <row r="145" spans="1:13" x14ac:dyDescent="0.2">
      <c r="A145" s="1" t="s">
        <v>280</v>
      </c>
      <c r="B145">
        <v>144</v>
      </c>
      <c r="C145" s="1" t="s">
        <v>28</v>
      </c>
      <c r="D145" s="1" t="s">
        <v>81</v>
      </c>
      <c r="E145" s="1" t="s">
        <v>256</v>
      </c>
      <c r="F145" s="1" t="s">
        <v>257</v>
      </c>
      <c r="G145">
        <v>2</v>
      </c>
      <c r="H145">
        <v>6</v>
      </c>
      <c r="I145" s="1" t="s">
        <v>63</v>
      </c>
      <c r="J145" s="1" t="s">
        <v>46</v>
      </c>
      <c r="K145" s="1" t="s">
        <v>47</v>
      </c>
      <c r="L145">
        <v>30</v>
      </c>
      <c r="M145" s="1" t="s">
        <v>32</v>
      </c>
    </row>
    <row r="146" spans="1:13" x14ac:dyDescent="0.2">
      <c r="A146" s="1" t="s">
        <v>295</v>
      </c>
      <c r="B146">
        <v>145</v>
      </c>
      <c r="C146" s="1" t="s">
        <v>28</v>
      </c>
      <c r="D146" s="1" t="s">
        <v>81</v>
      </c>
      <c r="E146" s="1" t="s">
        <v>296</v>
      </c>
      <c r="F146" s="1" t="s">
        <v>297</v>
      </c>
      <c r="G146">
        <v>2</v>
      </c>
      <c r="H146">
        <v>7</v>
      </c>
      <c r="I146" s="1" t="s">
        <v>31</v>
      </c>
      <c r="J146" s="1" t="s">
        <v>29</v>
      </c>
      <c r="K146" s="1" t="s">
        <v>30</v>
      </c>
      <c r="L146">
        <v>666</v>
      </c>
      <c r="M146" s="1" t="s">
        <v>32</v>
      </c>
    </row>
    <row r="147" spans="1:13" x14ac:dyDescent="0.2">
      <c r="A147" s="1" t="s">
        <v>298</v>
      </c>
      <c r="B147">
        <v>146</v>
      </c>
      <c r="C147" s="1" t="s">
        <v>28</v>
      </c>
      <c r="D147" s="1" t="s">
        <v>81</v>
      </c>
      <c r="E147" s="1" t="s">
        <v>296</v>
      </c>
      <c r="F147" s="1" t="s">
        <v>297</v>
      </c>
      <c r="G147">
        <v>2</v>
      </c>
      <c r="H147">
        <v>7</v>
      </c>
      <c r="I147" s="1" t="s">
        <v>31</v>
      </c>
      <c r="J147" s="1" t="s">
        <v>34</v>
      </c>
      <c r="K147" s="1" t="s">
        <v>35</v>
      </c>
      <c r="L147">
        <v>313</v>
      </c>
      <c r="M147" s="1" t="s">
        <v>32</v>
      </c>
    </row>
    <row r="148" spans="1:13" x14ac:dyDescent="0.2">
      <c r="A148" s="1" t="s">
        <v>299</v>
      </c>
      <c r="B148">
        <v>147</v>
      </c>
      <c r="C148" s="1" t="s">
        <v>28</v>
      </c>
      <c r="D148" s="1" t="s">
        <v>81</v>
      </c>
      <c r="E148" s="1" t="s">
        <v>296</v>
      </c>
      <c r="F148" s="1" t="s">
        <v>297</v>
      </c>
      <c r="G148">
        <v>2</v>
      </c>
      <c r="H148">
        <v>7</v>
      </c>
      <c r="I148" s="1" t="s">
        <v>31</v>
      </c>
      <c r="J148" s="1" t="s">
        <v>37</v>
      </c>
      <c r="K148" s="1" t="s">
        <v>38</v>
      </c>
      <c r="L148">
        <v>648</v>
      </c>
      <c r="M148" s="1" t="s">
        <v>32</v>
      </c>
    </row>
    <row r="149" spans="1:13" x14ac:dyDescent="0.2">
      <c r="A149" s="1" t="s">
        <v>300</v>
      </c>
      <c r="B149">
        <v>148</v>
      </c>
      <c r="C149" s="1" t="s">
        <v>28</v>
      </c>
      <c r="D149" s="1" t="s">
        <v>81</v>
      </c>
      <c r="E149" s="1" t="s">
        <v>296</v>
      </c>
      <c r="F149" s="1" t="s">
        <v>297</v>
      </c>
      <c r="G149">
        <v>2</v>
      </c>
      <c r="H149">
        <v>7</v>
      </c>
      <c r="I149" s="1" t="s">
        <v>31</v>
      </c>
      <c r="J149" s="1" t="s">
        <v>40</v>
      </c>
      <c r="K149" s="1" t="s">
        <v>41</v>
      </c>
      <c r="L149">
        <v>242</v>
      </c>
      <c r="M149" s="1" t="s">
        <v>32</v>
      </c>
    </row>
    <row r="150" spans="1:13" x14ac:dyDescent="0.2">
      <c r="A150" s="1" t="s">
        <v>301</v>
      </c>
      <c r="B150">
        <v>149</v>
      </c>
      <c r="C150" s="1" t="s">
        <v>28</v>
      </c>
      <c r="D150" s="1" t="s">
        <v>81</v>
      </c>
      <c r="E150" s="1" t="s">
        <v>296</v>
      </c>
      <c r="F150" s="1" t="s">
        <v>297</v>
      </c>
      <c r="G150">
        <v>2</v>
      </c>
      <c r="H150">
        <v>7</v>
      </c>
      <c r="I150" s="1" t="s">
        <v>31</v>
      </c>
      <c r="J150" s="1" t="s">
        <v>43</v>
      </c>
      <c r="K150" s="1" t="s">
        <v>44</v>
      </c>
      <c r="L150">
        <v>338</v>
      </c>
      <c r="M150" s="1" t="s">
        <v>32</v>
      </c>
    </row>
    <row r="151" spans="1:13" x14ac:dyDescent="0.2">
      <c r="A151" s="1" t="s">
        <v>302</v>
      </c>
      <c r="B151">
        <v>150</v>
      </c>
      <c r="C151" s="1" t="s">
        <v>28</v>
      </c>
      <c r="D151" s="1" t="s">
        <v>81</v>
      </c>
      <c r="E151" s="1" t="s">
        <v>296</v>
      </c>
      <c r="F151" s="1" t="s">
        <v>297</v>
      </c>
      <c r="G151">
        <v>2</v>
      </c>
      <c r="H151">
        <v>7</v>
      </c>
      <c r="I151" s="1" t="s">
        <v>31</v>
      </c>
      <c r="J151" s="1" t="s">
        <v>46</v>
      </c>
      <c r="K151" s="1" t="s">
        <v>47</v>
      </c>
      <c r="L151">
        <v>262</v>
      </c>
      <c r="M151" s="1" t="s">
        <v>32</v>
      </c>
    </row>
    <row r="152" spans="1:13" x14ac:dyDescent="0.2">
      <c r="A152" s="1" t="s">
        <v>303</v>
      </c>
      <c r="B152">
        <v>151</v>
      </c>
      <c r="C152" s="1" t="s">
        <v>28</v>
      </c>
      <c r="D152" s="1" t="s">
        <v>81</v>
      </c>
      <c r="E152" s="1" t="s">
        <v>296</v>
      </c>
      <c r="F152" s="1" t="s">
        <v>297</v>
      </c>
      <c r="G152">
        <v>2</v>
      </c>
      <c r="H152">
        <v>7</v>
      </c>
      <c r="I152" s="1" t="s">
        <v>49</v>
      </c>
      <c r="J152" s="1" t="s">
        <v>29</v>
      </c>
      <c r="K152" s="1" t="s">
        <v>30</v>
      </c>
      <c r="L152">
        <v>157</v>
      </c>
      <c r="M152" s="1" t="s">
        <v>32</v>
      </c>
    </row>
    <row r="153" spans="1:13" x14ac:dyDescent="0.2">
      <c r="A153" s="1" t="s">
        <v>304</v>
      </c>
      <c r="B153">
        <v>152</v>
      </c>
      <c r="C153" s="1" t="s">
        <v>28</v>
      </c>
      <c r="D153" s="1" t="s">
        <v>81</v>
      </c>
      <c r="E153" s="1" t="s">
        <v>296</v>
      </c>
      <c r="F153" s="1" t="s">
        <v>297</v>
      </c>
      <c r="G153">
        <v>2</v>
      </c>
      <c r="H153">
        <v>7</v>
      </c>
      <c r="I153" s="1" t="s">
        <v>49</v>
      </c>
      <c r="J153" s="1" t="s">
        <v>34</v>
      </c>
      <c r="K153" s="1" t="s">
        <v>35</v>
      </c>
      <c r="L153">
        <v>60</v>
      </c>
      <c r="M153" s="1" t="s">
        <v>32</v>
      </c>
    </row>
    <row r="154" spans="1:13" x14ac:dyDescent="0.2">
      <c r="A154" s="1" t="s">
        <v>305</v>
      </c>
      <c r="B154">
        <v>153</v>
      </c>
      <c r="C154" s="1" t="s">
        <v>28</v>
      </c>
      <c r="D154" s="1" t="s">
        <v>81</v>
      </c>
      <c r="E154" s="1" t="s">
        <v>296</v>
      </c>
      <c r="F154" s="1" t="s">
        <v>297</v>
      </c>
      <c r="G154">
        <v>2</v>
      </c>
      <c r="H154">
        <v>7</v>
      </c>
      <c r="I154" s="1" t="s">
        <v>49</v>
      </c>
      <c r="J154" s="1" t="s">
        <v>37</v>
      </c>
      <c r="K154" s="1" t="s">
        <v>38</v>
      </c>
      <c r="L154">
        <v>71</v>
      </c>
      <c r="M154" s="1" t="s">
        <v>32</v>
      </c>
    </row>
    <row r="155" spans="1:13" x14ac:dyDescent="0.2">
      <c r="A155" s="1" t="s">
        <v>306</v>
      </c>
      <c r="B155">
        <v>154</v>
      </c>
      <c r="C155" s="1" t="s">
        <v>28</v>
      </c>
      <c r="D155" s="1" t="s">
        <v>81</v>
      </c>
      <c r="E155" s="1" t="s">
        <v>296</v>
      </c>
      <c r="F155" s="1" t="s">
        <v>297</v>
      </c>
      <c r="G155">
        <v>2</v>
      </c>
      <c r="H155">
        <v>7</v>
      </c>
      <c r="I155" s="1" t="s">
        <v>49</v>
      </c>
      <c r="J155" s="1" t="s">
        <v>40</v>
      </c>
      <c r="K155" s="1" t="s">
        <v>41</v>
      </c>
      <c r="L155">
        <v>35</v>
      </c>
      <c r="M155" s="1" t="s">
        <v>32</v>
      </c>
    </row>
    <row r="156" spans="1:13" x14ac:dyDescent="0.2">
      <c r="A156" s="1" t="s">
        <v>307</v>
      </c>
      <c r="B156">
        <v>155</v>
      </c>
      <c r="C156" s="1" t="s">
        <v>28</v>
      </c>
      <c r="D156" s="1" t="s">
        <v>81</v>
      </c>
      <c r="E156" s="1" t="s">
        <v>296</v>
      </c>
      <c r="F156" s="1" t="s">
        <v>297</v>
      </c>
      <c r="G156">
        <v>2</v>
      </c>
      <c r="H156">
        <v>7</v>
      </c>
      <c r="I156" s="1" t="s">
        <v>49</v>
      </c>
      <c r="J156" s="1" t="s">
        <v>43</v>
      </c>
      <c r="K156" s="1" t="s">
        <v>44</v>
      </c>
      <c r="L156">
        <v>60</v>
      </c>
      <c r="M156" s="1" t="s">
        <v>32</v>
      </c>
    </row>
    <row r="157" spans="1:13" x14ac:dyDescent="0.2">
      <c r="A157" s="1" t="s">
        <v>308</v>
      </c>
      <c r="B157">
        <v>156</v>
      </c>
      <c r="C157" s="1" t="s">
        <v>28</v>
      </c>
      <c r="D157" s="1" t="s">
        <v>81</v>
      </c>
      <c r="E157" s="1" t="s">
        <v>296</v>
      </c>
      <c r="F157" s="1" t="s">
        <v>297</v>
      </c>
      <c r="G157">
        <v>2</v>
      </c>
      <c r="H157">
        <v>7</v>
      </c>
      <c r="I157" s="1" t="s">
        <v>49</v>
      </c>
      <c r="J157" s="1" t="s">
        <v>46</v>
      </c>
      <c r="K157" s="1" t="s">
        <v>47</v>
      </c>
      <c r="L157">
        <v>70</v>
      </c>
      <c r="M157" s="1" t="s">
        <v>32</v>
      </c>
    </row>
    <row r="158" spans="1:13" x14ac:dyDescent="0.2">
      <c r="A158" s="1" t="s">
        <v>309</v>
      </c>
      <c r="B158">
        <v>157</v>
      </c>
      <c r="C158" s="1" t="s">
        <v>28</v>
      </c>
      <c r="D158" s="1" t="s">
        <v>81</v>
      </c>
      <c r="E158" s="1" t="s">
        <v>296</v>
      </c>
      <c r="F158" s="1" t="s">
        <v>297</v>
      </c>
      <c r="G158">
        <v>2</v>
      </c>
      <c r="H158">
        <v>7</v>
      </c>
      <c r="I158" s="1" t="s">
        <v>56</v>
      </c>
      <c r="J158" s="1" t="s">
        <v>29</v>
      </c>
      <c r="K158" s="1" t="s">
        <v>30</v>
      </c>
      <c r="L158">
        <v>60</v>
      </c>
      <c r="M158" s="1" t="s">
        <v>32</v>
      </c>
    </row>
    <row r="159" spans="1:13" x14ac:dyDescent="0.2">
      <c r="A159" s="1" t="s">
        <v>310</v>
      </c>
      <c r="B159">
        <v>158</v>
      </c>
      <c r="C159" s="1" t="s">
        <v>28</v>
      </c>
      <c r="D159" s="1" t="s">
        <v>81</v>
      </c>
      <c r="E159" s="1" t="s">
        <v>296</v>
      </c>
      <c r="F159" s="1" t="s">
        <v>297</v>
      </c>
      <c r="G159">
        <v>2</v>
      </c>
      <c r="H159">
        <v>7</v>
      </c>
      <c r="I159" s="1" t="s">
        <v>56</v>
      </c>
      <c r="J159" s="1" t="s">
        <v>34</v>
      </c>
      <c r="K159" s="1" t="s">
        <v>35</v>
      </c>
      <c r="L159">
        <v>60</v>
      </c>
      <c r="M159" s="1" t="s">
        <v>32</v>
      </c>
    </row>
    <row r="160" spans="1:13" x14ac:dyDescent="0.2">
      <c r="A160" s="1" t="s">
        <v>311</v>
      </c>
      <c r="B160">
        <v>159</v>
      </c>
      <c r="C160" s="1" t="s">
        <v>28</v>
      </c>
      <c r="D160" s="1" t="s">
        <v>81</v>
      </c>
      <c r="E160" s="1" t="s">
        <v>296</v>
      </c>
      <c r="F160" s="1" t="s">
        <v>297</v>
      </c>
      <c r="G160">
        <v>2</v>
      </c>
      <c r="H160">
        <v>7</v>
      </c>
      <c r="I160" s="1" t="s">
        <v>56</v>
      </c>
      <c r="J160" s="1" t="s">
        <v>37</v>
      </c>
      <c r="K160" s="1" t="s">
        <v>38</v>
      </c>
      <c r="L160">
        <v>66</v>
      </c>
      <c r="M160" s="1" t="s">
        <v>32</v>
      </c>
    </row>
    <row r="161" spans="1:13" x14ac:dyDescent="0.2">
      <c r="A161" s="1" t="s">
        <v>312</v>
      </c>
      <c r="B161">
        <v>160</v>
      </c>
      <c r="C161" s="1" t="s">
        <v>28</v>
      </c>
      <c r="D161" s="1" t="s">
        <v>81</v>
      </c>
      <c r="E161" s="1" t="s">
        <v>296</v>
      </c>
      <c r="F161" s="1" t="s">
        <v>297</v>
      </c>
      <c r="G161">
        <v>2</v>
      </c>
      <c r="H161">
        <v>7</v>
      </c>
      <c r="I161" s="1" t="s">
        <v>56</v>
      </c>
      <c r="J161" s="1" t="s">
        <v>40</v>
      </c>
      <c r="K161" s="1" t="s">
        <v>41</v>
      </c>
      <c r="L161">
        <v>0</v>
      </c>
      <c r="M161" s="1" t="s">
        <v>32</v>
      </c>
    </row>
    <row r="162" spans="1:13" x14ac:dyDescent="0.2">
      <c r="A162" s="1" t="s">
        <v>313</v>
      </c>
      <c r="B162">
        <v>161</v>
      </c>
      <c r="C162" s="1" t="s">
        <v>28</v>
      </c>
      <c r="D162" s="1" t="s">
        <v>81</v>
      </c>
      <c r="E162" s="1" t="s">
        <v>296</v>
      </c>
      <c r="F162" s="1" t="s">
        <v>297</v>
      </c>
      <c r="G162">
        <v>2</v>
      </c>
      <c r="H162">
        <v>7</v>
      </c>
      <c r="I162" s="1" t="s">
        <v>56</v>
      </c>
      <c r="J162" s="1" t="s">
        <v>43</v>
      </c>
      <c r="K162" s="1" t="s">
        <v>44</v>
      </c>
      <c r="L162">
        <v>70</v>
      </c>
      <c r="M162" s="1" t="s">
        <v>32</v>
      </c>
    </row>
    <row r="163" spans="1:13" x14ac:dyDescent="0.2">
      <c r="A163" s="1" t="s">
        <v>314</v>
      </c>
      <c r="B163">
        <v>162</v>
      </c>
      <c r="C163" s="1" t="s">
        <v>28</v>
      </c>
      <c r="D163" s="1" t="s">
        <v>81</v>
      </c>
      <c r="E163" s="1" t="s">
        <v>296</v>
      </c>
      <c r="F163" s="1" t="s">
        <v>297</v>
      </c>
      <c r="G163">
        <v>2</v>
      </c>
      <c r="H163">
        <v>7</v>
      </c>
      <c r="I163" s="1" t="s">
        <v>56</v>
      </c>
      <c r="J163" s="1" t="s">
        <v>46</v>
      </c>
      <c r="K163" s="1" t="s">
        <v>47</v>
      </c>
      <c r="L163">
        <v>25</v>
      </c>
      <c r="M163" s="1" t="s">
        <v>32</v>
      </c>
    </row>
    <row r="164" spans="1:13" x14ac:dyDescent="0.2">
      <c r="A164" s="1" t="s">
        <v>315</v>
      </c>
      <c r="B164">
        <v>163</v>
      </c>
      <c r="C164" s="1" t="s">
        <v>28</v>
      </c>
      <c r="D164" s="1" t="s">
        <v>81</v>
      </c>
      <c r="E164" s="1" t="s">
        <v>296</v>
      </c>
      <c r="F164" s="1" t="s">
        <v>297</v>
      </c>
      <c r="G164">
        <v>2</v>
      </c>
      <c r="H164">
        <v>7</v>
      </c>
      <c r="I164" s="1" t="s">
        <v>63</v>
      </c>
      <c r="J164" s="1" t="s">
        <v>29</v>
      </c>
      <c r="K164" s="1" t="s">
        <v>30</v>
      </c>
      <c r="L164">
        <v>65</v>
      </c>
      <c r="M164" s="1" t="s">
        <v>32</v>
      </c>
    </row>
    <row r="165" spans="1:13" x14ac:dyDescent="0.2">
      <c r="A165" s="1" t="s">
        <v>316</v>
      </c>
      <c r="B165">
        <v>164</v>
      </c>
      <c r="C165" s="1" t="s">
        <v>28</v>
      </c>
      <c r="D165" s="1" t="s">
        <v>81</v>
      </c>
      <c r="E165" s="1" t="s">
        <v>296</v>
      </c>
      <c r="F165" s="1" t="s">
        <v>297</v>
      </c>
      <c r="G165">
        <v>2</v>
      </c>
      <c r="H165">
        <v>7</v>
      </c>
      <c r="I165" s="1" t="s">
        <v>63</v>
      </c>
      <c r="J165" s="1" t="s">
        <v>34</v>
      </c>
      <c r="K165" s="1" t="s">
        <v>35</v>
      </c>
      <c r="L165">
        <v>20</v>
      </c>
      <c r="M165" s="1" t="s">
        <v>32</v>
      </c>
    </row>
    <row r="166" spans="1:13" x14ac:dyDescent="0.2">
      <c r="A166" s="1" t="s">
        <v>317</v>
      </c>
      <c r="B166">
        <v>165</v>
      </c>
      <c r="C166" s="1" t="s">
        <v>28</v>
      </c>
      <c r="D166" s="1" t="s">
        <v>81</v>
      </c>
      <c r="E166" s="1" t="s">
        <v>296</v>
      </c>
      <c r="F166" s="1" t="s">
        <v>297</v>
      </c>
      <c r="G166">
        <v>2</v>
      </c>
      <c r="H166">
        <v>7</v>
      </c>
      <c r="I166" s="1" t="s">
        <v>63</v>
      </c>
      <c r="J166" s="1" t="s">
        <v>37</v>
      </c>
      <c r="K166" s="1" t="s">
        <v>38</v>
      </c>
      <c r="L166">
        <v>85</v>
      </c>
      <c r="M166" s="1" t="s">
        <v>32</v>
      </c>
    </row>
    <row r="167" spans="1:13" x14ac:dyDescent="0.2">
      <c r="A167" s="1" t="s">
        <v>318</v>
      </c>
      <c r="B167">
        <v>166</v>
      </c>
      <c r="C167" s="1" t="s">
        <v>28</v>
      </c>
      <c r="D167" s="1" t="s">
        <v>81</v>
      </c>
      <c r="E167" s="1" t="s">
        <v>296</v>
      </c>
      <c r="F167" s="1" t="s">
        <v>297</v>
      </c>
      <c r="G167">
        <v>2</v>
      </c>
      <c r="H167">
        <v>7</v>
      </c>
      <c r="I167" s="1" t="s">
        <v>63</v>
      </c>
      <c r="J167" s="1" t="s">
        <v>40</v>
      </c>
      <c r="K167" s="1" t="s">
        <v>41</v>
      </c>
      <c r="L167">
        <v>79</v>
      </c>
      <c r="M167" s="1" t="s">
        <v>32</v>
      </c>
    </row>
    <row r="168" spans="1:13" x14ac:dyDescent="0.2">
      <c r="A168" s="1" t="s">
        <v>319</v>
      </c>
      <c r="B168">
        <v>167</v>
      </c>
      <c r="C168" s="1" t="s">
        <v>28</v>
      </c>
      <c r="D168" s="1" t="s">
        <v>81</v>
      </c>
      <c r="E168" s="1" t="s">
        <v>296</v>
      </c>
      <c r="F168" s="1" t="s">
        <v>297</v>
      </c>
      <c r="G168">
        <v>2</v>
      </c>
      <c r="H168">
        <v>7</v>
      </c>
      <c r="I168" s="1" t="s">
        <v>63</v>
      </c>
      <c r="J168" s="1" t="s">
        <v>43</v>
      </c>
      <c r="K168" s="1" t="s">
        <v>44</v>
      </c>
      <c r="L168">
        <v>30</v>
      </c>
      <c r="M168" s="1" t="s">
        <v>32</v>
      </c>
    </row>
    <row r="169" spans="1:13" x14ac:dyDescent="0.2">
      <c r="A169" s="1" t="s">
        <v>320</v>
      </c>
      <c r="B169">
        <v>168</v>
      </c>
      <c r="C169" s="1" t="s">
        <v>28</v>
      </c>
      <c r="D169" s="1" t="s">
        <v>81</v>
      </c>
      <c r="E169" s="1" t="s">
        <v>296</v>
      </c>
      <c r="F169" s="1" t="s">
        <v>297</v>
      </c>
      <c r="G169">
        <v>2</v>
      </c>
      <c r="H169">
        <v>7</v>
      </c>
      <c r="I169" s="1" t="s">
        <v>63</v>
      </c>
      <c r="J169" s="1" t="s">
        <v>46</v>
      </c>
      <c r="K169" s="1" t="s">
        <v>47</v>
      </c>
      <c r="L169">
        <v>30</v>
      </c>
      <c r="M169" s="1" t="s">
        <v>32</v>
      </c>
    </row>
    <row r="170" spans="1:13" x14ac:dyDescent="0.2">
      <c r="A170" s="1" t="s">
        <v>325</v>
      </c>
      <c r="B170">
        <v>169</v>
      </c>
      <c r="C170" s="1" t="s">
        <v>28</v>
      </c>
      <c r="D170" s="1" t="s">
        <v>81</v>
      </c>
      <c r="E170" s="1" t="s">
        <v>326</v>
      </c>
      <c r="F170" s="1" t="s">
        <v>327</v>
      </c>
      <c r="G170">
        <v>2</v>
      </c>
      <c r="H170">
        <v>8</v>
      </c>
      <c r="I170" s="1" t="s">
        <v>31</v>
      </c>
      <c r="J170" s="1" t="s">
        <v>29</v>
      </c>
      <c r="K170" s="1" t="s">
        <v>30</v>
      </c>
      <c r="L170">
        <v>734</v>
      </c>
      <c r="M170" s="1" t="s">
        <v>32</v>
      </c>
    </row>
    <row r="171" spans="1:13" x14ac:dyDescent="0.2">
      <c r="A171" s="1" t="s">
        <v>328</v>
      </c>
      <c r="B171">
        <v>170</v>
      </c>
      <c r="C171" s="1" t="s">
        <v>28</v>
      </c>
      <c r="D171" s="1" t="s">
        <v>81</v>
      </c>
      <c r="E171" s="1" t="s">
        <v>326</v>
      </c>
      <c r="F171" s="1" t="s">
        <v>327</v>
      </c>
      <c r="G171">
        <v>2</v>
      </c>
      <c r="H171">
        <v>8</v>
      </c>
      <c r="I171" s="1" t="s">
        <v>31</v>
      </c>
      <c r="J171" s="1" t="s">
        <v>34</v>
      </c>
      <c r="K171" s="1" t="s">
        <v>35</v>
      </c>
      <c r="L171">
        <v>313</v>
      </c>
      <c r="M171" s="1" t="s">
        <v>32</v>
      </c>
    </row>
    <row r="172" spans="1:13" x14ac:dyDescent="0.2">
      <c r="A172" s="1" t="s">
        <v>329</v>
      </c>
      <c r="B172">
        <v>171</v>
      </c>
      <c r="C172" s="1" t="s">
        <v>28</v>
      </c>
      <c r="D172" s="1" t="s">
        <v>81</v>
      </c>
      <c r="E172" s="1" t="s">
        <v>326</v>
      </c>
      <c r="F172" s="1" t="s">
        <v>327</v>
      </c>
      <c r="G172">
        <v>2</v>
      </c>
      <c r="H172">
        <v>8</v>
      </c>
      <c r="I172" s="1" t="s">
        <v>31</v>
      </c>
      <c r="J172" s="1" t="s">
        <v>37</v>
      </c>
      <c r="K172" s="1" t="s">
        <v>38</v>
      </c>
      <c r="L172">
        <v>626</v>
      </c>
      <c r="M172" s="1" t="s">
        <v>32</v>
      </c>
    </row>
    <row r="173" spans="1:13" x14ac:dyDescent="0.2">
      <c r="A173" s="1" t="s">
        <v>330</v>
      </c>
      <c r="B173">
        <v>172</v>
      </c>
      <c r="C173" s="1" t="s">
        <v>28</v>
      </c>
      <c r="D173" s="1" t="s">
        <v>81</v>
      </c>
      <c r="E173" s="1" t="s">
        <v>326</v>
      </c>
      <c r="F173" s="1" t="s">
        <v>327</v>
      </c>
      <c r="G173">
        <v>2</v>
      </c>
      <c r="H173">
        <v>8</v>
      </c>
      <c r="I173" s="1" t="s">
        <v>31</v>
      </c>
      <c r="J173" s="1" t="s">
        <v>40</v>
      </c>
      <c r="K173" s="1" t="s">
        <v>41</v>
      </c>
      <c r="L173">
        <v>236</v>
      </c>
      <c r="M173" s="1" t="s">
        <v>32</v>
      </c>
    </row>
    <row r="174" spans="1:13" x14ac:dyDescent="0.2">
      <c r="A174" s="1" t="s">
        <v>331</v>
      </c>
      <c r="B174">
        <v>173</v>
      </c>
      <c r="C174" s="1" t="s">
        <v>28</v>
      </c>
      <c r="D174" s="1" t="s">
        <v>81</v>
      </c>
      <c r="E174" s="1" t="s">
        <v>326</v>
      </c>
      <c r="F174" s="1" t="s">
        <v>327</v>
      </c>
      <c r="G174">
        <v>2</v>
      </c>
      <c r="H174">
        <v>8</v>
      </c>
      <c r="I174" s="1" t="s">
        <v>31</v>
      </c>
      <c r="J174" s="1" t="s">
        <v>43</v>
      </c>
      <c r="K174" s="1" t="s">
        <v>44</v>
      </c>
      <c r="L174">
        <v>338</v>
      </c>
      <c r="M174" s="1" t="s">
        <v>32</v>
      </c>
    </row>
    <row r="175" spans="1:13" x14ac:dyDescent="0.2">
      <c r="A175" s="1" t="s">
        <v>332</v>
      </c>
      <c r="B175">
        <v>174</v>
      </c>
      <c r="C175" s="1" t="s">
        <v>28</v>
      </c>
      <c r="D175" s="1" t="s">
        <v>81</v>
      </c>
      <c r="E175" s="1" t="s">
        <v>326</v>
      </c>
      <c r="F175" s="1" t="s">
        <v>327</v>
      </c>
      <c r="G175">
        <v>2</v>
      </c>
      <c r="H175">
        <v>8</v>
      </c>
      <c r="I175" s="1" t="s">
        <v>31</v>
      </c>
      <c r="J175" s="1" t="s">
        <v>46</v>
      </c>
      <c r="K175" s="1" t="s">
        <v>47</v>
      </c>
      <c r="L175">
        <v>262</v>
      </c>
      <c r="M175" s="1" t="s">
        <v>32</v>
      </c>
    </row>
    <row r="176" spans="1:13" x14ac:dyDescent="0.2">
      <c r="A176" s="1" t="s">
        <v>333</v>
      </c>
      <c r="B176">
        <v>175</v>
      </c>
      <c r="C176" s="1" t="s">
        <v>28</v>
      </c>
      <c r="D176" s="1" t="s">
        <v>81</v>
      </c>
      <c r="E176" s="1" t="s">
        <v>326</v>
      </c>
      <c r="F176" s="1" t="s">
        <v>327</v>
      </c>
      <c r="G176">
        <v>2</v>
      </c>
      <c r="H176">
        <v>8</v>
      </c>
      <c r="I176" s="1" t="s">
        <v>49</v>
      </c>
      <c r="J176" s="1" t="s">
        <v>29</v>
      </c>
      <c r="K176" s="1" t="s">
        <v>30</v>
      </c>
      <c r="L176">
        <v>176</v>
      </c>
      <c r="M176" s="1" t="s">
        <v>32</v>
      </c>
    </row>
    <row r="177" spans="1:13" x14ac:dyDescent="0.2">
      <c r="A177" s="1" t="s">
        <v>334</v>
      </c>
      <c r="B177">
        <v>176</v>
      </c>
      <c r="C177" s="1" t="s">
        <v>28</v>
      </c>
      <c r="D177" s="1" t="s">
        <v>81</v>
      </c>
      <c r="E177" s="1" t="s">
        <v>326</v>
      </c>
      <c r="F177" s="1" t="s">
        <v>327</v>
      </c>
      <c r="G177">
        <v>2</v>
      </c>
      <c r="H177">
        <v>8</v>
      </c>
      <c r="I177" s="1" t="s">
        <v>49</v>
      </c>
      <c r="J177" s="1" t="s">
        <v>34</v>
      </c>
      <c r="K177" s="1" t="s">
        <v>35</v>
      </c>
      <c r="L177">
        <v>40</v>
      </c>
      <c r="M177" s="1" t="s">
        <v>32</v>
      </c>
    </row>
    <row r="178" spans="1:13" x14ac:dyDescent="0.2">
      <c r="A178" s="1" t="s">
        <v>335</v>
      </c>
      <c r="B178">
        <v>177</v>
      </c>
      <c r="C178" s="1" t="s">
        <v>28</v>
      </c>
      <c r="D178" s="1" t="s">
        <v>81</v>
      </c>
      <c r="E178" s="1" t="s">
        <v>326</v>
      </c>
      <c r="F178" s="1" t="s">
        <v>327</v>
      </c>
      <c r="G178">
        <v>2</v>
      </c>
      <c r="H178">
        <v>8</v>
      </c>
      <c r="I178" s="1" t="s">
        <v>49</v>
      </c>
      <c r="J178" s="1" t="s">
        <v>37</v>
      </c>
      <c r="K178" s="1" t="s">
        <v>38</v>
      </c>
      <c r="L178">
        <v>44</v>
      </c>
      <c r="M178" s="1" t="s">
        <v>32</v>
      </c>
    </row>
    <row r="179" spans="1:13" x14ac:dyDescent="0.2">
      <c r="A179" s="1" t="s">
        <v>336</v>
      </c>
      <c r="B179">
        <v>178</v>
      </c>
      <c r="C179" s="1" t="s">
        <v>28</v>
      </c>
      <c r="D179" s="1" t="s">
        <v>81</v>
      </c>
      <c r="E179" s="1" t="s">
        <v>326</v>
      </c>
      <c r="F179" s="1" t="s">
        <v>327</v>
      </c>
      <c r="G179">
        <v>2</v>
      </c>
      <c r="H179">
        <v>8</v>
      </c>
      <c r="I179" s="1" t="s">
        <v>49</v>
      </c>
      <c r="J179" s="1" t="s">
        <v>40</v>
      </c>
      <c r="K179" s="1" t="s">
        <v>41</v>
      </c>
      <c r="L179">
        <v>35</v>
      </c>
      <c r="M179" s="1" t="s">
        <v>32</v>
      </c>
    </row>
    <row r="180" spans="1:13" x14ac:dyDescent="0.2">
      <c r="A180" s="1" t="s">
        <v>337</v>
      </c>
      <c r="B180">
        <v>179</v>
      </c>
      <c r="C180" s="1" t="s">
        <v>28</v>
      </c>
      <c r="D180" s="1" t="s">
        <v>81</v>
      </c>
      <c r="E180" s="1" t="s">
        <v>326</v>
      </c>
      <c r="F180" s="1" t="s">
        <v>327</v>
      </c>
      <c r="G180">
        <v>2</v>
      </c>
      <c r="H180">
        <v>8</v>
      </c>
      <c r="I180" s="1" t="s">
        <v>49</v>
      </c>
      <c r="J180" s="1" t="s">
        <v>43</v>
      </c>
      <c r="K180" s="1" t="s">
        <v>44</v>
      </c>
      <c r="L180">
        <v>60</v>
      </c>
      <c r="M180" s="1" t="s">
        <v>32</v>
      </c>
    </row>
    <row r="181" spans="1:13" x14ac:dyDescent="0.2">
      <c r="A181" s="1" t="s">
        <v>338</v>
      </c>
      <c r="B181">
        <v>180</v>
      </c>
      <c r="C181" s="1" t="s">
        <v>28</v>
      </c>
      <c r="D181" s="1" t="s">
        <v>81</v>
      </c>
      <c r="E181" s="1" t="s">
        <v>326</v>
      </c>
      <c r="F181" s="1" t="s">
        <v>327</v>
      </c>
      <c r="G181">
        <v>2</v>
      </c>
      <c r="H181">
        <v>8</v>
      </c>
      <c r="I181" s="1" t="s">
        <v>49</v>
      </c>
      <c r="J181" s="1" t="s">
        <v>46</v>
      </c>
      <c r="K181" s="1" t="s">
        <v>47</v>
      </c>
      <c r="L181">
        <v>70</v>
      </c>
      <c r="M181" s="1" t="s">
        <v>32</v>
      </c>
    </row>
    <row r="182" spans="1:13" x14ac:dyDescent="0.2">
      <c r="A182" s="1" t="s">
        <v>339</v>
      </c>
      <c r="B182">
        <v>181</v>
      </c>
      <c r="C182" s="1" t="s">
        <v>28</v>
      </c>
      <c r="D182" s="1" t="s">
        <v>81</v>
      </c>
      <c r="E182" s="1" t="s">
        <v>326</v>
      </c>
      <c r="F182" s="1" t="s">
        <v>327</v>
      </c>
      <c r="G182">
        <v>2</v>
      </c>
      <c r="H182">
        <v>8</v>
      </c>
      <c r="I182" s="1" t="s">
        <v>56</v>
      </c>
      <c r="J182" s="1" t="s">
        <v>29</v>
      </c>
      <c r="K182" s="1" t="s">
        <v>30</v>
      </c>
      <c r="L182">
        <v>60</v>
      </c>
      <c r="M182" s="1" t="s">
        <v>32</v>
      </c>
    </row>
    <row r="183" spans="1:13" x14ac:dyDescent="0.2">
      <c r="A183" s="1" t="s">
        <v>340</v>
      </c>
      <c r="B183">
        <v>182</v>
      </c>
      <c r="C183" s="1" t="s">
        <v>28</v>
      </c>
      <c r="D183" s="1" t="s">
        <v>81</v>
      </c>
      <c r="E183" s="1" t="s">
        <v>326</v>
      </c>
      <c r="F183" s="1" t="s">
        <v>327</v>
      </c>
      <c r="G183">
        <v>2</v>
      </c>
      <c r="H183">
        <v>8</v>
      </c>
      <c r="I183" s="1" t="s">
        <v>56</v>
      </c>
      <c r="J183" s="1" t="s">
        <v>34</v>
      </c>
      <c r="K183" s="1" t="s">
        <v>35</v>
      </c>
      <c r="L183">
        <v>60</v>
      </c>
      <c r="M183" s="1" t="s">
        <v>32</v>
      </c>
    </row>
    <row r="184" spans="1:13" x14ac:dyDescent="0.2">
      <c r="A184" s="1" t="s">
        <v>341</v>
      </c>
      <c r="B184">
        <v>183</v>
      </c>
      <c r="C184" s="1" t="s">
        <v>28</v>
      </c>
      <c r="D184" s="1" t="s">
        <v>81</v>
      </c>
      <c r="E184" s="1" t="s">
        <v>326</v>
      </c>
      <c r="F184" s="1" t="s">
        <v>327</v>
      </c>
      <c r="G184">
        <v>2</v>
      </c>
      <c r="H184">
        <v>8</v>
      </c>
      <c r="I184" s="1" t="s">
        <v>56</v>
      </c>
      <c r="J184" s="1" t="s">
        <v>37</v>
      </c>
      <c r="K184" s="1" t="s">
        <v>38</v>
      </c>
      <c r="L184">
        <v>45</v>
      </c>
      <c r="M184" s="1" t="s">
        <v>32</v>
      </c>
    </row>
    <row r="185" spans="1:13" x14ac:dyDescent="0.2">
      <c r="A185" s="1" t="s">
        <v>342</v>
      </c>
      <c r="B185">
        <v>184</v>
      </c>
      <c r="C185" s="1" t="s">
        <v>28</v>
      </c>
      <c r="D185" s="1" t="s">
        <v>81</v>
      </c>
      <c r="E185" s="1" t="s">
        <v>326</v>
      </c>
      <c r="F185" s="1" t="s">
        <v>327</v>
      </c>
      <c r="G185">
        <v>2</v>
      </c>
      <c r="H185">
        <v>8</v>
      </c>
      <c r="I185" s="1" t="s">
        <v>56</v>
      </c>
      <c r="J185" s="1" t="s">
        <v>40</v>
      </c>
      <c r="K185" s="1" t="s">
        <v>41</v>
      </c>
      <c r="L185">
        <v>15</v>
      </c>
      <c r="M185" s="1" t="s">
        <v>32</v>
      </c>
    </row>
    <row r="186" spans="1:13" x14ac:dyDescent="0.2">
      <c r="A186" s="1" t="s">
        <v>343</v>
      </c>
      <c r="B186">
        <v>185</v>
      </c>
      <c r="C186" s="1" t="s">
        <v>28</v>
      </c>
      <c r="D186" s="1" t="s">
        <v>81</v>
      </c>
      <c r="E186" s="1" t="s">
        <v>326</v>
      </c>
      <c r="F186" s="1" t="s">
        <v>327</v>
      </c>
      <c r="G186">
        <v>2</v>
      </c>
      <c r="H186">
        <v>8</v>
      </c>
      <c r="I186" s="1" t="s">
        <v>56</v>
      </c>
      <c r="J186" s="1" t="s">
        <v>43</v>
      </c>
      <c r="K186" s="1" t="s">
        <v>44</v>
      </c>
      <c r="L186">
        <v>70</v>
      </c>
      <c r="M186" s="1" t="s">
        <v>32</v>
      </c>
    </row>
    <row r="187" spans="1:13" x14ac:dyDescent="0.2">
      <c r="A187" s="1" t="s">
        <v>344</v>
      </c>
      <c r="B187">
        <v>186</v>
      </c>
      <c r="C187" s="1" t="s">
        <v>28</v>
      </c>
      <c r="D187" s="1" t="s">
        <v>81</v>
      </c>
      <c r="E187" s="1" t="s">
        <v>326</v>
      </c>
      <c r="F187" s="1" t="s">
        <v>327</v>
      </c>
      <c r="G187">
        <v>2</v>
      </c>
      <c r="H187">
        <v>8</v>
      </c>
      <c r="I187" s="1" t="s">
        <v>56</v>
      </c>
      <c r="J187" s="1" t="s">
        <v>46</v>
      </c>
      <c r="K187" s="1" t="s">
        <v>47</v>
      </c>
      <c r="L187">
        <v>25</v>
      </c>
      <c r="M187" s="1" t="s">
        <v>32</v>
      </c>
    </row>
    <row r="188" spans="1:13" x14ac:dyDescent="0.2">
      <c r="A188" s="1" t="s">
        <v>345</v>
      </c>
      <c r="B188">
        <v>187</v>
      </c>
      <c r="C188" s="1" t="s">
        <v>28</v>
      </c>
      <c r="D188" s="1" t="s">
        <v>81</v>
      </c>
      <c r="E188" s="1" t="s">
        <v>326</v>
      </c>
      <c r="F188" s="1" t="s">
        <v>327</v>
      </c>
      <c r="G188">
        <v>2</v>
      </c>
      <c r="H188">
        <v>8</v>
      </c>
      <c r="I188" s="1" t="s">
        <v>63</v>
      </c>
      <c r="J188" s="1" t="s">
        <v>29</v>
      </c>
      <c r="K188" s="1" t="s">
        <v>30</v>
      </c>
      <c r="L188">
        <v>65</v>
      </c>
      <c r="M188" s="1" t="s">
        <v>32</v>
      </c>
    </row>
    <row r="189" spans="1:13" x14ac:dyDescent="0.2">
      <c r="A189" s="1" t="s">
        <v>346</v>
      </c>
      <c r="B189">
        <v>188</v>
      </c>
      <c r="C189" s="1" t="s">
        <v>28</v>
      </c>
      <c r="D189" s="1" t="s">
        <v>81</v>
      </c>
      <c r="E189" s="1" t="s">
        <v>326</v>
      </c>
      <c r="F189" s="1" t="s">
        <v>327</v>
      </c>
      <c r="G189">
        <v>2</v>
      </c>
      <c r="H189">
        <v>8</v>
      </c>
      <c r="I189" s="1" t="s">
        <v>63</v>
      </c>
      <c r="J189" s="1" t="s">
        <v>34</v>
      </c>
      <c r="K189" s="1" t="s">
        <v>35</v>
      </c>
      <c r="L189">
        <v>20</v>
      </c>
      <c r="M189" s="1" t="s">
        <v>32</v>
      </c>
    </row>
    <row r="190" spans="1:13" x14ac:dyDescent="0.2">
      <c r="A190" s="1" t="s">
        <v>347</v>
      </c>
      <c r="B190">
        <v>189</v>
      </c>
      <c r="C190" s="1" t="s">
        <v>28</v>
      </c>
      <c r="D190" s="1" t="s">
        <v>81</v>
      </c>
      <c r="E190" s="1" t="s">
        <v>326</v>
      </c>
      <c r="F190" s="1" t="s">
        <v>327</v>
      </c>
      <c r="G190">
        <v>2</v>
      </c>
      <c r="H190">
        <v>8</v>
      </c>
      <c r="I190" s="1" t="s">
        <v>63</v>
      </c>
      <c r="J190" s="1" t="s">
        <v>37</v>
      </c>
      <c r="K190" s="1" t="s">
        <v>38</v>
      </c>
      <c r="L190">
        <v>85</v>
      </c>
      <c r="M190" s="1" t="s">
        <v>32</v>
      </c>
    </row>
    <row r="191" spans="1:13" x14ac:dyDescent="0.2">
      <c r="A191" s="1" t="s">
        <v>348</v>
      </c>
      <c r="B191">
        <v>190</v>
      </c>
      <c r="C191" s="1" t="s">
        <v>28</v>
      </c>
      <c r="D191" s="1" t="s">
        <v>81</v>
      </c>
      <c r="E191" s="1" t="s">
        <v>326</v>
      </c>
      <c r="F191" s="1" t="s">
        <v>327</v>
      </c>
      <c r="G191">
        <v>2</v>
      </c>
      <c r="H191">
        <v>8</v>
      </c>
      <c r="I191" s="1" t="s">
        <v>63</v>
      </c>
      <c r="J191" s="1" t="s">
        <v>40</v>
      </c>
      <c r="K191" s="1" t="s">
        <v>41</v>
      </c>
      <c r="L191">
        <v>68</v>
      </c>
      <c r="M191" s="1" t="s">
        <v>32</v>
      </c>
    </row>
    <row r="192" spans="1:13" x14ac:dyDescent="0.2">
      <c r="A192" s="1" t="s">
        <v>349</v>
      </c>
      <c r="B192">
        <v>191</v>
      </c>
      <c r="C192" s="1" t="s">
        <v>28</v>
      </c>
      <c r="D192" s="1" t="s">
        <v>81</v>
      </c>
      <c r="E192" s="1" t="s">
        <v>326</v>
      </c>
      <c r="F192" s="1" t="s">
        <v>327</v>
      </c>
      <c r="G192">
        <v>2</v>
      </c>
      <c r="H192">
        <v>8</v>
      </c>
      <c r="I192" s="1" t="s">
        <v>63</v>
      </c>
      <c r="J192" s="1" t="s">
        <v>43</v>
      </c>
      <c r="K192" s="1" t="s">
        <v>44</v>
      </c>
      <c r="L192">
        <v>30</v>
      </c>
      <c r="M192" s="1" t="s">
        <v>32</v>
      </c>
    </row>
    <row r="193" spans="1:13" x14ac:dyDescent="0.2">
      <c r="A193" s="1" t="s">
        <v>350</v>
      </c>
      <c r="B193">
        <v>192</v>
      </c>
      <c r="C193" s="1" t="s">
        <v>28</v>
      </c>
      <c r="D193" s="1" t="s">
        <v>81</v>
      </c>
      <c r="E193" s="1" t="s">
        <v>326</v>
      </c>
      <c r="F193" s="1" t="s">
        <v>327</v>
      </c>
      <c r="G193">
        <v>2</v>
      </c>
      <c r="H193">
        <v>8</v>
      </c>
      <c r="I193" s="1" t="s">
        <v>63</v>
      </c>
      <c r="J193" s="1" t="s">
        <v>46</v>
      </c>
      <c r="K193" s="1" t="s">
        <v>47</v>
      </c>
      <c r="L193">
        <v>30</v>
      </c>
      <c r="M193" s="1" t="s">
        <v>32</v>
      </c>
    </row>
    <row r="194" spans="1:13" x14ac:dyDescent="0.2">
      <c r="A194" s="1" t="s">
        <v>356</v>
      </c>
      <c r="B194">
        <v>193</v>
      </c>
      <c r="C194" s="1" t="s">
        <v>28</v>
      </c>
      <c r="D194" s="1" t="s">
        <v>81</v>
      </c>
      <c r="E194" s="1" t="s">
        <v>357</v>
      </c>
      <c r="F194" s="1" t="s">
        <v>358</v>
      </c>
      <c r="G194">
        <v>2</v>
      </c>
      <c r="H194">
        <v>9</v>
      </c>
      <c r="I194" s="1" t="s">
        <v>31</v>
      </c>
      <c r="J194" s="1" t="s">
        <v>29</v>
      </c>
      <c r="K194" s="1" t="s">
        <v>30</v>
      </c>
      <c r="L194">
        <v>680</v>
      </c>
      <c r="M194" s="1" t="s">
        <v>32</v>
      </c>
    </row>
    <row r="195" spans="1:13" x14ac:dyDescent="0.2">
      <c r="A195" s="1" t="s">
        <v>359</v>
      </c>
      <c r="B195">
        <v>194</v>
      </c>
      <c r="C195" s="1" t="s">
        <v>28</v>
      </c>
      <c r="D195" s="1" t="s">
        <v>81</v>
      </c>
      <c r="E195" s="1" t="s">
        <v>357</v>
      </c>
      <c r="F195" s="1" t="s">
        <v>358</v>
      </c>
      <c r="G195">
        <v>2</v>
      </c>
      <c r="H195">
        <v>9</v>
      </c>
      <c r="I195" s="1" t="s">
        <v>31</v>
      </c>
      <c r="J195" s="1" t="s">
        <v>34</v>
      </c>
      <c r="K195" s="1" t="s">
        <v>35</v>
      </c>
      <c r="L195">
        <v>293</v>
      </c>
      <c r="M195" s="1" t="s">
        <v>32</v>
      </c>
    </row>
    <row r="196" spans="1:13" x14ac:dyDescent="0.2">
      <c r="A196" s="1" t="s">
        <v>360</v>
      </c>
      <c r="B196">
        <v>195</v>
      </c>
      <c r="C196" s="1" t="s">
        <v>28</v>
      </c>
      <c r="D196" s="1" t="s">
        <v>81</v>
      </c>
      <c r="E196" s="1" t="s">
        <v>357</v>
      </c>
      <c r="F196" s="1" t="s">
        <v>358</v>
      </c>
      <c r="G196">
        <v>2</v>
      </c>
      <c r="H196">
        <v>9</v>
      </c>
      <c r="I196" s="1" t="s">
        <v>31</v>
      </c>
      <c r="J196" s="1" t="s">
        <v>37</v>
      </c>
      <c r="K196" s="1" t="s">
        <v>38</v>
      </c>
      <c r="L196">
        <v>490</v>
      </c>
      <c r="M196" s="1" t="s">
        <v>32</v>
      </c>
    </row>
    <row r="197" spans="1:13" x14ac:dyDescent="0.2">
      <c r="A197" s="1" t="s">
        <v>361</v>
      </c>
      <c r="B197">
        <v>196</v>
      </c>
      <c r="C197" s="1" t="s">
        <v>28</v>
      </c>
      <c r="D197" s="1" t="s">
        <v>81</v>
      </c>
      <c r="E197" s="1" t="s">
        <v>357</v>
      </c>
      <c r="F197" s="1" t="s">
        <v>358</v>
      </c>
      <c r="G197">
        <v>2</v>
      </c>
      <c r="H197">
        <v>9</v>
      </c>
      <c r="I197" s="1" t="s">
        <v>31</v>
      </c>
      <c r="J197" s="1" t="s">
        <v>40</v>
      </c>
      <c r="K197" s="1" t="s">
        <v>41</v>
      </c>
      <c r="L197">
        <v>219</v>
      </c>
      <c r="M197" s="1" t="s">
        <v>32</v>
      </c>
    </row>
    <row r="198" spans="1:13" x14ac:dyDescent="0.2">
      <c r="A198" s="1" t="s">
        <v>362</v>
      </c>
      <c r="B198">
        <v>197</v>
      </c>
      <c r="C198" s="1" t="s">
        <v>28</v>
      </c>
      <c r="D198" s="1" t="s">
        <v>81</v>
      </c>
      <c r="E198" s="1" t="s">
        <v>357</v>
      </c>
      <c r="F198" s="1" t="s">
        <v>358</v>
      </c>
      <c r="G198">
        <v>2</v>
      </c>
      <c r="H198">
        <v>9</v>
      </c>
      <c r="I198" s="1" t="s">
        <v>31</v>
      </c>
      <c r="J198" s="1" t="s">
        <v>43</v>
      </c>
      <c r="K198" s="1" t="s">
        <v>44</v>
      </c>
      <c r="L198">
        <v>338</v>
      </c>
      <c r="M198" s="1" t="s">
        <v>32</v>
      </c>
    </row>
    <row r="199" spans="1:13" x14ac:dyDescent="0.2">
      <c r="A199" s="1" t="s">
        <v>363</v>
      </c>
      <c r="B199">
        <v>198</v>
      </c>
      <c r="C199" s="1" t="s">
        <v>28</v>
      </c>
      <c r="D199" s="1" t="s">
        <v>81</v>
      </c>
      <c r="E199" s="1" t="s">
        <v>357</v>
      </c>
      <c r="F199" s="1" t="s">
        <v>358</v>
      </c>
      <c r="G199">
        <v>2</v>
      </c>
      <c r="H199">
        <v>9</v>
      </c>
      <c r="I199" s="1" t="s">
        <v>31</v>
      </c>
      <c r="J199" s="1" t="s">
        <v>46</v>
      </c>
      <c r="K199" s="1" t="s">
        <v>47</v>
      </c>
      <c r="L199">
        <v>262</v>
      </c>
      <c r="M199" s="1" t="s">
        <v>32</v>
      </c>
    </row>
    <row r="200" spans="1:13" x14ac:dyDescent="0.2">
      <c r="A200" s="1" t="s">
        <v>364</v>
      </c>
      <c r="B200">
        <v>199</v>
      </c>
      <c r="C200" s="1" t="s">
        <v>28</v>
      </c>
      <c r="D200" s="1" t="s">
        <v>81</v>
      </c>
      <c r="E200" s="1" t="s">
        <v>357</v>
      </c>
      <c r="F200" s="1" t="s">
        <v>358</v>
      </c>
      <c r="G200">
        <v>2</v>
      </c>
      <c r="H200">
        <v>9</v>
      </c>
      <c r="I200" s="1" t="s">
        <v>49</v>
      </c>
      <c r="J200" s="1" t="s">
        <v>29</v>
      </c>
      <c r="K200" s="1" t="s">
        <v>30</v>
      </c>
      <c r="L200">
        <v>54</v>
      </c>
      <c r="M200" s="1" t="s">
        <v>32</v>
      </c>
    </row>
    <row r="201" spans="1:13" x14ac:dyDescent="0.2">
      <c r="A201" s="1" t="s">
        <v>365</v>
      </c>
      <c r="B201">
        <v>200</v>
      </c>
      <c r="C201" s="1" t="s">
        <v>28</v>
      </c>
      <c r="D201" s="1" t="s">
        <v>81</v>
      </c>
      <c r="E201" s="1" t="s">
        <v>357</v>
      </c>
      <c r="F201" s="1" t="s">
        <v>358</v>
      </c>
      <c r="G201">
        <v>2</v>
      </c>
      <c r="H201">
        <v>9</v>
      </c>
      <c r="I201" s="1" t="s">
        <v>49</v>
      </c>
      <c r="J201" s="1" t="s">
        <v>34</v>
      </c>
      <c r="K201" s="1" t="s">
        <v>35</v>
      </c>
      <c r="L201">
        <v>60</v>
      </c>
      <c r="M201" s="1" t="s">
        <v>32</v>
      </c>
    </row>
    <row r="202" spans="1:13" x14ac:dyDescent="0.2">
      <c r="A202" s="1" t="s">
        <v>366</v>
      </c>
      <c r="B202">
        <v>201</v>
      </c>
      <c r="C202" s="1" t="s">
        <v>28</v>
      </c>
      <c r="D202" s="1" t="s">
        <v>81</v>
      </c>
      <c r="E202" s="1" t="s">
        <v>357</v>
      </c>
      <c r="F202" s="1" t="s">
        <v>358</v>
      </c>
      <c r="G202">
        <v>2</v>
      </c>
      <c r="H202">
        <v>9</v>
      </c>
      <c r="I202" s="1" t="s">
        <v>49</v>
      </c>
      <c r="J202" s="1" t="s">
        <v>37</v>
      </c>
      <c r="K202" s="1" t="s">
        <v>38</v>
      </c>
      <c r="L202">
        <v>71</v>
      </c>
      <c r="M202" s="1" t="s">
        <v>32</v>
      </c>
    </row>
    <row r="203" spans="1:13" x14ac:dyDescent="0.2">
      <c r="A203" s="1" t="s">
        <v>367</v>
      </c>
      <c r="B203">
        <v>202</v>
      </c>
      <c r="C203" s="1" t="s">
        <v>28</v>
      </c>
      <c r="D203" s="1" t="s">
        <v>81</v>
      </c>
      <c r="E203" s="1" t="s">
        <v>357</v>
      </c>
      <c r="F203" s="1" t="s">
        <v>358</v>
      </c>
      <c r="G203">
        <v>2</v>
      </c>
      <c r="H203">
        <v>9</v>
      </c>
      <c r="I203" s="1" t="s">
        <v>49</v>
      </c>
      <c r="J203" s="1" t="s">
        <v>40</v>
      </c>
      <c r="K203" s="1" t="s">
        <v>41</v>
      </c>
      <c r="L203">
        <v>35</v>
      </c>
      <c r="M203" s="1" t="s">
        <v>32</v>
      </c>
    </row>
    <row r="204" spans="1:13" x14ac:dyDescent="0.2">
      <c r="A204" s="1" t="s">
        <v>368</v>
      </c>
      <c r="B204">
        <v>203</v>
      </c>
      <c r="C204" s="1" t="s">
        <v>28</v>
      </c>
      <c r="D204" s="1" t="s">
        <v>81</v>
      </c>
      <c r="E204" s="1" t="s">
        <v>357</v>
      </c>
      <c r="F204" s="1" t="s">
        <v>358</v>
      </c>
      <c r="G204">
        <v>2</v>
      </c>
      <c r="H204">
        <v>9</v>
      </c>
      <c r="I204" s="1" t="s">
        <v>49</v>
      </c>
      <c r="J204" s="1" t="s">
        <v>43</v>
      </c>
      <c r="K204" s="1" t="s">
        <v>44</v>
      </c>
      <c r="L204">
        <v>60</v>
      </c>
      <c r="M204" s="1" t="s">
        <v>32</v>
      </c>
    </row>
    <row r="205" spans="1:13" x14ac:dyDescent="0.2">
      <c r="A205" s="1" t="s">
        <v>369</v>
      </c>
      <c r="B205">
        <v>204</v>
      </c>
      <c r="C205" s="1" t="s">
        <v>28</v>
      </c>
      <c r="D205" s="1" t="s">
        <v>81</v>
      </c>
      <c r="E205" s="1" t="s">
        <v>357</v>
      </c>
      <c r="F205" s="1" t="s">
        <v>358</v>
      </c>
      <c r="G205">
        <v>2</v>
      </c>
      <c r="H205">
        <v>9</v>
      </c>
      <c r="I205" s="1" t="s">
        <v>49</v>
      </c>
      <c r="J205" s="1" t="s">
        <v>46</v>
      </c>
      <c r="K205" s="1" t="s">
        <v>47</v>
      </c>
      <c r="L205">
        <v>70</v>
      </c>
      <c r="M205" s="1" t="s">
        <v>32</v>
      </c>
    </row>
    <row r="206" spans="1:13" x14ac:dyDescent="0.2">
      <c r="A206" s="1" t="s">
        <v>370</v>
      </c>
      <c r="B206">
        <v>205</v>
      </c>
      <c r="C206" s="1" t="s">
        <v>28</v>
      </c>
      <c r="D206" s="1" t="s">
        <v>81</v>
      </c>
      <c r="E206" s="1" t="s">
        <v>357</v>
      </c>
      <c r="F206" s="1" t="s">
        <v>358</v>
      </c>
      <c r="G206">
        <v>2</v>
      </c>
      <c r="H206">
        <v>9</v>
      </c>
      <c r="I206" s="1" t="s">
        <v>56</v>
      </c>
      <c r="J206" s="1" t="s">
        <v>29</v>
      </c>
      <c r="K206" s="1" t="s">
        <v>30</v>
      </c>
      <c r="L206">
        <v>0</v>
      </c>
      <c r="M206" s="1" t="s">
        <v>32</v>
      </c>
    </row>
    <row r="207" spans="1:13" x14ac:dyDescent="0.2">
      <c r="A207" s="1" t="s">
        <v>371</v>
      </c>
      <c r="B207">
        <v>206</v>
      </c>
      <c r="C207" s="1" t="s">
        <v>28</v>
      </c>
      <c r="D207" s="1" t="s">
        <v>81</v>
      </c>
      <c r="E207" s="1" t="s">
        <v>357</v>
      </c>
      <c r="F207" s="1" t="s">
        <v>358</v>
      </c>
      <c r="G207">
        <v>2</v>
      </c>
      <c r="H207">
        <v>9</v>
      </c>
      <c r="I207" s="1" t="s">
        <v>56</v>
      </c>
      <c r="J207" s="1" t="s">
        <v>34</v>
      </c>
      <c r="K207" s="1" t="s">
        <v>35</v>
      </c>
      <c r="L207">
        <v>60</v>
      </c>
      <c r="M207" s="1" t="s">
        <v>32</v>
      </c>
    </row>
    <row r="208" spans="1:13" x14ac:dyDescent="0.2">
      <c r="A208" s="1" t="s">
        <v>372</v>
      </c>
      <c r="B208">
        <v>207</v>
      </c>
      <c r="C208" s="1" t="s">
        <v>28</v>
      </c>
      <c r="D208" s="1" t="s">
        <v>81</v>
      </c>
      <c r="E208" s="1" t="s">
        <v>357</v>
      </c>
      <c r="F208" s="1" t="s">
        <v>358</v>
      </c>
      <c r="G208">
        <v>2</v>
      </c>
      <c r="H208">
        <v>9</v>
      </c>
      <c r="I208" s="1" t="s">
        <v>56</v>
      </c>
      <c r="J208" s="1" t="s">
        <v>37</v>
      </c>
      <c r="K208" s="1" t="s">
        <v>38</v>
      </c>
      <c r="L208">
        <v>110</v>
      </c>
      <c r="M208" s="1" t="s">
        <v>32</v>
      </c>
    </row>
    <row r="209" spans="1:13" x14ac:dyDescent="0.2">
      <c r="A209" s="1" t="s">
        <v>373</v>
      </c>
      <c r="B209">
        <v>208</v>
      </c>
      <c r="C209" s="1" t="s">
        <v>28</v>
      </c>
      <c r="D209" s="1" t="s">
        <v>81</v>
      </c>
      <c r="E209" s="1" t="s">
        <v>357</v>
      </c>
      <c r="F209" s="1" t="s">
        <v>358</v>
      </c>
      <c r="G209">
        <v>2</v>
      </c>
      <c r="H209">
        <v>9</v>
      </c>
      <c r="I209" s="1" t="s">
        <v>56</v>
      </c>
      <c r="J209" s="1" t="s">
        <v>40</v>
      </c>
      <c r="K209" s="1" t="s">
        <v>41</v>
      </c>
      <c r="L209">
        <v>15</v>
      </c>
      <c r="M209" s="1" t="s">
        <v>32</v>
      </c>
    </row>
    <row r="210" spans="1:13" x14ac:dyDescent="0.2">
      <c r="A210" s="1" t="s">
        <v>374</v>
      </c>
      <c r="B210">
        <v>209</v>
      </c>
      <c r="C210" s="1" t="s">
        <v>28</v>
      </c>
      <c r="D210" s="1" t="s">
        <v>81</v>
      </c>
      <c r="E210" s="1" t="s">
        <v>357</v>
      </c>
      <c r="F210" s="1" t="s">
        <v>358</v>
      </c>
      <c r="G210">
        <v>2</v>
      </c>
      <c r="H210">
        <v>9</v>
      </c>
      <c r="I210" s="1" t="s">
        <v>56</v>
      </c>
      <c r="J210" s="1" t="s">
        <v>43</v>
      </c>
      <c r="K210" s="1" t="s">
        <v>44</v>
      </c>
      <c r="L210">
        <v>70</v>
      </c>
      <c r="M210" s="1" t="s">
        <v>32</v>
      </c>
    </row>
    <row r="211" spans="1:13" x14ac:dyDescent="0.2">
      <c r="A211" s="1" t="s">
        <v>375</v>
      </c>
      <c r="B211">
        <v>210</v>
      </c>
      <c r="C211" s="1" t="s">
        <v>28</v>
      </c>
      <c r="D211" s="1" t="s">
        <v>81</v>
      </c>
      <c r="E211" s="1" t="s">
        <v>357</v>
      </c>
      <c r="F211" s="1" t="s">
        <v>358</v>
      </c>
      <c r="G211">
        <v>2</v>
      </c>
      <c r="H211">
        <v>9</v>
      </c>
      <c r="I211" s="1" t="s">
        <v>56</v>
      </c>
      <c r="J211" s="1" t="s">
        <v>46</v>
      </c>
      <c r="K211" s="1" t="s">
        <v>47</v>
      </c>
      <c r="L211">
        <v>25</v>
      </c>
      <c r="M211" s="1" t="s">
        <v>32</v>
      </c>
    </row>
    <row r="212" spans="1:13" x14ac:dyDescent="0.2">
      <c r="A212" s="1" t="s">
        <v>376</v>
      </c>
      <c r="B212">
        <v>211</v>
      </c>
      <c r="C212" s="1" t="s">
        <v>28</v>
      </c>
      <c r="D212" s="1" t="s">
        <v>81</v>
      </c>
      <c r="E212" s="1" t="s">
        <v>357</v>
      </c>
      <c r="F212" s="1" t="s">
        <v>358</v>
      </c>
      <c r="G212">
        <v>2</v>
      </c>
      <c r="H212">
        <v>9</v>
      </c>
      <c r="I212" s="1" t="s">
        <v>63</v>
      </c>
      <c r="J212" s="1" t="s">
        <v>29</v>
      </c>
      <c r="K212" s="1" t="s">
        <v>30</v>
      </c>
      <c r="L212">
        <v>65</v>
      </c>
      <c r="M212" s="1" t="s">
        <v>32</v>
      </c>
    </row>
    <row r="213" spans="1:13" x14ac:dyDescent="0.2">
      <c r="A213" s="1" t="s">
        <v>377</v>
      </c>
      <c r="B213">
        <v>212</v>
      </c>
      <c r="C213" s="1" t="s">
        <v>28</v>
      </c>
      <c r="D213" s="1" t="s">
        <v>81</v>
      </c>
      <c r="E213" s="1" t="s">
        <v>357</v>
      </c>
      <c r="F213" s="1" t="s">
        <v>358</v>
      </c>
      <c r="G213">
        <v>2</v>
      </c>
      <c r="H213">
        <v>9</v>
      </c>
      <c r="I213" s="1" t="s">
        <v>63</v>
      </c>
      <c r="J213" s="1" t="s">
        <v>34</v>
      </c>
      <c r="K213" s="1" t="s">
        <v>35</v>
      </c>
      <c r="L213">
        <v>20</v>
      </c>
      <c r="M213" s="1" t="s">
        <v>32</v>
      </c>
    </row>
    <row r="214" spans="1:13" x14ac:dyDescent="0.2">
      <c r="A214" s="1" t="s">
        <v>378</v>
      </c>
      <c r="B214">
        <v>213</v>
      </c>
      <c r="C214" s="1" t="s">
        <v>28</v>
      </c>
      <c r="D214" s="1" t="s">
        <v>81</v>
      </c>
      <c r="E214" s="1" t="s">
        <v>357</v>
      </c>
      <c r="F214" s="1" t="s">
        <v>358</v>
      </c>
      <c r="G214">
        <v>2</v>
      </c>
      <c r="H214">
        <v>9</v>
      </c>
      <c r="I214" s="1" t="s">
        <v>63</v>
      </c>
      <c r="J214" s="1" t="s">
        <v>37</v>
      </c>
      <c r="K214" s="1" t="s">
        <v>38</v>
      </c>
      <c r="L214">
        <v>41</v>
      </c>
      <c r="M214" s="1" t="s">
        <v>32</v>
      </c>
    </row>
    <row r="215" spans="1:13" x14ac:dyDescent="0.2">
      <c r="A215" s="1" t="s">
        <v>379</v>
      </c>
      <c r="B215">
        <v>214</v>
      </c>
      <c r="C215" s="1" t="s">
        <v>28</v>
      </c>
      <c r="D215" s="1" t="s">
        <v>81</v>
      </c>
      <c r="E215" s="1" t="s">
        <v>357</v>
      </c>
      <c r="F215" s="1" t="s">
        <v>358</v>
      </c>
      <c r="G215">
        <v>2</v>
      </c>
      <c r="H215">
        <v>9</v>
      </c>
      <c r="I215" s="1" t="s">
        <v>63</v>
      </c>
      <c r="J215" s="1" t="s">
        <v>40</v>
      </c>
      <c r="K215" s="1" t="s">
        <v>41</v>
      </c>
      <c r="L215">
        <v>49</v>
      </c>
      <c r="M215" s="1" t="s">
        <v>32</v>
      </c>
    </row>
    <row r="216" spans="1:13" x14ac:dyDescent="0.2">
      <c r="A216" s="1" t="s">
        <v>380</v>
      </c>
      <c r="B216">
        <v>215</v>
      </c>
      <c r="C216" s="1" t="s">
        <v>28</v>
      </c>
      <c r="D216" s="1" t="s">
        <v>81</v>
      </c>
      <c r="E216" s="1" t="s">
        <v>357</v>
      </c>
      <c r="F216" s="1" t="s">
        <v>358</v>
      </c>
      <c r="G216">
        <v>2</v>
      </c>
      <c r="H216">
        <v>9</v>
      </c>
      <c r="I216" s="1" t="s">
        <v>63</v>
      </c>
      <c r="J216" s="1" t="s">
        <v>43</v>
      </c>
      <c r="K216" s="1" t="s">
        <v>44</v>
      </c>
      <c r="L216">
        <v>30</v>
      </c>
      <c r="M216" s="1" t="s">
        <v>32</v>
      </c>
    </row>
    <row r="217" spans="1:13" x14ac:dyDescent="0.2">
      <c r="A217" s="1" t="s">
        <v>381</v>
      </c>
      <c r="B217">
        <v>216</v>
      </c>
      <c r="C217" s="1" t="s">
        <v>28</v>
      </c>
      <c r="D217" s="1" t="s">
        <v>81</v>
      </c>
      <c r="E217" s="1" t="s">
        <v>357</v>
      </c>
      <c r="F217" s="1" t="s">
        <v>358</v>
      </c>
      <c r="G217">
        <v>2</v>
      </c>
      <c r="H217">
        <v>9</v>
      </c>
      <c r="I217" s="1" t="s">
        <v>63</v>
      </c>
      <c r="J217" s="1" t="s">
        <v>46</v>
      </c>
      <c r="K217" s="1" t="s">
        <v>47</v>
      </c>
      <c r="L217">
        <v>30</v>
      </c>
      <c r="M217" s="1" t="s">
        <v>32</v>
      </c>
    </row>
    <row r="218" spans="1:13" x14ac:dyDescent="0.2">
      <c r="A218" s="1" t="s">
        <v>386</v>
      </c>
      <c r="B218">
        <v>217</v>
      </c>
      <c r="C218" s="1" t="s">
        <v>28</v>
      </c>
      <c r="D218" s="1" t="s">
        <v>81</v>
      </c>
      <c r="E218" s="1" t="s">
        <v>387</v>
      </c>
      <c r="F218" s="1" t="s">
        <v>388</v>
      </c>
      <c r="G218">
        <v>2</v>
      </c>
      <c r="H218">
        <v>10</v>
      </c>
      <c r="I218" s="1" t="s">
        <v>31</v>
      </c>
      <c r="J218" s="1" t="s">
        <v>29</v>
      </c>
      <c r="K218" s="1" t="s">
        <v>30</v>
      </c>
      <c r="L218">
        <v>444</v>
      </c>
      <c r="M218" s="1" t="s">
        <v>32</v>
      </c>
    </row>
    <row r="219" spans="1:13" x14ac:dyDescent="0.2">
      <c r="A219" s="1" t="s">
        <v>389</v>
      </c>
      <c r="B219">
        <v>218</v>
      </c>
      <c r="C219" s="1" t="s">
        <v>28</v>
      </c>
      <c r="D219" s="1" t="s">
        <v>81</v>
      </c>
      <c r="E219" s="1" t="s">
        <v>387</v>
      </c>
      <c r="F219" s="1" t="s">
        <v>388</v>
      </c>
      <c r="G219">
        <v>2</v>
      </c>
      <c r="H219">
        <v>10</v>
      </c>
      <c r="I219" s="1" t="s">
        <v>31</v>
      </c>
      <c r="J219" s="1" t="s">
        <v>34</v>
      </c>
      <c r="K219" s="1" t="s">
        <v>35</v>
      </c>
      <c r="L219">
        <v>293</v>
      </c>
      <c r="M219" s="1" t="s">
        <v>32</v>
      </c>
    </row>
    <row r="220" spans="1:13" x14ac:dyDescent="0.2">
      <c r="A220" s="1" t="s">
        <v>390</v>
      </c>
      <c r="B220">
        <v>219</v>
      </c>
      <c r="C220" s="1" t="s">
        <v>28</v>
      </c>
      <c r="D220" s="1" t="s">
        <v>81</v>
      </c>
      <c r="E220" s="1" t="s">
        <v>387</v>
      </c>
      <c r="F220" s="1" t="s">
        <v>388</v>
      </c>
      <c r="G220">
        <v>2</v>
      </c>
      <c r="H220">
        <v>10</v>
      </c>
      <c r="I220" s="1" t="s">
        <v>31</v>
      </c>
      <c r="J220" s="1" t="s">
        <v>37</v>
      </c>
      <c r="K220" s="1" t="s">
        <v>38</v>
      </c>
      <c r="L220">
        <v>402</v>
      </c>
      <c r="M220" s="1" t="s">
        <v>32</v>
      </c>
    </row>
    <row r="221" spans="1:13" x14ac:dyDescent="0.2">
      <c r="A221" s="1" t="s">
        <v>391</v>
      </c>
      <c r="B221">
        <v>220</v>
      </c>
      <c r="C221" s="1" t="s">
        <v>28</v>
      </c>
      <c r="D221" s="1" t="s">
        <v>81</v>
      </c>
      <c r="E221" s="1" t="s">
        <v>387</v>
      </c>
      <c r="F221" s="1" t="s">
        <v>388</v>
      </c>
      <c r="G221">
        <v>2</v>
      </c>
      <c r="H221">
        <v>10</v>
      </c>
      <c r="I221" s="1" t="s">
        <v>31</v>
      </c>
      <c r="J221" s="1" t="s">
        <v>40</v>
      </c>
      <c r="K221" s="1" t="s">
        <v>41</v>
      </c>
      <c r="L221">
        <v>183</v>
      </c>
      <c r="M221" s="1" t="s">
        <v>32</v>
      </c>
    </row>
    <row r="222" spans="1:13" x14ac:dyDescent="0.2">
      <c r="A222" s="1" t="s">
        <v>392</v>
      </c>
      <c r="B222">
        <v>221</v>
      </c>
      <c r="C222" s="1" t="s">
        <v>28</v>
      </c>
      <c r="D222" s="1" t="s">
        <v>81</v>
      </c>
      <c r="E222" s="1" t="s">
        <v>387</v>
      </c>
      <c r="F222" s="1" t="s">
        <v>388</v>
      </c>
      <c r="G222">
        <v>2</v>
      </c>
      <c r="H222">
        <v>10</v>
      </c>
      <c r="I222" s="1" t="s">
        <v>31</v>
      </c>
      <c r="J222" s="1" t="s">
        <v>43</v>
      </c>
      <c r="K222" s="1" t="s">
        <v>44</v>
      </c>
      <c r="L222">
        <v>338</v>
      </c>
      <c r="M222" s="1" t="s">
        <v>32</v>
      </c>
    </row>
    <row r="223" spans="1:13" x14ac:dyDescent="0.2">
      <c r="A223" s="1" t="s">
        <v>393</v>
      </c>
      <c r="B223">
        <v>222</v>
      </c>
      <c r="C223" s="1" t="s">
        <v>28</v>
      </c>
      <c r="D223" s="1" t="s">
        <v>81</v>
      </c>
      <c r="E223" s="1" t="s">
        <v>387</v>
      </c>
      <c r="F223" s="1" t="s">
        <v>388</v>
      </c>
      <c r="G223">
        <v>2</v>
      </c>
      <c r="H223">
        <v>10</v>
      </c>
      <c r="I223" s="1" t="s">
        <v>31</v>
      </c>
      <c r="J223" s="1" t="s">
        <v>46</v>
      </c>
      <c r="K223" s="1" t="s">
        <v>47</v>
      </c>
      <c r="L223">
        <v>262</v>
      </c>
      <c r="M223" s="1" t="s">
        <v>32</v>
      </c>
    </row>
    <row r="224" spans="1:13" x14ac:dyDescent="0.2">
      <c r="A224" s="1" t="s">
        <v>394</v>
      </c>
      <c r="B224">
        <v>223</v>
      </c>
      <c r="C224" s="1" t="s">
        <v>28</v>
      </c>
      <c r="D224" s="1" t="s">
        <v>81</v>
      </c>
      <c r="E224" s="1" t="s">
        <v>387</v>
      </c>
      <c r="F224" s="1" t="s">
        <v>388</v>
      </c>
      <c r="G224">
        <v>2</v>
      </c>
      <c r="H224">
        <v>10</v>
      </c>
      <c r="I224" s="1" t="s">
        <v>49</v>
      </c>
      <c r="J224" s="1" t="s">
        <v>29</v>
      </c>
      <c r="K224" s="1" t="s">
        <v>30</v>
      </c>
      <c r="L224">
        <v>176</v>
      </c>
      <c r="M224" s="1" t="s">
        <v>32</v>
      </c>
    </row>
    <row r="225" spans="1:13" x14ac:dyDescent="0.2">
      <c r="A225" s="1" t="s">
        <v>395</v>
      </c>
      <c r="B225">
        <v>224</v>
      </c>
      <c r="C225" s="1" t="s">
        <v>28</v>
      </c>
      <c r="D225" s="1" t="s">
        <v>81</v>
      </c>
      <c r="E225" s="1" t="s">
        <v>387</v>
      </c>
      <c r="F225" s="1" t="s">
        <v>388</v>
      </c>
      <c r="G225">
        <v>2</v>
      </c>
      <c r="H225">
        <v>10</v>
      </c>
      <c r="I225" s="1" t="s">
        <v>49</v>
      </c>
      <c r="J225" s="1" t="s">
        <v>34</v>
      </c>
      <c r="K225" s="1" t="s">
        <v>35</v>
      </c>
      <c r="L225">
        <v>60</v>
      </c>
      <c r="M225" s="1" t="s">
        <v>32</v>
      </c>
    </row>
    <row r="226" spans="1:13" x14ac:dyDescent="0.2">
      <c r="A226" s="1" t="s">
        <v>396</v>
      </c>
      <c r="B226">
        <v>225</v>
      </c>
      <c r="C226" s="1" t="s">
        <v>28</v>
      </c>
      <c r="D226" s="1" t="s">
        <v>81</v>
      </c>
      <c r="E226" s="1" t="s">
        <v>387</v>
      </c>
      <c r="F226" s="1" t="s">
        <v>388</v>
      </c>
      <c r="G226">
        <v>2</v>
      </c>
      <c r="H226">
        <v>10</v>
      </c>
      <c r="I226" s="1" t="s">
        <v>49</v>
      </c>
      <c r="J226" s="1" t="s">
        <v>37</v>
      </c>
      <c r="K226" s="1" t="s">
        <v>38</v>
      </c>
      <c r="L226">
        <v>58</v>
      </c>
      <c r="M226" s="1" t="s">
        <v>32</v>
      </c>
    </row>
    <row r="227" spans="1:13" x14ac:dyDescent="0.2">
      <c r="A227" s="1" t="s">
        <v>397</v>
      </c>
      <c r="B227">
        <v>226</v>
      </c>
      <c r="C227" s="1" t="s">
        <v>28</v>
      </c>
      <c r="D227" s="1" t="s">
        <v>81</v>
      </c>
      <c r="E227" s="1" t="s">
        <v>387</v>
      </c>
      <c r="F227" s="1" t="s">
        <v>388</v>
      </c>
      <c r="G227">
        <v>2</v>
      </c>
      <c r="H227">
        <v>10</v>
      </c>
      <c r="I227" s="1" t="s">
        <v>49</v>
      </c>
      <c r="J227" s="1" t="s">
        <v>40</v>
      </c>
      <c r="K227" s="1" t="s">
        <v>41</v>
      </c>
      <c r="L227">
        <v>35</v>
      </c>
      <c r="M227" s="1" t="s">
        <v>32</v>
      </c>
    </row>
    <row r="228" spans="1:13" x14ac:dyDescent="0.2">
      <c r="A228" s="1" t="s">
        <v>398</v>
      </c>
      <c r="B228">
        <v>227</v>
      </c>
      <c r="C228" s="1" t="s">
        <v>28</v>
      </c>
      <c r="D228" s="1" t="s">
        <v>81</v>
      </c>
      <c r="E228" s="1" t="s">
        <v>387</v>
      </c>
      <c r="F228" s="1" t="s">
        <v>388</v>
      </c>
      <c r="G228">
        <v>2</v>
      </c>
      <c r="H228">
        <v>10</v>
      </c>
      <c r="I228" s="1" t="s">
        <v>49</v>
      </c>
      <c r="J228" s="1" t="s">
        <v>43</v>
      </c>
      <c r="K228" s="1" t="s">
        <v>44</v>
      </c>
      <c r="L228">
        <v>34</v>
      </c>
      <c r="M228" s="1" t="s">
        <v>32</v>
      </c>
    </row>
    <row r="229" spans="1:13" x14ac:dyDescent="0.2">
      <c r="A229" s="1" t="s">
        <v>399</v>
      </c>
      <c r="B229">
        <v>228</v>
      </c>
      <c r="C229" s="1" t="s">
        <v>28</v>
      </c>
      <c r="D229" s="1" t="s">
        <v>81</v>
      </c>
      <c r="E229" s="1" t="s">
        <v>387</v>
      </c>
      <c r="F229" s="1" t="s">
        <v>388</v>
      </c>
      <c r="G229">
        <v>2</v>
      </c>
      <c r="H229">
        <v>10</v>
      </c>
      <c r="I229" s="1" t="s">
        <v>49</v>
      </c>
      <c r="J229" s="1" t="s">
        <v>46</v>
      </c>
      <c r="K229" s="1" t="s">
        <v>47</v>
      </c>
      <c r="L229">
        <v>70</v>
      </c>
      <c r="M229" s="1" t="s">
        <v>32</v>
      </c>
    </row>
    <row r="230" spans="1:13" x14ac:dyDescent="0.2">
      <c r="A230" s="1" t="s">
        <v>400</v>
      </c>
      <c r="B230">
        <v>229</v>
      </c>
      <c r="C230" s="1" t="s">
        <v>28</v>
      </c>
      <c r="D230" s="1" t="s">
        <v>81</v>
      </c>
      <c r="E230" s="1" t="s">
        <v>387</v>
      </c>
      <c r="F230" s="1" t="s">
        <v>388</v>
      </c>
      <c r="G230">
        <v>2</v>
      </c>
      <c r="H230">
        <v>10</v>
      </c>
      <c r="I230" s="1" t="s">
        <v>56</v>
      </c>
      <c r="J230" s="1" t="s">
        <v>29</v>
      </c>
      <c r="K230" s="1" t="s">
        <v>30</v>
      </c>
      <c r="L230">
        <v>60</v>
      </c>
      <c r="M230" s="1" t="s">
        <v>32</v>
      </c>
    </row>
    <row r="231" spans="1:13" x14ac:dyDescent="0.2">
      <c r="A231" s="1" t="s">
        <v>401</v>
      </c>
      <c r="B231">
        <v>230</v>
      </c>
      <c r="C231" s="1" t="s">
        <v>28</v>
      </c>
      <c r="D231" s="1" t="s">
        <v>81</v>
      </c>
      <c r="E231" s="1" t="s">
        <v>387</v>
      </c>
      <c r="F231" s="1" t="s">
        <v>388</v>
      </c>
      <c r="G231">
        <v>2</v>
      </c>
      <c r="H231">
        <v>10</v>
      </c>
      <c r="I231" s="1" t="s">
        <v>56</v>
      </c>
      <c r="J231" s="1" t="s">
        <v>34</v>
      </c>
      <c r="K231" s="1" t="s">
        <v>35</v>
      </c>
      <c r="L231">
        <v>60</v>
      </c>
      <c r="M231" s="1" t="s">
        <v>32</v>
      </c>
    </row>
    <row r="232" spans="1:13" x14ac:dyDescent="0.2">
      <c r="A232" s="1" t="s">
        <v>402</v>
      </c>
      <c r="B232">
        <v>231</v>
      </c>
      <c r="C232" s="1" t="s">
        <v>28</v>
      </c>
      <c r="D232" s="1" t="s">
        <v>81</v>
      </c>
      <c r="E232" s="1" t="s">
        <v>387</v>
      </c>
      <c r="F232" s="1" t="s">
        <v>388</v>
      </c>
      <c r="G232">
        <v>2</v>
      </c>
      <c r="H232">
        <v>10</v>
      </c>
      <c r="I232" s="1" t="s">
        <v>56</v>
      </c>
      <c r="J232" s="1" t="s">
        <v>37</v>
      </c>
      <c r="K232" s="1" t="s">
        <v>38</v>
      </c>
      <c r="L232">
        <v>0</v>
      </c>
      <c r="M232" s="1" t="s">
        <v>32</v>
      </c>
    </row>
    <row r="233" spans="1:13" x14ac:dyDescent="0.2">
      <c r="A233" s="1" t="s">
        <v>403</v>
      </c>
      <c r="B233">
        <v>232</v>
      </c>
      <c r="C233" s="1" t="s">
        <v>28</v>
      </c>
      <c r="D233" s="1" t="s">
        <v>81</v>
      </c>
      <c r="E233" s="1" t="s">
        <v>387</v>
      </c>
      <c r="F233" s="1" t="s">
        <v>388</v>
      </c>
      <c r="G233">
        <v>2</v>
      </c>
      <c r="H233">
        <v>10</v>
      </c>
      <c r="I233" s="1" t="s">
        <v>56</v>
      </c>
      <c r="J233" s="1" t="s">
        <v>40</v>
      </c>
      <c r="K233" s="1" t="s">
        <v>41</v>
      </c>
      <c r="L233">
        <v>15</v>
      </c>
      <c r="M233" s="1" t="s">
        <v>32</v>
      </c>
    </row>
    <row r="234" spans="1:13" x14ac:dyDescent="0.2">
      <c r="A234" s="1" t="s">
        <v>404</v>
      </c>
      <c r="B234">
        <v>233</v>
      </c>
      <c r="C234" s="1" t="s">
        <v>28</v>
      </c>
      <c r="D234" s="1" t="s">
        <v>81</v>
      </c>
      <c r="E234" s="1" t="s">
        <v>387</v>
      </c>
      <c r="F234" s="1" t="s">
        <v>388</v>
      </c>
      <c r="G234">
        <v>2</v>
      </c>
      <c r="H234">
        <v>10</v>
      </c>
      <c r="I234" s="1" t="s">
        <v>56</v>
      </c>
      <c r="J234" s="1" t="s">
        <v>43</v>
      </c>
      <c r="K234" s="1" t="s">
        <v>44</v>
      </c>
      <c r="L234">
        <v>39</v>
      </c>
      <c r="M234" s="1" t="s">
        <v>32</v>
      </c>
    </row>
    <row r="235" spans="1:13" x14ac:dyDescent="0.2">
      <c r="A235" s="1" t="s">
        <v>405</v>
      </c>
      <c r="B235">
        <v>234</v>
      </c>
      <c r="C235" s="1" t="s">
        <v>28</v>
      </c>
      <c r="D235" s="1" t="s">
        <v>81</v>
      </c>
      <c r="E235" s="1" t="s">
        <v>387</v>
      </c>
      <c r="F235" s="1" t="s">
        <v>388</v>
      </c>
      <c r="G235">
        <v>2</v>
      </c>
      <c r="H235">
        <v>10</v>
      </c>
      <c r="I235" s="1" t="s">
        <v>56</v>
      </c>
      <c r="J235" s="1" t="s">
        <v>46</v>
      </c>
      <c r="K235" s="1" t="s">
        <v>47</v>
      </c>
      <c r="L235">
        <v>25</v>
      </c>
      <c r="M235" s="1" t="s">
        <v>32</v>
      </c>
    </row>
    <row r="236" spans="1:13" x14ac:dyDescent="0.2">
      <c r="A236" s="1" t="s">
        <v>406</v>
      </c>
      <c r="B236">
        <v>235</v>
      </c>
      <c r="C236" s="1" t="s">
        <v>28</v>
      </c>
      <c r="D236" s="1" t="s">
        <v>81</v>
      </c>
      <c r="E236" s="1" t="s">
        <v>387</v>
      </c>
      <c r="F236" s="1" t="s">
        <v>388</v>
      </c>
      <c r="G236">
        <v>2</v>
      </c>
      <c r="H236">
        <v>10</v>
      </c>
      <c r="I236" s="1" t="s">
        <v>63</v>
      </c>
      <c r="J236" s="1" t="s">
        <v>29</v>
      </c>
      <c r="K236" s="1" t="s">
        <v>30</v>
      </c>
      <c r="L236">
        <v>65</v>
      </c>
      <c r="M236" s="1" t="s">
        <v>32</v>
      </c>
    </row>
    <row r="237" spans="1:13" x14ac:dyDescent="0.2">
      <c r="A237" s="1" t="s">
        <v>407</v>
      </c>
      <c r="B237">
        <v>236</v>
      </c>
      <c r="C237" s="1" t="s">
        <v>28</v>
      </c>
      <c r="D237" s="1" t="s">
        <v>81</v>
      </c>
      <c r="E237" s="1" t="s">
        <v>387</v>
      </c>
      <c r="F237" s="1" t="s">
        <v>388</v>
      </c>
      <c r="G237">
        <v>2</v>
      </c>
      <c r="H237">
        <v>10</v>
      </c>
      <c r="I237" s="1" t="s">
        <v>63</v>
      </c>
      <c r="J237" s="1" t="s">
        <v>34</v>
      </c>
      <c r="K237" s="1" t="s">
        <v>35</v>
      </c>
      <c r="L237">
        <v>20</v>
      </c>
      <c r="M237" s="1" t="s">
        <v>32</v>
      </c>
    </row>
    <row r="238" spans="1:13" x14ac:dyDescent="0.2">
      <c r="A238" s="1" t="s">
        <v>408</v>
      </c>
      <c r="B238">
        <v>237</v>
      </c>
      <c r="C238" s="1" t="s">
        <v>28</v>
      </c>
      <c r="D238" s="1" t="s">
        <v>81</v>
      </c>
      <c r="E238" s="1" t="s">
        <v>387</v>
      </c>
      <c r="F238" s="1" t="s">
        <v>388</v>
      </c>
      <c r="G238">
        <v>2</v>
      </c>
      <c r="H238">
        <v>10</v>
      </c>
      <c r="I238" s="1" t="s">
        <v>63</v>
      </c>
      <c r="J238" s="1" t="s">
        <v>37</v>
      </c>
      <c r="K238" s="1" t="s">
        <v>38</v>
      </c>
      <c r="L238">
        <v>85</v>
      </c>
      <c r="M238" s="1" t="s">
        <v>32</v>
      </c>
    </row>
    <row r="239" spans="1:13" x14ac:dyDescent="0.2">
      <c r="A239" s="1" t="s">
        <v>409</v>
      </c>
      <c r="B239">
        <v>238</v>
      </c>
      <c r="C239" s="1" t="s">
        <v>28</v>
      </c>
      <c r="D239" s="1" t="s">
        <v>81</v>
      </c>
      <c r="E239" s="1" t="s">
        <v>387</v>
      </c>
      <c r="F239" s="1" t="s">
        <v>388</v>
      </c>
      <c r="G239">
        <v>2</v>
      </c>
      <c r="H239">
        <v>10</v>
      </c>
      <c r="I239" s="1" t="s">
        <v>63</v>
      </c>
      <c r="J239" s="1" t="s">
        <v>40</v>
      </c>
      <c r="K239" s="1" t="s">
        <v>41</v>
      </c>
      <c r="L239">
        <v>62</v>
      </c>
      <c r="M239" s="1" t="s">
        <v>32</v>
      </c>
    </row>
    <row r="240" spans="1:13" x14ac:dyDescent="0.2">
      <c r="A240" s="1" t="s">
        <v>410</v>
      </c>
      <c r="B240">
        <v>239</v>
      </c>
      <c r="C240" s="1" t="s">
        <v>28</v>
      </c>
      <c r="D240" s="1" t="s">
        <v>81</v>
      </c>
      <c r="E240" s="1" t="s">
        <v>387</v>
      </c>
      <c r="F240" s="1" t="s">
        <v>388</v>
      </c>
      <c r="G240">
        <v>2</v>
      </c>
      <c r="H240">
        <v>10</v>
      </c>
      <c r="I240" s="1" t="s">
        <v>63</v>
      </c>
      <c r="J240" s="1" t="s">
        <v>43</v>
      </c>
      <c r="K240" s="1" t="s">
        <v>44</v>
      </c>
      <c r="L240">
        <v>30</v>
      </c>
      <c r="M240" s="1" t="s">
        <v>32</v>
      </c>
    </row>
    <row r="241" spans="1:13" x14ac:dyDescent="0.2">
      <c r="A241" s="1" t="s">
        <v>411</v>
      </c>
      <c r="B241">
        <v>240</v>
      </c>
      <c r="C241" s="1" t="s">
        <v>28</v>
      </c>
      <c r="D241" s="1" t="s">
        <v>81</v>
      </c>
      <c r="E241" s="1" t="s">
        <v>387</v>
      </c>
      <c r="F241" s="1" t="s">
        <v>388</v>
      </c>
      <c r="G241">
        <v>2</v>
      </c>
      <c r="H241">
        <v>10</v>
      </c>
      <c r="I241" s="1" t="s">
        <v>63</v>
      </c>
      <c r="J241" s="1" t="s">
        <v>46</v>
      </c>
      <c r="K241" s="1" t="s">
        <v>47</v>
      </c>
      <c r="L241">
        <v>30</v>
      </c>
      <c r="M241" s="1" t="s">
        <v>32</v>
      </c>
    </row>
    <row r="242" spans="1:13" x14ac:dyDescent="0.2">
      <c r="A242" s="1" t="s">
        <v>413</v>
      </c>
      <c r="B242">
        <v>241</v>
      </c>
      <c r="C242" s="1" t="s">
        <v>28</v>
      </c>
      <c r="D242" s="1" t="s">
        <v>112</v>
      </c>
      <c r="E242" s="1" t="s">
        <v>81</v>
      </c>
      <c r="F242" s="1" t="s">
        <v>414</v>
      </c>
      <c r="G242">
        <v>3</v>
      </c>
      <c r="H242">
        <v>11</v>
      </c>
      <c r="I242" s="1" t="s">
        <v>31</v>
      </c>
      <c r="J242" s="1" t="s">
        <v>29</v>
      </c>
      <c r="K242" s="1" t="s">
        <v>30</v>
      </c>
      <c r="L242">
        <v>390</v>
      </c>
      <c r="M242" s="1" t="s">
        <v>32</v>
      </c>
    </row>
    <row r="243" spans="1:13" x14ac:dyDescent="0.2">
      <c r="A243" s="1" t="s">
        <v>415</v>
      </c>
      <c r="B243">
        <v>242</v>
      </c>
      <c r="C243" s="1" t="s">
        <v>28</v>
      </c>
      <c r="D243" s="1" t="s">
        <v>112</v>
      </c>
      <c r="E243" s="1" t="s">
        <v>81</v>
      </c>
      <c r="F243" s="1" t="s">
        <v>414</v>
      </c>
      <c r="G243">
        <v>3</v>
      </c>
      <c r="H243">
        <v>11</v>
      </c>
      <c r="I243" s="1" t="s">
        <v>31</v>
      </c>
      <c r="J243" s="1" t="s">
        <v>34</v>
      </c>
      <c r="K243" s="1" t="s">
        <v>35</v>
      </c>
      <c r="L243">
        <v>293</v>
      </c>
      <c r="M243" s="1" t="s">
        <v>32</v>
      </c>
    </row>
    <row r="244" spans="1:13" x14ac:dyDescent="0.2">
      <c r="A244" s="1" t="s">
        <v>416</v>
      </c>
      <c r="B244">
        <v>243</v>
      </c>
      <c r="C244" s="1" t="s">
        <v>28</v>
      </c>
      <c r="D244" s="1" t="s">
        <v>112</v>
      </c>
      <c r="E244" s="1" t="s">
        <v>81</v>
      </c>
      <c r="F244" s="1" t="s">
        <v>414</v>
      </c>
      <c r="G244">
        <v>3</v>
      </c>
      <c r="H244">
        <v>11</v>
      </c>
      <c r="I244" s="1" t="s">
        <v>31</v>
      </c>
      <c r="J244" s="1" t="s">
        <v>37</v>
      </c>
      <c r="K244" s="1" t="s">
        <v>38</v>
      </c>
      <c r="L244">
        <v>235</v>
      </c>
      <c r="M244" s="1" t="s">
        <v>32</v>
      </c>
    </row>
    <row r="245" spans="1:13" x14ac:dyDescent="0.2">
      <c r="A245" s="1" t="s">
        <v>417</v>
      </c>
      <c r="B245">
        <v>244</v>
      </c>
      <c r="C245" s="1" t="s">
        <v>28</v>
      </c>
      <c r="D245" s="1" t="s">
        <v>112</v>
      </c>
      <c r="E245" s="1" t="s">
        <v>81</v>
      </c>
      <c r="F245" s="1" t="s">
        <v>414</v>
      </c>
      <c r="G245">
        <v>3</v>
      </c>
      <c r="H245">
        <v>11</v>
      </c>
      <c r="I245" s="1" t="s">
        <v>31</v>
      </c>
      <c r="J245" s="1" t="s">
        <v>40</v>
      </c>
      <c r="K245" s="1" t="s">
        <v>41</v>
      </c>
      <c r="L245">
        <v>160</v>
      </c>
      <c r="M245" s="1" t="s">
        <v>32</v>
      </c>
    </row>
    <row r="246" spans="1:13" x14ac:dyDescent="0.2">
      <c r="A246" s="1" t="s">
        <v>418</v>
      </c>
      <c r="B246">
        <v>245</v>
      </c>
      <c r="C246" s="1" t="s">
        <v>28</v>
      </c>
      <c r="D246" s="1" t="s">
        <v>112</v>
      </c>
      <c r="E246" s="1" t="s">
        <v>81</v>
      </c>
      <c r="F246" s="1" t="s">
        <v>414</v>
      </c>
      <c r="G246">
        <v>3</v>
      </c>
      <c r="H246">
        <v>11</v>
      </c>
      <c r="I246" s="1" t="s">
        <v>31</v>
      </c>
      <c r="J246" s="1" t="s">
        <v>43</v>
      </c>
      <c r="K246" s="1" t="s">
        <v>44</v>
      </c>
      <c r="L246">
        <v>281</v>
      </c>
      <c r="M246" s="1" t="s">
        <v>32</v>
      </c>
    </row>
    <row r="247" spans="1:13" x14ac:dyDescent="0.2">
      <c r="A247" s="1" t="s">
        <v>419</v>
      </c>
      <c r="B247">
        <v>246</v>
      </c>
      <c r="C247" s="1" t="s">
        <v>28</v>
      </c>
      <c r="D247" s="1" t="s">
        <v>112</v>
      </c>
      <c r="E247" s="1" t="s">
        <v>81</v>
      </c>
      <c r="F247" s="1" t="s">
        <v>414</v>
      </c>
      <c r="G247">
        <v>3</v>
      </c>
      <c r="H247">
        <v>11</v>
      </c>
      <c r="I247" s="1" t="s">
        <v>31</v>
      </c>
      <c r="J247" s="1" t="s">
        <v>46</v>
      </c>
      <c r="K247" s="1" t="s">
        <v>47</v>
      </c>
      <c r="L247">
        <v>262</v>
      </c>
      <c r="M247" s="1" t="s">
        <v>32</v>
      </c>
    </row>
    <row r="248" spans="1:13" x14ac:dyDescent="0.2">
      <c r="A248" s="1" t="s">
        <v>420</v>
      </c>
      <c r="B248">
        <v>247</v>
      </c>
      <c r="C248" s="1" t="s">
        <v>28</v>
      </c>
      <c r="D248" s="1" t="s">
        <v>112</v>
      </c>
      <c r="E248" s="1" t="s">
        <v>81</v>
      </c>
      <c r="F248" s="1" t="s">
        <v>414</v>
      </c>
      <c r="G248">
        <v>3</v>
      </c>
      <c r="H248">
        <v>11</v>
      </c>
      <c r="I248" s="1" t="s">
        <v>49</v>
      </c>
      <c r="J248" s="1" t="s">
        <v>29</v>
      </c>
      <c r="K248" s="1" t="s">
        <v>30</v>
      </c>
      <c r="L248">
        <v>230</v>
      </c>
      <c r="M248" s="1" t="s">
        <v>32</v>
      </c>
    </row>
    <row r="249" spans="1:13" x14ac:dyDescent="0.2">
      <c r="A249" s="1" t="s">
        <v>421</v>
      </c>
      <c r="B249">
        <v>248</v>
      </c>
      <c r="C249" s="1" t="s">
        <v>28</v>
      </c>
      <c r="D249" s="1" t="s">
        <v>112</v>
      </c>
      <c r="E249" s="1" t="s">
        <v>81</v>
      </c>
      <c r="F249" s="1" t="s">
        <v>414</v>
      </c>
      <c r="G249">
        <v>3</v>
      </c>
      <c r="H249">
        <v>11</v>
      </c>
      <c r="I249" s="1" t="s">
        <v>49</v>
      </c>
      <c r="J249" s="1" t="s">
        <v>34</v>
      </c>
      <c r="K249" s="1" t="s">
        <v>35</v>
      </c>
      <c r="L249">
        <v>41</v>
      </c>
      <c r="M249" s="1" t="s">
        <v>32</v>
      </c>
    </row>
    <row r="250" spans="1:13" x14ac:dyDescent="0.2">
      <c r="A250" s="1" t="s">
        <v>422</v>
      </c>
      <c r="B250">
        <v>249</v>
      </c>
      <c r="C250" s="1" t="s">
        <v>28</v>
      </c>
      <c r="D250" s="1" t="s">
        <v>112</v>
      </c>
      <c r="E250" s="1" t="s">
        <v>81</v>
      </c>
      <c r="F250" s="1" t="s">
        <v>414</v>
      </c>
      <c r="G250">
        <v>3</v>
      </c>
      <c r="H250">
        <v>11</v>
      </c>
      <c r="I250" s="1" t="s">
        <v>49</v>
      </c>
      <c r="J250" s="1" t="s">
        <v>37</v>
      </c>
      <c r="K250" s="1" t="s">
        <v>38</v>
      </c>
      <c r="L250">
        <v>115</v>
      </c>
      <c r="M250" s="1" t="s">
        <v>32</v>
      </c>
    </row>
    <row r="251" spans="1:13" x14ac:dyDescent="0.2">
      <c r="A251" s="1" t="s">
        <v>423</v>
      </c>
      <c r="B251">
        <v>250</v>
      </c>
      <c r="C251" s="1" t="s">
        <v>28</v>
      </c>
      <c r="D251" s="1" t="s">
        <v>112</v>
      </c>
      <c r="E251" s="1" t="s">
        <v>81</v>
      </c>
      <c r="F251" s="1" t="s">
        <v>414</v>
      </c>
      <c r="G251">
        <v>3</v>
      </c>
      <c r="H251">
        <v>11</v>
      </c>
      <c r="I251" s="1" t="s">
        <v>49</v>
      </c>
      <c r="J251" s="1" t="s">
        <v>40</v>
      </c>
      <c r="K251" s="1" t="s">
        <v>41</v>
      </c>
      <c r="L251">
        <v>35</v>
      </c>
      <c r="M251" s="1" t="s">
        <v>32</v>
      </c>
    </row>
    <row r="252" spans="1:13" x14ac:dyDescent="0.2">
      <c r="A252" s="1" t="s">
        <v>424</v>
      </c>
      <c r="B252">
        <v>251</v>
      </c>
      <c r="C252" s="1" t="s">
        <v>28</v>
      </c>
      <c r="D252" s="1" t="s">
        <v>112</v>
      </c>
      <c r="E252" s="1" t="s">
        <v>81</v>
      </c>
      <c r="F252" s="1" t="s">
        <v>414</v>
      </c>
      <c r="G252">
        <v>3</v>
      </c>
      <c r="H252">
        <v>11</v>
      </c>
      <c r="I252" s="1" t="s">
        <v>49</v>
      </c>
      <c r="J252" s="1" t="s">
        <v>43</v>
      </c>
      <c r="K252" s="1" t="s">
        <v>44</v>
      </c>
      <c r="L252">
        <v>54</v>
      </c>
      <c r="M252" s="1" t="s">
        <v>32</v>
      </c>
    </row>
    <row r="253" spans="1:13" x14ac:dyDescent="0.2">
      <c r="A253" s="1" t="s">
        <v>425</v>
      </c>
      <c r="B253">
        <v>252</v>
      </c>
      <c r="C253" s="1" t="s">
        <v>28</v>
      </c>
      <c r="D253" s="1" t="s">
        <v>112</v>
      </c>
      <c r="E253" s="1" t="s">
        <v>81</v>
      </c>
      <c r="F253" s="1" t="s">
        <v>414</v>
      </c>
      <c r="G253">
        <v>3</v>
      </c>
      <c r="H253">
        <v>11</v>
      </c>
      <c r="I253" s="1" t="s">
        <v>49</v>
      </c>
      <c r="J253" s="1" t="s">
        <v>46</v>
      </c>
      <c r="K253" s="1" t="s">
        <v>47</v>
      </c>
      <c r="L253">
        <v>70</v>
      </c>
      <c r="M253" s="1" t="s">
        <v>32</v>
      </c>
    </row>
    <row r="254" spans="1:13" x14ac:dyDescent="0.2">
      <c r="A254" s="1" t="s">
        <v>426</v>
      </c>
      <c r="B254">
        <v>253</v>
      </c>
      <c r="C254" s="1" t="s">
        <v>28</v>
      </c>
      <c r="D254" s="1" t="s">
        <v>112</v>
      </c>
      <c r="E254" s="1" t="s">
        <v>81</v>
      </c>
      <c r="F254" s="1" t="s">
        <v>414</v>
      </c>
      <c r="G254">
        <v>3</v>
      </c>
      <c r="H254">
        <v>11</v>
      </c>
      <c r="I254" s="1" t="s">
        <v>56</v>
      </c>
      <c r="J254" s="1" t="s">
        <v>29</v>
      </c>
      <c r="K254" s="1" t="s">
        <v>30</v>
      </c>
      <c r="L254">
        <v>60</v>
      </c>
      <c r="M254" s="1" t="s">
        <v>32</v>
      </c>
    </row>
    <row r="255" spans="1:13" x14ac:dyDescent="0.2">
      <c r="A255" s="1" t="s">
        <v>427</v>
      </c>
      <c r="B255">
        <v>254</v>
      </c>
      <c r="C255" s="1" t="s">
        <v>28</v>
      </c>
      <c r="D255" s="1" t="s">
        <v>112</v>
      </c>
      <c r="E255" s="1" t="s">
        <v>81</v>
      </c>
      <c r="F255" s="1" t="s">
        <v>414</v>
      </c>
      <c r="G255">
        <v>3</v>
      </c>
      <c r="H255">
        <v>11</v>
      </c>
      <c r="I255" s="1" t="s">
        <v>56</v>
      </c>
      <c r="J255" s="1" t="s">
        <v>34</v>
      </c>
      <c r="K255" s="1" t="s">
        <v>35</v>
      </c>
      <c r="L255">
        <v>60</v>
      </c>
      <c r="M255" s="1" t="s">
        <v>32</v>
      </c>
    </row>
    <row r="256" spans="1:13" x14ac:dyDescent="0.2">
      <c r="A256" s="1" t="s">
        <v>428</v>
      </c>
      <c r="B256">
        <v>255</v>
      </c>
      <c r="C256" s="1" t="s">
        <v>28</v>
      </c>
      <c r="D256" s="1" t="s">
        <v>112</v>
      </c>
      <c r="E256" s="1" t="s">
        <v>81</v>
      </c>
      <c r="F256" s="1" t="s">
        <v>414</v>
      </c>
      <c r="G256">
        <v>3</v>
      </c>
      <c r="H256">
        <v>11</v>
      </c>
      <c r="I256" s="1" t="s">
        <v>56</v>
      </c>
      <c r="J256" s="1" t="s">
        <v>37</v>
      </c>
      <c r="K256" s="1" t="s">
        <v>38</v>
      </c>
      <c r="L256">
        <v>110</v>
      </c>
      <c r="M256" s="1" t="s">
        <v>32</v>
      </c>
    </row>
    <row r="257" spans="1:13" x14ac:dyDescent="0.2">
      <c r="A257" s="1" t="s">
        <v>429</v>
      </c>
      <c r="B257">
        <v>256</v>
      </c>
      <c r="C257" s="1" t="s">
        <v>28</v>
      </c>
      <c r="D257" s="1" t="s">
        <v>112</v>
      </c>
      <c r="E257" s="1" t="s">
        <v>81</v>
      </c>
      <c r="F257" s="1" t="s">
        <v>414</v>
      </c>
      <c r="G257">
        <v>3</v>
      </c>
      <c r="H257">
        <v>11</v>
      </c>
      <c r="I257" s="1" t="s">
        <v>56</v>
      </c>
      <c r="J257" s="1" t="s">
        <v>40</v>
      </c>
      <c r="K257" s="1" t="s">
        <v>41</v>
      </c>
      <c r="L257">
        <v>15</v>
      </c>
      <c r="M257" s="1" t="s">
        <v>32</v>
      </c>
    </row>
    <row r="258" spans="1:13" x14ac:dyDescent="0.2">
      <c r="A258" s="1" t="s">
        <v>430</v>
      </c>
      <c r="B258">
        <v>257</v>
      </c>
      <c r="C258" s="1" t="s">
        <v>28</v>
      </c>
      <c r="D258" s="1" t="s">
        <v>112</v>
      </c>
      <c r="E258" s="1" t="s">
        <v>81</v>
      </c>
      <c r="F258" s="1" t="s">
        <v>414</v>
      </c>
      <c r="G258">
        <v>3</v>
      </c>
      <c r="H258">
        <v>11</v>
      </c>
      <c r="I258" s="1" t="s">
        <v>56</v>
      </c>
      <c r="J258" s="1" t="s">
        <v>43</v>
      </c>
      <c r="K258" s="1" t="s">
        <v>44</v>
      </c>
      <c r="L258">
        <v>70</v>
      </c>
      <c r="M258" s="1" t="s">
        <v>32</v>
      </c>
    </row>
    <row r="259" spans="1:13" x14ac:dyDescent="0.2">
      <c r="A259" s="1" t="s">
        <v>431</v>
      </c>
      <c r="B259">
        <v>258</v>
      </c>
      <c r="C259" s="1" t="s">
        <v>28</v>
      </c>
      <c r="D259" s="1" t="s">
        <v>112</v>
      </c>
      <c r="E259" s="1" t="s">
        <v>81</v>
      </c>
      <c r="F259" s="1" t="s">
        <v>414</v>
      </c>
      <c r="G259">
        <v>3</v>
      </c>
      <c r="H259">
        <v>11</v>
      </c>
      <c r="I259" s="1" t="s">
        <v>56</v>
      </c>
      <c r="J259" s="1" t="s">
        <v>46</v>
      </c>
      <c r="K259" s="1" t="s">
        <v>47</v>
      </c>
      <c r="L259">
        <v>25</v>
      </c>
      <c r="M259" s="1" t="s">
        <v>32</v>
      </c>
    </row>
    <row r="260" spans="1:13" x14ac:dyDescent="0.2">
      <c r="A260" s="1" t="s">
        <v>432</v>
      </c>
      <c r="B260">
        <v>259</v>
      </c>
      <c r="C260" s="1" t="s">
        <v>28</v>
      </c>
      <c r="D260" s="1" t="s">
        <v>112</v>
      </c>
      <c r="E260" s="1" t="s">
        <v>81</v>
      </c>
      <c r="F260" s="1" t="s">
        <v>414</v>
      </c>
      <c r="G260">
        <v>3</v>
      </c>
      <c r="H260">
        <v>11</v>
      </c>
      <c r="I260" s="1" t="s">
        <v>63</v>
      </c>
      <c r="J260" s="1" t="s">
        <v>29</v>
      </c>
      <c r="K260" s="1" t="s">
        <v>30</v>
      </c>
      <c r="L260">
        <v>65</v>
      </c>
      <c r="M260" s="1" t="s">
        <v>32</v>
      </c>
    </row>
    <row r="261" spans="1:13" x14ac:dyDescent="0.2">
      <c r="A261" s="1" t="s">
        <v>433</v>
      </c>
      <c r="B261">
        <v>260</v>
      </c>
      <c r="C261" s="1" t="s">
        <v>28</v>
      </c>
      <c r="D261" s="1" t="s">
        <v>112</v>
      </c>
      <c r="E261" s="1" t="s">
        <v>81</v>
      </c>
      <c r="F261" s="1" t="s">
        <v>414</v>
      </c>
      <c r="G261">
        <v>3</v>
      </c>
      <c r="H261">
        <v>11</v>
      </c>
      <c r="I261" s="1" t="s">
        <v>63</v>
      </c>
      <c r="J261" s="1" t="s">
        <v>34</v>
      </c>
      <c r="K261" s="1" t="s">
        <v>35</v>
      </c>
      <c r="L261">
        <v>20</v>
      </c>
      <c r="M261" s="1" t="s">
        <v>32</v>
      </c>
    </row>
    <row r="262" spans="1:13" x14ac:dyDescent="0.2">
      <c r="A262" s="1" t="s">
        <v>434</v>
      </c>
      <c r="B262">
        <v>261</v>
      </c>
      <c r="C262" s="1" t="s">
        <v>28</v>
      </c>
      <c r="D262" s="1" t="s">
        <v>112</v>
      </c>
      <c r="E262" s="1" t="s">
        <v>81</v>
      </c>
      <c r="F262" s="1" t="s">
        <v>414</v>
      </c>
      <c r="G262">
        <v>3</v>
      </c>
      <c r="H262">
        <v>11</v>
      </c>
      <c r="I262" s="1" t="s">
        <v>63</v>
      </c>
      <c r="J262" s="1" t="s">
        <v>37</v>
      </c>
      <c r="K262" s="1" t="s">
        <v>38</v>
      </c>
      <c r="L262">
        <v>85</v>
      </c>
      <c r="M262" s="1" t="s">
        <v>32</v>
      </c>
    </row>
    <row r="263" spans="1:13" x14ac:dyDescent="0.2">
      <c r="A263" s="1" t="s">
        <v>435</v>
      </c>
      <c r="B263">
        <v>262</v>
      </c>
      <c r="C263" s="1" t="s">
        <v>28</v>
      </c>
      <c r="D263" s="1" t="s">
        <v>112</v>
      </c>
      <c r="E263" s="1" t="s">
        <v>81</v>
      </c>
      <c r="F263" s="1" t="s">
        <v>414</v>
      </c>
      <c r="G263">
        <v>3</v>
      </c>
      <c r="H263">
        <v>11</v>
      </c>
      <c r="I263" s="1" t="s">
        <v>63</v>
      </c>
      <c r="J263" s="1" t="s">
        <v>40</v>
      </c>
      <c r="K263" s="1" t="s">
        <v>41</v>
      </c>
      <c r="L263">
        <v>85</v>
      </c>
      <c r="M263" s="1" t="s">
        <v>32</v>
      </c>
    </row>
    <row r="264" spans="1:13" x14ac:dyDescent="0.2">
      <c r="A264" s="1" t="s">
        <v>436</v>
      </c>
      <c r="B264">
        <v>263</v>
      </c>
      <c r="C264" s="1" t="s">
        <v>28</v>
      </c>
      <c r="D264" s="1" t="s">
        <v>112</v>
      </c>
      <c r="E264" s="1" t="s">
        <v>81</v>
      </c>
      <c r="F264" s="1" t="s">
        <v>414</v>
      </c>
      <c r="G264">
        <v>3</v>
      </c>
      <c r="H264">
        <v>11</v>
      </c>
      <c r="I264" s="1" t="s">
        <v>63</v>
      </c>
      <c r="J264" s="1" t="s">
        <v>43</v>
      </c>
      <c r="K264" s="1" t="s">
        <v>44</v>
      </c>
      <c r="L264">
        <v>30</v>
      </c>
      <c r="M264" s="1" t="s">
        <v>32</v>
      </c>
    </row>
    <row r="265" spans="1:13" x14ac:dyDescent="0.2">
      <c r="A265" s="1" t="s">
        <v>437</v>
      </c>
      <c r="B265">
        <v>264</v>
      </c>
      <c r="C265" s="1" t="s">
        <v>28</v>
      </c>
      <c r="D265" s="1" t="s">
        <v>112</v>
      </c>
      <c r="E265" s="1" t="s">
        <v>81</v>
      </c>
      <c r="F265" s="1" t="s">
        <v>414</v>
      </c>
      <c r="G265">
        <v>3</v>
      </c>
      <c r="H265">
        <v>11</v>
      </c>
      <c r="I265" s="1" t="s">
        <v>63</v>
      </c>
      <c r="J265" s="1" t="s">
        <v>46</v>
      </c>
      <c r="K265" s="1" t="s">
        <v>47</v>
      </c>
      <c r="L265">
        <v>30</v>
      </c>
      <c r="M265" s="1" t="s">
        <v>32</v>
      </c>
    </row>
    <row r="266" spans="1:13" x14ac:dyDescent="0.2">
      <c r="A266" s="1" t="s">
        <v>443</v>
      </c>
      <c r="B266">
        <v>265</v>
      </c>
      <c r="C266" s="1" t="s">
        <v>28</v>
      </c>
      <c r="D266" s="1" t="s">
        <v>112</v>
      </c>
      <c r="E266" s="1" t="s">
        <v>112</v>
      </c>
      <c r="F266" s="1" t="s">
        <v>444</v>
      </c>
      <c r="G266">
        <v>3</v>
      </c>
      <c r="H266">
        <v>12</v>
      </c>
      <c r="I266" s="1" t="s">
        <v>31</v>
      </c>
      <c r="J266" s="1" t="s">
        <v>29</v>
      </c>
      <c r="K266" s="1" t="s">
        <v>30</v>
      </c>
      <c r="L266">
        <v>350</v>
      </c>
      <c r="M266" s="1" t="s">
        <v>32</v>
      </c>
    </row>
    <row r="267" spans="1:13" x14ac:dyDescent="0.2">
      <c r="A267" s="1" t="s">
        <v>445</v>
      </c>
      <c r="B267">
        <v>266</v>
      </c>
      <c r="C267" s="1" t="s">
        <v>28</v>
      </c>
      <c r="D267" s="1" t="s">
        <v>112</v>
      </c>
      <c r="E267" s="1" t="s">
        <v>112</v>
      </c>
      <c r="F267" s="1" t="s">
        <v>444</v>
      </c>
      <c r="G267">
        <v>3</v>
      </c>
      <c r="H267">
        <v>12</v>
      </c>
      <c r="I267" s="1" t="s">
        <v>31</v>
      </c>
      <c r="J267" s="1" t="s">
        <v>34</v>
      </c>
      <c r="K267" s="1" t="s">
        <v>35</v>
      </c>
      <c r="L267">
        <v>264</v>
      </c>
      <c r="M267" s="1" t="s">
        <v>32</v>
      </c>
    </row>
    <row r="268" spans="1:13" x14ac:dyDescent="0.2">
      <c r="A268" s="1" t="s">
        <v>446</v>
      </c>
      <c r="B268">
        <v>267</v>
      </c>
      <c r="C268" s="1" t="s">
        <v>28</v>
      </c>
      <c r="D268" s="1" t="s">
        <v>112</v>
      </c>
      <c r="E268" s="1" t="s">
        <v>112</v>
      </c>
      <c r="F268" s="1" t="s">
        <v>444</v>
      </c>
      <c r="G268">
        <v>3</v>
      </c>
      <c r="H268">
        <v>12</v>
      </c>
      <c r="I268" s="1" t="s">
        <v>31</v>
      </c>
      <c r="J268" s="1" t="s">
        <v>37</v>
      </c>
      <c r="K268" s="1" t="s">
        <v>38</v>
      </c>
      <c r="L268">
        <v>190</v>
      </c>
      <c r="M268" s="1" t="s">
        <v>32</v>
      </c>
    </row>
    <row r="269" spans="1:13" x14ac:dyDescent="0.2">
      <c r="A269" s="1" t="s">
        <v>447</v>
      </c>
      <c r="B269">
        <v>268</v>
      </c>
      <c r="C269" s="1" t="s">
        <v>28</v>
      </c>
      <c r="D269" s="1" t="s">
        <v>112</v>
      </c>
      <c r="E269" s="1" t="s">
        <v>112</v>
      </c>
      <c r="F269" s="1" t="s">
        <v>444</v>
      </c>
      <c r="G269">
        <v>3</v>
      </c>
      <c r="H269">
        <v>12</v>
      </c>
      <c r="I269" s="1" t="s">
        <v>31</v>
      </c>
      <c r="J269" s="1" t="s">
        <v>40</v>
      </c>
      <c r="K269" s="1" t="s">
        <v>41</v>
      </c>
      <c r="L269">
        <v>115</v>
      </c>
      <c r="M269" s="1" t="s">
        <v>32</v>
      </c>
    </row>
    <row r="270" spans="1:13" x14ac:dyDescent="0.2">
      <c r="A270" s="1" t="s">
        <v>448</v>
      </c>
      <c r="B270">
        <v>269</v>
      </c>
      <c r="C270" s="1" t="s">
        <v>28</v>
      </c>
      <c r="D270" s="1" t="s">
        <v>112</v>
      </c>
      <c r="E270" s="1" t="s">
        <v>112</v>
      </c>
      <c r="F270" s="1" t="s">
        <v>444</v>
      </c>
      <c r="G270">
        <v>3</v>
      </c>
      <c r="H270">
        <v>12</v>
      </c>
      <c r="I270" s="1" t="s">
        <v>31</v>
      </c>
      <c r="J270" s="1" t="s">
        <v>43</v>
      </c>
      <c r="K270" s="1" t="s">
        <v>44</v>
      </c>
      <c r="L270">
        <v>265</v>
      </c>
      <c r="M270" s="1" t="s">
        <v>32</v>
      </c>
    </row>
    <row r="271" spans="1:13" x14ac:dyDescent="0.2">
      <c r="A271" s="1" t="s">
        <v>449</v>
      </c>
      <c r="B271">
        <v>270</v>
      </c>
      <c r="C271" s="1" t="s">
        <v>28</v>
      </c>
      <c r="D271" s="1" t="s">
        <v>112</v>
      </c>
      <c r="E271" s="1" t="s">
        <v>112</v>
      </c>
      <c r="F271" s="1" t="s">
        <v>444</v>
      </c>
      <c r="G271">
        <v>3</v>
      </c>
      <c r="H271">
        <v>12</v>
      </c>
      <c r="I271" s="1" t="s">
        <v>31</v>
      </c>
      <c r="J271" s="1" t="s">
        <v>46</v>
      </c>
      <c r="K271" s="1" t="s">
        <v>47</v>
      </c>
      <c r="L271">
        <v>237</v>
      </c>
      <c r="M271" s="1" t="s">
        <v>32</v>
      </c>
    </row>
    <row r="272" spans="1:13" x14ac:dyDescent="0.2">
      <c r="A272" s="1" t="s">
        <v>450</v>
      </c>
      <c r="B272">
        <v>271</v>
      </c>
      <c r="C272" s="1" t="s">
        <v>28</v>
      </c>
      <c r="D272" s="1" t="s">
        <v>112</v>
      </c>
      <c r="E272" s="1" t="s">
        <v>112</v>
      </c>
      <c r="F272" s="1" t="s">
        <v>444</v>
      </c>
      <c r="G272">
        <v>3</v>
      </c>
      <c r="H272">
        <v>12</v>
      </c>
      <c r="I272" s="1" t="s">
        <v>49</v>
      </c>
      <c r="J272" s="1" t="s">
        <v>29</v>
      </c>
      <c r="K272" s="1" t="s">
        <v>30</v>
      </c>
      <c r="L272">
        <v>88</v>
      </c>
      <c r="M272" s="1" t="s">
        <v>32</v>
      </c>
    </row>
    <row r="273" spans="1:13" x14ac:dyDescent="0.2">
      <c r="A273" s="1" t="s">
        <v>451</v>
      </c>
      <c r="B273">
        <v>272</v>
      </c>
      <c r="C273" s="1" t="s">
        <v>28</v>
      </c>
      <c r="D273" s="1" t="s">
        <v>112</v>
      </c>
      <c r="E273" s="1" t="s">
        <v>112</v>
      </c>
      <c r="F273" s="1" t="s">
        <v>444</v>
      </c>
      <c r="G273">
        <v>3</v>
      </c>
      <c r="H273">
        <v>12</v>
      </c>
      <c r="I273" s="1" t="s">
        <v>49</v>
      </c>
      <c r="J273" s="1" t="s">
        <v>34</v>
      </c>
      <c r="K273" s="1" t="s">
        <v>35</v>
      </c>
      <c r="L273">
        <v>50</v>
      </c>
      <c r="M273" s="1" t="s">
        <v>32</v>
      </c>
    </row>
    <row r="274" spans="1:13" x14ac:dyDescent="0.2">
      <c r="A274" s="1" t="s">
        <v>452</v>
      </c>
      <c r="B274">
        <v>273</v>
      </c>
      <c r="C274" s="1" t="s">
        <v>28</v>
      </c>
      <c r="D274" s="1" t="s">
        <v>112</v>
      </c>
      <c r="E274" s="1" t="s">
        <v>112</v>
      </c>
      <c r="F274" s="1" t="s">
        <v>444</v>
      </c>
      <c r="G274">
        <v>3</v>
      </c>
      <c r="H274">
        <v>12</v>
      </c>
      <c r="I274" s="1" t="s">
        <v>49</v>
      </c>
      <c r="J274" s="1" t="s">
        <v>37</v>
      </c>
      <c r="K274" s="1" t="s">
        <v>38</v>
      </c>
      <c r="L274">
        <v>120</v>
      </c>
      <c r="M274" s="1" t="s">
        <v>32</v>
      </c>
    </row>
    <row r="275" spans="1:13" x14ac:dyDescent="0.2">
      <c r="A275" s="1" t="s">
        <v>453</v>
      </c>
      <c r="B275">
        <v>274</v>
      </c>
      <c r="C275" s="1" t="s">
        <v>28</v>
      </c>
      <c r="D275" s="1" t="s">
        <v>112</v>
      </c>
      <c r="E275" s="1" t="s">
        <v>112</v>
      </c>
      <c r="F275" s="1" t="s">
        <v>444</v>
      </c>
      <c r="G275">
        <v>3</v>
      </c>
      <c r="H275">
        <v>12</v>
      </c>
      <c r="I275" s="1" t="s">
        <v>49</v>
      </c>
      <c r="J275" s="1" t="s">
        <v>40</v>
      </c>
      <c r="K275" s="1" t="s">
        <v>41</v>
      </c>
      <c r="L275">
        <v>40</v>
      </c>
      <c r="M275" s="1" t="s">
        <v>32</v>
      </c>
    </row>
    <row r="276" spans="1:13" x14ac:dyDescent="0.2">
      <c r="A276" s="1" t="s">
        <v>454</v>
      </c>
      <c r="B276">
        <v>275</v>
      </c>
      <c r="C276" s="1" t="s">
        <v>28</v>
      </c>
      <c r="D276" s="1" t="s">
        <v>112</v>
      </c>
      <c r="E276" s="1" t="s">
        <v>112</v>
      </c>
      <c r="F276" s="1" t="s">
        <v>444</v>
      </c>
      <c r="G276">
        <v>3</v>
      </c>
      <c r="H276">
        <v>12</v>
      </c>
      <c r="I276" s="1" t="s">
        <v>49</v>
      </c>
      <c r="J276" s="1" t="s">
        <v>43</v>
      </c>
      <c r="K276" s="1" t="s">
        <v>44</v>
      </c>
      <c r="L276">
        <v>38</v>
      </c>
      <c r="M276" s="1" t="s">
        <v>32</v>
      </c>
    </row>
    <row r="277" spans="1:13" x14ac:dyDescent="0.2">
      <c r="A277" s="1" t="s">
        <v>455</v>
      </c>
      <c r="B277">
        <v>276</v>
      </c>
      <c r="C277" s="1" t="s">
        <v>28</v>
      </c>
      <c r="D277" s="1" t="s">
        <v>112</v>
      </c>
      <c r="E277" s="1" t="s">
        <v>112</v>
      </c>
      <c r="F277" s="1" t="s">
        <v>444</v>
      </c>
      <c r="G277">
        <v>3</v>
      </c>
      <c r="H277">
        <v>12</v>
      </c>
      <c r="I277" s="1" t="s">
        <v>49</v>
      </c>
      <c r="J277" s="1" t="s">
        <v>46</v>
      </c>
      <c r="K277" s="1" t="s">
        <v>47</v>
      </c>
      <c r="L277">
        <v>70</v>
      </c>
      <c r="M277" s="1" t="s">
        <v>32</v>
      </c>
    </row>
    <row r="278" spans="1:13" x14ac:dyDescent="0.2">
      <c r="A278" s="1" t="s">
        <v>456</v>
      </c>
      <c r="B278">
        <v>277</v>
      </c>
      <c r="C278" s="1" t="s">
        <v>28</v>
      </c>
      <c r="D278" s="1" t="s">
        <v>112</v>
      </c>
      <c r="E278" s="1" t="s">
        <v>112</v>
      </c>
      <c r="F278" s="1" t="s">
        <v>444</v>
      </c>
      <c r="G278">
        <v>3</v>
      </c>
      <c r="H278">
        <v>12</v>
      </c>
      <c r="I278" s="1" t="s">
        <v>56</v>
      </c>
      <c r="J278" s="1" t="s">
        <v>29</v>
      </c>
      <c r="K278" s="1" t="s">
        <v>30</v>
      </c>
      <c r="L278">
        <v>43</v>
      </c>
      <c r="M278" s="1" t="s">
        <v>32</v>
      </c>
    </row>
    <row r="279" spans="1:13" x14ac:dyDescent="0.2">
      <c r="A279" s="1" t="s">
        <v>457</v>
      </c>
      <c r="B279">
        <v>278</v>
      </c>
      <c r="C279" s="1" t="s">
        <v>28</v>
      </c>
      <c r="D279" s="1" t="s">
        <v>112</v>
      </c>
      <c r="E279" s="1" t="s">
        <v>112</v>
      </c>
      <c r="F279" s="1" t="s">
        <v>444</v>
      </c>
      <c r="G279">
        <v>3</v>
      </c>
      <c r="H279">
        <v>12</v>
      </c>
      <c r="I279" s="1" t="s">
        <v>56</v>
      </c>
      <c r="J279" s="1" t="s">
        <v>34</v>
      </c>
      <c r="K279" s="1" t="s">
        <v>35</v>
      </c>
      <c r="L279">
        <v>60</v>
      </c>
      <c r="M279" s="1" t="s">
        <v>32</v>
      </c>
    </row>
    <row r="280" spans="1:13" x14ac:dyDescent="0.2">
      <c r="A280" s="1" t="s">
        <v>458</v>
      </c>
      <c r="B280">
        <v>279</v>
      </c>
      <c r="C280" s="1" t="s">
        <v>28</v>
      </c>
      <c r="D280" s="1" t="s">
        <v>112</v>
      </c>
      <c r="E280" s="1" t="s">
        <v>112</v>
      </c>
      <c r="F280" s="1" t="s">
        <v>444</v>
      </c>
      <c r="G280">
        <v>3</v>
      </c>
      <c r="H280">
        <v>12</v>
      </c>
      <c r="I280" s="1" t="s">
        <v>56</v>
      </c>
      <c r="J280" s="1" t="s">
        <v>37</v>
      </c>
      <c r="K280" s="1" t="s">
        <v>38</v>
      </c>
      <c r="L280">
        <v>150</v>
      </c>
      <c r="M280" s="1" t="s">
        <v>32</v>
      </c>
    </row>
    <row r="281" spans="1:13" x14ac:dyDescent="0.2">
      <c r="A281" s="1" t="s">
        <v>459</v>
      </c>
      <c r="B281">
        <v>280</v>
      </c>
      <c r="C281" s="1" t="s">
        <v>28</v>
      </c>
      <c r="D281" s="1" t="s">
        <v>112</v>
      </c>
      <c r="E281" s="1" t="s">
        <v>112</v>
      </c>
      <c r="F281" s="1" t="s">
        <v>444</v>
      </c>
      <c r="G281">
        <v>3</v>
      </c>
      <c r="H281">
        <v>12</v>
      </c>
      <c r="I281" s="1" t="s">
        <v>56</v>
      </c>
      <c r="J281" s="1" t="s">
        <v>40</v>
      </c>
      <c r="K281" s="1" t="s">
        <v>41</v>
      </c>
      <c r="L281">
        <v>40</v>
      </c>
      <c r="M281" s="1" t="s">
        <v>32</v>
      </c>
    </row>
    <row r="282" spans="1:13" x14ac:dyDescent="0.2">
      <c r="A282" s="1" t="s">
        <v>460</v>
      </c>
      <c r="B282">
        <v>281</v>
      </c>
      <c r="C282" s="1" t="s">
        <v>28</v>
      </c>
      <c r="D282" s="1" t="s">
        <v>112</v>
      </c>
      <c r="E282" s="1" t="s">
        <v>112</v>
      </c>
      <c r="F282" s="1" t="s">
        <v>444</v>
      </c>
      <c r="G282">
        <v>3</v>
      </c>
      <c r="H282">
        <v>12</v>
      </c>
      <c r="I282" s="1" t="s">
        <v>56</v>
      </c>
      <c r="J282" s="1" t="s">
        <v>43</v>
      </c>
      <c r="K282" s="1" t="s">
        <v>44</v>
      </c>
      <c r="L282">
        <v>70</v>
      </c>
      <c r="M282" s="1" t="s">
        <v>32</v>
      </c>
    </row>
    <row r="283" spans="1:13" x14ac:dyDescent="0.2">
      <c r="A283" s="1" t="s">
        <v>461</v>
      </c>
      <c r="B283">
        <v>282</v>
      </c>
      <c r="C283" s="1" t="s">
        <v>28</v>
      </c>
      <c r="D283" s="1" t="s">
        <v>112</v>
      </c>
      <c r="E283" s="1" t="s">
        <v>112</v>
      </c>
      <c r="F283" s="1" t="s">
        <v>444</v>
      </c>
      <c r="G283">
        <v>3</v>
      </c>
      <c r="H283">
        <v>12</v>
      </c>
      <c r="I283" s="1" t="s">
        <v>56</v>
      </c>
      <c r="J283" s="1" t="s">
        <v>46</v>
      </c>
      <c r="K283" s="1" t="s">
        <v>47</v>
      </c>
      <c r="L283">
        <v>40</v>
      </c>
      <c r="M283" s="1" t="s">
        <v>32</v>
      </c>
    </row>
    <row r="284" spans="1:13" x14ac:dyDescent="0.2">
      <c r="A284" s="1" t="s">
        <v>462</v>
      </c>
      <c r="B284">
        <v>283</v>
      </c>
      <c r="C284" s="1" t="s">
        <v>28</v>
      </c>
      <c r="D284" s="1" t="s">
        <v>112</v>
      </c>
      <c r="E284" s="1" t="s">
        <v>112</v>
      </c>
      <c r="F284" s="1" t="s">
        <v>444</v>
      </c>
      <c r="G284">
        <v>3</v>
      </c>
      <c r="H284">
        <v>12</v>
      </c>
      <c r="I284" s="1" t="s">
        <v>63</v>
      </c>
      <c r="J284" s="1" t="s">
        <v>29</v>
      </c>
      <c r="K284" s="1" t="s">
        <v>30</v>
      </c>
      <c r="L284">
        <v>14</v>
      </c>
      <c r="M284" s="1" t="s">
        <v>32</v>
      </c>
    </row>
    <row r="285" spans="1:13" x14ac:dyDescent="0.2">
      <c r="A285" s="1" t="s">
        <v>463</v>
      </c>
      <c r="B285">
        <v>284</v>
      </c>
      <c r="C285" s="1" t="s">
        <v>28</v>
      </c>
      <c r="D285" s="1" t="s">
        <v>112</v>
      </c>
      <c r="E285" s="1" t="s">
        <v>112</v>
      </c>
      <c r="F285" s="1" t="s">
        <v>444</v>
      </c>
      <c r="G285">
        <v>3</v>
      </c>
      <c r="H285">
        <v>12</v>
      </c>
      <c r="I285" s="1" t="s">
        <v>63</v>
      </c>
      <c r="J285" s="1" t="s">
        <v>34</v>
      </c>
      <c r="K285" s="1" t="s">
        <v>35</v>
      </c>
      <c r="L285">
        <v>40</v>
      </c>
      <c r="M285" s="1" t="s">
        <v>32</v>
      </c>
    </row>
    <row r="286" spans="1:13" x14ac:dyDescent="0.2">
      <c r="A286" s="1" t="s">
        <v>464</v>
      </c>
      <c r="B286">
        <v>285</v>
      </c>
      <c r="C286" s="1" t="s">
        <v>28</v>
      </c>
      <c r="D286" s="1" t="s">
        <v>112</v>
      </c>
      <c r="E286" s="1" t="s">
        <v>112</v>
      </c>
      <c r="F286" s="1" t="s">
        <v>444</v>
      </c>
      <c r="G286">
        <v>3</v>
      </c>
      <c r="H286">
        <v>12</v>
      </c>
      <c r="I286" s="1" t="s">
        <v>63</v>
      </c>
      <c r="J286" s="1" t="s">
        <v>37</v>
      </c>
      <c r="K286" s="1" t="s">
        <v>38</v>
      </c>
      <c r="L286">
        <v>85</v>
      </c>
      <c r="M286" s="1" t="s">
        <v>32</v>
      </c>
    </row>
    <row r="287" spans="1:13" x14ac:dyDescent="0.2">
      <c r="A287" s="1" t="s">
        <v>465</v>
      </c>
      <c r="B287">
        <v>286</v>
      </c>
      <c r="C287" s="1" t="s">
        <v>28</v>
      </c>
      <c r="D287" s="1" t="s">
        <v>112</v>
      </c>
      <c r="E287" s="1" t="s">
        <v>112</v>
      </c>
      <c r="F287" s="1" t="s">
        <v>444</v>
      </c>
      <c r="G287">
        <v>3</v>
      </c>
      <c r="H287">
        <v>12</v>
      </c>
      <c r="I287" s="1" t="s">
        <v>63</v>
      </c>
      <c r="J287" s="1" t="s">
        <v>40</v>
      </c>
      <c r="K287" s="1" t="s">
        <v>41</v>
      </c>
      <c r="L287">
        <v>100</v>
      </c>
      <c r="M287" s="1" t="s">
        <v>32</v>
      </c>
    </row>
    <row r="288" spans="1:13" x14ac:dyDescent="0.2">
      <c r="A288" s="1" t="s">
        <v>466</v>
      </c>
      <c r="B288">
        <v>287</v>
      </c>
      <c r="C288" s="1" t="s">
        <v>28</v>
      </c>
      <c r="D288" s="1" t="s">
        <v>112</v>
      </c>
      <c r="E288" s="1" t="s">
        <v>112</v>
      </c>
      <c r="F288" s="1" t="s">
        <v>444</v>
      </c>
      <c r="G288">
        <v>3</v>
      </c>
      <c r="H288">
        <v>12</v>
      </c>
      <c r="I288" s="1" t="s">
        <v>63</v>
      </c>
      <c r="J288" s="1" t="s">
        <v>43</v>
      </c>
      <c r="K288" s="1" t="s">
        <v>44</v>
      </c>
      <c r="L288">
        <v>40</v>
      </c>
      <c r="M288" s="1" t="s">
        <v>32</v>
      </c>
    </row>
    <row r="289" spans="1:13" x14ac:dyDescent="0.2">
      <c r="A289" s="1" t="s">
        <v>467</v>
      </c>
      <c r="B289">
        <v>288</v>
      </c>
      <c r="C289" s="1" t="s">
        <v>28</v>
      </c>
      <c r="D289" s="1" t="s">
        <v>112</v>
      </c>
      <c r="E289" s="1" t="s">
        <v>112</v>
      </c>
      <c r="F289" s="1" t="s">
        <v>444</v>
      </c>
      <c r="G289">
        <v>3</v>
      </c>
      <c r="H289">
        <v>12</v>
      </c>
      <c r="I289" s="1" t="s">
        <v>63</v>
      </c>
      <c r="J289" s="1" t="s">
        <v>46</v>
      </c>
      <c r="K289" s="1" t="s">
        <v>47</v>
      </c>
      <c r="L289">
        <v>40</v>
      </c>
      <c r="M289" s="1" t="s">
        <v>32</v>
      </c>
    </row>
    <row r="290" spans="1:13" x14ac:dyDescent="0.2">
      <c r="A290" s="1" t="s">
        <v>491</v>
      </c>
      <c r="B290">
        <v>289</v>
      </c>
      <c r="C290" s="1" t="s">
        <v>28</v>
      </c>
      <c r="D290" s="1" t="s">
        <v>112</v>
      </c>
      <c r="E290" s="1" t="s">
        <v>31</v>
      </c>
      <c r="F290" s="1" t="s">
        <v>473</v>
      </c>
      <c r="G290">
        <v>3</v>
      </c>
      <c r="H290">
        <v>13</v>
      </c>
      <c r="I290" s="1" t="s">
        <v>31</v>
      </c>
      <c r="J290" s="1" t="s">
        <v>29</v>
      </c>
      <c r="K290" s="1" t="s">
        <v>30</v>
      </c>
      <c r="L290">
        <v>542</v>
      </c>
      <c r="M290" s="1" t="s">
        <v>32</v>
      </c>
    </row>
    <row r="291" spans="1:13" x14ac:dyDescent="0.2">
      <c r="A291" s="1" t="s">
        <v>492</v>
      </c>
      <c r="B291">
        <v>290</v>
      </c>
      <c r="C291" s="1" t="s">
        <v>28</v>
      </c>
      <c r="D291" s="1" t="s">
        <v>112</v>
      </c>
      <c r="E291" s="1" t="s">
        <v>31</v>
      </c>
      <c r="F291" s="1" t="s">
        <v>473</v>
      </c>
      <c r="G291">
        <v>3</v>
      </c>
      <c r="H291">
        <v>13</v>
      </c>
      <c r="I291" s="1" t="s">
        <v>31</v>
      </c>
      <c r="J291" s="1" t="s">
        <v>34</v>
      </c>
      <c r="K291" s="1" t="s">
        <v>35</v>
      </c>
      <c r="L291">
        <v>303</v>
      </c>
      <c r="M291" s="1" t="s">
        <v>32</v>
      </c>
    </row>
    <row r="292" spans="1:13" x14ac:dyDescent="0.2">
      <c r="A292" s="1" t="s">
        <v>493</v>
      </c>
      <c r="B292">
        <v>291</v>
      </c>
      <c r="C292" s="1" t="s">
        <v>28</v>
      </c>
      <c r="D292" s="1" t="s">
        <v>112</v>
      </c>
      <c r="E292" s="1" t="s">
        <v>31</v>
      </c>
      <c r="F292" s="1" t="s">
        <v>473</v>
      </c>
      <c r="G292">
        <v>3</v>
      </c>
      <c r="H292">
        <v>13</v>
      </c>
      <c r="I292" s="1" t="s">
        <v>31</v>
      </c>
      <c r="J292" s="1" t="s">
        <v>37</v>
      </c>
      <c r="K292" s="1" t="s">
        <v>38</v>
      </c>
      <c r="L292">
        <v>669</v>
      </c>
      <c r="M292" s="1" t="s">
        <v>32</v>
      </c>
    </row>
    <row r="293" spans="1:13" x14ac:dyDescent="0.2">
      <c r="A293" s="1" t="s">
        <v>494</v>
      </c>
      <c r="B293">
        <v>292</v>
      </c>
      <c r="C293" s="1" t="s">
        <v>28</v>
      </c>
      <c r="D293" s="1" t="s">
        <v>112</v>
      </c>
      <c r="E293" s="1" t="s">
        <v>31</v>
      </c>
      <c r="F293" s="1" t="s">
        <v>473</v>
      </c>
      <c r="G293">
        <v>3</v>
      </c>
      <c r="H293">
        <v>13</v>
      </c>
      <c r="I293" s="1" t="s">
        <v>31</v>
      </c>
      <c r="J293" s="1" t="s">
        <v>40</v>
      </c>
      <c r="K293" s="1" t="s">
        <v>41</v>
      </c>
      <c r="L293">
        <v>212</v>
      </c>
      <c r="M293" s="1" t="s">
        <v>32</v>
      </c>
    </row>
    <row r="294" spans="1:13" x14ac:dyDescent="0.2">
      <c r="A294" s="1" t="s">
        <v>495</v>
      </c>
      <c r="B294">
        <v>293</v>
      </c>
      <c r="C294" s="1" t="s">
        <v>28</v>
      </c>
      <c r="D294" s="1" t="s">
        <v>112</v>
      </c>
      <c r="E294" s="1" t="s">
        <v>31</v>
      </c>
      <c r="F294" s="1" t="s">
        <v>473</v>
      </c>
      <c r="G294">
        <v>3</v>
      </c>
      <c r="H294">
        <v>13</v>
      </c>
      <c r="I294" s="1" t="s">
        <v>31</v>
      </c>
      <c r="J294" s="1" t="s">
        <v>43</v>
      </c>
      <c r="K294" s="1" t="s">
        <v>44</v>
      </c>
      <c r="L294">
        <v>306</v>
      </c>
      <c r="M294" s="1" t="s">
        <v>32</v>
      </c>
    </row>
    <row r="295" spans="1:13" x14ac:dyDescent="0.2">
      <c r="A295" s="1" t="s">
        <v>496</v>
      </c>
      <c r="B295">
        <v>294</v>
      </c>
      <c r="C295" s="1" t="s">
        <v>28</v>
      </c>
      <c r="D295" s="1" t="s">
        <v>112</v>
      </c>
      <c r="E295" s="1" t="s">
        <v>31</v>
      </c>
      <c r="F295" s="1" t="s">
        <v>473</v>
      </c>
      <c r="G295">
        <v>3</v>
      </c>
      <c r="H295">
        <v>13</v>
      </c>
      <c r="I295" s="1" t="s">
        <v>31</v>
      </c>
      <c r="J295" s="1" t="s">
        <v>46</v>
      </c>
      <c r="K295" s="1" t="s">
        <v>47</v>
      </c>
      <c r="L295">
        <v>237</v>
      </c>
      <c r="M295" s="1" t="s">
        <v>32</v>
      </c>
    </row>
    <row r="296" spans="1:13" x14ac:dyDescent="0.2">
      <c r="A296" s="1" t="s">
        <v>497</v>
      </c>
      <c r="B296">
        <v>295</v>
      </c>
      <c r="C296" s="1" t="s">
        <v>28</v>
      </c>
      <c r="D296" s="1" t="s">
        <v>112</v>
      </c>
      <c r="E296" s="1" t="s">
        <v>31</v>
      </c>
      <c r="F296" s="1" t="s">
        <v>473</v>
      </c>
      <c r="G296">
        <v>3</v>
      </c>
      <c r="H296">
        <v>13</v>
      </c>
      <c r="I296" s="1" t="s">
        <v>49</v>
      </c>
      <c r="J296" s="1" t="s">
        <v>29</v>
      </c>
      <c r="K296" s="1" t="s">
        <v>30</v>
      </c>
      <c r="L296">
        <v>220</v>
      </c>
      <c r="M296" s="1" t="s">
        <v>32</v>
      </c>
    </row>
    <row r="297" spans="1:13" x14ac:dyDescent="0.2">
      <c r="A297" s="1" t="s">
        <v>498</v>
      </c>
      <c r="B297">
        <v>296</v>
      </c>
      <c r="C297" s="1" t="s">
        <v>28</v>
      </c>
      <c r="D297" s="1" t="s">
        <v>112</v>
      </c>
      <c r="E297" s="1" t="s">
        <v>31</v>
      </c>
      <c r="F297" s="1" t="s">
        <v>473</v>
      </c>
      <c r="G297">
        <v>3</v>
      </c>
      <c r="H297">
        <v>13</v>
      </c>
      <c r="I297" s="1" t="s">
        <v>49</v>
      </c>
      <c r="J297" s="1" t="s">
        <v>34</v>
      </c>
      <c r="K297" s="1" t="s">
        <v>35</v>
      </c>
      <c r="L297">
        <v>50</v>
      </c>
      <c r="M297" s="1" t="s">
        <v>32</v>
      </c>
    </row>
    <row r="298" spans="1:13" x14ac:dyDescent="0.2">
      <c r="A298" s="1" t="s">
        <v>499</v>
      </c>
      <c r="B298">
        <v>297</v>
      </c>
      <c r="C298" s="1" t="s">
        <v>28</v>
      </c>
      <c r="D298" s="1" t="s">
        <v>112</v>
      </c>
      <c r="E298" s="1" t="s">
        <v>31</v>
      </c>
      <c r="F298" s="1" t="s">
        <v>473</v>
      </c>
      <c r="G298">
        <v>3</v>
      </c>
      <c r="H298">
        <v>13</v>
      </c>
      <c r="I298" s="1" t="s">
        <v>49</v>
      </c>
      <c r="J298" s="1" t="s">
        <v>37</v>
      </c>
      <c r="K298" s="1" t="s">
        <v>38</v>
      </c>
      <c r="L298">
        <v>120</v>
      </c>
      <c r="M298" s="1" t="s">
        <v>32</v>
      </c>
    </row>
    <row r="299" spans="1:13" x14ac:dyDescent="0.2">
      <c r="A299" s="1" t="s">
        <v>500</v>
      </c>
      <c r="B299">
        <v>298</v>
      </c>
      <c r="C299" s="1" t="s">
        <v>28</v>
      </c>
      <c r="D299" s="1" t="s">
        <v>112</v>
      </c>
      <c r="E299" s="1" t="s">
        <v>31</v>
      </c>
      <c r="F299" s="1" t="s">
        <v>473</v>
      </c>
      <c r="G299">
        <v>3</v>
      </c>
      <c r="H299">
        <v>13</v>
      </c>
      <c r="I299" s="1" t="s">
        <v>49</v>
      </c>
      <c r="J299" s="1" t="s">
        <v>40</v>
      </c>
      <c r="K299" s="1" t="s">
        <v>41</v>
      </c>
      <c r="L299">
        <v>40</v>
      </c>
      <c r="M299" s="1" t="s">
        <v>32</v>
      </c>
    </row>
    <row r="300" spans="1:13" x14ac:dyDescent="0.2">
      <c r="A300" s="1" t="s">
        <v>501</v>
      </c>
      <c r="B300">
        <v>299</v>
      </c>
      <c r="C300" s="1" t="s">
        <v>28</v>
      </c>
      <c r="D300" s="1" t="s">
        <v>112</v>
      </c>
      <c r="E300" s="1" t="s">
        <v>31</v>
      </c>
      <c r="F300" s="1" t="s">
        <v>473</v>
      </c>
      <c r="G300">
        <v>3</v>
      </c>
      <c r="H300">
        <v>13</v>
      </c>
      <c r="I300" s="1" t="s">
        <v>49</v>
      </c>
      <c r="J300" s="1" t="s">
        <v>43</v>
      </c>
      <c r="K300" s="1" t="s">
        <v>44</v>
      </c>
      <c r="L300">
        <v>57</v>
      </c>
      <c r="M300" s="1" t="s">
        <v>32</v>
      </c>
    </row>
    <row r="301" spans="1:13" x14ac:dyDescent="0.2">
      <c r="A301" s="1" t="s">
        <v>502</v>
      </c>
      <c r="B301">
        <v>300</v>
      </c>
      <c r="C301" s="1" t="s">
        <v>28</v>
      </c>
      <c r="D301" s="1" t="s">
        <v>112</v>
      </c>
      <c r="E301" s="1" t="s">
        <v>31</v>
      </c>
      <c r="F301" s="1" t="s">
        <v>473</v>
      </c>
      <c r="G301">
        <v>3</v>
      </c>
      <c r="H301">
        <v>13</v>
      </c>
      <c r="I301" s="1" t="s">
        <v>49</v>
      </c>
      <c r="J301" s="1" t="s">
        <v>46</v>
      </c>
      <c r="K301" s="1" t="s">
        <v>47</v>
      </c>
      <c r="L301">
        <v>70</v>
      </c>
      <c r="M301" s="1" t="s">
        <v>32</v>
      </c>
    </row>
    <row r="302" spans="1:13" x14ac:dyDescent="0.2">
      <c r="A302" s="1" t="s">
        <v>503</v>
      </c>
      <c r="B302">
        <v>301</v>
      </c>
      <c r="C302" s="1" t="s">
        <v>28</v>
      </c>
      <c r="D302" s="1" t="s">
        <v>112</v>
      </c>
      <c r="E302" s="1" t="s">
        <v>31</v>
      </c>
      <c r="F302" s="1" t="s">
        <v>473</v>
      </c>
      <c r="G302">
        <v>3</v>
      </c>
      <c r="H302">
        <v>13</v>
      </c>
      <c r="I302" s="1" t="s">
        <v>56</v>
      </c>
      <c r="J302" s="1" t="s">
        <v>29</v>
      </c>
      <c r="K302" s="1" t="s">
        <v>30</v>
      </c>
      <c r="L302">
        <v>100</v>
      </c>
      <c r="M302" s="1" t="s">
        <v>32</v>
      </c>
    </row>
    <row r="303" spans="1:13" x14ac:dyDescent="0.2">
      <c r="A303" s="1" t="s">
        <v>504</v>
      </c>
      <c r="B303">
        <v>302</v>
      </c>
      <c r="C303" s="1" t="s">
        <v>28</v>
      </c>
      <c r="D303" s="1" t="s">
        <v>112</v>
      </c>
      <c r="E303" s="1" t="s">
        <v>31</v>
      </c>
      <c r="F303" s="1" t="s">
        <v>473</v>
      </c>
      <c r="G303">
        <v>3</v>
      </c>
      <c r="H303">
        <v>13</v>
      </c>
      <c r="I303" s="1" t="s">
        <v>56</v>
      </c>
      <c r="J303" s="1" t="s">
        <v>34</v>
      </c>
      <c r="K303" s="1" t="s">
        <v>35</v>
      </c>
      <c r="L303">
        <v>5</v>
      </c>
      <c r="M303" s="1" t="s">
        <v>32</v>
      </c>
    </row>
    <row r="304" spans="1:13" x14ac:dyDescent="0.2">
      <c r="A304" s="1" t="s">
        <v>505</v>
      </c>
      <c r="B304">
        <v>303</v>
      </c>
      <c r="C304" s="1" t="s">
        <v>28</v>
      </c>
      <c r="D304" s="1" t="s">
        <v>112</v>
      </c>
      <c r="E304" s="1" t="s">
        <v>31</v>
      </c>
      <c r="F304" s="1" t="s">
        <v>473</v>
      </c>
      <c r="G304">
        <v>3</v>
      </c>
      <c r="H304">
        <v>13</v>
      </c>
      <c r="I304" s="1" t="s">
        <v>56</v>
      </c>
      <c r="J304" s="1" t="s">
        <v>37</v>
      </c>
      <c r="K304" s="1" t="s">
        <v>38</v>
      </c>
      <c r="L304">
        <v>65</v>
      </c>
      <c r="M304" s="1" t="s">
        <v>32</v>
      </c>
    </row>
    <row r="305" spans="1:13" x14ac:dyDescent="0.2">
      <c r="A305" s="1" t="s">
        <v>506</v>
      </c>
      <c r="B305">
        <v>304</v>
      </c>
      <c r="C305" s="1" t="s">
        <v>28</v>
      </c>
      <c r="D305" s="1" t="s">
        <v>112</v>
      </c>
      <c r="E305" s="1" t="s">
        <v>31</v>
      </c>
      <c r="F305" s="1" t="s">
        <v>473</v>
      </c>
      <c r="G305">
        <v>3</v>
      </c>
      <c r="H305">
        <v>13</v>
      </c>
      <c r="I305" s="1" t="s">
        <v>56</v>
      </c>
      <c r="J305" s="1" t="s">
        <v>40</v>
      </c>
      <c r="K305" s="1" t="s">
        <v>41</v>
      </c>
      <c r="L305">
        <v>40</v>
      </c>
      <c r="M305" s="1" t="s">
        <v>32</v>
      </c>
    </row>
    <row r="306" spans="1:13" x14ac:dyDescent="0.2">
      <c r="A306" s="1" t="s">
        <v>507</v>
      </c>
      <c r="B306">
        <v>305</v>
      </c>
      <c r="C306" s="1" t="s">
        <v>28</v>
      </c>
      <c r="D306" s="1" t="s">
        <v>112</v>
      </c>
      <c r="E306" s="1" t="s">
        <v>31</v>
      </c>
      <c r="F306" s="1" t="s">
        <v>473</v>
      </c>
      <c r="G306">
        <v>3</v>
      </c>
      <c r="H306">
        <v>13</v>
      </c>
      <c r="I306" s="1" t="s">
        <v>56</v>
      </c>
      <c r="J306" s="1" t="s">
        <v>43</v>
      </c>
      <c r="K306" s="1" t="s">
        <v>44</v>
      </c>
      <c r="L306">
        <v>70</v>
      </c>
      <c r="M306" s="1" t="s">
        <v>32</v>
      </c>
    </row>
    <row r="307" spans="1:13" x14ac:dyDescent="0.2">
      <c r="A307" s="1" t="s">
        <v>508</v>
      </c>
      <c r="B307">
        <v>306</v>
      </c>
      <c r="C307" s="1" t="s">
        <v>28</v>
      </c>
      <c r="D307" s="1" t="s">
        <v>112</v>
      </c>
      <c r="E307" s="1" t="s">
        <v>31</v>
      </c>
      <c r="F307" s="1" t="s">
        <v>473</v>
      </c>
      <c r="G307">
        <v>3</v>
      </c>
      <c r="H307">
        <v>13</v>
      </c>
      <c r="I307" s="1" t="s">
        <v>56</v>
      </c>
      <c r="J307" s="1" t="s">
        <v>46</v>
      </c>
      <c r="K307" s="1" t="s">
        <v>47</v>
      </c>
      <c r="L307">
        <v>40</v>
      </c>
      <c r="M307" s="1" t="s">
        <v>32</v>
      </c>
    </row>
    <row r="308" spans="1:13" x14ac:dyDescent="0.2">
      <c r="A308" s="1" t="s">
        <v>509</v>
      </c>
      <c r="B308">
        <v>307</v>
      </c>
      <c r="C308" s="1" t="s">
        <v>28</v>
      </c>
      <c r="D308" s="1" t="s">
        <v>112</v>
      </c>
      <c r="E308" s="1" t="s">
        <v>31</v>
      </c>
      <c r="F308" s="1" t="s">
        <v>473</v>
      </c>
      <c r="G308">
        <v>3</v>
      </c>
      <c r="H308">
        <v>13</v>
      </c>
      <c r="I308" s="1" t="s">
        <v>63</v>
      </c>
      <c r="J308" s="1" t="s">
        <v>29</v>
      </c>
      <c r="K308" s="1" t="s">
        <v>30</v>
      </c>
      <c r="L308">
        <v>50</v>
      </c>
      <c r="M308" s="1" t="s">
        <v>32</v>
      </c>
    </row>
    <row r="309" spans="1:13" x14ac:dyDescent="0.2">
      <c r="A309" s="1" t="s">
        <v>510</v>
      </c>
      <c r="B309">
        <v>308</v>
      </c>
      <c r="C309" s="1" t="s">
        <v>28</v>
      </c>
      <c r="D309" s="1" t="s">
        <v>112</v>
      </c>
      <c r="E309" s="1" t="s">
        <v>31</v>
      </c>
      <c r="F309" s="1" t="s">
        <v>473</v>
      </c>
      <c r="G309">
        <v>3</v>
      </c>
      <c r="H309">
        <v>13</v>
      </c>
      <c r="I309" s="1" t="s">
        <v>63</v>
      </c>
      <c r="J309" s="1" t="s">
        <v>34</v>
      </c>
      <c r="K309" s="1" t="s">
        <v>35</v>
      </c>
      <c r="L309">
        <v>40</v>
      </c>
      <c r="M309" s="1" t="s">
        <v>32</v>
      </c>
    </row>
    <row r="310" spans="1:13" x14ac:dyDescent="0.2">
      <c r="A310" s="1" t="s">
        <v>511</v>
      </c>
      <c r="B310">
        <v>309</v>
      </c>
      <c r="C310" s="1" t="s">
        <v>28</v>
      </c>
      <c r="D310" s="1" t="s">
        <v>112</v>
      </c>
      <c r="E310" s="1" t="s">
        <v>31</v>
      </c>
      <c r="F310" s="1" t="s">
        <v>473</v>
      </c>
      <c r="G310">
        <v>3</v>
      </c>
      <c r="H310">
        <v>13</v>
      </c>
      <c r="I310" s="1" t="s">
        <v>63</v>
      </c>
      <c r="J310" s="1" t="s">
        <v>37</v>
      </c>
      <c r="K310" s="1" t="s">
        <v>38</v>
      </c>
      <c r="L310">
        <v>85</v>
      </c>
      <c r="M310" s="1" t="s">
        <v>32</v>
      </c>
    </row>
    <row r="311" spans="1:13" x14ac:dyDescent="0.2">
      <c r="A311" s="1" t="s">
        <v>512</v>
      </c>
      <c r="B311">
        <v>310</v>
      </c>
      <c r="C311" s="1" t="s">
        <v>28</v>
      </c>
      <c r="D311" s="1" t="s">
        <v>112</v>
      </c>
      <c r="E311" s="1" t="s">
        <v>31</v>
      </c>
      <c r="F311" s="1" t="s">
        <v>473</v>
      </c>
      <c r="G311">
        <v>3</v>
      </c>
      <c r="H311">
        <v>13</v>
      </c>
      <c r="I311" s="1" t="s">
        <v>63</v>
      </c>
      <c r="J311" s="1" t="s">
        <v>40</v>
      </c>
      <c r="K311" s="1" t="s">
        <v>41</v>
      </c>
      <c r="L311">
        <v>100</v>
      </c>
      <c r="M311" s="1" t="s">
        <v>32</v>
      </c>
    </row>
    <row r="312" spans="1:13" x14ac:dyDescent="0.2">
      <c r="A312" s="1" t="s">
        <v>513</v>
      </c>
      <c r="B312">
        <v>311</v>
      </c>
      <c r="C312" s="1" t="s">
        <v>28</v>
      </c>
      <c r="D312" s="1" t="s">
        <v>112</v>
      </c>
      <c r="E312" s="1" t="s">
        <v>31</v>
      </c>
      <c r="F312" s="1" t="s">
        <v>473</v>
      </c>
      <c r="G312">
        <v>3</v>
      </c>
      <c r="H312">
        <v>13</v>
      </c>
      <c r="I312" s="1" t="s">
        <v>63</v>
      </c>
      <c r="J312" s="1" t="s">
        <v>43</v>
      </c>
      <c r="K312" s="1" t="s">
        <v>44</v>
      </c>
      <c r="L312">
        <v>40</v>
      </c>
      <c r="M312" s="1" t="s">
        <v>32</v>
      </c>
    </row>
    <row r="313" spans="1:13" x14ac:dyDescent="0.2">
      <c r="A313" s="1" t="s">
        <v>514</v>
      </c>
      <c r="B313">
        <v>312</v>
      </c>
      <c r="C313" s="1" t="s">
        <v>28</v>
      </c>
      <c r="D313" s="1" t="s">
        <v>112</v>
      </c>
      <c r="E313" s="1" t="s">
        <v>31</v>
      </c>
      <c r="F313" s="1" t="s">
        <v>473</v>
      </c>
      <c r="G313">
        <v>3</v>
      </c>
      <c r="H313">
        <v>13</v>
      </c>
      <c r="I313" s="1" t="s">
        <v>63</v>
      </c>
      <c r="J313" s="1" t="s">
        <v>46</v>
      </c>
      <c r="K313" s="1" t="s">
        <v>47</v>
      </c>
      <c r="L313">
        <v>40</v>
      </c>
      <c r="M313" s="1" t="s">
        <v>32</v>
      </c>
    </row>
    <row r="314" spans="1:13" x14ac:dyDescent="0.2">
      <c r="A314" s="1" t="s">
        <v>515</v>
      </c>
      <c r="B314">
        <v>313</v>
      </c>
      <c r="C314" s="1" t="s">
        <v>28</v>
      </c>
      <c r="D314" s="1" t="s">
        <v>112</v>
      </c>
      <c r="E314" s="1" t="s">
        <v>181</v>
      </c>
      <c r="F314" s="1" t="s">
        <v>478</v>
      </c>
      <c r="G314">
        <v>3</v>
      </c>
      <c r="H314">
        <v>14</v>
      </c>
      <c r="I314" s="1" t="s">
        <v>31</v>
      </c>
      <c r="J314" s="1" t="s">
        <v>29</v>
      </c>
      <c r="K314" s="1" t="s">
        <v>30</v>
      </c>
      <c r="L314">
        <v>542</v>
      </c>
      <c r="M314" s="1" t="s">
        <v>32</v>
      </c>
    </row>
    <row r="315" spans="1:13" x14ac:dyDescent="0.2">
      <c r="A315" s="1" t="s">
        <v>516</v>
      </c>
      <c r="B315">
        <v>314</v>
      </c>
      <c r="C315" s="1" t="s">
        <v>28</v>
      </c>
      <c r="D315" s="1" t="s">
        <v>112</v>
      </c>
      <c r="E315" s="1" t="s">
        <v>181</v>
      </c>
      <c r="F315" s="1" t="s">
        <v>478</v>
      </c>
      <c r="G315">
        <v>3</v>
      </c>
      <c r="H315">
        <v>14</v>
      </c>
      <c r="I315" s="1" t="s">
        <v>31</v>
      </c>
      <c r="J315" s="1" t="s">
        <v>34</v>
      </c>
      <c r="K315" s="1" t="s">
        <v>35</v>
      </c>
      <c r="L315">
        <v>268</v>
      </c>
      <c r="M315" s="1" t="s">
        <v>32</v>
      </c>
    </row>
    <row r="316" spans="1:13" x14ac:dyDescent="0.2">
      <c r="A316" s="1" t="s">
        <v>517</v>
      </c>
      <c r="B316">
        <v>315</v>
      </c>
      <c r="C316" s="1" t="s">
        <v>28</v>
      </c>
      <c r="D316" s="1" t="s">
        <v>112</v>
      </c>
      <c r="E316" s="1" t="s">
        <v>181</v>
      </c>
      <c r="F316" s="1" t="s">
        <v>478</v>
      </c>
      <c r="G316">
        <v>3</v>
      </c>
      <c r="H316">
        <v>14</v>
      </c>
      <c r="I316" s="1" t="s">
        <v>31</v>
      </c>
      <c r="J316" s="1" t="s">
        <v>37</v>
      </c>
      <c r="K316" s="1" t="s">
        <v>38</v>
      </c>
      <c r="L316">
        <v>584</v>
      </c>
      <c r="M316" s="1" t="s">
        <v>32</v>
      </c>
    </row>
    <row r="317" spans="1:13" x14ac:dyDescent="0.2">
      <c r="A317" s="1" t="s">
        <v>518</v>
      </c>
      <c r="B317">
        <v>316</v>
      </c>
      <c r="C317" s="1" t="s">
        <v>28</v>
      </c>
      <c r="D317" s="1" t="s">
        <v>112</v>
      </c>
      <c r="E317" s="1" t="s">
        <v>181</v>
      </c>
      <c r="F317" s="1" t="s">
        <v>478</v>
      </c>
      <c r="G317">
        <v>3</v>
      </c>
      <c r="H317">
        <v>14</v>
      </c>
      <c r="I317" s="1" t="s">
        <v>31</v>
      </c>
      <c r="J317" s="1" t="s">
        <v>40</v>
      </c>
      <c r="K317" s="1" t="s">
        <v>41</v>
      </c>
      <c r="L317">
        <v>212</v>
      </c>
      <c r="M317" s="1" t="s">
        <v>32</v>
      </c>
    </row>
    <row r="318" spans="1:13" x14ac:dyDescent="0.2">
      <c r="A318" s="1" t="s">
        <v>519</v>
      </c>
      <c r="B318">
        <v>317</v>
      </c>
      <c r="C318" s="1" t="s">
        <v>28</v>
      </c>
      <c r="D318" s="1" t="s">
        <v>112</v>
      </c>
      <c r="E318" s="1" t="s">
        <v>181</v>
      </c>
      <c r="F318" s="1" t="s">
        <v>478</v>
      </c>
      <c r="G318">
        <v>3</v>
      </c>
      <c r="H318">
        <v>14</v>
      </c>
      <c r="I318" s="1" t="s">
        <v>31</v>
      </c>
      <c r="J318" s="1" t="s">
        <v>43</v>
      </c>
      <c r="K318" s="1" t="s">
        <v>44</v>
      </c>
      <c r="L318">
        <v>303</v>
      </c>
      <c r="M318" s="1" t="s">
        <v>32</v>
      </c>
    </row>
    <row r="319" spans="1:13" x14ac:dyDescent="0.2">
      <c r="A319" s="1" t="s">
        <v>520</v>
      </c>
      <c r="B319">
        <v>318</v>
      </c>
      <c r="C319" s="1" t="s">
        <v>28</v>
      </c>
      <c r="D319" s="1" t="s">
        <v>112</v>
      </c>
      <c r="E319" s="1" t="s">
        <v>181</v>
      </c>
      <c r="F319" s="1" t="s">
        <v>478</v>
      </c>
      <c r="G319">
        <v>3</v>
      </c>
      <c r="H319">
        <v>14</v>
      </c>
      <c r="I319" s="1" t="s">
        <v>31</v>
      </c>
      <c r="J319" s="1" t="s">
        <v>46</v>
      </c>
      <c r="K319" s="1" t="s">
        <v>47</v>
      </c>
      <c r="L319">
        <v>237</v>
      </c>
      <c r="M319" s="1" t="s">
        <v>32</v>
      </c>
    </row>
    <row r="320" spans="1:13" x14ac:dyDescent="0.2">
      <c r="A320" s="1" t="s">
        <v>521</v>
      </c>
      <c r="B320">
        <v>319</v>
      </c>
      <c r="C320" s="1" t="s">
        <v>28</v>
      </c>
      <c r="D320" s="1" t="s">
        <v>112</v>
      </c>
      <c r="E320" s="1" t="s">
        <v>181</v>
      </c>
      <c r="F320" s="1" t="s">
        <v>478</v>
      </c>
      <c r="G320">
        <v>3</v>
      </c>
      <c r="H320">
        <v>14</v>
      </c>
      <c r="I320" s="1" t="s">
        <v>49</v>
      </c>
      <c r="J320" s="1" t="s">
        <v>29</v>
      </c>
      <c r="K320" s="1" t="s">
        <v>30</v>
      </c>
      <c r="L320">
        <v>18</v>
      </c>
      <c r="M320" s="1" t="s">
        <v>32</v>
      </c>
    </row>
    <row r="321" spans="1:13" x14ac:dyDescent="0.2">
      <c r="A321" s="1" t="s">
        <v>522</v>
      </c>
      <c r="B321">
        <v>320</v>
      </c>
      <c r="C321" s="1" t="s">
        <v>28</v>
      </c>
      <c r="D321" s="1" t="s">
        <v>112</v>
      </c>
      <c r="E321" s="1" t="s">
        <v>181</v>
      </c>
      <c r="F321" s="1" t="s">
        <v>478</v>
      </c>
      <c r="G321">
        <v>3</v>
      </c>
      <c r="H321">
        <v>14</v>
      </c>
      <c r="I321" s="1" t="s">
        <v>49</v>
      </c>
      <c r="J321" s="1" t="s">
        <v>34</v>
      </c>
      <c r="K321" s="1" t="s">
        <v>35</v>
      </c>
      <c r="L321">
        <v>50</v>
      </c>
      <c r="M321" s="1" t="s">
        <v>32</v>
      </c>
    </row>
    <row r="322" spans="1:13" x14ac:dyDescent="0.2">
      <c r="A322" s="1" t="s">
        <v>523</v>
      </c>
      <c r="B322">
        <v>321</v>
      </c>
      <c r="C322" s="1" t="s">
        <v>28</v>
      </c>
      <c r="D322" s="1" t="s">
        <v>112</v>
      </c>
      <c r="E322" s="1" t="s">
        <v>181</v>
      </c>
      <c r="F322" s="1" t="s">
        <v>478</v>
      </c>
      <c r="G322">
        <v>3</v>
      </c>
      <c r="H322">
        <v>14</v>
      </c>
      <c r="I322" s="1" t="s">
        <v>49</v>
      </c>
      <c r="J322" s="1" t="s">
        <v>37</v>
      </c>
      <c r="K322" s="1" t="s">
        <v>38</v>
      </c>
      <c r="L322">
        <v>58</v>
      </c>
      <c r="M322" s="1" t="s">
        <v>32</v>
      </c>
    </row>
    <row r="323" spans="1:13" x14ac:dyDescent="0.2">
      <c r="A323" s="1" t="s">
        <v>524</v>
      </c>
      <c r="B323">
        <v>322</v>
      </c>
      <c r="C323" s="1" t="s">
        <v>28</v>
      </c>
      <c r="D323" s="1" t="s">
        <v>112</v>
      </c>
      <c r="E323" s="1" t="s">
        <v>181</v>
      </c>
      <c r="F323" s="1" t="s">
        <v>478</v>
      </c>
      <c r="G323">
        <v>3</v>
      </c>
      <c r="H323">
        <v>14</v>
      </c>
      <c r="I323" s="1" t="s">
        <v>49</v>
      </c>
      <c r="J323" s="1" t="s">
        <v>40</v>
      </c>
      <c r="K323" s="1" t="s">
        <v>41</v>
      </c>
      <c r="L323">
        <v>40</v>
      </c>
      <c r="M323" s="1" t="s">
        <v>32</v>
      </c>
    </row>
    <row r="324" spans="1:13" x14ac:dyDescent="0.2">
      <c r="A324" s="1" t="s">
        <v>525</v>
      </c>
      <c r="B324">
        <v>323</v>
      </c>
      <c r="C324" s="1" t="s">
        <v>28</v>
      </c>
      <c r="D324" s="1" t="s">
        <v>112</v>
      </c>
      <c r="E324" s="1" t="s">
        <v>181</v>
      </c>
      <c r="F324" s="1" t="s">
        <v>478</v>
      </c>
      <c r="G324">
        <v>3</v>
      </c>
      <c r="H324">
        <v>14</v>
      </c>
      <c r="I324" s="1" t="s">
        <v>49</v>
      </c>
      <c r="J324" s="1" t="s">
        <v>43</v>
      </c>
      <c r="K324" s="1" t="s">
        <v>44</v>
      </c>
      <c r="L324">
        <v>37</v>
      </c>
      <c r="M324" s="1" t="s">
        <v>32</v>
      </c>
    </row>
    <row r="325" spans="1:13" x14ac:dyDescent="0.2">
      <c r="A325" s="1" t="s">
        <v>526</v>
      </c>
      <c r="B325">
        <v>324</v>
      </c>
      <c r="C325" s="1" t="s">
        <v>28</v>
      </c>
      <c r="D325" s="1" t="s">
        <v>112</v>
      </c>
      <c r="E325" s="1" t="s">
        <v>181</v>
      </c>
      <c r="F325" s="1" t="s">
        <v>478</v>
      </c>
      <c r="G325">
        <v>3</v>
      </c>
      <c r="H325">
        <v>14</v>
      </c>
      <c r="I325" s="1" t="s">
        <v>49</v>
      </c>
      <c r="J325" s="1" t="s">
        <v>46</v>
      </c>
      <c r="K325" s="1" t="s">
        <v>47</v>
      </c>
      <c r="L325">
        <v>70</v>
      </c>
      <c r="M325" s="1" t="s">
        <v>32</v>
      </c>
    </row>
    <row r="326" spans="1:13" x14ac:dyDescent="0.2">
      <c r="A326" s="1" t="s">
        <v>527</v>
      </c>
      <c r="B326">
        <v>325</v>
      </c>
      <c r="C326" s="1" t="s">
        <v>28</v>
      </c>
      <c r="D326" s="1" t="s">
        <v>112</v>
      </c>
      <c r="E326" s="1" t="s">
        <v>181</v>
      </c>
      <c r="F326" s="1" t="s">
        <v>478</v>
      </c>
      <c r="G326">
        <v>3</v>
      </c>
      <c r="H326">
        <v>14</v>
      </c>
      <c r="I326" s="1" t="s">
        <v>56</v>
      </c>
      <c r="J326" s="1" t="s">
        <v>29</v>
      </c>
      <c r="K326" s="1" t="s">
        <v>30</v>
      </c>
      <c r="L326">
        <v>32</v>
      </c>
      <c r="M326" s="1" t="s">
        <v>32</v>
      </c>
    </row>
    <row r="327" spans="1:13" x14ac:dyDescent="0.2">
      <c r="A327" s="1" t="s">
        <v>528</v>
      </c>
      <c r="B327">
        <v>326</v>
      </c>
      <c r="C327" s="1" t="s">
        <v>28</v>
      </c>
      <c r="D327" s="1" t="s">
        <v>112</v>
      </c>
      <c r="E327" s="1" t="s">
        <v>181</v>
      </c>
      <c r="F327" s="1" t="s">
        <v>478</v>
      </c>
      <c r="G327">
        <v>3</v>
      </c>
      <c r="H327">
        <v>14</v>
      </c>
      <c r="I327" s="1" t="s">
        <v>56</v>
      </c>
      <c r="J327" s="1" t="s">
        <v>34</v>
      </c>
      <c r="K327" s="1" t="s">
        <v>35</v>
      </c>
      <c r="L327">
        <v>40</v>
      </c>
      <c r="M327" s="1" t="s">
        <v>32</v>
      </c>
    </row>
    <row r="328" spans="1:13" x14ac:dyDescent="0.2">
      <c r="A328" s="1" t="s">
        <v>529</v>
      </c>
      <c r="B328">
        <v>327</v>
      </c>
      <c r="C328" s="1" t="s">
        <v>28</v>
      </c>
      <c r="D328" s="1" t="s">
        <v>112</v>
      </c>
      <c r="E328" s="1" t="s">
        <v>181</v>
      </c>
      <c r="F328" s="1" t="s">
        <v>478</v>
      </c>
      <c r="G328">
        <v>3</v>
      </c>
      <c r="H328">
        <v>14</v>
      </c>
      <c r="I328" s="1" t="s">
        <v>56</v>
      </c>
      <c r="J328" s="1" t="s">
        <v>37</v>
      </c>
      <c r="K328" s="1" t="s">
        <v>38</v>
      </c>
      <c r="L328">
        <v>85</v>
      </c>
      <c r="M328" s="1" t="s">
        <v>32</v>
      </c>
    </row>
    <row r="329" spans="1:13" x14ac:dyDescent="0.2">
      <c r="A329" s="1" t="s">
        <v>530</v>
      </c>
      <c r="B329">
        <v>328</v>
      </c>
      <c r="C329" s="1" t="s">
        <v>28</v>
      </c>
      <c r="D329" s="1" t="s">
        <v>112</v>
      </c>
      <c r="E329" s="1" t="s">
        <v>181</v>
      </c>
      <c r="F329" s="1" t="s">
        <v>478</v>
      </c>
      <c r="G329">
        <v>3</v>
      </c>
      <c r="H329">
        <v>14</v>
      </c>
      <c r="I329" s="1" t="s">
        <v>56</v>
      </c>
      <c r="J329" s="1" t="s">
        <v>40</v>
      </c>
      <c r="K329" s="1" t="s">
        <v>41</v>
      </c>
      <c r="L329">
        <v>40</v>
      </c>
      <c r="M329" s="1" t="s">
        <v>32</v>
      </c>
    </row>
    <row r="330" spans="1:13" x14ac:dyDescent="0.2">
      <c r="A330" s="1" t="s">
        <v>531</v>
      </c>
      <c r="B330">
        <v>329</v>
      </c>
      <c r="C330" s="1" t="s">
        <v>28</v>
      </c>
      <c r="D330" s="1" t="s">
        <v>112</v>
      </c>
      <c r="E330" s="1" t="s">
        <v>181</v>
      </c>
      <c r="F330" s="1" t="s">
        <v>478</v>
      </c>
      <c r="G330">
        <v>3</v>
      </c>
      <c r="H330">
        <v>14</v>
      </c>
      <c r="I330" s="1" t="s">
        <v>56</v>
      </c>
      <c r="J330" s="1" t="s">
        <v>43</v>
      </c>
      <c r="K330" s="1" t="s">
        <v>44</v>
      </c>
      <c r="L330">
        <v>34</v>
      </c>
      <c r="M330" s="1" t="s">
        <v>32</v>
      </c>
    </row>
    <row r="331" spans="1:13" x14ac:dyDescent="0.2">
      <c r="A331" s="1" t="s">
        <v>532</v>
      </c>
      <c r="B331">
        <v>330</v>
      </c>
      <c r="C331" s="1" t="s">
        <v>28</v>
      </c>
      <c r="D331" s="1" t="s">
        <v>112</v>
      </c>
      <c r="E331" s="1" t="s">
        <v>181</v>
      </c>
      <c r="F331" s="1" t="s">
        <v>478</v>
      </c>
      <c r="G331">
        <v>3</v>
      </c>
      <c r="H331">
        <v>14</v>
      </c>
      <c r="I331" s="1" t="s">
        <v>56</v>
      </c>
      <c r="J331" s="1" t="s">
        <v>46</v>
      </c>
      <c r="K331" s="1" t="s">
        <v>47</v>
      </c>
      <c r="L331">
        <v>40</v>
      </c>
      <c r="M331" s="1" t="s">
        <v>32</v>
      </c>
    </row>
    <row r="332" spans="1:13" x14ac:dyDescent="0.2">
      <c r="A332" s="1" t="s">
        <v>533</v>
      </c>
      <c r="B332">
        <v>331</v>
      </c>
      <c r="C332" s="1" t="s">
        <v>28</v>
      </c>
      <c r="D332" s="1" t="s">
        <v>112</v>
      </c>
      <c r="E332" s="1" t="s">
        <v>181</v>
      </c>
      <c r="F332" s="1" t="s">
        <v>478</v>
      </c>
      <c r="G332">
        <v>3</v>
      </c>
      <c r="H332">
        <v>14</v>
      </c>
      <c r="I332" s="1" t="s">
        <v>63</v>
      </c>
      <c r="J332" s="1" t="s">
        <v>29</v>
      </c>
      <c r="K332" s="1" t="s">
        <v>30</v>
      </c>
      <c r="L332">
        <v>0</v>
      </c>
      <c r="M332" s="1" t="s">
        <v>32</v>
      </c>
    </row>
    <row r="333" spans="1:13" x14ac:dyDescent="0.2">
      <c r="A333" s="1" t="s">
        <v>534</v>
      </c>
      <c r="B333">
        <v>332</v>
      </c>
      <c r="C333" s="1" t="s">
        <v>28</v>
      </c>
      <c r="D333" s="1" t="s">
        <v>112</v>
      </c>
      <c r="E333" s="1" t="s">
        <v>181</v>
      </c>
      <c r="F333" s="1" t="s">
        <v>478</v>
      </c>
      <c r="G333">
        <v>3</v>
      </c>
      <c r="H333">
        <v>14</v>
      </c>
      <c r="I333" s="1" t="s">
        <v>63</v>
      </c>
      <c r="J333" s="1" t="s">
        <v>34</v>
      </c>
      <c r="K333" s="1" t="s">
        <v>35</v>
      </c>
      <c r="L333">
        <v>40</v>
      </c>
      <c r="M333" s="1" t="s">
        <v>32</v>
      </c>
    </row>
    <row r="334" spans="1:13" x14ac:dyDescent="0.2">
      <c r="A334" s="1" t="s">
        <v>535</v>
      </c>
      <c r="B334">
        <v>333</v>
      </c>
      <c r="C334" s="1" t="s">
        <v>28</v>
      </c>
      <c r="D334" s="1" t="s">
        <v>112</v>
      </c>
      <c r="E334" s="1" t="s">
        <v>181</v>
      </c>
      <c r="F334" s="1" t="s">
        <v>478</v>
      </c>
      <c r="G334">
        <v>3</v>
      </c>
      <c r="H334">
        <v>14</v>
      </c>
      <c r="I334" s="1" t="s">
        <v>63</v>
      </c>
      <c r="J334" s="1" t="s">
        <v>37</v>
      </c>
      <c r="K334" s="1" t="s">
        <v>38</v>
      </c>
      <c r="L334">
        <v>85</v>
      </c>
      <c r="M334" s="1" t="s">
        <v>32</v>
      </c>
    </row>
    <row r="335" spans="1:13" x14ac:dyDescent="0.2">
      <c r="A335" s="1" t="s">
        <v>536</v>
      </c>
      <c r="B335">
        <v>334</v>
      </c>
      <c r="C335" s="1" t="s">
        <v>28</v>
      </c>
      <c r="D335" s="1" t="s">
        <v>112</v>
      </c>
      <c r="E335" s="1" t="s">
        <v>181</v>
      </c>
      <c r="F335" s="1" t="s">
        <v>478</v>
      </c>
      <c r="G335">
        <v>3</v>
      </c>
      <c r="H335">
        <v>14</v>
      </c>
      <c r="I335" s="1" t="s">
        <v>63</v>
      </c>
      <c r="J335" s="1" t="s">
        <v>40</v>
      </c>
      <c r="K335" s="1" t="s">
        <v>41</v>
      </c>
      <c r="L335">
        <v>100</v>
      </c>
      <c r="M335" s="1" t="s">
        <v>32</v>
      </c>
    </row>
    <row r="336" spans="1:13" x14ac:dyDescent="0.2">
      <c r="A336" s="1" t="s">
        <v>537</v>
      </c>
      <c r="B336">
        <v>335</v>
      </c>
      <c r="C336" s="1" t="s">
        <v>28</v>
      </c>
      <c r="D336" s="1" t="s">
        <v>112</v>
      </c>
      <c r="E336" s="1" t="s">
        <v>181</v>
      </c>
      <c r="F336" s="1" t="s">
        <v>478</v>
      </c>
      <c r="G336">
        <v>3</v>
      </c>
      <c r="H336">
        <v>14</v>
      </c>
      <c r="I336" s="1" t="s">
        <v>63</v>
      </c>
      <c r="J336" s="1" t="s">
        <v>43</v>
      </c>
      <c r="K336" s="1" t="s">
        <v>44</v>
      </c>
      <c r="L336">
        <v>40</v>
      </c>
      <c r="M336" s="1" t="s">
        <v>32</v>
      </c>
    </row>
    <row r="337" spans="1:13" x14ac:dyDescent="0.2">
      <c r="A337" s="1" t="s">
        <v>538</v>
      </c>
      <c r="B337">
        <v>336</v>
      </c>
      <c r="C337" s="1" t="s">
        <v>28</v>
      </c>
      <c r="D337" s="1" t="s">
        <v>112</v>
      </c>
      <c r="E337" s="1" t="s">
        <v>181</v>
      </c>
      <c r="F337" s="1" t="s">
        <v>478</v>
      </c>
      <c r="G337">
        <v>3</v>
      </c>
      <c r="H337">
        <v>14</v>
      </c>
      <c r="I337" s="1" t="s">
        <v>63</v>
      </c>
      <c r="J337" s="1" t="s">
        <v>46</v>
      </c>
      <c r="K337" s="1" t="s">
        <v>47</v>
      </c>
      <c r="L337">
        <v>40</v>
      </c>
      <c r="M337" s="1" t="s">
        <v>32</v>
      </c>
    </row>
    <row r="338" spans="1:13" x14ac:dyDescent="0.2">
      <c r="A338" s="1" t="s">
        <v>539</v>
      </c>
      <c r="B338">
        <v>337</v>
      </c>
      <c r="C338" s="1" t="s">
        <v>28</v>
      </c>
      <c r="D338" s="1" t="s">
        <v>112</v>
      </c>
      <c r="E338" s="1" t="s">
        <v>207</v>
      </c>
      <c r="F338" s="1" t="s">
        <v>485</v>
      </c>
      <c r="G338">
        <v>3</v>
      </c>
      <c r="H338">
        <v>15</v>
      </c>
      <c r="I338" s="1" t="s">
        <v>31</v>
      </c>
      <c r="J338" s="1" t="s">
        <v>29</v>
      </c>
      <c r="K338" s="1" t="s">
        <v>30</v>
      </c>
      <c r="L338">
        <v>222</v>
      </c>
      <c r="M338" s="1" t="s">
        <v>32</v>
      </c>
    </row>
    <row r="339" spans="1:13" x14ac:dyDescent="0.2">
      <c r="A339" s="1" t="s">
        <v>540</v>
      </c>
      <c r="B339">
        <v>338</v>
      </c>
      <c r="C339" s="1" t="s">
        <v>28</v>
      </c>
      <c r="D339" s="1" t="s">
        <v>112</v>
      </c>
      <c r="E339" s="1" t="s">
        <v>207</v>
      </c>
      <c r="F339" s="1" t="s">
        <v>485</v>
      </c>
      <c r="G339">
        <v>3</v>
      </c>
      <c r="H339">
        <v>15</v>
      </c>
      <c r="I339" s="1" t="s">
        <v>31</v>
      </c>
      <c r="J339" s="1" t="s">
        <v>34</v>
      </c>
      <c r="K339" s="1" t="s">
        <v>35</v>
      </c>
      <c r="L339">
        <v>268</v>
      </c>
      <c r="M339" s="1" t="s">
        <v>32</v>
      </c>
    </row>
    <row r="340" spans="1:13" x14ac:dyDescent="0.2">
      <c r="A340" s="1" t="s">
        <v>541</v>
      </c>
      <c r="B340">
        <v>339</v>
      </c>
      <c r="C340" s="1" t="s">
        <v>28</v>
      </c>
      <c r="D340" s="1" t="s">
        <v>112</v>
      </c>
      <c r="E340" s="1" t="s">
        <v>207</v>
      </c>
      <c r="F340" s="1" t="s">
        <v>485</v>
      </c>
      <c r="G340">
        <v>3</v>
      </c>
      <c r="H340">
        <v>15</v>
      </c>
      <c r="I340" s="1" t="s">
        <v>31</v>
      </c>
      <c r="J340" s="1" t="s">
        <v>37</v>
      </c>
      <c r="K340" s="1" t="s">
        <v>38</v>
      </c>
      <c r="L340">
        <v>457</v>
      </c>
      <c r="M340" s="1" t="s">
        <v>32</v>
      </c>
    </row>
    <row r="341" spans="1:13" x14ac:dyDescent="0.2">
      <c r="A341" s="1" t="s">
        <v>542</v>
      </c>
      <c r="B341">
        <v>340</v>
      </c>
      <c r="C341" s="1" t="s">
        <v>28</v>
      </c>
      <c r="D341" s="1" t="s">
        <v>112</v>
      </c>
      <c r="E341" s="1" t="s">
        <v>207</v>
      </c>
      <c r="F341" s="1" t="s">
        <v>485</v>
      </c>
      <c r="G341">
        <v>3</v>
      </c>
      <c r="H341">
        <v>15</v>
      </c>
      <c r="I341" s="1" t="s">
        <v>31</v>
      </c>
      <c r="J341" s="1" t="s">
        <v>40</v>
      </c>
      <c r="K341" s="1" t="s">
        <v>41</v>
      </c>
      <c r="L341">
        <v>212</v>
      </c>
      <c r="M341" s="1" t="s">
        <v>32</v>
      </c>
    </row>
    <row r="342" spans="1:13" x14ac:dyDescent="0.2">
      <c r="A342" s="1" t="s">
        <v>543</v>
      </c>
      <c r="B342">
        <v>341</v>
      </c>
      <c r="C342" s="1" t="s">
        <v>28</v>
      </c>
      <c r="D342" s="1" t="s">
        <v>112</v>
      </c>
      <c r="E342" s="1" t="s">
        <v>207</v>
      </c>
      <c r="F342" s="1" t="s">
        <v>485</v>
      </c>
      <c r="G342">
        <v>3</v>
      </c>
      <c r="H342">
        <v>15</v>
      </c>
      <c r="I342" s="1" t="s">
        <v>31</v>
      </c>
      <c r="J342" s="1" t="s">
        <v>43</v>
      </c>
      <c r="K342" s="1" t="s">
        <v>44</v>
      </c>
      <c r="L342">
        <v>244</v>
      </c>
      <c r="M342" s="1" t="s">
        <v>32</v>
      </c>
    </row>
    <row r="343" spans="1:13" x14ac:dyDescent="0.2">
      <c r="A343" s="1" t="s">
        <v>544</v>
      </c>
      <c r="B343">
        <v>342</v>
      </c>
      <c r="C343" s="1" t="s">
        <v>28</v>
      </c>
      <c r="D343" s="1" t="s">
        <v>112</v>
      </c>
      <c r="E343" s="1" t="s">
        <v>207</v>
      </c>
      <c r="F343" s="1" t="s">
        <v>485</v>
      </c>
      <c r="G343">
        <v>3</v>
      </c>
      <c r="H343">
        <v>15</v>
      </c>
      <c r="I343" s="1" t="s">
        <v>31</v>
      </c>
      <c r="J343" s="1" t="s">
        <v>46</v>
      </c>
      <c r="K343" s="1" t="s">
        <v>47</v>
      </c>
      <c r="L343">
        <v>237</v>
      </c>
      <c r="M343" s="1" t="s">
        <v>32</v>
      </c>
    </row>
    <row r="344" spans="1:13" x14ac:dyDescent="0.2">
      <c r="A344" s="1" t="s">
        <v>545</v>
      </c>
      <c r="B344">
        <v>343</v>
      </c>
      <c r="C344" s="1" t="s">
        <v>28</v>
      </c>
      <c r="D344" s="1" t="s">
        <v>112</v>
      </c>
      <c r="E344" s="1" t="s">
        <v>207</v>
      </c>
      <c r="F344" s="1" t="s">
        <v>485</v>
      </c>
      <c r="G344">
        <v>3</v>
      </c>
      <c r="H344">
        <v>15</v>
      </c>
      <c r="I344" s="1" t="s">
        <v>49</v>
      </c>
      <c r="J344" s="1" t="s">
        <v>29</v>
      </c>
      <c r="K344" s="1" t="s">
        <v>30</v>
      </c>
      <c r="L344">
        <v>202</v>
      </c>
      <c r="M344" s="1" t="s">
        <v>32</v>
      </c>
    </row>
    <row r="345" spans="1:13" x14ac:dyDescent="0.2">
      <c r="A345" s="1" t="s">
        <v>546</v>
      </c>
      <c r="B345">
        <v>344</v>
      </c>
      <c r="C345" s="1" t="s">
        <v>28</v>
      </c>
      <c r="D345" s="1" t="s">
        <v>112</v>
      </c>
      <c r="E345" s="1" t="s">
        <v>207</v>
      </c>
      <c r="F345" s="1" t="s">
        <v>485</v>
      </c>
      <c r="G345">
        <v>3</v>
      </c>
      <c r="H345">
        <v>15</v>
      </c>
      <c r="I345" s="1" t="s">
        <v>49</v>
      </c>
      <c r="J345" s="1" t="s">
        <v>34</v>
      </c>
      <c r="K345" s="1" t="s">
        <v>35</v>
      </c>
      <c r="L345">
        <v>21</v>
      </c>
      <c r="M345" s="1" t="s">
        <v>32</v>
      </c>
    </row>
    <row r="346" spans="1:13" x14ac:dyDescent="0.2">
      <c r="A346" s="1" t="s">
        <v>547</v>
      </c>
      <c r="B346">
        <v>345</v>
      </c>
      <c r="C346" s="1" t="s">
        <v>28</v>
      </c>
      <c r="D346" s="1" t="s">
        <v>112</v>
      </c>
      <c r="E346" s="1" t="s">
        <v>207</v>
      </c>
      <c r="F346" s="1" t="s">
        <v>485</v>
      </c>
      <c r="G346">
        <v>3</v>
      </c>
      <c r="H346">
        <v>15</v>
      </c>
      <c r="I346" s="1" t="s">
        <v>49</v>
      </c>
      <c r="J346" s="1" t="s">
        <v>37</v>
      </c>
      <c r="K346" s="1" t="s">
        <v>38</v>
      </c>
      <c r="L346">
        <v>69</v>
      </c>
      <c r="M346" s="1" t="s">
        <v>32</v>
      </c>
    </row>
    <row r="347" spans="1:13" x14ac:dyDescent="0.2">
      <c r="A347" s="1" t="s">
        <v>548</v>
      </c>
      <c r="B347">
        <v>346</v>
      </c>
      <c r="C347" s="1" t="s">
        <v>28</v>
      </c>
      <c r="D347" s="1" t="s">
        <v>112</v>
      </c>
      <c r="E347" s="1" t="s">
        <v>207</v>
      </c>
      <c r="F347" s="1" t="s">
        <v>485</v>
      </c>
      <c r="G347">
        <v>3</v>
      </c>
      <c r="H347">
        <v>15</v>
      </c>
      <c r="I347" s="1" t="s">
        <v>49</v>
      </c>
      <c r="J347" s="1" t="s">
        <v>40</v>
      </c>
      <c r="K347" s="1" t="s">
        <v>41</v>
      </c>
      <c r="L347">
        <v>40</v>
      </c>
      <c r="M347" s="1" t="s">
        <v>32</v>
      </c>
    </row>
    <row r="348" spans="1:13" x14ac:dyDescent="0.2">
      <c r="A348" s="1" t="s">
        <v>549</v>
      </c>
      <c r="B348">
        <v>347</v>
      </c>
      <c r="C348" s="1" t="s">
        <v>28</v>
      </c>
      <c r="D348" s="1" t="s">
        <v>112</v>
      </c>
      <c r="E348" s="1" t="s">
        <v>207</v>
      </c>
      <c r="F348" s="1" t="s">
        <v>485</v>
      </c>
      <c r="G348">
        <v>3</v>
      </c>
      <c r="H348">
        <v>15</v>
      </c>
      <c r="I348" s="1" t="s">
        <v>49</v>
      </c>
      <c r="J348" s="1" t="s">
        <v>43</v>
      </c>
      <c r="K348" s="1" t="s">
        <v>44</v>
      </c>
      <c r="L348">
        <v>23</v>
      </c>
      <c r="M348" s="1" t="s">
        <v>32</v>
      </c>
    </row>
    <row r="349" spans="1:13" x14ac:dyDescent="0.2">
      <c r="A349" s="1" t="s">
        <v>550</v>
      </c>
      <c r="B349">
        <v>348</v>
      </c>
      <c r="C349" s="1" t="s">
        <v>28</v>
      </c>
      <c r="D349" s="1" t="s">
        <v>112</v>
      </c>
      <c r="E349" s="1" t="s">
        <v>207</v>
      </c>
      <c r="F349" s="1" t="s">
        <v>485</v>
      </c>
      <c r="G349">
        <v>3</v>
      </c>
      <c r="H349">
        <v>15</v>
      </c>
      <c r="I349" s="1" t="s">
        <v>49</v>
      </c>
      <c r="J349" s="1" t="s">
        <v>46</v>
      </c>
      <c r="K349" s="1" t="s">
        <v>47</v>
      </c>
      <c r="L349">
        <v>70</v>
      </c>
      <c r="M349" s="1" t="s">
        <v>32</v>
      </c>
    </row>
    <row r="350" spans="1:13" x14ac:dyDescent="0.2">
      <c r="A350" s="1" t="s">
        <v>551</v>
      </c>
      <c r="B350">
        <v>349</v>
      </c>
      <c r="C350" s="1" t="s">
        <v>28</v>
      </c>
      <c r="D350" s="1" t="s">
        <v>112</v>
      </c>
      <c r="E350" s="1" t="s">
        <v>207</v>
      </c>
      <c r="F350" s="1" t="s">
        <v>485</v>
      </c>
      <c r="G350">
        <v>3</v>
      </c>
      <c r="H350">
        <v>15</v>
      </c>
      <c r="I350" s="1" t="s">
        <v>56</v>
      </c>
      <c r="J350" s="1" t="s">
        <v>29</v>
      </c>
      <c r="K350" s="1" t="s">
        <v>30</v>
      </c>
      <c r="L350">
        <v>100</v>
      </c>
      <c r="M350" s="1" t="s">
        <v>32</v>
      </c>
    </row>
    <row r="351" spans="1:13" x14ac:dyDescent="0.2">
      <c r="A351" s="1" t="s">
        <v>552</v>
      </c>
      <c r="B351">
        <v>350</v>
      </c>
      <c r="C351" s="1" t="s">
        <v>28</v>
      </c>
      <c r="D351" s="1" t="s">
        <v>112</v>
      </c>
      <c r="E351" s="1" t="s">
        <v>207</v>
      </c>
      <c r="F351" s="1" t="s">
        <v>485</v>
      </c>
      <c r="G351">
        <v>3</v>
      </c>
      <c r="H351">
        <v>15</v>
      </c>
      <c r="I351" s="1" t="s">
        <v>56</v>
      </c>
      <c r="J351" s="1" t="s">
        <v>34</v>
      </c>
      <c r="K351" s="1" t="s">
        <v>35</v>
      </c>
      <c r="L351">
        <v>40</v>
      </c>
      <c r="M351" s="1" t="s">
        <v>32</v>
      </c>
    </row>
    <row r="352" spans="1:13" x14ac:dyDescent="0.2">
      <c r="A352" s="1" t="s">
        <v>553</v>
      </c>
      <c r="B352">
        <v>351</v>
      </c>
      <c r="C352" s="1" t="s">
        <v>28</v>
      </c>
      <c r="D352" s="1" t="s">
        <v>112</v>
      </c>
      <c r="E352" s="1" t="s">
        <v>207</v>
      </c>
      <c r="F352" s="1" t="s">
        <v>485</v>
      </c>
      <c r="G352">
        <v>3</v>
      </c>
      <c r="H352">
        <v>15</v>
      </c>
      <c r="I352" s="1" t="s">
        <v>56</v>
      </c>
      <c r="J352" s="1" t="s">
        <v>37</v>
      </c>
      <c r="K352" s="1" t="s">
        <v>38</v>
      </c>
      <c r="L352">
        <v>88</v>
      </c>
      <c r="M352" s="1" t="s">
        <v>32</v>
      </c>
    </row>
    <row r="353" spans="1:13" x14ac:dyDescent="0.2">
      <c r="A353" s="1" t="s">
        <v>554</v>
      </c>
      <c r="B353">
        <v>352</v>
      </c>
      <c r="C353" s="1" t="s">
        <v>28</v>
      </c>
      <c r="D353" s="1" t="s">
        <v>112</v>
      </c>
      <c r="E353" s="1" t="s">
        <v>207</v>
      </c>
      <c r="F353" s="1" t="s">
        <v>485</v>
      </c>
      <c r="G353">
        <v>3</v>
      </c>
      <c r="H353">
        <v>15</v>
      </c>
      <c r="I353" s="1" t="s">
        <v>56</v>
      </c>
      <c r="J353" s="1" t="s">
        <v>40</v>
      </c>
      <c r="K353" s="1" t="s">
        <v>41</v>
      </c>
      <c r="L353">
        <v>40</v>
      </c>
      <c r="M353" s="1" t="s">
        <v>32</v>
      </c>
    </row>
    <row r="354" spans="1:13" x14ac:dyDescent="0.2">
      <c r="A354" s="1" t="s">
        <v>555</v>
      </c>
      <c r="B354">
        <v>353</v>
      </c>
      <c r="C354" s="1" t="s">
        <v>28</v>
      </c>
      <c r="D354" s="1" t="s">
        <v>112</v>
      </c>
      <c r="E354" s="1" t="s">
        <v>207</v>
      </c>
      <c r="F354" s="1" t="s">
        <v>485</v>
      </c>
      <c r="G354">
        <v>3</v>
      </c>
      <c r="H354">
        <v>15</v>
      </c>
      <c r="I354" s="1" t="s">
        <v>56</v>
      </c>
      <c r="J354" s="1" t="s">
        <v>43</v>
      </c>
      <c r="K354" s="1" t="s">
        <v>44</v>
      </c>
      <c r="L354">
        <v>36</v>
      </c>
      <c r="M354" s="1" t="s">
        <v>32</v>
      </c>
    </row>
    <row r="355" spans="1:13" x14ac:dyDescent="0.2">
      <c r="A355" s="1" t="s">
        <v>556</v>
      </c>
      <c r="B355">
        <v>354</v>
      </c>
      <c r="C355" s="1" t="s">
        <v>28</v>
      </c>
      <c r="D355" s="1" t="s">
        <v>112</v>
      </c>
      <c r="E355" s="1" t="s">
        <v>207</v>
      </c>
      <c r="F355" s="1" t="s">
        <v>485</v>
      </c>
      <c r="G355">
        <v>3</v>
      </c>
      <c r="H355">
        <v>15</v>
      </c>
      <c r="I355" s="1" t="s">
        <v>56</v>
      </c>
      <c r="J355" s="1" t="s">
        <v>46</v>
      </c>
      <c r="K355" s="1" t="s">
        <v>47</v>
      </c>
      <c r="L355">
        <v>40</v>
      </c>
      <c r="M355" s="1" t="s">
        <v>32</v>
      </c>
    </row>
    <row r="356" spans="1:13" x14ac:dyDescent="0.2">
      <c r="A356" s="1" t="s">
        <v>557</v>
      </c>
      <c r="B356">
        <v>355</v>
      </c>
      <c r="C356" s="1" t="s">
        <v>28</v>
      </c>
      <c r="D356" s="1" t="s">
        <v>112</v>
      </c>
      <c r="E356" s="1" t="s">
        <v>207</v>
      </c>
      <c r="F356" s="1" t="s">
        <v>485</v>
      </c>
      <c r="G356">
        <v>3</v>
      </c>
      <c r="H356">
        <v>15</v>
      </c>
      <c r="I356" s="1" t="s">
        <v>63</v>
      </c>
      <c r="J356" s="1" t="s">
        <v>29</v>
      </c>
      <c r="K356" s="1" t="s">
        <v>30</v>
      </c>
      <c r="L356">
        <v>50</v>
      </c>
      <c r="M356" s="1" t="s">
        <v>32</v>
      </c>
    </row>
    <row r="357" spans="1:13" x14ac:dyDescent="0.2">
      <c r="A357" s="1" t="s">
        <v>558</v>
      </c>
      <c r="B357">
        <v>356</v>
      </c>
      <c r="C357" s="1" t="s">
        <v>28</v>
      </c>
      <c r="D357" s="1" t="s">
        <v>112</v>
      </c>
      <c r="E357" s="1" t="s">
        <v>207</v>
      </c>
      <c r="F357" s="1" t="s">
        <v>485</v>
      </c>
      <c r="G357">
        <v>3</v>
      </c>
      <c r="H357">
        <v>15</v>
      </c>
      <c r="I357" s="1" t="s">
        <v>63</v>
      </c>
      <c r="J357" s="1" t="s">
        <v>34</v>
      </c>
      <c r="K357" s="1" t="s">
        <v>35</v>
      </c>
      <c r="L357">
        <v>40</v>
      </c>
      <c r="M357" s="1" t="s">
        <v>32</v>
      </c>
    </row>
    <row r="358" spans="1:13" x14ac:dyDescent="0.2">
      <c r="A358" s="1" t="s">
        <v>559</v>
      </c>
      <c r="B358">
        <v>357</v>
      </c>
      <c r="C358" s="1" t="s">
        <v>28</v>
      </c>
      <c r="D358" s="1" t="s">
        <v>112</v>
      </c>
      <c r="E358" s="1" t="s">
        <v>207</v>
      </c>
      <c r="F358" s="1" t="s">
        <v>485</v>
      </c>
      <c r="G358">
        <v>3</v>
      </c>
      <c r="H358">
        <v>15</v>
      </c>
      <c r="I358" s="1" t="s">
        <v>63</v>
      </c>
      <c r="J358" s="1" t="s">
        <v>37</v>
      </c>
      <c r="K358" s="1" t="s">
        <v>38</v>
      </c>
      <c r="L358">
        <v>85</v>
      </c>
      <c r="M358" s="1" t="s">
        <v>32</v>
      </c>
    </row>
    <row r="359" spans="1:13" x14ac:dyDescent="0.2">
      <c r="A359" s="1" t="s">
        <v>560</v>
      </c>
      <c r="B359">
        <v>358</v>
      </c>
      <c r="C359" s="1" t="s">
        <v>28</v>
      </c>
      <c r="D359" s="1" t="s">
        <v>112</v>
      </c>
      <c r="E359" s="1" t="s">
        <v>207</v>
      </c>
      <c r="F359" s="1" t="s">
        <v>485</v>
      </c>
      <c r="G359">
        <v>3</v>
      </c>
      <c r="H359">
        <v>15</v>
      </c>
      <c r="I359" s="1" t="s">
        <v>63</v>
      </c>
      <c r="J359" s="1" t="s">
        <v>40</v>
      </c>
      <c r="K359" s="1" t="s">
        <v>41</v>
      </c>
      <c r="L359">
        <v>66</v>
      </c>
      <c r="M359" s="1" t="s">
        <v>32</v>
      </c>
    </row>
    <row r="360" spans="1:13" x14ac:dyDescent="0.2">
      <c r="A360" s="1" t="s">
        <v>561</v>
      </c>
      <c r="B360">
        <v>359</v>
      </c>
      <c r="C360" s="1" t="s">
        <v>28</v>
      </c>
      <c r="D360" s="1" t="s">
        <v>112</v>
      </c>
      <c r="E360" s="1" t="s">
        <v>207</v>
      </c>
      <c r="F360" s="1" t="s">
        <v>485</v>
      </c>
      <c r="G360">
        <v>3</v>
      </c>
      <c r="H360">
        <v>15</v>
      </c>
      <c r="I360" s="1" t="s">
        <v>63</v>
      </c>
      <c r="J360" s="1" t="s">
        <v>43</v>
      </c>
      <c r="K360" s="1" t="s">
        <v>44</v>
      </c>
      <c r="L360">
        <v>40</v>
      </c>
      <c r="M360" s="1" t="s">
        <v>32</v>
      </c>
    </row>
    <row r="361" spans="1:13" x14ac:dyDescent="0.2">
      <c r="A361" s="1" t="s">
        <v>562</v>
      </c>
      <c r="B361">
        <v>360</v>
      </c>
      <c r="C361" s="1" t="s">
        <v>28</v>
      </c>
      <c r="D361" s="1" t="s">
        <v>112</v>
      </c>
      <c r="E361" s="1" t="s">
        <v>207</v>
      </c>
      <c r="F361" s="1" t="s">
        <v>485</v>
      </c>
      <c r="G361">
        <v>3</v>
      </c>
      <c r="H361">
        <v>15</v>
      </c>
      <c r="I361" s="1" t="s">
        <v>63</v>
      </c>
      <c r="J361" s="1" t="s">
        <v>46</v>
      </c>
      <c r="K361" s="1" t="s">
        <v>47</v>
      </c>
      <c r="L361">
        <v>40</v>
      </c>
      <c r="M361" s="1" t="s">
        <v>32</v>
      </c>
    </row>
    <row r="362" spans="1:13" x14ac:dyDescent="0.2">
      <c r="A362" s="1" t="s">
        <v>563</v>
      </c>
      <c r="B362">
        <v>361</v>
      </c>
      <c r="C362" s="1" t="s">
        <v>28</v>
      </c>
      <c r="D362" s="1" t="s">
        <v>112</v>
      </c>
      <c r="E362" s="1" t="s">
        <v>256</v>
      </c>
      <c r="F362" s="1" t="s">
        <v>564</v>
      </c>
      <c r="G362">
        <v>4</v>
      </c>
      <c r="H362">
        <v>16</v>
      </c>
      <c r="I362" s="1" t="s">
        <v>31</v>
      </c>
      <c r="J362" s="1" t="s">
        <v>29</v>
      </c>
      <c r="K362" s="1" t="s">
        <v>30</v>
      </c>
      <c r="L362">
        <v>204</v>
      </c>
      <c r="M362" s="1" t="s">
        <v>32</v>
      </c>
    </row>
    <row r="363" spans="1:13" x14ac:dyDescent="0.2">
      <c r="A363" s="1" t="s">
        <v>565</v>
      </c>
      <c r="B363">
        <v>362</v>
      </c>
      <c r="C363" s="1" t="s">
        <v>28</v>
      </c>
      <c r="D363" s="1" t="s">
        <v>112</v>
      </c>
      <c r="E363" s="1" t="s">
        <v>256</v>
      </c>
      <c r="F363" s="1" t="s">
        <v>564</v>
      </c>
      <c r="G363">
        <v>4</v>
      </c>
      <c r="H363">
        <v>16</v>
      </c>
      <c r="I363" s="1" t="s">
        <v>31</v>
      </c>
      <c r="J363" s="1" t="s">
        <v>34</v>
      </c>
      <c r="K363" s="1" t="s">
        <v>35</v>
      </c>
      <c r="L363">
        <v>239</v>
      </c>
      <c r="M363" s="1" t="s">
        <v>32</v>
      </c>
    </row>
    <row r="364" spans="1:13" x14ac:dyDescent="0.2">
      <c r="A364" s="1" t="s">
        <v>566</v>
      </c>
      <c r="B364">
        <v>363</v>
      </c>
      <c r="C364" s="1" t="s">
        <v>28</v>
      </c>
      <c r="D364" s="1" t="s">
        <v>112</v>
      </c>
      <c r="E364" s="1" t="s">
        <v>256</v>
      </c>
      <c r="F364" s="1" t="s">
        <v>564</v>
      </c>
      <c r="G364">
        <v>4</v>
      </c>
      <c r="H364">
        <v>16</v>
      </c>
      <c r="I364" s="1" t="s">
        <v>31</v>
      </c>
      <c r="J364" s="1" t="s">
        <v>37</v>
      </c>
      <c r="K364" s="1" t="s">
        <v>38</v>
      </c>
      <c r="L364">
        <v>344</v>
      </c>
      <c r="M364" s="1" t="s">
        <v>32</v>
      </c>
    </row>
    <row r="365" spans="1:13" x14ac:dyDescent="0.2">
      <c r="A365" s="1" t="s">
        <v>567</v>
      </c>
      <c r="B365">
        <v>364</v>
      </c>
      <c r="C365" s="1" t="s">
        <v>28</v>
      </c>
      <c r="D365" s="1" t="s">
        <v>112</v>
      </c>
      <c r="E365" s="1" t="s">
        <v>256</v>
      </c>
      <c r="F365" s="1" t="s">
        <v>564</v>
      </c>
      <c r="G365">
        <v>4</v>
      </c>
      <c r="H365">
        <v>16</v>
      </c>
      <c r="I365" s="1" t="s">
        <v>31</v>
      </c>
      <c r="J365" s="1" t="s">
        <v>40</v>
      </c>
      <c r="K365" s="1" t="s">
        <v>41</v>
      </c>
      <c r="L365">
        <v>178</v>
      </c>
      <c r="M365" s="1" t="s">
        <v>32</v>
      </c>
    </row>
    <row r="366" spans="1:13" x14ac:dyDescent="0.2">
      <c r="A366" s="1" t="s">
        <v>568</v>
      </c>
      <c r="B366">
        <v>365</v>
      </c>
      <c r="C366" s="1" t="s">
        <v>28</v>
      </c>
      <c r="D366" s="1" t="s">
        <v>112</v>
      </c>
      <c r="E366" s="1" t="s">
        <v>256</v>
      </c>
      <c r="F366" s="1" t="s">
        <v>564</v>
      </c>
      <c r="G366">
        <v>4</v>
      </c>
      <c r="H366">
        <v>16</v>
      </c>
      <c r="I366" s="1" t="s">
        <v>31</v>
      </c>
      <c r="J366" s="1" t="s">
        <v>43</v>
      </c>
      <c r="K366" s="1" t="s">
        <v>44</v>
      </c>
      <c r="L366">
        <v>173</v>
      </c>
      <c r="M366" s="1" t="s">
        <v>32</v>
      </c>
    </row>
    <row r="367" spans="1:13" x14ac:dyDescent="0.2">
      <c r="A367" s="1" t="s">
        <v>569</v>
      </c>
      <c r="B367">
        <v>366</v>
      </c>
      <c r="C367" s="1" t="s">
        <v>28</v>
      </c>
      <c r="D367" s="1" t="s">
        <v>112</v>
      </c>
      <c r="E367" s="1" t="s">
        <v>256</v>
      </c>
      <c r="F367" s="1" t="s">
        <v>564</v>
      </c>
      <c r="G367">
        <v>4</v>
      </c>
      <c r="H367">
        <v>16</v>
      </c>
      <c r="I367" s="1" t="s">
        <v>31</v>
      </c>
      <c r="J367" s="1" t="s">
        <v>46</v>
      </c>
      <c r="K367" s="1" t="s">
        <v>47</v>
      </c>
      <c r="L367">
        <v>237</v>
      </c>
      <c r="M367" s="1" t="s">
        <v>32</v>
      </c>
    </row>
    <row r="368" spans="1:13" x14ac:dyDescent="0.2">
      <c r="A368" s="1" t="s">
        <v>570</v>
      </c>
      <c r="B368">
        <v>367</v>
      </c>
      <c r="C368" s="1" t="s">
        <v>28</v>
      </c>
      <c r="D368" s="1" t="s">
        <v>112</v>
      </c>
      <c r="E368" s="1" t="s">
        <v>256</v>
      </c>
      <c r="F368" s="1" t="s">
        <v>564</v>
      </c>
      <c r="G368">
        <v>4</v>
      </c>
      <c r="H368">
        <v>16</v>
      </c>
      <c r="I368" s="1" t="s">
        <v>49</v>
      </c>
      <c r="J368" s="1" t="s">
        <v>29</v>
      </c>
      <c r="K368" s="1" t="s">
        <v>30</v>
      </c>
      <c r="L368">
        <v>156</v>
      </c>
      <c r="M368" s="1" t="s">
        <v>32</v>
      </c>
    </row>
    <row r="369" spans="1:13" x14ac:dyDescent="0.2">
      <c r="A369" s="1" t="s">
        <v>571</v>
      </c>
      <c r="B369">
        <v>368</v>
      </c>
      <c r="C369" s="1" t="s">
        <v>28</v>
      </c>
      <c r="D369" s="1" t="s">
        <v>112</v>
      </c>
      <c r="E369" s="1" t="s">
        <v>256</v>
      </c>
      <c r="F369" s="1" t="s">
        <v>564</v>
      </c>
      <c r="G369">
        <v>4</v>
      </c>
      <c r="H369">
        <v>16</v>
      </c>
      <c r="I369" s="1" t="s">
        <v>49</v>
      </c>
      <c r="J369" s="1" t="s">
        <v>34</v>
      </c>
      <c r="K369" s="1" t="s">
        <v>35</v>
      </c>
      <c r="L369">
        <v>50</v>
      </c>
      <c r="M369" s="1" t="s">
        <v>32</v>
      </c>
    </row>
    <row r="370" spans="1:13" x14ac:dyDescent="0.2">
      <c r="A370" s="1" t="s">
        <v>572</v>
      </c>
      <c r="B370">
        <v>369</v>
      </c>
      <c r="C370" s="1" t="s">
        <v>28</v>
      </c>
      <c r="D370" s="1" t="s">
        <v>112</v>
      </c>
      <c r="E370" s="1" t="s">
        <v>256</v>
      </c>
      <c r="F370" s="1" t="s">
        <v>564</v>
      </c>
      <c r="G370">
        <v>4</v>
      </c>
      <c r="H370">
        <v>16</v>
      </c>
      <c r="I370" s="1" t="s">
        <v>49</v>
      </c>
      <c r="J370" s="1" t="s">
        <v>37</v>
      </c>
      <c r="K370" s="1" t="s">
        <v>38</v>
      </c>
      <c r="L370">
        <v>60</v>
      </c>
      <c r="M370" s="1" t="s">
        <v>32</v>
      </c>
    </row>
    <row r="371" spans="1:13" x14ac:dyDescent="0.2">
      <c r="A371" s="1" t="s">
        <v>573</v>
      </c>
      <c r="B371">
        <v>370</v>
      </c>
      <c r="C371" s="1" t="s">
        <v>28</v>
      </c>
      <c r="D371" s="1" t="s">
        <v>112</v>
      </c>
      <c r="E371" s="1" t="s">
        <v>256</v>
      </c>
      <c r="F371" s="1" t="s">
        <v>564</v>
      </c>
      <c r="G371">
        <v>4</v>
      </c>
      <c r="H371">
        <v>16</v>
      </c>
      <c r="I371" s="1" t="s">
        <v>49</v>
      </c>
      <c r="J371" s="1" t="s">
        <v>40</v>
      </c>
      <c r="K371" s="1" t="s">
        <v>41</v>
      </c>
      <c r="L371">
        <v>19</v>
      </c>
      <c r="M371" s="1" t="s">
        <v>32</v>
      </c>
    </row>
    <row r="372" spans="1:13" x14ac:dyDescent="0.2">
      <c r="A372" s="1" t="s">
        <v>574</v>
      </c>
      <c r="B372">
        <v>371</v>
      </c>
      <c r="C372" s="1" t="s">
        <v>28</v>
      </c>
      <c r="D372" s="1" t="s">
        <v>112</v>
      </c>
      <c r="E372" s="1" t="s">
        <v>256</v>
      </c>
      <c r="F372" s="1" t="s">
        <v>564</v>
      </c>
      <c r="G372">
        <v>4</v>
      </c>
      <c r="H372">
        <v>16</v>
      </c>
      <c r="I372" s="1" t="s">
        <v>49</v>
      </c>
      <c r="J372" s="1" t="s">
        <v>43</v>
      </c>
      <c r="K372" s="1" t="s">
        <v>44</v>
      </c>
      <c r="L372">
        <v>60</v>
      </c>
      <c r="M372" s="1" t="s">
        <v>32</v>
      </c>
    </row>
    <row r="373" spans="1:13" x14ac:dyDescent="0.2">
      <c r="A373" s="1" t="s">
        <v>575</v>
      </c>
      <c r="B373">
        <v>372</v>
      </c>
      <c r="C373" s="1" t="s">
        <v>28</v>
      </c>
      <c r="D373" s="1" t="s">
        <v>112</v>
      </c>
      <c r="E373" s="1" t="s">
        <v>256</v>
      </c>
      <c r="F373" s="1" t="s">
        <v>564</v>
      </c>
      <c r="G373">
        <v>4</v>
      </c>
      <c r="H373">
        <v>16</v>
      </c>
      <c r="I373" s="1" t="s">
        <v>49</v>
      </c>
      <c r="J373" s="1" t="s">
        <v>46</v>
      </c>
      <c r="K373" s="1" t="s">
        <v>47</v>
      </c>
      <c r="L373">
        <v>70</v>
      </c>
      <c r="M373" s="1" t="s">
        <v>32</v>
      </c>
    </row>
    <row r="374" spans="1:13" x14ac:dyDescent="0.2">
      <c r="A374" s="1" t="s">
        <v>576</v>
      </c>
      <c r="B374">
        <v>373</v>
      </c>
      <c r="C374" s="1" t="s">
        <v>28</v>
      </c>
      <c r="D374" s="1" t="s">
        <v>112</v>
      </c>
      <c r="E374" s="1" t="s">
        <v>256</v>
      </c>
      <c r="F374" s="1" t="s">
        <v>564</v>
      </c>
      <c r="G374">
        <v>4</v>
      </c>
      <c r="H374">
        <v>16</v>
      </c>
      <c r="I374" s="1" t="s">
        <v>56</v>
      </c>
      <c r="J374" s="1" t="s">
        <v>29</v>
      </c>
      <c r="K374" s="1" t="s">
        <v>30</v>
      </c>
      <c r="L374">
        <v>100</v>
      </c>
      <c r="M374" s="1" t="s">
        <v>32</v>
      </c>
    </row>
    <row r="375" spans="1:13" x14ac:dyDescent="0.2">
      <c r="A375" s="1" t="s">
        <v>577</v>
      </c>
      <c r="B375">
        <v>374</v>
      </c>
      <c r="C375" s="1" t="s">
        <v>28</v>
      </c>
      <c r="D375" s="1" t="s">
        <v>112</v>
      </c>
      <c r="E375" s="1" t="s">
        <v>256</v>
      </c>
      <c r="F375" s="1" t="s">
        <v>564</v>
      </c>
      <c r="G375">
        <v>4</v>
      </c>
      <c r="H375">
        <v>16</v>
      </c>
      <c r="I375" s="1" t="s">
        <v>56</v>
      </c>
      <c r="J375" s="1" t="s">
        <v>34</v>
      </c>
      <c r="K375" s="1" t="s">
        <v>35</v>
      </c>
      <c r="L375">
        <v>40</v>
      </c>
      <c r="M375" s="1" t="s">
        <v>32</v>
      </c>
    </row>
    <row r="376" spans="1:13" x14ac:dyDescent="0.2">
      <c r="A376" s="1" t="s">
        <v>578</v>
      </c>
      <c r="B376">
        <v>375</v>
      </c>
      <c r="C376" s="1" t="s">
        <v>28</v>
      </c>
      <c r="D376" s="1" t="s">
        <v>112</v>
      </c>
      <c r="E376" s="1" t="s">
        <v>256</v>
      </c>
      <c r="F376" s="1" t="s">
        <v>564</v>
      </c>
      <c r="G376">
        <v>4</v>
      </c>
      <c r="H376">
        <v>16</v>
      </c>
      <c r="I376" s="1" t="s">
        <v>56</v>
      </c>
      <c r="J376" s="1" t="s">
        <v>37</v>
      </c>
      <c r="K376" s="1" t="s">
        <v>38</v>
      </c>
      <c r="L376">
        <v>97</v>
      </c>
      <c r="M376" s="1" t="s">
        <v>32</v>
      </c>
    </row>
    <row r="377" spans="1:13" x14ac:dyDescent="0.2">
      <c r="A377" s="1" t="s">
        <v>579</v>
      </c>
      <c r="B377">
        <v>376</v>
      </c>
      <c r="C377" s="1" t="s">
        <v>28</v>
      </c>
      <c r="D377" s="1" t="s">
        <v>112</v>
      </c>
      <c r="E377" s="1" t="s">
        <v>256</v>
      </c>
      <c r="F377" s="1" t="s">
        <v>564</v>
      </c>
      <c r="G377">
        <v>4</v>
      </c>
      <c r="H377">
        <v>16</v>
      </c>
      <c r="I377" s="1" t="s">
        <v>56</v>
      </c>
      <c r="J377" s="1" t="s">
        <v>40</v>
      </c>
      <c r="K377" s="1" t="s">
        <v>41</v>
      </c>
      <c r="L377">
        <v>17</v>
      </c>
      <c r="M377" s="1" t="s">
        <v>32</v>
      </c>
    </row>
    <row r="378" spans="1:13" x14ac:dyDescent="0.2">
      <c r="A378" s="1" t="s">
        <v>580</v>
      </c>
      <c r="B378">
        <v>377</v>
      </c>
      <c r="C378" s="1" t="s">
        <v>28</v>
      </c>
      <c r="D378" s="1" t="s">
        <v>112</v>
      </c>
      <c r="E378" s="1" t="s">
        <v>256</v>
      </c>
      <c r="F378" s="1" t="s">
        <v>564</v>
      </c>
      <c r="G378">
        <v>4</v>
      </c>
      <c r="H378">
        <v>16</v>
      </c>
      <c r="I378" s="1" t="s">
        <v>56</v>
      </c>
      <c r="J378" s="1" t="s">
        <v>43</v>
      </c>
      <c r="K378" s="1" t="s">
        <v>44</v>
      </c>
      <c r="L378">
        <v>34</v>
      </c>
      <c r="M378" s="1" t="s">
        <v>32</v>
      </c>
    </row>
    <row r="379" spans="1:13" x14ac:dyDescent="0.2">
      <c r="A379" s="1" t="s">
        <v>581</v>
      </c>
      <c r="B379">
        <v>378</v>
      </c>
      <c r="C379" s="1" t="s">
        <v>28</v>
      </c>
      <c r="D379" s="1" t="s">
        <v>112</v>
      </c>
      <c r="E379" s="1" t="s">
        <v>256</v>
      </c>
      <c r="F379" s="1" t="s">
        <v>564</v>
      </c>
      <c r="G379">
        <v>4</v>
      </c>
      <c r="H379">
        <v>16</v>
      </c>
      <c r="I379" s="1" t="s">
        <v>56</v>
      </c>
      <c r="J379" s="1" t="s">
        <v>46</v>
      </c>
      <c r="K379" s="1" t="s">
        <v>47</v>
      </c>
      <c r="L379">
        <v>40</v>
      </c>
      <c r="M379" s="1" t="s">
        <v>32</v>
      </c>
    </row>
    <row r="380" spans="1:13" x14ac:dyDescent="0.2">
      <c r="A380" s="1" t="s">
        <v>582</v>
      </c>
      <c r="B380">
        <v>379</v>
      </c>
      <c r="C380" s="1" t="s">
        <v>28</v>
      </c>
      <c r="D380" s="1" t="s">
        <v>112</v>
      </c>
      <c r="E380" s="1" t="s">
        <v>256</v>
      </c>
      <c r="F380" s="1" t="s">
        <v>564</v>
      </c>
      <c r="G380">
        <v>4</v>
      </c>
      <c r="H380">
        <v>16</v>
      </c>
      <c r="I380" s="1" t="s">
        <v>63</v>
      </c>
      <c r="J380" s="1" t="s">
        <v>29</v>
      </c>
      <c r="K380" s="1" t="s">
        <v>30</v>
      </c>
      <c r="L380">
        <v>50</v>
      </c>
      <c r="M380" s="1" t="s">
        <v>32</v>
      </c>
    </row>
    <row r="381" spans="1:13" x14ac:dyDescent="0.2">
      <c r="A381" s="1" t="s">
        <v>583</v>
      </c>
      <c r="B381">
        <v>380</v>
      </c>
      <c r="C381" s="1" t="s">
        <v>28</v>
      </c>
      <c r="D381" s="1" t="s">
        <v>112</v>
      </c>
      <c r="E381" s="1" t="s">
        <v>256</v>
      </c>
      <c r="F381" s="1" t="s">
        <v>564</v>
      </c>
      <c r="G381">
        <v>4</v>
      </c>
      <c r="H381">
        <v>16</v>
      </c>
      <c r="I381" s="1" t="s">
        <v>63</v>
      </c>
      <c r="J381" s="1" t="s">
        <v>34</v>
      </c>
      <c r="K381" s="1" t="s">
        <v>35</v>
      </c>
      <c r="L381">
        <v>40</v>
      </c>
      <c r="M381" s="1" t="s">
        <v>32</v>
      </c>
    </row>
    <row r="382" spans="1:13" x14ac:dyDescent="0.2">
      <c r="A382" s="1" t="s">
        <v>584</v>
      </c>
      <c r="B382">
        <v>381</v>
      </c>
      <c r="C382" s="1" t="s">
        <v>28</v>
      </c>
      <c r="D382" s="1" t="s">
        <v>112</v>
      </c>
      <c r="E382" s="1" t="s">
        <v>256</v>
      </c>
      <c r="F382" s="1" t="s">
        <v>564</v>
      </c>
      <c r="G382">
        <v>4</v>
      </c>
      <c r="H382">
        <v>16</v>
      </c>
      <c r="I382" s="1" t="s">
        <v>63</v>
      </c>
      <c r="J382" s="1" t="s">
        <v>37</v>
      </c>
      <c r="K382" s="1" t="s">
        <v>38</v>
      </c>
      <c r="L382">
        <v>85</v>
      </c>
      <c r="M382" s="1" t="s">
        <v>32</v>
      </c>
    </row>
    <row r="383" spans="1:13" x14ac:dyDescent="0.2">
      <c r="A383" s="1" t="s">
        <v>585</v>
      </c>
      <c r="B383">
        <v>382</v>
      </c>
      <c r="C383" s="1" t="s">
        <v>28</v>
      </c>
      <c r="D383" s="1" t="s">
        <v>112</v>
      </c>
      <c r="E383" s="1" t="s">
        <v>256</v>
      </c>
      <c r="F383" s="1" t="s">
        <v>564</v>
      </c>
      <c r="G383">
        <v>4</v>
      </c>
      <c r="H383">
        <v>16</v>
      </c>
      <c r="I383" s="1" t="s">
        <v>63</v>
      </c>
      <c r="J383" s="1" t="s">
        <v>40</v>
      </c>
      <c r="K383" s="1" t="s">
        <v>41</v>
      </c>
      <c r="L383">
        <v>51</v>
      </c>
      <c r="M383" s="1" t="s">
        <v>32</v>
      </c>
    </row>
    <row r="384" spans="1:13" x14ac:dyDescent="0.2">
      <c r="A384" s="1" t="s">
        <v>586</v>
      </c>
      <c r="B384">
        <v>383</v>
      </c>
      <c r="C384" s="1" t="s">
        <v>28</v>
      </c>
      <c r="D384" s="1" t="s">
        <v>112</v>
      </c>
      <c r="E384" s="1" t="s">
        <v>256</v>
      </c>
      <c r="F384" s="1" t="s">
        <v>564</v>
      </c>
      <c r="G384">
        <v>4</v>
      </c>
      <c r="H384">
        <v>16</v>
      </c>
      <c r="I384" s="1" t="s">
        <v>63</v>
      </c>
      <c r="J384" s="1" t="s">
        <v>43</v>
      </c>
      <c r="K384" s="1" t="s">
        <v>44</v>
      </c>
      <c r="L384">
        <v>40</v>
      </c>
      <c r="M384" s="1" t="s">
        <v>32</v>
      </c>
    </row>
    <row r="385" spans="1:13" x14ac:dyDescent="0.2">
      <c r="A385" s="1" t="s">
        <v>587</v>
      </c>
      <c r="B385">
        <v>384</v>
      </c>
      <c r="C385" s="1" t="s">
        <v>28</v>
      </c>
      <c r="D385" s="1" t="s">
        <v>112</v>
      </c>
      <c r="E385" s="1" t="s">
        <v>256</v>
      </c>
      <c r="F385" s="1" t="s">
        <v>564</v>
      </c>
      <c r="G385">
        <v>4</v>
      </c>
      <c r="H385">
        <v>16</v>
      </c>
      <c r="I385" s="1" t="s">
        <v>63</v>
      </c>
      <c r="J385" s="1" t="s">
        <v>46</v>
      </c>
      <c r="K385" s="1" t="s">
        <v>47</v>
      </c>
      <c r="L385">
        <v>40</v>
      </c>
      <c r="M385" s="1" t="s">
        <v>32</v>
      </c>
    </row>
    <row r="386" spans="1:13" x14ac:dyDescent="0.2">
      <c r="A386" s="1" t="s">
        <v>593</v>
      </c>
      <c r="B386">
        <v>385</v>
      </c>
      <c r="C386" s="1" t="s">
        <v>28</v>
      </c>
      <c r="D386" s="1" t="s">
        <v>112</v>
      </c>
      <c r="E386" s="1" t="s">
        <v>296</v>
      </c>
      <c r="F386" s="1" t="s">
        <v>594</v>
      </c>
      <c r="G386">
        <v>4</v>
      </c>
      <c r="H386">
        <v>17</v>
      </c>
      <c r="I386" s="1" t="s">
        <v>31</v>
      </c>
      <c r="J386" s="1" t="s">
        <v>29</v>
      </c>
      <c r="K386" s="1" t="s">
        <v>30</v>
      </c>
      <c r="L386">
        <v>728</v>
      </c>
      <c r="M386" s="1" t="s">
        <v>32</v>
      </c>
    </row>
    <row r="387" spans="1:13" x14ac:dyDescent="0.2">
      <c r="A387" s="1" t="s">
        <v>595</v>
      </c>
      <c r="B387">
        <v>386</v>
      </c>
      <c r="C387" s="1" t="s">
        <v>28</v>
      </c>
      <c r="D387" s="1" t="s">
        <v>112</v>
      </c>
      <c r="E387" s="1" t="s">
        <v>296</v>
      </c>
      <c r="F387" s="1" t="s">
        <v>594</v>
      </c>
      <c r="G387">
        <v>4</v>
      </c>
      <c r="H387">
        <v>17</v>
      </c>
      <c r="I387" s="1" t="s">
        <v>31</v>
      </c>
      <c r="J387" s="1" t="s">
        <v>34</v>
      </c>
      <c r="K387" s="1" t="s">
        <v>35</v>
      </c>
      <c r="L387">
        <v>323</v>
      </c>
      <c r="M387" s="1" t="s">
        <v>32</v>
      </c>
    </row>
    <row r="388" spans="1:13" x14ac:dyDescent="0.2">
      <c r="A388" s="1" t="s">
        <v>596</v>
      </c>
      <c r="B388">
        <v>387</v>
      </c>
      <c r="C388" s="1" t="s">
        <v>28</v>
      </c>
      <c r="D388" s="1" t="s">
        <v>112</v>
      </c>
      <c r="E388" s="1" t="s">
        <v>296</v>
      </c>
      <c r="F388" s="1" t="s">
        <v>594</v>
      </c>
      <c r="G388">
        <v>4</v>
      </c>
      <c r="H388">
        <v>17</v>
      </c>
      <c r="I388" s="1" t="s">
        <v>31</v>
      </c>
      <c r="J388" s="1" t="s">
        <v>37</v>
      </c>
      <c r="K388" s="1" t="s">
        <v>38</v>
      </c>
      <c r="L388">
        <v>556</v>
      </c>
      <c r="M388" s="1" t="s">
        <v>32</v>
      </c>
    </row>
    <row r="389" spans="1:13" x14ac:dyDescent="0.2">
      <c r="A389" s="1" t="s">
        <v>597</v>
      </c>
      <c r="B389">
        <v>388</v>
      </c>
      <c r="C389" s="1" t="s">
        <v>28</v>
      </c>
      <c r="D389" s="1" t="s">
        <v>112</v>
      </c>
      <c r="E389" s="1" t="s">
        <v>296</v>
      </c>
      <c r="F389" s="1" t="s">
        <v>594</v>
      </c>
      <c r="G389">
        <v>4</v>
      </c>
      <c r="H389">
        <v>17</v>
      </c>
      <c r="I389" s="1" t="s">
        <v>31</v>
      </c>
      <c r="J389" s="1" t="s">
        <v>40</v>
      </c>
      <c r="K389" s="1" t="s">
        <v>41</v>
      </c>
      <c r="L389">
        <v>119</v>
      </c>
      <c r="M389" s="1" t="s">
        <v>32</v>
      </c>
    </row>
    <row r="390" spans="1:13" x14ac:dyDescent="0.2">
      <c r="A390" s="1" t="s">
        <v>598</v>
      </c>
      <c r="B390">
        <v>389</v>
      </c>
      <c r="C390" s="1" t="s">
        <v>28</v>
      </c>
      <c r="D390" s="1" t="s">
        <v>112</v>
      </c>
      <c r="E390" s="1" t="s">
        <v>296</v>
      </c>
      <c r="F390" s="1" t="s">
        <v>594</v>
      </c>
      <c r="G390">
        <v>4</v>
      </c>
      <c r="H390">
        <v>17</v>
      </c>
      <c r="I390" s="1" t="s">
        <v>31</v>
      </c>
      <c r="J390" s="1" t="s">
        <v>43</v>
      </c>
      <c r="K390" s="1" t="s">
        <v>44</v>
      </c>
      <c r="L390">
        <v>292</v>
      </c>
      <c r="M390" s="1" t="s">
        <v>32</v>
      </c>
    </row>
    <row r="391" spans="1:13" x14ac:dyDescent="0.2">
      <c r="A391" s="1" t="s">
        <v>599</v>
      </c>
      <c r="B391">
        <v>390</v>
      </c>
      <c r="C391" s="1" t="s">
        <v>28</v>
      </c>
      <c r="D391" s="1" t="s">
        <v>112</v>
      </c>
      <c r="E391" s="1" t="s">
        <v>296</v>
      </c>
      <c r="F391" s="1" t="s">
        <v>594</v>
      </c>
      <c r="G391">
        <v>4</v>
      </c>
      <c r="H391">
        <v>17</v>
      </c>
      <c r="I391" s="1" t="s">
        <v>31</v>
      </c>
      <c r="J391" s="1" t="s">
        <v>46</v>
      </c>
      <c r="K391" s="1" t="s">
        <v>47</v>
      </c>
      <c r="L391">
        <v>237</v>
      </c>
      <c r="M391" s="1" t="s">
        <v>32</v>
      </c>
    </row>
    <row r="392" spans="1:13" x14ac:dyDescent="0.2">
      <c r="A392" s="1" t="s">
        <v>600</v>
      </c>
      <c r="B392">
        <v>391</v>
      </c>
      <c r="C392" s="1" t="s">
        <v>28</v>
      </c>
      <c r="D392" s="1" t="s">
        <v>112</v>
      </c>
      <c r="E392" s="1" t="s">
        <v>296</v>
      </c>
      <c r="F392" s="1" t="s">
        <v>594</v>
      </c>
      <c r="G392">
        <v>4</v>
      </c>
      <c r="H392">
        <v>17</v>
      </c>
      <c r="I392" s="1" t="s">
        <v>49</v>
      </c>
      <c r="J392" s="1" t="s">
        <v>29</v>
      </c>
      <c r="K392" s="1" t="s">
        <v>30</v>
      </c>
      <c r="L392">
        <v>64</v>
      </c>
      <c r="M392" s="1" t="s">
        <v>32</v>
      </c>
    </row>
    <row r="393" spans="1:13" x14ac:dyDescent="0.2">
      <c r="A393" s="1" t="s">
        <v>601</v>
      </c>
      <c r="B393">
        <v>392</v>
      </c>
      <c r="C393" s="1" t="s">
        <v>28</v>
      </c>
      <c r="D393" s="1" t="s">
        <v>112</v>
      </c>
      <c r="E393" s="1" t="s">
        <v>296</v>
      </c>
      <c r="F393" s="1" t="s">
        <v>594</v>
      </c>
      <c r="G393">
        <v>4</v>
      </c>
      <c r="H393">
        <v>17</v>
      </c>
      <c r="I393" s="1" t="s">
        <v>49</v>
      </c>
      <c r="J393" s="1" t="s">
        <v>34</v>
      </c>
      <c r="K393" s="1" t="s">
        <v>35</v>
      </c>
      <c r="L393">
        <v>50</v>
      </c>
      <c r="M393" s="1" t="s">
        <v>32</v>
      </c>
    </row>
    <row r="394" spans="1:13" x14ac:dyDescent="0.2">
      <c r="A394" s="1" t="s">
        <v>602</v>
      </c>
      <c r="B394">
        <v>393</v>
      </c>
      <c r="C394" s="1" t="s">
        <v>28</v>
      </c>
      <c r="D394" s="1" t="s">
        <v>112</v>
      </c>
      <c r="E394" s="1" t="s">
        <v>296</v>
      </c>
      <c r="F394" s="1" t="s">
        <v>594</v>
      </c>
      <c r="G394">
        <v>4</v>
      </c>
      <c r="H394">
        <v>17</v>
      </c>
      <c r="I394" s="1" t="s">
        <v>49</v>
      </c>
      <c r="J394" s="1" t="s">
        <v>37</v>
      </c>
      <c r="K394" s="1" t="s">
        <v>38</v>
      </c>
      <c r="L394">
        <v>60</v>
      </c>
      <c r="M394" s="1" t="s">
        <v>32</v>
      </c>
    </row>
    <row r="395" spans="1:13" x14ac:dyDescent="0.2">
      <c r="A395" s="1" t="s">
        <v>603</v>
      </c>
      <c r="B395">
        <v>394</v>
      </c>
      <c r="C395" s="1" t="s">
        <v>28</v>
      </c>
      <c r="D395" s="1" t="s">
        <v>112</v>
      </c>
      <c r="E395" s="1" t="s">
        <v>296</v>
      </c>
      <c r="F395" s="1" t="s">
        <v>594</v>
      </c>
      <c r="G395">
        <v>4</v>
      </c>
      <c r="H395">
        <v>17</v>
      </c>
      <c r="I395" s="1" t="s">
        <v>49</v>
      </c>
      <c r="J395" s="1" t="s">
        <v>40</v>
      </c>
      <c r="K395" s="1" t="s">
        <v>41</v>
      </c>
      <c r="L395">
        <v>40</v>
      </c>
      <c r="M395" s="1" t="s">
        <v>32</v>
      </c>
    </row>
    <row r="396" spans="1:13" x14ac:dyDescent="0.2">
      <c r="A396" s="1" t="s">
        <v>604</v>
      </c>
      <c r="B396">
        <v>395</v>
      </c>
      <c r="C396" s="1" t="s">
        <v>28</v>
      </c>
      <c r="D396" s="1" t="s">
        <v>112</v>
      </c>
      <c r="E396" s="1" t="s">
        <v>296</v>
      </c>
      <c r="F396" s="1" t="s">
        <v>594</v>
      </c>
      <c r="G396">
        <v>4</v>
      </c>
      <c r="H396">
        <v>17</v>
      </c>
      <c r="I396" s="1" t="s">
        <v>49</v>
      </c>
      <c r="J396" s="1" t="s">
        <v>43</v>
      </c>
      <c r="K396" s="1" t="s">
        <v>44</v>
      </c>
      <c r="L396">
        <v>29</v>
      </c>
      <c r="M396" s="1" t="s">
        <v>32</v>
      </c>
    </row>
    <row r="397" spans="1:13" x14ac:dyDescent="0.2">
      <c r="A397" s="1" t="s">
        <v>605</v>
      </c>
      <c r="B397">
        <v>396</v>
      </c>
      <c r="C397" s="1" t="s">
        <v>28</v>
      </c>
      <c r="D397" s="1" t="s">
        <v>112</v>
      </c>
      <c r="E397" s="1" t="s">
        <v>296</v>
      </c>
      <c r="F397" s="1" t="s">
        <v>594</v>
      </c>
      <c r="G397">
        <v>4</v>
      </c>
      <c r="H397">
        <v>17</v>
      </c>
      <c r="I397" s="1" t="s">
        <v>49</v>
      </c>
      <c r="J397" s="1" t="s">
        <v>46</v>
      </c>
      <c r="K397" s="1" t="s">
        <v>47</v>
      </c>
      <c r="L397">
        <v>0</v>
      </c>
      <c r="M397" s="1" t="s">
        <v>32</v>
      </c>
    </row>
    <row r="398" spans="1:13" x14ac:dyDescent="0.2">
      <c r="A398" s="1" t="s">
        <v>606</v>
      </c>
      <c r="B398">
        <v>397</v>
      </c>
      <c r="C398" s="1" t="s">
        <v>28</v>
      </c>
      <c r="D398" s="1" t="s">
        <v>112</v>
      </c>
      <c r="E398" s="1" t="s">
        <v>296</v>
      </c>
      <c r="F398" s="1" t="s">
        <v>594</v>
      </c>
      <c r="G398">
        <v>4</v>
      </c>
      <c r="H398">
        <v>17</v>
      </c>
      <c r="I398" s="1" t="s">
        <v>56</v>
      </c>
      <c r="J398" s="1" t="s">
        <v>29</v>
      </c>
      <c r="K398" s="1" t="s">
        <v>30</v>
      </c>
      <c r="L398">
        <v>100</v>
      </c>
      <c r="M398" s="1" t="s">
        <v>32</v>
      </c>
    </row>
    <row r="399" spans="1:13" x14ac:dyDescent="0.2">
      <c r="A399" s="1" t="s">
        <v>607</v>
      </c>
      <c r="B399">
        <v>398</v>
      </c>
      <c r="C399" s="1" t="s">
        <v>28</v>
      </c>
      <c r="D399" s="1" t="s">
        <v>112</v>
      </c>
      <c r="E399" s="1" t="s">
        <v>296</v>
      </c>
      <c r="F399" s="1" t="s">
        <v>594</v>
      </c>
      <c r="G399">
        <v>4</v>
      </c>
      <c r="H399">
        <v>17</v>
      </c>
      <c r="I399" s="1" t="s">
        <v>56</v>
      </c>
      <c r="J399" s="1" t="s">
        <v>34</v>
      </c>
      <c r="K399" s="1" t="s">
        <v>35</v>
      </c>
      <c r="L399">
        <v>21</v>
      </c>
      <c r="M399" s="1" t="s">
        <v>32</v>
      </c>
    </row>
    <row r="400" spans="1:13" x14ac:dyDescent="0.2">
      <c r="A400" s="1" t="s">
        <v>608</v>
      </c>
      <c r="B400">
        <v>399</v>
      </c>
      <c r="C400" s="1" t="s">
        <v>28</v>
      </c>
      <c r="D400" s="1" t="s">
        <v>112</v>
      </c>
      <c r="E400" s="1" t="s">
        <v>296</v>
      </c>
      <c r="F400" s="1" t="s">
        <v>594</v>
      </c>
      <c r="G400">
        <v>4</v>
      </c>
      <c r="H400">
        <v>17</v>
      </c>
      <c r="I400" s="1" t="s">
        <v>56</v>
      </c>
      <c r="J400" s="1" t="s">
        <v>37</v>
      </c>
      <c r="K400" s="1" t="s">
        <v>38</v>
      </c>
      <c r="L400">
        <v>102</v>
      </c>
      <c r="M400" s="1" t="s">
        <v>32</v>
      </c>
    </row>
    <row r="401" spans="1:13" x14ac:dyDescent="0.2">
      <c r="A401" s="1" t="s">
        <v>609</v>
      </c>
      <c r="B401">
        <v>400</v>
      </c>
      <c r="C401" s="1" t="s">
        <v>28</v>
      </c>
      <c r="D401" s="1" t="s">
        <v>112</v>
      </c>
      <c r="E401" s="1" t="s">
        <v>296</v>
      </c>
      <c r="F401" s="1" t="s">
        <v>594</v>
      </c>
      <c r="G401">
        <v>4</v>
      </c>
      <c r="H401">
        <v>17</v>
      </c>
      <c r="I401" s="1" t="s">
        <v>56</v>
      </c>
      <c r="J401" s="1" t="s">
        <v>40</v>
      </c>
      <c r="K401" s="1" t="s">
        <v>41</v>
      </c>
      <c r="L401">
        <v>40</v>
      </c>
      <c r="M401" s="1" t="s">
        <v>32</v>
      </c>
    </row>
    <row r="402" spans="1:13" x14ac:dyDescent="0.2">
      <c r="A402" s="1" t="s">
        <v>610</v>
      </c>
      <c r="B402">
        <v>401</v>
      </c>
      <c r="C402" s="1" t="s">
        <v>28</v>
      </c>
      <c r="D402" s="1" t="s">
        <v>112</v>
      </c>
      <c r="E402" s="1" t="s">
        <v>296</v>
      </c>
      <c r="F402" s="1" t="s">
        <v>594</v>
      </c>
      <c r="G402">
        <v>4</v>
      </c>
      <c r="H402">
        <v>17</v>
      </c>
      <c r="I402" s="1" t="s">
        <v>56</v>
      </c>
      <c r="J402" s="1" t="s">
        <v>43</v>
      </c>
      <c r="K402" s="1" t="s">
        <v>44</v>
      </c>
      <c r="L402">
        <v>70</v>
      </c>
      <c r="M402" s="1" t="s">
        <v>32</v>
      </c>
    </row>
    <row r="403" spans="1:13" x14ac:dyDescent="0.2">
      <c r="A403" s="1" t="s">
        <v>611</v>
      </c>
      <c r="B403">
        <v>402</v>
      </c>
      <c r="C403" s="1" t="s">
        <v>28</v>
      </c>
      <c r="D403" s="1" t="s">
        <v>112</v>
      </c>
      <c r="E403" s="1" t="s">
        <v>296</v>
      </c>
      <c r="F403" s="1" t="s">
        <v>594</v>
      </c>
      <c r="G403">
        <v>4</v>
      </c>
      <c r="H403">
        <v>17</v>
      </c>
      <c r="I403" s="1" t="s">
        <v>56</v>
      </c>
      <c r="J403" s="1" t="s">
        <v>46</v>
      </c>
      <c r="K403" s="1" t="s">
        <v>47</v>
      </c>
      <c r="L403">
        <v>5</v>
      </c>
      <c r="M403" s="1" t="s">
        <v>32</v>
      </c>
    </row>
    <row r="404" spans="1:13" x14ac:dyDescent="0.2">
      <c r="A404" s="1" t="s">
        <v>612</v>
      </c>
      <c r="B404">
        <v>403</v>
      </c>
      <c r="C404" s="1" t="s">
        <v>28</v>
      </c>
      <c r="D404" s="1" t="s">
        <v>112</v>
      </c>
      <c r="E404" s="1" t="s">
        <v>296</v>
      </c>
      <c r="F404" s="1" t="s">
        <v>594</v>
      </c>
      <c r="G404">
        <v>4</v>
      </c>
      <c r="H404">
        <v>17</v>
      </c>
      <c r="I404" s="1" t="s">
        <v>63</v>
      </c>
      <c r="J404" s="1" t="s">
        <v>29</v>
      </c>
      <c r="K404" s="1" t="s">
        <v>30</v>
      </c>
      <c r="L404">
        <v>50</v>
      </c>
      <c r="M404" s="1" t="s">
        <v>32</v>
      </c>
    </row>
    <row r="405" spans="1:13" x14ac:dyDescent="0.2">
      <c r="A405" s="1" t="s">
        <v>613</v>
      </c>
      <c r="B405">
        <v>404</v>
      </c>
      <c r="C405" s="1" t="s">
        <v>28</v>
      </c>
      <c r="D405" s="1" t="s">
        <v>112</v>
      </c>
      <c r="E405" s="1" t="s">
        <v>296</v>
      </c>
      <c r="F405" s="1" t="s">
        <v>594</v>
      </c>
      <c r="G405">
        <v>4</v>
      </c>
      <c r="H405">
        <v>17</v>
      </c>
      <c r="I405" s="1" t="s">
        <v>63</v>
      </c>
      <c r="J405" s="1" t="s">
        <v>34</v>
      </c>
      <c r="K405" s="1" t="s">
        <v>35</v>
      </c>
      <c r="L405">
        <v>40</v>
      </c>
      <c r="M405" s="1" t="s">
        <v>32</v>
      </c>
    </row>
    <row r="406" spans="1:13" x14ac:dyDescent="0.2">
      <c r="A406" s="1" t="s">
        <v>614</v>
      </c>
      <c r="B406">
        <v>405</v>
      </c>
      <c r="C406" s="1" t="s">
        <v>28</v>
      </c>
      <c r="D406" s="1" t="s">
        <v>112</v>
      </c>
      <c r="E406" s="1" t="s">
        <v>296</v>
      </c>
      <c r="F406" s="1" t="s">
        <v>594</v>
      </c>
      <c r="G406">
        <v>4</v>
      </c>
      <c r="H406">
        <v>17</v>
      </c>
      <c r="I406" s="1" t="s">
        <v>63</v>
      </c>
      <c r="J406" s="1" t="s">
        <v>37</v>
      </c>
      <c r="K406" s="1" t="s">
        <v>38</v>
      </c>
      <c r="L406">
        <v>85</v>
      </c>
      <c r="M406" s="1" t="s">
        <v>32</v>
      </c>
    </row>
    <row r="407" spans="1:13" x14ac:dyDescent="0.2">
      <c r="A407" s="1" t="s">
        <v>615</v>
      </c>
      <c r="B407">
        <v>406</v>
      </c>
      <c r="C407" s="1" t="s">
        <v>28</v>
      </c>
      <c r="D407" s="1" t="s">
        <v>112</v>
      </c>
      <c r="E407" s="1" t="s">
        <v>296</v>
      </c>
      <c r="F407" s="1" t="s">
        <v>594</v>
      </c>
      <c r="G407">
        <v>4</v>
      </c>
      <c r="H407">
        <v>17</v>
      </c>
      <c r="I407" s="1" t="s">
        <v>63</v>
      </c>
      <c r="J407" s="1" t="s">
        <v>40</v>
      </c>
      <c r="K407" s="1" t="s">
        <v>41</v>
      </c>
      <c r="L407">
        <v>100</v>
      </c>
      <c r="M407" s="1" t="s">
        <v>32</v>
      </c>
    </row>
    <row r="408" spans="1:13" x14ac:dyDescent="0.2">
      <c r="A408" s="1" t="s">
        <v>616</v>
      </c>
      <c r="B408">
        <v>407</v>
      </c>
      <c r="C408" s="1" t="s">
        <v>28</v>
      </c>
      <c r="D408" s="1" t="s">
        <v>112</v>
      </c>
      <c r="E408" s="1" t="s">
        <v>296</v>
      </c>
      <c r="F408" s="1" t="s">
        <v>594</v>
      </c>
      <c r="G408">
        <v>4</v>
      </c>
      <c r="H408">
        <v>17</v>
      </c>
      <c r="I408" s="1" t="s">
        <v>63</v>
      </c>
      <c r="J408" s="1" t="s">
        <v>43</v>
      </c>
      <c r="K408" s="1" t="s">
        <v>44</v>
      </c>
      <c r="L408">
        <v>40</v>
      </c>
      <c r="M408" s="1" t="s">
        <v>32</v>
      </c>
    </row>
    <row r="409" spans="1:13" x14ac:dyDescent="0.2">
      <c r="A409" s="1" t="s">
        <v>617</v>
      </c>
      <c r="B409">
        <v>408</v>
      </c>
      <c r="C409" s="1" t="s">
        <v>28</v>
      </c>
      <c r="D409" s="1" t="s">
        <v>112</v>
      </c>
      <c r="E409" s="1" t="s">
        <v>296</v>
      </c>
      <c r="F409" s="1" t="s">
        <v>594</v>
      </c>
      <c r="G409">
        <v>4</v>
      </c>
      <c r="H409">
        <v>17</v>
      </c>
      <c r="I409" s="1" t="s">
        <v>63</v>
      </c>
      <c r="J409" s="1" t="s">
        <v>46</v>
      </c>
      <c r="K409" s="1" t="s">
        <v>47</v>
      </c>
      <c r="L409">
        <v>40</v>
      </c>
      <c r="M409" s="1" t="s">
        <v>32</v>
      </c>
    </row>
    <row r="410" spans="1:13" x14ac:dyDescent="0.2">
      <c r="A410" s="1" t="s">
        <v>620</v>
      </c>
      <c r="B410">
        <v>409</v>
      </c>
      <c r="C410" s="1" t="s">
        <v>28</v>
      </c>
      <c r="D410" s="1" t="s">
        <v>112</v>
      </c>
      <c r="E410" s="1" t="s">
        <v>326</v>
      </c>
      <c r="F410" s="1" t="s">
        <v>621</v>
      </c>
      <c r="G410">
        <v>4</v>
      </c>
      <c r="H410">
        <v>18</v>
      </c>
      <c r="I410" s="1" t="s">
        <v>31</v>
      </c>
      <c r="J410" s="1" t="s">
        <v>29</v>
      </c>
      <c r="K410" s="1" t="s">
        <v>30</v>
      </c>
      <c r="L410">
        <v>572</v>
      </c>
      <c r="M410" s="1" t="s">
        <v>32</v>
      </c>
    </row>
    <row r="411" spans="1:13" x14ac:dyDescent="0.2">
      <c r="A411" s="1" t="s">
        <v>622</v>
      </c>
      <c r="B411">
        <v>410</v>
      </c>
      <c r="C411" s="1" t="s">
        <v>28</v>
      </c>
      <c r="D411" s="1" t="s">
        <v>112</v>
      </c>
      <c r="E411" s="1" t="s">
        <v>326</v>
      </c>
      <c r="F411" s="1" t="s">
        <v>621</v>
      </c>
      <c r="G411">
        <v>4</v>
      </c>
      <c r="H411">
        <v>18</v>
      </c>
      <c r="I411" s="1" t="s">
        <v>31</v>
      </c>
      <c r="J411" s="1" t="s">
        <v>34</v>
      </c>
      <c r="K411" s="1" t="s">
        <v>35</v>
      </c>
      <c r="L411">
        <v>304</v>
      </c>
      <c r="M411" s="1" t="s">
        <v>32</v>
      </c>
    </row>
    <row r="412" spans="1:13" x14ac:dyDescent="0.2">
      <c r="A412" s="1" t="s">
        <v>623</v>
      </c>
      <c r="B412">
        <v>411</v>
      </c>
      <c r="C412" s="1" t="s">
        <v>28</v>
      </c>
      <c r="D412" s="1" t="s">
        <v>112</v>
      </c>
      <c r="E412" s="1" t="s">
        <v>326</v>
      </c>
      <c r="F412" s="1" t="s">
        <v>621</v>
      </c>
      <c r="G412">
        <v>4</v>
      </c>
      <c r="H412">
        <v>18</v>
      </c>
      <c r="I412" s="1" t="s">
        <v>31</v>
      </c>
      <c r="J412" s="1" t="s">
        <v>37</v>
      </c>
      <c r="K412" s="1" t="s">
        <v>38</v>
      </c>
      <c r="L412">
        <v>448</v>
      </c>
      <c r="M412" s="1" t="s">
        <v>32</v>
      </c>
    </row>
    <row r="413" spans="1:13" x14ac:dyDescent="0.2">
      <c r="A413" s="1" t="s">
        <v>624</v>
      </c>
      <c r="B413">
        <v>412</v>
      </c>
      <c r="C413" s="1" t="s">
        <v>28</v>
      </c>
      <c r="D413" s="1" t="s">
        <v>112</v>
      </c>
      <c r="E413" s="1" t="s">
        <v>326</v>
      </c>
      <c r="F413" s="1" t="s">
        <v>621</v>
      </c>
      <c r="G413">
        <v>4</v>
      </c>
      <c r="H413">
        <v>18</v>
      </c>
      <c r="I413" s="1" t="s">
        <v>31</v>
      </c>
      <c r="J413" s="1" t="s">
        <v>40</v>
      </c>
      <c r="K413" s="1" t="s">
        <v>41</v>
      </c>
      <c r="L413">
        <v>119</v>
      </c>
      <c r="M413" s="1" t="s">
        <v>32</v>
      </c>
    </row>
    <row r="414" spans="1:13" x14ac:dyDescent="0.2">
      <c r="A414" s="1" t="s">
        <v>625</v>
      </c>
      <c r="B414">
        <v>413</v>
      </c>
      <c r="C414" s="1" t="s">
        <v>28</v>
      </c>
      <c r="D414" s="1" t="s">
        <v>112</v>
      </c>
      <c r="E414" s="1" t="s">
        <v>326</v>
      </c>
      <c r="F414" s="1" t="s">
        <v>621</v>
      </c>
      <c r="G414">
        <v>4</v>
      </c>
      <c r="H414">
        <v>18</v>
      </c>
      <c r="I414" s="1" t="s">
        <v>31</v>
      </c>
      <c r="J414" s="1" t="s">
        <v>43</v>
      </c>
      <c r="K414" s="1" t="s">
        <v>44</v>
      </c>
      <c r="L414">
        <v>261</v>
      </c>
      <c r="M414" s="1" t="s">
        <v>32</v>
      </c>
    </row>
    <row r="415" spans="1:13" x14ac:dyDescent="0.2">
      <c r="A415" s="1" t="s">
        <v>626</v>
      </c>
      <c r="B415">
        <v>414</v>
      </c>
      <c r="C415" s="1" t="s">
        <v>28</v>
      </c>
      <c r="D415" s="1" t="s">
        <v>112</v>
      </c>
      <c r="E415" s="1" t="s">
        <v>326</v>
      </c>
      <c r="F415" s="1" t="s">
        <v>621</v>
      </c>
      <c r="G415">
        <v>4</v>
      </c>
      <c r="H415">
        <v>18</v>
      </c>
      <c r="I415" s="1" t="s">
        <v>31</v>
      </c>
      <c r="J415" s="1" t="s">
        <v>46</v>
      </c>
      <c r="K415" s="1" t="s">
        <v>47</v>
      </c>
      <c r="L415">
        <v>142</v>
      </c>
      <c r="M415" s="1" t="s">
        <v>32</v>
      </c>
    </row>
    <row r="416" spans="1:13" x14ac:dyDescent="0.2">
      <c r="A416" s="1" t="s">
        <v>627</v>
      </c>
      <c r="B416">
        <v>415</v>
      </c>
      <c r="C416" s="1" t="s">
        <v>28</v>
      </c>
      <c r="D416" s="1" t="s">
        <v>112</v>
      </c>
      <c r="E416" s="1" t="s">
        <v>326</v>
      </c>
      <c r="F416" s="1" t="s">
        <v>621</v>
      </c>
      <c r="G416">
        <v>4</v>
      </c>
      <c r="H416">
        <v>18</v>
      </c>
      <c r="I416" s="1" t="s">
        <v>49</v>
      </c>
      <c r="J416" s="1" t="s">
        <v>29</v>
      </c>
      <c r="K416" s="1" t="s">
        <v>30</v>
      </c>
      <c r="L416">
        <v>220</v>
      </c>
      <c r="M416" s="1" t="s">
        <v>32</v>
      </c>
    </row>
    <row r="417" spans="1:13" x14ac:dyDescent="0.2">
      <c r="A417" s="1" t="s">
        <v>628</v>
      </c>
      <c r="B417">
        <v>416</v>
      </c>
      <c r="C417" s="1" t="s">
        <v>28</v>
      </c>
      <c r="D417" s="1" t="s">
        <v>112</v>
      </c>
      <c r="E417" s="1" t="s">
        <v>326</v>
      </c>
      <c r="F417" s="1" t="s">
        <v>621</v>
      </c>
      <c r="G417">
        <v>4</v>
      </c>
      <c r="H417">
        <v>18</v>
      </c>
      <c r="I417" s="1" t="s">
        <v>49</v>
      </c>
      <c r="J417" s="1" t="s">
        <v>34</v>
      </c>
      <c r="K417" s="1" t="s">
        <v>35</v>
      </c>
      <c r="L417">
        <v>50</v>
      </c>
      <c r="M417" s="1" t="s">
        <v>32</v>
      </c>
    </row>
    <row r="418" spans="1:13" x14ac:dyDescent="0.2">
      <c r="A418" s="1" t="s">
        <v>629</v>
      </c>
      <c r="B418">
        <v>417</v>
      </c>
      <c r="C418" s="1" t="s">
        <v>28</v>
      </c>
      <c r="D418" s="1" t="s">
        <v>112</v>
      </c>
      <c r="E418" s="1" t="s">
        <v>326</v>
      </c>
      <c r="F418" s="1" t="s">
        <v>621</v>
      </c>
      <c r="G418">
        <v>4</v>
      </c>
      <c r="H418">
        <v>18</v>
      </c>
      <c r="I418" s="1" t="s">
        <v>49</v>
      </c>
      <c r="J418" s="1" t="s">
        <v>37</v>
      </c>
      <c r="K418" s="1" t="s">
        <v>38</v>
      </c>
      <c r="L418">
        <v>120</v>
      </c>
      <c r="M418" s="1" t="s">
        <v>32</v>
      </c>
    </row>
    <row r="419" spans="1:13" x14ac:dyDescent="0.2">
      <c r="A419" s="1" t="s">
        <v>630</v>
      </c>
      <c r="B419">
        <v>418</v>
      </c>
      <c r="C419" s="1" t="s">
        <v>28</v>
      </c>
      <c r="D419" s="1" t="s">
        <v>112</v>
      </c>
      <c r="E419" s="1" t="s">
        <v>326</v>
      </c>
      <c r="F419" s="1" t="s">
        <v>621</v>
      </c>
      <c r="G419">
        <v>4</v>
      </c>
      <c r="H419">
        <v>18</v>
      </c>
      <c r="I419" s="1" t="s">
        <v>49</v>
      </c>
      <c r="J419" s="1" t="s">
        <v>40</v>
      </c>
      <c r="K419" s="1" t="s">
        <v>41</v>
      </c>
      <c r="L419">
        <v>40</v>
      </c>
      <c r="M419" s="1" t="s">
        <v>32</v>
      </c>
    </row>
    <row r="420" spans="1:13" x14ac:dyDescent="0.2">
      <c r="A420" s="1" t="s">
        <v>631</v>
      </c>
      <c r="B420">
        <v>419</v>
      </c>
      <c r="C420" s="1" t="s">
        <v>28</v>
      </c>
      <c r="D420" s="1" t="s">
        <v>112</v>
      </c>
      <c r="E420" s="1" t="s">
        <v>326</v>
      </c>
      <c r="F420" s="1" t="s">
        <v>621</v>
      </c>
      <c r="G420">
        <v>4</v>
      </c>
      <c r="H420">
        <v>18</v>
      </c>
      <c r="I420" s="1" t="s">
        <v>49</v>
      </c>
      <c r="J420" s="1" t="s">
        <v>43</v>
      </c>
      <c r="K420" s="1" t="s">
        <v>44</v>
      </c>
      <c r="L420">
        <v>60</v>
      </c>
      <c r="M420" s="1" t="s">
        <v>32</v>
      </c>
    </row>
    <row r="421" spans="1:13" x14ac:dyDescent="0.2">
      <c r="A421" s="1" t="s">
        <v>632</v>
      </c>
      <c r="B421">
        <v>420</v>
      </c>
      <c r="C421" s="1" t="s">
        <v>28</v>
      </c>
      <c r="D421" s="1" t="s">
        <v>112</v>
      </c>
      <c r="E421" s="1" t="s">
        <v>326</v>
      </c>
      <c r="F421" s="1" t="s">
        <v>621</v>
      </c>
      <c r="G421">
        <v>4</v>
      </c>
      <c r="H421">
        <v>18</v>
      </c>
      <c r="I421" s="1" t="s">
        <v>49</v>
      </c>
      <c r="J421" s="1" t="s">
        <v>46</v>
      </c>
      <c r="K421" s="1" t="s">
        <v>47</v>
      </c>
      <c r="L421">
        <v>60</v>
      </c>
      <c r="M421" s="1" t="s">
        <v>32</v>
      </c>
    </row>
    <row r="422" spans="1:13" x14ac:dyDescent="0.2">
      <c r="A422" s="1" t="s">
        <v>633</v>
      </c>
      <c r="B422">
        <v>421</v>
      </c>
      <c r="C422" s="1" t="s">
        <v>28</v>
      </c>
      <c r="D422" s="1" t="s">
        <v>112</v>
      </c>
      <c r="E422" s="1" t="s">
        <v>326</v>
      </c>
      <c r="F422" s="1" t="s">
        <v>621</v>
      </c>
      <c r="G422">
        <v>4</v>
      </c>
      <c r="H422">
        <v>18</v>
      </c>
      <c r="I422" s="1" t="s">
        <v>56</v>
      </c>
      <c r="J422" s="1" t="s">
        <v>29</v>
      </c>
      <c r="K422" s="1" t="s">
        <v>30</v>
      </c>
      <c r="L422">
        <v>100</v>
      </c>
      <c r="M422" s="1" t="s">
        <v>32</v>
      </c>
    </row>
    <row r="423" spans="1:13" x14ac:dyDescent="0.2">
      <c r="A423" s="1" t="s">
        <v>634</v>
      </c>
      <c r="B423">
        <v>422</v>
      </c>
      <c r="C423" s="1" t="s">
        <v>28</v>
      </c>
      <c r="D423" s="1" t="s">
        <v>112</v>
      </c>
      <c r="E423" s="1" t="s">
        <v>326</v>
      </c>
      <c r="F423" s="1" t="s">
        <v>621</v>
      </c>
      <c r="G423">
        <v>4</v>
      </c>
      <c r="H423">
        <v>18</v>
      </c>
      <c r="I423" s="1" t="s">
        <v>56</v>
      </c>
      <c r="J423" s="1" t="s">
        <v>34</v>
      </c>
      <c r="K423" s="1" t="s">
        <v>35</v>
      </c>
      <c r="L423">
        <v>40</v>
      </c>
      <c r="M423" s="1" t="s">
        <v>32</v>
      </c>
    </row>
    <row r="424" spans="1:13" x14ac:dyDescent="0.2">
      <c r="A424" s="1" t="s">
        <v>635</v>
      </c>
      <c r="B424">
        <v>423</v>
      </c>
      <c r="C424" s="1" t="s">
        <v>28</v>
      </c>
      <c r="D424" s="1" t="s">
        <v>112</v>
      </c>
      <c r="E424" s="1" t="s">
        <v>326</v>
      </c>
      <c r="F424" s="1" t="s">
        <v>621</v>
      </c>
      <c r="G424">
        <v>4</v>
      </c>
      <c r="H424">
        <v>18</v>
      </c>
      <c r="I424" s="1" t="s">
        <v>56</v>
      </c>
      <c r="J424" s="1" t="s">
        <v>37</v>
      </c>
      <c r="K424" s="1" t="s">
        <v>38</v>
      </c>
      <c r="L424">
        <v>82</v>
      </c>
      <c r="M424" s="1" t="s">
        <v>32</v>
      </c>
    </row>
    <row r="425" spans="1:13" x14ac:dyDescent="0.2">
      <c r="A425" s="1" t="s">
        <v>636</v>
      </c>
      <c r="B425">
        <v>424</v>
      </c>
      <c r="C425" s="1" t="s">
        <v>28</v>
      </c>
      <c r="D425" s="1" t="s">
        <v>112</v>
      </c>
      <c r="E425" s="1" t="s">
        <v>326</v>
      </c>
      <c r="F425" s="1" t="s">
        <v>621</v>
      </c>
      <c r="G425">
        <v>4</v>
      </c>
      <c r="H425">
        <v>18</v>
      </c>
      <c r="I425" s="1" t="s">
        <v>56</v>
      </c>
      <c r="J425" s="1" t="s">
        <v>40</v>
      </c>
      <c r="K425" s="1" t="s">
        <v>41</v>
      </c>
      <c r="L425">
        <v>40</v>
      </c>
      <c r="M425" s="1" t="s">
        <v>32</v>
      </c>
    </row>
    <row r="426" spans="1:13" x14ac:dyDescent="0.2">
      <c r="A426" s="1" t="s">
        <v>637</v>
      </c>
      <c r="B426">
        <v>425</v>
      </c>
      <c r="C426" s="1" t="s">
        <v>28</v>
      </c>
      <c r="D426" s="1" t="s">
        <v>112</v>
      </c>
      <c r="E426" s="1" t="s">
        <v>326</v>
      </c>
      <c r="F426" s="1" t="s">
        <v>621</v>
      </c>
      <c r="G426">
        <v>4</v>
      </c>
      <c r="H426">
        <v>18</v>
      </c>
      <c r="I426" s="1" t="s">
        <v>56</v>
      </c>
      <c r="J426" s="1" t="s">
        <v>43</v>
      </c>
      <c r="K426" s="1" t="s">
        <v>44</v>
      </c>
      <c r="L426">
        <v>42</v>
      </c>
      <c r="M426" s="1" t="s">
        <v>32</v>
      </c>
    </row>
    <row r="427" spans="1:13" x14ac:dyDescent="0.2">
      <c r="A427" s="1" t="s">
        <v>638</v>
      </c>
      <c r="B427">
        <v>426</v>
      </c>
      <c r="C427" s="1" t="s">
        <v>28</v>
      </c>
      <c r="D427" s="1" t="s">
        <v>112</v>
      </c>
      <c r="E427" s="1" t="s">
        <v>326</v>
      </c>
      <c r="F427" s="1" t="s">
        <v>621</v>
      </c>
      <c r="G427">
        <v>4</v>
      </c>
      <c r="H427">
        <v>18</v>
      </c>
      <c r="I427" s="1" t="s">
        <v>56</v>
      </c>
      <c r="J427" s="1" t="s">
        <v>46</v>
      </c>
      <c r="K427" s="1" t="s">
        <v>47</v>
      </c>
      <c r="L427">
        <v>40</v>
      </c>
      <c r="M427" s="1" t="s">
        <v>32</v>
      </c>
    </row>
    <row r="428" spans="1:13" x14ac:dyDescent="0.2">
      <c r="A428" s="1" t="s">
        <v>639</v>
      </c>
      <c r="B428">
        <v>427</v>
      </c>
      <c r="C428" s="1" t="s">
        <v>28</v>
      </c>
      <c r="D428" s="1" t="s">
        <v>112</v>
      </c>
      <c r="E428" s="1" t="s">
        <v>326</v>
      </c>
      <c r="F428" s="1" t="s">
        <v>621</v>
      </c>
      <c r="G428">
        <v>4</v>
      </c>
      <c r="H428">
        <v>18</v>
      </c>
      <c r="I428" s="1" t="s">
        <v>63</v>
      </c>
      <c r="J428" s="1" t="s">
        <v>29</v>
      </c>
      <c r="K428" s="1" t="s">
        <v>30</v>
      </c>
      <c r="L428">
        <v>50</v>
      </c>
      <c r="M428" s="1" t="s">
        <v>32</v>
      </c>
    </row>
    <row r="429" spans="1:13" x14ac:dyDescent="0.2">
      <c r="A429" s="1" t="s">
        <v>640</v>
      </c>
      <c r="B429">
        <v>428</v>
      </c>
      <c r="C429" s="1" t="s">
        <v>28</v>
      </c>
      <c r="D429" s="1" t="s">
        <v>112</v>
      </c>
      <c r="E429" s="1" t="s">
        <v>326</v>
      </c>
      <c r="F429" s="1" t="s">
        <v>621</v>
      </c>
      <c r="G429">
        <v>4</v>
      </c>
      <c r="H429">
        <v>18</v>
      </c>
      <c r="I429" s="1" t="s">
        <v>63</v>
      </c>
      <c r="J429" s="1" t="s">
        <v>34</v>
      </c>
      <c r="K429" s="1" t="s">
        <v>35</v>
      </c>
      <c r="L429">
        <v>40</v>
      </c>
      <c r="M429" s="1" t="s">
        <v>32</v>
      </c>
    </row>
    <row r="430" spans="1:13" x14ac:dyDescent="0.2">
      <c r="A430" s="1" t="s">
        <v>641</v>
      </c>
      <c r="B430">
        <v>429</v>
      </c>
      <c r="C430" s="1" t="s">
        <v>28</v>
      </c>
      <c r="D430" s="1" t="s">
        <v>112</v>
      </c>
      <c r="E430" s="1" t="s">
        <v>326</v>
      </c>
      <c r="F430" s="1" t="s">
        <v>621</v>
      </c>
      <c r="G430">
        <v>4</v>
      </c>
      <c r="H430">
        <v>18</v>
      </c>
      <c r="I430" s="1" t="s">
        <v>63</v>
      </c>
      <c r="J430" s="1" t="s">
        <v>37</v>
      </c>
      <c r="K430" s="1" t="s">
        <v>38</v>
      </c>
      <c r="L430">
        <v>85</v>
      </c>
      <c r="M430" s="1" t="s">
        <v>32</v>
      </c>
    </row>
    <row r="431" spans="1:13" x14ac:dyDescent="0.2">
      <c r="A431" s="1" t="s">
        <v>642</v>
      </c>
      <c r="B431">
        <v>430</v>
      </c>
      <c r="C431" s="1" t="s">
        <v>28</v>
      </c>
      <c r="D431" s="1" t="s">
        <v>112</v>
      </c>
      <c r="E431" s="1" t="s">
        <v>326</v>
      </c>
      <c r="F431" s="1" t="s">
        <v>621</v>
      </c>
      <c r="G431">
        <v>4</v>
      </c>
      <c r="H431">
        <v>18</v>
      </c>
      <c r="I431" s="1" t="s">
        <v>63</v>
      </c>
      <c r="J431" s="1" t="s">
        <v>40</v>
      </c>
      <c r="K431" s="1" t="s">
        <v>41</v>
      </c>
      <c r="L431">
        <v>77</v>
      </c>
      <c r="M431" s="1" t="s">
        <v>32</v>
      </c>
    </row>
    <row r="432" spans="1:13" x14ac:dyDescent="0.2">
      <c r="A432" s="1" t="s">
        <v>643</v>
      </c>
      <c r="B432">
        <v>431</v>
      </c>
      <c r="C432" s="1" t="s">
        <v>28</v>
      </c>
      <c r="D432" s="1" t="s">
        <v>112</v>
      </c>
      <c r="E432" s="1" t="s">
        <v>326</v>
      </c>
      <c r="F432" s="1" t="s">
        <v>621</v>
      </c>
      <c r="G432">
        <v>4</v>
      </c>
      <c r="H432">
        <v>18</v>
      </c>
      <c r="I432" s="1" t="s">
        <v>63</v>
      </c>
      <c r="J432" s="1" t="s">
        <v>43</v>
      </c>
      <c r="K432" s="1" t="s">
        <v>44</v>
      </c>
      <c r="L432">
        <v>40</v>
      </c>
      <c r="M432" s="1" t="s">
        <v>32</v>
      </c>
    </row>
    <row r="433" spans="1:13" x14ac:dyDescent="0.2">
      <c r="A433" s="1" t="s">
        <v>644</v>
      </c>
      <c r="B433">
        <v>432</v>
      </c>
      <c r="C433" s="1" t="s">
        <v>28</v>
      </c>
      <c r="D433" s="1" t="s">
        <v>112</v>
      </c>
      <c r="E433" s="1" t="s">
        <v>326</v>
      </c>
      <c r="F433" s="1" t="s">
        <v>621</v>
      </c>
      <c r="G433">
        <v>4</v>
      </c>
      <c r="H433">
        <v>18</v>
      </c>
      <c r="I433" s="1" t="s">
        <v>63</v>
      </c>
      <c r="J433" s="1" t="s">
        <v>46</v>
      </c>
      <c r="K433" s="1" t="s">
        <v>47</v>
      </c>
      <c r="L433">
        <v>7</v>
      </c>
      <c r="M433" s="1" t="s">
        <v>32</v>
      </c>
    </row>
    <row r="434" spans="1:13" x14ac:dyDescent="0.2">
      <c r="A434" s="1" t="s">
        <v>650</v>
      </c>
      <c r="B434">
        <v>433</v>
      </c>
      <c r="C434" s="1" t="s">
        <v>28</v>
      </c>
      <c r="D434" s="1" t="s">
        <v>112</v>
      </c>
      <c r="E434" s="1" t="s">
        <v>357</v>
      </c>
      <c r="F434" s="1" t="s">
        <v>651</v>
      </c>
      <c r="G434">
        <v>4</v>
      </c>
      <c r="H434">
        <v>19</v>
      </c>
      <c r="I434" s="1" t="s">
        <v>31</v>
      </c>
      <c r="J434" s="1" t="s">
        <v>29</v>
      </c>
      <c r="K434" s="1" t="s">
        <v>30</v>
      </c>
      <c r="L434">
        <v>572</v>
      </c>
      <c r="M434" s="1" t="s">
        <v>32</v>
      </c>
    </row>
    <row r="435" spans="1:13" x14ac:dyDescent="0.2">
      <c r="A435" s="1" t="s">
        <v>652</v>
      </c>
      <c r="B435">
        <v>434</v>
      </c>
      <c r="C435" s="1" t="s">
        <v>28</v>
      </c>
      <c r="D435" s="1" t="s">
        <v>112</v>
      </c>
      <c r="E435" s="1" t="s">
        <v>357</v>
      </c>
      <c r="F435" s="1" t="s">
        <v>651</v>
      </c>
      <c r="G435">
        <v>4</v>
      </c>
      <c r="H435">
        <v>19</v>
      </c>
      <c r="I435" s="1" t="s">
        <v>31</v>
      </c>
      <c r="J435" s="1" t="s">
        <v>34</v>
      </c>
      <c r="K435" s="1" t="s">
        <v>35</v>
      </c>
      <c r="L435">
        <v>304</v>
      </c>
      <c r="M435" s="1" t="s">
        <v>32</v>
      </c>
    </row>
    <row r="436" spans="1:13" x14ac:dyDescent="0.2">
      <c r="A436" s="1" t="s">
        <v>653</v>
      </c>
      <c r="B436">
        <v>435</v>
      </c>
      <c r="C436" s="1" t="s">
        <v>28</v>
      </c>
      <c r="D436" s="1" t="s">
        <v>112</v>
      </c>
      <c r="E436" s="1" t="s">
        <v>357</v>
      </c>
      <c r="F436" s="1" t="s">
        <v>651</v>
      </c>
      <c r="G436">
        <v>4</v>
      </c>
      <c r="H436">
        <v>19</v>
      </c>
      <c r="I436" s="1" t="s">
        <v>31</v>
      </c>
      <c r="J436" s="1" t="s">
        <v>37</v>
      </c>
      <c r="K436" s="1" t="s">
        <v>38</v>
      </c>
      <c r="L436">
        <v>380</v>
      </c>
      <c r="M436" s="1" t="s">
        <v>32</v>
      </c>
    </row>
    <row r="437" spans="1:13" x14ac:dyDescent="0.2">
      <c r="A437" s="1" t="s">
        <v>654</v>
      </c>
      <c r="B437">
        <v>436</v>
      </c>
      <c r="C437" s="1" t="s">
        <v>28</v>
      </c>
      <c r="D437" s="1" t="s">
        <v>112</v>
      </c>
      <c r="E437" s="1" t="s">
        <v>357</v>
      </c>
      <c r="F437" s="1" t="s">
        <v>651</v>
      </c>
      <c r="G437">
        <v>4</v>
      </c>
      <c r="H437">
        <v>19</v>
      </c>
      <c r="I437" s="1" t="s">
        <v>31</v>
      </c>
      <c r="J437" s="1" t="s">
        <v>40</v>
      </c>
      <c r="K437" s="1" t="s">
        <v>41</v>
      </c>
      <c r="L437">
        <v>96</v>
      </c>
      <c r="M437" s="1" t="s">
        <v>32</v>
      </c>
    </row>
    <row r="438" spans="1:13" x14ac:dyDescent="0.2">
      <c r="A438" s="1" t="s">
        <v>655</v>
      </c>
      <c r="B438">
        <v>437</v>
      </c>
      <c r="C438" s="1" t="s">
        <v>28</v>
      </c>
      <c r="D438" s="1" t="s">
        <v>112</v>
      </c>
      <c r="E438" s="1" t="s">
        <v>357</v>
      </c>
      <c r="F438" s="1" t="s">
        <v>651</v>
      </c>
      <c r="G438">
        <v>4</v>
      </c>
      <c r="H438">
        <v>19</v>
      </c>
      <c r="I438" s="1" t="s">
        <v>31</v>
      </c>
      <c r="J438" s="1" t="s">
        <v>43</v>
      </c>
      <c r="K438" s="1" t="s">
        <v>44</v>
      </c>
      <c r="L438">
        <v>233</v>
      </c>
      <c r="M438" s="1" t="s">
        <v>32</v>
      </c>
    </row>
    <row r="439" spans="1:13" x14ac:dyDescent="0.2">
      <c r="A439" s="1" t="s">
        <v>656</v>
      </c>
      <c r="B439">
        <v>438</v>
      </c>
      <c r="C439" s="1" t="s">
        <v>28</v>
      </c>
      <c r="D439" s="1" t="s">
        <v>112</v>
      </c>
      <c r="E439" s="1" t="s">
        <v>357</v>
      </c>
      <c r="F439" s="1" t="s">
        <v>651</v>
      </c>
      <c r="G439">
        <v>4</v>
      </c>
      <c r="H439">
        <v>19</v>
      </c>
      <c r="I439" s="1" t="s">
        <v>31</v>
      </c>
      <c r="J439" s="1" t="s">
        <v>46</v>
      </c>
      <c r="K439" s="1" t="s">
        <v>47</v>
      </c>
      <c r="L439">
        <v>109</v>
      </c>
      <c r="M439" s="1" t="s">
        <v>32</v>
      </c>
    </row>
    <row r="440" spans="1:13" x14ac:dyDescent="0.2">
      <c r="A440" s="1" t="s">
        <v>657</v>
      </c>
      <c r="B440">
        <v>439</v>
      </c>
      <c r="C440" s="1" t="s">
        <v>28</v>
      </c>
      <c r="D440" s="1" t="s">
        <v>112</v>
      </c>
      <c r="E440" s="1" t="s">
        <v>357</v>
      </c>
      <c r="F440" s="1" t="s">
        <v>651</v>
      </c>
      <c r="G440">
        <v>4</v>
      </c>
      <c r="H440">
        <v>19</v>
      </c>
      <c r="I440" s="1" t="s">
        <v>49</v>
      </c>
      <c r="J440" s="1" t="s">
        <v>29</v>
      </c>
      <c r="K440" s="1" t="s">
        <v>30</v>
      </c>
      <c r="L440">
        <v>87</v>
      </c>
      <c r="M440" s="1" t="s">
        <v>32</v>
      </c>
    </row>
    <row r="441" spans="1:13" x14ac:dyDescent="0.2">
      <c r="A441" s="1" t="s">
        <v>658</v>
      </c>
      <c r="B441">
        <v>440</v>
      </c>
      <c r="C441" s="1" t="s">
        <v>28</v>
      </c>
      <c r="D441" s="1" t="s">
        <v>112</v>
      </c>
      <c r="E441" s="1" t="s">
        <v>357</v>
      </c>
      <c r="F441" s="1" t="s">
        <v>651</v>
      </c>
      <c r="G441">
        <v>4</v>
      </c>
      <c r="H441">
        <v>19</v>
      </c>
      <c r="I441" s="1" t="s">
        <v>49</v>
      </c>
      <c r="J441" s="1" t="s">
        <v>34</v>
      </c>
      <c r="K441" s="1" t="s">
        <v>35</v>
      </c>
      <c r="L441">
        <v>32</v>
      </c>
      <c r="M441" s="1" t="s">
        <v>32</v>
      </c>
    </row>
    <row r="442" spans="1:13" x14ac:dyDescent="0.2">
      <c r="A442" s="1" t="s">
        <v>659</v>
      </c>
      <c r="B442">
        <v>441</v>
      </c>
      <c r="C442" s="1" t="s">
        <v>28</v>
      </c>
      <c r="D442" s="1" t="s">
        <v>112</v>
      </c>
      <c r="E442" s="1" t="s">
        <v>357</v>
      </c>
      <c r="F442" s="1" t="s">
        <v>651</v>
      </c>
      <c r="G442">
        <v>4</v>
      </c>
      <c r="H442">
        <v>19</v>
      </c>
      <c r="I442" s="1" t="s">
        <v>49</v>
      </c>
      <c r="J442" s="1" t="s">
        <v>37</v>
      </c>
      <c r="K442" s="1" t="s">
        <v>38</v>
      </c>
      <c r="L442">
        <v>55</v>
      </c>
      <c r="M442" s="1" t="s">
        <v>32</v>
      </c>
    </row>
    <row r="443" spans="1:13" x14ac:dyDescent="0.2">
      <c r="A443" s="1" t="s">
        <v>660</v>
      </c>
      <c r="B443">
        <v>442</v>
      </c>
      <c r="C443" s="1" t="s">
        <v>28</v>
      </c>
      <c r="D443" s="1" t="s">
        <v>112</v>
      </c>
      <c r="E443" s="1" t="s">
        <v>357</v>
      </c>
      <c r="F443" s="1" t="s">
        <v>651</v>
      </c>
      <c r="G443">
        <v>4</v>
      </c>
      <c r="H443">
        <v>19</v>
      </c>
      <c r="I443" s="1" t="s">
        <v>49</v>
      </c>
      <c r="J443" s="1" t="s">
        <v>40</v>
      </c>
      <c r="K443" s="1" t="s">
        <v>41</v>
      </c>
      <c r="L443">
        <v>40</v>
      </c>
      <c r="M443" s="1" t="s">
        <v>32</v>
      </c>
    </row>
    <row r="444" spans="1:13" x14ac:dyDescent="0.2">
      <c r="A444" s="1" t="s">
        <v>661</v>
      </c>
      <c r="B444">
        <v>443</v>
      </c>
      <c r="C444" s="1" t="s">
        <v>28</v>
      </c>
      <c r="D444" s="1" t="s">
        <v>112</v>
      </c>
      <c r="E444" s="1" t="s">
        <v>357</v>
      </c>
      <c r="F444" s="1" t="s">
        <v>651</v>
      </c>
      <c r="G444">
        <v>4</v>
      </c>
      <c r="H444">
        <v>19</v>
      </c>
      <c r="I444" s="1" t="s">
        <v>49</v>
      </c>
      <c r="J444" s="1" t="s">
        <v>43</v>
      </c>
      <c r="K444" s="1" t="s">
        <v>44</v>
      </c>
      <c r="L444">
        <v>60</v>
      </c>
      <c r="M444" s="1" t="s">
        <v>32</v>
      </c>
    </row>
    <row r="445" spans="1:13" x14ac:dyDescent="0.2">
      <c r="A445" s="1" t="s">
        <v>662</v>
      </c>
      <c r="B445">
        <v>444</v>
      </c>
      <c r="C445" s="1" t="s">
        <v>28</v>
      </c>
      <c r="D445" s="1" t="s">
        <v>112</v>
      </c>
      <c r="E445" s="1" t="s">
        <v>357</v>
      </c>
      <c r="F445" s="1" t="s">
        <v>651</v>
      </c>
      <c r="G445">
        <v>4</v>
      </c>
      <c r="H445">
        <v>19</v>
      </c>
      <c r="I445" s="1" t="s">
        <v>49</v>
      </c>
      <c r="J445" s="1" t="s">
        <v>46</v>
      </c>
      <c r="K445" s="1" t="s">
        <v>47</v>
      </c>
      <c r="L445">
        <v>19</v>
      </c>
      <c r="M445" s="1" t="s">
        <v>32</v>
      </c>
    </row>
    <row r="446" spans="1:13" x14ac:dyDescent="0.2">
      <c r="A446" s="1" t="s">
        <v>663</v>
      </c>
      <c r="B446">
        <v>445</v>
      </c>
      <c r="C446" s="1" t="s">
        <v>28</v>
      </c>
      <c r="D446" s="1" t="s">
        <v>112</v>
      </c>
      <c r="E446" s="1" t="s">
        <v>357</v>
      </c>
      <c r="F446" s="1" t="s">
        <v>651</v>
      </c>
      <c r="G446">
        <v>4</v>
      </c>
      <c r="H446">
        <v>19</v>
      </c>
      <c r="I446" s="1" t="s">
        <v>56</v>
      </c>
      <c r="J446" s="1" t="s">
        <v>29</v>
      </c>
      <c r="K446" s="1" t="s">
        <v>30</v>
      </c>
      <c r="L446">
        <v>100</v>
      </c>
      <c r="M446" s="1" t="s">
        <v>32</v>
      </c>
    </row>
    <row r="447" spans="1:13" x14ac:dyDescent="0.2">
      <c r="A447" s="1" t="s">
        <v>664</v>
      </c>
      <c r="B447">
        <v>446</v>
      </c>
      <c r="C447" s="1" t="s">
        <v>28</v>
      </c>
      <c r="D447" s="1" t="s">
        <v>112</v>
      </c>
      <c r="E447" s="1" t="s">
        <v>357</v>
      </c>
      <c r="F447" s="1" t="s">
        <v>651</v>
      </c>
      <c r="G447">
        <v>4</v>
      </c>
      <c r="H447">
        <v>19</v>
      </c>
      <c r="I447" s="1" t="s">
        <v>56</v>
      </c>
      <c r="J447" s="1" t="s">
        <v>34</v>
      </c>
      <c r="K447" s="1" t="s">
        <v>35</v>
      </c>
      <c r="L447">
        <v>40</v>
      </c>
      <c r="M447" s="1" t="s">
        <v>32</v>
      </c>
    </row>
    <row r="448" spans="1:13" x14ac:dyDescent="0.2">
      <c r="A448" s="1" t="s">
        <v>665</v>
      </c>
      <c r="B448">
        <v>447</v>
      </c>
      <c r="C448" s="1" t="s">
        <v>28</v>
      </c>
      <c r="D448" s="1" t="s">
        <v>112</v>
      </c>
      <c r="E448" s="1" t="s">
        <v>357</v>
      </c>
      <c r="F448" s="1" t="s">
        <v>651</v>
      </c>
      <c r="G448">
        <v>4</v>
      </c>
      <c r="H448">
        <v>19</v>
      </c>
      <c r="I448" s="1" t="s">
        <v>56</v>
      </c>
      <c r="J448" s="1" t="s">
        <v>37</v>
      </c>
      <c r="K448" s="1" t="s">
        <v>38</v>
      </c>
      <c r="L448">
        <v>123</v>
      </c>
      <c r="M448" s="1" t="s">
        <v>32</v>
      </c>
    </row>
    <row r="449" spans="1:13" x14ac:dyDescent="0.2">
      <c r="A449" s="1" t="s">
        <v>666</v>
      </c>
      <c r="B449">
        <v>448</v>
      </c>
      <c r="C449" s="1" t="s">
        <v>28</v>
      </c>
      <c r="D449" s="1" t="s">
        <v>112</v>
      </c>
      <c r="E449" s="1" t="s">
        <v>357</v>
      </c>
      <c r="F449" s="1" t="s">
        <v>651</v>
      </c>
      <c r="G449">
        <v>4</v>
      </c>
      <c r="H449">
        <v>19</v>
      </c>
      <c r="I449" s="1" t="s">
        <v>56</v>
      </c>
      <c r="J449" s="1" t="s">
        <v>40</v>
      </c>
      <c r="K449" s="1" t="s">
        <v>41</v>
      </c>
      <c r="L449">
        <v>40</v>
      </c>
      <c r="M449" s="1" t="s">
        <v>32</v>
      </c>
    </row>
    <row r="450" spans="1:13" x14ac:dyDescent="0.2">
      <c r="A450" s="1" t="s">
        <v>667</v>
      </c>
      <c r="B450">
        <v>449</v>
      </c>
      <c r="C450" s="1" t="s">
        <v>28</v>
      </c>
      <c r="D450" s="1" t="s">
        <v>112</v>
      </c>
      <c r="E450" s="1" t="s">
        <v>357</v>
      </c>
      <c r="F450" s="1" t="s">
        <v>651</v>
      </c>
      <c r="G450">
        <v>4</v>
      </c>
      <c r="H450">
        <v>19</v>
      </c>
      <c r="I450" s="1" t="s">
        <v>56</v>
      </c>
      <c r="J450" s="1" t="s">
        <v>43</v>
      </c>
      <c r="K450" s="1" t="s">
        <v>44</v>
      </c>
      <c r="L450">
        <v>42</v>
      </c>
      <c r="M450" s="1" t="s">
        <v>32</v>
      </c>
    </row>
    <row r="451" spans="1:13" x14ac:dyDescent="0.2">
      <c r="A451" s="1" t="s">
        <v>668</v>
      </c>
      <c r="B451">
        <v>450</v>
      </c>
      <c r="C451" s="1" t="s">
        <v>28</v>
      </c>
      <c r="D451" s="1" t="s">
        <v>112</v>
      </c>
      <c r="E451" s="1" t="s">
        <v>357</v>
      </c>
      <c r="F451" s="1" t="s">
        <v>651</v>
      </c>
      <c r="G451">
        <v>4</v>
      </c>
      <c r="H451">
        <v>19</v>
      </c>
      <c r="I451" s="1" t="s">
        <v>56</v>
      </c>
      <c r="J451" s="1" t="s">
        <v>46</v>
      </c>
      <c r="K451" s="1" t="s">
        <v>47</v>
      </c>
      <c r="L451">
        <v>40</v>
      </c>
      <c r="M451" s="1" t="s">
        <v>32</v>
      </c>
    </row>
    <row r="452" spans="1:13" x14ac:dyDescent="0.2">
      <c r="A452" s="1" t="s">
        <v>669</v>
      </c>
      <c r="B452">
        <v>451</v>
      </c>
      <c r="C452" s="1" t="s">
        <v>28</v>
      </c>
      <c r="D452" s="1" t="s">
        <v>112</v>
      </c>
      <c r="E452" s="1" t="s">
        <v>357</v>
      </c>
      <c r="F452" s="1" t="s">
        <v>651</v>
      </c>
      <c r="G452">
        <v>4</v>
      </c>
      <c r="H452">
        <v>19</v>
      </c>
      <c r="I452" s="1" t="s">
        <v>63</v>
      </c>
      <c r="J452" s="1" t="s">
        <v>29</v>
      </c>
      <c r="K452" s="1" t="s">
        <v>30</v>
      </c>
      <c r="L452">
        <v>0</v>
      </c>
      <c r="M452" s="1" t="s">
        <v>32</v>
      </c>
    </row>
    <row r="453" spans="1:13" x14ac:dyDescent="0.2">
      <c r="A453" s="1" t="s">
        <v>670</v>
      </c>
      <c r="B453">
        <v>452</v>
      </c>
      <c r="C453" s="1" t="s">
        <v>28</v>
      </c>
      <c r="D453" s="1" t="s">
        <v>112</v>
      </c>
      <c r="E453" s="1" t="s">
        <v>357</v>
      </c>
      <c r="F453" s="1" t="s">
        <v>651</v>
      </c>
      <c r="G453">
        <v>4</v>
      </c>
      <c r="H453">
        <v>19</v>
      </c>
      <c r="I453" s="1" t="s">
        <v>63</v>
      </c>
      <c r="J453" s="1" t="s">
        <v>34</v>
      </c>
      <c r="K453" s="1" t="s">
        <v>35</v>
      </c>
      <c r="L453">
        <v>40</v>
      </c>
      <c r="M453" s="1" t="s">
        <v>32</v>
      </c>
    </row>
    <row r="454" spans="1:13" x14ac:dyDescent="0.2">
      <c r="A454" s="1" t="s">
        <v>671</v>
      </c>
      <c r="B454">
        <v>453</v>
      </c>
      <c r="C454" s="1" t="s">
        <v>28</v>
      </c>
      <c r="D454" s="1" t="s">
        <v>112</v>
      </c>
      <c r="E454" s="1" t="s">
        <v>357</v>
      </c>
      <c r="F454" s="1" t="s">
        <v>651</v>
      </c>
      <c r="G454">
        <v>4</v>
      </c>
      <c r="H454">
        <v>19</v>
      </c>
      <c r="I454" s="1" t="s">
        <v>63</v>
      </c>
      <c r="J454" s="1" t="s">
        <v>37</v>
      </c>
      <c r="K454" s="1" t="s">
        <v>38</v>
      </c>
      <c r="L454">
        <v>30</v>
      </c>
      <c r="M454" s="1" t="s">
        <v>32</v>
      </c>
    </row>
    <row r="455" spans="1:13" x14ac:dyDescent="0.2">
      <c r="A455" s="1" t="s">
        <v>672</v>
      </c>
      <c r="B455">
        <v>454</v>
      </c>
      <c r="C455" s="1" t="s">
        <v>28</v>
      </c>
      <c r="D455" s="1" t="s">
        <v>112</v>
      </c>
      <c r="E455" s="1" t="s">
        <v>357</v>
      </c>
      <c r="F455" s="1" t="s">
        <v>651</v>
      </c>
      <c r="G455">
        <v>4</v>
      </c>
      <c r="H455">
        <v>19</v>
      </c>
      <c r="I455" s="1" t="s">
        <v>63</v>
      </c>
      <c r="J455" s="1" t="s">
        <v>40</v>
      </c>
      <c r="K455" s="1" t="s">
        <v>41</v>
      </c>
      <c r="L455">
        <v>76</v>
      </c>
      <c r="M455" s="1" t="s">
        <v>32</v>
      </c>
    </row>
    <row r="456" spans="1:13" x14ac:dyDescent="0.2">
      <c r="A456" s="1" t="s">
        <v>673</v>
      </c>
      <c r="B456">
        <v>455</v>
      </c>
      <c r="C456" s="1" t="s">
        <v>28</v>
      </c>
      <c r="D456" s="1" t="s">
        <v>112</v>
      </c>
      <c r="E456" s="1" t="s">
        <v>357</v>
      </c>
      <c r="F456" s="1" t="s">
        <v>651</v>
      </c>
      <c r="G456">
        <v>4</v>
      </c>
      <c r="H456">
        <v>19</v>
      </c>
      <c r="I456" s="1" t="s">
        <v>63</v>
      </c>
      <c r="J456" s="1" t="s">
        <v>43</v>
      </c>
      <c r="K456" s="1" t="s">
        <v>44</v>
      </c>
      <c r="L456">
        <v>40</v>
      </c>
      <c r="M456" s="1" t="s">
        <v>32</v>
      </c>
    </row>
    <row r="457" spans="1:13" x14ac:dyDescent="0.2">
      <c r="A457" s="1" t="s">
        <v>674</v>
      </c>
      <c r="B457">
        <v>456</v>
      </c>
      <c r="C457" s="1" t="s">
        <v>28</v>
      </c>
      <c r="D457" s="1" t="s">
        <v>112</v>
      </c>
      <c r="E457" s="1" t="s">
        <v>357</v>
      </c>
      <c r="F457" s="1" t="s">
        <v>651</v>
      </c>
      <c r="G457">
        <v>4</v>
      </c>
      <c r="H457">
        <v>19</v>
      </c>
      <c r="I457" s="1" t="s">
        <v>63</v>
      </c>
      <c r="J457" s="1" t="s">
        <v>46</v>
      </c>
      <c r="K457" s="1" t="s">
        <v>47</v>
      </c>
      <c r="L457">
        <v>40</v>
      </c>
      <c r="M457" s="1" t="s">
        <v>32</v>
      </c>
    </row>
    <row r="458" spans="1:13" x14ac:dyDescent="0.2">
      <c r="A458" s="1" t="s">
        <v>681</v>
      </c>
      <c r="B458">
        <v>457</v>
      </c>
      <c r="C458" s="1" t="s">
        <v>28</v>
      </c>
      <c r="D458" s="1" t="s">
        <v>112</v>
      </c>
      <c r="E458" s="1" t="s">
        <v>387</v>
      </c>
      <c r="F458" s="1" t="s">
        <v>682</v>
      </c>
      <c r="G458">
        <v>4</v>
      </c>
      <c r="H458">
        <v>20</v>
      </c>
      <c r="I458" s="1" t="s">
        <v>31</v>
      </c>
      <c r="J458" s="1" t="s">
        <v>29</v>
      </c>
      <c r="K458" s="1" t="s">
        <v>30</v>
      </c>
      <c r="L458">
        <v>389</v>
      </c>
      <c r="M458" s="1" t="s">
        <v>32</v>
      </c>
    </row>
    <row r="459" spans="1:13" x14ac:dyDescent="0.2">
      <c r="A459" s="1" t="s">
        <v>683</v>
      </c>
      <c r="B459">
        <v>458</v>
      </c>
      <c r="C459" s="1" t="s">
        <v>28</v>
      </c>
      <c r="D459" s="1" t="s">
        <v>112</v>
      </c>
      <c r="E459" s="1" t="s">
        <v>387</v>
      </c>
      <c r="F459" s="1" t="s">
        <v>682</v>
      </c>
      <c r="G459">
        <v>4</v>
      </c>
      <c r="H459">
        <v>20</v>
      </c>
      <c r="I459" s="1" t="s">
        <v>31</v>
      </c>
      <c r="J459" s="1" t="s">
        <v>34</v>
      </c>
      <c r="K459" s="1" t="s">
        <v>35</v>
      </c>
      <c r="L459">
        <v>286</v>
      </c>
      <c r="M459" s="1" t="s">
        <v>32</v>
      </c>
    </row>
    <row r="460" spans="1:13" x14ac:dyDescent="0.2">
      <c r="A460" s="1" t="s">
        <v>684</v>
      </c>
      <c r="B460">
        <v>459</v>
      </c>
      <c r="C460" s="1" t="s">
        <v>28</v>
      </c>
      <c r="D460" s="1" t="s">
        <v>112</v>
      </c>
      <c r="E460" s="1" t="s">
        <v>387</v>
      </c>
      <c r="F460" s="1" t="s">
        <v>682</v>
      </c>
      <c r="G460">
        <v>4</v>
      </c>
      <c r="H460">
        <v>20</v>
      </c>
      <c r="I460" s="1" t="s">
        <v>31</v>
      </c>
      <c r="J460" s="1" t="s">
        <v>37</v>
      </c>
      <c r="K460" s="1" t="s">
        <v>38</v>
      </c>
      <c r="L460">
        <v>268</v>
      </c>
      <c r="M460" s="1" t="s">
        <v>32</v>
      </c>
    </row>
    <row r="461" spans="1:13" x14ac:dyDescent="0.2">
      <c r="A461" s="1" t="s">
        <v>685</v>
      </c>
      <c r="B461">
        <v>460</v>
      </c>
      <c r="C461" s="1" t="s">
        <v>28</v>
      </c>
      <c r="D461" s="1" t="s">
        <v>112</v>
      </c>
      <c r="E461" s="1" t="s">
        <v>387</v>
      </c>
      <c r="F461" s="1" t="s">
        <v>682</v>
      </c>
      <c r="G461">
        <v>4</v>
      </c>
      <c r="H461">
        <v>20</v>
      </c>
      <c r="I461" s="1" t="s">
        <v>31</v>
      </c>
      <c r="J461" s="1" t="s">
        <v>40</v>
      </c>
      <c r="K461" s="1" t="s">
        <v>41</v>
      </c>
      <c r="L461">
        <v>72</v>
      </c>
      <c r="M461" s="1" t="s">
        <v>32</v>
      </c>
    </row>
    <row r="462" spans="1:13" x14ac:dyDescent="0.2">
      <c r="A462" s="1" t="s">
        <v>686</v>
      </c>
      <c r="B462">
        <v>461</v>
      </c>
      <c r="C462" s="1" t="s">
        <v>28</v>
      </c>
      <c r="D462" s="1" t="s">
        <v>112</v>
      </c>
      <c r="E462" s="1" t="s">
        <v>387</v>
      </c>
      <c r="F462" s="1" t="s">
        <v>682</v>
      </c>
      <c r="G462">
        <v>4</v>
      </c>
      <c r="H462">
        <v>20</v>
      </c>
      <c r="I462" s="1" t="s">
        <v>31</v>
      </c>
      <c r="J462" s="1" t="s">
        <v>43</v>
      </c>
      <c r="K462" s="1" t="s">
        <v>44</v>
      </c>
      <c r="L462">
        <v>205</v>
      </c>
      <c r="M462" s="1" t="s">
        <v>32</v>
      </c>
    </row>
    <row r="463" spans="1:13" x14ac:dyDescent="0.2">
      <c r="A463" s="1" t="s">
        <v>687</v>
      </c>
      <c r="B463">
        <v>462</v>
      </c>
      <c r="C463" s="1" t="s">
        <v>28</v>
      </c>
      <c r="D463" s="1" t="s">
        <v>112</v>
      </c>
      <c r="E463" s="1" t="s">
        <v>387</v>
      </c>
      <c r="F463" s="1" t="s">
        <v>682</v>
      </c>
      <c r="G463">
        <v>4</v>
      </c>
      <c r="H463">
        <v>20</v>
      </c>
      <c r="I463" s="1" t="s">
        <v>31</v>
      </c>
      <c r="J463" s="1" t="s">
        <v>46</v>
      </c>
      <c r="K463" s="1" t="s">
        <v>47</v>
      </c>
      <c r="L463">
        <v>68</v>
      </c>
      <c r="M463" s="1" t="s">
        <v>32</v>
      </c>
    </row>
    <row r="464" spans="1:13" x14ac:dyDescent="0.2">
      <c r="A464" s="1" t="s">
        <v>688</v>
      </c>
      <c r="B464">
        <v>463</v>
      </c>
      <c r="C464" s="1" t="s">
        <v>28</v>
      </c>
      <c r="D464" s="1" t="s">
        <v>112</v>
      </c>
      <c r="E464" s="1" t="s">
        <v>387</v>
      </c>
      <c r="F464" s="1" t="s">
        <v>682</v>
      </c>
      <c r="G464">
        <v>4</v>
      </c>
      <c r="H464">
        <v>20</v>
      </c>
      <c r="I464" s="1" t="s">
        <v>49</v>
      </c>
      <c r="J464" s="1" t="s">
        <v>29</v>
      </c>
      <c r="K464" s="1" t="s">
        <v>30</v>
      </c>
      <c r="L464">
        <v>207</v>
      </c>
      <c r="M464" s="1" t="s">
        <v>32</v>
      </c>
    </row>
    <row r="465" spans="1:13" x14ac:dyDescent="0.2">
      <c r="A465" s="1" t="s">
        <v>689</v>
      </c>
      <c r="B465">
        <v>464</v>
      </c>
      <c r="C465" s="1" t="s">
        <v>28</v>
      </c>
      <c r="D465" s="1" t="s">
        <v>112</v>
      </c>
      <c r="E465" s="1" t="s">
        <v>387</v>
      </c>
      <c r="F465" s="1" t="s">
        <v>682</v>
      </c>
      <c r="G465">
        <v>4</v>
      </c>
      <c r="H465">
        <v>20</v>
      </c>
      <c r="I465" s="1" t="s">
        <v>49</v>
      </c>
      <c r="J465" s="1" t="s">
        <v>34</v>
      </c>
      <c r="K465" s="1" t="s">
        <v>35</v>
      </c>
      <c r="L465">
        <v>50</v>
      </c>
      <c r="M465" s="1" t="s">
        <v>32</v>
      </c>
    </row>
    <row r="466" spans="1:13" x14ac:dyDescent="0.2">
      <c r="A466" s="1" t="s">
        <v>690</v>
      </c>
      <c r="B466">
        <v>465</v>
      </c>
      <c r="C466" s="1" t="s">
        <v>28</v>
      </c>
      <c r="D466" s="1" t="s">
        <v>112</v>
      </c>
      <c r="E466" s="1" t="s">
        <v>387</v>
      </c>
      <c r="F466" s="1" t="s">
        <v>682</v>
      </c>
      <c r="G466">
        <v>4</v>
      </c>
      <c r="H466">
        <v>20</v>
      </c>
      <c r="I466" s="1" t="s">
        <v>49</v>
      </c>
      <c r="J466" s="1" t="s">
        <v>37</v>
      </c>
      <c r="K466" s="1" t="s">
        <v>38</v>
      </c>
      <c r="L466">
        <v>120</v>
      </c>
      <c r="M466" s="1" t="s">
        <v>32</v>
      </c>
    </row>
    <row r="467" spans="1:13" x14ac:dyDescent="0.2">
      <c r="A467" s="1" t="s">
        <v>691</v>
      </c>
      <c r="B467">
        <v>466</v>
      </c>
      <c r="C467" s="1" t="s">
        <v>28</v>
      </c>
      <c r="D467" s="1" t="s">
        <v>112</v>
      </c>
      <c r="E467" s="1" t="s">
        <v>387</v>
      </c>
      <c r="F467" s="1" t="s">
        <v>682</v>
      </c>
      <c r="G467">
        <v>4</v>
      </c>
      <c r="H467">
        <v>20</v>
      </c>
      <c r="I467" s="1" t="s">
        <v>49</v>
      </c>
      <c r="J467" s="1" t="s">
        <v>40</v>
      </c>
      <c r="K467" s="1" t="s">
        <v>41</v>
      </c>
      <c r="L467">
        <v>40</v>
      </c>
      <c r="M467" s="1" t="s">
        <v>32</v>
      </c>
    </row>
    <row r="468" spans="1:13" x14ac:dyDescent="0.2">
      <c r="A468" s="1" t="s">
        <v>692</v>
      </c>
      <c r="B468">
        <v>467</v>
      </c>
      <c r="C468" s="1" t="s">
        <v>28</v>
      </c>
      <c r="D468" s="1" t="s">
        <v>112</v>
      </c>
      <c r="E468" s="1" t="s">
        <v>387</v>
      </c>
      <c r="F468" s="1" t="s">
        <v>682</v>
      </c>
      <c r="G468">
        <v>4</v>
      </c>
      <c r="H468">
        <v>20</v>
      </c>
      <c r="I468" s="1" t="s">
        <v>49</v>
      </c>
      <c r="J468" s="1" t="s">
        <v>43</v>
      </c>
      <c r="K468" s="1" t="s">
        <v>44</v>
      </c>
      <c r="L468">
        <v>60</v>
      </c>
      <c r="M468" s="1" t="s">
        <v>32</v>
      </c>
    </row>
    <row r="469" spans="1:13" x14ac:dyDescent="0.2">
      <c r="A469" s="1" t="s">
        <v>693</v>
      </c>
      <c r="B469">
        <v>468</v>
      </c>
      <c r="C469" s="1" t="s">
        <v>28</v>
      </c>
      <c r="D469" s="1" t="s">
        <v>112</v>
      </c>
      <c r="E469" s="1" t="s">
        <v>387</v>
      </c>
      <c r="F469" s="1" t="s">
        <v>682</v>
      </c>
      <c r="G469">
        <v>4</v>
      </c>
      <c r="H469">
        <v>20</v>
      </c>
      <c r="I469" s="1" t="s">
        <v>49</v>
      </c>
      <c r="J469" s="1" t="s">
        <v>46</v>
      </c>
      <c r="K469" s="1" t="s">
        <v>47</v>
      </c>
      <c r="L469">
        <v>41</v>
      </c>
      <c r="M469" s="1" t="s">
        <v>32</v>
      </c>
    </row>
    <row r="470" spans="1:13" x14ac:dyDescent="0.2">
      <c r="A470" s="1" t="s">
        <v>694</v>
      </c>
      <c r="B470">
        <v>469</v>
      </c>
      <c r="C470" s="1" t="s">
        <v>28</v>
      </c>
      <c r="D470" s="1" t="s">
        <v>112</v>
      </c>
      <c r="E470" s="1" t="s">
        <v>387</v>
      </c>
      <c r="F470" s="1" t="s">
        <v>682</v>
      </c>
      <c r="G470">
        <v>4</v>
      </c>
      <c r="H470">
        <v>20</v>
      </c>
      <c r="I470" s="1" t="s">
        <v>56</v>
      </c>
      <c r="J470" s="1" t="s">
        <v>29</v>
      </c>
      <c r="K470" s="1" t="s">
        <v>30</v>
      </c>
      <c r="L470">
        <v>100</v>
      </c>
      <c r="M470" s="1" t="s">
        <v>32</v>
      </c>
    </row>
    <row r="471" spans="1:13" x14ac:dyDescent="0.2">
      <c r="A471" s="1" t="s">
        <v>695</v>
      </c>
      <c r="B471">
        <v>470</v>
      </c>
      <c r="C471" s="1" t="s">
        <v>28</v>
      </c>
      <c r="D471" s="1" t="s">
        <v>112</v>
      </c>
      <c r="E471" s="1" t="s">
        <v>387</v>
      </c>
      <c r="F471" s="1" t="s">
        <v>682</v>
      </c>
      <c r="G471">
        <v>4</v>
      </c>
      <c r="H471">
        <v>20</v>
      </c>
      <c r="I471" s="1" t="s">
        <v>56</v>
      </c>
      <c r="J471" s="1" t="s">
        <v>34</v>
      </c>
      <c r="K471" s="1" t="s">
        <v>35</v>
      </c>
      <c r="L471">
        <v>15</v>
      </c>
      <c r="M471" s="1" t="s">
        <v>32</v>
      </c>
    </row>
    <row r="472" spans="1:13" x14ac:dyDescent="0.2">
      <c r="A472" s="1" t="s">
        <v>696</v>
      </c>
      <c r="B472">
        <v>471</v>
      </c>
      <c r="C472" s="1" t="s">
        <v>28</v>
      </c>
      <c r="D472" s="1" t="s">
        <v>112</v>
      </c>
      <c r="E472" s="1" t="s">
        <v>387</v>
      </c>
      <c r="F472" s="1" t="s">
        <v>682</v>
      </c>
      <c r="G472">
        <v>4</v>
      </c>
      <c r="H472">
        <v>20</v>
      </c>
      <c r="I472" s="1" t="s">
        <v>56</v>
      </c>
      <c r="J472" s="1" t="s">
        <v>37</v>
      </c>
      <c r="K472" s="1" t="s">
        <v>38</v>
      </c>
      <c r="L472">
        <v>27</v>
      </c>
      <c r="M472" s="1" t="s">
        <v>32</v>
      </c>
    </row>
    <row r="473" spans="1:13" x14ac:dyDescent="0.2">
      <c r="A473" s="1" t="s">
        <v>697</v>
      </c>
      <c r="B473">
        <v>472</v>
      </c>
      <c r="C473" s="1" t="s">
        <v>28</v>
      </c>
      <c r="D473" s="1" t="s">
        <v>112</v>
      </c>
      <c r="E473" s="1" t="s">
        <v>387</v>
      </c>
      <c r="F473" s="1" t="s">
        <v>682</v>
      </c>
      <c r="G473">
        <v>4</v>
      </c>
      <c r="H473">
        <v>20</v>
      </c>
      <c r="I473" s="1" t="s">
        <v>56</v>
      </c>
      <c r="J473" s="1" t="s">
        <v>40</v>
      </c>
      <c r="K473" s="1" t="s">
        <v>41</v>
      </c>
      <c r="L473">
        <v>40</v>
      </c>
      <c r="M473" s="1" t="s">
        <v>32</v>
      </c>
    </row>
    <row r="474" spans="1:13" x14ac:dyDescent="0.2">
      <c r="A474" s="1" t="s">
        <v>698</v>
      </c>
      <c r="B474">
        <v>473</v>
      </c>
      <c r="C474" s="1" t="s">
        <v>28</v>
      </c>
      <c r="D474" s="1" t="s">
        <v>112</v>
      </c>
      <c r="E474" s="1" t="s">
        <v>387</v>
      </c>
      <c r="F474" s="1" t="s">
        <v>682</v>
      </c>
      <c r="G474">
        <v>4</v>
      </c>
      <c r="H474">
        <v>20</v>
      </c>
      <c r="I474" s="1" t="s">
        <v>56</v>
      </c>
      <c r="J474" s="1" t="s">
        <v>43</v>
      </c>
      <c r="K474" s="1" t="s">
        <v>44</v>
      </c>
      <c r="L474">
        <v>70</v>
      </c>
      <c r="M474" s="1" t="s">
        <v>32</v>
      </c>
    </row>
    <row r="475" spans="1:13" x14ac:dyDescent="0.2">
      <c r="A475" s="1" t="s">
        <v>699</v>
      </c>
      <c r="B475">
        <v>474</v>
      </c>
      <c r="C475" s="1" t="s">
        <v>28</v>
      </c>
      <c r="D475" s="1" t="s">
        <v>112</v>
      </c>
      <c r="E475" s="1" t="s">
        <v>387</v>
      </c>
      <c r="F475" s="1" t="s">
        <v>682</v>
      </c>
      <c r="G475">
        <v>4</v>
      </c>
      <c r="H475">
        <v>20</v>
      </c>
      <c r="I475" s="1" t="s">
        <v>56</v>
      </c>
      <c r="J475" s="1" t="s">
        <v>46</v>
      </c>
      <c r="K475" s="1" t="s">
        <v>47</v>
      </c>
      <c r="L475">
        <v>40</v>
      </c>
      <c r="M475" s="1" t="s">
        <v>32</v>
      </c>
    </row>
    <row r="476" spans="1:13" x14ac:dyDescent="0.2">
      <c r="A476" s="1" t="s">
        <v>700</v>
      </c>
      <c r="B476">
        <v>475</v>
      </c>
      <c r="C476" s="1" t="s">
        <v>28</v>
      </c>
      <c r="D476" s="1" t="s">
        <v>112</v>
      </c>
      <c r="E476" s="1" t="s">
        <v>387</v>
      </c>
      <c r="F476" s="1" t="s">
        <v>682</v>
      </c>
      <c r="G476">
        <v>4</v>
      </c>
      <c r="H476">
        <v>20</v>
      </c>
      <c r="I476" s="1" t="s">
        <v>63</v>
      </c>
      <c r="J476" s="1" t="s">
        <v>29</v>
      </c>
      <c r="K476" s="1" t="s">
        <v>30</v>
      </c>
      <c r="L476">
        <v>50</v>
      </c>
      <c r="M476" s="1" t="s">
        <v>32</v>
      </c>
    </row>
    <row r="477" spans="1:13" x14ac:dyDescent="0.2">
      <c r="A477" s="1" t="s">
        <v>701</v>
      </c>
      <c r="B477">
        <v>476</v>
      </c>
      <c r="C477" s="1" t="s">
        <v>28</v>
      </c>
      <c r="D477" s="1" t="s">
        <v>112</v>
      </c>
      <c r="E477" s="1" t="s">
        <v>387</v>
      </c>
      <c r="F477" s="1" t="s">
        <v>682</v>
      </c>
      <c r="G477">
        <v>4</v>
      </c>
      <c r="H477">
        <v>20</v>
      </c>
      <c r="I477" s="1" t="s">
        <v>63</v>
      </c>
      <c r="J477" s="1" t="s">
        <v>34</v>
      </c>
      <c r="K477" s="1" t="s">
        <v>35</v>
      </c>
      <c r="L477">
        <v>40</v>
      </c>
      <c r="M477" s="1" t="s">
        <v>32</v>
      </c>
    </row>
    <row r="478" spans="1:13" x14ac:dyDescent="0.2">
      <c r="A478" s="1" t="s">
        <v>702</v>
      </c>
      <c r="B478">
        <v>477</v>
      </c>
      <c r="C478" s="1" t="s">
        <v>28</v>
      </c>
      <c r="D478" s="1" t="s">
        <v>112</v>
      </c>
      <c r="E478" s="1" t="s">
        <v>387</v>
      </c>
      <c r="F478" s="1" t="s">
        <v>682</v>
      </c>
      <c r="G478">
        <v>4</v>
      </c>
      <c r="H478">
        <v>20</v>
      </c>
      <c r="I478" s="1" t="s">
        <v>63</v>
      </c>
      <c r="J478" s="1" t="s">
        <v>37</v>
      </c>
      <c r="K478" s="1" t="s">
        <v>38</v>
      </c>
      <c r="L478">
        <v>50</v>
      </c>
      <c r="M478" s="1" t="s">
        <v>32</v>
      </c>
    </row>
    <row r="479" spans="1:13" x14ac:dyDescent="0.2">
      <c r="A479" s="1" t="s">
        <v>703</v>
      </c>
      <c r="B479">
        <v>478</v>
      </c>
      <c r="C479" s="1" t="s">
        <v>28</v>
      </c>
      <c r="D479" s="1" t="s">
        <v>112</v>
      </c>
      <c r="E479" s="1" t="s">
        <v>387</v>
      </c>
      <c r="F479" s="1" t="s">
        <v>682</v>
      </c>
      <c r="G479">
        <v>4</v>
      </c>
      <c r="H479">
        <v>20</v>
      </c>
      <c r="I479" s="1" t="s">
        <v>63</v>
      </c>
      <c r="J479" s="1" t="s">
        <v>40</v>
      </c>
      <c r="K479" s="1" t="s">
        <v>41</v>
      </c>
      <c r="L479">
        <v>75</v>
      </c>
      <c r="M479" s="1" t="s">
        <v>32</v>
      </c>
    </row>
    <row r="480" spans="1:13" x14ac:dyDescent="0.2">
      <c r="A480" s="1" t="s">
        <v>704</v>
      </c>
      <c r="B480">
        <v>479</v>
      </c>
      <c r="C480" s="1" t="s">
        <v>28</v>
      </c>
      <c r="D480" s="1" t="s">
        <v>112</v>
      </c>
      <c r="E480" s="1" t="s">
        <v>387</v>
      </c>
      <c r="F480" s="1" t="s">
        <v>682</v>
      </c>
      <c r="G480">
        <v>4</v>
      </c>
      <c r="H480">
        <v>20</v>
      </c>
      <c r="I480" s="1" t="s">
        <v>63</v>
      </c>
      <c r="J480" s="1" t="s">
        <v>43</v>
      </c>
      <c r="K480" s="1" t="s">
        <v>44</v>
      </c>
      <c r="L480">
        <v>5</v>
      </c>
      <c r="M480" s="1" t="s">
        <v>32</v>
      </c>
    </row>
    <row r="481" spans="1:13" x14ac:dyDescent="0.2">
      <c r="A481" s="1" t="s">
        <v>705</v>
      </c>
      <c r="B481">
        <v>480</v>
      </c>
      <c r="C481" s="1" t="s">
        <v>28</v>
      </c>
      <c r="D481" s="1" t="s">
        <v>112</v>
      </c>
      <c r="E481" s="1" t="s">
        <v>387</v>
      </c>
      <c r="F481" s="1" t="s">
        <v>682</v>
      </c>
      <c r="G481">
        <v>4</v>
      </c>
      <c r="H481">
        <v>20</v>
      </c>
      <c r="I481" s="1" t="s">
        <v>63</v>
      </c>
      <c r="J481" s="1" t="s">
        <v>46</v>
      </c>
      <c r="K481" s="1" t="s">
        <v>47</v>
      </c>
      <c r="L481">
        <v>40</v>
      </c>
      <c r="M481" s="1" t="s">
        <v>32</v>
      </c>
    </row>
    <row r="482" spans="1:13" x14ac:dyDescent="0.2">
      <c r="A482" s="1" t="s">
        <v>708</v>
      </c>
      <c r="B482">
        <v>481</v>
      </c>
      <c r="C482" s="1" t="s">
        <v>28</v>
      </c>
      <c r="D482" s="1" t="s">
        <v>31</v>
      </c>
      <c r="E482" s="1" t="s">
        <v>81</v>
      </c>
      <c r="F482" s="1" t="s">
        <v>709</v>
      </c>
      <c r="G482">
        <v>5</v>
      </c>
      <c r="H482">
        <v>21</v>
      </c>
      <c r="I482" s="1" t="s">
        <v>31</v>
      </c>
      <c r="J482" s="1" t="s">
        <v>29</v>
      </c>
      <c r="K482" s="1" t="s">
        <v>30</v>
      </c>
      <c r="L482">
        <v>376</v>
      </c>
      <c r="M482" s="1" t="s">
        <v>32</v>
      </c>
    </row>
    <row r="483" spans="1:13" x14ac:dyDescent="0.2">
      <c r="A483" s="1" t="s">
        <v>710</v>
      </c>
      <c r="B483">
        <v>482</v>
      </c>
      <c r="C483" s="1" t="s">
        <v>28</v>
      </c>
      <c r="D483" s="1" t="s">
        <v>31</v>
      </c>
      <c r="E483" s="1" t="s">
        <v>81</v>
      </c>
      <c r="F483" s="1" t="s">
        <v>709</v>
      </c>
      <c r="G483">
        <v>5</v>
      </c>
      <c r="H483">
        <v>21</v>
      </c>
      <c r="I483" s="1" t="s">
        <v>31</v>
      </c>
      <c r="J483" s="1" t="s">
        <v>34</v>
      </c>
      <c r="K483" s="1" t="s">
        <v>35</v>
      </c>
      <c r="L483">
        <v>261</v>
      </c>
      <c r="M483" s="1" t="s">
        <v>32</v>
      </c>
    </row>
    <row r="484" spans="1:13" x14ac:dyDescent="0.2">
      <c r="A484" s="1" t="s">
        <v>711</v>
      </c>
      <c r="B484">
        <v>483</v>
      </c>
      <c r="C484" s="1" t="s">
        <v>28</v>
      </c>
      <c r="D484" s="1" t="s">
        <v>31</v>
      </c>
      <c r="E484" s="1" t="s">
        <v>81</v>
      </c>
      <c r="F484" s="1" t="s">
        <v>709</v>
      </c>
      <c r="G484">
        <v>5</v>
      </c>
      <c r="H484">
        <v>21</v>
      </c>
      <c r="I484" s="1" t="s">
        <v>31</v>
      </c>
      <c r="J484" s="1" t="s">
        <v>37</v>
      </c>
      <c r="K484" s="1" t="s">
        <v>38</v>
      </c>
      <c r="L484">
        <v>145</v>
      </c>
      <c r="M484" s="1" t="s">
        <v>32</v>
      </c>
    </row>
    <row r="485" spans="1:13" x14ac:dyDescent="0.2">
      <c r="A485" s="1" t="s">
        <v>712</v>
      </c>
      <c r="B485">
        <v>484</v>
      </c>
      <c r="C485" s="1" t="s">
        <v>28</v>
      </c>
      <c r="D485" s="1" t="s">
        <v>31</v>
      </c>
      <c r="E485" s="1" t="s">
        <v>81</v>
      </c>
      <c r="F485" s="1" t="s">
        <v>709</v>
      </c>
      <c r="G485">
        <v>5</v>
      </c>
      <c r="H485">
        <v>21</v>
      </c>
      <c r="I485" s="1" t="s">
        <v>31</v>
      </c>
      <c r="J485" s="1" t="s">
        <v>40</v>
      </c>
      <c r="K485" s="1" t="s">
        <v>41</v>
      </c>
      <c r="L485">
        <v>47</v>
      </c>
      <c r="M485" s="1" t="s">
        <v>32</v>
      </c>
    </row>
    <row r="486" spans="1:13" x14ac:dyDescent="0.2">
      <c r="A486" s="1" t="s">
        <v>713</v>
      </c>
      <c r="B486">
        <v>485</v>
      </c>
      <c r="C486" s="1" t="s">
        <v>28</v>
      </c>
      <c r="D486" s="1" t="s">
        <v>31</v>
      </c>
      <c r="E486" s="1" t="s">
        <v>81</v>
      </c>
      <c r="F486" s="1" t="s">
        <v>709</v>
      </c>
      <c r="G486">
        <v>5</v>
      </c>
      <c r="H486">
        <v>21</v>
      </c>
      <c r="I486" s="1" t="s">
        <v>31</v>
      </c>
      <c r="J486" s="1" t="s">
        <v>43</v>
      </c>
      <c r="K486" s="1" t="s">
        <v>44</v>
      </c>
      <c r="L486">
        <v>170</v>
      </c>
      <c r="M486" s="1" t="s">
        <v>32</v>
      </c>
    </row>
    <row r="487" spans="1:13" x14ac:dyDescent="0.2">
      <c r="A487" s="1" t="s">
        <v>714</v>
      </c>
      <c r="B487">
        <v>486</v>
      </c>
      <c r="C487" s="1" t="s">
        <v>28</v>
      </c>
      <c r="D487" s="1" t="s">
        <v>31</v>
      </c>
      <c r="E487" s="1" t="s">
        <v>81</v>
      </c>
      <c r="F487" s="1" t="s">
        <v>709</v>
      </c>
      <c r="G487">
        <v>5</v>
      </c>
      <c r="H487">
        <v>21</v>
      </c>
      <c r="I487" s="1" t="s">
        <v>31</v>
      </c>
      <c r="J487" s="1" t="s">
        <v>46</v>
      </c>
      <c r="K487" s="1" t="s">
        <v>47</v>
      </c>
      <c r="L487">
        <v>49</v>
      </c>
      <c r="M487" s="1" t="s">
        <v>32</v>
      </c>
    </row>
    <row r="488" spans="1:13" x14ac:dyDescent="0.2">
      <c r="A488" s="1" t="s">
        <v>715</v>
      </c>
      <c r="B488">
        <v>487</v>
      </c>
      <c r="C488" s="1" t="s">
        <v>28</v>
      </c>
      <c r="D488" s="1" t="s">
        <v>31</v>
      </c>
      <c r="E488" s="1" t="s">
        <v>81</v>
      </c>
      <c r="F488" s="1" t="s">
        <v>709</v>
      </c>
      <c r="G488">
        <v>5</v>
      </c>
      <c r="H488">
        <v>21</v>
      </c>
      <c r="I488" s="1" t="s">
        <v>49</v>
      </c>
      <c r="J488" s="1" t="s">
        <v>29</v>
      </c>
      <c r="K488" s="1" t="s">
        <v>30</v>
      </c>
      <c r="L488">
        <v>220</v>
      </c>
      <c r="M488" s="1" t="s">
        <v>32</v>
      </c>
    </row>
    <row r="489" spans="1:13" x14ac:dyDescent="0.2">
      <c r="A489" s="1" t="s">
        <v>716</v>
      </c>
      <c r="B489">
        <v>488</v>
      </c>
      <c r="C489" s="1" t="s">
        <v>28</v>
      </c>
      <c r="D489" s="1" t="s">
        <v>31</v>
      </c>
      <c r="E489" s="1" t="s">
        <v>81</v>
      </c>
      <c r="F489" s="1" t="s">
        <v>709</v>
      </c>
      <c r="G489">
        <v>5</v>
      </c>
      <c r="H489">
        <v>21</v>
      </c>
      <c r="I489" s="1" t="s">
        <v>49</v>
      </c>
      <c r="J489" s="1" t="s">
        <v>34</v>
      </c>
      <c r="K489" s="1" t="s">
        <v>35</v>
      </c>
      <c r="L489">
        <v>50</v>
      </c>
      <c r="M489" s="1" t="s">
        <v>32</v>
      </c>
    </row>
    <row r="490" spans="1:13" x14ac:dyDescent="0.2">
      <c r="A490" s="1" t="s">
        <v>717</v>
      </c>
      <c r="B490">
        <v>489</v>
      </c>
      <c r="C490" s="1" t="s">
        <v>28</v>
      </c>
      <c r="D490" s="1" t="s">
        <v>31</v>
      </c>
      <c r="E490" s="1" t="s">
        <v>81</v>
      </c>
      <c r="F490" s="1" t="s">
        <v>709</v>
      </c>
      <c r="G490">
        <v>5</v>
      </c>
      <c r="H490">
        <v>21</v>
      </c>
      <c r="I490" s="1" t="s">
        <v>49</v>
      </c>
      <c r="J490" s="1" t="s">
        <v>37</v>
      </c>
      <c r="K490" s="1" t="s">
        <v>38</v>
      </c>
      <c r="L490">
        <v>120</v>
      </c>
      <c r="M490" s="1" t="s">
        <v>32</v>
      </c>
    </row>
    <row r="491" spans="1:13" x14ac:dyDescent="0.2">
      <c r="A491" s="1" t="s">
        <v>718</v>
      </c>
      <c r="B491">
        <v>490</v>
      </c>
      <c r="C491" s="1" t="s">
        <v>28</v>
      </c>
      <c r="D491" s="1" t="s">
        <v>31</v>
      </c>
      <c r="E491" s="1" t="s">
        <v>81</v>
      </c>
      <c r="F491" s="1" t="s">
        <v>709</v>
      </c>
      <c r="G491">
        <v>5</v>
      </c>
      <c r="H491">
        <v>21</v>
      </c>
      <c r="I491" s="1" t="s">
        <v>49</v>
      </c>
      <c r="J491" s="1" t="s">
        <v>40</v>
      </c>
      <c r="K491" s="1" t="s">
        <v>41</v>
      </c>
      <c r="L491">
        <v>40</v>
      </c>
      <c r="M491" s="1" t="s">
        <v>32</v>
      </c>
    </row>
    <row r="492" spans="1:13" x14ac:dyDescent="0.2">
      <c r="A492" s="1" t="s">
        <v>719</v>
      </c>
      <c r="B492">
        <v>491</v>
      </c>
      <c r="C492" s="1" t="s">
        <v>28</v>
      </c>
      <c r="D492" s="1" t="s">
        <v>31</v>
      </c>
      <c r="E492" s="1" t="s">
        <v>81</v>
      </c>
      <c r="F492" s="1" t="s">
        <v>709</v>
      </c>
      <c r="G492">
        <v>5</v>
      </c>
      <c r="H492">
        <v>21</v>
      </c>
      <c r="I492" s="1" t="s">
        <v>49</v>
      </c>
      <c r="J492" s="1" t="s">
        <v>43</v>
      </c>
      <c r="K492" s="1" t="s">
        <v>44</v>
      </c>
      <c r="L492">
        <v>60</v>
      </c>
      <c r="M492" s="1" t="s">
        <v>32</v>
      </c>
    </row>
    <row r="493" spans="1:13" x14ac:dyDescent="0.2">
      <c r="A493" s="1" t="s">
        <v>720</v>
      </c>
      <c r="B493">
        <v>492</v>
      </c>
      <c r="C493" s="1" t="s">
        <v>28</v>
      </c>
      <c r="D493" s="1" t="s">
        <v>31</v>
      </c>
      <c r="E493" s="1" t="s">
        <v>81</v>
      </c>
      <c r="F493" s="1" t="s">
        <v>709</v>
      </c>
      <c r="G493">
        <v>5</v>
      </c>
      <c r="H493">
        <v>21</v>
      </c>
      <c r="I493" s="1" t="s">
        <v>49</v>
      </c>
      <c r="J493" s="1" t="s">
        <v>46</v>
      </c>
      <c r="K493" s="1" t="s">
        <v>47</v>
      </c>
      <c r="L493">
        <v>60</v>
      </c>
      <c r="M493" s="1" t="s">
        <v>32</v>
      </c>
    </row>
    <row r="494" spans="1:13" x14ac:dyDescent="0.2">
      <c r="A494" s="1" t="s">
        <v>721</v>
      </c>
      <c r="B494">
        <v>493</v>
      </c>
      <c r="C494" s="1" t="s">
        <v>28</v>
      </c>
      <c r="D494" s="1" t="s">
        <v>31</v>
      </c>
      <c r="E494" s="1" t="s">
        <v>81</v>
      </c>
      <c r="F494" s="1" t="s">
        <v>709</v>
      </c>
      <c r="G494">
        <v>5</v>
      </c>
      <c r="H494">
        <v>21</v>
      </c>
      <c r="I494" s="1" t="s">
        <v>56</v>
      </c>
      <c r="J494" s="1" t="s">
        <v>29</v>
      </c>
      <c r="K494" s="1" t="s">
        <v>30</v>
      </c>
      <c r="L494">
        <v>100</v>
      </c>
      <c r="M494" s="1" t="s">
        <v>32</v>
      </c>
    </row>
    <row r="495" spans="1:13" x14ac:dyDescent="0.2">
      <c r="A495" s="1" t="s">
        <v>722</v>
      </c>
      <c r="B495">
        <v>494</v>
      </c>
      <c r="C495" s="1" t="s">
        <v>28</v>
      </c>
      <c r="D495" s="1" t="s">
        <v>31</v>
      </c>
      <c r="E495" s="1" t="s">
        <v>81</v>
      </c>
      <c r="F495" s="1" t="s">
        <v>709</v>
      </c>
      <c r="G495">
        <v>5</v>
      </c>
      <c r="H495">
        <v>21</v>
      </c>
      <c r="I495" s="1" t="s">
        <v>56</v>
      </c>
      <c r="J495" s="1" t="s">
        <v>34</v>
      </c>
      <c r="K495" s="1" t="s">
        <v>35</v>
      </c>
      <c r="L495">
        <v>40</v>
      </c>
      <c r="M495" s="1" t="s">
        <v>32</v>
      </c>
    </row>
    <row r="496" spans="1:13" x14ac:dyDescent="0.2">
      <c r="A496" s="1" t="s">
        <v>723</v>
      </c>
      <c r="B496">
        <v>495</v>
      </c>
      <c r="C496" s="1" t="s">
        <v>28</v>
      </c>
      <c r="D496" s="1" t="s">
        <v>31</v>
      </c>
      <c r="E496" s="1" t="s">
        <v>81</v>
      </c>
      <c r="F496" s="1" t="s">
        <v>709</v>
      </c>
      <c r="G496">
        <v>5</v>
      </c>
      <c r="H496">
        <v>21</v>
      </c>
      <c r="I496" s="1" t="s">
        <v>56</v>
      </c>
      <c r="J496" s="1" t="s">
        <v>37</v>
      </c>
      <c r="K496" s="1" t="s">
        <v>38</v>
      </c>
      <c r="L496">
        <v>123</v>
      </c>
      <c r="M496" s="1" t="s">
        <v>32</v>
      </c>
    </row>
    <row r="497" spans="1:13" x14ac:dyDescent="0.2">
      <c r="A497" s="1" t="s">
        <v>724</v>
      </c>
      <c r="B497">
        <v>496</v>
      </c>
      <c r="C497" s="1" t="s">
        <v>28</v>
      </c>
      <c r="D497" s="1" t="s">
        <v>31</v>
      </c>
      <c r="E497" s="1" t="s">
        <v>81</v>
      </c>
      <c r="F497" s="1" t="s">
        <v>709</v>
      </c>
      <c r="G497">
        <v>5</v>
      </c>
      <c r="H497">
        <v>21</v>
      </c>
      <c r="I497" s="1" t="s">
        <v>56</v>
      </c>
      <c r="J497" s="1" t="s">
        <v>40</v>
      </c>
      <c r="K497" s="1" t="s">
        <v>41</v>
      </c>
      <c r="L497">
        <v>40</v>
      </c>
      <c r="M497" s="1" t="s">
        <v>32</v>
      </c>
    </row>
    <row r="498" spans="1:13" x14ac:dyDescent="0.2">
      <c r="A498" s="1" t="s">
        <v>725</v>
      </c>
      <c r="B498">
        <v>497</v>
      </c>
      <c r="C498" s="1" t="s">
        <v>28</v>
      </c>
      <c r="D498" s="1" t="s">
        <v>31</v>
      </c>
      <c r="E498" s="1" t="s">
        <v>81</v>
      </c>
      <c r="F498" s="1" t="s">
        <v>709</v>
      </c>
      <c r="G498">
        <v>5</v>
      </c>
      <c r="H498">
        <v>21</v>
      </c>
      <c r="I498" s="1" t="s">
        <v>56</v>
      </c>
      <c r="J498" s="1" t="s">
        <v>43</v>
      </c>
      <c r="K498" s="1" t="s">
        <v>44</v>
      </c>
      <c r="L498">
        <v>70</v>
      </c>
      <c r="M498" s="1" t="s">
        <v>32</v>
      </c>
    </row>
    <row r="499" spans="1:13" x14ac:dyDescent="0.2">
      <c r="A499" s="1" t="s">
        <v>726</v>
      </c>
      <c r="B499">
        <v>498</v>
      </c>
      <c r="C499" s="1" t="s">
        <v>28</v>
      </c>
      <c r="D499" s="1" t="s">
        <v>31</v>
      </c>
      <c r="E499" s="1" t="s">
        <v>81</v>
      </c>
      <c r="F499" s="1" t="s">
        <v>709</v>
      </c>
      <c r="G499">
        <v>5</v>
      </c>
      <c r="H499">
        <v>21</v>
      </c>
      <c r="I499" s="1" t="s">
        <v>56</v>
      </c>
      <c r="J499" s="1" t="s">
        <v>46</v>
      </c>
      <c r="K499" s="1" t="s">
        <v>47</v>
      </c>
      <c r="L499">
        <v>40</v>
      </c>
      <c r="M499" s="1" t="s">
        <v>32</v>
      </c>
    </row>
    <row r="500" spans="1:13" x14ac:dyDescent="0.2">
      <c r="A500" s="1" t="s">
        <v>727</v>
      </c>
      <c r="B500">
        <v>499</v>
      </c>
      <c r="C500" s="1" t="s">
        <v>28</v>
      </c>
      <c r="D500" s="1" t="s">
        <v>31</v>
      </c>
      <c r="E500" s="1" t="s">
        <v>81</v>
      </c>
      <c r="F500" s="1" t="s">
        <v>709</v>
      </c>
      <c r="G500">
        <v>5</v>
      </c>
      <c r="H500">
        <v>21</v>
      </c>
      <c r="I500" s="1" t="s">
        <v>63</v>
      </c>
      <c r="J500" s="1" t="s">
        <v>29</v>
      </c>
      <c r="K500" s="1" t="s">
        <v>30</v>
      </c>
      <c r="L500">
        <v>0</v>
      </c>
      <c r="M500" s="1" t="s">
        <v>32</v>
      </c>
    </row>
    <row r="501" spans="1:13" x14ac:dyDescent="0.2">
      <c r="A501" s="1" t="s">
        <v>728</v>
      </c>
      <c r="B501">
        <v>500</v>
      </c>
      <c r="C501" s="1" t="s">
        <v>28</v>
      </c>
      <c r="D501" s="1" t="s">
        <v>31</v>
      </c>
      <c r="E501" s="1" t="s">
        <v>81</v>
      </c>
      <c r="F501" s="1" t="s">
        <v>709</v>
      </c>
      <c r="G501">
        <v>5</v>
      </c>
      <c r="H501">
        <v>21</v>
      </c>
      <c r="I501" s="1" t="s">
        <v>63</v>
      </c>
      <c r="J501" s="1" t="s">
        <v>34</v>
      </c>
      <c r="K501" s="1" t="s">
        <v>35</v>
      </c>
      <c r="L501">
        <v>40</v>
      </c>
      <c r="M501" s="1" t="s">
        <v>32</v>
      </c>
    </row>
    <row r="502" spans="1:13" x14ac:dyDescent="0.2">
      <c r="A502" s="1" t="s">
        <v>729</v>
      </c>
      <c r="B502">
        <v>501</v>
      </c>
      <c r="C502" s="1" t="s">
        <v>28</v>
      </c>
      <c r="D502" s="1" t="s">
        <v>31</v>
      </c>
      <c r="E502" s="1" t="s">
        <v>81</v>
      </c>
      <c r="F502" s="1" t="s">
        <v>709</v>
      </c>
      <c r="G502">
        <v>5</v>
      </c>
      <c r="H502">
        <v>21</v>
      </c>
      <c r="I502" s="1" t="s">
        <v>63</v>
      </c>
      <c r="J502" s="1" t="s">
        <v>37</v>
      </c>
      <c r="K502" s="1" t="s">
        <v>38</v>
      </c>
      <c r="L502">
        <v>50</v>
      </c>
      <c r="M502" s="1" t="s">
        <v>32</v>
      </c>
    </row>
    <row r="503" spans="1:13" x14ac:dyDescent="0.2">
      <c r="A503" s="1" t="s">
        <v>730</v>
      </c>
      <c r="B503">
        <v>502</v>
      </c>
      <c r="C503" s="1" t="s">
        <v>28</v>
      </c>
      <c r="D503" s="1" t="s">
        <v>31</v>
      </c>
      <c r="E503" s="1" t="s">
        <v>81</v>
      </c>
      <c r="F503" s="1" t="s">
        <v>709</v>
      </c>
      <c r="G503">
        <v>5</v>
      </c>
      <c r="H503">
        <v>21</v>
      </c>
      <c r="I503" s="1" t="s">
        <v>63</v>
      </c>
      <c r="J503" s="1" t="s">
        <v>40</v>
      </c>
      <c r="K503" s="1" t="s">
        <v>41</v>
      </c>
      <c r="L503">
        <v>100</v>
      </c>
      <c r="M503" s="1" t="s">
        <v>32</v>
      </c>
    </row>
    <row r="504" spans="1:13" x14ac:dyDescent="0.2">
      <c r="A504" s="1" t="s">
        <v>731</v>
      </c>
      <c r="B504">
        <v>503</v>
      </c>
      <c r="C504" s="1" t="s">
        <v>28</v>
      </c>
      <c r="D504" s="1" t="s">
        <v>31</v>
      </c>
      <c r="E504" s="1" t="s">
        <v>81</v>
      </c>
      <c r="F504" s="1" t="s">
        <v>709</v>
      </c>
      <c r="G504">
        <v>5</v>
      </c>
      <c r="H504">
        <v>21</v>
      </c>
      <c r="I504" s="1" t="s">
        <v>63</v>
      </c>
      <c r="J504" s="1" t="s">
        <v>43</v>
      </c>
      <c r="K504" s="1" t="s">
        <v>44</v>
      </c>
      <c r="L504">
        <v>40</v>
      </c>
      <c r="M504" s="1" t="s">
        <v>32</v>
      </c>
    </row>
    <row r="505" spans="1:13" x14ac:dyDescent="0.2">
      <c r="A505" s="1" t="s">
        <v>732</v>
      </c>
      <c r="B505">
        <v>504</v>
      </c>
      <c r="C505" s="1" t="s">
        <v>28</v>
      </c>
      <c r="D505" s="1" t="s">
        <v>31</v>
      </c>
      <c r="E505" s="1" t="s">
        <v>81</v>
      </c>
      <c r="F505" s="1" t="s">
        <v>709</v>
      </c>
      <c r="G505">
        <v>5</v>
      </c>
      <c r="H505">
        <v>21</v>
      </c>
      <c r="I505" s="1" t="s">
        <v>63</v>
      </c>
      <c r="J505" s="1" t="s">
        <v>46</v>
      </c>
      <c r="K505" s="1" t="s">
        <v>47</v>
      </c>
      <c r="L505">
        <v>40</v>
      </c>
      <c r="M505" s="1" t="s">
        <v>32</v>
      </c>
    </row>
    <row r="506" spans="1:13" x14ac:dyDescent="0.2">
      <c r="A506" s="1" t="s">
        <v>735</v>
      </c>
      <c r="B506">
        <v>505</v>
      </c>
      <c r="C506" s="1" t="s">
        <v>28</v>
      </c>
      <c r="D506" s="1" t="s">
        <v>31</v>
      </c>
      <c r="E506" s="1" t="s">
        <v>112</v>
      </c>
      <c r="F506" s="1" t="s">
        <v>736</v>
      </c>
      <c r="G506">
        <v>5</v>
      </c>
      <c r="H506">
        <v>22</v>
      </c>
      <c r="I506" s="1" t="s">
        <v>31</v>
      </c>
      <c r="J506" s="1" t="s">
        <v>29</v>
      </c>
      <c r="K506" s="1" t="s">
        <v>30</v>
      </c>
      <c r="L506">
        <v>301</v>
      </c>
      <c r="M506" s="1" t="s">
        <v>32</v>
      </c>
    </row>
    <row r="507" spans="1:13" x14ac:dyDescent="0.2">
      <c r="A507" s="1" t="s">
        <v>737</v>
      </c>
      <c r="B507">
        <v>506</v>
      </c>
      <c r="C507" s="1" t="s">
        <v>28</v>
      </c>
      <c r="D507" s="1" t="s">
        <v>31</v>
      </c>
      <c r="E507" s="1" t="s">
        <v>112</v>
      </c>
      <c r="F507" s="1" t="s">
        <v>736</v>
      </c>
      <c r="G507">
        <v>5</v>
      </c>
      <c r="H507">
        <v>22</v>
      </c>
      <c r="I507" s="1" t="s">
        <v>31</v>
      </c>
      <c r="J507" s="1" t="s">
        <v>34</v>
      </c>
      <c r="K507" s="1" t="s">
        <v>35</v>
      </c>
      <c r="L507">
        <v>261</v>
      </c>
      <c r="M507" s="1" t="s">
        <v>32</v>
      </c>
    </row>
    <row r="508" spans="1:13" x14ac:dyDescent="0.2">
      <c r="A508" s="1" t="s">
        <v>738</v>
      </c>
      <c r="B508">
        <v>507</v>
      </c>
      <c r="C508" s="1" t="s">
        <v>28</v>
      </c>
      <c r="D508" s="1" t="s">
        <v>31</v>
      </c>
      <c r="E508" s="1" t="s">
        <v>112</v>
      </c>
      <c r="F508" s="1" t="s">
        <v>736</v>
      </c>
      <c r="G508">
        <v>5</v>
      </c>
      <c r="H508">
        <v>22</v>
      </c>
      <c r="I508" s="1" t="s">
        <v>31</v>
      </c>
      <c r="J508" s="1" t="s">
        <v>37</v>
      </c>
      <c r="K508" s="1" t="s">
        <v>38</v>
      </c>
      <c r="L508">
        <v>38</v>
      </c>
      <c r="M508" s="1" t="s">
        <v>32</v>
      </c>
    </row>
    <row r="509" spans="1:13" x14ac:dyDescent="0.2">
      <c r="A509" s="1" t="s">
        <v>739</v>
      </c>
      <c r="B509">
        <v>508</v>
      </c>
      <c r="C509" s="1" t="s">
        <v>28</v>
      </c>
      <c r="D509" s="1" t="s">
        <v>31</v>
      </c>
      <c r="E509" s="1" t="s">
        <v>112</v>
      </c>
      <c r="F509" s="1" t="s">
        <v>736</v>
      </c>
      <c r="G509">
        <v>5</v>
      </c>
      <c r="H509">
        <v>22</v>
      </c>
      <c r="I509" s="1" t="s">
        <v>31</v>
      </c>
      <c r="J509" s="1" t="s">
        <v>40</v>
      </c>
      <c r="K509" s="1" t="s">
        <v>41</v>
      </c>
      <c r="L509">
        <v>47</v>
      </c>
      <c r="M509" s="1" t="s">
        <v>32</v>
      </c>
    </row>
    <row r="510" spans="1:13" x14ac:dyDescent="0.2">
      <c r="A510" s="1" t="s">
        <v>740</v>
      </c>
      <c r="B510">
        <v>509</v>
      </c>
      <c r="C510" s="1" t="s">
        <v>28</v>
      </c>
      <c r="D510" s="1" t="s">
        <v>31</v>
      </c>
      <c r="E510" s="1" t="s">
        <v>112</v>
      </c>
      <c r="F510" s="1" t="s">
        <v>736</v>
      </c>
      <c r="G510">
        <v>5</v>
      </c>
      <c r="H510">
        <v>22</v>
      </c>
      <c r="I510" s="1" t="s">
        <v>31</v>
      </c>
      <c r="J510" s="1" t="s">
        <v>43</v>
      </c>
      <c r="K510" s="1" t="s">
        <v>44</v>
      </c>
      <c r="L510">
        <v>170</v>
      </c>
      <c r="M510" s="1" t="s">
        <v>32</v>
      </c>
    </row>
    <row r="511" spans="1:13" x14ac:dyDescent="0.2">
      <c r="A511" s="1" t="s">
        <v>741</v>
      </c>
      <c r="B511">
        <v>510</v>
      </c>
      <c r="C511" s="1" t="s">
        <v>28</v>
      </c>
      <c r="D511" s="1" t="s">
        <v>31</v>
      </c>
      <c r="E511" s="1" t="s">
        <v>112</v>
      </c>
      <c r="F511" s="1" t="s">
        <v>736</v>
      </c>
      <c r="G511">
        <v>5</v>
      </c>
      <c r="H511">
        <v>22</v>
      </c>
      <c r="I511" s="1" t="s">
        <v>31</v>
      </c>
      <c r="J511" s="1" t="s">
        <v>46</v>
      </c>
      <c r="K511" s="1" t="s">
        <v>47</v>
      </c>
      <c r="L511">
        <v>49</v>
      </c>
      <c r="M511" s="1" t="s">
        <v>32</v>
      </c>
    </row>
    <row r="512" spans="1:13" x14ac:dyDescent="0.2">
      <c r="A512" s="1" t="s">
        <v>742</v>
      </c>
      <c r="B512">
        <v>511</v>
      </c>
      <c r="C512" s="1" t="s">
        <v>28</v>
      </c>
      <c r="D512" s="1" t="s">
        <v>31</v>
      </c>
      <c r="E512" s="1" t="s">
        <v>112</v>
      </c>
      <c r="F512" s="1" t="s">
        <v>736</v>
      </c>
      <c r="G512">
        <v>5</v>
      </c>
      <c r="H512">
        <v>22</v>
      </c>
      <c r="I512" s="1" t="s">
        <v>49</v>
      </c>
      <c r="J512" s="1" t="s">
        <v>29</v>
      </c>
      <c r="K512" s="1" t="s">
        <v>30</v>
      </c>
      <c r="L512">
        <v>220</v>
      </c>
      <c r="M512" s="1" t="s">
        <v>32</v>
      </c>
    </row>
    <row r="513" spans="1:13" x14ac:dyDescent="0.2">
      <c r="A513" s="1" t="s">
        <v>743</v>
      </c>
      <c r="B513">
        <v>512</v>
      </c>
      <c r="C513" s="1" t="s">
        <v>28</v>
      </c>
      <c r="D513" s="1" t="s">
        <v>31</v>
      </c>
      <c r="E513" s="1" t="s">
        <v>112</v>
      </c>
      <c r="F513" s="1" t="s">
        <v>736</v>
      </c>
      <c r="G513">
        <v>5</v>
      </c>
      <c r="H513">
        <v>22</v>
      </c>
      <c r="I513" s="1" t="s">
        <v>49</v>
      </c>
      <c r="J513" s="1" t="s">
        <v>34</v>
      </c>
      <c r="K513" s="1" t="s">
        <v>35</v>
      </c>
      <c r="L513">
        <v>50</v>
      </c>
      <c r="M513" s="1" t="s">
        <v>32</v>
      </c>
    </row>
    <row r="514" spans="1:13" x14ac:dyDescent="0.2">
      <c r="A514" s="1" t="s">
        <v>744</v>
      </c>
      <c r="B514">
        <v>513</v>
      </c>
      <c r="C514" s="1" t="s">
        <v>28</v>
      </c>
      <c r="D514" s="1" t="s">
        <v>31</v>
      </c>
      <c r="E514" s="1" t="s">
        <v>112</v>
      </c>
      <c r="F514" s="1" t="s">
        <v>736</v>
      </c>
      <c r="G514">
        <v>5</v>
      </c>
      <c r="H514">
        <v>22</v>
      </c>
      <c r="I514" s="1" t="s">
        <v>49</v>
      </c>
      <c r="J514" s="1" t="s">
        <v>37</v>
      </c>
      <c r="K514" s="1" t="s">
        <v>38</v>
      </c>
      <c r="L514">
        <v>150</v>
      </c>
      <c r="M514" s="1" t="s">
        <v>32</v>
      </c>
    </row>
    <row r="515" spans="1:13" x14ac:dyDescent="0.2">
      <c r="A515" s="1" t="s">
        <v>745</v>
      </c>
      <c r="B515">
        <v>514</v>
      </c>
      <c r="C515" s="1" t="s">
        <v>28</v>
      </c>
      <c r="D515" s="1" t="s">
        <v>31</v>
      </c>
      <c r="E515" s="1" t="s">
        <v>112</v>
      </c>
      <c r="F515" s="1" t="s">
        <v>736</v>
      </c>
      <c r="G515">
        <v>5</v>
      </c>
      <c r="H515">
        <v>22</v>
      </c>
      <c r="I515" s="1" t="s">
        <v>49</v>
      </c>
      <c r="J515" s="1" t="s">
        <v>40</v>
      </c>
      <c r="K515" s="1" t="s">
        <v>41</v>
      </c>
      <c r="L515">
        <v>40</v>
      </c>
      <c r="M515" s="1" t="s">
        <v>32</v>
      </c>
    </row>
    <row r="516" spans="1:13" x14ac:dyDescent="0.2">
      <c r="A516" s="1" t="s">
        <v>746</v>
      </c>
      <c r="B516">
        <v>515</v>
      </c>
      <c r="C516" s="1" t="s">
        <v>28</v>
      </c>
      <c r="D516" s="1" t="s">
        <v>31</v>
      </c>
      <c r="E516" s="1" t="s">
        <v>112</v>
      </c>
      <c r="F516" s="1" t="s">
        <v>736</v>
      </c>
      <c r="G516">
        <v>5</v>
      </c>
      <c r="H516">
        <v>22</v>
      </c>
      <c r="I516" s="1" t="s">
        <v>49</v>
      </c>
      <c r="J516" s="1" t="s">
        <v>43</v>
      </c>
      <c r="K516" s="1" t="s">
        <v>44</v>
      </c>
      <c r="L516">
        <v>60</v>
      </c>
      <c r="M516" s="1" t="s">
        <v>32</v>
      </c>
    </row>
    <row r="517" spans="1:13" x14ac:dyDescent="0.2">
      <c r="A517" s="1" t="s">
        <v>747</v>
      </c>
      <c r="B517">
        <v>516</v>
      </c>
      <c r="C517" s="1" t="s">
        <v>28</v>
      </c>
      <c r="D517" s="1" t="s">
        <v>31</v>
      </c>
      <c r="E517" s="1" t="s">
        <v>112</v>
      </c>
      <c r="F517" s="1" t="s">
        <v>736</v>
      </c>
      <c r="G517">
        <v>5</v>
      </c>
      <c r="H517">
        <v>22</v>
      </c>
      <c r="I517" s="1" t="s">
        <v>49</v>
      </c>
      <c r="J517" s="1" t="s">
        <v>46</v>
      </c>
      <c r="K517" s="1" t="s">
        <v>47</v>
      </c>
      <c r="L517">
        <v>60</v>
      </c>
      <c r="M517" s="1" t="s">
        <v>32</v>
      </c>
    </row>
    <row r="518" spans="1:13" x14ac:dyDescent="0.2">
      <c r="A518" s="1" t="s">
        <v>748</v>
      </c>
      <c r="B518">
        <v>517</v>
      </c>
      <c r="C518" s="1" t="s">
        <v>28</v>
      </c>
      <c r="D518" s="1" t="s">
        <v>31</v>
      </c>
      <c r="E518" s="1" t="s">
        <v>112</v>
      </c>
      <c r="F518" s="1" t="s">
        <v>736</v>
      </c>
      <c r="G518">
        <v>5</v>
      </c>
      <c r="H518">
        <v>22</v>
      </c>
      <c r="I518" s="1" t="s">
        <v>56</v>
      </c>
      <c r="J518" s="1" t="s">
        <v>29</v>
      </c>
      <c r="K518" s="1" t="s">
        <v>30</v>
      </c>
      <c r="L518">
        <v>100</v>
      </c>
      <c r="M518" s="1" t="s">
        <v>32</v>
      </c>
    </row>
    <row r="519" spans="1:13" x14ac:dyDescent="0.2">
      <c r="A519" s="1" t="s">
        <v>749</v>
      </c>
      <c r="B519">
        <v>518</v>
      </c>
      <c r="C519" s="1" t="s">
        <v>28</v>
      </c>
      <c r="D519" s="1" t="s">
        <v>31</v>
      </c>
      <c r="E519" s="1" t="s">
        <v>112</v>
      </c>
      <c r="F519" s="1" t="s">
        <v>736</v>
      </c>
      <c r="G519">
        <v>5</v>
      </c>
      <c r="H519">
        <v>22</v>
      </c>
      <c r="I519" s="1" t="s">
        <v>56</v>
      </c>
      <c r="J519" s="1" t="s">
        <v>34</v>
      </c>
      <c r="K519" s="1" t="s">
        <v>35</v>
      </c>
      <c r="L519">
        <v>40</v>
      </c>
      <c r="M519" s="1" t="s">
        <v>32</v>
      </c>
    </row>
    <row r="520" spans="1:13" x14ac:dyDescent="0.2">
      <c r="A520" s="1" t="s">
        <v>750</v>
      </c>
      <c r="B520">
        <v>519</v>
      </c>
      <c r="C520" s="1" t="s">
        <v>28</v>
      </c>
      <c r="D520" s="1" t="s">
        <v>31</v>
      </c>
      <c r="E520" s="1" t="s">
        <v>112</v>
      </c>
      <c r="F520" s="1" t="s">
        <v>736</v>
      </c>
      <c r="G520">
        <v>5</v>
      </c>
      <c r="H520">
        <v>22</v>
      </c>
      <c r="I520" s="1" t="s">
        <v>56</v>
      </c>
      <c r="J520" s="1" t="s">
        <v>37</v>
      </c>
      <c r="K520" s="1" t="s">
        <v>38</v>
      </c>
      <c r="L520">
        <v>175</v>
      </c>
      <c r="M520" s="1" t="s">
        <v>32</v>
      </c>
    </row>
    <row r="521" spans="1:13" x14ac:dyDescent="0.2">
      <c r="A521" s="1" t="s">
        <v>751</v>
      </c>
      <c r="B521">
        <v>520</v>
      </c>
      <c r="C521" s="1" t="s">
        <v>28</v>
      </c>
      <c r="D521" s="1" t="s">
        <v>31</v>
      </c>
      <c r="E521" s="1" t="s">
        <v>112</v>
      </c>
      <c r="F521" s="1" t="s">
        <v>736</v>
      </c>
      <c r="G521">
        <v>5</v>
      </c>
      <c r="H521">
        <v>22</v>
      </c>
      <c r="I521" s="1" t="s">
        <v>56</v>
      </c>
      <c r="J521" s="1" t="s">
        <v>40</v>
      </c>
      <c r="K521" s="1" t="s">
        <v>41</v>
      </c>
      <c r="L521">
        <v>40</v>
      </c>
      <c r="M521" s="1" t="s">
        <v>32</v>
      </c>
    </row>
    <row r="522" spans="1:13" x14ac:dyDescent="0.2">
      <c r="A522" s="1" t="s">
        <v>752</v>
      </c>
      <c r="B522">
        <v>521</v>
      </c>
      <c r="C522" s="1" t="s">
        <v>28</v>
      </c>
      <c r="D522" s="1" t="s">
        <v>31</v>
      </c>
      <c r="E522" s="1" t="s">
        <v>112</v>
      </c>
      <c r="F522" s="1" t="s">
        <v>736</v>
      </c>
      <c r="G522">
        <v>5</v>
      </c>
      <c r="H522">
        <v>22</v>
      </c>
      <c r="I522" s="1" t="s">
        <v>56</v>
      </c>
      <c r="J522" s="1" t="s">
        <v>43</v>
      </c>
      <c r="K522" s="1" t="s">
        <v>44</v>
      </c>
      <c r="L522">
        <v>37</v>
      </c>
      <c r="M522" s="1" t="s">
        <v>32</v>
      </c>
    </row>
    <row r="523" spans="1:13" x14ac:dyDescent="0.2">
      <c r="A523" s="1" t="s">
        <v>753</v>
      </c>
      <c r="B523">
        <v>522</v>
      </c>
      <c r="C523" s="1" t="s">
        <v>28</v>
      </c>
      <c r="D523" s="1" t="s">
        <v>31</v>
      </c>
      <c r="E523" s="1" t="s">
        <v>112</v>
      </c>
      <c r="F523" s="1" t="s">
        <v>736</v>
      </c>
      <c r="G523">
        <v>5</v>
      </c>
      <c r="H523">
        <v>22</v>
      </c>
      <c r="I523" s="1" t="s">
        <v>56</v>
      </c>
      <c r="J523" s="1" t="s">
        <v>46</v>
      </c>
      <c r="K523" s="1" t="s">
        <v>47</v>
      </c>
      <c r="L523">
        <v>40</v>
      </c>
      <c r="M523" s="1" t="s">
        <v>32</v>
      </c>
    </row>
    <row r="524" spans="1:13" x14ac:dyDescent="0.2">
      <c r="A524" s="1" t="s">
        <v>754</v>
      </c>
      <c r="B524">
        <v>523</v>
      </c>
      <c r="C524" s="1" t="s">
        <v>28</v>
      </c>
      <c r="D524" s="1" t="s">
        <v>31</v>
      </c>
      <c r="E524" s="1" t="s">
        <v>112</v>
      </c>
      <c r="F524" s="1" t="s">
        <v>736</v>
      </c>
      <c r="G524">
        <v>5</v>
      </c>
      <c r="H524">
        <v>22</v>
      </c>
      <c r="I524" s="1" t="s">
        <v>63</v>
      </c>
      <c r="J524" s="1" t="s">
        <v>29</v>
      </c>
      <c r="K524" s="1" t="s">
        <v>30</v>
      </c>
      <c r="L524">
        <v>75</v>
      </c>
      <c r="M524" s="1" t="s">
        <v>32</v>
      </c>
    </row>
    <row r="525" spans="1:13" x14ac:dyDescent="0.2">
      <c r="A525" s="1" t="s">
        <v>755</v>
      </c>
      <c r="B525">
        <v>524</v>
      </c>
      <c r="C525" s="1" t="s">
        <v>28</v>
      </c>
      <c r="D525" s="1" t="s">
        <v>31</v>
      </c>
      <c r="E525" s="1" t="s">
        <v>112</v>
      </c>
      <c r="F525" s="1" t="s">
        <v>736</v>
      </c>
      <c r="G525">
        <v>5</v>
      </c>
      <c r="H525">
        <v>22</v>
      </c>
      <c r="I525" s="1" t="s">
        <v>63</v>
      </c>
      <c r="J525" s="1" t="s">
        <v>34</v>
      </c>
      <c r="K525" s="1" t="s">
        <v>35</v>
      </c>
      <c r="L525">
        <v>40</v>
      </c>
      <c r="M525" s="1" t="s">
        <v>32</v>
      </c>
    </row>
    <row r="526" spans="1:13" x14ac:dyDescent="0.2">
      <c r="A526" s="1" t="s">
        <v>756</v>
      </c>
      <c r="B526">
        <v>525</v>
      </c>
      <c r="C526" s="1" t="s">
        <v>28</v>
      </c>
      <c r="D526" s="1" t="s">
        <v>31</v>
      </c>
      <c r="E526" s="1" t="s">
        <v>112</v>
      </c>
      <c r="F526" s="1" t="s">
        <v>736</v>
      </c>
      <c r="G526">
        <v>5</v>
      </c>
      <c r="H526">
        <v>22</v>
      </c>
      <c r="I526" s="1" t="s">
        <v>63</v>
      </c>
      <c r="J526" s="1" t="s">
        <v>37</v>
      </c>
      <c r="K526" s="1" t="s">
        <v>38</v>
      </c>
      <c r="L526">
        <v>75</v>
      </c>
      <c r="M526" s="1" t="s">
        <v>32</v>
      </c>
    </row>
    <row r="527" spans="1:13" x14ac:dyDescent="0.2">
      <c r="A527" s="1" t="s">
        <v>757</v>
      </c>
      <c r="B527">
        <v>526</v>
      </c>
      <c r="C527" s="1" t="s">
        <v>28</v>
      </c>
      <c r="D527" s="1" t="s">
        <v>31</v>
      </c>
      <c r="E527" s="1" t="s">
        <v>112</v>
      </c>
      <c r="F527" s="1" t="s">
        <v>736</v>
      </c>
      <c r="G527">
        <v>5</v>
      </c>
      <c r="H527">
        <v>22</v>
      </c>
      <c r="I527" s="1" t="s">
        <v>63</v>
      </c>
      <c r="J527" s="1" t="s">
        <v>40</v>
      </c>
      <c r="K527" s="1" t="s">
        <v>41</v>
      </c>
      <c r="L527">
        <v>77</v>
      </c>
      <c r="M527" s="1" t="s">
        <v>32</v>
      </c>
    </row>
    <row r="528" spans="1:13" x14ac:dyDescent="0.2">
      <c r="A528" s="1" t="s">
        <v>758</v>
      </c>
      <c r="B528">
        <v>527</v>
      </c>
      <c r="C528" s="1" t="s">
        <v>28</v>
      </c>
      <c r="D528" s="1" t="s">
        <v>31</v>
      </c>
      <c r="E528" s="1" t="s">
        <v>112</v>
      </c>
      <c r="F528" s="1" t="s">
        <v>736</v>
      </c>
      <c r="G528">
        <v>5</v>
      </c>
      <c r="H528">
        <v>22</v>
      </c>
      <c r="I528" s="1" t="s">
        <v>63</v>
      </c>
      <c r="J528" s="1" t="s">
        <v>43</v>
      </c>
      <c r="K528" s="1" t="s">
        <v>44</v>
      </c>
      <c r="L528">
        <v>40</v>
      </c>
      <c r="M528" s="1" t="s">
        <v>32</v>
      </c>
    </row>
    <row r="529" spans="1:13" x14ac:dyDescent="0.2">
      <c r="A529" s="1" t="s">
        <v>759</v>
      </c>
      <c r="B529">
        <v>528</v>
      </c>
      <c r="C529" s="1" t="s">
        <v>28</v>
      </c>
      <c r="D529" s="1" t="s">
        <v>31</v>
      </c>
      <c r="E529" s="1" t="s">
        <v>112</v>
      </c>
      <c r="F529" s="1" t="s">
        <v>736</v>
      </c>
      <c r="G529">
        <v>5</v>
      </c>
      <c r="H529">
        <v>22</v>
      </c>
      <c r="I529" s="1" t="s">
        <v>63</v>
      </c>
      <c r="J529" s="1" t="s">
        <v>46</v>
      </c>
      <c r="K529" s="1" t="s">
        <v>47</v>
      </c>
      <c r="L529">
        <v>40</v>
      </c>
      <c r="M529" s="1" t="s">
        <v>32</v>
      </c>
    </row>
    <row r="530" spans="1:13" x14ac:dyDescent="0.2">
      <c r="A530" s="1" t="s">
        <v>763</v>
      </c>
      <c r="B530">
        <v>529</v>
      </c>
      <c r="C530" s="1" t="s">
        <v>28</v>
      </c>
      <c r="D530" s="1" t="s">
        <v>31</v>
      </c>
      <c r="E530" s="1" t="s">
        <v>31</v>
      </c>
      <c r="F530" s="1" t="s">
        <v>764</v>
      </c>
      <c r="G530">
        <v>5</v>
      </c>
      <c r="H530">
        <v>23</v>
      </c>
      <c r="I530" s="1" t="s">
        <v>31</v>
      </c>
      <c r="J530" s="1" t="s">
        <v>29</v>
      </c>
      <c r="K530" s="1" t="s">
        <v>30</v>
      </c>
      <c r="L530">
        <v>717</v>
      </c>
      <c r="M530" s="1" t="s">
        <v>32</v>
      </c>
    </row>
    <row r="531" spans="1:13" x14ac:dyDescent="0.2">
      <c r="A531" s="1" t="s">
        <v>765</v>
      </c>
      <c r="B531">
        <v>530</v>
      </c>
      <c r="C531" s="1" t="s">
        <v>28</v>
      </c>
      <c r="D531" s="1" t="s">
        <v>31</v>
      </c>
      <c r="E531" s="1" t="s">
        <v>31</v>
      </c>
      <c r="F531" s="1" t="s">
        <v>764</v>
      </c>
      <c r="G531">
        <v>5</v>
      </c>
      <c r="H531">
        <v>23</v>
      </c>
      <c r="I531" s="1" t="s">
        <v>31</v>
      </c>
      <c r="J531" s="1" t="s">
        <v>34</v>
      </c>
      <c r="K531" s="1" t="s">
        <v>35</v>
      </c>
      <c r="L531">
        <v>323</v>
      </c>
      <c r="M531" s="1" t="s">
        <v>32</v>
      </c>
    </row>
    <row r="532" spans="1:13" x14ac:dyDescent="0.2">
      <c r="A532" s="1" t="s">
        <v>766</v>
      </c>
      <c r="B532">
        <v>531</v>
      </c>
      <c r="C532" s="1" t="s">
        <v>28</v>
      </c>
      <c r="D532" s="1" t="s">
        <v>31</v>
      </c>
      <c r="E532" s="1" t="s">
        <v>31</v>
      </c>
      <c r="F532" s="1" t="s">
        <v>764</v>
      </c>
      <c r="G532">
        <v>5</v>
      </c>
      <c r="H532">
        <v>23</v>
      </c>
      <c r="I532" s="1" t="s">
        <v>31</v>
      </c>
      <c r="J532" s="1" t="s">
        <v>37</v>
      </c>
      <c r="K532" s="1" t="s">
        <v>38</v>
      </c>
      <c r="L532">
        <v>597</v>
      </c>
      <c r="M532" s="1" t="s">
        <v>32</v>
      </c>
    </row>
    <row r="533" spans="1:13" x14ac:dyDescent="0.2">
      <c r="A533" s="1" t="s">
        <v>767</v>
      </c>
      <c r="B533">
        <v>532</v>
      </c>
      <c r="C533" s="1" t="s">
        <v>28</v>
      </c>
      <c r="D533" s="1" t="s">
        <v>31</v>
      </c>
      <c r="E533" s="1" t="s">
        <v>31</v>
      </c>
      <c r="F533" s="1" t="s">
        <v>764</v>
      </c>
      <c r="G533">
        <v>5</v>
      </c>
      <c r="H533">
        <v>23</v>
      </c>
      <c r="I533" s="1" t="s">
        <v>31</v>
      </c>
      <c r="J533" s="1" t="s">
        <v>40</v>
      </c>
      <c r="K533" s="1" t="s">
        <v>41</v>
      </c>
      <c r="L533">
        <v>189</v>
      </c>
      <c r="M533" s="1" t="s">
        <v>32</v>
      </c>
    </row>
    <row r="534" spans="1:13" x14ac:dyDescent="0.2">
      <c r="A534" s="1" t="s">
        <v>768</v>
      </c>
      <c r="B534">
        <v>533</v>
      </c>
      <c r="C534" s="1" t="s">
        <v>28</v>
      </c>
      <c r="D534" s="1" t="s">
        <v>31</v>
      </c>
      <c r="E534" s="1" t="s">
        <v>31</v>
      </c>
      <c r="F534" s="1" t="s">
        <v>764</v>
      </c>
      <c r="G534">
        <v>5</v>
      </c>
      <c r="H534">
        <v>23</v>
      </c>
      <c r="I534" s="1" t="s">
        <v>31</v>
      </c>
      <c r="J534" s="1" t="s">
        <v>43</v>
      </c>
      <c r="K534" s="1" t="s">
        <v>44</v>
      </c>
      <c r="L534">
        <v>295</v>
      </c>
      <c r="M534" s="1" t="s">
        <v>32</v>
      </c>
    </row>
    <row r="535" spans="1:13" x14ac:dyDescent="0.2">
      <c r="A535" s="1" t="s">
        <v>769</v>
      </c>
      <c r="B535">
        <v>534</v>
      </c>
      <c r="C535" s="1" t="s">
        <v>28</v>
      </c>
      <c r="D535" s="1" t="s">
        <v>31</v>
      </c>
      <c r="E535" s="1" t="s">
        <v>31</v>
      </c>
      <c r="F535" s="1" t="s">
        <v>764</v>
      </c>
      <c r="G535">
        <v>5</v>
      </c>
      <c r="H535">
        <v>23</v>
      </c>
      <c r="I535" s="1" t="s">
        <v>31</v>
      </c>
      <c r="J535" s="1" t="s">
        <v>46</v>
      </c>
      <c r="K535" s="1" t="s">
        <v>47</v>
      </c>
      <c r="L535">
        <v>247</v>
      </c>
      <c r="M535" s="1" t="s">
        <v>32</v>
      </c>
    </row>
    <row r="536" spans="1:13" x14ac:dyDescent="0.2">
      <c r="A536" s="1" t="s">
        <v>770</v>
      </c>
      <c r="B536">
        <v>535</v>
      </c>
      <c r="C536" s="1" t="s">
        <v>28</v>
      </c>
      <c r="D536" s="1" t="s">
        <v>31</v>
      </c>
      <c r="E536" s="1" t="s">
        <v>31</v>
      </c>
      <c r="F536" s="1" t="s">
        <v>764</v>
      </c>
      <c r="G536">
        <v>5</v>
      </c>
      <c r="H536">
        <v>23</v>
      </c>
      <c r="I536" s="1" t="s">
        <v>49</v>
      </c>
      <c r="J536" s="1" t="s">
        <v>29</v>
      </c>
      <c r="K536" s="1" t="s">
        <v>30</v>
      </c>
      <c r="L536">
        <v>219</v>
      </c>
      <c r="M536" s="1" t="s">
        <v>32</v>
      </c>
    </row>
    <row r="537" spans="1:13" x14ac:dyDescent="0.2">
      <c r="A537" s="1" t="s">
        <v>771</v>
      </c>
      <c r="B537">
        <v>536</v>
      </c>
      <c r="C537" s="1" t="s">
        <v>28</v>
      </c>
      <c r="D537" s="1" t="s">
        <v>31</v>
      </c>
      <c r="E537" s="1" t="s">
        <v>31</v>
      </c>
      <c r="F537" s="1" t="s">
        <v>764</v>
      </c>
      <c r="G537">
        <v>5</v>
      </c>
      <c r="H537">
        <v>23</v>
      </c>
      <c r="I537" s="1" t="s">
        <v>49</v>
      </c>
      <c r="J537" s="1" t="s">
        <v>34</v>
      </c>
      <c r="K537" s="1" t="s">
        <v>35</v>
      </c>
      <c r="L537">
        <v>50</v>
      </c>
      <c r="M537" s="1" t="s">
        <v>32</v>
      </c>
    </row>
    <row r="538" spans="1:13" x14ac:dyDescent="0.2">
      <c r="A538" s="1" t="s">
        <v>772</v>
      </c>
      <c r="B538">
        <v>537</v>
      </c>
      <c r="C538" s="1" t="s">
        <v>28</v>
      </c>
      <c r="D538" s="1" t="s">
        <v>31</v>
      </c>
      <c r="E538" s="1" t="s">
        <v>31</v>
      </c>
      <c r="F538" s="1" t="s">
        <v>764</v>
      </c>
      <c r="G538">
        <v>5</v>
      </c>
      <c r="H538">
        <v>23</v>
      </c>
      <c r="I538" s="1" t="s">
        <v>49</v>
      </c>
      <c r="J538" s="1" t="s">
        <v>37</v>
      </c>
      <c r="K538" s="1" t="s">
        <v>38</v>
      </c>
      <c r="L538">
        <v>150</v>
      </c>
      <c r="M538" s="1" t="s">
        <v>32</v>
      </c>
    </row>
    <row r="539" spans="1:13" x14ac:dyDescent="0.2">
      <c r="A539" s="1" t="s">
        <v>773</v>
      </c>
      <c r="B539">
        <v>538</v>
      </c>
      <c r="C539" s="1" t="s">
        <v>28</v>
      </c>
      <c r="D539" s="1" t="s">
        <v>31</v>
      </c>
      <c r="E539" s="1" t="s">
        <v>31</v>
      </c>
      <c r="F539" s="1" t="s">
        <v>764</v>
      </c>
      <c r="G539">
        <v>5</v>
      </c>
      <c r="H539">
        <v>23</v>
      </c>
      <c r="I539" s="1" t="s">
        <v>49</v>
      </c>
      <c r="J539" s="1" t="s">
        <v>40</v>
      </c>
      <c r="K539" s="1" t="s">
        <v>41</v>
      </c>
      <c r="L539">
        <v>40</v>
      </c>
      <c r="M539" s="1" t="s">
        <v>32</v>
      </c>
    </row>
    <row r="540" spans="1:13" x14ac:dyDescent="0.2">
      <c r="A540" s="1" t="s">
        <v>774</v>
      </c>
      <c r="B540">
        <v>539</v>
      </c>
      <c r="C540" s="1" t="s">
        <v>28</v>
      </c>
      <c r="D540" s="1" t="s">
        <v>31</v>
      </c>
      <c r="E540" s="1" t="s">
        <v>31</v>
      </c>
      <c r="F540" s="1" t="s">
        <v>764</v>
      </c>
      <c r="G540">
        <v>5</v>
      </c>
      <c r="H540">
        <v>23</v>
      </c>
      <c r="I540" s="1" t="s">
        <v>49</v>
      </c>
      <c r="J540" s="1" t="s">
        <v>43</v>
      </c>
      <c r="K540" s="1" t="s">
        <v>44</v>
      </c>
      <c r="L540">
        <v>60</v>
      </c>
      <c r="M540" s="1" t="s">
        <v>32</v>
      </c>
    </row>
    <row r="541" spans="1:13" x14ac:dyDescent="0.2">
      <c r="A541" s="1" t="s">
        <v>775</v>
      </c>
      <c r="B541">
        <v>540</v>
      </c>
      <c r="C541" s="1" t="s">
        <v>28</v>
      </c>
      <c r="D541" s="1" t="s">
        <v>31</v>
      </c>
      <c r="E541" s="1" t="s">
        <v>31</v>
      </c>
      <c r="F541" s="1" t="s">
        <v>764</v>
      </c>
      <c r="G541">
        <v>5</v>
      </c>
      <c r="H541">
        <v>23</v>
      </c>
      <c r="I541" s="1" t="s">
        <v>49</v>
      </c>
      <c r="J541" s="1" t="s">
        <v>46</v>
      </c>
      <c r="K541" s="1" t="s">
        <v>47</v>
      </c>
      <c r="L541">
        <v>60</v>
      </c>
      <c r="M541" s="1" t="s">
        <v>32</v>
      </c>
    </row>
    <row r="542" spans="1:13" x14ac:dyDescent="0.2">
      <c r="A542" s="1" t="s">
        <v>776</v>
      </c>
      <c r="B542">
        <v>541</v>
      </c>
      <c r="C542" s="1" t="s">
        <v>28</v>
      </c>
      <c r="D542" s="1" t="s">
        <v>31</v>
      </c>
      <c r="E542" s="1" t="s">
        <v>31</v>
      </c>
      <c r="F542" s="1" t="s">
        <v>764</v>
      </c>
      <c r="G542">
        <v>5</v>
      </c>
      <c r="H542">
        <v>23</v>
      </c>
      <c r="I542" s="1" t="s">
        <v>56</v>
      </c>
      <c r="J542" s="1" t="s">
        <v>29</v>
      </c>
      <c r="K542" s="1" t="s">
        <v>30</v>
      </c>
      <c r="L542">
        <v>100</v>
      </c>
      <c r="M542" s="1" t="s">
        <v>32</v>
      </c>
    </row>
    <row r="543" spans="1:13" x14ac:dyDescent="0.2">
      <c r="A543" s="1" t="s">
        <v>777</v>
      </c>
      <c r="B543">
        <v>542</v>
      </c>
      <c r="C543" s="1" t="s">
        <v>28</v>
      </c>
      <c r="D543" s="1" t="s">
        <v>31</v>
      </c>
      <c r="E543" s="1" t="s">
        <v>31</v>
      </c>
      <c r="F543" s="1" t="s">
        <v>764</v>
      </c>
      <c r="G543">
        <v>5</v>
      </c>
      <c r="H543">
        <v>23</v>
      </c>
      <c r="I543" s="1" t="s">
        <v>56</v>
      </c>
      <c r="J543" s="1" t="s">
        <v>34</v>
      </c>
      <c r="K543" s="1" t="s">
        <v>35</v>
      </c>
      <c r="L543">
        <v>19</v>
      </c>
      <c r="M543" s="1" t="s">
        <v>32</v>
      </c>
    </row>
    <row r="544" spans="1:13" x14ac:dyDescent="0.2">
      <c r="A544" s="1" t="s">
        <v>778</v>
      </c>
      <c r="B544">
        <v>543</v>
      </c>
      <c r="C544" s="1" t="s">
        <v>28</v>
      </c>
      <c r="D544" s="1" t="s">
        <v>31</v>
      </c>
      <c r="E544" s="1" t="s">
        <v>31</v>
      </c>
      <c r="F544" s="1" t="s">
        <v>764</v>
      </c>
      <c r="G544">
        <v>5</v>
      </c>
      <c r="H544">
        <v>23</v>
      </c>
      <c r="I544" s="1" t="s">
        <v>56</v>
      </c>
      <c r="J544" s="1" t="s">
        <v>37</v>
      </c>
      <c r="K544" s="1" t="s">
        <v>38</v>
      </c>
      <c r="L544">
        <v>119</v>
      </c>
      <c r="M544" s="1" t="s">
        <v>32</v>
      </c>
    </row>
    <row r="545" spans="1:13" x14ac:dyDescent="0.2">
      <c r="A545" s="1" t="s">
        <v>779</v>
      </c>
      <c r="B545">
        <v>544</v>
      </c>
      <c r="C545" s="1" t="s">
        <v>28</v>
      </c>
      <c r="D545" s="1" t="s">
        <v>31</v>
      </c>
      <c r="E545" s="1" t="s">
        <v>31</v>
      </c>
      <c r="F545" s="1" t="s">
        <v>764</v>
      </c>
      <c r="G545">
        <v>5</v>
      </c>
      <c r="H545">
        <v>23</v>
      </c>
      <c r="I545" s="1" t="s">
        <v>56</v>
      </c>
      <c r="J545" s="1" t="s">
        <v>40</v>
      </c>
      <c r="K545" s="1" t="s">
        <v>41</v>
      </c>
      <c r="L545">
        <v>40</v>
      </c>
      <c r="M545" s="1" t="s">
        <v>32</v>
      </c>
    </row>
    <row r="546" spans="1:13" x14ac:dyDescent="0.2">
      <c r="A546" s="1" t="s">
        <v>780</v>
      </c>
      <c r="B546">
        <v>545</v>
      </c>
      <c r="C546" s="1" t="s">
        <v>28</v>
      </c>
      <c r="D546" s="1" t="s">
        <v>31</v>
      </c>
      <c r="E546" s="1" t="s">
        <v>31</v>
      </c>
      <c r="F546" s="1" t="s">
        <v>764</v>
      </c>
      <c r="G546">
        <v>5</v>
      </c>
      <c r="H546">
        <v>23</v>
      </c>
      <c r="I546" s="1" t="s">
        <v>56</v>
      </c>
      <c r="J546" s="1" t="s">
        <v>43</v>
      </c>
      <c r="K546" s="1" t="s">
        <v>44</v>
      </c>
      <c r="L546">
        <v>40</v>
      </c>
      <c r="M546" s="1" t="s">
        <v>32</v>
      </c>
    </row>
    <row r="547" spans="1:13" x14ac:dyDescent="0.2">
      <c r="A547" s="1" t="s">
        <v>781</v>
      </c>
      <c r="B547">
        <v>546</v>
      </c>
      <c r="C547" s="1" t="s">
        <v>28</v>
      </c>
      <c r="D547" s="1" t="s">
        <v>31</v>
      </c>
      <c r="E547" s="1" t="s">
        <v>31</v>
      </c>
      <c r="F547" s="1" t="s">
        <v>764</v>
      </c>
      <c r="G547">
        <v>5</v>
      </c>
      <c r="H547">
        <v>23</v>
      </c>
      <c r="I547" s="1" t="s">
        <v>56</v>
      </c>
      <c r="J547" s="1" t="s">
        <v>46</v>
      </c>
      <c r="K547" s="1" t="s">
        <v>47</v>
      </c>
      <c r="L547">
        <v>40</v>
      </c>
      <c r="M547" s="1" t="s">
        <v>32</v>
      </c>
    </row>
    <row r="548" spans="1:13" x14ac:dyDescent="0.2">
      <c r="A548" s="1" t="s">
        <v>782</v>
      </c>
      <c r="B548">
        <v>547</v>
      </c>
      <c r="C548" s="1" t="s">
        <v>28</v>
      </c>
      <c r="D548" s="1" t="s">
        <v>31</v>
      </c>
      <c r="E548" s="1" t="s">
        <v>31</v>
      </c>
      <c r="F548" s="1" t="s">
        <v>764</v>
      </c>
      <c r="G548">
        <v>5</v>
      </c>
      <c r="H548">
        <v>23</v>
      </c>
      <c r="I548" s="1" t="s">
        <v>63</v>
      </c>
      <c r="J548" s="1" t="s">
        <v>29</v>
      </c>
      <c r="K548" s="1" t="s">
        <v>30</v>
      </c>
      <c r="L548">
        <v>75</v>
      </c>
      <c r="M548" s="1" t="s">
        <v>32</v>
      </c>
    </row>
    <row r="549" spans="1:13" x14ac:dyDescent="0.2">
      <c r="A549" s="1" t="s">
        <v>783</v>
      </c>
      <c r="B549">
        <v>548</v>
      </c>
      <c r="C549" s="1" t="s">
        <v>28</v>
      </c>
      <c r="D549" s="1" t="s">
        <v>31</v>
      </c>
      <c r="E549" s="1" t="s">
        <v>31</v>
      </c>
      <c r="F549" s="1" t="s">
        <v>764</v>
      </c>
      <c r="G549">
        <v>5</v>
      </c>
      <c r="H549">
        <v>23</v>
      </c>
      <c r="I549" s="1" t="s">
        <v>63</v>
      </c>
      <c r="J549" s="1" t="s">
        <v>34</v>
      </c>
      <c r="K549" s="1" t="s">
        <v>35</v>
      </c>
      <c r="L549">
        <v>40</v>
      </c>
      <c r="M549" s="1" t="s">
        <v>32</v>
      </c>
    </row>
    <row r="550" spans="1:13" x14ac:dyDescent="0.2">
      <c r="A550" s="1" t="s">
        <v>784</v>
      </c>
      <c r="B550">
        <v>549</v>
      </c>
      <c r="C550" s="1" t="s">
        <v>28</v>
      </c>
      <c r="D550" s="1" t="s">
        <v>31</v>
      </c>
      <c r="E550" s="1" t="s">
        <v>31</v>
      </c>
      <c r="F550" s="1" t="s">
        <v>764</v>
      </c>
      <c r="G550">
        <v>5</v>
      </c>
      <c r="H550">
        <v>23</v>
      </c>
      <c r="I550" s="1" t="s">
        <v>63</v>
      </c>
      <c r="J550" s="1" t="s">
        <v>37</v>
      </c>
      <c r="K550" s="1" t="s">
        <v>38</v>
      </c>
      <c r="L550">
        <v>75</v>
      </c>
      <c r="M550" s="1" t="s">
        <v>32</v>
      </c>
    </row>
    <row r="551" spans="1:13" x14ac:dyDescent="0.2">
      <c r="A551" s="1" t="s">
        <v>785</v>
      </c>
      <c r="B551">
        <v>550</v>
      </c>
      <c r="C551" s="1" t="s">
        <v>28</v>
      </c>
      <c r="D551" s="1" t="s">
        <v>31</v>
      </c>
      <c r="E551" s="1" t="s">
        <v>31</v>
      </c>
      <c r="F551" s="1" t="s">
        <v>764</v>
      </c>
      <c r="G551">
        <v>5</v>
      </c>
      <c r="H551">
        <v>23</v>
      </c>
      <c r="I551" s="1" t="s">
        <v>63</v>
      </c>
      <c r="J551" s="1" t="s">
        <v>40</v>
      </c>
      <c r="K551" s="1" t="s">
        <v>41</v>
      </c>
      <c r="L551">
        <v>100</v>
      </c>
      <c r="M551" s="1" t="s">
        <v>32</v>
      </c>
    </row>
    <row r="552" spans="1:13" x14ac:dyDescent="0.2">
      <c r="A552" s="1" t="s">
        <v>786</v>
      </c>
      <c r="B552">
        <v>551</v>
      </c>
      <c r="C552" s="1" t="s">
        <v>28</v>
      </c>
      <c r="D552" s="1" t="s">
        <v>31</v>
      </c>
      <c r="E552" s="1" t="s">
        <v>31</v>
      </c>
      <c r="F552" s="1" t="s">
        <v>764</v>
      </c>
      <c r="G552">
        <v>5</v>
      </c>
      <c r="H552">
        <v>23</v>
      </c>
      <c r="I552" s="1" t="s">
        <v>63</v>
      </c>
      <c r="J552" s="1" t="s">
        <v>43</v>
      </c>
      <c r="K552" s="1" t="s">
        <v>44</v>
      </c>
      <c r="L552">
        <v>40</v>
      </c>
      <c r="M552" s="1" t="s">
        <v>32</v>
      </c>
    </row>
    <row r="553" spans="1:13" x14ac:dyDescent="0.2">
      <c r="A553" s="1" t="s">
        <v>787</v>
      </c>
      <c r="B553">
        <v>552</v>
      </c>
      <c r="C553" s="1" t="s">
        <v>28</v>
      </c>
      <c r="D553" s="1" t="s">
        <v>31</v>
      </c>
      <c r="E553" s="1" t="s">
        <v>31</v>
      </c>
      <c r="F553" s="1" t="s">
        <v>764</v>
      </c>
      <c r="G553">
        <v>5</v>
      </c>
      <c r="H553">
        <v>23</v>
      </c>
      <c r="I553" s="1" t="s">
        <v>63</v>
      </c>
      <c r="J553" s="1" t="s">
        <v>46</v>
      </c>
      <c r="K553" s="1" t="s">
        <v>47</v>
      </c>
      <c r="L553">
        <v>40</v>
      </c>
      <c r="M553" s="1" t="s">
        <v>32</v>
      </c>
    </row>
    <row r="554" spans="1:13" x14ac:dyDescent="0.2">
      <c r="A554" s="1" t="s">
        <v>790</v>
      </c>
      <c r="B554">
        <v>553</v>
      </c>
      <c r="C554" s="1" t="s">
        <v>28</v>
      </c>
      <c r="D554" s="1" t="s">
        <v>31</v>
      </c>
      <c r="E554" s="1" t="s">
        <v>181</v>
      </c>
      <c r="F554" s="1" t="s">
        <v>791</v>
      </c>
      <c r="G554">
        <v>5</v>
      </c>
      <c r="H554">
        <v>24</v>
      </c>
      <c r="I554" s="1" t="s">
        <v>31</v>
      </c>
      <c r="J554" s="1" t="s">
        <v>29</v>
      </c>
      <c r="K554" s="1" t="s">
        <v>30</v>
      </c>
      <c r="L554">
        <v>716</v>
      </c>
      <c r="M554" s="1" t="s">
        <v>32</v>
      </c>
    </row>
    <row r="555" spans="1:13" x14ac:dyDescent="0.2">
      <c r="A555" s="1" t="s">
        <v>792</v>
      </c>
      <c r="B555">
        <v>554</v>
      </c>
      <c r="C555" s="1" t="s">
        <v>28</v>
      </c>
      <c r="D555" s="1" t="s">
        <v>31</v>
      </c>
      <c r="E555" s="1" t="s">
        <v>181</v>
      </c>
      <c r="F555" s="1" t="s">
        <v>791</v>
      </c>
      <c r="G555">
        <v>5</v>
      </c>
      <c r="H555">
        <v>24</v>
      </c>
      <c r="I555" s="1" t="s">
        <v>31</v>
      </c>
      <c r="J555" s="1" t="s">
        <v>34</v>
      </c>
      <c r="K555" s="1" t="s">
        <v>35</v>
      </c>
      <c r="L555">
        <v>302</v>
      </c>
      <c r="M555" s="1" t="s">
        <v>32</v>
      </c>
    </row>
    <row r="556" spans="1:13" x14ac:dyDescent="0.2">
      <c r="A556" s="1" t="s">
        <v>793</v>
      </c>
      <c r="B556">
        <v>555</v>
      </c>
      <c r="C556" s="1" t="s">
        <v>28</v>
      </c>
      <c r="D556" s="1" t="s">
        <v>31</v>
      </c>
      <c r="E556" s="1" t="s">
        <v>181</v>
      </c>
      <c r="F556" s="1" t="s">
        <v>791</v>
      </c>
      <c r="G556">
        <v>5</v>
      </c>
      <c r="H556">
        <v>24</v>
      </c>
      <c r="I556" s="1" t="s">
        <v>31</v>
      </c>
      <c r="J556" s="1" t="s">
        <v>37</v>
      </c>
      <c r="K556" s="1" t="s">
        <v>38</v>
      </c>
      <c r="L556">
        <v>541</v>
      </c>
      <c r="M556" s="1" t="s">
        <v>32</v>
      </c>
    </row>
    <row r="557" spans="1:13" x14ac:dyDescent="0.2">
      <c r="A557" s="1" t="s">
        <v>794</v>
      </c>
      <c r="B557">
        <v>556</v>
      </c>
      <c r="C557" s="1" t="s">
        <v>28</v>
      </c>
      <c r="D557" s="1" t="s">
        <v>31</v>
      </c>
      <c r="E557" s="1" t="s">
        <v>181</v>
      </c>
      <c r="F557" s="1" t="s">
        <v>791</v>
      </c>
      <c r="G557">
        <v>5</v>
      </c>
      <c r="H557">
        <v>24</v>
      </c>
      <c r="I557" s="1" t="s">
        <v>31</v>
      </c>
      <c r="J557" s="1" t="s">
        <v>40</v>
      </c>
      <c r="K557" s="1" t="s">
        <v>41</v>
      </c>
      <c r="L557">
        <v>189</v>
      </c>
      <c r="M557" s="1" t="s">
        <v>32</v>
      </c>
    </row>
    <row r="558" spans="1:13" x14ac:dyDescent="0.2">
      <c r="A558" s="1" t="s">
        <v>795</v>
      </c>
      <c r="B558">
        <v>557</v>
      </c>
      <c r="C558" s="1" t="s">
        <v>28</v>
      </c>
      <c r="D558" s="1" t="s">
        <v>31</v>
      </c>
      <c r="E558" s="1" t="s">
        <v>181</v>
      </c>
      <c r="F558" s="1" t="s">
        <v>791</v>
      </c>
      <c r="G558">
        <v>5</v>
      </c>
      <c r="H558">
        <v>24</v>
      </c>
      <c r="I558" s="1" t="s">
        <v>31</v>
      </c>
      <c r="J558" s="1" t="s">
        <v>43</v>
      </c>
      <c r="K558" s="1" t="s">
        <v>44</v>
      </c>
      <c r="L558">
        <v>265</v>
      </c>
      <c r="M558" s="1" t="s">
        <v>32</v>
      </c>
    </row>
    <row r="559" spans="1:13" x14ac:dyDescent="0.2">
      <c r="A559" s="1" t="s">
        <v>796</v>
      </c>
      <c r="B559">
        <v>558</v>
      </c>
      <c r="C559" s="1" t="s">
        <v>28</v>
      </c>
      <c r="D559" s="1" t="s">
        <v>31</v>
      </c>
      <c r="E559" s="1" t="s">
        <v>181</v>
      </c>
      <c r="F559" s="1" t="s">
        <v>791</v>
      </c>
      <c r="G559">
        <v>5</v>
      </c>
      <c r="H559">
        <v>24</v>
      </c>
      <c r="I559" s="1" t="s">
        <v>31</v>
      </c>
      <c r="J559" s="1" t="s">
        <v>46</v>
      </c>
      <c r="K559" s="1" t="s">
        <v>47</v>
      </c>
      <c r="L559">
        <v>247</v>
      </c>
      <c r="M559" s="1" t="s">
        <v>32</v>
      </c>
    </row>
    <row r="560" spans="1:13" x14ac:dyDescent="0.2">
      <c r="A560" s="1" t="s">
        <v>797</v>
      </c>
      <c r="B560">
        <v>559</v>
      </c>
      <c r="C560" s="1" t="s">
        <v>28</v>
      </c>
      <c r="D560" s="1" t="s">
        <v>31</v>
      </c>
      <c r="E560" s="1" t="s">
        <v>181</v>
      </c>
      <c r="F560" s="1" t="s">
        <v>791</v>
      </c>
      <c r="G560">
        <v>5</v>
      </c>
      <c r="H560">
        <v>24</v>
      </c>
      <c r="I560" s="1" t="s">
        <v>49</v>
      </c>
      <c r="J560" s="1" t="s">
        <v>29</v>
      </c>
      <c r="K560" s="1" t="s">
        <v>30</v>
      </c>
      <c r="L560">
        <v>72</v>
      </c>
      <c r="M560" s="1" t="s">
        <v>32</v>
      </c>
    </row>
    <row r="561" spans="1:13" x14ac:dyDescent="0.2">
      <c r="A561" s="1" t="s">
        <v>798</v>
      </c>
      <c r="B561">
        <v>560</v>
      </c>
      <c r="C561" s="1" t="s">
        <v>28</v>
      </c>
      <c r="D561" s="1" t="s">
        <v>31</v>
      </c>
      <c r="E561" s="1" t="s">
        <v>181</v>
      </c>
      <c r="F561" s="1" t="s">
        <v>791</v>
      </c>
      <c r="G561">
        <v>5</v>
      </c>
      <c r="H561">
        <v>24</v>
      </c>
      <c r="I561" s="1" t="s">
        <v>49</v>
      </c>
      <c r="J561" s="1" t="s">
        <v>34</v>
      </c>
      <c r="K561" s="1" t="s">
        <v>35</v>
      </c>
      <c r="L561">
        <v>50</v>
      </c>
      <c r="M561" s="1" t="s">
        <v>32</v>
      </c>
    </row>
    <row r="562" spans="1:13" x14ac:dyDescent="0.2">
      <c r="A562" s="1" t="s">
        <v>799</v>
      </c>
      <c r="B562">
        <v>561</v>
      </c>
      <c r="C562" s="1" t="s">
        <v>28</v>
      </c>
      <c r="D562" s="1" t="s">
        <v>31</v>
      </c>
      <c r="E562" s="1" t="s">
        <v>181</v>
      </c>
      <c r="F562" s="1" t="s">
        <v>791</v>
      </c>
      <c r="G562">
        <v>5</v>
      </c>
      <c r="H562">
        <v>24</v>
      </c>
      <c r="I562" s="1" t="s">
        <v>49</v>
      </c>
      <c r="J562" s="1" t="s">
        <v>37</v>
      </c>
      <c r="K562" s="1" t="s">
        <v>38</v>
      </c>
      <c r="L562">
        <v>92</v>
      </c>
      <c r="M562" s="1" t="s">
        <v>32</v>
      </c>
    </row>
    <row r="563" spans="1:13" x14ac:dyDescent="0.2">
      <c r="A563" s="1" t="s">
        <v>800</v>
      </c>
      <c r="B563">
        <v>562</v>
      </c>
      <c r="C563" s="1" t="s">
        <v>28</v>
      </c>
      <c r="D563" s="1" t="s">
        <v>31</v>
      </c>
      <c r="E563" s="1" t="s">
        <v>181</v>
      </c>
      <c r="F563" s="1" t="s">
        <v>791</v>
      </c>
      <c r="G563">
        <v>5</v>
      </c>
      <c r="H563">
        <v>24</v>
      </c>
      <c r="I563" s="1" t="s">
        <v>49</v>
      </c>
      <c r="J563" s="1" t="s">
        <v>40</v>
      </c>
      <c r="K563" s="1" t="s">
        <v>41</v>
      </c>
      <c r="L563">
        <v>40</v>
      </c>
      <c r="M563" s="1" t="s">
        <v>32</v>
      </c>
    </row>
    <row r="564" spans="1:13" x14ac:dyDescent="0.2">
      <c r="A564" s="1" t="s">
        <v>801</v>
      </c>
      <c r="B564">
        <v>563</v>
      </c>
      <c r="C564" s="1" t="s">
        <v>28</v>
      </c>
      <c r="D564" s="1" t="s">
        <v>31</v>
      </c>
      <c r="E564" s="1" t="s">
        <v>181</v>
      </c>
      <c r="F564" s="1" t="s">
        <v>791</v>
      </c>
      <c r="G564">
        <v>5</v>
      </c>
      <c r="H564">
        <v>24</v>
      </c>
      <c r="I564" s="1" t="s">
        <v>49</v>
      </c>
      <c r="J564" s="1" t="s">
        <v>43</v>
      </c>
      <c r="K564" s="1" t="s">
        <v>44</v>
      </c>
      <c r="L564">
        <v>60</v>
      </c>
      <c r="M564" s="1" t="s">
        <v>32</v>
      </c>
    </row>
    <row r="565" spans="1:13" x14ac:dyDescent="0.2">
      <c r="A565" s="1" t="s">
        <v>802</v>
      </c>
      <c r="B565">
        <v>564</v>
      </c>
      <c r="C565" s="1" t="s">
        <v>28</v>
      </c>
      <c r="D565" s="1" t="s">
        <v>31</v>
      </c>
      <c r="E565" s="1" t="s">
        <v>181</v>
      </c>
      <c r="F565" s="1" t="s">
        <v>791</v>
      </c>
      <c r="G565">
        <v>5</v>
      </c>
      <c r="H565">
        <v>24</v>
      </c>
      <c r="I565" s="1" t="s">
        <v>49</v>
      </c>
      <c r="J565" s="1" t="s">
        <v>46</v>
      </c>
      <c r="K565" s="1" t="s">
        <v>47</v>
      </c>
      <c r="L565">
        <v>0</v>
      </c>
      <c r="M565" s="1" t="s">
        <v>32</v>
      </c>
    </row>
    <row r="566" spans="1:13" x14ac:dyDescent="0.2">
      <c r="A566" s="1" t="s">
        <v>803</v>
      </c>
      <c r="B566">
        <v>565</v>
      </c>
      <c r="C566" s="1" t="s">
        <v>28</v>
      </c>
      <c r="D566" s="1" t="s">
        <v>31</v>
      </c>
      <c r="E566" s="1" t="s">
        <v>181</v>
      </c>
      <c r="F566" s="1" t="s">
        <v>791</v>
      </c>
      <c r="G566">
        <v>5</v>
      </c>
      <c r="H566">
        <v>24</v>
      </c>
      <c r="I566" s="1" t="s">
        <v>56</v>
      </c>
      <c r="J566" s="1" t="s">
        <v>29</v>
      </c>
      <c r="K566" s="1" t="s">
        <v>30</v>
      </c>
      <c r="L566">
        <v>100</v>
      </c>
      <c r="M566" s="1" t="s">
        <v>32</v>
      </c>
    </row>
    <row r="567" spans="1:13" x14ac:dyDescent="0.2">
      <c r="A567" s="1" t="s">
        <v>804</v>
      </c>
      <c r="B567">
        <v>566</v>
      </c>
      <c r="C567" s="1" t="s">
        <v>28</v>
      </c>
      <c r="D567" s="1" t="s">
        <v>31</v>
      </c>
      <c r="E567" s="1" t="s">
        <v>181</v>
      </c>
      <c r="F567" s="1" t="s">
        <v>791</v>
      </c>
      <c r="G567">
        <v>5</v>
      </c>
      <c r="H567">
        <v>24</v>
      </c>
      <c r="I567" s="1" t="s">
        <v>56</v>
      </c>
      <c r="J567" s="1" t="s">
        <v>34</v>
      </c>
      <c r="K567" s="1" t="s">
        <v>35</v>
      </c>
      <c r="L567">
        <v>40</v>
      </c>
      <c r="M567" s="1" t="s">
        <v>32</v>
      </c>
    </row>
    <row r="568" spans="1:13" x14ac:dyDescent="0.2">
      <c r="A568" s="1" t="s">
        <v>805</v>
      </c>
      <c r="B568">
        <v>567</v>
      </c>
      <c r="C568" s="1" t="s">
        <v>28</v>
      </c>
      <c r="D568" s="1" t="s">
        <v>31</v>
      </c>
      <c r="E568" s="1" t="s">
        <v>181</v>
      </c>
      <c r="F568" s="1" t="s">
        <v>791</v>
      </c>
      <c r="G568">
        <v>5</v>
      </c>
      <c r="H568">
        <v>24</v>
      </c>
      <c r="I568" s="1" t="s">
        <v>56</v>
      </c>
      <c r="J568" s="1" t="s">
        <v>37</v>
      </c>
      <c r="K568" s="1" t="s">
        <v>38</v>
      </c>
      <c r="L568">
        <v>114</v>
      </c>
      <c r="M568" s="1" t="s">
        <v>32</v>
      </c>
    </row>
    <row r="569" spans="1:13" x14ac:dyDescent="0.2">
      <c r="A569" s="1" t="s">
        <v>806</v>
      </c>
      <c r="B569">
        <v>568</v>
      </c>
      <c r="C569" s="1" t="s">
        <v>28</v>
      </c>
      <c r="D569" s="1" t="s">
        <v>31</v>
      </c>
      <c r="E569" s="1" t="s">
        <v>181</v>
      </c>
      <c r="F569" s="1" t="s">
        <v>791</v>
      </c>
      <c r="G569">
        <v>5</v>
      </c>
      <c r="H569">
        <v>24</v>
      </c>
      <c r="I569" s="1" t="s">
        <v>56</v>
      </c>
      <c r="J569" s="1" t="s">
        <v>40</v>
      </c>
      <c r="K569" s="1" t="s">
        <v>41</v>
      </c>
      <c r="L569">
        <v>40</v>
      </c>
      <c r="M569" s="1" t="s">
        <v>32</v>
      </c>
    </row>
    <row r="570" spans="1:13" x14ac:dyDescent="0.2">
      <c r="A570" s="1" t="s">
        <v>807</v>
      </c>
      <c r="B570">
        <v>569</v>
      </c>
      <c r="C570" s="1" t="s">
        <v>28</v>
      </c>
      <c r="D570" s="1" t="s">
        <v>31</v>
      </c>
      <c r="E570" s="1" t="s">
        <v>181</v>
      </c>
      <c r="F570" s="1" t="s">
        <v>791</v>
      </c>
      <c r="G570">
        <v>5</v>
      </c>
      <c r="H570">
        <v>24</v>
      </c>
      <c r="I570" s="1" t="s">
        <v>56</v>
      </c>
      <c r="J570" s="1" t="s">
        <v>43</v>
      </c>
      <c r="K570" s="1" t="s">
        <v>44</v>
      </c>
      <c r="L570">
        <v>70</v>
      </c>
      <c r="M570" s="1" t="s">
        <v>32</v>
      </c>
    </row>
    <row r="571" spans="1:13" x14ac:dyDescent="0.2">
      <c r="A571" s="1" t="s">
        <v>808</v>
      </c>
      <c r="B571">
        <v>570</v>
      </c>
      <c r="C571" s="1" t="s">
        <v>28</v>
      </c>
      <c r="D571" s="1" t="s">
        <v>31</v>
      </c>
      <c r="E571" s="1" t="s">
        <v>181</v>
      </c>
      <c r="F571" s="1" t="s">
        <v>791</v>
      </c>
      <c r="G571">
        <v>5</v>
      </c>
      <c r="H571">
        <v>24</v>
      </c>
      <c r="I571" s="1" t="s">
        <v>56</v>
      </c>
      <c r="J571" s="1" t="s">
        <v>46</v>
      </c>
      <c r="K571" s="1" t="s">
        <v>47</v>
      </c>
      <c r="L571">
        <v>40</v>
      </c>
      <c r="M571" s="1" t="s">
        <v>32</v>
      </c>
    </row>
    <row r="572" spans="1:13" x14ac:dyDescent="0.2">
      <c r="A572" s="1" t="s">
        <v>809</v>
      </c>
      <c r="B572">
        <v>571</v>
      </c>
      <c r="C572" s="1" t="s">
        <v>28</v>
      </c>
      <c r="D572" s="1" t="s">
        <v>31</v>
      </c>
      <c r="E572" s="1" t="s">
        <v>181</v>
      </c>
      <c r="F572" s="1" t="s">
        <v>791</v>
      </c>
      <c r="G572">
        <v>5</v>
      </c>
      <c r="H572">
        <v>24</v>
      </c>
      <c r="I572" s="1" t="s">
        <v>63</v>
      </c>
      <c r="J572" s="1" t="s">
        <v>29</v>
      </c>
      <c r="K572" s="1" t="s">
        <v>30</v>
      </c>
      <c r="L572">
        <v>75</v>
      </c>
      <c r="M572" s="1" t="s">
        <v>32</v>
      </c>
    </row>
    <row r="573" spans="1:13" x14ac:dyDescent="0.2">
      <c r="A573" s="1" t="s">
        <v>810</v>
      </c>
      <c r="B573">
        <v>572</v>
      </c>
      <c r="C573" s="1" t="s">
        <v>28</v>
      </c>
      <c r="D573" s="1" t="s">
        <v>31</v>
      </c>
      <c r="E573" s="1" t="s">
        <v>181</v>
      </c>
      <c r="F573" s="1" t="s">
        <v>791</v>
      </c>
      <c r="G573">
        <v>5</v>
      </c>
      <c r="H573">
        <v>24</v>
      </c>
      <c r="I573" s="1" t="s">
        <v>63</v>
      </c>
      <c r="J573" s="1" t="s">
        <v>34</v>
      </c>
      <c r="K573" s="1" t="s">
        <v>35</v>
      </c>
      <c r="L573">
        <v>40</v>
      </c>
      <c r="M573" s="1" t="s">
        <v>32</v>
      </c>
    </row>
    <row r="574" spans="1:13" x14ac:dyDescent="0.2">
      <c r="A574" s="1" t="s">
        <v>811</v>
      </c>
      <c r="B574">
        <v>573</v>
      </c>
      <c r="C574" s="1" t="s">
        <v>28</v>
      </c>
      <c r="D574" s="1" t="s">
        <v>31</v>
      </c>
      <c r="E574" s="1" t="s">
        <v>181</v>
      </c>
      <c r="F574" s="1" t="s">
        <v>791</v>
      </c>
      <c r="G574">
        <v>5</v>
      </c>
      <c r="H574">
        <v>24</v>
      </c>
      <c r="I574" s="1" t="s">
        <v>63</v>
      </c>
      <c r="J574" s="1" t="s">
        <v>37</v>
      </c>
      <c r="K574" s="1" t="s">
        <v>38</v>
      </c>
      <c r="L574">
        <v>75</v>
      </c>
      <c r="M574" s="1" t="s">
        <v>32</v>
      </c>
    </row>
    <row r="575" spans="1:13" x14ac:dyDescent="0.2">
      <c r="A575" s="1" t="s">
        <v>812</v>
      </c>
      <c r="B575">
        <v>574</v>
      </c>
      <c r="C575" s="1" t="s">
        <v>28</v>
      </c>
      <c r="D575" s="1" t="s">
        <v>31</v>
      </c>
      <c r="E575" s="1" t="s">
        <v>181</v>
      </c>
      <c r="F575" s="1" t="s">
        <v>791</v>
      </c>
      <c r="G575">
        <v>5</v>
      </c>
      <c r="H575">
        <v>24</v>
      </c>
      <c r="I575" s="1" t="s">
        <v>63</v>
      </c>
      <c r="J575" s="1" t="s">
        <v>40</v>
      </c>
      <c r="K575" s="1" t="s">
        <v>41</v>
      </c>
      <c r="L575">
        <v>100</v>
      </c>
      <c r="M575" s="1" t="s">
        <v>32</v>
      </c>
    </row>
    <row r="576" spans="1:13" x14ac:dyDescent="0.2">
      <c r="A576" s="1" t="s">
        <v>813</v>
      </c>
      <c r="B576">
        <v>575</v>
      </c>
      <c r="C576" s="1" t="s">
        <v>28</v>
      </c>
      <c r="D576" s="1" t="s">
        <v>31</v>
      </c>
      <c r="E576" s="1" t="s">
        <v>181</v>
      </c>
      <c r="F576" s="1" t="s">
        <v>791</v>
      </c>
      <c r="G576">
        <v>5</v>
      </c>
      <c r="H576">
        <v>24</v>
      </c>
      <c r="I576" s="1" t="s">
        <v>63</v>
      </c>
      <c r="J576" s="1" t="s">
        <v>43</v>
      </c>
      <c r="K576" s="1" t="s">
        <v>44</v>
      </c>
      <c r="L576">
        <v>40</v>
      </c>
      <c r="M576" s="1" t="s">
        <v>32</v>
      </c>
    </row>
    <row r="577" spans="1:13" x14ac:dyDescent="0.2">
      <c r="A577" s="1" t="s">
        <v>814</v>
      </c>
      <c r="B577">
        <v>576</v>
      </c>
      <c r="C577" s="1" t="s">
        <v>28</v>
      </c>
      <c r="D577" s="1" t="s">
        <v>31</v>
      </c>
      <c r="E577" s="1" t="s">
        <v>181</v>
      </c>
      <c r="F577" s="1" t="s">
        <v>791</v>
      </c>
      <c r="G577">
        <v>5</v>
      </c>
      <c r="H577">
        <v>24</v>
      </c>
      <c r="I577" s="1" t="s">
        <v>63</v>
      </c>
      <c r="J577" s="1" t="s">
        <v>46</v>
      </c>
      <c r="K577" s="1" t="s">
        <v>47</v>
      </c>
      <c r="L577">
        <v>40</v>
      </c>
      <c r="M577" s="1" t="s">
        <v>32</v>
      </c>
    </row>
    <row r="578" spans="1:13" x14ac:dyDescent="0.2">
      <c r="A578" s="1" t="s">
        <v>821</v>
      </c>
      <c r="B578">
        <v>577</v>
      </c>
      <c r="C578" s="1" t="s">
        <v>28</v>
      </c>
      <c r="D578" s="1" t="s">
        <v>31</v>
      </c>
      <c r="E578" s="1" t="s">
        <v>207</v>
      </c>
      <c r="F578" s="1" t="s">
        <v>822</v>
      </c>
      <c r="G578">
        <v>5</v>
      </c>
      <c r="H578">
        <v>25</v>
      </c>
      <c r="I578" s="1" t="s">
        <v>31</v>
      </c>
      <c r="J578" s="1" t="s">
        <v>29</v>
      </c>
      <c r="K578" s="1" t="s">
        <v>30</v>
      </c>
      <c r="L578">
        <v>568</v>
      </c>
      <c r="M578" s="1" t="s">
        <v>32</v>
      </c>
    </row>
    <row r="579" spans="1:13" x14ac:dyDescent="0.2">
      <c r="A579" s="1" t="s">
        <v>823</v>
      </c>
      <c r="B579">
        <v>578</v>
      </c>
      <c r="C579" s="1" t="s">
        <v>28</v>
      </c>
      <c r="D579" s="1" t="s">
        <v>31</v>
      </c>
      <c r="E579" s="1" t="s">
        <v>207</v>
      </c>
      <c r="F579" s="1" t="s">
        <v>822</v>
      </c>
      <c r="G579">
        <v>5</v>
      </c>
      <c r="H579">
        <v>25</v>
      </c>
      <c r="I579" s="1" t="s">
        <v>31</v>
      </c>
      <c r="J579" s="1" t="s">
        <v>34</v>
      </c>
      <c r="K579" s="1" t="s">
        <v>35</v>
      </c>
      <c r="L579">
        <v>302</v>
      </c>
      <c r="M579" s="1" t="s">
        <v>32</v>
      </c>
    </row>
    <row r="580" spans="1:13" x14ac:dyDescent="0.2">
      <c r="A580" s="1" t="s">
        <v>824</v>
      </c>
      <c r="B580">
        <v>579</v>
      </c>
      <c r="C580" s="1" t="s">
        <v>28</v>
      </c>
      <c r="D580" s="1" t="s">
        <v>31</v>
      </c>
      <c r="E580" s="1" t="s">
        <v>207</v>
      </c>
      <c r="F580" s="1" t="s">
        <v>822</v>
      </c>
      <c r="G580">
        <v>5</v>
      </c>
      <c r="H580">
        <v>25</v>
      </c>
      <c r="I580" s="1" t="s">
        <v>31</v>
      </c>
      <c r="J580" s="1" t="s">
        <v>37</v>
      </c>
      <c r="K580" s="1" t="s">
        <v>38</v>
      </c>
      <c r="L580">
        <v>422</v>
      </c>
      <c r="M580" s="1" t="s">
        <v>32</v>
      </c>
    </row>
    <row r="581" spans="1:13" x14ac:dyDescent="0.2">
      <c r="A581" s="1" t="s">
        <v>825</v>
      </c>
      <c r="B581">
        <v>580</v>
      </c>
      <c r="C581" s="1" t="s">
        <v>28</v>
      </c>
      <c r="D581" s="1" t="s">
        <v>31</v>
      </c>
      <c r="E581" s="1" t="s">
        <v>207</v>
      </c>
      <c r="F581" s="1" t="s">
        <v>822</v>
      </c>
      <c r="G581">
        <v>5</v>
      </c>
      <c r="H581">
        <v>25</v>
      </c>
      <c r="I581" s="1" t="s">
        <v>31</v>
      </c>
      <c r="J581" s="1" t="s">
        <v>40</v>
      </c>
      <c r="K581" s="1" t="s">
        <v>41</v>
      </c>
      <c r="L581">
        <v>189</v>
      </c>
      <c r="M581" s="1" t="s">
        <v>32</v>
      </c>
    </row>
    <row r="582" spans="1:13" x14ac:dyDescent="0.2">
      <c r="A582" s="1" t="s">
        <v>826</v>
      </c>
      <c r="B582">
        <v>581</v>
      </c>
      <c r="C582" s="1" t="s">
        <v>28</v>
      </c>
      <c r="D582" s="1" t="s">
        <v>31</v>
      </c>
      <c r="E582" s="1" t="s">
        <v>207</v>
      </c>
      <c r="F582" s="1" t="s">
        <v>822</v>
      </c>
      <c r="G582">
        <v>5</v>
      </c>
      <c r="H582">
        <v>25</v>
      </c>
      <c r="I582" s="1" t="s">
        <v>31</v>
      </c>
      <c r="J582" s="1" t="s">
        <v>43</v>
      </c>
      <c r="K582" s="1" t="s">
        <v>44</v>
      </c>
      <c r="L582">
        <v>265</v>
      </c>
      <c r="M582" s="1" t="s">
        <v>32</v>
      </c>
    </row>
    <row r="583" spans="1:13" x14ac:dyDescent="0.2">
      <c r="A583" s="1" t="s">
        <v>827</v>
      </c>
      <c r="B583">
        <v>582</v>
      </c>
      <c r="C583" s="1" t="s">
        <v>28</v>
      </c>
      <c r="D583" s="1" t="s">
        <v>31</v>
      </c>
      <c r="E583" s="1" t="s">
        <v>207</v>
      </c>
      <c r="F583" s="1" t="s">
        <v>822</v>
      </c>
      <c r="G583">
        <v>5</v>
      </c>
      <c r="H583">
        <v>25</v>
      </c>
      <c r="I583" s="1" t="s">
        <v>31</v>
      </c>
      <c r="J583" s="1" t="s">
        <v>46</v>
      </c>
      <c r="K583" s="1" t="s">
        <v>47</v>
      </c>
      <c r="L583">
        <v>187</v>
      </c>
      <c r="M583" s="1" t="s">
        <v>32</v>
      </c>
    </row>
    <row r="584" spans="1:13" x14ac:dyDescent="0.2">
      <c r="A584" s="1" t="s">
        <v>828</v>
      </c>
      <c r="B584">
        <v>583</v>
      </c>
      <c r="C584" s="1" t="s">
        <v>28</v>
      </c>
      <c r="D584" s="1" t="s">
        <v>31</v>
      </c>
      <c r="E584" s="1" t="s">
        <v>207</v>
      </c>
      <c r="F584" s="1" t="s">
        <v>822</v>
      </c>
      <c r="G584">
        <v>5</v>
      </c>
      <c r="H584">
        <v>25</v>
      </c>
      <c r="I584" s="1" t="s">
        <v>49</v>
      </c>
      <c r="J584" s="1" t="s">
        <v>29</v>
      </c>
      <c r="K584" s="1" t="s">
        <v>30</v>
      </c>
      <c r="L584">
        <v>148</v>
      </c>
      <c r="M584" s="1" t="s">
        <v>32</v>
      </c>
    </row>
    <row r="585" spans="1:13" x14ac:dyDescent="0.2">
      <c r="A585" s="1" t="s">
        <v>829</v>
      </c>
      <c r="B585">
        <v>584</v>
      </c>
      <c r="C585" s="1" t="s">
        <v>28</v>
      </c>
      <c r="D585" s="1" t="s">
        <v>31</v>
      </c>
      <c r="E585" s="1" t="s">
        <v>207</v>
      </c>
      <c r="F585" s="1" t="s">
        <v>822</v>
      </c>
      <c r="G585">
        <v>5</v>
      </c>
      <c r="H585">
        <v>25</v>
      </c>
      <c r="I585" s="1" t="s">
        <v>49</v>
      </c>
      <c r="J585" s="1" t="s">
        <v>34</v>
      </c>
      <c r="K585" s="1" t="s">
        <v>35</v>
      </c>
      <c r="L585">
        <v>50</v>
      </c>
      <c r="M585" s="1" t="s">
        <v>32</v>
      </c>
    </row>
    <row r="586" spans="1:13" x14ac:dyDescent="0.2">
      <c r="A586" s="1" t="s">
        <v>830</v>
      </c>
      <c r="B586">
        <v>585</v>
      </c>
      <c r="C586" s="1" t="s">
        <v>28</v>
      </c>
      <c r="D586" s="1" t="s">
        <v>31</v>
      </c>
      <c r="E586" s="1" t="s">
        <v>207</v>
      </c>
      <c r="F586" s="1" t="s">
        <v>822</v>
      </c>
      <c r="G586">
        <v>5</v>
      </c>
      <c r="H586">
        <v>25</v>
      </c>
      <c r="I586" s="1" t="s">
        <v>49</v>
      </c>
      <c r="J586" s="1" t="s">
        <v>37</v>
      </c>
      <c r="K586" s="1" t="s">
        <v>38</v>
      </c>
      <c r="L586">
        <v>150</v>
      </c>
      <c r="M586" s="1" t="s">
        <v>32</v>
      </c>
    </row>
    <row r="587" spans="1:13" x14ac:dyDescent="0.2">
      <c r="A587" s="1" t="s">
        <v>831</v>
      </c>
      <c r="B587">
        <v>586</v>
      </c>
      <c r="C587" s="1" t="s">
        <v>28</v>
      </c>
      <c r="D587" s="1" t="s">
        <v>31</v>
      </c>
      <c r="E587" s="1" t="s">
        <v>207</v>
      </c>
      <c r="F587" s="1" t="s">
        <v>822</v>
      </c>
      <c r="G587">
        <v>5</v>
      </c>
      <c r="H587">
        <v>25</v>
      </c>
      <c r="I587" s="1" t="s">
        <v>49</v>
      </c>
      <c r="J587" s="1" t="s">
        <v>40</v>
      </c>
      <c r="K587" s="1" t="s">
        <v>41</v>
      </c>
      <c r="L587">
        <v>40</v>
      </c>
      <c r="M587" s="1" t="s">
        <v>32</v>
      </c>
    </row>
    <row r="588" spans="1:13" x14ac:dyDescent="0.2">
      <c r="A588" s="1" t="s">
        <v>832</v>
      </c>
      <c r="B588">
        <v>587</v>
      </c>
      <c r="C588" s="1" t="s">
        <v>28</v>
      </c>
      <c r="D588" s="1" t="s">
        <v>31</v>
      </c>
      <c r="E588" s="1" t="s">
        <v>207</v>
      </c>
      <c r="F588" s="1" t="s">
        <v>822</v>
      </c>
      <c r="G588">
        <v>5</v>
      </c>
      <c r="H588">
        <v>25</v>
      </c>
      <c r="I588" s="1" t="s">
        <v>49</v>
      </c>
      <c r="J588" s="1" t="s">
        <v>43</v>
      </c>
      <c r="K588" s="1" t="s">
        <v>44</v>
      </c>
      <c r="L588">
        <v>13</v>
      </c>
      <c r="M588" s="1" t="s">
        <v>32</v>
      </c>
    </row>
    <row r="589" spans="1:13" x14ac:dyDescent="0.2">
      <c r="A589" s="1" t="s">
        <v>833</v>
      </c>
      <c r="B589">
        <v>588</v>
      </c>
      <c r="C589" s="1" t="s">
        <v>28</v>
      </c>
      <c r="D589" s="1" t="s">
        <v>31</v>
      </c>
      <c r="E589" s="1" t="s">
        <v>207</v>
      </c>
      <c r="F589" s="1" t="s">
        <v>822</v>
      </c>
      <c r="G589">
        <v>5</v>
      </c>
      <c r="H589">
        <v>25</v>
      </c>
      <c r="I589" s="1" t="s">
        <v>49</v>
      </c>
      <c r="J589" s="1" t="s">
        <v>46</v>
      </c>
      <c r="K589" s="1" t="s">
        <v>47</v>
      </c>
      <c r="L589">
        <v>60</v>
      </c>
      <c r="M589" s="1" t="s">
        <v>32</v>
      </c>
    </row>
    <row r="590" spans="1:13" x14ac:dyDescent="0.2">
      <c r="A590" s="1" t="s">
        <v>834</v>
      </c>
      <c r="B590">
        <v>589</v>
      </c>
      <c r="C590" s="1" t="s">
        <v>28</v>
      </c>
      <c r="D590" s="1" t="s">
        <v>31</v>
      </c>
      <c r="E590" s="1" t="s">
        <v>207</v>
      </c>
      <c r="F590" s="1" t="s">
        <v>822</v>
      </c>
      <c r="G590">
        <v>5</v>
      </c>
      <c r="H590">
        <v>25</v>
      </c>
      <c r="I590" s="1" t="s">
        <v>56</v>
      </c>
      <c r="J590" s="1" t="s">
        <v>29</v>
      </c>
      <c r="K590" s="1" t="s">
        <v>30</v>
      </c>
      <c r="L590">
        <v>100</v>
      </c>
      <c r="M590" s="1" t="s">
        <v>32</v>
      </c>
    </row>
    <row r="591" spans="1:13" x14ac:dyDescent="0.2">
      <c r="A591" s="1" t="s">
        <v>835</v>
      </c>
      <c r="B591">
        <v>590</v>
      </c>
      <c r="C591" s="1" t="s">
        <v>28</v>
      </c>
      <c r="D591" s="1" t="s">
        <v>31</v>
      </c>
      <c r="E591" s="1" t="s">
        <v>207</v>
      </c>
      <c r="F591" s="1" t="s">
        <v>822</v>
      </c>
      <c r="G591">
        <v>5</v>
      </c>
      <c r="H591">
        <v>25</v>
      </c>
      <c r="I591" s="1" t="s">
        <v>56</v>
      </c>
      <c r="J591" s="1" t="s">
        <v>34</v>
      </c>
      <c r="K591" s="1" t="s">
        <v>35</v>
      </c>
      <c r="L591">
        <v>40</v>
      </c>
      <c r="M591" s="1" t="s">
        <v>32</v>
      </c>
    </row>
    <row r="592" spans="1:13" x14ac:dyDescent="0.2">
      <c r="A592" s="1" t="s">
        <v>836</v>
      </c>
      <c r="B592">
        <v>591</v>
      </c>
      <c r="C592" s="1" t="s">
        <v>28</v>
      </c>
      <c r="D592" s="1" t="s">
        <v>31</v>
      </c>
      <c r="E592" s="1" t="s">
        <v>207</v>
      </c>
      <c r="F592" s="1" t="s">
        <v>822</v>
      </c>
      <c r="G592">
        <v>5</v>
      </c>
      <c r="H592">
        <v>25</v>
      </c>
      <c r="I592" s="1" t="s">
        <v>56</v>
      </c>
      <c r="J592" s="1" t="s">
        <v>37</v>
      </c>
      <c r="K592" s="1" t="s">
        <v>38</v>
      </c>
      <c r="L592">
        <v>71</v>
      </c>
      <c r="M592" s="1" t="s">
        <v>32</v>
      </c>
    </row>
    <row r="593" spans="1:13" x14ac:dyDescent="0.2">
      <c r="A593" s="1" t="s">
        <v>837</v>
      </c>
      <c r="B593">
        <v>592</v>
      </c>
      <c r="C593" s="1" t="s">
        <v>28</v>
      </c>
      <c r="D593" s="1" t="s">
        <v>31</v>
      </c>
      <c r="E593" s="1" t="s">
        <v>207</v>
      </c>
      <c r="F593" s="1" t="s">
        <v>822</v>
      </c>
      <c r="G593">
        <v>5</v>
      </c>
      <c r="H593">
        <v>25</v>
      </c>
      <c r="I593" s="1" t="s">
        <v>56</v>
      </c>
      <c r="J593" s="1" t="s">
        <v>40</v>
      </c>
      <c r="K593" s="1" t="s">
        <v>41</v>
      </c>
      <c r="L593">
        <v>18</v>
      </c>
      <c r="M593" s="1" t="s">
        <v>32</v>
      </c>
    </row>
    <row r="594" spans="1:13" x14ac:dyDescent="0.2">
      <c r="A594" s="1" t="s">
        <v>838</v>
      </c>
      <c r="B594">
        <v>593</v>
      </c>
      <c r="C594" s="1" t="s">
        <v>28</v>
      </c>
      <c r="D594" s="1" t="s">
        <v>31</v>
      </c>
      <c r="E594" s="1" t="s">
        <v>207</v>
      </c>
      <c r="F594" s="1" t="s">
        <v>822</v>
      </c>
      <c r="G594">
        <v>5</v>
      </c>
      <c r="H594">
        <v>25</v>
      </c>
      <c r="I594" s="1" t="s">
        <v>56</v>
      </c>
      <c r="J594" s="1" t="s">
        <v>43</v>
      </c>
      <c r="K594" s="1" t="s">
        <v>44</v>
      </c>
      <c r="L594">
        <v>46</v>
      </c>
      <c r="M594" s="1" t="s">
        <v>32</v>
      </c>
    </row>
    <row r="595" spans="1:13" x14ac:dyDescent="0.2">
      <c r="A595" s="1" t="s">
        <v>839</v>
      </c>
      <c r="B595">
        <v>594</v>
      </c>
      <c r="C595" s="1" t="s">
        <v>28</v>
      </c>
      <c r="D595" s="1" t="s">
        <v>31</v>
      </c>
      <c r="E595" s="1" t="s">
        <v>207</v>
      </c>
      <c r="F595" s="1" t="s">
        <v>822</v>
      </c>
      <c r="G595">
        <v>5</v>
      </c>
      <c r="H595">
        <v>25</v>
      </c>
      <c r="I595" s="1" t="s">
        <v>56</v>
      </c>
      <c r="J595" s="1" t="s">
        <v>46</v>
      </c>
      <c r="K595" s="1" t="s">
        <v>47</v>
      </c>
      <c r="L595">
        <v>40</v>
      </c>
      <c r="M595" s="1" t="s">
        <v>32</v>
      </c>
    </row>
    <row r="596" spans="1:13" x14ac:dyDescent="0.2">
      <c r="A596" s="1" t="s">
        <v>840</v>
      </c>
      <c r="B596">
        <v>595</v>
      </c>
      <c r="C596" s="1" t="s">
        <v>28</v>
      </c>
      <c r="D596" s="1" t="s">
        <v>31</v>
      </c>
      <c r="E596" s="1" t="s">
        <v>207</v>
      </c>
      <c r="F596" s="1" t="s">
        <v>822</v>
      </c>
      <c r="G596">
        <v>5</v>
      </c>
      <c r="H596">
        <v>25</v>
      </c>
      <c r="I596" s="1" t="s">
        <v>63</v>
      </c>
      <c r="J596" s="1" t="s">
        <v>29</v>
      </c>
      <c r="K596" s="1" t="s">
        <v>30</v>
      </c>
      <c r="L596">
        <v>0</v>
      </c>
      <c r="M596" s="1" t="s">
        <v>32</v>
      </c>
    </row>
    <row r="597" spans="1:13" x14ac:dyDescent="0.2">
      <c r="A597" s="1" t="s">
        <v>841</v>
      </c>
      <c r="B597">
        <v>596</v>
      </c>
      <c r="C597" s="1" t="s">
        <v>28</v>
      </c>
      <c r="D597" s="1" t="s">
        <v>31</v>
      </c>
      <c r="E597" s="1" t="s">
        <v>207</v>
      </c>
      <c r="F597" s="1" t="s">
        <v>822</v>
      </c>
      <c r="G597">
        <v>5</v>
      </c>
      <c r="H597">
        <v>25</v>
      </c>
      <c r="I597" s="1" t="s">
        <v>63</v>
      </c>
      <c r="J597" s="1" t="s">
        <v>34</v>
      </c>
      <c r="K597" s="1" t="s">
        <v>35</v>
      </c>
      <c r="L597">
        <v>40</v>
      </c>
      <c r="M597" s="1" t="s">
        <v>32</v>
      </c>
    </row>
    <row r="598" spans="1:13" x14ac:dyDescent="0.2">
      <c r="A598" s="1" t="s">
        <v>842</v>
      </c>
      <c r="B598">
        <v>597</v>
      </c>
      <c r="C598" s="1" t="s">
        <v>28</v>
      </c>
      <c r="D598" s="1" t="s">
        <v>31</v>
      </c>
      <c r="E598" s="1" t="s">
        <v>207</v>
      </c>
      <c r="F598" s="1" t="s">
        <v>822</v>
      </c>
      <c r="G598">
        <v>5</v>
      </c>
      <c r="H598">
        <v>25</v>
      </c>
      <c r="I598" s="1" t="s">
        <v>63</v>
      </c>
      <c r="J598" s="1" t="s">
        <v>37</v>
      </c>
      <c r="K598" s="1" t="s">
        <v>38</v>
      </c>
      <c r="L598">
        <v>75</v>
      </c>
      <c r="M598" s="1" t="s">
        <v>32</v>
      </c>
    </row>
    <row r="599" spans="1:13" x14ac:dyDescent="0.2">
      <c r="A599" s="1" t="s">
        <v>843</v>
      </c>
      <c r="B599">
        <v>598</v>
      </c>
      <c r="C599" s="1" t="s">
        <v>28</v>
      </c>
      <c r="D599" s="1" t="s">
        <v>31</v>
      </c>
      <c r="E599" s="1" t="s">
        <v>207</v>
      </c>
      <c r="F599" s="1" t="s">
        <v>822</v>
      </c>
      <c r="G599">
        <v>5</v>
      </c>
      <c r="H599">
        <v>25</v>
      </c>
      <c r="I599" s="1" t="s">
        <v>63</v>
      </c>
      <c r="J599" s="1" t="s">
        <v>40</v>
      </c>
      <c r="K599" s="1" t="s">
        <v>41</v>
      </c>
      <c r="L599">
        <v>78</v>
      </c>
      <c r="M599" s="1" t="s">
        <v>32</v>
      </c>
    </row>
    <row r="600" spans="1:13" x14ac:dyDescent="0.2">
      <c r="A600" s="1" t="s">
        <v>844</v>
      </c>
      <c r="B600">
        <v>599</v>
      </c>
      <c r="C600" s="1" t="s">
        <v>28</v>
      </c>
      <c r="D600" s="1" t="s">
        <v>31</v>
      </c>
      <c r="E600" s="1" t="s">
        <v>207</v>
      </c>
      <c r="F600" s="1" t="s">
        <v>822</v>
      </c>
      <c r="G600">
        <v>5</v>
      </c>
      <c r="H600">
        <v>25</v>
      </c>
      <c r="I600" s="1" t="s">
        <v>63</v>
      </c>
      <c r="J600" s="1" t="s">
        <v>43</v>
      </c>
      <c r="K600" s="1" t="s">
        <v>44</v>
      </c>
      <c r="L600">
        <v>40</v>
      </c>
      <c r="M600" s="1" t="s">
        <v>32</v>
      </c>
    </row>
    <row r="601" spans="1:13" x14ac:dyDescent="0.2">
      <c r="A601" s="1" t="s">
        <v>845</v>
      </c>
      <c r="B601">
        <v>600</v>
      </c>
      <c r="C601" s="1" t="s">
        <v>28</v>
      </c>
      <c r="D601" s="1" t="s">
        <v>31</v>
      </c>
      <c r="E601" s="1" t="s">
        <v>207</v>
      </c>
      <c r="F601" s="1" t="s">
        <v>822</v>
      </c>
      <c r="G601">
        <v>5</v>
      </c>
      <c r="H601">
        <v>25</v>
      </c>
      <c r="I601" s="1" t="s">
        <v>63</v>
      </c>
      <c r="J601" s="1" t="s">
        <v>46</v>
      </c>
      <c r="K601" s="1" t="s">
        <v>47</v>
      </c>
      <c r="L601">
        <v>5</v>
      </c>
      <c r="M601" s="1" t="s">
        <v>32</v>
      </c>
    </row>
    <row r="602" spans="1:13" x14ac:dyDescent="0.2">
      <c r="A602" s="1" t="s">
        <v>850</v>
      </c>
      <c r="B602">
        <v>601</v>
      </c>
      <c r="C602" s="1" t="s">
        <v>28</v>
      </c>
      <c r="D602" s="1" t="s">
        <v>31</v>
      </c>
      <c r="E602" s="1" t="s">
        <v>256</v>
      </c>
      <c r="F602" s="1" t="s">
        <v>851</v>
      </c>
      <c r="G602">
        <v>6</v>
      </c>
      <c r="H602">
        <v>26</v>
      </c>
      <c r="I602" s="1" t="s">
        <v>31</v>
      </c>
      <c r="J602" s="1" t="s">
        <v>29</v>
      </c>
      <c r="K602" s="1" t="s">
        <v>30</v>
      </c>
      <c r="L602">
        <v>421</v>
      </c>
      <c r="M602" s="1" t="s">
        <v>32</v>
      </c>
    </row>
    <row r="603" spans="1:13" x14ac:dyDescent="0.2">
      <c r="A603" s="1" t="s">
        <v>852</v>
      </c>
      <c r="B603">
        <v>602</v>
      </c>
      <c r="C603" s="1" t="s">
        <v>28</v>
      </c>
      <c r="D603" s="1" t="s">
        <v>31</v>
      </c>
      <c r="E603" s="1" t="s">
        <v>256</v>
      </c>
      <c r="F603" s="1" t="s">
        <v>851</v>
      </c>
      <c r="G603">
        <v>6</v>
      </c>
      <c r="H603">
        <v>26</v>
      </c>
      <c r="I603" s="1" t="s">
        <v>31</v>
      </c>
      <c r="J603" s="1" t="s">
        <v>34</v>
      </c>
      <c r="K603" s="1" t="s">
        <v>35</v>
      </c>
      <c r="L603">
        <v>302</v>
      </c>
      <c r="M603" s="1" t="s">
        <v>32</v>
      </c>
    </row>
    <row r="604" spans="1:13" x14ac:dyDescent="0.2">
      <c r="A604" s="1" t="s">
        <v>853</v>
      </c>
      <c r="B604">
        <v>603</v>
      </c>
      <c r="C604" s="1" t="s">
        <v>28</v>
      </c>
      <c r="D604" s="1" t="s">
        <v>31</v>
      </c>
      <c r="E604" s="1" t="s">
        <v>256</v>
      </c>
      <c r="F604" s="1" t="s">
        <v>851</v>
      </c>
      <c r="G604">
        <v>6</v>
      </c>
      <c r="H604">
        <v>26</v>
      </c>
      <c r="I604" s="1" t="s">
        <v>31</v>
      </c>
      <c r="J604" s="1" t="s">
        <v>37</v>
      </c>
      <c r="K604" s="1" t="s">
        <v>38</v>
      </c>
      <c r="L604">
        <v>318</v>
      </c>
      <c r="M604" s="1" t="s">
        <v>32</v>
      </c>
    </row>
    <row r="605" spans="1:13" x14ac:dyDescent="0.2">
      <c r="A605" s="1" t="s">
        <v>854</v>
      </c>
      <c r="B605">
        <v>604</v>
      </c>
      <c r="C605" s="1" t="s">
        <v>28</v>
      </c>
      <c r="D605" s="1" t="s">
        <v>31</v>
      </c>
      <c r="E605" s="1" t="s">
        <v>256</v>
      </c>
      <c r="F605" s="1" t="s">
        <v>851</v>
      </c>
      <c r="G605">
        <v>6</v>
      </c>
      <c r="H605">
        <v>26</v>
      </c>
      <c r="I605" s="1" t="s">
        <v>31</v>
      </c>
      <c r="J605" s="1" t="s">
        <v>40</v>
      </c>
      <c r="K605" s="1" t="s">
        <v>41</v>
      </c>
      <c r="L605">
        <v>145</v>
      </c>
      <c r="M605" s="1" t="s">
        <v>32</v>
      </c>
    </row>
    <row r="606" spans="1:13" x14ac:dyDescent="0.2">
      <c r="A606" s="1" t="s">
        <v>855</v>
      </c>
      <c r="B606">
        <v>605</v>
      </c>
      <c r="C606" s="1" t="s">
        <v>28</v>
      </c>
      <c r="D606" s="1" t="s">
        <v>31</v>
      </c>
      <c r="E606" s="1" t="s">
        <v>256</v>
      </c>
      <c r="F606" s="1" t="s">
        <v>851</v>
      </c>
      <c r="G606">
        <v>6</v>
      </c>
      <c r="H606">
        <v>26</v>
      </c>
      <c r="I606" s="1" t="s">
        <v>31</v>
      </c>
      <c r="J606" s="1" t="s">
        <v>43</v>
      </c>
      <c r="K606" s="1" t="s">
        <v>44</v>
      </c>
      <c r="L606">
        <v>194</v>
      </c>
      <c r="M606" s="1" t="s">
        <v>32</v>
      </c>
    </row>
    <row r="607" spans="1:13" x14ac:dyDescent="0.2">
      <c r="A607" s="1" t="s">
        <v>856</v>
      </c>
      <c r="B607">
        <v>606</v>
      </c>
      <c r="C607" s="1" t="s">
        <v>28</v>
      </c>
      <c r="D607" s="1" t="s">
        <v>31</v>
      </c>
      <c r="E607" s="1" t="s">
        <v>256</v>
      </c>
      <c r="F607" s="1" t="s">
        <v>851</v>
      </c>
      <c r="G607">
        <v>6</v>
      </c>
      <c r="H607">
        <v>26</v>
      </c>
      <c r="I607" s="1" t="s">
        <v>31</v>
      </c>
      <c r="J607" s="1" t="s">
        <v>46</v>
      </c>
      <c r="K607" s="1" t="s">
        <v>47</v>
      </c>
      <c r="L607">
        <v>152</v>
      </c>
      <c r="M607" s="1" t="s">
        <v>32</v>
      </c>
    </row>
    <row r="608" spans="1:13" x14ac:dyDescent="0.2">
      <c r="A608" s="1" t="s">
        <v>857</v>
      </c>
      <c r="B608">
        <v>607</v>
      </c>
      <c r="C608" s="1" t="s">
        <v>28</v>
      </c>
      <c r="D608" s="1" t="s">
        <v>31</v>
      </c>
      <c r="E608" s="1" t="s">
        <v>256</v>
      </c>
      <c r="F608" s="1" t="s">
        <v>851</v>
      </c>
      <c r="G608">
        <v>6</v>
      </c>
      <c r="H608">
        <v>26</v>
      </c>
      <c r="I608" s="1" t="s">
        <v>49</v>
      </c>
      <c r="J608" s="1" t="s">
        <v>29</v>
      </c>
      <c r="K608" s="1" t="s">
        <v>30</v>
      </c>
      <c r="L608">
        <v>209</v>
      </c>
      <c r="M608" s="1" t="s">
        <v>32</v>
      </c>
    </row>
    <row r="609" spans="1:13" x14ac:dyDescent="0.2">
      <c r="A609" s="1" t="s">
        <v>858</v>
      </c>
      <c r="B609">
        <v>608</v>
      </c>
      <c r="C609" s="1" t="s">
        <v>28</v>
      </c>
      <c r="D609" s="1" t="s">
        <v>31</v>
      </c>
      <c r="E609" s="1" t="s">
        <v>256</v>
      </c>
      <c r="F609" s="1" t="s">
        <v>851</v>
      </c>
      <c r="G609">
        <v>6</v>
      </c>
      <c r="H609">
        <v>26</v>
      </c>
      <c r="I609" s="1" t="s">
        <v>49</v>
      </c>
      <c r="J609" s="1" t="s">
        <v>34</v>
      </c>
      <c r="K609" s="1" t="s">
        <v>35</v>
      </c>
      <c r="L609">
        <v>21</v>
      </c>
      <c r="M609" s="1" t="s">
        <v>32</v>
      </c>
    </row>
    <row r="610" spans="1:13" x14ac:dyDescent="0.2">
      <c r="A610" s="1" t="s">
        <v>859</v>
      </c>
      <c r="B610">
        <v>609</v>
      </c>
      <c r="C610" s="1" t="s">
        <v>28</v>
      </c>
      <c r="D610" s="1" t="s">
        <v>31</v>
      </c>
      <c r="E610" s="1" t="s">
        <v>256</v>
      </c>
      <c r="F610" s="1" t="s">
        <v>851</v>
      </c>
      <c r="G610">
        <v>6</v>
      </c>
      <c r="H610">
        <v>26</v>
      </c>
      <c r="I610" s="1" t="s">
        <v>49</v>
      </c>
      <c r="J610" s="1" t="s">
        <v>37</v>
      </c>
      <c r="K610" s="1" t="s">
        <v>38</v>
      </c>
      <c r="L610">
        <v>150</v>
      </c>
      <c r="M610" s="1" t="s">
        <v>32</v>
      </c>
    </row>
    <row r="611" spans="1:13" x14ac:dyDescent="0.2">
      <c r="A611" s="1" t="s">
        <v>860</v>
      </c>
      <c r="B611">
        <v>610</v>
      </c>
      <c r="C611" s="1" t="s">
        <v>28</v>
      </c>
      <c r="D611" s="1" t="s">
        <v>31</v>
      </c>
      <c r="E611" s="1" t="s">
        <v>256</v>
      </c>
      <c r="F611" s="1" t="s">
        <v>851</v>
      </c>
      <c r="G611">
        <v>6</v>
      </c>
      <c r="H611">
        <v>26</v>
      </c>
      <c r="I611" s="1" t="s">
        <v>49</v>
      </c>
      <c r="J611" s="1" t="s">
        <v>40</v>
      </c>
      <c r="K611" s="1" t="s">
        <v>41</v>
      </c>
      <c r="L611">
        <v>40</v>
      </c>
      <c r="M611" s="1" t="s">
        <v>32</v>
      </c>
    </row>
    <row r="612" spans="1:13" x14ac:dyDescent="0.2">
      <c r="A612" s="1" t="s">
        <v>861</v>
      </c>
      <c r="B612">
        <v>611</v>
      </c>
      <c r="C612" s="1" t="s">
        <v>28</v>
      </c>
      <c r="D612" s="1" t="s">
        <v>31</v>
      </c>
      <c r="E612" s="1" t="s">
        <v>256</v>
      </c>
      <c r="F612" s="1" t="s">
        <v>851</v>
      </c>
      <c r="G612">
        <v>6</v>
      </c>
      <c r="H612">
        <v>26</v>
      </c>
      <c r="I612" s="1" t="s">
        <v>49</v>
      </c>
      <c r="J612" s="1" t="s">
        <v>43</v>
      </c>
      <c r="K612" s="1" t="s">
        <v>44</v>
      </c>
      <c r="L612">
        <v>47</v>
      </c>
      <c r="M612" s="1" t="s">
        <v>32</v>
      </c>
    </row>
    <row r="613" spans="1:13" x14ac:dyDescent="0.2">
      <c r="A613" s="1" t="s">
        <v>862</v>
      </c>
      <c r="B613">
        <v>612</v>
      </c>
      <c r="C613" s="1" t="s">
        <v>28</v>
      </c>
      <c r="D613" s="1" t="s">
        <v>31</v>
      </c>
      <c r="E613" s="1" t="s">
        <v>256</v>
      </c>
      <c r="F613" s="1" t="s">
        <v>851</v>
      </c>
      <c r="G613">
        <v>6</v>
      </c>
      <c r="H613">
        <v>26</v>
      </c>
      <c r="I613" s="1" t="s">
        <v>49</v>
      </c>
      <c r="J613" s="1" t="s">
        <v>46</v>
      </c>
      <c r="K613" s="1" t="s">
        <v>47</v>
      </c>
      <c r="L613">
        <v>60</v>
      </c>
      <c r="M613" s="1" t="s">
        <v>32</v>
      </c>
    </row>
    <row r="614" spans="1:13" x14ac:dyDescent="0.2">
      <c r="A614" s="1" t="s">
        <v>863</v>
      </c>
      <c r="B614">
        <v>613</v>
      </c>
      <c r="C614" s="1" t="s">
        <v>28</v>
      </c>
      <c r="D614" s="1" t="s">
        <v>31</v>
      </c>
      <c r="E614" s="1" t="s">
        <v>256</v>
      </c>
      <c r="F614" s="1" t="s">
        <v>851</v>
      </c>
      <c r="G614">
        <v>6</v>
      </c>
      <c r="H614">
        <v>26</v>
      </c>
      <c r="I614" s="1" t="s">
        <v>56</v>
      </c>
      <c r="J614" s="1" t="s">
        <v>29</v>
      </c>
      <c r="K614" s="1" t="s">
        <v>30</v>
      </c>
      <c r="L614">
        <v>100</v>
      </c>
      <c r="M614" s="1" t="s">
        <v>32</v>
      </c>
    </row>
    <row r="615" spans="1:13" x14ac:dyDescent="0.2">
      <c r="A615" s="1" t="s">
        <v>864</v>
      </c>
      <c r="B615">
        <v>614</v>
      </c>
      <c r="C615" s="1" t="s">
        <v>28</v>
      </c>
      <c r="D615" s="1" t="s">
        <v>31</v>
      </c>
      <c r="E615" s="1" t="s">
        <v>256</v>
      </c>
      <c r="F615" s="1" t="s">
        <v>851</v>
      </c>
      <c r="G615">
        <v>6</v>
      </c>
      <c r="H615">
        <v>26</v>
      </c>
      <c r="I615" s="1" t="s">
        <v>56</v>
      </c>
      <c r="J615" s="1" t="s">
        <v>34</v>
      </c>
      <c r="K615" s="1" t="s">
        <v>35</v>
      </c>
      <c r="L615">
        <v>40</v>
      </c>
      <c r="M615" s="1" t="s">
        <v>32</v>
      </c>
    </row>
    <row r="616" spans="1:13" x14ac:dyDescent="0.2">
      <c r="A616" s="1" t="s">
        <v>865</v>
      </c>
      <c r="B616">
        <v>615</v>
      </c>
      <c r="C616" s="1" t="s">
        <v>28</v>
      </c>
      <c r="D616" s="1" t="s">
        <v>31</v>
      </c>
      <c r="E616" s="1" t="s">
        <v>256</v>
      </c>
      <c r="F616" s="1" t="s">
        <v>851</v>
      </c>
      <c r="G616">
        <v>6</v>
      </c>
      <c r="H616">
        <v>26</v>
      </c>
      <c r="I616" s="1" t="s">
        <v>56</v>
      </c>
      <c r="J616" s="1" t="s">
        <v>37</v>
      </c>
      <c r="K616" s="1" t="s">
        <v>38</v>
      </c>
      <c r="L616">
        <v>175</v>
      </c>
      <c r="M616" s="1" t="s">
        <v>32</v>
      </c>
    </row>
    <row r="617" spans="1:13" x14ac:dyDescent="0.2">
      <c r="A617" s="1" t="s">
        <v>866</v>
      </c>
      <c r="B617">
        <v>616</v>
      </c>
      <c r="C617" s="1" t="s">
        <v>28</v>
      </c>
      <c r="D617" s="1" t="s">
        <v>31</v>
      </c>
      <c r="E617" s="1" t="s">
        <v>256</v>
      </c>
      <c r="F617" s="1" t="s">
        <v>851</v>
      </c>
      <c r="G617">
        <v>6</v>
      </c>
      <c r="H617">
        <v>26</v>
      </c>
      <c r="I617" s="1" t="s">
        <v>56</v>
      </c>
      <c r="J617" s="1" t="s">
        <v>40</v>
      </c>
      <c r="K617" s="1" t="s">
        <v>41</v>
      </c>
      <c r="L617">
        <v>40</v>
      </c>
      <c r="M617" s="1" t="s">
        <v>32</v>
      </c>
    </row>
    <row r="618" spans="1:13" x14ac:dyDescent="0.2">
      <c r="A618" s="1" t="s">
        <v>867</v>
      </c>
      <c r="B618">
        <v>617</v>
      </c>
      <c r="C618" s="1" t="s">
        <v>28</v>
      </c>
      <c r="D618" s="1" t="s">
        <v>31</v>
      </c>
      <c r="E618" s="1" t="s">
        <v>256</v>
      </c>
      <c r="F618" s="1" t="s">
        <v>851</v>
      </c>
      <c r="G618">
        <v>6</v>
      </c>
      <c r="H618">
        <v>26</v>
      </c>
      <c r="I618" s="1" t="s">
        <v>56</v>
      </c>
      <c r="J618" s="1" t="s">
        <v>43</v>
      </c>
      <c r="K618" s="1" t="s">
        <v>44</v>
      </c>
      <c r="L618">
        <v>24</v>
      </c>
      <c r="M618" s="1" t="s">
        <v>32</v>
      </c>
    </row>
    <row r="619" spans="1:13" x14ac:dyDescent="0.2">
      <c r="A619" s="1" t="s">
        <v>868</v>
      </c>
      <c r="B619">
        <v>618</v>
      </c>
      <c r="C619" s="1" t="s">
        <v>28</v>
      </c>
      <c r="D619" s="1" t="s">
        <v>31</v>
      </c>
      <c r="E619" s="1" t="s">
        <v>256</v>
      </c>
      <c r="F619" s="1" t="s">
        <v>851</v>
      </c>
      <c r="G619">
        <v>6</v>
      </c>
      <c r="H619">
        <v>26</v>
      </c>
      <c r="I619" s="1" t="s">
        <v>56</v>
      </c>
      <c r="J619" s="1" t="s">
        <v>46</v>
      </c>
      <c r="K619" s="1" t="s">
        <v>47</v>
      </c>
      <c r="L619">
        <v>1</v>
      </c>
      <c r="M619" s="1" t="s">
        <v>32</v>
      </c>
    </row>
    <row r="620" spans="1:13" x14ac:dyDescent="0.2">
      <c r="A620" s="1" t="s">
        <v>869</v>
      </c>
      <c r="B620">
        <v>619</v>
      </c>
      <c r="C620" s="1" t="s">
        <v>28</v>
      </c>
      <c r="D620" s="1" t="s">
        <v>31</v>
      </c>
      <c r="E620" s="1" t="s">
        <v>256</v>
      </c>
      <c r="F620" s="1" t="s">
        <v>851</v>
      </c>
      <c r="G620">
        <v>6</v>
      </c>
      <c r="H620">
        <v>26</v>
      </c>
      <c r="I620" s="1" t="s">
        <v>63</v>
      </c>
      <c r="J620" s="1" t="s">
        <v>29</v>
      </c>
      <c r="K620" s="1" t="s">
        <v>30</v>
      </c>
      <c r="L620">
        <v>75</v>
      </c>
      <c r="M620" s="1" t="s">
        <v>32</v>
      </c>
    </row>
    <row r="621" spans="1:13" x14ac:dyDescent="0.2">
      <c r="A621" s="1" t="s">
        <v>870</v>
      </c>
      <c r="B621">
        <v>620</v>
      </c>
      <c r="C621" s="1" t="s">
        <v>28</v>
      </c>
      <c r="D621" s="1" t="s">
        <v>31</v>
      </c>
      <c r="E621" s="1" t="s">
        <v>256</v>
      </c>
      <c r="F621" s="1" t="s">
        <v>851</v>
      </c>
      <c r="G621">
        <v>6</v>
      </c>
      <c r="H621">
        <v>26</v>
      </c>
      <c r="I621" s="1" t="s">
        <v>63</v>
      </c>
      <c r="J621" s="1" t="s">
        <v>34</v>
      </c>
      <c r="K621" s="1" t="s">
        <v>35</v>
      </c>
      <c r="L621">
        <v>40</v>
      </c>
      <c r="M621" s="1" t="s">
        <v>32</v>
      </c>
    </row>
    <row r="622" spans="1:13" x14ac:dyDescent="0.2">
      <c r="A622" s="1" t="s">
        <v>871</v>
      </c>
      <c r="B622">
        <v>621</v>
      </c>
      <c r="C622" s="1" t="s">
        <v>28</v>
      </c>
      <c r="D622" s="1" t="s">
        <v>31</v>
      </c>
      <c r="E622" s="1" t="s">
        <v>256</v>
      </c>
      <c r="F622" s="1" t="s">
        <v>851</v>
      </c>
      <c r="G622">
        <v>6</v>
      </c>
      <c r="H622">
        <v>26</v>
      </c>
      <c r="I622" s="1" t="s">
        <v>63</v>
      </c>
      <c r="J622" s="1" t="s">
        <v>37</v>
      </c>
      <c r="K622" s="1" t="s">
        <v>38</v>
      </c>
      <c r="L622">
        <v>75</v>
      </c>
      <c r="M622" s="1" t="s">
        <v>32</v>
      </c>
    </row>
    <row r="623" spans="1:13" x14ac:dyDescent="0.2">
      <c r="A623" s="1" t="s">
        <v>872</v>
      </c>
      <c r="B623">
        <v>622</v>
      </c>
      <c r="C623" s="1" t="s">
        <v>28</v>
      </c>
      <c r="D623" s="1" t="s">
        <v>31</v>
      </c>
      <c r="E623" s="1" t="s">
        <v>256</v>
      </c>
      <c r="F623" s="1" t="s">
        <v>851</v>
      </c>
      <c r="G623">
        <v>6</v>
      </c>
      <c r="H623">
        <v>26</v>
      </c>
      <c r="I623" s="1" t="s">
        <v>63</v>
      </c>
      <c r="J623" s="1" t="s">
        <v>40</v>
      </c>
      <c r="K623" s="1" t="s">
        <v>41</v>
      </c>
      <c r="L623">
        <v>100</v>
      </c>
      <c r="M623" s="1" t="s">
        <v>32</v>
      </c>
    </row>
    <row r="624" spans="1:13" x14ac:dyDescent="0.2">
      <c r="A624" s="1" t="s">
        <v>873</v>
      </c>
      <c r="B624">
        <v>623</v>
      </c>
      <c r="C624" s="1" t="s">
        <v>28</v>
      </c>
      <c r="D624" s="1" t="s">
        <v>31</v>
      </c>
      <c r="E624" s="1" t="s">
        <v>256</v>
      </c>
      <c r="F624" s="1" t="s">
        <v>851</v>
      </c>
      <c r="G624">
        <v>6</v>
      </c>
      <c r="H624">
        <v>26</v>
      </c>
      <c r="I624" s="1" t="s">
        <v>63</v>
      </c>
      <c r="J624" s="1" t="s">
        <v>43</v>
      </c>
      <c r="K624" s="1" t="s">
        <v>44</v>
      </c>
      <c r="L624">
        <v>40</v>
      </c>
      <c r="M624" s="1" t="s">
        <v>32</v>
      </c>
    </row>
    <row r="625" spans="1:13" x14ac:dyDescent="0.2">
      <c r="A625" s="1" t="s">
        <v>874</v>
      </c>
      <c r="B625">
        <v>624</v>
      </c>
      <c r="C625" s="1" t="s">
        <v>28</v>
      </c>
      <c r="D625" s="1" t="s">
        <v>31</v>
      </c>
      <c r="E625" s="1" t="s">
        <v>256</v>
      </c>
      <c r="F625" s="1" t="s">
        <v>851</v>
      </c>
      <c r="G625">
        <v>6</v>
      </c>
      <c r="H625">
        <v>26</v>
      </c>
      <c r="I625" s="1" t="s">
        <v>63</v>
      </c>
      <c r="J625" s="1" t="s">
        <v>46</v>
      </c>
      <c r="K625" s="1" t="s">
        <v>47</v>
      </c>
      <c r="L625">
        <v>35</v>
      </c>
      <c r="M625" s="1" t="s">
        <v>32</v>
      </c>
    </row>
    <row r="626" spans="1:13" x14ac:dyDescent="0.2">
      <c r="A626" s="1" t="s">
        <v>878</v>
      </c>
      <c r="B626">
        <v>625</v>
      </c>
      <c r="C626" s="1" t="s">
        <v>28</v>
      </c>
      <c r="D626" s="1" t="s">
        <v>31</v>
      </c>
      <c r="E626" s="1" t="s">
        <v>296</v>
      </c>
      <c r="F626" s="1" t="s">
        <v>879</v>
      </c>
      <c r="G626">
        <v>6</v>
      </c>
      <c r="H626">
        <v>27</v>
      </c>
      <c r="I626" s="1" t="s">
        <v>31</v>
      </c>
      <c r="J626" s="1" t="s">
        <v>29</v>
      </c>
      <c r="K626" s="1" t="s">
        <v>30</v>
      </c>
      <c r="L626">
        <v>410</v>
      </c>
      <c r="M626" s="1" t="s">
        <v>32</v>
      </c>
    </row>
    <row r="627" spans="1:13" x14ac:dyDescent="0.2">
      <c r="A627" s="1" t="s">
        <v>880</v>
      </c>
      <c r="B627">
        <v>626</v>
      </c>
      <c r="C627" s="1" t="s">
        <v>28</v>
      </c>
      <c r="D627" s="1" t="s">
        <v>31</v>
      </c>
      <c r="E627" s="1" t="s">
        <v>296</v>
      </c>
      <c r="F627" s="1" t="s">
        <v>879</v>
      </c>
      <c r="G627">
        <v>6</v>
      </c>
      <c r="H627">
        <v>27</v>
      </c>
      <c r="I627" s="1" t="s">
        <v>31</v>
      </c>
      <c r="J627" s="1" t="s">
        <v>34</v>
      </c>
      <c r="K627" s="1" t="s">
        <v>35</v>
      </c>
      <c r="L627">
        <v>273</v>
      </c>
      <c r="M627" s="1" t="s">
        <v>32</v>
      </c>
    </row>
    <row r="628" spans="1:13" x14ac:dyDescent="0.2">
      <c r="A628" s="1" t="s">
        <v>881</v>
      </c>
      <c r="B628">
        <v>627</v>
      </c>
      <c r="C628" s="1" t="s">
        <v>28</v>
      </c>
      <c r="D628" s="1" t="s">
        <v>31</v>
      </c>
      <c r="E628" s="1" t="s">
        <v>296</v>
      </c>
      <c r="F628" s="1" t="s">
        <v>879</v>
      </c>
      <c r="G628">
        <v>6</v>
      </c>
      <c r="H628">
        <v>27</v>
      </c>
      <c r="I628" s="1" t="s">
        <v>31</v>
      </c>
      <c r="J628" s="1" t="s">
        <v>37</v>
      </c>
      <c r="K628" s="1" t="s">
        <v>38</v>
      </c>
      <c r="L628">
        <v>318</v>
      </c>
      <c r="M628" s="1" t="s">
        <v>32</v>
      </c>
    </row>
    <row r="629" spans="1:13" x14ac:dyDescent="0.2">
      <c r="A629" s="1" t="s">
        <v>882</v>
      </c>
      <c r="B629">
        <v>628</v>
      </c>
      <c r="C629" s="1" t="s">
        <v>28</v>
      </c>
      <c r="D629" s="1" t="s">
        <v>31</v>
      </c>
      <c r="E629" s="1" t="s">
        <v>296</v>
      </c>
      <c r="F629" s="1" t="s">
        <v>879</v>
      </c>
      <c r="G629">
        <v>6</v>
      </c>
      <c r="H629">
        <v>27</v>
      </c>
      <c r="I629" s="1" t="s">
        <v>31</v>
      </c>
      <c r="J629" s="1" t="s">
        <v>40</v>
      </c>
      <c r="K629" s="1" t="s">
        <v>41</v>
      </c>
      <c r="L629">
        <v>145</v>
      </c>
      <c r="M629" s="1" t="s">
        <v>32</v>
      </c>
    </row>
    <row r="630" spans="1:13" x14ac:dyDescent="0.2">
      <c r="A630" s="1" t="s">
        <v>883</v>
      </c>
      <c r="B630">
        <v>629</v>
      </c>
      <c r="C630" s="1" t="s">
        <v>28</v>
      </c>
      <c r="D630" s="1" t="s">
        <v>31</v>
      </c>
      <c r="E630" s="1" t="s">
        <v>296</v>
      </c>
      <c r="F630" s="1" t="s">
        <v>879</v>
      </c>
      <c r="G630">
        <v>6</v>
      </c>
      <c r="H630">
        <v>27</v>
      </c>
      <c r="I630" s="1" t="s">
        <v>31</v>
      </c>
      <c r="J630" s="1" t="s">
        <v>43</v>
      </c>
      <c r="K630" s="1" t="s">
        <v>44</v>
      </c>
      <c r="L630">
        <v>135</v>
      </c>
      <c r="M630" s="1" t="s">
        <v>32</v>
      </c>
    </row>
    <row r="631" spans="1:13" x14ac:dyDescent="0.2">
      <c r="A631" s="1" t="s">
        <v>884</v>
      </c>
      <c r="B631">
        <v>630</v>
      </c>
      <c r="C631" s="1" t="s">
        <v>28</v>
      </c>
      <c r="D631" s="1" t="s">
        <v>31</v>
      </c>
      <c r="E631" s="1" t="s">
        <v>296</v>
      </c>
      <c r="F631" s="1" t="s">
        <v>879</v>
      </c>
      <c r="G631">
        <v>6</v>
      </c>
      <c r="H631">
        <v>27</v>
      </c>
      <c r="I631" s="1" t="s">
        <v>31</v>
      </c>
      <c r="J631" s="1" t="s">
        <v>46</v>
      </c>
      <c r="K631" s="1" t="s">
        <v>47</v>
      </c>
      <c r="L631">
        <v>108</v>
      </c>
      <c r="M631" s="1" t="s">
        <v>32</v>
      </c>
    </row>
    <row r="632" spans="1:13" x14ac:dyDescent="0.2">
      <c r="A632" s="1" t="s">
        <v>885</v>
      </c>
      <c r="B632">
        <v>631</v>
      </c>
      <c r="C632" s="1" t="s">
        <v>28</v>
      </c>
      <c r="D632" s="1" t="s">
        <v>31</v>
      </c>
      <c r="E632" s="1" t="s">
        <v>296</v>
      </c>
      <c r="F632" s="1" t="s">
        <v>879</v>
      </c>
      <c r="G632">
        <v>6</v>
      </c>
      <c r="H632">
        <v>27</v>
      </c>
      <c r="I632" s="1" t="s">
        <v>49</v>
      </c>
      <c r="J632" s="1" t="s">
        <v>29</v>
      </c>
      <c r="K632" s="1" t="s">
        <v>30</v>
      </c>
      <c r="L632">
        <v>150</v>
      </c>
      <c r="M632" s="1" t="s">
        <v>32</v>
      </c>
    </row>
    <row r="633" spans="1:13" x14ac:dyDescent="0.2">
      <c r="A633" s="1" t="s">
        <v>886</v>
      </c>
      <c r="B633">
        <v>632</v>
      </c>
      <c r="C633" s="1" t="s">
        <v>28</v>
      </c>
      <c r="D633" s="1" t="s">
        <v>31</v>
      </c>
      <c r="E633" s="1" t="s">
        <v>296</v>
      </c>
      <c r="F633" s="1" t="s">
        <v>879</v>
      </c>
      <c r="G633">
        <v>6</v>
      </c>
      <c r="H633">
        <v>27</v>
      </c>
      <c r="I633" s="1" t="s">
        <v>49</v>
      </c>
      <c r="J633" s="1" t="s">
        <v>34</v>
      </c>
      <c r="K633" s="1" t="s">
        <v>35</v>
      </c>
      <c r="L633">
        <v>50</v>
      </c>
      <c r="M633" s="1" t="s">
        <v>32</v>
      </c>
    </row>
    <row r="634" spans="1:13" x14ac:dyDescent="0.2">
      <c r="A634" s="1" t="s">
        <v>887</v>
      </c>
      <c r="B634">
        <v>633</v>
      </c>
      <c r="C634" s="1" t="s">
        <v>28</v>
      </c>
      <c r="D634" s="1" t="s">
        <v>31</v>
      </c>
      <c r="E634" s="1" t="s">
        <v>296</v>
      </c>
      <c r="F634" s="1" t="s">
        <v>879</v>
      </c>
      <c r="G634">
        <v>6</v>
      </c>
      <c r="H634">
        <v>27</v>
      </c>
      <c r="I634" s="1" t="s">
        <v>49</v>
      </c>
      <c r="J634" s="1" t="s">
        <v>37</v>
      </c>
      <c r="K634" s="1" t="s">
        <v>38</v>
      </c>
      <c r="L634">
        <v>98</v>
      </c>
      <c r="M634" s="1" t="s">
        <v>32</v>
      </c>
    </row>
    <row r="635" spans="1:13" x14ac:dyDescent="0.2">
      <c r="A635" s="1" t="s">
        <v>888</v>
      </c>
      <c r="B635">
        <v>634</v>
      </c>
      <c r="C635" s="1" t="s">
        <v>28</v>
      </c>
      <c r="D635" s="1" t="s">
        <v>31</v>
      </c>
      <c r="E635" s="1" t="s">
        <v>296</v>
      </c>
      <c r="F635" s="1" t="s">
        <v>879</v>
      </c>
      <c r="G635">
        <v>6</v>
      </c>
      <c r="H635">
        <v>27</v>
      </c>
      <c r="I635" s="1" t="s">
        <v>49</v>
      </c>
      <c r="J635" s="1" t="s">
        <v>40</v>
      </c>
      <c r="K635" s="1" t="s">
        <v>41</v>
      </c>
      <c r="L635">
        <v>40</v>
      </c>
      <c r="M635" s="1" t="s">
        <v>32</v>
      </c>
    </row>
    <row r="636" spans="1:13" x14ac:dyDescent="0.2">
      <c r="A636" s="1" t="s">
        <v>889</v>
      </c>
      <c r="B636">
        <v>635</v>
      </c>
      <c r="C636" s="1" t="s">
        <v>28</v>
      </c>
      <c r="D636" s="1" t="s">
        <v>31</v>
      </c>
      <c r="E636" s="1" t="s">
        <v>296</v>
      </c>
      <c r="F636" s="1" t="s">
        <v>879</v>
      </c>
      <c r="G636">
        <v>6</v>
      </c>
      <c r="H636">
        <v>27</v>
      </c>
      <c r="I636" s="1" t="s">
        <v>49</v>
      </c>
      <c r="J636" s="1" t="s">
        <v>43</v>
      </c>
      <c r="K636" s="1" t="s">
        <v>44</v>
      </c>
      <c r="L636">
        <v>60</v>
      </c>
      <c r="M636" s="1" t="s">
        <v>32</v>
      </c>
    </row>
    <row r="637" spans="1:13" x14ac:dyDescent="0.2">
      <c r="A637" s="1" t="s">
        <v>890</v>
      </c>
      <c r="B637">
        <v>636</v>
      </c>
      <c r="C637" s="1" t="s">
        <v>28</v>
      </c>
      <c r="D637" s="1" t="s">
        <v>31</v>
      </c>
      <c r="E637" s="1" t="s">
        <v>296</v>
      </c>
      <c r="F637" s="1" t="s">
        <v>879</v>
      </c>
      <c r="G637">
        <v>6</v>
      </c>
      <c r="H637">
        <v>27</v>
      </c>
      <c r="I637" s="1" t="s">
        <v>49</v>
      </c>
      <c r="J637" s="1" t="s">
        <v>46</v>
      </c>
      <c r="K637" s="1" t="s">
        <v>47</v>
      </c>
      <c r="L637">
        <v>14</v>
      </c>
      <c r="M637" s="1" t="s">
        <v>32</v>
      </c>
    </row>
    <row r="638" spans="1:13" x14ac:dyDescent="0.2">
      <c r="A638" s="1" t="s">
        <v>891</v>
      </c>
      <c r="B638">
        <v>637</v>
      </c>
      <c r="C638" s="1" t="s">
        <v>28</v>
      </c>
      <c r="D638" s="1" t="s">
        <v>31</v>
      </c>
      <c r="E638" s="1" t="s">
        <v>296</v>
      </c>
      <c r="F638" s="1" t="s">
        <v>879</v>
      </c>
      <c r="G638">
        <v>6</v>
      </c>
      <c r="H638">
        <v>27</v>
      </c>
      <c r="I638" s="1" t="s">
        <v>56</v>
      </c>
      <c r="J638" s="1" t="s">
        <v>29</v>
      </c>
      <c r="K638" s="1" t="s">
        <v>30</v>
      </c>
      <c r="L638">
        <v>73</v>
      </c>
      <c r="M638" s="1" t="s">
        <v>32</v>
      </c>
    </row>
    <row r="639" spans="1:13" x14ac:dyDescent="0.2">
      <c r="A639" s="1" t="s">
        <v>892</v>
      </c>
      <c r="B639">
        <v>638</v>
      </c>
      <c r="C639" s="1" t="s">
        <v>28</v>
      </c>
      <c r="D639" s="1" t="s">
        <v>31</v>
      </c>
      <c r="E639" s="1" t="s">
        <v>296</v>
      </c>
      <c r="F639" s="1" t="s">
        <v>879</v>
      </c>
      <c r="G639">
        <v>6</v>
      </c>
      <c r="H639">
        <v>27</v>
      </c>
      <c r="I639" s="1" t="s">
        <v>56</v>
      </c>
      <c r="J639" s="1" t="s">
        <v>34</v>
      </c>
      <c r="K639" s="1" t="s">
        <v>35</v>
      </c>
      <c r="L639">
        <v>40</v>
      </c>
      <c r="M639" s="1" t="s">
        <v>32</v>
      </c>
    </row>
    <row r="640" spans="1:13" x14ac:dyDescent="0.2">
      <c r="A640" s="1" t="s">
        <v>893</v>
      </c>
      <c r="B640">
        <v>639</v>
      </c>
      <c r="C640" s="1" t="s">
        <v>28</v>
      </c>
      <c r="D640" s="1" t="s">
        <v>31</v>
      </c>
      <c r="E640" s="1" t="s">
        <v>296</v>
      </c>
      <c r="F640" s="1" t="s">
        <v>879</v>
      </c>
      <c r="G640">
        <v>6</v>
      </c>
      <c r="H640">
        <v>27</v>
      </c>
      <c r="I640" s="1" t="s">
        <v>56</v>
      </c>
      <c r="J640" s="1" t="s">
        <v>37</v>
      </c>
      <c r="K640" s="1" t="s">
        <v>38</v>
      </c>
      <c r="L640">
        <v>175</v>
      </c>
      <c r="M640" s="1" t="s">
        <v>32</v>
      </c>
    </row>
    <row r="641" spans="1:13" x14ac:dyDescent="0.2">
      <c r="A641" s="1" t="s">
        <v>894</v>
      </c>
      <c r="B641">
        <v>640</v>
      </c>
      <c r="C641" s="1" t="s">
        <v>28</v>
      </c>
      <c r="D641" s="1" t="s">
        <v>31</v>
      </c>
      <c r="E641" s="1" t="s">
        <v>296</v>
      </c>
      <c r="F641" s="1" t="s">
        <v>879</v>
      </c>
      <c r="G641">
        <v>6</v>
      </c>
      <c r="H641">
        <v>27</v>
      </c>
      <c r="I641" s="1" t="s">
        <v>56</v>
      </c>
      <c r="J641" s="1" t="s">
        <v>40</v>
      </c>
      <c r="K641" s="1" t="s">
        <v>41</v>
      </c>
      <c r="L641">
        <v>40</v>
      </c>
      <c r="M641" s="1" t="s">
        <v>32</v>
      </c>
    </row>
    <row r="642" spans="1:13" x14ac:dyDescent="0.2">
      <c r="A642" s="1" t="s">
        <v>895</v>
      </c>
      <c r="B642">
        <v>641</v>
      </c>
      <c r="C642" s="1" t="s">
        <v>28</v>
      </c>
      <c r="D642" s="1" t="s">
        <v>31</v>
      </c>
      <c r="E642" s="1" t="s">
        <v>296</v>
      </c>
      <c r="F642" s="1" t="s">
        <v>879</v>
      </c>
      <c r="G642">
        <v>6</v>
      </c>
      <c r="H642">
        <v>27</v>
      </c>
      <c r="I642" s="1" t="s">
        <v>56</v>
      </c>
      <c r="J642" s="1" t="s">
        <v>43</v>
      </c>
      <c r="K642" s="1" t="s">
        <v>44</v>
      </c>
      <c r="L642">
        <v>70</v>
      </c>
      <c r="M642" s="1" t="s">
        <v>32</v>
      </c>
    </row>
    <row r="643" spans="1:13" x14ac:dyDescent="0.2">
      <c r="A643" s="1" t="s">
        <v>896</v>
      </c>
      <c r="B643">
        <v>642</v>
      </c>
      <c r="C643" s="1" t="s">
        <v>28</v>
      </c>
      <c r="D643" s="1" t="s">
        <v>31</v>
      </c>
      <c r="E643" s="1" t="s">
        <v>296</v>
      </c>
      <c r="F643" s="1" t="s">
        <v>879</v>
      </c>
      <c r="G643">
        <v>6</v>
      </c>
      <c r="H643">
        <v>27</v>
      </c>
      <c r="I643" s="1" t="s">
        <v>56</v>
      </c>
      <c r="J643" s="1" t="s">
        <v>46</v>
      </c>
      <c r="K643" s="1" t="s">
        <v>47</v>
      </c>
      <c r="L643">
        <v>40</v>
      </c>
      <c r="M643" s="1" t="s">
        <v>32</v>
      </c>
    </row>
    <row r="644" spans="1:13" x14ac:dyDescent="0.2">
      <c r="A644" s="1" t="s">
        <v>897</v>
      </c>
      <c r="B644">
        <v>643</v>
      </c>
      <c r="C644" s="1" t="s">
        <v>28</v>
      </c>
      <c r="D644" s="1" t="s">
        <v>31</v>
      </c>
      <c r="E644" s="1" t="s">
        <v>296</v>
      </c>
      <c r="F644" s="1" t="s">
        <v>879</v>
      </c>
      <c r="G644">
        <v>6</v>
      </c>
      <c r="H644">
        <v>27</v>
      </c>
      <c r="I644" s="1" t="s">
        <v>63</v>
      </c>
      <c r="J644" s="1" t="s">
        <v>29</v>
      </c>
      <c r="K644" s="1" t="s">
        <v>30</v>
      </c>
      <c r="L644">
        <v>75</v>
      </c>
      <c r="M644" s="1" t="s">
        <v>32</v>
      </c>
    </row>
    <row r="645" spans="1:13" x14ac:dyDescent="0.2">
      <c r="A645" s="1" t="s">
        <v>898</v>
      </c>
      <c r="B645">
        <v>644</v>
      </c>
      <c r="C645" s="1" t="s">
        <v>28</v>
      </c>
      <c r="D645" s="1" t="s">
        <v>31</v>
      </c>
      <c r="E645" s="1" t="s">
        <v>296</v>
      </c>
      <c r="F645" s="1" t="s">
        <v>879</v>
      </c>
      <c r="G645">
        <v>6</v>
      </c>
      <c r="H645">
        <v>27</v>
      </c>
      <c r="I645" s="1" t="s">
        <v>63</v>
      </c>
      <c r="J645" s="1" t="s">
        <v>34</v>
      </c>
      <c r="K645" s="1" t="s">
        <v>35</v>
      </c>
      <c r="L645">
        <v>40</v>
      </c>
      <c r="M645" s="1" t="s">
        <v>32</v>
      </c>
    </row>
    <row r="646" spans="1:13" x14ac:dyDescent="0.2">
      <c r="A646" s="1" t="s">
        <v>899</v>
      </c>
      <c r="B646">
        <v>645</v>
      </c>
      <c r="C646" s="1" t="s">
        <v>28</v>
      </c>
      <c r="D646" s="1" t="s">
        <v>31</v>
      </c>
      <c r="E646" s="1" t="s">
        <v>296</v>
      </c>
      <c r="F646" s="1" t="s">
        <v>879</v>
      </c>
      <c r="G646">
        <v>6</v>
      </c>
      <c r="H646">
        <v>27</v>
      </c>
      <c r="I646" s="1" t="s">
        <v>63</v>
      </c>
      <c r="J646" s="1" t="s">
        <v>37</v>
      </c>
      <c r="K646" s="1" t="s">
        <v>38</v>
      </c>
      <c r="L646">
        <v>75</v>
      </c>
      <c r="M646" s="1" t="s">
        <v>32</v>
      </c>
    </row>
    <row r="647" spans="1:13" x14ac:dyDescent="0.2">
      <c r="A647" s="1" t="s">
        <v>900</v>
      </c>
      <c r="B647">
        <v>646</v>
      </c>
      <c r="C647" s="1" t="s">
        <v>28</v>
      </c>
      <c r="D647" s="1" t="s">
        <v>31</v>
      </c>
      <c r="E647" s="1" t="s">
        <v>296</v>
      </c>
      <c r="F647" s="1" t="s">
        <v>879</v>
      </c>
      <c r="G647">
        <v>6</v>
      </c>
      <c r="H647">
        <v>27</v>
      </c>
      <c r="I647" s="1" t="s">
        <v>63</v>
      </c>
      <c r="J647" s="1" t="s">
        <v>40</v>
      </c>
      <c r="K647" s="1" t="s">
        <v>41</v>
      </c>
      <c r="L647">
        <v>100</v>
      </c>
      <c r="M647" s="1" t="s">
        <v>32</v>
      </c>
    </row>
    <row r="648" spans="1:13" x14ac:dyDescent="0.2">
      <c r="A648" s="1" t="s">
        <v>901</v>
      </c>
      <c r="B648">
        <v>647</v>
      </c>
      <c r="C648" s="1" t="s">
        <v>28</v>
      </c>
      <c r="D648" s="1" t="s">
        <v>31</v>
      </c>
      <c r="E648" s="1" t="s">
        <v>296</v>
      </c>
      <c r="F648" s="1" t="s">
        <v>879</v>
      </c>
      <c r="G648">
        <v>6</v>
      </c>
      <c r="H648">
        <v>27</v>
      </c>
      <c r="I648" s="1" t="s">
        <v>63</v>
      </c>
      <c r="J648" s="1" t="s">
        <v>43</v>
      </c>
      <c r="K648" s="1" t="s">
        <v>44</v>
      </c>
      <c r="L648">
        <v>40</v>
      </c>
      <c r="M648" s="1" t="s">
        <v>32</v>
      </c>
    </row>
    <row r="649" spans="1:13" x14ac:dyDescent="0.2">
      <c r="A649" s="1" t="s">
        <v>902</v>
      </c>
      <c r="B649">
        <v>648</v>
      </c>
      <c r="C649" s="1" t="s">
        <v>28</v>
      </c>
      <c r="D649" s="1" t="s">
        <v>31</v>
      </c>
      <c r="E649" s="1" t="s">
        <v>296</v>
      </c>
      <c r="F649" s="1" t="s">
        <v>879</v>
      </c>
      <c r="G649">
        <v>6</v>
      </c>
      <c r="H649">
        <v>27</v>
      </c>
      <c r="I649" s="1" t="s">
        <v>63</v>
      </c>
      <c r="J649" s="1" t="s">
        <v>46</v>
      </c>
      <c r="K649" s="1" t="s">
        <v>47</v>
      </c>
      <c r="L649">
        <v>40</v>
      </c>
      <c r="M649" s="1" t="s">
        <v>32</v>
      </c>
    </row>
    <row r="650" spans="1:13" x14ac:dyDescent="0.2">
      <c r="A650" s="1" t="s">
        <v>906</v>
      </c>
      <c r="B650">
        <v>649</v>
      </c>
      <c r="C650" s="1" t="s">
        <v>28</v>
      </c>
      <c r="D650" s="1" t="s">
        <v>31</v>
      </c>
      <c r="E650" s="1" t="s">
        <v>326</v>
      </c>
      <c r="F650" s="1" t="s">
        <v>907</v>
      </c>
      <c r="G650">
        <v>6</v>
      </c>
      <c r="H650">
        <v>28</v>
      </c>
      <c r="I650" s="1" t="s">
        <v>31</v>
      </c>
      <c r="J650" s="1" t="s">
        <v>29</v>
      </c>
      <c r="K650" s="1" t="s">
        <v>30</v>
      </c>
      <c r="L650">
        <v>708</v>
      </c>
      <c r="M650" s="1" t="s">
        <v>32</v>
      </c>
    </row>
    <row r="651" spans="1:13" x14ac:dyDescent="0.2">
      <c r="A651" s="1" t="s">
        <v>908</v>
      </c>
      <c r="B651">
        <v>650</v>
      </c>
      <c r="C651" s="1" t="s">
        <v>28</v>
      </c>
      <c r="D651" s="1" t="s">
        <v>31</v>
      </c>
      <c r="E651" s="1" t="s">
        <v>326</v>
      </c>
      <c r="F651" s="1" t="s">
        <v>907</v>
      </c>
      <c r="G651">
        <v>6</v>
      </c>
      <c r="H651">
        <v>28</v>
      </c>
      <c r="I651" s="1" t="s">
        <v>31</v>
      </c>
      <c r="J651" s="1" t="s">
        <v>34</v>
      </c>
      <c r="K651" s="1" t="s">
        <v>35</v>
      </c>
      <c r="L651">
        <v>273</v>
      </c>
      <c r="M651" s="1" t="s">
        <v>32</v>
      </c>
    </row>
    <row r="652" spans="1:13" x14ac:dyDescent="0.2">
      <c r="A652" s="1" t="s">
        <v>909</v>
      </c>
      <c r="B652">
        <v>651</v>
      </c>
      <c r="C652" s="1" t="s">
        <v>28</v>
      </c>
      <c r="D652" s="1" t="s">
        <v>31</v>
      </c>
      <c r="E652" s="1" t="s">
        <v>326</v>
      </c>
      <c r="F652" s="1" t="s">
        <v>907</v>
      </c>
      <c r="G652">
        <v>6</v>
      </c>
      <c r="H652">
        <v>28</v>
      </c>
      <c r="I652" s="1" t="s">
        <v>31</v>
      </c>
      <c r="J652" s="1" t="s">
        <v>37</v>
      </c>
      <c r="K652" s="1" t="s">
        <v>38</v>
      </c>
      <c r="L652">
        <v>748</v>
      </c>
      <c r="M652" s="1" t="s">
        <v>32</v>
      </c>
    </row>
    <row r="653" spans="1:13" x14ac:dyDescent="0.2">
      <c r="A653" s="1" t="s">
        <v>910</v>
      </c>
      <c r="B653">
        <v>652</v>
      </c>
      <c r="C653" s="1" t="s">
        <v>28</v>
      </c>
      <c r="D653" s="1" t="s">
        <v>31</v>
      </c>
      <c r="E653" s="1" t="s">
        <v>326</v>
      </c>
      <c r="F653" s="1" t="s">
        <v>907</v>
      </c>
      <c r="G653">
        <v>6</v>
      </c>
      <c r="H653">
        <v>28</v>
      </c>
      <c r="I653" s="1" t="s">
        <v>31</v>
      </c>
      <c r="J653" s="1" t="s">
        <v>40</v>
      </c>
      <c r="K653" s="1" t="s">
        <v>41</v>
      </c>
      <c r="L653">
        <v>145</v>
      </c>
      <c r="M653" s="1" t="s">
        <v>32</v>
      </c>
    </row>
    <row r="654" spans="1:13" x14ac:dyDescent="0.2">
      <c r="A654" s="1" t="s">
        <v>911</v>
      </c>
      <c r="B654">
        <v>653</v>
      </c>
      <c r="C654" s="1" t="s">
        <v>28</v>
      </c>
      <c r="D654" s="1" t="s">
        <v>31</v>
      </c>
      <c r="E654" s="1" t="s">
        <v>326</v>
      </c>
      <c r="F654" s="1" t="s">
        <v>907</v>
      </c>
      <c r="G654">
        <v>6</v>
      </c>
      <c r="H654">
        <v>28</v>
      </c>
      <c r="I654" s="1" t="s">
        <v>31</v>
      </c>
      <c r="J654" s="1" t="s">
        <v>43</v>
      </c>
      <c r="K654" s="1" t="s">
        <v>44</v>
      </c>
      <c r="L654">
        <v>280</v>
      </c>
      <c r="M654" s="1" t="s">
        <v>32</v>
      </c>
    </row>
    <row r="655" spans="1:13" x14ac:dyDescent="0.2">
      <c r="A655" s="1" t="s">
        <v>912</v>
      </c>
      <c r="B655">
        <v>654</v>
      </c>
      <c r="C655" s="1" t="s">
        <v>28</v>
      </c>
      <c r="D655" s="1" t="s">
        <v>31</v>
      </c>
      <c r="E655" s="1" t="s">
        <v>326</v>
      </c>
      <c r="F655" s="1" t="s">
        <v>907</v>
      </c>
      <c r="G655">
        <v>6</v>
      </c>
      <c r="H655">
        <v>28</v>
      </c>
      <c r="I655" s="1" t="s">
        <v>31</v>
      </c>
      <c r="J655" s="1" t="s">
        <v>46</v>
      </c>
      <c r="K655" s="1" t="s">
        <v>47</v>
      </c>
      <c r="L655">
        <v>314</v>
      </c>
      <c r="M655" s="1" t="s">
        <v>32</v>
      </c>
    </row>
    <row r="656" spans="1:13" x14ac:dyDescent="0.2">
      <c r="A656" s="1" t="s">
        <v>913</v>
      </c>
      <c r="B656">
        <v>655</v>
      </c>
      <c r="C656" s="1" t="s">
        <v>28</v>
      </c>
      <c r="D656" s="1" t="s">
        <v>31</v>
      </c>
      <c r="E656" s="1" t="s">
        <v>326</v>
      </c>
      <c r="F656" s="1" t="s">
        <v>907</v>
      </c>
      <c r="G656">
        <v>6</v>
      </c>
      <c r="H656">
        <v>28</v>
      </c>
      <c r="I656" s="1" t="s">
        <v>49</v>
      </c>
      <c r="J656" s="1" t="s">
        <v>29</v>
      </c>
      <c r="K656" s="1" t="s">
        <v>30</v>
      </c>
      <c r="L656">
        <v>79</v>
      </c>
      <c r="M656" s="1" t="s">
        <v>32</v>
      </c>
    </row>
    <row r="657" spans="1:13" x14ac:dyDescent="0.2">
      <c r="A657" s="1" t="s">
        <v>914</v>
      </c>
      <c r="B657">
        <v>656</v>
      </c>
      <c r="C657" s="1" t="s">
        <v>28</v>
      </c>
      <c r="D657" s="1" t="s">
        <v>31</v>
      </c>
      <c r="E657" s="1" t="s">
        <v>326</v>
      </c>
      <c r="F657" s="1" t="s">
        <v>907</v>
      </c>
      <c r="G657">
        <v>6</v>
      </c>
      <c r="H657">
        <v>28</v>
      </c>
      <c r="I657" s="1" t="s">
        <v>49</v>
      </c>
      <c r="J657" s="1" t="s">
        <v>34</v>
      </c>
      <c r="K657" s="1" t="s">
        <v>35</v>
      </c>
      <c r="L657">
        <v>29</v>
      </c>
      <c r="M657" s="1" t="s">
        <v>32</v>
      </c>
    </row>
    <row r="658" spans="1:13" x14ac:dyDescent="0.2">
      <c r="A658" s="1" t="s">
        <v>915</v>
      </c>
      <c r="B658">
        <v>657</v>
      </c>
      <c r="C658" s="1" t="s">
        <v>28</v>
      </c>
      <c r="D658" s="1" t="s">
        <v>31</v>
      </c>
      <c r="E658" s="1" t="s">
        <v>326</v>
      </c>
      <c r="F658" s="1" t="s">
        <v>907</v>
      </c>
      <c r="G658">
        <v>6</v>
      </c>
      <c r="H658">
        <v>28</v>
      </c>
      <c r="I658" s="1" t="s">
        <v>49</v>
      </c>
      <c r="J658" s="1" t="s">
        <v>37</v>
      </c>
      <c r="K658" s="1" t="s">
        <v>38</v>
      </c>
      <c r="L658">
        <v>96</v>
      </c>
      <c r="M658" s="1" t="s">
        <v>32</v>
      </c>
    </row>
    <row r="659" spans="1:13" x14ac:dyDescent="0.2">
      <c r="A659" s="1" t="s">
        <v>916</v>
      </c>
      <c r="B659">
        <v>658</v>
      </c>
      <c r="C659" s="1" t="s">
        <v>28</v>
      </c>
      <c r="D659" s="1" t="s">
        <v>31</v>
      </c>
      <c r="E659" s="1" t="s">
        <v>326</v>
      </c>
      <c r="F659" s="1" t="s">
        <v>907</v>
      </c>
      <c r="G659">
        <v>6</v>
      </c>
      <c r="H659">
        <v>28</v>
      </c>
      <c r="I659" s="1" t="s">
        <v>49</v>
      </c>
      <c r="J659" s="1" t="s">
        <v>40</v>
      </c>
      <c r="K659" s="1" t="s">
        <v>41</v>
      </c>
      <c r="L659">
        <v>40</v>
      </c>
      <c r="M659" s="1" t="s">
        <v>32</v>
      </c>
    </row>
    <row r="660" spans="1:13" x14ac:dyDescent="0.2">
      <c r="A660" s="1" t="s">
        <v>917</v>
      </c>
      <c r="B660">
        <v>659</v>
      </c>
      <c r="C660" s="1" t="s">
        <v>28</v>
      </c>
      <c r="D660" s="1" t="s">
        <v>31</v>
      </c>
      <c r="E660" s="1" t="s">
        <v>326</v>
      </c>
      <c r="F660" s="1" t="s">
        <v>907</v>
      </c>
      <c r="G660">
        <v>6</v>
      </c>
      <c r="H660">
        <v>28</v>
      </c>
      <c r="I660" s="1" t="s">
        <v>49</v>
      </c>
      <c r="J660" s="1" t="s">
        <v>43</v>
      </c>
      <c r="K660" s="1" t="s">
        <v>44</v>
      </c>
      <c r="L660">
        <v>60</v>
      </c>
      <c r="M660" s="1" t="s">
        <v>32</v>
      </c>
    </row>
    <row r="661" spans="1:13" x14ac:dyDescent="0.2">
      <c r="A661" s="1" t="s">
        <v>918</v>
      </c>
      <c r="B661">
        <v>660</v>
      </c>
      <c r="C661" s="1" t="s">
        <v>28</v>
      </c>
      <c r="D661" s="1" t="s">
        <v>31</v>
      </c>
      <c r="E661" s="1" t="s">
        <v>326</v>
      </c>
      <c r="F661" s="1" t="s">
        <v>907</v>
      </c>
      <c r="G661">
        <v>6</v>
      </c>
      <c r="H661">
        <v>28</v>
      </c>
      <c r="I661" s="1" t="s">
        <v>49</v>
      </c>
      <c r="J661" s="1" t="s">
        <v>46</v>
      </c>
      <c r="K661" s="1" t="s">
        <v>47</v>
      </c>
      <c r="L661">
        <v>60</v>
      </c>
      <c r="M661" s="1" t="s">
        <v>32</v>
      </c>
    </row>
    <row r="662" spans="1:13" x14ac:dyDescent="0.2">
      <c r="A662" s="1" t="s">
        <v>919</v>
      </c>
      <c r="B662">
        <v>661</v>
      </c>
      <c r="C662" s="1" t="s">
        <v>28</v>
      </c>
      <c r="D662" s="1" t="s">
        <v>31</v>
      </c>
      <c r="E662" s="1" t="s">
        <v>326</v>
      </c>
      <c r="F662" s="1" t="s">
        <v>907</v>
      </c>
      <c r="G662">
        <v>6</v>
      </c>
      <c r="H662">
        <v>28</v>
      </c>
      <c r="I662" s="1" t="s">
        <v>56</v>
      </c>
      <c r="J662" s="1" t="s">
        <v>29</v>
      </c>
      <c r="K662" s="1" t="s">
        <v>30</v>
      </c>
      <c r="L662">
        <v>100</v>
      </c>
      <c r="M662" s="1" t="s">
        <v>32</v>
      </c>
    </row>
    <row r="663" spans="1:13" x14ac:dyDescent="0.2">
      <c r="A663" s="1" t="s">
        <v>920</v>
      </c>
      <c r="B663">
        <v>662</v>
      </c>
      <c r="C663" s="1" t="s">
        <v>28</v>
      </c>
      <c r="D663" s="1" t="s">
        <v>31</v>
      </c>
      <c r="E663" s="1" t="s">
        <v>326</v>
      </c>
      <c r="F663" s="1" t="s">
        <v>907</v>
      </c>
      <c r="G663">
        <v>6</v>
      </c>
      <c r="H663">
        <v>28</v>
      </c>
      <c r="I663" s="1" t="s">
        <v>56</v>
      </c>
      <c r="J663" s="1" t="s">
        <v>34</v>
      </c>
      <c r="K663" s="1" t="s">
        <v>35</v>
      </c>
      <c r="L663">
        <v>40</v>
      </c>
      <c r="M663" s="1" t="s">
        <v>32</v>
      </c>
    </row>
    <row r="664" spans="1:13" x14ac:dyDescent="0.2">
      <c r="A664" s="1" t="s">
        <v>921</v>
      </c>
      <c r="B664">
        <v>663</v>
      </c>
      <c r="C664" s="1" t="s">
        <v>28</v>
      </c>
      <c r="D664" s="1" t="s">
        <v>31</v>
      </c>
      <c r="E664" s="1" t="s">
        <v>326</v>
      </c>
      <c r="F664" s="1" t="s">
        <v>907</v>
      </c>
      <c r="G664">
        <v>6</v>
      </c>
      <c r="H664">
        <v>28</v>
      </c>
      <c r="I664" s="1" t="s">
        <v>56</v>
      </c>
      <c r="J664" s="1" t="s">
        <v>37</v>
      </c>
      <c r="K664" s="1" t="s">
        <v>38</v>
      </c>
      <c r="L664">
        <v>66</v>
      </c>
      <c r="M664" s="1" t="s">
        <v>32</v>
      </c>
    </row>
    <row r="665" spans="1:13" x14ac:dyDescent="0.2">
      <c r="A665" s="1" t="s">
        <v>922</v>
      </c>
      <c r="B665">
        <v>664</v>
      </c>
      <c r="C665" s="1" t="s">
        <v>28</v>
      </c>
      <c r="D665" s="1" t="s">
        <v>31</v>
      </c>
      <c r="E665" s="1" t="s">
        <v>326</v>
      </c>
      <c r="F665" s="1" t="s">
        <v>907</v>
      </c>
      <c r="G665">
        <v>6</v>
      </c>
      <c r="H665">
        <v>28</v>
      </c>
      <c r="I665" s="1" t="s">
        <v>56</v>
      </c>
      <c r="J665" s="1" t="s">
        <v>40</v>
      </c>
      <c r="K665" s="1" t="s">
        <v>41</v>
      </c>
      <c r="L665">
        <v>40</v>
      </c>
      <c r="M665" s="1" t="s">
        <v>32</v>
      </c>
    </row>
    <row r="666" spans="1:13" x14ac:dyDescent="0.2">
      <c r="A666" s="1" t="s">
        <v>923</v>
      </c>
      <c r="B666">
        <v>665</v>
      </c>
      <c r="C666" s="1" t="s">
        <v>28</v>
      </c>
      <c r="D666" s="1" t="s">
        <v>31</v>
      </c>
      <c r="E666" s="1" t="s">
        <v>326</v>
      </c>
      <c r="F666" s="1" t="s">
        <v>907</v>
      </c>
      <c r="G666">
        <v>6</v>
      </c>
      <c r="H666">
        <v>28</v>
      </c>
      <c r="I666" s="1" t="s">
        <v>56</v>
      </c>
      <c r="J666" s="1" t="s">
        <v>43</v>
      </c>
      <c r="K666" s="1" t="s">
        <v>44</v>
      </c>
      <c r="L666">
        <v>14</v>
      </c>
      <c r="M666" s="1" t="s">
        <v>32</v>
      </c>
    </row>
    <row r="667" spans="1:13" x14ac:dyDescent="0.2">
      <c r="A667" s="1" t="s">
        <v>924</v>
      </c>
      <c r="B667">
        <v>666</v>
      </c>
      <c r="C667" s="1" t="s">
        <v>28</v>
      </c>
      <c r="D667" s="1" t="s">
        <v>31</v>
      </c>
      <c r="E667" s="1" t="s">
        <v>326</v>
      </c>
      <c r="F667" s="1" t="s">
        <v>907</v>
      </c>
      <c r="G667">
        <v>6</v>
      </c>
      <c r="H667">
        <v>28</v>
      </c>
      <c r="I667" s="1" t="s">
        <v>56</v>
      </c>
      <c r="J667" s="1" t="s">
        <v>46</v>
      </c>
      <c r="K667" s="1" t="s">
        <v>47</v>
      </c>
      <c r="L667">
        <v>40</v>
      </c>
      <c r="M667" s="1" t="s">
        <v>32</v>
      </c>
    </row>
    <row r="668" spans="1:13" x14ac:dyDescent="0.2">
      <c r="A668" s="1" t="s">
        <v>925</v>
      </c>
      <c r="B668">
        <v>667</v>
      </c>
      <c r="C668" s="1" t="s">
        <v>28</v>
      </c>
      <c r="D668" s="1" t="s">
        <v>31</v>
      </c>
      <c r="E668" s="1" t="s">
        <v>326</v>
      </c>
      <c r="F668" s="1" t="s">
        <v>907</v>
      </c>
      <c r="G668">
        <v>6</v>
      </c>
      <c r="H668">
        <v>28</v>
      </c>
      <c r="I668" s="1" t="s">
        <v>63</v>
      </c>
      <c r="J668" s="1" t="s">
        <v>29</v>
      </c>
      <c r="K668" s="1" t="s">
        <v>30</v>
      </c>
      <c r="L668">
        <v>75</v>
      </c>
      <c r="M668" s="1" t="s">
        <v>32</v>
      </c>
    </row>
    <row r="669" spans="1:13" x14ac:dyDescent="0.2">
      <c r="A669" s="1" t="s">
        <v>926</v>
      </c>
      <c r="B669">
        <v>668</v>
      </c>
      <c r="C669" s="1" t="s">
        <v>28</v>
      </c>
      <c r="D669" s="1" t="s">
        <v>31</v>
      </c>
      <c r="E669" s="1" t="s">
        <v>326</v>
      </c>
      <c r="F669" s="1" t="s">
        <v>907</v>
      </c>
      <c r="G669">
        <v>6</v>
      </c>
      <c r="H669">
        <v>28</v>
      </c>
      <c r="I669" s="1" t="s">
        <v>63</v>
      </c>
      <c r="J669" s="1" t="s">
        <v>34</v>
      </c>
      <c r="K669" s="1" t="s">
        <v>35</v>
      </c>
      <c r="L669">
        <v>40</v>
      </c>
      <c r="M669" s="1" t="s">
        <v>32</v>
      </c>
    </row>
    <row r="670" spans="1:13" x14ac:dyDescent="0.2">
      <c r="A670" s="1" t="s">
        <v>927</v>
      </c>
      <c r="B670">
        <v>669</v>
      </c>
      <c r="C670" s="1" t="s">
        <v>28</v>
      </c>
      <c r="D670" s="1" t="s">
        <v>31</v>
      </c>
      <c r="E670" s="1" t="s">
        <v>326</v>
      </c>
      <c r="F670" s="1" t="s">
        <v>907</v>
      </c>
      <c r="G670">
        <v>6</v>
      </c>
      <c r="H670">
        <v>28</v>
      </c>
      <c r="I670" s="1" t="s">
        <v>63</v>
      </c>
      <c r="J670" s="1" t="s">
        <v>37</v>
      </c>
      <c r="K670" s="1" t="s">
        <v>38</v>
      </c>
      <c r="L670">
        <v>75</v>
      </c>
      <c r="M670" s="1" t="s">
        <v>32</v>
      </c>
    </row>
    <row r="671" spans="1:13" x14ac:dyDescent="0.2">
      <c r="A671" s="1" t="s">
        <v>928</v>
      </c>
      <c r="B671">
        <v>670</v>
      </c>
      <c r="C671" s="1" t="s">
        <v>28</v>
      </c>
      <c r="D671" s="1" t="s">
        <v>31</v>
      </c>
      <c r="E671" s="1" t="s">
        <v>326</v>
      </c>
      <c r="F671" s="1" t="s">
        <v>907</v>
      </c>
      <c r="G671">
        <v>6</v>
      </c>
      <c r="H671">
        <v>28</v>
      </c>
      <c r="I671" s="1" t="s">
        <v>63</v>
      </c>
      <c r="J671" s="1" t="s">
        <v>40</v>
      </c>
      <c r="K671" s="1" t="s">
        <v>41</v>
      </c>
      <c r="L671">
        <v>100</v>
      </c>
      <c r="M671" s="1" t="s">
        <v>32</v>
      </c>
    </row>
    <row r="672" spans="1:13" x14ac:dyDescent="0.2">
      <c r="A672" s="1" t="s">
        <v>929</v>
      </c>
      <c r="B672">
        <v>671</v>
      </c>
      <c r="C672" s="1" t="s">
        <v>28</v>
      </c>
      <c r="D672" s="1" t="s">
        <v>31</v>
      </c>
      <c r="E672" s="1" t="s">
        <v>326</v>
      </c>
      <c r="F672" s="1" t="s">
        <v>907</v>
      </c>
      <c r="G672">
        <v>6</v>
      </c>
      <c r="H672">
        <v>28</v>
      </c>
      <c r="I672" s="1" t="s">
        <v>63</v>
      </c>
      <c r="J672" s="1" t="s">
        <v>43</v>
      </c>
      <c r="K672" s="1" t="s">
        <v>44</v>
      </c>
      <c r="L672">
        <v>40</v>
      </c>
      <c r="M672" s="1" t="s">
        <v>32</v>
      </c>
    </row>
    <row r="673" spans="1:13" x14ac:dyDescent="0.2">
      <c r="A673" s="1" t="s">
        <v>930</v>
      </c>
      <c r="B673">
        <v>672</v>
      </c>
      <c r="C673" s="1" t="s">
        <v>28</v>
      </c>
      <c r="D673" s="1" t="s">
        <v>31</v>
      </c>
      <c r="E673" s="1" t="s">
        <v>326</v>
      </c>
      <c r="F673" s="1" t="s">
        <v>907</v>
      </c>
      <c r="G673">
        <v>6</v>
      </c>
      <c r="H673">
        <v>28</v>
      </c>
      <c r="I673" s="1" t="s">
        <v>63</v>
      </c>
      <c r="J673" s="1" t="s">
        <v>46</v>
      </c>
      <c r="K673" s="1" t="s">
        <v>47</v>
      </c>
      <c r="L673">
        <v>40</v>
      </c>
      <c r="M673" s="1" t="s">
        <v>32</v>
      </c>
    </row>
    <row r="674" spans="1:13" x14ac:dyDescent="0.2">
      <c r="A674" s="1" t="s">
        <v>935</v>
      </c>
      <c r="B674">
        <v>673</v>
      </c>
      <c r="C674" s="1" t="s">
        <v>28</v>
      </c>
      <c r="D674" s="1" t="s">
        <v>31</v>
      </c>
      <c r="E674" s="1" t="s">
        <v>357</v>
      </c>
      <c r="F674" s="1" t="s">
        <v>936</v>
      </c>
      <c r="G674">
        <v>6</v>
      </c>
      <c r="H674">
        <v>29</v>
      </c>
      <c r="I674" s="1" t="s">
        <v>31</v>
      </c>
      <c r="J674" s="1" t="s">
        <v>29</v>
      </c>
      <c r="K674" s="1" t="s">
        <v>30</v>
      </c>
      <c r="L674">
        <v>567</v>
      </c>
      <c r="M674" s="1" t="s">
        <v>32</v>
      </c>
    </row>
    <row r="675" spans="1:13" x14ac:dyDescent="0.2">
      <c r="A675" s="1" t="s">
        <v>937</v>
      </c>
      <c r="B675">
        <v>674</v>
      </c>
      <c r="C675" s="1" t="s">
        <v>28</v>
      </c>
      <c r="D675" s="1" t="s">
        <v>31</v>
      </c>
      <c r="E675" s="1" t="s">
        <v>357</v>
      </c>
      <c r="F675" s="1" t="s">
        <v>936</v>
      </c>
      <c r="G675">
        <v>6</v>
      </c>
      <c r="H675">
        <v>29</v>
      </c>
      <c r="I675" s="1" t="s">
        <v>31</v>
      </c>
      <c r="J675" s="1" t="s">
        <v>34</v>
      </c>
      <c r="K675" s="1" t="s">
        <v>35</v>
      </c>
      <c r="L675">
        <v>252</v>
      </c>
      <c r="M675" s="1" t="s">
        <v>32</v>
      </c>
    </row>
    <row r="676" spans="1:13" x14ac:dyDescent="0.2">
      <c r="A676" s="1" t="s">
        <v>938</v>
      </c>
      <c r="B676">
        <v>675</v>
      </c>
      <c r="C676" s="1" t="s">
        <v>28</v>
      </c>
      <c r="D676" s="1" t="s">
        <v>31</v>
      </c>
      <c r="E676" s="1" t="s">
        <v>357</v>
      </c>
      <c r="F676" s="1" t="s">
        <v>936</v>
      </c>
      <c r="G676">
        <v>6</v>
      </c>
      <c r="H676">
        <v>29</v>
      </c>
      <c r="I676" s="1" t="s">
        <v>31</v>
      </c>
      <c r="J676" s="1" t="s">
        <v>37</v>
      </c>
      <c r="K676" s="1" t="s">
        <v>38</v>
      </c>
      <c r="L676">
        <v>585</v>
      </c>
      <c r="M676" s="1" t="s">
        <v>32</v>
      </c>
    </row>
    <row r="677" spans="1:13" x14ac:dyDescent="0.2">
      <c r="A677" s="1" t="s">
        <v>939</v>
      </c>
      <c r="B677">
        <v>676</v>
      </c>
      <c r="C677" s="1" t="s">
        <v>28</v>
      </c>
      <c r="D677" s="1" t="s">
        <v>31</v>
      </c>
      <c r="E677" s="1" t="s">
        <v>357</v>
      </c>
      <c r="F677" s="1" t="s">
        <v>936</v>
      </c>
      <c r="G677">
        <v>6</v>
      </c>
      <c r="H677">
        <v>29</v>
      </c>
      <c r="I677" s="1" t="s">
        <v>31</v>
      </c>
      <c r="J677" s="1" t="s">
        <v>40</v>
      </c>
      <c r="K677" s="1" t="s">
        <v>41</v>
      </c>
      <c r="L677">
        <v>145</v>
      </c>
      <c r="M677" s="1" t="s">
        <v>32</v>
      </c>
    </row>
    <row r="678" spans="1:13" x14ac:dyDescent="0.2">
      <c r="A678" s="1" t="s">
        <v>940</v>
      </c>
      <c r="B678">
        <v>677</v>
      </c>
      <c r="C678" s="1" t="s">
        <v>28</v>
      </c>
      <c r="D678" s="1" t="s">
        <v>31</v>
      </c>
      <c r="E678" s="1" t="s">
        <v>357</v>
      </c>
      <c r="F678" s="1" t="s">
        <v>936</v>
      </c>
      <c r="G678">
        <v>6</v>
      </c>
      <c r="H678">
        <v>29</v>
      </c>
      <c r="I678" s="1" t="s">
        <v>31</v>
      </c>
      <c r="J678" s="1" t="s">
        <v>43</v>
      </c>
      <c r="K678" s="1" t="s">
        <v>44</v>
      </c>
      <c r="L678">
        <v>224</v>
      </c>
      <c r="M678" s="1" t="s">
        <v>32</v>
      </c>
    </row>
    <row r="679" spans="1:13" x14ac:dyDescent="0.2">
      <c r="A679" s="1" t="s">
        <v>941</v>
      </c>
      <c r="B679">
        <v>678</v>
      </c>
      <c r="C679" s="1" t="s">
        <v>28</v>
      </c>
      <c r="D679" s="1" t="s">
        <v>31</v>
      </c>
      <c r="E679" s="1" t="s">
        <v>357</v>
      </c>
      <c r="F679" s="1" t="s">
        <v>936</v>
      </c>
      <c r="G679">
        <v>6</v>
      </c>
      <c r="H679">
        <v>29</v>
      </c>
      <c r="I679" s="1" t="s">
        <v>31</v>
      </c>
      <c r="J679" s="1" t="s">
        <v>46</v>
      </c>
      <c r="K679" s="1" t="s">
        <v>47</v>
      </c>
      <c r="L679">
        <v>314</v>
      </c>
      <c r="M679" s="1" t="s">
        <v>32</v>
      </c>
    </row>
    <row r="680" spans="1:13" x14ac:dyDescent="0.2">
      <c r="A680" s="1" t="s">
        <v>942</v>
      </c>
      <c r="B680">
        <v>679</v>
      </c>
      <c r="C680" s="1" t="s">
        <v>28</v>
      </c>
      <c r="D680" s="1" t="s">
        <v>31</v>
      </c>
      <c r="E680" s="1" t="s">
        <v>357</v>
      </c>
      <c r="F680" s="1" t="s">
        <v>936</v>
      </c>
      <c r="G680">
        <v>6</v>
      </c>
      <c r="H680">
        <v>29</v>
      </c>
      <c r="I680" s="1" t="s">
        <v>49</v>
      </c>
      <c r="J680" s="1" t="s">
        <v>29</v>
      </c>
      <c r="K680" s="1" t="s">
        <v>30</v>
      </c>
      <c r="L680">
        <v>149</v>
      </c>
      <c r="M680" s="1" t="s">
        <v>32</v>
      </c>
    </row>
    <row r="681" spans="1:13" x14ac:dyDescent="0.2">
      <c r="A681" s="1" t="s">
        <v>943</v>
      </c>
      <c r="B681">
        <v>680</v>
      </c>
      <c r="C681" s="1" t="s">
        <v>28</v>
      </c>
      <c r="D681" s="1" t="s">
        <v>31</v>
      </c>
      <c r="E681" s="1" t="s">
        <v>357</v>
      </c>
      <c r="F681" s="1" t="s">
        <v>936</v>
      </c>
      <c r="G681">
        <v>6</v>
      </c>
      <c r="H681">
        <v>29</v>
      </c>
      <c r="I681" s="1" t="s">
        <v>49</v>
      </c>
      <c r="J681" s="1" t="s">
        <v>34</v>
      </c>
      <c r="K681" s="1" t="s">
        <v>35</v>
      </c>
      <c r="L681">
        <v>50</v>
      </c>
      <c r="M681" s="1" t="s">
        <v>32</v>
      </c>
    </row>
    <row r="682" spans="1:13" x14ac:dyDescent="0.2">
      <c r="A682" s="1" t="s">
        <v>944</v>
      </c>
      <c r="B682">
        <v>681</v>
      </c>
      <c r="C682" s="1" t="s">
        <v>28</v>
      </c>
      <c r="D682" s="1" t="s">
        <v>31</v>
      </c>
      <c r="E682" s="1" t="s">
        <v>357</v>
      </c>
      <c r="F682" s="1" t="s">
        <v>936</v>
      </c>
      <c r="G682">
        <v>6</v>
      </c>
      <c r="H682">
        <v>29</v>
      </c>
      <c r="I682" s="1" t="s">
        <v>49</v>
      </c>
      <c r="J682" s="1" t="s">
        <v>37</v>
      </c>
      <c r="K682" s="1" t="s">
        <v>38</v>
      </c>
      <c r="L682">
        <v>150</v>
      </c>
      <c r="M682" s="1" t="s">
        <v>32</v>
      </c>
    </row>
    <row r="683" spans="1:13" x14ac:dyDescent="0.2">
      <c r="A683" s="1" t="s">
        <v>945</v>
      </c>
      <c r="B683">
        <v>682</v>
      </c>
      <c r="C683" s="1" t="s">
        <v>28</v>
      </c>
      <c r="D683" s="1" t="s">
        <v>31</v>
      </c>
      <c r="E683" s="1" t="s">
        <v>357</v>
      </c>
      <c r="F683" s="1" t="s">
        <v>936</v>
      </c>
      <c r="G683">
        <v>6</v>
      </c>
      <c r="H683">
        <v>29</v>
      </c>
      <c r="I683" s="1" t="s">
        <v>49</v>
      </c>
      <c r="J683" s="1" t="s">
        <v>40</v>
      </c>
      <c r="K683" s="1" t="s">
        <v>41</v>
      </c>
      <c r="L683">
        <v>40</v>
      </c>
      <c r="M683" s="1" t="s">
        <v>32</v>
      </c>
    </row>
    <row r="684" spans="1:13" x14ac:dyDescent="0.2">
      <c r="A684" s="1" t="s">
        <v>946</v>
      </c>
      <c r="B684">
        <v>683</v>
      </c>
      <c r="C684" s="1" t="s">
        <v>28</v>
      </c>
      <c r="D684" s="1" t="s">
        <v>31</v>
      </c>
      <c r="E684" s="1" t="s">
        <v>357</v>
      </c>
      <c r="F684" s="1" t="s">
        <v>936</v>
      </c>
      <c r="G684">
        <v>6</v>
      </c>
      <c r="H684">
        <v>29</v>
      </c>
      <c r="I684" s="1" t="s">
        <v>49</v>
      </c>
      <c r="J684" s="1" t="s">
        <v>43</v>
      </c>
      <c r="K684" s="1" t="s">
        <v>44</v>
      </c>
      <c r="L684">
        <v>60</v>
      </c>
      <c r="M684" s="1" t="s">
        <v>32</v>
      </c>
    </row>
    <row r="685" spans="1:13" x14ac:dyDescent="0.2">
      <c r="A685" s="1" t="s">
        <v>947</v>
      </c>
      <c r="B685">
        <v>684</v>
      </c>
      <c r="C685" s="1" t="s">
        <v>28</v>
      </c>
      <c r="D685" s="1" t="s">
        <v>31</v>
      </c>
      <c r="E685" s="1" t="s">
        <v>357</v>
      </c>
      <c r="F685" s="1" t="s">
        <v>936</v>
      </c>
      <c r="G685">
        <v>6</v>
      </c>
      <c r="H685">
        <v>29</v>
      </c>
      <c r="I685" s="1" t="s">
        <v>49</v>
      </c>
      <c r="J685" s="1" t="s">
        <v>46</v>
      </c>
      <c r="K685" s="1" t="s">
        <v>47</v>
      </c>
      <c r="L685">
        <v>60</v>
      </c>
      <c r="M685" s="1" t="s">
        <v>32</v>
      </c>
    </row>
    <row r="686" spans="1:13" x14ac:dyDescent="0.2">
      <c r="A686" s="1" t="s">
        <v>948</v>
      </c>
      <c r="B686">
        <v>685</v>
      </c>
      <c r="C686" s="1" t="s">
        <v>28</v>
      </c>
      <c r="D686" s="1" t="s">
        <v>31</v>
      </c>
      <c r="E686" s="1" t="s">
        <v>357</v>
      </c>
      <c r="F686" s="1" t="s">
        <v>936</v>
      </c>
      <c r="G686">
        <v>6</v>
      </c>
      <c r="H686">
        <v>29</v>
      </c>
      <c r="I686" s="1" t="s">
        <v>56</v>
      </c>
      <c r="J686" s="1" t="s">
        <v>29</v>
      </c>
      <c r="K686" s="1" t="s">
        <v>30</v>
      </c>
      <c r="L686">
        <v>39</v>
      </c>
      <c r="M686" s="1" t="s">
        <v>32</v>
      </c>
    </row>
    <row r="687" spans="1:13" x14ac:dyDescent="0.2">
      <c r="A687" s="1" t="s">
        <v>949</v>
      </c>
      <c r="B687">
        <v>686</v>
      </c>
      <c r="C687" s="1" t="s">
        <v>28</v>
      </c>
      <c r="D687" s="1" t="s">
        <v>31</v>
      </c>
      <c r="E687" s="1" t="s">
        <v>357</v>
      </c>
      <c r="F687" s="1" t="s">
        <v>936</v>
      </c>
      <c r="G687">
        <v>6</v>
      </c>
      <c r="H687">
        <v>29</v>
      </c>
      <c r="I687" s="1" t="s">
        <v>56</v>
      </c>
      <c r="J687" s="1" t="s">
        <v>34</v>
      </c>
      <c r="K687" s="1" t="s">
        <v>35</v>
      </c>
      <c r="L687">
        <v>11</v>
      </c>
      <c r="M687" s="1" t="s">
        <v>32</v>
      </c>
    </row>
    <row r="688" spans="1:13" x14ac:dyDescent="0.2">
      <c r="A688" s="1" t="s">
        <v>950</v>
      </c>
      <c r="B688">
        <v>687</v>
      </c>
      <c r="C688" s="1" t="s">
        <v>28</v>
      </c>
      <c r="D688" s="1" t="s">
        <v>31</v>
      </c>
      <c r="E688" s="1" t="s">
        <v>357</v>
      </c>
      <c r="F688" s="1" t="s">
        <v>936</v>
      </c>
      <c r="G688">
        <v>6</v>
      </c>
      <c r="H688">
        <v>29</v>
      </c>
      <c r="I688" s="1" t="s">
        <v>56</v>
      </c>
      <c r="J688" s="1" t="s">
        <v>37</v>
      </c>
      <c r="K688" s="1" t="s">
        <v>38</v>
      </c>
      <c r="L688">
        <v>109</v>
      </c>
      <c r="M688" s="1" t="s">
        <v>32</v>
      </c>
    </row>
    <row r="689" spans="1:13" x14ac:dyDescent="0.2">
      <c r="A689" s="1" t="s">
        <v>951</v>
      </c>
      <c r="B689">
        <v>688</v>
      </c>
      <c r="C689" s="1" t="s">
        <v>28</v>
      </c>
      <c r="D689" s="1" t="s">
        <v>31</v>
      </c>
      <c r="E689" s="1" t="s">
        <v>357</v>
      </c>
      <c r="F689" s="1" t="s">
        <v>936</v>
      </c>
      <c r="G689">
        <v>6</v>
      </c>
      <c r="H689">
        <v>29</v>
      </c>
      <c r="I689" s="1" t="s">
        <v>56</v>
      </c>
      <c r="J689" s="1" t="s">
        <v>40</v>
      </c>
      <c r="K689" s="1" t="s">
        <v>41</v>
      </c>
      <c r="L689">
        <v>40</v>
      </c>
      <c r="M689" s="1" t="s">
        <v>32</v>
      </c>
    </row>
    <row r="690" spans="1:13" x14ac:dyDescent="0.2">
      <c r="A690" s="1" t="s">
        <v>952</v>
      </c>
      <c r="B690">
        <v>689</v>
      </c>
      <c r="C690" s="1" t="s">
        <v>28</v>
      </c>
      <c r="D690" s="1" t="s">
        <v>31</v>
      </c>
      <c r="E690" s="1" t="s">
        <v>357</v>
      </c>
      <c r="F690" s="1" t="s">
        <v>936</v>
      </c>
      <c r="G690">
        <v>6</v>
      </c>
      <c r="H690">
        <v>29</v>
      </c>
      <c r="I690" s="1" t="s">
        <v>56</v>
      </c>
      <c r="J690" s="1" t="s">
        <v>43</v>
      </c>
      <c r="K690" s="1" t="s">
        <v>44</v>
      </c>
      <c r="L690">
        <v>56</v>
      </c>
      <c r="M690" s="1" t="s">
        <v>32</v>
      </c>
    </row>
    <row r="691" spans="1:13" x14ac:dyDescent="0.2">
      <c r="A691" s="1" t="s">
        <v>953</v>
      </c>
      <c r="B691">
        <v>690</v>
      </c>
      <c r="C691" s="1" t="s">
        <v>28</v>
      </c>
      <c r="D691" s="1" t="s">
        <v>31</v>
      </c>
      <c r="E691" s="1" t="s">
        <v>357</v>
      </c>
      <c r="F691" s="1" t="s">
        <v>936</v>
      </c>
      <c r="G691">
        <v>6</v>
      </c>
      <c r="H691">
        <v>29</v>
      </c>
      <c r="I691" s="1" t="s">
        <v>56</v>
      </c>
      <c r="J691" s="1" t="s">
        <v>46</v>
      </c>
      <c r="K691" s="1" t="s">
        <v>47</v>
      </c>
      <c r="L691">
        <v>0</v>
      </c>
      <c r="M691" s="1" t="s">
        <v>32</v>
      </c>
    </row>
    <row r="692" spans="1:13" x14ac:dyDescent="0.2">
      <c r="A692" s="1" t="s">
        <v>954</v>
      </c>
      <c r="B692">
        <v>691</v>
      </c>
      <c r="C692" s="1" t="s">
        <v>28</v>
      </c>
      <c r="D692" s="1" t="s">
        <v>31</v>
      </c>
      <c r="E692" s="1" t="s">
        <v>357</v>
      </c>
      <c r="F692" s="1" t="s">
        <v>936</v>
      </c>
      <c r="G692">
        <v>6</v>
      </c>
      <c r="H692">
        <v>29</v>
      </c>
      <c r="I692" s="1" t="s">
        <v>63</v>
      </c>
      <c r="J692" s="1" t="s">
        <v>29</v>
      </c>
      <c r="K692" s="1" t="s">
        <v>30</v>
      </c>
      <c r="L692">
        <v>19</v>
      </c>
      <c r="M692" s="1" t="s">
        <v>32</v>
      </c>
    </row>
    <row r="693" spans="1:13" x14ac:dyDescent="0.2">
      <c r="A693" s="1" t="s">
        <v>955</v>
      </c>
      <c r="B693">
        <v>692</v>
      </c>
      <c r="C693" s="1" t="s">
        <v>28</v>
      </c>
      <c r="D693" s="1" t="s">
        <v>31</v>
      </c>
      <c r="E693" s="1" t="s">
        <v>357</v>
      </c>
      <c r="F693" s="1" t="s">
        <v>936</v>
      </c>
      <c r="G693">
        <v>6</v>
      </c>
      <c r="H693">
        <v>29</v>
      </c>
      <c r="I693" s="1" t="s">
        <v>63</v>
      </c>
      <c r="J693" s="1" t="s">
        <v>34</v>
      </c>
      <c r="K693" s="1" t="s">
        <v>35</v>
      </c>
      <c r="L693">
        <v>40</v>
      </c>
      <c r="M693" s="1" t="s">
        <v>32</v>
      </c>
    </row>
    <row r="694" spans="1:13" x14ac:dyDescent="0.2">
      <c r="A694" s="1" t="s">
        <v>956</v>
      </c>
      <c r="B694">
        <v>693</v>
      </c>
      <c r="C694" s="1" t="s">
        <v>28</v>
      </c>
      <c r="D694" s="1" t="s">
        <v>31</v>
      </c>
      <c r="E694" s="1" t="s">
        <v>357</v>
      </c>
      <c r="F694" s="1" t="s">
        <v>936</v>
      </c>
      <c r="G694">
        <v>6</v>
      </c>
      <c r="H694">
        <v>29</v>
      </c>
      <c r="I694" s="1" t="s">
        <v>63</v>
      </c>
      <c r="J694" s="1" t="s">
        <v>37</v>
      </c>
      <c r="K694" s="1" t="s">
        <v>38</v>
      </c>
      <c r="L694">
        <v>75</v>
      </c>
      <c r="M694" s="1" t="s">
        <v>32</v>
      </c>
    </row>
    <row r="695" spans="1:13" x14ac:dyDescent="0.2">
      <c r="A695" s="1" t="s">
        <v>957</v>
      </c>
      <c r="B695">
        <v>694</v>
      </c>
      <c r="C695" s="1" t="s">
        <v>28</v>
      </c>
      <c r="D695" s="1" t="s">
        <v>31</v>
      </c>
      <c r="E695" s="1" t="s">
        <v>357</v>
      </c>
      <c r="F695" s="1" t="s">
        <v>936</v>
      </c>
      <c r="G695">
        <v>6</v>
      </c>
      <c r="H695">
        <v>29</v>
      </c>
      <c r="I695" s="1" t="s">
        <v>63</v>
      </c>
      <c r="J695" s="1" t="s">
        <v>40</v>
      </c>
      <c r="K695" s="1" t="s">
        <v>41</v>
      </c>
      <c r="L695">
        <v>100</v>
      </c>
      <c r="M695" s="1" t="s">
        <v>32</v>
      </c>
    </row>
    <row r="696" spans="1:13" x14ac:dyDescent="0.2">
      <c r="A696" s="1" t="s">
        <v>958</v>
      </c>
      <c r="B696">
        <v>695</v>
      </c>
      <c r="C696" s="1" t="s">
        <v>28</v>
      </c>
      <c r="D696" s="1" t="s">
        <v>31</v>
      </c>
      <c r="E696" s="1" t="s">
        <v>357</v>
      </c>
      <c r="F696" s="1" t="s">
        <v>936</v>
      </c>
      <c r="G696">
        <v>6</v>
      </c>
      <c r="H696">
        <v>29</v>
      </c>
      <c r="I696" s="1" t="s">
        <v>63</v>
      </c>
      <c r="J696" s="1" t="s">
        <v>43</v>
      </c>
      <c r="K696" s="1" t="s">
        <v>44</v>
      </c>
      <c r="L696">
        <v>40</v>
      </c>
      <c r="M696" s="1" t="s">
        <v>32</v>
      </c>
    </row>
    <row r="697" spans="1:13" x14ac:dyDescent="0.2">
      <c r="A697" s="1" t="s">
        <v>959</v>
      </c>
      <c r="B697">
        <v>696</v>
      </c>
      <c r="C697" s="1" t="s">
        <v>28</v>
      </c>
      <c r="D697" s="1" t="s">
        <v>31</v>
      </c>
      <c r="E697" s="1" t="s">
        <v>357</v>
      </c>
      <c r="F697" s="1" t="s">
        <v>936</v>
      </c>
      <c r="G697">
        <v>6</v>
      </c>
      <c r="H697">
        <v>29</v>
      </c>
      <c r="I697" s="1" t="s">
        <v>63</v>
      </c>
      <c r="J697" s="1" t="s">
        <v>46</v>
      </c>
      <c r="K697" s="1" t="s">
        <v>47</v>
      </c>
      <c r="L697">
        <v>40</v>
      </c>
      <c r="M697" s="1" t="s">
        <v>32</v>
      </c>
    </row>
    <row r="698" spans="1:13" x14ac:dyDescent="0.2">
      <c r="A698" s="1" t="s">
        <v>963</v>
      </c>
      <c r="B698">
        <v>697</v>
      </c>
      <c r="C698" s="1" t="s">
        <v>28</v>
      </c>
      <c r="D698" s="1" t="s">
        <v>31</v>
      </c>
      <c r="E698" s="1" t="s">
        <v>387</v>
      </c>
      <c r="F698" s="1" t="s">
        <v>964</v>
      </c>
      <c r="G698">
        <v>6</v>
      </c>
      <c r="H698">
        <v>30</v>
      </c>
      <c r="I698" s="1" t="s">
        <v>31</v>
      </c>
      <c r="J698" s="1" t="s">
        <v>29</v>
      </c>
      <c r="K698" s="1" t="s">
        <v>30</v>
      </c>
      <c r="L698">
        <v>379</v>
      </c>
      <c r="M698" s="1" t="s">
        <v>32</v>
      </c>
    </row>
    <row r="699" spans="1:13" x14ac:dyDescent="0.2">
      <c r="A699" s="1" t="s">
        <v>965</v>
      </c>
      <c r="B699">
        <v>698</v>
      </c>
      <c r="C699" s="1" t="s">
        <v>28</v>
      </c>
      <c r="D699" s="1" t="s">
        <v>31</v>
      </c>
      <c r="E699" s="1" t="s">
        <v>387</v>
      </c>
      <c r="F699" s="1" t="s">
        <v>964</v>
      </c>
      <c r="G699">
        <v>6</v>
      </c>
      <c r="H699">
        <v>30</v>
      </c>
      <c r="I699" s="1" t="s">
        <v>31</v>
      </c>
      <c r="J699" s="1" t="s">
        <v>34</v>
      </c>
      <c r="K699" s="1" t="s">
        <v>35</v>
      </c>
      <c r="L699">
        <v>223</v>
      </c>
      <c r="M699" s="1" t="s">
        <v>32</v>
      </c>
    </row>
    <row r="700" spans="1:13" x14ac:dyDescent="0.2">
      <c r="A700" s="1" t="s">
        <v>966</v>
      </c>
      <c r="B700">
        <v>699</v>
      </c>
      <c r="C700" s="1" t="s">
        <v>28</v>
      </c>
      <c r="D700" s="1" t="s">
        <v>31</v>
      </c>
      <c r="E700" s="1" t="s">
        <v>387</v>
      </c>
      <c r="F700" s="1" t="s">
        <v>964</v>
      </c>
      <c r="G700">
        <v>6</v>
      </c>
      <c r="H700">
        <v>30</v>
      </c>
      <c r="I700" s="1" t="s">
        <v>31</v>
      </c>
      <c r="J700" s="1" t="s">
        <v>37</v>
      </c>
      <c r="K700" s="1" t="s">
        <v>38</v>
      </c>
      <c r="L700">
        <v>519</v>
      </c>
      <c r="M700" s="1" t="s">
        <v>32</v>
      </c>
    </row>
    <row r="701" spans="1:13" x14ac:dyDescent="0.2">
      <c r="A701" s="1" t="s">
        <v>967</v>
      </c>
      <c r="B701">
        <v>700</v>
      </c>
      <c r="C701" s="1" t="s">
        <v>28</v>
      </c>
      <c r="D701" s="1" t="s">
        <v>31</v>
      </c>
      <c r="E701" s="1" t="s">
        <v>387</v>
      </c>
      <c r="F701" s="1" t="s">
        <v>964</v>
      </c>
      <c r="G701">
        <v>6</v>
      </c>
      <c r="H701">
        <v>30</v>
      </c>
      <c r="I701" s="1" t="s">
        <v>31</v>
      </c>
      <c r="J701" s="1" t="s">
        <v>40</v>
      </c>
      <c r="K701" s="1" t="s">
        <v>41</v>
      </c>
      <c r="L701">
        <v>145</v>
      </c>
      <c r="M701" s="1" t="s">
        <v>32</v>
      </c>
    </row>
    <row r="702" spans="1:13" x14ac:dyDescent="0.2">
      <c r="A702" s="1" t="s">
        <v>968</v>
      </c>
      <c r="B702">
        <v>701</v>
      </c>
      <c r="C702" s="1" t="s">
        <v>28</v>
      </c>
      <c r="D702" s="1" t="s">
        <v>31</v>
      </c>
      <c r="E702" s="1" t="s">
        <v>387</v>
      </c>
      <c r="F702" s="1" t="s">
        <v>964</v>
      </c>
      <c r="G702">
        <v>6</v>
      </c>
      <c r="H702">
        <v>30</v>
      </c>
      <c r="I702" s="1" t="s">
        <v>31</v>
      </c>
      <c r="J702" s="1" t="s">
        <v>43</v>
      </c>
      <c r="K702" s="1" t="s">
        <v>44</v>
      </c>
      <c r="L702">
        <v>210</v>
      </c>
      <c r="M702" s="1" t="s">
        <v>32</v>
      </c>
    </row>
    <row r="703" spans="1:13" x14ac:dyDescent="0.2">
      <c r="A703" s="1" t="s">
        <v>969</v>
      </c>
      <c r="B703">
        <v>702</v>
      </c>
      <c r="C703" s="1" t="s">
        <v>28</v>
      </c>
      <c r="D703" s="1" t="s">
        <v>31</v>
      </c>
      <c r="E703" s="1" t="s">
        <v>387</v>
      </c>
      <c r="F703" s="1" t="s">
        <v>964</v>
      </c>
      <c r="G703">
        <v>6</v>
      </c>
      <c r="H703">
        <v>30</v>
      </c>
      <c r="I703" s="1" t="s">
        <v>31</v>
      </c>
      <c r="J703" s="1" t="s">
        <v>46</v>
      </c>
      <c r="K703" s="1" t="s">
        <v>47</v>
      </c>
      <c r="L703">
        <v>274</v>
      </c>
      <c r="M703" s="1" t="s">
        <v>32</v>
      </c>
    </row>
    <row r="704" spans="1:13" x14ac:dyDescent="0.2">
      <c r="A704" s="1" t="s">
        <v>970</v>
      </c>
      <c r="B704">
        <v>703</v>
      </c>
      <c r="C704" s="1" t="s">
        <v>28</v>
      </c>
      <c r="D704" s="1" t="s">
        <v>31</v>
      </c>
      <c r="E704" s="1" t="s">
        <v>387</v>
      </c>
      <c r="F704" s="1" t="s">
        <v>964</v>
      </c>
      <c r="G704">
        <v>6</v>
      </c>
      <c r="H704">
        <v>30</v>
      </c>
      <c r="I704" s="1" t="s">
        <v>49</v>
      </c>
      <c r="J704" s="1" t="s">
        <v>29</v>
      </c>
      <c r="K704" s="1" t="s">
        <v>30</v>
      </c>
      <c r="L704">
        <v>145</v>
      </c>
      <c r="M704" s="1" t="s">
        <v>32</v>
      </c>
    </row>
    <row r="705" spans="1:13" x14ac:dyDescent="0.2">
      <c r="A705" s="1" t="s">
        <v>971</v>
      </c>
      <c r="B705">
        <v>704</v>
      </c>
      <c r="C705" s="1" t="s">
        <v>28</v>
      </c>
      <c r="D705" s="1" t="s">
        <v>31</v>
      </c>
      <c r="E705" s="1" t="s">
        <v>387</v>
      </c>
      <c r="F705" s="1" t="s">
        <v>964</v>
      </c>
      <c r="G705">
        <v>6</v>
      </c>
      <c r="H705">
        <v>30</v>
      </c>
      <c r="I705" s="1" t="s">
        <v>49</v>
      </c>
      <c r="J705" s="1" t="s">
        <v>34</v>
      </c>
      <c r="K705" s="1" t="s">
        <v>35</v>
      </c>
      <c r="L705">
        <v>50</v>
      </c>
      <c r="M705" s="1" t="s">
        <v>32</v>
      </c>
    </row>
    <row r="706" spans="1:13" x14ac:dyDescent="0.2">
      <c r="A706" s="1" t="s">
        <v>972</v>
      </c>
      <c r="B706">
        <v>705</v>
      </c>
      <c r="C706" s="1" t="s">
        <v>28</v>
      </c>
      <c r="D706" s="1" t="s">
        <v>31</v>
      </c>
      <c r="E706" s="1" t="s">
        <v>387</v>
      </c>
      <c r="F706" s="1" t="s">
        <v>964</v>
      </c>
      <c r="G706">
        <v>6</v>
      </c>
      <c r="H706">
        <v>30</v>
      </c>
      <c r="I706" s="1" t="s">
        <v>49</v>
      </c>
      <c r="J706" s="1" t="s">
        <v>37</v>
      </c>
      <c r="K706" s="1" t="s">
        <v>38</v>
      </c>
      <c r="L706">
        <v>100</v>
      </c>
      <c r="M706" s="1" t="s">
        <v>32</v>
      </c>
    </row>
    <row r="707" spans="1:13" x14ac:dyDescent="0.2">
      <c r="A707" s="1" t="s">
        <v>973</v>
      </c>
      <c r="B707">
        <v>706</v>
      </c>
      <c r="C707" s="1" t="s">
        <v>28</v>
      </c>
      <c r="D707" s="1" t="s">
        <v>31</v>
      </c>
      <c r="E707" s="1" t="s">
        <v>387</v>
      </c>
      <c r="F707" s="1" t="s">
        <v>964</v>
      </c>
      <c r="G707">
        <v>6</v>
      </c>
      <c r="H707">
        <v>30</v>
      </c>
      <c r="I707" s="1" t="s">
        <v>49</v>
      </c>
      <c r="J707" s="1" t="s">
        <v>40</v>
      </c>
      <c r="K707" s="1" t="s">
        <v>41</v>
      </c>
      <c r="L707">
        <v>22</v>
      </c>
      <c r="M707" s="1" t="s">
        <v>32</v>
      </c>
    </row>
    <row r="708" spans="1:13" x14ac:dyDescent="0.2">
      <c r="A708" s="1" t="s">
        <v>974</v>
      </c>
      <c r="B708">
        <v>707</v>
      </c>
      <c r="C708" s="1" t="s">
        <v>28</v>
      </c>
      <c r="D708" s="1" t="s">
        <v>31</v>
      </c>
      <c r="E708" s="1" t="s">
        <v>387</v>
      </c>
      <c r="F708" s="1" t="s">
        <v>964</v>
      </c>
      <c r="G708">
        <v>6</v>
      </c>
      <c r="H708">
        <v>30</v>
      </c>
      <c r="I708" s="1" t="s">
        <v>49</v>
      </c>
      <c r="J708" s="1" t="s">
        <v>43</v>
      </c>
      <c r="K708" s="1" t="s">
        <v>44</v>
      </c>
      <c r="L708">
        <v>31</v>
      </c>
      <c r="M708" s="1" t="s">
        <v>32</v>
      </c>
    </row>
    <row r="709" spans="1:13" x14ac:dyDescent="0.2">
      <c r="A709" s="1" t="s">
        <v>975</v>
      </c>
      <c r="B709">
        <v>708</v>
      </c>
      <c r="C709" s="1" t="s">
        <v>28</v>
      </c>
      <c r="D709" s="1" t="s">
        <v>31</v>
      </c>
      <c r="E709" s="1" t="s">
        <v>387</v>
      </c>
      <c r="F709" s="1" t="s">
        <v>964</v>
      </c>
      <c r="G709">
        <v>6</v>
      </c>
      <c r="H709">
        <v>30</v>
      </c>
      <c r="I709" s="1" t="s">
        <v>49</v>
      </c>
      <c r="J709" s="1" t="s">
        <v>46</v>
      </c>
      <c r="K709" s="1" t="s">
        <v>47</v>
      </c>
      <c r="L709">
        <v>60</v>
      </c>
      <c r="M709" s="1" t="s">
        <v>32</v>
      </c>
    </row>
    <row r="710" spans="1:13" x14ac:dyDescent="0.2">
      <c r="A710" s="1" t="s">
        <v>976</v>
      </c>
      <c r="B710">
        <v>709</v>
      </c>
      <c r="C710" s="1" t="s">
        <v>28</v>
      </c>
      <c r="D710" s="1" t="s">
        <v>31</v>
      </c>
      <c r="E710" s="1" t="s">
        <v>387</v>
      </c>
      <c r="F710" s="1" t="s">
        <v>964</v>
      </c>
      <c r="G710">
        <v>6</v>
      </c>
      <c r="H710">
        <v>30</v>
      </c>
      <c r="I710" s="1" t="s">
        <v>56</v>
      </c>
      <c r="J710" s="1" t="s">
        <v>29</v>
      </c>
      <c r="K710" s="1" t="s">
        <v>30</v>
      </c>
      <c r="L710">
        <v>61</v>
      </c>
      <c r="M710" s="1" t="s">
        <v>32</v>
      </c>
    </row>
    <row r="711" spans="1:13" x14ac:dyDescent="0.2">
      <c r="A711" s="1" t="s">
        <v>977</v>
      </c>
      <c r="B711">
        <v>710</v>
      </c>
      <c r="C711" s="1" t="s">
        <v>28</v>
      </c>
      <c r="D711" s="1" t="s">
        <v>31</v>
      </c>
      <c r="E711" s="1" t="s">
        <v>387</v>
      </c>
      <c r="F711" s="1" t="s">
        <v>964</v>
      </c>
      <c r="G711">
        <v>6</v>
      </c>
      <c r="H711">
        <v>30</v>
      </c>
      <c r="I711" s="1" t="s">
        <v>56</v>
      </c>
      <c r="J711" s="1" t="s">
        <v>34</v>
      </c>
      <c r="K711" s="1" t="s">
        <v>35</v>
      </c>
      <c r="L711">
        <v>40</v>
      </c>
      <c r="M711" s="1" t="s">
        <v>32</v>
      </c>
    </row>
    <row r="712" spans="1:13" x14ac:dyDescent="0.2">
      <c r="A712" s="1" t="s">
        <v>978</v>
      </c>
      <c r="B712">
        <v>711</v>
      </c>
      <c r="C712" s="1" t="s">
        <v>28</v>
      </c>
      <c r="D712" s="1" t="s">
        <v>31</v>
      </c>
      <c r="E712" s="1" t="s">
        <v>387</v>
      </c>
      <c r="F712" s="1" t="s">
        <v>964</v>
      </c>
      <c r="G712">
        <v>6</v>
      </c>
      <c r="H712">
        <v>30</v>
      </c>
      <c r="I712" s="1" t="s">
        <v>56</v>
      </c>
      <c r="J712" s="1" t="s">
        <v>37</v>
      </c>
      <c r="K712" s="1" t="s">
        <v>38</v>
      </c>
      <c r="L712">
        <v>66</v>
      </c>
      <c r="M712" s="1" t="s">
        <v>32</v>
      </c>
    </row>
    <row r="713" spans="1:13" x14ac:dyDescent="0.2">
      <c r="A713" s="1" t="s">
        <v>979</v>
      </c>
      <c r="B713">
        <v>712</v>
      </c>
      <c r="C713" s="1" t="s">
        <v>28</v>
      </c>
      <c r="D713" s="1" t="s">
        <v>31</v>
      </c>
      <c r="E713" s="1" t="s">
        <v>387</v>
      </c>
      <c r="F713" s="1" t="s">
        <v>964</v>
      </c>
      <c r="G713">
        <v>6</v>
      </c>
      <c r="H713">
        <v>30</v>
      </c>
      <c r="I713" s="1" t="s">
        <v>56</v>
      </c>
      <c r="J713" s="1" t="s">
        <v>40</v>
      </c>
      <c r="K713" s="1" t="s">
        <v>41</v>
      </c>
      <c r="L713">
        <v>40</v>
      </c>
      <c r="M713" s="1" t="s">
        <v>32</v>
      </c>
    </row>
    <row r="714" spans="1:13" x14ac:dyDescent="0.2">
      <c r="A714" s="1" t="s">
        <v>980</v>
      </c>
      <c r="B714">
        <v>713</v>
      </c>
      <c r="C714" s="1" t="s">
        <v>28</v>
      </c>
      <c r="D714" s="1" t="s">
        <v>31</v>
      </c>
      <c r="E714" s="1" t="s">
        <v>387</v>
      </c>
      <c r="F714" s="1" t="s">
        <v>964</v>
      </c>
      <c r="G714">
        <v>6</v>
      </c>
      <c r="H714">
        <v>30</v>
      </c>
      <c r="I714" s="1" t="s">
        <v>56</v>
      </c>
      <c r="J714" s="1" t="s">
        <v>43</v>
      </c>
      <c r="K714" s="1" t="s">
        <v>44</v>
      </c>
      <c r="L714">
        <v>14</v>
      </c>
      <c r="M714" s="1" t="s">
        <v>32</v>
      </c>
    </row>
    <row r="715" spans="1:13" x14ac:dyDescent="0.2">
      <c r="A715" s="1" t="s">
        <v>981</v>
      </c>
      <c r="B715">
        <v>714</v>
      </c>
      <c r="C715" s="1" t="s">
        <v>28</v>
      </c>
      <c r="D715" s="1" t="s">
        <v>31</v>
      </c>
      <c r="E715" s="1" t="s">
        <v>387</v>
      </c>
      <c r="F715" s="1" t="s">
        <v>964</v>
      </c>
      <c r="G715">
        <v>6</v>
      </c>
      <c r="H715">
        <v>30</v>
      </c>
      <c r="I715" s="1" t="s">
        <v>56</v>
      </c>
      <c r="J715" s="1" t="s">
        <v>46</v>
      </c>
      <c r="K715" s="1" t="s">
        <v>47</v>
      </c>
      <c r="L715">
        <v>40</v>
      </c>
      <c r="M715" s="1" t="s">
        <v>32</v>
      </c>
    </row>
    <row r="716" spans="1:13" x14ac:dyDescent="0.2">
      <c r="A716" s="1" t="s">
        <v>982</v>
      </c>
      <c r="B716">
        <v>715</v>
      </c>
      <c r="C716" s="1" t="s">
        <v>28</v>
      </c>
      <c r="D716" s="1" t="s">
        <v>31</v>
      </c>
      <c r="E716" s="1" t="s">
        <v>387</v>
      </c>
      <c r="F716" s="1" t="s">
        <v>964</v>
      </c>
      <c r="G716">
        <v>6</v>
      </c>
      <c r="H716">
        <v>30</v>
      </c>
      <c r="I716" s="1" t="s">
        <v>63</v>
      </c>
      <c r="J716" s="1" t="s">
        <v>29</v>
      </c>
      <c r="K716" s="1" t="s">
        <v>30</v>
      </c>
      <c r="L716">
        <v>75</v>
      </c>
      <c r="M716" s="1" t="s">
        <v>32</v>
      </c>
    </row>
    <row r="717" spans="1:13" x14ac:dyDescent="0.2">
      <c r="A717" s="1" t="s">
        <v>983</v>
      </c>
      <c r="B717">
        <v>716</v>
      </c>
      <c r="C717" s="1" t="s">
        <v>28</v>
      </c>
      <c r="D717" s="1" t="s">
        <v>31</v>
      </c>
      <c r="E717" s="1" t="s">
        <v>387</v>
      </c>
      <c r="F717" s="1" t="s">
        <v>964</v>
      </c>
      <c r="G717">
        <v>6</v>
      </c>
      <c r="H717">
        <v>30</v>
      </c>
      <c r="I717" s="1" t="s">
        <v>63</v>
      </c>
      <c r="J717" s="1" t="s">
        <v>34</v>
      </c>
      <c r="K717" s="1" t="s">
        <v>35</v>
      </c>
      <c r="L717">
        <v>40</v>
      </c>
      <c r="M717" s="1" t="s">
        <v>32</v>
      </c>
    </row>
    <row r="718" spans="1:13" x14ac:dyDescent="0.2">
      <c r="A718" s="1" t="s">
        <v>984</v>
      </c>
      <c r="B718">
        <v>717</v>
      </c>
      <c r="C718" s="1" t="s">
        <v>28</v>
      </c>
      <c r="D718" s="1" t="s">
        <v>31</v>
      </c>
      <c r="E718" s="1" t="s">
        <v>387</v>
      </c>
      <c r="F718" s="1" t="s">
        <v>964</v>
      </c>
      <c r="G718">
        <v>6</v>
      </c>
      <c r="H718">
        <v>30</v>
      </c>
      <c r="I718" s="1" t="s">
        <v>63</v>
      </c>
      <c r="J718" s="1" t="s">
        <v>37</v>
      </c>
      <c r="K718" s="1" t="s">
        <v>38</v>
      </c>
      <c r="L718">
        <v>75</v>
      </c>
      <c r="M718" s="1" t="s">
        <v>32</v>
      </c>
    </row>
    <row r="719" spans="1:13" x14ac:dyDescent="0.2">
      <c r="A719" s="1" t="s">
        <v>985</v>
      </c>
      <c r="B719">
        <v>718</v>
      </c>
      <c r="C719" s="1" t="s">
        <v>28</v>
      </c>
      <c r="D719" s="1" t="s">
        <v>31</v>
      </c>
      <c r="E719" s="1" t="s">
        <v>387</v>
      </c>
      <c r="F719" s="1" t="s">
        <v>964</v>
      </c>
      <c r="G719">
        <v>6</v>
      </c>
      <c r="H719">
        <v>30</v>
      </c>
      <c r="I719" s="1" t="s">
        <v>63</v>
      </c>
      <c r="J719" s="1" t="s">
        <v>40</v>
      </c>
      <c r="K719" s="1" t="s">
        <v>41</v>
      </c>
      <c r="L719">
        <v>78</v>
      </c>
      <c r="M719" s="1" t="s">
        <v>32</v>
      </c>
    </row>
    <row r="720" spans="1:13" x14ac:dyDescent="0.2">
      <c r="A720" s="1" t="s">
        <v>986</v>
      </c>
      <c r="B720">
        <v>719</v>
      </c>
      <c r="C720" s="1" t="s">
        <v>28</v>
      </c>
      <c r="D720" s="1" t="s">
        <v>31</v>
      </c>
      <c r="E720" s="1" t="s">
        <v>387</v>
      </c>
      <c r="F720" s="1" t="s">
        <v>964</v>
      </c>
      <c r="G720">
        <v>6</v>
      </c>
      <c r="H720">
        <v>30</v>
      </c>
      <c r="I720" s="1" t="s">
        <v>63</v>
      </c>
      <c r="J720" s="1" t="s">
        <v>43</v>
      </c>
      <c r="K720" s="1" t="s">
        <v>44</v>
      </c>
      <c r="L720">
        <v>40</v>
      </c>
      <c r="M720" s="1" t="s">
        <v>32</v>
      </c>
    </row>
    <row r="721" spans="1:13" x14ac:dyDescent="0.2">
      <c r="A721" s="1" t="s">
        <v>987</v>
      </c>
      <c r="B721">
        <v>720</v>
      </c>
      <c r="C721" s="1" t="s">
        <v>28</v>
      </c>
      <c r="D721" s="1" t="s">
        <v>31</v>
      </c>
      <c r="E721" s="1" t="s">
        <v>387</v>
      </c>
      <c r="F721" s="1" t="s">
        <v>964</v>
      </c>
      <c r="G721">
        <v>6</v>
      </c>
      <c r="H721">
        <v>30</v>
      </c>
      <c r="I721" s="1" t="s">
        <v>63</v>
      </c>
      <c r="J721" s="1" t="s">
        <v>46</v>
      </c>
      <c r="K721" s="1" t="s">
        <v>47</v>
      </c>
      <c r="L721">
        <v>40</v>
      </c>
      <c r="M721" s="1" t="s">
        <v>32</v>
      </c>
    </row>
    <row r="722" spans="1:13" x14ac:dyDescent="0.2">
      <c r="A722" s="1" t="s">
        <v>992</v>
      </c>
      <c r="B722">
        <v>721</v>
      </c>
      <c r="C722" s="1" t="s">
        <v>28</v>
      </c>
      <c r="D722" s="1" t="s">
        <v>181</v>
      </c>
      <c r="E722" s="1" t="s">
        <v>81</v>
      </c>
      <c r="F722" s="1" t="s">
        <v>993</v>
      </c>
      <c r="G722">
        <v>7</v>
      </c>
      <c r="H722">
        <v>31</v>
      </c>
      <c r="I722" s="1" t="s">
        <v>31</v>
      </c>
      <c r="J722" s="1" t="s">
        <v>29</v>
      </c>
      <c r="K722" s="1" t="s">
        <v>30</v>
      </c>
      <c r="L722">
        <v>265</v>
      </c>
      <c r="M722" s="1" t="s">
        <v>32</v>
      </c>
    </row>
    <row r="723" spans="1:13" x14ac:dyDescent="0.2">
      <c r="A723" s="1" t="s">
        <v>994</v>
      </c>
      <c r="B723">
        <v>722</v>
      </c>
      <c r="C723" s="1" t="s">
        <v>28</v>
      </c>
      <c r="D723" s="1" t="s">
        <v>181</v>
      </c>
      <c r="E723" s="1" t="s">
        <v>81</v>
      </c>
      <c r="F723" s="1" t="s">
        <v>993</v>
      </c>
      <c r="G723">
        <v>7</v>
      </c>
      <c r="H723">
        <v>31</v>
      </c>
      <c r="I723" s="1" t="s">
        <v>31</v>
      </c>
      <c r="J723" s="1" t="s">
        <v>34</v>
      </c>
      <c r="K723" s="1" t="s">
        <v>35</v>
      </c>
      <c r="L723">
        <v>223</v>
      </c>
      <c r="M723" s="1" t="s">
        <v>32</v>
      </c>
    </row>
    <row r="724" spans="1:13" x14ac:dyDescent="0.2">
      <c r="A724" s="1" t="s">
        <v>995</v>
      </c>
      <c r="B724">
        <v>723</v>
      </c>
      <c r="C724" s="1" t="s">
        <v>28</v>
      </c>
      <c r="D724" s="1" t="s">
        <v>181</v>
      </c>
      <c r="E724" s="1" t="s">
        <v>81</v>
      </c>
      <c r="F724" s="1" t="s">
        <v>993</v>
      </c>
      <c r="G724">
        <v>7</v>
      </c>
      <c r="H724">
        <v>31</v>
      </c>
      <c r="I724" s="1" t="s">
        <v>31</v>
      </c>
      <c r="J724" s="1" t="s">
        <v>37</v>
      </c>
      <c r="K724" s="1" t="s">
        <v>38</v>
      </c>
      <c r="L724">
        <v>360</v>
      </c>
      <c r="M724" s="1" t="s">
        <v>32</v>
      </c>
    </row>
    <row r="725" spans="1:13" x14ac:dyDescent="0.2">
      <c r="A725" s="1" t="s">
        <v>996</v>
      </c>
      <c r="B725">
        <v>724</v>
      </c>
      <c r="C725" s="1" t="s">
        <v>28</v>
      </c>
      <c r="D725" s="1" t="s">
        <v>181</v>
      </c>
      <c r="E725" s="1" t="s">
        <v>81</v>
      </c>
      <c r="F725" s="1" t="s">
        <v>993</v>
      </c>
      <c r="G725">
        <v>7</v>
      </c>
      <c r="H725">
        <v>31</v>
      </c>
      <c r="I725" s="1" t="s">
        <v>31</v>
      </c>
      <c r="J725" s="1" t="s">
        <v>40</v>
      </c>
      <c r="K725" s="1" t="s">
        <v>41</v>
      </c>
      <c r="L725">
        <v>105</v>
      </c>
      <c r="M725" s="1" t="s">
        <v>32</v>
      </c>
    </row>
    <row r="726" spans="1:13" x14ac:dyDescent="0.2">
      <c r="A726" s="1" t="s">
        <v>997</v>
      </c>
      <c r="B726">
        <v>725</v>
      </c>
      <c r="C726" s="1" t="s">
        <v>28</v>
      </c>
      <c r="D726" s="1" t="s">
        <v>181</v>
      </c>
      <c r="E726" s="1" t="s">
        <v>81</v>
      </c>
      <c r="F726" s="1" t="s">
        <v>993</v>
      </c>
      <c r="G726">
        <v>7</v>
      </c>
      <c r="H726">
        <v>31</v>
      </c>
      <c r="I726" s="1" t="s">
        <v>31</v>
      </c>
      <c r="J726" s="1" t="s">
        <v>43</v>
      </c>
      <c r="K726" s="1" t="s">
        <v>44</v>
      </c>
      <c r="L726">
        <v>125</v>
      </c>
      <c r="M726" s="1" t="s">
        <v>32</v>
      </c>
    </row>
    <row r="727" spans="1:13" x14ac:dyDescent="0.2">
      <c r="A727" s="1" t="s">
        <v>998</v>
      </c>
      <c r="B727">
        <v>726</v>
      </c>
      <c r="C727" s="1" t="s">
        <v>28</v>
      </c>
      <c r="D727" s="1" t="s">
        <v>181</v>
      </c>
      <c r="E727" s="1" t="s">
        <v>81</v>
      </c>
      <c r="F727" s="1" t="s">
        <v>993</v>
      </c>
      <c r="G727">
        <v>7</v>
      </c>
      <c r="H727">
        <v>31</v>
      </c>
      <c r="I727" s="1" t="s">
        <v>31</v>
      </c>
      <c r="J727" s="1" t="s">
        <v>46</v>
      </c>
      <c r="K727" s="1" t="s">
        <v>47</v>
      </c>
      <c r="L727">
        <v>274</v>
      </c>
      <c r="M727" s="1" t="s">
        <v>32</v>
      </c>
    </row>
    <row r="728" spans="1:13" x14ac:dyDescent="0.2">
      <c r="A728" s="1" t="s">
        <v>999</v>
      </c>
      <c r="B728">
        <v>727</v>
      </c>
      <c r="C728" s="1" t="s">
        <v>28</v>
      </c>
      <c r="D728" s="1" t="s">
        <v>181</v>
      </c>
      <c r="E728" s="1" t="s">
        <v>81</v>
      </c>
      <c r="F728" s="1" t="s">
        <v>993</v>
      </c>
      <c r="G728">
        <v>7</v>
      </c>
      <c r="H728">
        <v>31</v>
      </c>
      <c r="I728" s="1" t="s">
        <v>49</v>
      </c>
      <c r="J728" s="1" t="s">
        <v>29</v>
      </c>
      <c r="K728" s="1" t="s">
        <v>30</v>
      </c>
      <c r="L728">
        <v>79</v>
      </c>
      <c r="M728" s="1" t="s">
        <v>32</v>
      </c>
    </row>
    <row r="729" spans="1:13" x14ac:dyDescent="0.2">
      <c r="A729" s="1" t="s">
        <v>1000</v>
      </c>
      <c r="B729">
        <v>728</v>
      </c>
      <c r="C729" s="1" t="s">
        <v>28</v>
      </c>
      <c r="D729" s="1" t="s">
        <v>181</v>
      </c>
      <c r="E729" s="1" t="s">
        <v>81</v>
      </c>
      <c r="F729" s="1" t="s">
        <v>993</v>
      </c>
      <c r="G729">
        <v>7</v>
      </c>
      <c r="H729">
        <v>31</v>
      </c>
      <c r="I729" s="1" t="s">
        <v>49</v>
      </c>
      <c r="J729" s="1" t="s">
        <v>34</v>
      </c>
      <c r="K729" s="1" t="s">
        <v>35</v>
      </c>
      <c r="L729">
        <v>27</v>
      </c>
      <c r="M729" s="1" t="s">
        <v>32</v>
      </c>
    </row>
    <row r="730" spans="1:13" x14ac:dyDescent="0.2">
      <c r="A730" s="1" t="s">
        <v>1001</v>
      </c>
      <c r="B730">
        <v>729</v>
      </c>
      <c r="C730" s="1" t="s">
        <v>28</v>
      </c>
      <c r="D730" s="1" t="s">
        <v>181</v>
      </c>
      <c r="E730" s="1" t="s">
        <v>81</v>
      </c>
      <c r="F730" s="1" t="s">
        <v>993</v>
      </c>
      <c r="G730">
        <v>7</v>
      </c>
      <c r="H730">
        <v>31</v>
      </c>
      <c r="I730" s="1" t="s">
        <v>49</v>
      </c>
      <c r="J730" s="1" t="s">
        <v>37</v>
      </c>
      <c r="K730" s="1" t="s">
        <v>38</v>
      </c>
      <c r="L730">
        <v>150</v>
      </c>
      <c r="M730" s="1" t="s">
        <v>32</v>
      </c>
    </row>
    <row r="731" spans="1:13" x14ac:dyDescent="0.2">
      <c r="A731" s="1" t="s">
        <v>1002</v>
      </c>
      <c r="B731">
        <v>730</v>
      </c>
      <c r="C731" s="1" t="s">
        <v>28</v>
      </c>
      <c r="D731" s="1" t="s">
        <v>181</v>
      </c>
      <c r="E731" s="1" t="s">
        <v>81</v>
      </c>
      <c r="F731" s="1" t="s">
        <v>993</v>
      </c>
      <c r="G731">
        <v>7</v>
      </c>
      <c r="H731">
        <v>31</v>
      </c>
      <c r="I731" s="1" t="s">
        <v>49</v>
      </c>
      <c r="J731" s="1" t="s">
        <v>40</v>
      </c>
      <c r="K731" s="1" t="s">
        <v>41</v>
      </c>
      <c r="L731">
        <v>40</v>
      </c>
      <c r="M731" s="1" t="s">
        <v>32</v>
      </c>
    </row>
    <row r="732" spans="1:13" x14ac:dyDescent="0.2">
      <c r="A732" s="1" t="s">
        <v>1003</v>
      </c>
      <c r="B732">
        <v>731</v>
      </c>
      <c r="C732" s="1" t="s">
        <v>28</v>
      </c>
      <c r="D732" s="1" t="s">
        <v>181</v>
      </c>
      <c r="E732" s="1" t="s">
        <v>81</v>
      </c>
      <c r="F732" s="1" t="s">
        <v>993</v>
      </c>
      <c r="G732">
        <v>7</v>
      </c>
      <c r="H732">
        <v>31</v>
      </c>
      <c r="I732" s="1" t="s">
        <v>49</v>
      </c>
      <c r="J732" s="1" t="s">
        <v>43</v>
      </c>
      <c r="K732" s="1" t="s">
        <v>44</v>
      </c>
      <c r="L732">
        <v>60</v>
      </c>
      <c r="M732" s="1" t="s">
        <v>32</v>
      </c>
    </row>
    <row r="733" spans="1:13" x14ac:dyDescent="0.2">
      <c r="A733" s="1" t="s">
        <v>1004</v>
      </c>
      <c r="B733">
        <v>732</v>
      </c>
      <c r="C733" s="1" t="s">
        <v>28</v>
      </c>
      <c r="D733" s="1" t="s">
        <v>181</v>
      </c>
      <c r="E733" s="1" t="s">
        <v>81</v>
      </c>
      <c r="F733" s="1" t="s">
        <v>993</v>
      </c>
      <c r="G733">
        <v>7</v>
      </c>
      <c r="H733">
        <v>31</v>
      </c>
      <c r="I733" s="1" t="s">
        <v>49</v>
      </c>
      <c r="J733" s="1" t="s">
        <v>46</v>
      </c>
      <c r="K733" s="1" t="s">
        <v>47</v>
      </c>
      <c r="L733">
        <v>19</v>
      </c>
      <c r="M733" s="1" t="s">
        <v>32</v>
      </c>
    </row>
    <row r="734" spans="1:13" x14ac:dyDescent="0.2">
      <c r="A734" s="1" t="s">
        <v>1005</v>
      </c>
      <c r="B734">
        <v>733</v>
      </c>
      <c r="C734" s="1" t="s">
        <v>28</v>
      </c>
      <c r="D734" s="1" t="s">
        <v>181</v>
      </c>
      <c r="E734" s="1" t="s">
        <v>81</v>
      </c>
      <c r="F734" s="1" t="s">
        <v>993</v>
      </c>
      <c r="G734">
        <v>7</v>
      </c>
      <c r="H734">
        <v>31</v>
      </c>
      <c r="I734" s="1" t="s">
        <v>56</v>
      </c>
      <c r="J734" s="1" t="s">
        <v>29</v>
      </c>
      <c r="K734" s="1" t="s">
        <v>30</v>
      </c>
      <c r="L734">
        <v>100</v>
      </c>
      <c r="M734" s="1" t="s">
        <v>32</v>
      </c>
    </row>
    <row r="735" spans="1:13" x14ac:dyDescent="0.2">
      <c r="A735" s="1" t="s">
        <v>1006</v>
      </c>
      <c r="B735">
        <v>734</v>
      </c>
      <c r="C735" s="1" t="s">
        <v>28</v>
      </c>
      <c r="D735" s="1" t="s">
        <v>181</v>
      </c>
      <c r="E735" s="1" t="s">
        <v>81</v>
      </c>
      <c r="F735" s="1" t="s">
        <v>993</v>
      </c>
      <c r="G735">
        <v>7</v>
      </c>
      <c r="H735">
        <v>31</v>
      </c>
      <c r="I735" s="1" t="s">
        <v>56</v>
      </c>
      <c r="J735" s="1" t="s">
        <v>34</v>
      </c>
      <c r="K735" s="1" t="s">
        <v>35</v>
      </c>
      <c r="L735">
        <v>40</v>
      </c>
      <c r="M735" s="1" t="s">
        <v>32</v>
      </c>
    </row>
    <row r="736" spans="1:13" x14ac:dyDescent="0.2">
      <c r="A736" s="1" t="s">
        <v>1007</v>
      </c>
      <c r="B736">
        <v>735</v>
      </c>
      <c r="C736" s="1" t="s">
        <v>28</v>
      </c>
      <c r="D736" s="1" t="s">
        <v>181</v>
      </c>
      <c r="E736" s="1" t="s">
        <v>81</v>
      </c>
      <c r="F736" s="1" t="s">
        <v>993</v>
      </c>
      <c r="G736">
        <v>7</v>
      </c>
      <c r="H736">
        <v>31</v>
      </c>
      <c r="I736" s="1" t="s">
        <v>56</v>
      </c>
      <c r="J736" s="1" t="s">
        <v>37</v>
      </c>
      <c r="K736" s="1" t="s">
        <v>38</v>
      </c>
      <c r="L736">
        <v>123</v>
      </c>
      <c r="M736" s="1" t="s">
        <v>32</v>
      </c>
    </row>
    <row r="737" spans="1:13" x14ac:dyDescent="0.2">
      <c r="A737" s="1" t="s">
        <v>1008</v>
      </c>
      <c r="B737">
        <v>736</v>
      </c>
      <c r="C737" s="1" t="s">
        <v>28</v>
      </c>
      <c r="D737" s="1" t="s">
        <v>181</v>
      </c>
      <c r="E737" s="1" t="s">
        <v>81</v>
      </c>
      <c r="F737" s="1" t="s">
        <v>993</v>
      </c>
      <c r="G737">
        <v>7</v>
      </c>
      <c r="H737">
        <v>31</v>
      </c>
      <c r="I737" s="1" t="s">
        <v>56</v>
      </c>
      <c r="J737" s="1" t="s">
        <v>40</v>
      </c>
      <c r="K737" s="1" t="s">
        <v>41</v>
      </c>
      <c r="L737">
        <v>40</v>
      </c>
      <c r="M737" s="1" t="s">
        <v>32</v>
      </c>
    </row>
    <row r="738" spans="1:13" x14ac:dyDescent="0.2">
      <c r="A738" s="1" t="s">
        <v>1009</v>
      </c>
      <c r="B738">
        <v>737</v>
      </c>
      <c r="C738" s="1" t="s">
        <v>28</v>
      </c>
      <c r="D738" s="1" t="s">
        <v>181</v>
      </c>
      <c r="E738" s="1" t="s">
        <v>81</v>
      </c>
      <c r="F738" s="1" t="s">
        <v>993</v>
      </c>
      <c r="G738">
        <v>7</v>
      </c>
      <c r="H738">
        <v>31</v>
      </c>
      <c r="I738" s="1" t="s">
        <v>56</v>
      </c>
      <c r="J738" s="1" t="s">
        <v>43</v>
      </c>
      <c r="K738" s="1" t="s">
        <v>44</v>
      </c>
      <c r="L738">
        <v>56</v>
      </c>
      <c r="M738" s="1" t="s">
        <v>32</v>
      </c>
    </row>
    <row r="739" spans="1:13" x14ac:dyDescent="0.2">
      <c r="A739" s="1" t="s">
        <v>1010</v>
      </c>
      <c r="B739">
        <v>738</v>
      </c>
      <c r="C739" s="1" t="s">
        <v>28</v>
      </c>
      <c r="D739" s="1" t="s">
        <v>181</v>
      </c>
      <c r="E739" s="1" t="s">
        <v>81</v>
      </c>
      <c r="F739" s="1" t="s">
        <v>993</v>
      </c>
      <c r="G739">
        <v>7</v>
      </c>
      <c r="H739">
        <v>31</v>
      </c>
      <c r="I739" s="1" t="s">
        <v>56</v>
      </c>
      <c r="J739" s="1" t="s">
        <v>46</v>
      </c>
      <c r="K739" s="1" t="s">
        <v>47</v>
      </c>
      <c r="L739">
        <v>40</v>
      </c>
      <c r="M739" s="1" t="s">
        <v>32</v>
      </c>
    </row>
    <row r="740" spans="1:13" x14ac:dyDescent="0.2">
      <c r="A740" s="1" t="s">
        <v>1011</v>
      </c>
      <c r="B740">
        <v>739</v>
      </c>
      <c r="C740" s="1" t="s">
        <v>28</v>
      </c>
      <c r="D740" s="1" t="s">
        <v>181</v>
      </c>
      <c r="E740" s="1" t="s">
        <v>81</v>
      </c>
      <c r="F740" s="1" t="s">
        <v>993</v>
      </c>
      <c r="G740">
        <v>7</v>
      </c>
      <c r="H740">
        <v>31</v>
      </c>
      <c r="I740" s="1" t="s">
        <v>63</v>
      </c>
      <c r="J740" s="1" t="s">
        <v>29</v>
      </c>
      <c r="K740" s="1" t="s">
        <v>30</v>
      </c>
      <c r="L740">
        <v>75</v>
      </c>
      <c r="M740" s="1" t="s">
        <v>32</v>
      </c>
    </row>
    <row r="741" spans="1:13" x14ac:dyDescent="0.2">
      <c r="A741" s="1" t="s">
        <v>1012</v>
      </c>
      <c r="B741">
        <v>740</v>
      </c>
      <c r="C741" s="1" t="s">
        <v>28</v>
      </c>
      <c r="D741" s="1" t="s">
        <v>181</v>
      </c>
      <c r="E741" s="1" t="s">
        <v>81</v>
      </c>
      <c r="F741" s="1" t="s">
        <v>993</v>
      </c>
      <c r="G741">
        <v>7</v>
      </c>
      <c r="H741">
        <v>31</v>
      </c>
      <c r="I741" s="1" t="s">
        <v>63</v>
      </c>
      <c r="J741" s="1" t="s">
        <v>34</v>
      </c>
      <c r="K741" s="1" t="s">
        <v>35</v>
      </c>
      <c r="L741">
        <v>40</v>
      </c>
      <c r="M741" s="1" t="s">
        <v>32</v>
      </c>
    </row>
    <row r="742" spans="1:13" x14ac:dyDescent="0.2">
      <c r="A742" s="1" t="s">
        <v>1013</v>
      </c>
      <c r="B742">
        <v>741</v>
      </c>
      <c r="C742" s="1" t="s">
        <v>28</v>
      </c>
      <c r="D742" s="1" t="s">
        <v>181</v>
      </c>
      <c r="E742" s="1" t="s">
        <v>81</v>
      </c>
      <c r="F742" s="1" t="s">
        <v>993</v>
      </c>
      <c r="G742">
        <v>7</v>
      </c>
      <c r="H742">
        <v>31</v>
      </c>
      <c r="I742" s="1" t="s">
        <v>63</v>
      </c>
      <c r="J742" s="1" t="s">
        <v>37</v>
      </c>
      <c r="K742" s="1" t="s">
        <v>38</v>
      </c>
      <c r="L742">
        <v>75</v>
      </c>
      <c r="M742" s="1" t="s">
        <v>32</v>
      </c>
    </row>
    <row r="743" spans="1:13" x14ac:dyDescent="0.2">
      <c r="A743" s="1" t="s">
        <v>1014</v>
      </c>
      <c r="B743">
        <v>742</v>
      </c>
      <c r="C743" s="1" t="s">
        <v>28</v>
      </c>
      <c r="D743" s="1" t="s">
        <v>181</v>
      </c>
      <c r="E743" s="1" t="s">
        <v>81</v>
      </c>
      <c r="F743" s="1" t="s">
        <v>993</v>
      </c>
      <c r="G743">
        <v>7</v>
      </c>
      <c r="H743">
        <v>31</v>
      </c>
      <c r="I743" s="1" t="s">
        <v>63</v>
      </c>
      <c r="J743" s="1" t="s">
        <v>40</v>
      </c>
      <c r="K743" s="1" t="s">
        <v>41</v>
      </c>
      <c r="L743">
        <v>82</v>
      </c>
      <c r="M743" s="1" t="s">
        <v>32</v>
      </c>
    </row>
    <row r="744" spans="1:13" x14ac:dyDescent="0.2">
      <c r="A744" s="1" t="s">
        <v>1015</v>
      </c>
      <c r="B744">
        <v>743</v>
      </c>
      <c r="C744" s="1" t="s">
        <v>28</v>
      </c>
      <c r="D744" s="1" t="s">
        <v>181</v>
      </c>
      <c r="E744" s="1" t="s">
        <v>81</v>
      </c>
      <c r="F744" s="1" t="s">
        <v>993</v>
      </c>
      <c r="G744">
        <v>7</v>
      </c>
      <c r="H744">
        <v>31</v>
      </c>
      <c r="I744" s="1" t="s">
        <v>63</v>
      </c>
      <c r="J744" s="1" t="s">
        <v>43</v>
      </c>
      <c r="K744" s="1" t="s">
        <v>44</v>
      </c>
      <c r="L744">
        <v>40</v>
      </c>
      <c r="M744" s="1" t="s">
        <v>32</v>
      </c>
    </row>
    <row r="745" spans="1:13" x14ac:dyDescent="0.2">
      <c r="A745" s="1" t="s">
        <v>1016</v>
      </c>
      <c r="B745">
        <v>744</v>
      </c>
      <c r="C745" s="1" t="s">
        <v>28</v>
      </c>
      <c r="D745" s="1" t="s">
        <v>181</v>
      </c>
      <c r="E745" s="1" t="s">
        <v>81</v>
      </c>
      <c r="F745" s="1" t="s">
        <v>993</v>
      </c>
      <c r="G745">
        <v>7</v>
      </c>
      <c r="H745">
        <v>31</v>
      </c>
      <c r="I745" s="1" t="s">
        <v>63</v>
      </c>
      <c r="J745" s="1" t="s">
        <v>46</v>
      </c>
      <c r="K745" s="1" t="s">
        <v>47</v>
      </c>
      <c r="L745">
        <v>10</v>
      </c>
      <c r="M745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1463-1431-3641-85D0-93E0CB0D9F47}">
  <dimension ref="A3:C20"/>
  <sheetViews>
    <sheetView workbookViewId="0">
      <selection activeCell="A3" sqref="A3"/>
    </sheetView>
  </sheetViews>
  <sheetFormatPr baseColWidth="10" defaultRowHeight="16" x14ac:dyDescent="0.2"/>
  <sheetData>
    <row r="3" spans="1:3" x14ac:dyDescent="0.2">
      <c r="A3" s="2"/>
      <c r="B3" s="3"/>
      <c r="C3" s="4"/>
    </row>
    <row r="4" spans="1:3" x14ac:dyDescent="0.2">
      <c r="A4" s="5"/>
      <c r="B4" s="6"/>
      <c r="C4" s="7"/>
    </row>
    <row r="5" spans="1:3" x14ac:dyDescent="0.2">
      <c r="A5" s="5"/>
      <c r="B5" s="6"/>
      <c r="C5" s="7"/>
    </row>
    <row r="6" spans="1:3" x14ac:dyDescent="0.2">
      <c r="A6" s="5"/>
      <c r="B6" s="6"/>
      <c r="C6" s="7"/>
    </row>
    <row r="7" spans="1:3" x14ac:dyDescent="0.2">
      <c r="A7" s="5"/>
      <c r="B7" s="6"/>
      <c r="C7" s="7"/>
    </row>
    <row r="8" spans="1:3" x14ac:dyDescent="0.2">
      <c r="A8" s="5"/>
      <c r="B8" s="6"/>
      <c r="C8" s="7"/>
    </row>
    <row r="9" spans="1:3" x14ac:dyDescent="0.2">
      <c r="A9" s="5"/>
      <c r="B9" s="6"/>
      <c r="C9" s="7"/>
    </row>
    <row r="10" spans="1:3" x14ac:dyDescent="0.2">
      <c r="A10" s="5"/>
      <c r="B10" s="6"/>
      <c r="C10" s="7"/>
    </row>
    <row r="11" spans="1:3" x14ac:dyDescent="0.2">
      <c r="A11" s="5"/>
      <c r="B11" s="6"/>
      <c r="C11" s="7"/>
    </row>
    <row r="12" spans="1:3" x14ac:dyDescent="0.2">
      <c r="A12" s="5"/>
      <c r="B12" s="6"/>
      <c r="C12" s="7"/>
    </row>
    <row r="13" spans="1:3" x14ac:dyDescent="0.2">
      <c r="A13" s="5"/>
      <c r="B13" s="6"/>
      <c r="C13" s="7"/>
    </row>
    <row r="14" spans="1:3" x14ac:dyDescent="0.2">
      <c r="A14" s="5"/>
      <c r="B14" s="6"/>
      <c r="C14" s="7"/>
    </row>
    <row r="15" spans="1:3" x14ac:dyDescent="0.2">
      <c r="A15" s="5"/>
      <c r="B15" s="6"/>
      <c r="C15" s="7"/>
    </row>
    <row r="16" spans="1:3" x14ac:dyDescent="0.2">
      <c r="A16" s="5"/>
      <c r="B16" s="6"/>
      <c r="C16" s="7"/>
    </row>
    <row r="17" spans="1:3" x14ac:dyDescent="0.2">
      <c r="A17" s="5"/>
      <c r="B17" s="6"/>
      <c r="C17" s="7"/>
    </row>
    <row r="18" spans="1:3" x14ac:dyDescent="0.2">
      <c r="A18" s="5"/>
      <c r="B18" s="6"/>
      <c r="C18" s="7"/>
    </row>
    <row r="19" spans="1:3" x14ac:dyDescent="0.2">
      <c r="A19" s="5"/>
      <c r="B19" s="6"/>
      <c r="C19" s="7"/>
    </row>
    <row r="20" spans="1:3" x14ac:dyDescent="0.2">
      <c r="A20" s="8"/>
      <c r="B20" s="9"/>
      <c r="C2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0D69-E98A-6743-B43A-C1BB2167C855}">
  <dimension ref="A1:Q253"/>
  <sheetViews>
    <sheetView workbookViewId="0">
      <selection sqref="A1:XFD1048576"/>
    </sheetView>
  </sheetViews>
  <sheetFormatPr baseColWidth="10" defaultRowHeight="16" x14ac:dyDescent="0.2"/>
  <cols>
    <col min="1" max="1" width="6.6640625" bestFit="1" customWidth="1"/>
    <col min="2" max="2" width="10.5" bestFit="1" customWidth="1"/>
    <col min="3" max="3" width="18.33203125" bestFit="1" customWidth="1"/>
    <col min="4" max="4" width="13.83203125" bestFit="1" customWidth="1"/>
    <col min="5" max="5" width="11.5" bestFit="1" customWidth="1"/>
    <col min="6" max="6" width="11.83203125" bestFit="1" customWidth="1"/>
    <col min="7" max="7" width="14" bestFit="1" customWidth="1"/>
    <col min="8" max="8" width="21.1640625" bestFit="1" customWidth="1"/>
    <col min="9" max="9" width="23.6640625" bestFit="1" customWidth="1"/>
    <col min="10" max="10" width="45.33203125" bestFit="1" customWidth="1"/>
    <col min="11" max="11" width="16" bestFit="1" customWidth="1"/>
    <col min="12" max="12" width="24.83203125" bestFit="1" customWidth="1"/>
    <col min="13" max="13" width="15" bestFit="1" customWidth="1"/>
    <col min="14" max="14" width="17.33203125" bestFit="1" customWidth="1"/>
    <col min="15" max="15" width="26.1640625" bestFit="1" customWidth="1"/>
    <col min="16" max="16" width="11" bestFit="1" customWidth="1"/>
    <col min="17" max="17" width="13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19</v>
      </c>
    </row>
    <row r="2" spans="1:17" x14ac:dyDescent="0.2">
      <c r="A2" s="1" t="s">
        <v>27</v>
      </c>
      <c r="B2">
        <v>1</v>
      </c>
      <c r="C2" s="1" t="s">
        <v>28</v>
      </c>
      <c r="D2" s="1" t="s">
        <v>81</v>
      </c>
      <c r="E2" s="1" t="s">
        <v>81</v>
      </c>
      <c r="F2" s="1" t="s">
        <v>82</v>
      </c>
      <c r="G2">
        <v>1</v>
      </c>
      <c r="H2">
        <v>1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  <c r="N2" s="1" t="s">
        <v>142</v>
      </c>
      <c r="O2" s="1" t="s">
        <v>143</v>
      </c>
      <c r="P2">
        <v>250000</v>
      </c>
      <c r="Q2" s="1" t="s">
        <v>144</v>
      </c>
    </row>
    <row r="3" spans="1:17" x14ac:dyDescent="0.2">
      <c r="A3" s="1" t="s">
        <v>33</v>
      </c>
      <c r="B3">
        <v>2</v>
      </c>
      <c r="C3" s="1" t="s">
        <v>28</v>
      </c>
      <c r="D3" s="1" t="s">
        <v>81</v>
      </c>
      <c r="E3" s="1" t="s">
        <v>81</v>
      </c>
      <c r="F3" s="1" t="s">
        <v>82</v>
      </c>
      <c r="G3">
        <v>1</v>
      </c>
      <c r="H3">
        <v>1</v>
      </c>
      <c r="I3" s="1" t="s">
        <v>145</v>
      </c>
      <c r="J3" s="1" t="s">
        <v>146</v>
      </c>
      <c r="K3" s="1" t="s">
        <v>139</v>
      </c>
      <c r="L3" s="1" t="s">
        <v>147</v>
      </c>
      <c r="M3" s="1" t="s">
        <v>148</v>
      </c>
      <c r="N3" s="1" t="s">
        <v>149</v>
      </c>
      <c r="O3" s="1" t="s">
        <v>150</v>
      </c>
      <c r="P3">
        <v>-500000</v>
      </c>
      <c r="Q3" s="1" t="s">
        <v>144</v>
      </c>
    </row>
    <row r="4" spans="1:17" x14ac:dyDescent="0.2">
      <c r="A4" s="1" t="s">
        <v>36</v>
      </c>
      <c r="B4">
        <v>3</v>
      </c>
      <c r="C4" s="1" t="s">
        <v>28</v>
      </c>
      <c r="D4" s="1" t="s">
        <v>81</v>
      </c>
      <c r="E4" s="1" t="s">
        <v>81</v>
      </c>
      <c r="F4" s="1" t="s">
        <v>82</v>
      </c>
      <c r="G4">
        <v>1</v>
      </c>
      <c r="H4">
        <v>1</v>
      </c>
      <c r="I4" s="1" t="s">
        <v>151</v>
      </c>
      <c r="J4" s="1" t="s">
        <v>152</v>
      </c>
      <c r="K4" s="1" t="s">
        <v>139</v>
      </c>
      <c r="L4" s="1" t="s">
        <v>140</v>
      </c>
      <c r="M4" s="1" t="s">
        <v>153</v>
      </c>
      <c r="N4" s="1" t="s">
        <v>142</v>
      </c>
      <c r="O4" s="1" t="s">
        <v>150</v>
      </c>
      <c r="P4">
        <v>-250000</v>
      </c>
      <c r="Q4" s="1" t="s">
        <v>144</v>
      </c>
    </row>
    <row r="5" spans="1:17" x14ac:dyDescent="0.2">
      <c r="A5" s="1" t="s">
        <v>39</v>
      </c>
      <c r="B5">
        <v>4</v>
      </c>
      <c r="C5" s="1" t="s">
        <v>28</v>
      </c>
      <c r="D5" s="1" t="s">
        <v>81</v>
      </c>
      <c r="E5" s="1" t="s">
        <v>81</v>
      </c>
      <c r="F5" s="1" t="s">
        <v>82</v>
      </c>
      <c r="G5">
        <v>1</v>
      </c>
      <c r="H5">
        <v>1</v>
      </c>
      <c r="I5" s="1" t="s">
        <v>151</v>
      </c>
      <c r="J5" s="1" t="s">
        <v>152</v>
      </c>
      <c r="K5" s="1" t="s">
        <v>139</v>
      </c>
      <c r="L5" s="1" t="s">
        <v>140</v>
      </c>
      <c r="M5" s="1" t="s">
        <v>153</v>
      </c>
      <c r="N5" s="1" t="s">
        <v>142</v>
      </c>
      <c r="O5" s="1" t="s">
        <v>143</v>
      </c>
      <c r="P5">
        <v>500000</v>
      </c>
      <c r="Q5" s="1" t="s">
        <v>144</v>
      </c>
    </row>
    <row r="6" spans="1:17" x14ac:dyDescent="0.2">
      <c r="A6" s="1" t="s">
        <v>42</v>
      </c>
      <c r="B6">
        <v>5</v>
      </c>
      <c r="C6" s="1" t="s">
        <v>28</v>
      </c>
      <c r="D6" s="1" t="s">
        <v>81</v>
      </c>
      <c r="E6" s="1" t="s">
        <v>31</v>
      </c>
      <c r="F6" s="1" t="s">
        <v>156</v>
      </c>
      <c r="G6">
        <v>1</v>
      </c>
      <c r="H6">
        <v>3</v>
      </c>
      <c r="I6" s="1" t="s">
        <v>232</v>
      </c>
      <c r="J6" s="1" t="s">
        <v>233</v>
      </c>
      <c r="K6" s="1" t="s">
        <v>139</v>
      </c>
      <c r="L6" s="1" t="s">
        <v>147</v>
      </c>
      <c r="M6" s="1" t="s">
        <v>234</v>
      </c>
      <c r="N6" s="1" t="s">
        <v>235</v>
      </c>
      <c r="O6" s="1" t="s">
        <v>150</v>
      </c>
      <c r="P6">
        <v>-165409.28</v>
      </c>
      <c r="Q6" s="1" t="s">
        <v>144</v>
      </c>
    </row>
    <row r="7" spans="1:17" x14ac:dyDescent="0.2">
      <c r="A7" s="1" t="s">
        <v>45</v>
      </c>
      <c r="B7">
        <v>6</v>
      </c>
      <c r="C7" s="1" t="s">
        <v>28</v>
      </c>
      <c r="D7" s="1" t="s">
        <v>81</v>
      </c>
      <c r="E7" s="1" t="s">
        <v>31</v>
      </c>
      <c r="F7" s="1" t="s">
        <v>156</v>
      </c>
      <c r="G7">
        <v>1</v>
      </c>
      <c r="H7">
        <v>3</v>
      </c>
      <c r="I7" s="1" t="s">
        <v>236</v>
      </c>
      <c r="J7" s="1" t="s">
        <v>237</v>
      </c>
      <c r="K7" s="1" t="s">
        <v>139</v>
      </c>
      <c r="L7" s="1" t="s">
        <v>147</v>
      </c>
      <c r="M7" s="1" t="s">
        <v>234</v>
      </c>
      <c r="N7" s="1" t="s">
        <v>235</v>
      </c>
      <c r="O7" s="1" t="s">
        <v>150</v>
      </c>
      <c r="P7">
        <v>-164409.28</v>
      </c>
      <c r="Q7" s="1" t="s">
        <v>144</v>
      </c>
    </row>
    <row r="8" spans="1:17" x14ac:dyDescent="0.2">
      <c r="A8" s="1" t="s">
        <v>48</v>
      </c>
      <c r="B8">
        <v>7</v>
      </c>
      <c r="C8" s="1" t="s">
        <v>28</v>
      </c>
      <c r="D8" s="1" t="s">
        <v>81</v>
      </c>
      <c r="E8" s="1" t="s">
        <v>31</v>
      </c>
      <c r="F8" s="1" t="s">
        <v>156</v>
      </c>
      <c r="G8">
        <v>1</v>
      </c>
      <c r="H8">
        <v>3</v>
      </c>
      <c r="I8" s="1" t="s">
        <v>236</v>
      </c>
      <c r="J8" s="1" t="s">
        <v>237</v>
      </c>
      <c r="K8" s="1" t="s">
        <v>139</v>
      </c>
      <c r="L8" s="1" t="s">
        <v>147</v>
      </c>
      <c r="M8" s="1" t="s">
        <v>234</v>
      </c>
      <c r="N8" s="1" t="s">
        <v>235</v>
      </c>
      <c r="O8" s="1" t="s">
        <v>143</v>
      </c>
      <c r="P8">
        <v>164409.28</v>
      </c>
      <c r="Q8" s="1" t="s">
        <v>144</v>
      </c>
    </row>
    <row r="9" spans="1:17" x14ac:dyDescent="0.2">
      <c r="A9" s="1" t="s">
        <v>50</v>
      </c>
      <c r="B9">
        <v>8</v>
      </c>
      <c r="C9" s="1" t="s">
        <v>28</v>
      </c>
      <c r="D9" s="1" t="s">
        <v>81</v>
      </c>
      <c r="E9" s="1" t="s">
        <v>31</v>
      </c>
      <c r="F9" s="1" t="s">
        <v>156</v>
      </c>
      <c r="G9">
        <v>1</v>
      </c>
      <c r="H9">
        <v>3</v>
      </c>
      <c r="I9" s="1" t="s">
        <v>238</v>
      </c>
      <c r="J9" s="1" t="s">
        <v>239</v>
      </c>
      <c r="K9" s="1" t="s">
        <v>139</v>
      </c>
      <c r="L9" s="1" t="s">
        <v>147</v>
      </c>
      <c r="M9" s="1" t="s">
        <v>234</v>
      </c>
      <c r="N9" s="1" t="s">
        <v>235</v>
      </c>
      <c r="O9" s="1" t="s">
        <v>150</v>
      </c>
      <c r="P9">
        <v>-1000</v>
      </c>
      <c r="Q9" s="1" t="s">
        <v>144</v>
      </c>
    </row>
    <row r="10" spans="1:17" x14ac:dyDescent="0.2">
      <c r="A10" s="1" t="s">
        <v>51</v>
      </c>
      <c r="B10">
        <v>9</v>
      </c>
      <c r="C10" s="1" t="s">
        <v>28</v>
      </c>
      <c r="D10" s="1" t="s">
        <v>81</v>
      </c>
      <c r="E10" s="1" t="s">
        <v>31</v>
      </c>
      <c r="F10" s="1" t="s">
        <v>156</v>
      </c>
      <c r="G10">
        <v>1</v>
      </c>
      <c r="H10">
        <v>3</v>
      </c>
      <c r="I10" s="1" t="s">
        <v>238</v>
      </c>
      <c r="J10" s="1" t="s">
        <v>239</v>
      </c>
      <c r="K10" s="1" t="s">
        <v>139</v>
      </c>
      <c r="L10" s="1" t="s">
        <v>147</v>
      </c>
      <c r="M10" s="1" t="s">
        <v>234</v>
      </c>
      <c r="N10" s="1" t="s">
        <v>235</v>
      </c>
      <c r="O10" s="1" t="s">
        <v>143</v>
      </c>
      <c r="P10">
        <v>1000</v>
      </c>
      <c r="Q10" s="1" t="s">
        <v>144</v>
      </c>
    </row>
    <row r="11" spans="1:17" x14ac:dyDescent="0.2">
      <c r="A11" s="1" t="s">
        <v>52</v>
      </c>
      <c r="B11">
        <v>10</v>
      </c>
      <c r="C11" s="1" t="s">
        <v>28</v>
      </c>
      <c r="D11" s="1" t="s">
        <v>81</v>
      </c>
      <c r="E11" s="1" t="s">
        <v>31</v>
      </c>
      <c r="F11" s="1" t="s">
        <v>156</v>
      </c>
      <c r="G11">
        <v>1</v>
      </c>
      <c r="H11">
        <v>3</v>
      </c>
      <c r="I11" s="1" t="s">
        <v>240</v>
      </c>
      <c r="J11" s="1" t="s">
        <v>241</v>
      </c>
      <c r="K11" s="1" t="s">
        <v>139</v>
      </c>
      <c r="L11" s="1" t="s">
        <v>140</v>
      </c>
      <c r="M11" s="1" t="s">
        <v>153</v>
      </c>
      <c r="N11" s="1" t="s">
        <v>142</v>
      </c>
      <c r="O11" s="1" t="s">
        <v>143</v>
      </c>
      <c r="P11">
        <v>165409.28</v>
      </c>
      <c r="Q11" s="1" t="s">
        <v>144</v>
      </c>
    </row>
    <row r="12" spans="1:17" x14ac:dyDescent="0.2">
      <c r="A12" s="1" t="s">
        <v>53</v>
      </c>
      <c r="B12">
        <v>11</v>
      </c>
      <c r="C12" s="1" t="s">
        <v>28</v>
      </c>
      <c r="D12" s="1" t="s">
        <v>81</v>
      </c>
      <c r="E12" s="1" t="s">
        <v>181</v>
      </c>
      <c r="F12" s="1" t="s">
        <v>182</v>
      </c>
      <c r="G12">
        <v>1</v>
      </c>
      <c r="H12">
        <v>4</v>
      </c>
      <c r="I12" s="1" t="s">
        <v>151</v>
      </c>
      <c r="J12" s="1" t="s">
        <v>152</v>
      </c>
      <c r="K12" s="1" t="s">
        <v>139</v>
      </c>
      <c r="L12" s="1" t="s">
        <v>140</v>
      </c>
      <c r="M12" s="1" t="s">
        <v>153</v>
      </c>
      <c r="N12" s="1" t="s">
        <v>142</v>
      </c>
      <c r="O12" s="1" t="s">
        <v>150</v>
      </c>
      <c r="P12">
        <v>-300</v>
      </c>
      <c r="Q12" s="1" t="s">
        <v>144</v>
      </c>
    </row>
    <row r="13" spans="1:17" x14ac:dyDescent="0.2">
      <c r="A13" s="1" t="s">
        <v>54</v>
      </c>
      <c r="B13">
        <v>12</v>
      </c>
      <c r="C13" s="1" t="s">
        <v>28</v>
      </c>
      <c r="D13" s="1" t="s">
        <v>81</v>
      </c>
      <c r="E13" s="1" t="s">
        <v>181</v>
      </c>
      <c r="F13" s="1" t="s">
        <v>182</v>
      </c>
      <c r="G13">
        <v>1</v>
      </c>
      <c r="H13">
        <v>4</v>
      </c>
      <c r="I13" s="1" t="s">
        <v>242</v>
      </c>
      <c r="J13" s="1" t="s">
        <v>243</v>
      </c>
      <c r="K13" s="1" t="s">
        <v>244</v>
      </c>
      <c r="L13" s="1" t="s">
        <v>245</v>
      </c>
      <c r="M13" s="1" t="s">
        <v>142</v>
      </c>
      <c r="N13" s="1" t="s">
        <v>142</v>
      </c>
      <c r="O13" s="1" t="s">
        <v>143</v>
      </c>
      <c r="P13">
        <v>300</v>
      </c>
      <c r="Q13" s="1" t="s">
        <v>144</v>
      </c>
    </row>
    <row r="14" spans="1:17" x14ac:dyDescent="0.2">
      <c r="A14" s="1" t="s">
        <v>55</v>
      </c>
      <c r="B14">
        <v>13</v>
      </c>
      <c r="C14" s="1" t="s">
        <v>28</v>
      </c>
      <c r="D14" s="1" t="s">
        <v>81</v>
      </c>
      <c r="E14" s="1" t="s">
        <v>207</v>
      </c>
      <c r="F14" s="1" t="s">
        <v>208</v>
      </c>
      <c r="G14">
        <v>1</v>
      </c>
      <c r="H14">
        <v>5</v>
      </c>
      <c r="I14" s="1" t="s">
        <v>281</v>
      </c>
      <c r="J14" s="1" t="s">
        <v>282</v>
      </c>
      <c r="K14" s="1" t="s">
        <v>139</v>
      </c>
      <c r="L14" s="1" t="s">
        <v>140</v>
      </c>
      <c r="M14" s="1" t="s">
        <v>153</v>
      </c>
      <c r="N14" s="1" t="s">
        <v>142</v>
      </c>
      <c r="O14" s="1" t="s">
        <v>143</v>
      </c>
      <c r="P14">
        <v>7873.92</v>
      </c>
      <c r="Q14" s="1" t="s">
        <v>144</v>
      </c>
    </row>
    <row r="15" spans="1:17" x14ac:dyDescent="0.2">
      <c r="A15" s="1" t="s">
        <v>57</v>
      </c>
      <c r="B15">
        <v>14</v>
      </c>
      <c r="C15" s="1" t="s">
        <v>28</v>
      </c>
      <c r="D15" s="1" t="s">
        <v>81</v>
      </c>
      <c r="E15" s="1" t="s">
        <v>207</v>
      </c>
      <c r="F15" s="1" t="s">
        <v>208</v>
      </c>
      <c r="G15">
        <v>1</v>
      </c>
      <c r="H15">
        <v>5</v>
      </c>
      <c r="I15" s="1" t="s">
        <v>283</v>
      </c>
      <c r="J15" s="1" t="s">
        <v>284</v>
      </c>
      <c r="K15" s="1" t="s">
        <v>244</v>
      </c>
      <c r="L15" s="1" t="s">
        <v>285</v>
      </c>
      <c r="M15" s="1" t="s">
        <v>142</v>
      </c>
      <c r="N15" s="1" t="s">
        <v>142</v>
      </c>
      <c r="O15" s="1" t="s">
        <v>143</v>
      </c>
      <c r="P15">
        <v>6219.86</v>
      </c>
      <c r="Q15" s="1" t="s">
        <v>144</v>
      </c>
    </row>
    <row r="16" spans="1:17" x14ac:dyDescent="0.2">
      <c r="A16" s="1" t="s">
        <v>58</v>
      </c>
      <c r="B16">
        <v>15</v>
      </c>
      <c r="C16" s="1" t="s">
        <v>28</v>
      </c>
      <c r="D16" s="1" t="s">
        <v>81</v>
      </c>
      <c r="E16" s="1" t="s">
        <v>207</v>
      </c>
      <c r="F16" s="1" t="s">
        <v>208</v>
      </c>
      <c r="G16">
        <v>1</v>
      </c>
      <c r="H16">
        <v>5</v>
      </c>
      <c r="I16" s="1" t="s">
        <v>240</v>
      </c>
      <c r="J16" s="1" t="s">
        <v>241</v>
      </c>
      <c r="K16" s="1" t="s">
        <v>139</v>
      </c>
      <c r="L16" s="1" t="s">
        <v>140</v>
      </c>
      <c r="M16" s="1" t="s">
        <v>153</v>
      </c>
      <c r="N16" s="1" t="s">
        <v>142</v>
      </c>
      <c r="O16" s="1" t="s">
        <v>150</v>
      </c>
      <c r="P16">
        <v>-6219.86</v>
      </c>
      <c r="Q16" s="1" t="s">
        <v>144</v>
      </c>
    </row>
    <row r="17" spans="1:17" x14ac:dyDescent="0.2">
      <c r="A17" s="1" t="s">
        <v>59</v>
      </c>
      <c r="B17">
        <v>16</v>
      </c>
      <c r="C17" s="1" t="s">
        <v>28</v>
      </c>
      <c r="D17" s="1" t="s">
        <v>81</v>
      </c>
      <c r="E17" s="1" t="s">
        <v>207</v>
      </c>
      <c r="F17" s="1" t="s">
        <v>208</v>
      </c>
      <c r="G17">
        <v>1</v>
      </c>
      <c r="H17">
        <v>5</v>
      </c>
      <c r="I17" s="1" t="s">
        <v>286</v>
      </c>
      <c r="J17" s="1" t="s">
        <v>287</v>
      </c>
      <c r="K17" s="1" t="s">
        <v>244</v>
      </c>
      <c r="L17" s="1" t="s">
        <v>288</v>
      </c>
      <c r="M17" s="1" t="s">
        <v>142</v>
      </c>
      <c r="N17" s="1" t="s">
        <v>142</v>
      </c>
      <c r="O17" s="1" t="s">
        <v>150</v>
      </c>
      <c r="P17">
        <v>-7873.92</v>
      </c>
      <c r="Q17" s="1" t="s">
        <v>144</v>
      </c>
    </row>
    <row r="18" spans="1:17" x14ac:dyDescent="0.2">
      <c r="A18" s="1" t="s">
        <v>60</v>
      </c>
      <c r="B18">
        <v>17</v>
      </c>
      <c r="C18" s="1" t="s">
        <v>28</v>
      </c>
      <c r="D18" s="1" t="s">
        <v>81</v>
      </c>
      <c r="E18" s="1" t="s">
        <v>256</v>
      </c>
      <c r="F18" s="1" t="s">
        <v>257</v>
      </c>
      <c r="G18">
        <v>2</v>
      </c>
      <c r="H18">
        <v>6</v>
      </c>
      <c r="I18" s="1" t="s">
        <v>151</v>
      </c>
      <c r="J18" s="1" t="s">
        <v>152</v>
      </c>
      <c r="K18" s="1" t="s">
        <v>139</v>
      </c>
      <c r="L18" s="1" t="s">
        <v>140</v>
      </c>
      <c r="M18" s="1" t="s">
        <v>153</v>
      </c>
      <c r="N18" s="1" t="s">
        <v>142</v>
      </c>
      <c r="O18" s="1" t="s">
        <v>150</v>
      </c>
      <c r="P18">
        <v>-300</v>
      </c>
      <c r="Q18" s="1" t="s">
        <v>144</v>
      </c>
    </row>
    <row r="19" spans="1:17" x14ac:dyDescent="0.2">
      <c r="A19" s="1" t="s">
        <v>61</v>
      </c>
      <c r="B19">
        <v>18</v>
      </c>
      <c r="C19" s="1" t="s">
        <v>28</v>
      </c>
      <c r="D19" s="1" t="s">
        <v>81</v>
      </c>
      <c r="E19" s="1" t="s">
        <v>256</v>
      </c>
      <c r="F19" s="1" t="s">
        <v>257</v>
      </c>
      <c r="G19">
        <v>2</v>
      </c>
      <c r="H19">
        <v>6</v>
      </c>
      <c r="I19" s="1" t="s">
        <v>281</v>
      </c>
      <c r="J19" s="1" t="s">
        <v>282</v>
      </c>
      <c r="K19" s="1" t="s">
        <v>139</v>
      </c>
      <c r="L19" s="1" t="s">
        <v>140</v>
      </c>
      <c r="M19" s="1" t="s">
        <v>153</v>
      </c>
      <c r="N19" s="1" t="s">
        <v>142</v>
      </c>
      <c r="O19" s="1" t="s">
        <v>143</v>
      </c>
      <c r="P19">
        <v>7222.44</v>
      </c>
      <c r="Q19" s="1" t="s">
        <v>144</v>
      </c>
    </row>
    <row r="20" spans="1:17" x14ac:dyDescent="0.2">
      <c r="A20" s="1" t="s">
        <v>62</v>
      </c>
      <c r="B20">
        <v>19</v>
      </c>
      <c r="C20" s="1" t="s">
        <v>28</v>
      </c>
      <c r="D20" s="1" t="s">
        <v>81</v>
      </c>
      <c r="E20" s="1" t="s">
        <v>256</v>
      </c>
      <c r="F20" s="1" t="s">
        <v>257</v>
      </c>
      <c r="G20">
        <v>2</v>
      </c>
      <c r="H20">
        <v>6</v>
      </c>
      <c r="I20" s="1" t="s">
        <v>232</v>
      </c>
      <c r="J20" s="1" t="s">
        <v>233</v>
      </c>
      <c r="K20" s="1" t="s">
        <v>139</v>
      </c>
      <c r="L20" s="1" t="s">
        <v>147</v>
      </c>
      <c r="M20" s="1" t="s">
        <v>234</v>
      </c>
      <c r="N20" s="1" t="s">
        <v>235</v>
      </c>
      <c r="O20" s="1" t="s">
        <v>150</v>
      </c>
      <c r="P20">
        <v>-1306.58</v>
      </c>
      <c r="Q20" s="1" t="s">
        <v>144</v>
      </c>
    </row>
    <row r="21" spans="1:17" x14ac:dyDescent="0.2">
      <c r="A21" s="1" t="s">
        <v>64</v>
      </c>
      <c r="B21">
        <v>20</v>
      </c>
      <c r="C21" s="1" t="s">
        <v>28</v>
      </c>
      <c r="D21" s="1" t="s">
        <v>81</v>
      </c>
      <c r="E21" s="1" t="s">
        <v>256</v>
      </c>
      <c r="F21" s="1" t="s">
        <v>257</v>
      </c>
      <c r="G21">
        <v>2</v>
      </c>
      <c r="H21">
        <v>6</v>
      </c>
      <c r="I21" s="1" t="s">
        <v>236</v>
      </c>
      <c r="J21" s="1" t="s">
        <v>237</v>
      </c>
      <c r="K21" s="1" t="s">
        <v>139</v>
      </c>
      <c r="L21" s="1" t="s">
        <v>147</v>
      </c>
      <c r="M21" s="1" t="s">
        <v>234</v>
      </c>
      <c r="N21" s="1" t="s">
        <v>235</v>
      </c>
      <c r="O21" s="1" t="s">
        <v>150</v>
      </c>
      <c r="P21">
        <v>-306.58</v>
      </c>
      <c r="Q21" s="1" t="s">
        <v>144</v>
      </c>
    </row>
    <row r="22" spans="1:17" x14ac:dyDescent="0.2">
      <c r="A22" s="1" t="s">
        <v>65</v>
      </c>
      <c r="B22">
        <v>21</v>
      </c>
      <c r="C22" s="1" t="s">
        <v>28</v>
      </c>
      <c r="D22" s="1" t="s">
        <v>81</v>
      </c>
      <c r="E22" s="1" t="s">
        <v>256</v>
      </c>
      <c r="F22" s="1" t="s">
        <v>257</v>
      </c>
      <c r="G22">
        <v>2</v>
      </c>
      <c r="H22">
        <v>6</v>
      </c>
      <c r="I22" s="1" t="s">
        <v>236</v>
      </c>
      <c r="J22" s="1" t="s">
        <v>237</v>
      </c>
      <c r="K22" s="1" t="s">
        <v>139</v>
      </c>
      <c r="L22" s="1" t="s">
        <v>147</v>
      </c>
      <c r="M22" s="1" t="s">
        <v>234</v>
      </c>
      <c r="N22" s="1" t="s">
        <v>235</v>
      </c>
      <c r="O22" s="1" t="s">
        <v>143</v>
      </c>
      <c r="P22">
        <v>306.58</v>
      </c>
      <c r="Q22" s="1" t="s">
        <v>144</v>
      </c>
    </row>
    <row r="23" spans="1:17" x14ac:dyDescent="0.2">
      <c r="A23" s="1" t="s">
        <v>66</v>
      </c>
      <c r="B23">
        <v>22</v>
      </c>
      <c r="C23" s="1" t="s">
        <v>28</v>
      </c>
      <c r="D23" s="1" t="s">
        <v>81</v>
      </c>
      <c r="E23" s="1" t="s">
        <v>256</v>
      </c>
      <c r="F23" s="1" t="s">
        <v>257</v>
      </c>
      <c r="G23">
        <v>2</v>
      </c>
      <c r="H23">
        <v>6</v>
      </c>
      <c r="I23" s="1" t="s">
        <v>238</v>
      </c>
      <c r="J23" s="1" t="s">
        <v>239</v>
      </c>
      <c r="K23" s="1" t="s">
        <v>139</v>
      </c>
      <c r="L23" s="1" t="s">
        <v>147</v>
      </c>
      <c r="M23" s="1" t="s">
        <v>234</v>
      </c>
      <c r="N23" s="1" t="s">
        <v>235</v>
      </c>
      <c r="O23" s="1" t="s">
        <v>150</v>
      </c>
      <c r="P23">
        <v>-1000</v>
      </c>
      <c r="Q23" s="1" t="s">
        <v>144</v>
      </c>
    </row>
    <row r="24" spans="1:17" x14ac:dyDescent="0.2">
      <c r="A24" s="1" t="s">
        <v>67</v>
      </c>
      <c r="B24">
        <v>23</v>
      </c>
      <c r="C24" s="1" t="s">
        <v>28</v>
      </c>
      <c r="D24" s="1" t="s">
        <v>81</v>
      </c>
      <c r="E24" s="1" t="s">
        <v>256</v>
      </c>
      <c r="F24" s="1" t="s">
        <v>257</v>
      </c>
      <c r="G24">
        <v>2</v>
      </c>
      <c r="H24">
        <v>6</v>
      </c>
      <c r="I24" s="1" t="s">
        <v>238</v>
      </c>
      <c r="J24" s="1" t="s">
        <v>239</v>
      </c>
      <c r="K24" s="1" t="s">
        <v>139</v>
      </c>
      <c r="L24" s="1" t="s">
        <v>147</v>
      </c>
      <c r="M24" s="1" t="s">
        <v>234</v>
      </c>
      <c r="N24" s="1" t="s">
        <v>235</v>
      </c>
      <c r="O24" s="1" t="s">
        <v>143</v>
      </c>
      <c r="P24">
        <v>1000</v>
      </c>
      <c r="Q24" s="1" t="s">
        <v>144</v>
      </c>
    </row>
    <row r="25" spans="1:17" x14ac:dyDescent="0.2">
      <c r="A25" s="1" t="s">
        <v>68</v>
      </c>
      <c r="B25">
        <v>24</v>
      </c>
      <c r="C25" s="1" t="s">
        <v>28</v>
      </c>
      <c r="D25" s="1" t="s">
        <v>81</v>
      </c>
      <c r="E25" s="1" t="s">
        <v>256</v>
      </c>
      <c r="F25" s="1" t="s">
        <v>257</v>
      </c>
      <c r="G25">
        <v>2</v>
      </c>
      <c r="H25">
        <v>6</v>
      </c>
      <c r="I25" s="1" t="s">
        <v>283</v>
      </c>
      <c r="J25" s="1" t="s">
        <v>284</v>
      </c>
      <c r="K25" s="1" t="s">
        <v>244</v>
      </c>
      <c r="L25" s="1" t="s">
        <v>285</v>
      </c>
      <c r="M25" s="1" t="s">
        <v>142</v>
      </c>
      <c r="N25" s="1" t="s">
        <v>142</v>
      </c>
      <c r="O25" s="1" t="s">
        <v>143</v>
      </c>
      <c r="P25">
        <v>5749.07</v>
      </c>
      <c r="Q25" s="1" t="s">
        <v>144</v>
      </c>
    </row>
    <row r="26" spans="1:17" x14ac:dyDescent="0.2">
      <c r="A26" s="1" t="s">
        <v>111</v>
      </c>
      <c r="B26">
        <v>25</v>
      </c>
      <c r="C26" s="1" t="s">
        <v>28</v>
      </c>
      <c r="D26" s="1" t="s">
        <v>81</v>
      </c>
      <c r="E26" s="1" t="s">
        <v>256</v>
      </c>
      <c r="F26" s="1" t="s">
        <v>257</v>
      </c>
      <c r="G26">
        <v>2</v>
      </c>
      <c r="H26">
        <v>6</v>
      </c>
      <c r="I26" s="1" t="s">
        <v>242</v>
      </c>
      <c r="J26" s="1" t="s">
        <v>243</v>
      </c>
      <c r="K26" s="1" t="s">
        <v>244</v>
      </c>
      <c r="L26" s="1" t="s">
        <v>245</v>
      </c>
      <c r="M26" s="1" t="s">
        <v>142</v>
      </c>
      <c r="N26" s="1" t="s">
        <v>142</v>
      </c>
      <c r="O26" s="1" t="s">
        <v>143</v>
      </c>
      <c r="P26">
        <v>300</v>
      </c>
      <c r="Q26" s="1" t="s">
        <v>144</v>
      </c>
    </row>
    <row r="27" spans="1:17" x14ac:dyDescent="0.2">
      <c r="A27" s="1" t="s">
        <v>114</v>
      </c>
      <c r="B27">
        <v>26</v>
      </c>
      <c r="C27" s="1" t="s">
        <v>28</v>
      </c>
      <c r="D27" s="1" t="s">
        <v>81</v>
      </c>
      <c r="E27" s="1" t="s">
        <v>256</v>
      </c>
      <c r="F27" s="1" t="s">
        <v>257</v>
      </c>
      <c r="G27">
        <v>2</v>
      </c>
      <c r="H27">
        <v>6</v>
      </c>
      <c r="I27" s="1" t="s">
        <v>240</v>
      </c>
      <c r="J27" s="1" t="s">
        <v>241</v>
      </c>
      <c r="K27" s="1" t="s">
        <v>139</v>
      </c>
      <c r="L27" s="1" t="s">
        <v>140</v>
      </c>
      <c r="M27" s="1" t="s">
        <v>153</v>
      </c>
      <c r="N27" s="1" t="s">
        <v>142</v>
      </c>
      <c r="O27" s="1" t="s">
        <v>150</v>
      </c>
      <c r="P27">
        <v>-5749.08</v>
      </c>
      <c r="Q27" s="1" t="s">
        <v>144</v>
      </c>
    </row>
    <row r="28" spans="1:17" x14ac:dyDescent="0.2">
      <c r="A28" s="1" t="s">
        <v>115</v>
      </c>
      <c r="B28">
        <v>27</v>
      </c>
      <c r="C28" s="1" t="s">
        <v>28</v>
      </c>
      <c r="D28" s="1" t="s">
        <v>81</v>
      </c>
      <c r="E28" s="1" t="s">
        <v>256</v>
      </c>
      <c r="F28" s="1" t="s">
        <v>257</v>
      </c>
      <c r="G28">
        <v>2</v>
      </c>
      <c r="H28">
        <v>6</v>
      </c>
      <c r="I28" s="1" t="s">
        <v>240</v>
      </c>
      <c r="J28" s="1" t="s">
        <v>241</v>
      </c>
      <c r="K28" s="1" t="s">
        <v>139</v>
      </c>
      <c r="L28" s="1" t="s">
        <v>140</v>
      </c>
      <c r="M28" s="1" t="s">
        <v>153</v>
      </c>
      <c r="N28" s="1" t="s">
        <v>142</v>
      </c>
      <c r="O28" s="1" t="s">
        <v>143</v>
      </c>
      <c r="P28">
        <v>1306.5899999999999</v>
      </c>
      <c r="Q28" s="1" t="s">
        <v>144</v>
      </c>
    </row>
    <row r="29" spans="1:17" x14ac:dyDescent="0.2">
      <c r="A29" s="1" t="s">
        <v>116</v>
      </c>
      <c r="B29">
        <v>28</v>
      </c>
      <c r="C29" s="1" t="s">
        <v>28</v>
      </c>
      <c r="D29" s="1" t="s">
        <v>81</v>
      </c>
      <c r="E29" s="1" t="s">
        <v>256</v>
      </c>
      <c r="F29" s="1" t="s">
        <v>257</v>
      </c>
      <c r="G29">
        <v>2</v>
      </c>
      <c r="H29">
        <v>6</v>
      </c>
      <c r="I29" s="1" t="s">
        <v>286</v>
      </c>
      <c r="J29" s="1" t="s">
        <v>287</v>
      </c>
      <c r="K29" s="1" t="s">
        <v>244</v>
      </c>
      <c r="L29" s="1" t="s">
        <v>288</v>
      </c>
      <c r="M29" s="1" t="s">
        <v>142</v>
      </c>
      <c r="N29" s="1" t="s">
        <v>142</v>
      </c>
      <c r="O29" s="1" t="s">
        <v>150</v>
      </c>
      <c r="P29">
        <v>-7222.44</v>
      </c>
      <c r="Q29" s="1" t="s">
        <v>144</v>
      </c>
    </row>
    <row r="30" spans="1:17" x14ac:dyDescent="0.2">
      <c r="A30" s="1" t="s">
        <v>117</v>
      </c>
      <c r="B30">
        <v>29</v>
      </c>
      <c r="C30" s="1" t="s">
        <v>28</v>
      </c>
      <c r="D30" s="1" t="s">
        <v>81</v>
      </c>
      <c r="E30" s="1" t="s">
        <v>296</v>
      </c>
      <c r="F30" s="1" t="s">
        <v>297</v>
      </c>
      <c r="G30">
        <v>2</v>
      </c>
      <c r="H30">
        <v>7</v>
      </c>
      <c r="I30" s="1" t="s">
        <v>151</v>
      </c>
      <c r="J30" s="1" t="s">
        <v>152</v>
      </c>
      <c r="K30" s="1" t="s">
        <v>139</v>
      </c>
      <c r="L30" s="1" t="s">
        <v>140</v>
      </c>
      <c r="M30" s="1" t="s">
        <v>153</v>
      </c>
      <c r="N30" s="1" t="s">
        <v>142</v>
      </c>
      <c r="O30" s="1" t="s">
        <v>150</v>
      </c>
      <c r="P30">
        <v>-300</v>
      </c>
      <c r="Q30" s="1" t="s">
        <v>144</v>
      </c>
    </row>
    <row r="31" spans="1:17" x14ac:dyDescent="0.2">
      <c r="A31" s="1" t="s">
        <v>118</v>
      </c>
      <c r="B31">
        <v>30</v>
      </c>
      <c r="C31" s="1" t="s">
        <v>28</v>
      </c>
      <c r="D31" s="1" t="s">
        <v>81</v>
      </c>
      <c r="E31" s="1" t="s">
        <v>296</v>
      </c>
      <c r="F31" s="1" t="s">
        <v>297</v>
      </c>
      <c r="G31">
        <v>2</v>
      </c>
      <c r="H31">
        <v>7</v>
      </c>
      <c r="I31" s="1" t="s">
        <v>281</v>
      </c>
      <c r="J31" s="1" t="s">
        <v>282</v>
      </c>
      <c r="K31" s="1" t="s">
        <v>139</v>
      </c>
      <c r="L31" s="1" t="s">
        <v>140</v>
      </c>
      <c r="M31" s="1" t="s">
        <v>153</v>
      </c>
      <c r="N31" s="1" t="s">
        <v>142</v>
      </c>
      <c r="O31" s="1" t="s">
        <v>143</v>
      </c>
      <c r="P31">
        <v>9611.23</v>
      </c>
      <c r="Q31" s="1" t="s">
        <v>144</v>
      </c>
    </row>
    <row r="32" spans="1:17" x14ac:dyDescent="0.2">
      <c r="A32" s="1" t="s">
        <v>119</v>
      </c>
      <c r="B32">
        <v>31</v>
      </c>
      <c r="C32" s="1" t="s">
        <v>28</v>
      </c>
      <c r="D32" s="1" t="s">
        <v>81</v>
      </c>
      <c r="E32" s="1" t="s">
        <v>296</v>
      </c>
      <c r="F32" s="1" t="s">
        <v>297</v>
      </c>
      <c r="G32">
        <v>2</v>
      </c>
      <c r="H32">
        <v>7</v>
      </c>
      <c r="I32" s="1" t="s">
        <v>232</v>
      </c>
      <c r="J32" s="1" t="s">
        <v>233</v>
      </c>
      <c r="K32" s="1" t="s">
        <v>139</v>
      </c>
      <c r="L32" s="1" t="s">
        <v>147</v>
      </c>
      <c r="M32" s="1" t="s">
        <v>234</v>
      </c>
      <c r="N32" s="1" t="s">
        <v>235</v>
      </c>
      <c r="O32" s="1" t="s">
        <v>150</v>
      </c>
      <c r="P32">
        <v>-7182.25</v>
      </c>
      <c r="Q32" s="1" t="s">
        <v>144</v>
      </c>
    </row>
    <row r="33" spans="1:17" x14ac:dyDescent="0.2">
      <c r="A33" s="1" t="s">
        <v>120</v>
      </c>
      <c r="B33">
        <v>32</v>
      </c>
      <c r="C33" s="1" t="s">
        <v>28</v>
      </c>
      <c r="D33" s="1" t="s">
        <v>81</v>
      </c>
      <c r="E33" s="1" t="s">
        <v>296</v>
      </c>
      <c r="F33" s="1" t="s">
        <v>297</v>
      </c>
      <c r="G33">
        <v>2</v>
      </c>
      <c r="H33">
        <v>7</v>
      </c>
      <c r="I33" s="1" t="s">
        <v>236</v>
      </c>
      <c r="J33" s="1" t="s">
        <v>237</v>
      </c>
      <c r="K33" s="1" t="s">
        <v>139</v>
      </c>
      <c r="L33" s="1" t="s">
        <v>147</v>
      </c>
      <c r="M33" s="1" t="s">
        <v>234</v>
      </c>
      <c r="N33" s="1" t="s">
        <v>235</v>
      </c>
      <c r="O33" s="1" t="s">
        <v>150</v>
      </c>
      <c r="P33">
        <v>-6182.25</v>
      </c>
      <c r="Q33" s="1" t="s">
        <v>144</v>
      </c>
    </row>
    <row r="34" spans="1:17" x14ac:dyDescent="0.2">
      <c r="A34" s="1" t="s">
        <v>121</v>
      </c>
      <c r="B34">
        <v>33</v>
      </c>
      <c r="C34" s="1" t="s">
        <v>28</v>
      </c>
      <c r="D34" s="1" t="s">
        <v>81</v>
      </c>
      <c r="E34" s="1" t="s">
        <v>296</v>
      </c>
      <c r="F34" s="1" t="s">
        <v>297</v>
      </c>
      <c r="G34">
        <v>2</v>
      </c>
      <c r="H34">
        <v>7</v>
      </c>
      <c r="I34" s="1" t="s">
        <v>236</v>
      </c>
      <c r="J34" s="1" t="s">
        <v>237</v>
      </c>
      <c r="K34" s="1" t="s">
        <v>139</v>
      </c>
      <c r="L34" s="1" t="s">
        <v>147</v>
      </c>
      <c r="M34" s="1" t="s">
        <v>234</v>
      </c>
      <c r="N34" s="1" t="s">
        <v>235</v>
      </c>
      <c r="O34" s="1" t="s">
        <v>143</v>
      </c>
      <c r="P34">
        <v>6182.25</v>
      </c>
      <c r="Q34" s="1" t="s">
        <v>144</v>
      </c>
    </row>
    <row r="35" spans="1:17" x14ac:dyDescent="0.2">
      <c r="A35" s="1" t="s">
        <v>122</v>
      </c>
      <c r="B35">
        <v>34</v>
      </c>
      <c r="C35" s="1" t="s">
        <v>28</v>
      </c>
      <c r="D35" s="1" t="s">
        <v>81</v>
      </c>
      <c r="E35" s="1" t="s">
        <v>296</v>
      </c>
      <c r="F35" s="1" t="s">
        <v>297</v>
      </c>
      <c r="G35">
        <v>2</v>
      </c>
      <c r="H35">
        <v>7</v>
      </c>
      <c r="I35" s="1" t="s">
        <v>238</v>
      </c>
      <c r="J35" s="1" t="s">
        <v>239</v>
      </c>
      <c r="K35" s="1" t="s">
        <v>139</v>
      </c>
      <c r="L35" s="1" t="s">
        <v>147</v>
      </c>
      <c r="M35" s="1" t="s">
        <v>234</v>
      </c>
      <c r="N35" s="1" t="s">
        <v>235</v>
      </c>
      <c r="O35" s="1" t="s">
        <v>150</v>
      </c>
      <c r="P35">
        <v>-1000</v>
      </c>
      <c r="Q35" s="1" t="s">
        <v>144</v>
      </c>
    </row>
    <row r="36" spans="1:17" x14ac:dyDescent="0.2">
      <c r="A36" s="1" t="s">
        <v>123</v>
      </c>
      <c r="B36">
        <v>35</v>
      </c>
      <c r="C36" s="1" t="s">
        <v>28</v>
      </c>
      <c r="D36" s="1" t="s">
        <v>81</v>
      </c>
      <c r="E36" s="1" t="s">
        <v>296</v>
      </c>
      <c r="F36" s="1" t="s">
        <v>297</v>
      </c>
      <c r="G36">
        <v>2</v>
      </c>
      <c r="H36">
        <v>7</v>
      </c>
      <c r="I36" s="1" t="s">
        <v>238</v>
      </c>
      <c r="J36" s="1" t="s">
        <v>239</v>
      </c>
      <c r="K36" s="1" t="s">
        <v>139</v>
      </c>
      <c r="L36" s="1" t="s">
        <v>147</v>
      </c>
      <c r="M36" s="1" t="s">
        <v>234</v>
      </c>
      <c r="N36" s="1" t="s">
        <v>235</v>
      </c>
      <c r="O36" s="1" t="s">
        <v>143</v>
      </c>
      <c r="P36">
        <v>1000</v>
      </c>
      <c r="Q36" s="1" t="s">
        <v>144</v>
      </c>
    </row>
    <row r="37" spans="1:17" x14ac:dyDescent="0.2">
      <c r="A37" s="1" t="s">
        <v>124</v>
      </c>
      <c r="B37">
        <v>36</v>
      </c>
      <c r="C37" s="1" t="s">
        <v>28</v>
      </c>
      <c r="D37" s="1" t="s">
        <v>81</v>
      </c>
      <c r="E37" s="1" t="s">
        <v>296</v>
      </c>
      <c r="F37" s="1" t="s">
        <v>297</v>
      </c>
      <c r="G37">
        <v>2</v>
      </c>
      <c r="H37">
        <v>7</v>
      </c>
      <c r="I37" s="1" t="s">
        <v>283</v>
      </c>
      <c r="J37" s="1" t="s">
        <v>284</v>
      </c>
      <c r="K37" s="1" t="s">
        <v>244</v>
      </c>
      <c r="L37" s="1" t="s">
        <v>285</v>
      </c>
      <c r="M37" s="1" t="s">
        <v>142</v>
      </c>
      <c r="N37" s="1" t="s">
        <v>142</v>
      </c>
      <c r="O37" s="1" t="s">
        <v>143</v>
      </c>
      <c r="P37">
        <v>7757.07</v>
      </c>
      <c r="Q37" s="1" t="s">
        <v>144</v>
      </c>
    </row>
    <row r="38" spans="1:17" x14ac:dyDescent="0.2">
      <c r="A38" s="1" t="s">
        <v>125</v>
      </c>
      <c r="B38">
        <v>37</v>
      </c>
      <c r="C38" s="1" t="s">
        <v>28</v>
      </c>
      <c r="D38" s="1" t="s">
        <v>81</v>
      </c>
      <c r="E38" s="1" t="s">
        <v>296</v>
      </c>
      <c r="F38" s="1" t="s">
        <v>297</v>
      </c>
      <c r="G38">
        <v>2</v>
      </c>
      <c r="H38">
        <v>7</v>
      </c>
      <c r="I38" s="1" t="s">
        <v>242</v>
      </c>
      <c r="J38" s="1" t="s">
        <v>243</v>
      </c>
      <c r="K38" s="1" t="s">
        <v>244</v>
      </c>
      <c r="L38" s="1" t="s">
        <v>245</v>
      </c>
      <c r="M38" s="1" t="s">
        <v>142</v>
      </c>
      <c r="N38" s="1" t="s">
        <v>142</v>
      </c>
      <c r="O38" s="1" t="s">
        <v>143</v>
      </c>
      <c r="P38">
        <v>300</v>
      </c>
      <c r="Q38" s="1" t="s">
        <v>144</v>
      </c>
    </row>
    <row r="39" spans="1:17" x14ac:dyDescent="0.2">
      <c r="A39" s="1" t="s">
        <v>126</v>
      </c>
      <c r="B39">
        <v>38</v>
      </c>
      <c r="C39" s="1" t="s">
        <v>28</v>
      </c>
      <c r="D39" s="1" t="s">
        <v>81</v>
      </c>
      <c r="E39" s="1" t="s">
        <v>296</v>
      </c>
      <c r="F39" s="1" t="s">
        <v>297</v>
      </c>
      <c r="G39">
        <v>2</v>
      </c>
      <c r="H39">
        <v>7</v>
      </c>
      <c r="I39" s="1" t="s">
        <v>240</v>
      </c>
      <c r="J39" s="1" t="s">
        <v>241</v>
      </c>
      <c r="K39" s="1" t="s">
        <v>139</v>
      </c>
      <c r="L39" s="1" t="s">
        <v>140</v>
      </c>
      <c r="M39" s="1" t="s">
        <v>153</v>
      </c>
      <c r="N39" s="1" t="s">
        <v>142</v>
      </c>
      <c r="O39" s="1" t="s">
        <v>150</v>
      </c>
      <c r="P39">
        <v>-7757.08</v>
      </c>
      <c r="Q39" s="1" t="s">
        <v>144</v>
      </c>
    </row>
    <row r="40" spans="1:17" x14ac:dyDescent="0.2">
      <c r="A40" s="1" t="s">
        <v>127</v>
      </c>
      <c r="B40">
        <v>39</v>
      </c>
      <c r="C40" s="1" t="s">
        <v>28</v>
      </c>
      <c r="D40" s="1" t="s">
        <v>81</v>
      </c>
      <c r="E40" s="1" t="s">
        <v>296</v>
      </c>
      <c r="F40" s="1" t="s">
        <v>297</v>
      </c>
      <c r="G40">
        <v>2</v>
      </c>
      <c r="H40">
        <v>7</v>
      </c>
      <c r="I40" s="1" t="s">
        <v>240</v>
      </c>
      <c r="J40" s="1" t="s">
        <v>241</v>
      </c>
      <c r="K40" s="1" t="s">
        <v>139</v>
      </c>
      <c r="L40" s="1" t="s">
        <v>140</v>
      </c>
      <c r="M40" s="1" t="s">
        <v>153</v>
      </c>
      <c r="N40" s="1" t="s">
        <v>142</v>
      </c>
      <c r="O40" s="1" t="s">
        <v>143</v>
      </c>
      <c r="P40">
        <v>7182.26</v>
      </c>
      <c r="Q40" s="1" t="s">
        <v>144</v>
      </c>
    </row>
    <row r="41" spans="1:17" x14ac:dyDescent="0.2">
      <c r="A41" s="1" t="s">
        <v>128</v>
      </c>
      <c r="B41">
        <v>40</v>
      </c>
      <c r="C41" s="1" t="s">
        <v>28</v>
      </c>
      <c r="D41" s="1" t="s">
        <v>81</v>
      </c>
      <c r="E41" s="1" t="s">
        <v>296</v>
      </c>
      <c r="F41" s="1" t="s">
        <v>297</v>
      </c>
      <c r="G41">
        <v>2</v>
      </c>
      <c r="H41">
        <v>7</v>
      </c>
      <c r="I41" s="1" t="s">
        <v>286</v>
      </c>
      <c r="J41" s="1" t="s">
        <v>287</v>
      </c>
      <c r="K41" s="1" t="s">
        <v>244</v>
      </c>
      <c r="L41" s="1" t="s">
        <v>288</v>
      </c>
      <c r="M41" s="1" t="s">
        <v>142</v>
      </c>
      <c r="N41" s="1" t="s">
        <v>142</v>
      </c>
      <c r="O41" s="1" t="s">
        <v>150</v>
      </c>
      <c r="P41">
        <v>-9611.23</v>
      </c>
      <c r="Q41" s="1" t="s">
        <v>144</v>
      </c>
    </row>
    <row r="42" spans="1:17" x14ac:dyDescent="0.2">
      <c r="A42" s="1" t="s">
        <v>129</v>
      </c>
      <c r="B42">
        <v>41</v>
      </c>
      <c r="C42" s="1" t="s">
        <v>28</v>
      </c>
      <c r="D42" s="1" t="s">
        <v>81</v>
      </c>
      <c r="E42" s="1" t="s">
        <v>326</v>
      </c>
      <c r="F42" s="1" t="s">
        <v>327</v>
      </c>
      <c r="G42">
        <v>2</v>
      </c>
      <c r="H42">
        <v>8</v>
      </c>
      <c r="I42" s="1" t="s">
        <v>151</v>
      </c>
      <c r="J42" s="1" t="s">
        <v>152</v>
      </c>
      <c r="K42" s="1" t="s">
        <v>139</v>
      </c>
      <c r="L42" s="1" t="s">
        <v>140</v>
      </c>
      <c r="M42" s="1" t="s">
        <v>153</v>
      </c>
      <c r="N42" s="1" t="s">
        <v>142</v>
      </c>
      <c r="O42" s="1" t="s">
        <v>150</v>
      </c>
      <c r="P42">
        <v>-165709.28</v>
      </c>
      <c r="Q42" s="1" t="s">
        <v>144</v>
      </c>
    </row>
    <row r="43" spans="1:17" x14ac:dyDescent="0.2">
      <c r="A43" s="1" t="s">
        <v>130</v>
      </c>
      <c r="B43">
        <v>42</v>
      </c>
      <c r="C43" s="1" t="s">
        <v>28</v>
      </c>
      <c r="D43" s="1" t="s">
        <v>81</v>
      </c>
      <c r="E43" s="1" t="s">
        <v>326</v>
      </c>
      <c r="F43" s="1" t="s">
        <v>327</v>
      </c>
      <c r="G43">
        <v>2</v>
      </c>
      <c r="H43">
        <v>8</v>
      </c>
      <c r="I43" s="1" t="s">
        <v>281</v>
      </c>
      <c r="J43" s="1" t="s">
        <v>282</v>
      </c>
      <c r="K43" s="1" t="s">
        <v>139</v>
      </c>
      <c r="L43" s="1" t="s">
        <v>140</v>
      </c>
      <c r="M43" s="1" t="s">
        <v>153</v>
      </c>
      <c r="N43" s="1" t="s">
        <v>142</v>
      </c>
      <c r="O43" s="1" t="s">
        <v>143</v>
      </c>
      <c r="P43">
        <v>13493.44</v>
      </c>
      <c r="Q43" s="1" t="s">
        <v>144</v>
      </c>
    </row>
    <row r="44" spans="1:17" x14ac:dyDescent="0.2">
      <c r="A44" s="1" t="s">
        <v>131</v>
      </c>
      <c r="B44">
        <v>43</v>
      </c>
      <c r="C44" s="1" t="s">
        <v>28</v>
      </c>
      <c r="D44" s="1" t="s">
        <v>81</v>
      </c>
      <c r="E44" s="1" t="s">
        <v>326</v>
      </c>
      <c r="F44" s="1" t="s">
        <v>327</v>
      </c>
      <c r="G44">
        <v>2</v>
      </c>
      <c r="H44">
        <v>8</v>
      </c>
      <c r="I44" s="1" t="s">
        <v>232</v>
      </c>
      <c r="J44" s="1" t="s">
        <v>233</v>
      </c>
      <c r="K44" s="1" t="s">
        <v>139</v>
      </c>
      <c r="L44" s="1" t="s">
        <v>147</v>
      </c>
      <c r="M44" s="1" t="s">
        <v>234</v>
      </c>
      <c r="N44" s="1" t="s">
        <v>235</v>
      </c>
      <c r="O44" s="1" t="s">
        <v>143</v>
      </c>
      <c r="P44">
        <v>165409.28</v>
      </c>
      <c r="Q44" s="1" t="s">
        <v>144</v>
      </c>
    </row>
    <row r="45" spans="1:17" x14ac:dyDescent="0.2">
      <c r="A45" s="1" t="s">
        <v>132</v>
      </c>
      <c r="B45">
        <v>44</v>
      </c>
      <c r="C45" s="1" t="s">
        <v>28</v>
      </c>
      <c r="D45" s="1" t="s">
        <v>81</v>
      </c>
      <c r="E45" s="1" t="s">
        <v>326</v>
      </c>
      <c r="F45" s="1" t="s">
        <v>327</v>
      </c>
      <c r="G45">
        <v>2</v>
      </c>
      <c r="H45">
        <v>8</v>
      </c>
      <c r="I45" s="1" t="s">
        <v>283</v>
      </c>
      <c r="J45" s="1" t="s">
        <v>284</v>
      </c>
      <c r="K45" s="1" t="s">
        <v>244</v>
      </c>
      <c r="L45" s="1" t="s">
        <v>285</v>
      </c>
      <c r="M45" s="1" t="s">
        <v>142</v>
      </c>
      <c r="N45" s="1" t="s">
        <v>142</v>
      </c>
      <c r="O45" s="1" t="s">
        <v>143</v>
      </c>
      <c r="P45">
        <v>10932.13</v>
      </c>
      <c r="Q45" s="1" t="s">
        <v>144</v>
      </c>
    </row>
    <row r="46" spans="1:17" x14ac:dyDescent="0.2">
      <c r="A46" s="1" t="s">
        <v>133</v>
      </c>
      <c r="B46">
        <v>45</v>
      </c>
      <c r="C46" s="1" t="s">
        <v>28</v>
      </c>
      <c r="D46" s="1" t="s">
        <v>81</v>
      </c>
      <c r="E46" s="1" t="s">
        <v>326</v>
      </c>
      <c r="F46" s="1" t="s">
        <v>327</v>
      </c>
      <c r="G46">
        <v>2</v>
      </c>
      <c r="H46">
        <v>8</v>
      </c>
      <c r="I46" s="1" t="s">
        <v>242</v>
      </c>
      <c r="J46" s="1" t="s">
        <v>243</v>
      </c>
      <c r="K46" s="1" t="s">
        <v>244</v>
      </c>
      <c r="L46" s="1" t="s">
        <v>245</v>
      </c>
      <c r="M46" s="1" t="s">
        <v>142</v>
      </c>
      <c r="N46" s="1" t="s">
        <v>142</v>
      </c>
      <c r="O46" s="1" t="s">
        <v>143</v>
      </c>
      <c r="P46">
        <v>300</v>
      </c>
      <c r="Q46" s="1" t="s">
        <v>144</v>
      </c>
    </row>
    <row r="47" spans="1:17" x14ac:dyDescent="0.2">
      <c r="A47" s="1" t="s">
        <v>134</v>
      </c>
      <c r="B47">
        <v>46</v>
      </c>
      <c r="C47" s="1" t="s">
        <v>28</v>
      </c>
      <c r="D47" s="1" t="s">
        <v>81</v>
      </c>
      <c r="E47" s="1" t="s">
        <v>326</v>
      </c>
      <c r="F47" s="1" t="s">
        <v>327</v>
      </c>
      <c r="G47">
        <v>2</v>
      </c>
      <c r="H47">
        <v>8</v>
      </c>
      <c r="I47" s="1" t="s">
        <v>240</v>
      </c>
      <c r="J47" s="1" t="s">
        <v>241</v>
      </c>
      <c r="K47" s="1" t="s">
        <v>139</v>
      </c>
      <c r="L47" s="1" t="s">
        <v>140</v>
      </c>
      <c r="M47" s="1" t="s">
        <v>153</v>
      </c>
      <c r="N47" s="1" t="s">
        <v>142</v>
      </c>
      <c r="O47" s="1" t="s">
        <v>150</v>
      </c>
      <c r="P47">
        <v>-10932.13</v>
      </c>
      <c r="Q47" s="1" t="s">
        <v>144</v>
      </c>
    </row>
    <row r="48" spans="1:17" x14ac:dyDescent="0.2">
      <c r="A48" s="1" t="s">
        <v>135</v>
      </c>
      <c r="B48">
        <v>47</v>
      </c>
      <c r="C48" s="1" t="s">
        <v>28</v>
      </c>
      <c r="D48" s="1" t="s">
        <v>81</v>
      </c>
      <c r="E48" s="1" t="s">
        <v>326</v>
      </c>
      <c r="F48" s="1" t="s">
        <v>327</v>
      </c>
      <c r="G48">
        <v>2</v>
      </c>
      <c r="H48">
        <v>8</v>
      </c>
      <c r="I48" s="1" t="s">
        <v>286</v>
      </c>
      <c r="J48" s="1" t="s">
        <v>287</v>
      </c>
      <c r="K48" s="1" t="s">
        <v>244</v>
      </c>
      <c r="L48" s="1" t="s">
        <v>288</v>
      </c>
      <c r="M48" s="1" t="s">
        <v>142</v>
      </c>
      <c r="N48" s="1" t="s">
        <v>142</v>
      </c>
      <c r="O48" s="1" t="s">
        <v>150</v>
      </c>
      <c r="P48">
        <v>-13493.44</v>
      </c>
      <c r="Q48" s="1" t="s">
        <v>144</v>
      </c>
    </row>
    <row r="49" spans="1:17" x14ac:dyDescent="0.2">
      <c r="A49" s="1" t="s">
        <v>136</v>
      </c>
      <c r="B49">
        <v>48</v>
      </c>
      <c r="C49" s="1" t="s">
        <v>28</v>
      </c>
      <c r="D49" s="1" t="s">
        <v>81</v>
      </c>
      <c r="E49" s="1" t="s">
        <v>357</v>
      </c>
      <c r="F49" s="1" t="s">
        <v>358</v>
      </c>
      <c r="G49">
        <v>2</v>
      </c>
      <c r="H49">
        <v>9</v>
      </c>
      <c r="I49" s="1" t="s">
        <v>151</v>
      </c>
      <c r="J49" s="1" t="s">
        <v>152</v>
      </c>
      <c r="K49" s="1" t="s">
        <v>139</v>
      </c>
      <c r="L49" s="1" t="s">
        <v>140</v>
      </c>
      <c r="M49" s="1" t="s">
        <v>153</v>
      </c>
      <c r="N49" s="1" t="s">
        <v>142</v>
      </c>
      <c r="O49" s="1" t="s">
        <v>150</v>
      </c>
      <c r="P49">
        <v>-300</v>
      </c>
      <c r="Q49" s="1" t="s">
        <v>144</v>
      </c>
    </row>
    <row r="50" spans="1:17" x14ac:dyDescent="0.2">
      <c r="A50" s="1" t="s">
        <v>155</v>
      </c>
      <c r="B50">
        <v>49</v>
      </c>
      <c r="C50" s="1" t="s">
        <v>28</v>
      </c>
      <c r="D50" s="1" t="s">
        <v>81</v>
      </c>
      <c r="E50" s="1" t="s">
        <v>357</v>
      </c>
      <c r="F50" s="1" t="s">
        <v>358</v>
      </c>
      <c r="G50">
        <v>2</v>
      </c>
      <c r="H50">
        <v>9</v>
      </c>
      <c r="I50" s="1" t="s">
        <v>151</v>
      </c>
      <c r="J50" s="1" t="s">
        <v>152</v>
      </c>
      <c r="K50" s="1" t="s">
        <v>139</v>
      </c>
      <c r="L50" s="1" t="s">
        <v>140</v>
      </c>
      <c r="M50" s="1" t="s">
        <v>153</v>
      </c>
      <c r="N50" s="1" t="s">
        <v>142</v>
      </c>
      <c r="O50" s="1" t="s">
        <v>143</v>
      </c>
      <c r="P50">
        <v>7873.92</v>
      </c>
      <c r="Q50" s="1" t="s">
        <v>144</v>
      </c>
    </row>
    <row r="51" spans="1:17" x14ac:dyDescent="0.2">
      <c r="A51" s="1" t="s">
        <v>157</v>
      </c>
      <c r="B51">
        <v>50</v>
      </c>
      <c r="C51" s="1" t="s">
        <v>28</v>
      </c>
      <c r="D51" s="1" t="s">
        <v>81</v>
      </c>
      <c r="E51" s="1" t="s">
        <v>357</v>
      </c>
      <c r="F51" s="1" t="s">
        <v>358</v>
      </c>
      <c r="G51">
        <v>2</v>
      </c>
      <c r="H51">
        <v>9</v>
      </c>
      <c r="I51" s="1" t="s">
        <v>281</v>
      </c>
      <c r="J51" s="1" t="s">
        <v>282</v>
      </c>
      <c r="K51" s="1" t="s">
        <v>139</v>
      </c>
      <c r="L51" s="1" t="s">
        <v>140</v>
      </c>
      <c r="M51" s="1" t="s">
        <v>153</v>
      </c>
      <c r="N51" s="1" t="s">
        <v>142</v>
      </c>
      <c r="O51" s="1" t="s">
        <v>150</v>
      </c>
      <c r="P51">
        <v>-7873.92</v>
      </c>
      <c r="Q51" s="1" t="s">
        <v>144</v>
      </c>
    </row>
    <row r="52" spans="1:17" x14ac:dyDescent="0.2">
      <c r="A52" s="1" t="s">
        <v>158</v>
      </c>
      <c r="B52">
        <v>51</v>
      </c>
      <c r="C52" s="1" t="s">
        <v>28</v>
      </c>
      <c r="D52" s="1" t="s">
        <v>81</v>
      </c>
      <c r="E52" s="1" t="s">
        <v>357</v>
      </c>
      <c r="F52" s="1" t="s">
        <v>358</v>
      </c>
      <c r="G52">
        <v>2</v>
      </c>
      <c r="H52">
        <v>9</v>
      </c>
      <c r="I52" s="1" t="s">
        <v>281</v>
      </c>
      <c r="J52" s="1" t="s">
        <v>282</v>
      </c>
      <c r="K52" s="1" t="s">
        <v>139</v>
      </c>
      <c r="L52" s="1" t="s">
        <v>140</v>
      </c>
      <c r="M52" s="1" t="s">
        <v>153</v>
      </c>
      <c r="N52" s="1" t="s">
        <v>142</v>
      </c>
      <c r="O52" s="1" t="s">
        <v>143</v>
      </c>
      <c r="P52">
        <v>13593.6</v>
      </c>
      <c r="Q52" s="1" t="s">
        <v>144</v>
      </c>
    </row>
    <row r="53" spans="1:17" x14ac:dyDescent="0.2">
      <c r="A53" s="1" t="s">
        <v>159</v>
      </c>
      <c r="B53">
        <v>52</v>
      </c>
      <c r="C53" s="1" t="s">
        <v>28</v>
      </c>
      <c r="D53" s="1" t="s">
        <v>81</v>
      </c>
      <c r="E53" s="1" t="s">
        <v>357</v>
      </c>
      <c r="F53" s="1" t="s">
        <v>358</v>
      </c>
      <c r="G53">
        <v>2</v>
      </c>
      <c r="H53">
        <v>9</v>
      </c>
      <c r="I53" s="1" t="s">
        <v>283</v>
      </c>
      <c r="J53" s="1" t="s">
        <v>284</v>
      </c>
      <c r="K53" s="1" t="s">
        <v>244</v>
      </c>
      <c r="L53" s="1" t="s">
        <v>285</v>
      </c>
      <c r="M53" s="1" t="s">
        <v>142</v>
      </c>
      <c r="N53" s="1" t="s">
        <v>142</v>
      </c>
      <c r="O53" s="1" t="s">
        <v>143</v>
      </c>
      <c r="P53">
        <v>11076.66</v>
      </c>
      <c r="Q53" s="1" t="s">
        <v>144</v>
      </c>
    </row>
    <row r="54" spans="1:17" x14ac:dyDescent="0.2">
      <c r="A54" s="1" t="s">
        <v>160</v>
      </c>
      <c r="B54">
        <v>53</v>
      </c>
      <c r="C54" s="1" t="s">
        <v>28</v>
      </c>
      <c r="D54" s="1" t="s">
        <v>81</v>
      </c>
      <c r="E54" s="1" t="s">
        <v>357</v>
      </c>
      <c r="F54" s="1" t="s">
        <v>358</v>
      </c>
      <c r="G54">
        <v>2</v>
      </c>
      <c r="H54">
        <v>9</v>
      </c>
      <c r="I54" s="1" t="s">
        <v>242</v>
      </c>
      <c r="J54" s="1" t="s">
        <v>243</v>
      </c>
      <c r="K54" s="1" t="s">
        <v>244</v>
      </c>
      <c r="L54" s="1" t="s">
        <v>245</v>
      </c>
      <c r="M54" s="1" t="s">
        <v>142</v>
      </c>
      <c r="N54" s="1" t="s">
        <v>142</v>
      </c>
      <c r="O54" s="1" t="s">
        <v>143</v>
      </c>
      <c r="P54">
        <v>300</v>
      </c>
      <c r="Q54" s="1" t="s">
        <v>144</v>
      </c>
    </row>
    <row r="55" spans="1:17" x14ac:dyDescent="0.2">
      <c r="A55" s="1" t="s">
        <v>161</v>
      </c>
      <c r="B55">
        <v>54</v>
      </c>
      <c r="C55" s="1" t="s">
        <v>28</v>
      </c>
      <c r="D55" s="1" t="s">
        <v>81</v>
      </c>
      <c r="E55" s="1" t="s">
        <v>357</v>
      </c>
      <c r="F55" s="1" t="s">
        <v>358</v>
      </c>
      <c r="G55">
        <v>2</v>
      </c>
      <c r="H55">
        <v>9</v>
      </c>
      <c r="I55" s="1" t="s">
        <v>240</v>
      </c>
      <c r="J55" s="1" t="s">
        <v>241</v>
      </c>
      <c r="K55" s="1" t="s">
        <v>139</v>
      </c>
      <c r="L55" s="1" t="s">
        <v>140</v>
      </c>
      <c r="M55" s="1" t="s">
        <v>153</v>
      </c>
      <c r="N55" s="1" t="s">
        <v>142</v>
      </c>
      <c r="O55" s="1" t="s">
        <v>150</v>
      </c>
      <c r="P55">
        <v>-11076.66</v>
      </c>
      <c r="Q55" s="1" t="s">
        <v>144</v>
      </c>
    </row>
    <row r="56" spans="1:17" x14ac:dyDescent="0.2">
      <c r="A56" s="1" t="s">
        <v>162</v>
      </c>
      <c r="B56">
        <v>55</v>
      </c>
      <c r="C56" s="1" t="s">
        <v>28</v>
      </c>
      <c r="D56" s="1" t="s">
        <v>81</v>
      </c>
      <c r="E56" s="1" t="s">
        <v>357</v>
      </c>
      <c r="F56" s="1" t="s">
        <v>358</v>
      </c>
      <c r="G56">
        <v>2</v>
      </c>
      <c r="H56">
        <v>9</v>
      </c>
      <c r="I56" s="1" t="s">
        <v>286</v>
      </c>
      <c r="J56" s="1" t="s">
        <v>287</v>
      </c>
      <c r="K56" s="1" t="s">
        <v>244</v>
      </c>
      <c r="L56" s="1" t="s">
        <v>288</v>
      </c>
      <c r="M56" s="1" t="s">
        <v>142</v>
      </c>
      <c r="N56" s="1" t="s">
        <v>142</v>
      </c>
      <c r="O56" s="1" t="s">
        <v>150</v>
      </c>
      <c r="P56">
        <v>-13593.6</v>
      </c>
      <c r="Q56" s="1" t="s">
        <v>144</v>
      </c>
    </row>
    <row r="57" spans="1:17" x14ac:dyDescent="0.2">
      <c r="A57" s="1" t="s">
        <v>163</v>
      </c>
      <c r="B57">
        <v>56</v>
      </c>
      <c r="C57" s="1" t="s">
        <v>28</v>
      </c>
      <c r="D57" s="1" t="s">
        <v>81</v>
      </c>
      <c r="E57" s="1" t="s">
        <v>387</v>
      </c>
      <c r="F57" s="1" t="s">
        <v>388</v>
      </c>
      <c r="G57">
        <v>2</v>
      </c>
      <c r="H57">
        <v>10</v>
      </c>
      <c r="I57" s="1" t="s">
        <v>151</v>
      </c>
      <c r="J57" s="1" t="s">
        <v>152</v>
      </c>
      <c r="K57" s="1" t="s">
        <v>139</v>
      </c>
      <c r="L57" s="1" t="s">
        <v>140</v>
      </c>
      <c r="M57" s="1" t="s">
        <v>153</v>
      </c>
      <c r="N57" s="1" t="s">
        <v>142</v>
      </c>
      <c r="O57" s="1" t="s">
        <v>150</v>
      </c>
      <c r="P57">
        <v>-300</v>
      </c>
      <c r="Q57" s="1" t="s">
        <v>144</v>
      </c>
    </row>
    <row r="58" spans="1:17" x14ac:dyDescent="0.2">
      <c r="A58" s="1" t="s">
        <v>164</v>
      </c>
      <c r="B58">
        <v>57</v>
      </c>
      <c r="C58" s="1" t="s">
        <v>28</v>
      </c>
      <c r="D58" s="1" t="s">
        <v>81</v>
      </c>
      <c r="E58" s="1" t="s">
        <v>387</v>
      </c>
      <c r="F58" s="1" t="s">
        <v>388</v>
      </c>
      <c r="G58">
        <v>2</v>
      </c>
      <c r="H58">
        <v>10</v>
      </c>
      <c r="I58" s="1" t="s">
        <v>151</v>
      </c>
      <c r="J58" s="1" t="s">
        <v>152</v>
      </c>
      <c r="K58" s="1" t="s">
        <v>139</v>
      </c>
      <c r="L58" s="1" t="s">
        <v>140</v>
      </c>
      <c r="M58" s="1" t="s">
        <v>153</v>
      </c>
      <c r="N58" s="1" t="s">
        <v>142</v>
      </c>
      <c r="O58" s="1" t="s">
        <v>143</v>
      </c>
      <c r="P58">
        <v>7222.44</v>
      </c>
      <c r="Q58" s="1" t="s">
        <v>144</v>
      </c>
    </row>
    <row r="59" spans="1:17" x14ac:dyDescent="0.2">
      <c r="A59" s="1" t="s">
        <v>165</v>
      </c>
      <c r="B59">
        <v>58</v>
      </c>
      <c r="C59" s="1" t="s">
        <v>28</v>
      </c>
      <c r="D59" s="1" t="s">
        <v>81</v>
      </c>
      <c r="E59" s="1" t="s">
        <v>387</v>
      </c>
      <c r="F59" s="1" t="s">
        <v>388</v>
      </c>
      <c r="G59">
        <v>2</v>
      </c>
      <c r="H59">
        <v>10</v>
      </c>
      <c r="I59" s="1" t="s">
        <v>281</v>
      </c>
      <c r="J59" s="1" t="s">
        <v>282</v>
      </c>
      <c r="K59" s="1" t="s">
        <v>139</v>
      </c>
      <c r="L59" s="1" t="s">
        <v>140</v>
      </c>
      <c r="M59" s="1" t="s">
        <v>153</v>
      </c>
      <c r="N59" s="1" t="s">
        <v>142</v>
      </c>
      <c r="O59" s="1" t="s">
        <v>150</v>
      </c>
      <c r="P59">
        <v>-7222.44</v>
      </c>
      <c r="Q59" s="1" t="s">
        <v>144</v>
      </c>
    </row>
    <row r="60" spans="1:17" x14ac:dyDescent="0.2">
      <c r="A60" s="1" t="s">
        <v>166</v>
      </c>
      <c r="B60">
        <v>59</v>
      </c>
      <c r="C60" s="1" t="s">
        <v>28</v>
      </c>
      <c r="D60" s="1" t="s">
        <v>81</v>
      </c>
      <c r="E60" s="1" t="s">
        <v>387</v>
      </c>
      <c r="F60" s="1" t="s">
        <v>388</v>
      </c>
      <c r="G60">
        <v>2</v>
      </c>
      <c r="H60">
        <v>10</v>
      </c>
      <c r="I60" s="1" t="s">
        <v>281</v>
      </c>
      <c r="J60" s="1" t="s">
        <v>282</v>
      </c>
      <c r="K60" s="1" t="s">
        <v>139</v>
      </c>
      <c r="L60" s="1" t="s">
        <v>140</v>
      </c>
      <c r="M60" s="1" t="s">
        <v>153</v>
      </c>
      <c r="N60" s="1" t="s">
        <v>142</v>
      </c>
      <c r="O60" s="1" t="s">
        <v>143</v>
      </c>
      <c r="P60">
        <v>2047.38</v>
      </c>
      <c r="Q60" s="1" t="s">
        <v>144</v>
      </c>
    </row>
    <row r="61" spans="1:17" x14ac:dyDescent="0.2">
      <c r="A61" s="1" t="s">
        <v>167</v>
      </c>
      <c r="B61">
        <v>60</v>
      </c>
      <c r="C61" s="1" t="s">
        <v>28</v>
      </c>
      <c r="D61" s="1" t="s">
        <v>81</v>
      </c>
      <c r="E61" s="1" t="s">
        <v>387</v>
      </c>
      <c r="F61" s="1" t="s">
        <v>388</v>
      </c>
      <c r="G61">
        <v>2</v>
      </c>
      <c r="H61">
        <v>10</v>
      </c>
      <c r="I61" s="1" t="s">
        <v>283</v>
      </c>
      <c r="J61" s="1" t="s">
        <v>284</v>
      </c>
      <c r="K61" s="1" t="s">
        <v>244</v>
      </c>
      <c r="L61" s="1" t="s">
        <v>285</v>
      </c>
      <c r="M61" s="1" t="s">
        <v>142</v>
      </c>
      <c r="N61" s="1" t="s">
        <v>142</v>
      </c>
      <c r="O61" s="1" t="s">
        <v>143</v>
      </c>
      <c r="P61">
        <v>1751.31</v>
      </c>
      <c r="Q61" s="1" t="s">
        <v>144</v>
      </c>
    </row>
    <row r="62" spans="1:17" x14ac:dyDescent="0.2">
      <c r="A62" s="1" t="s">
        <v>168</v>
      </c>
      <c r="B62">
        <v>61</v>
      </c>
      <c r="C62" s="1" t="s">
        <v>28</v>
      </c>
      <c r="D62" s="1" t="s">
        <v>81</v>
      </c>
      <c r="E62" s="1" t="s">
        <v>387</v>
      </c>
      <c r="F62" s="1" t="s">
        <v>388</v>
      </c>
      <c r="G62">
        <v>2</v>
      </c>
      <c r="H62">
        <v>10</v>
      </c>
      <c r="I62" s="1" t="s">
        <v>242</v>
      </c>
      <c r="J62" s="1" t="s">
        <v>243</v>
      </c>
      <c r="K62" s="1" t="s">
        <v>244</v>
      </c>
      <c r="L62" s="1" t="s">
        <v>245</v>
      </c>
      <c r="M62" s="1" t="s">
        <v>142</v>
      </c>
      <c r="N62" s="1" t="s">
        <v>142</v>
      </c>
      <c r="O62" s="1" t="s">
        <v>143</v>
      </c>
      <c r="P62">
        <v>300</v>
      </c>
      <c r="Q62" s="1" t="s">
        <v>144</v>
      </c>
    </row>
    <row r="63" spans="1:17" x14ac:dyDescent="0.2">
      <c r="A63" s="1" t="s">
        <v>169</v>
      </c>
      <c r="B63">
        <v>62</v>
      </c>
      <c r="C63" s="1" t="s">
        <v>28</v>
      </c>
      <c r="D63" s="1" t="s">
        <v>81</v>
      </c>
      <c r="E63" s="1" t="s">
        <v>387</v>
      </c>
      <c r="F63" s="1" t="s">
        <v>388</v>
      </c>
      <c r="G63">
        <v>2</v>
      </c>
      <c r="H63">
        <v>10</v>
      </c>
      <c r="I63" s="1" t="s">
        <v>240</v>
      </c>
      <c r="J63" s="1" t="s">
        <v>241</v>
      </c>
      <c r="K63" s="1" t="s">
        <v>139</v>
      </c>
      <c r="L63" s="1" t="s">
        <v>140</v>
      </c>
      <c r="M63" s="1" t="s">
        <v>153</v>
      </c>
      <c r="N63" s="1" t="s">
        <v>142</v>
      </c>
      <c r="O63" s="1" t="s">
        <v>150</v>
      </c>
      <c r="P63">
        <v>-1751.31</v>
      </c>
      <c r="Q63" s="1" t="s">
        <v>144</v>
      </c>
    </row>
    <row r="64" spans="1:17" x14ac:dyDescent="0.2">
      <c r="A64" s="1" t="s">
        <v>170</v>
      </c>
      <c r="B64">
        <v>63</v>
      </c>
      <c r="C64" s="1" t="s">
        <v>28</v>
      </c>
      <c r="D64" s="1" t="s">
        <v>81</v>
      </c>
      <c r="E64" s="1" t="s">
        <v>387</v>
      </c>
      <c r="F64" s="1" t="s">
        <v>388</v>
      </c>
      <c r="G64">
        <v>2</v>
      </c>
      <c r="H64">
        <v>10</v>
      </c>
      <c r="I64" s="1" t="s">
        <v>286</v>
      </c>
      <c r="J64" s="1" t="s">
        <v>287</v>
      </c>
      <c r="K64" s="1" t="s">
        <v>244</v>
      </c>
      <c r="L64" s="1" t="s">
        <v>288</v>
      </c>
      <c r="M64" s="1" t="s">
        <v>142</v>
      </c>
      <c r="N64" s="1" t="s">
        <v>142</v>
      </c>
      <c r="O64" s="1" t="s">
        <v>150</v>
      </c>
      <c r="P64">
        <v>-2047.38</v>
      </c>
      <c r="Q64" s="1" t="s">
        <v>144</v>
      </c>
    </row>
    <row r="65" spans="1:17" x14ac:dyDescent="0.2">
      <c r="A65" s="1" t="s">
        <v>171</v>
      </c>
      <c r="B65">
        <v>64</v>
      </c>
      <c r="C65" s="1" t="s">
        <v>28</v>
      </c>
      <c r="D65" s="1" t="s">
        <v>112</v>
      </c>
      <c r="E65" s="1" t="s">
        <v>81</v>
      </c>
      <c r="F65" s="1" t="s">
        <v>414</v>
      </c>
      <c r="G65">
        <v>3</v>
      </c>
      <c r="H65">
        <v>11</v>
      </c>
      <c r="I65" s="1" t="s">
        <v>151</v>
      </c>
      <c r="J65" s="1" t="s">
        <v>152</v>
      </c>
      <c r="K65" s="1" t="s">
        <v>139</v>
      </c>
      <c r="L65" s="1" t="s">
        <v>140</v>
      </c>
      <c r="M65" s="1" t="s">
        <v>153</v>
      </c>
      <c r="N65" s="1" t="s">
        <v>142</v>
      </c>
      <c r="O65" s="1" t="s">
        <v>150</v>
      </c>
      <c r="P65">
        <v>-1606.58</v>
      </c>
      <c r="Q65" s="1" t="s">
        <v>144</v>
      </c>
    </row>
    <row r="66" spans="1:17" x14ac:dyDescent="0.2">
      <c r="A66" s="1" t="s">
        <v>172</v>
      </c>
      <c r="B66">
        <v>65</v>
      </c>
      <c r="C66" s="1" t="s">
        <v>28</v>
      </c>
      <c r="D66" s="1" t="s">
        <v>112</v>
      </c>
      <c r="E66" s="1" t="s">
        <v>81</v>
      </c>
      <c r="F66" s="1" t="s">
        <v>414</v>
      </c>
      <c r="G66">
        <v>3</v>
      </c>
      <c r="H66">
        <v>11</v>
      </c>
      <c r="I66" s="1" t="s">
        <v>151</v>
      </c>
      <c r="J66" s="1" t="s">
        <v>152</v>
      </c>
      <c r="K66" s="1" t="s">
        <v>139</v>
      </c>
      <c r="L66" s="1" t="s">
        <v>140</v>
      </c>
      <c r="M66" s="1" t="s">
        <v>153</v>
      </c>
      <c r="N66" s="1" t="s">
        <v>142</v>
      </c>
      <c r="O66" s="1" t="s">
        <v>143</v>
      </c>
      <c r="P66">
        <v>9611.23</v>
      </c>
      <c r="Q66" s="1" t="s">
        <v>144</v>
      </c>
    </row>
    <row r="67" spans="1:17" x14ac:dyDescent="0.2">
      <c r="A67" s="1" t="s">
        <v>173</v>
      </c>
      <c r="B67">
        <v>66</v>
      </c>
      <c r="C67" s="1" t="s">
        <v>28</v>
      </c>
      <c r="D67" s="1" t="s">
        <v>112</v>
      </c>
      <c r="E67" s="1" t="s">
        <v>81</v>
      </c>
      <c r="F67" s="1" t="s">
        <v>414</v>
      </c>
      <c r="G67">
        <v>3</v>
      </c>
      <c r="H67">
        <v>11</v>
      </c>
      <c r="I67" s="1" t="s">
        <v>281</v>
      </c>
      <c r="J67" s="1" t="s">
        <v>282</v>
      </c>
      <c r="K67" s="1" t="s">
        <v>139</v>
      </c>
      <c r="L67" s="1" t="s">
        <v>140</v>
      </c>
      <c r="M67" s="1" t="s">
        <v>153</v>
      </c>
      <c r="N67" s="1" t="s">
        <v>142</v>
      </c>
      <c r="O67" s="1" t="s">
        <v>150</v>
      </c>
      <c r="P67">
        <v>-9611.23</v>
      </c>
      <c r="Q67" s="1" t="s">
        <v>144</v>
      </c>
    </row>
    <row r="68" spans="1:17" x14ac:dyDescent="0.2">
      <c r="A68" s="1" t="s">
        <v>174</v>
      </c>
      <c r="B68">
        <v>67</v>
      </c>
      <c r="C68" s="1" t="s">
        <v>28</v>
      </c>
      <c r="D68" s="1" t="s">
        <v>112</v>
      </c>
      <c r="E68" s="1" t="s">
        <v>81</v>
      </c>
      <c r="F68" s="1" t="s">
        <v>414</v>
      </c>
      <c r="G68">
        <v>3</v>
      </c>
      <c r="H68">
        <v>11</v>
      </c>
      <c r="I68" s="1" t="s">
        <v>281</v>
      </c>
      <c r="J68" s="1" t="s">
        <v>282</v>
      </c>
      <c r="K68" s="1" t="s">
        <v>139</v>
      </c>
      <c r="L68" s="1" t="s">
        <v>140</v>
      </c>
      <c r="M68" s="1" t="s">
        <v>153</v>
      </c>
      <c r="N68" s="1" t="s">
        <v>142</v>
      </c>
      <c r="O68" s="1" t="s">
        <v>143</v>
      </c>
      <c r="P68">
        <v>8843.18</v>
      </c>
      <c r="Q68" s="1" t="s">
        <v>144</v>
      </c>
    </row>
    <row r="69" spans="1:17" x14ac:dyDescent="0.2">
      <c r="A69" s="1" t="s">
        <v>175</v>
      </c>
      <c r="B69">
        <v>68</v>
      </c>
      <c r="C69" s="1" t="s">
        <v>28</v>
      </c>
      <c r="D69" s="1" t="s">
        <v>112</v>
      </c>
      <c r="E69" s="1" t="s">
        <v>81</v>
      </c>
      <c r="F69" s="1" t="s">
        <v>414</v>
      </c>
      <c r="G69">
        <v>3</v>
      </c>
      <c r="H69">
        <v>11</v>
      </c>
      <c r="I69" s="1" t="s">
        <v>232</v>
      </c>
      <c r="J69" s="1" t="s">
        <v>233</v>
      </c>
      <c r="K69" s="1" t="s">
        <v>139</v>
      </c>
      <c r="L69" s="1" t="s">
        <v>147</v>
      </c>
      <c r="M69" s="1" t="s">
        <v>234</v>
      </c>
      <c r="N69" s="1" t="s">
        <v>235</v>
      </c>
      <c r="O69" s="1" t="s">
        <v>143</v>
      </c>
      <c r="P69">
        <v>1306.58</v>
      </c>
      <c r="Q69" s="1" t="s">
        <v>144</v>
      </c>
    </row>
    <row r="70" spans="1:17" x14ac:dyDescent="0.2">
      <c r="A70" s="1" t="s">
        <v>176</v>
      </c>
      <c r="B70">
        <v>69</v>
      </c>
      <c r="C70" s="1" t="s">
        <v>28</v>
      </c>
      <c r="D70" s="1" t="s">
        <v>112</v>
      </c>
      <c r="E70" s="1" t="s">
        <v>81</v>
      </c>
      <c r="F70" s="1" t="s">
        <v>414</v>
      </c>
      <c r="G70">
        <v>3</v>
      </c>
      <c r="H70">
        <v>11</v>
      </c>
      <c r="I70" s="1" t="s">
        <v>283</v>
      </c>
      <c r="J70" s="1" t="s">
        <v>284</v>
      </c>
      <c r="K70" s="1" t="s">
        <v>244</v>
      </c>
      <c r="L70" s="1" t="s">
        <v>285</v>
      </c>
      <c r="M70" s="1" t="s">
        <v>142</v>
      </c>
      <c r="N70" s="1" t="s">
        <v>142</v>
      </c>
      <c r="O70" s="1" t="s">
        <v>143</v>
      </c>
      <c r="P70">
        <v>7237.94</v>
      </c>
      <c r="Q70" s="1" t="s">
        <v>144</v>
      </c>
    </row>
    <row r="71" spans="1:17" x14ac:dyDescent="0.2">
      <c r="A71" s="1" t="s">
        <v>177</v>
      </c>
      <c r="B71">
        <v>70</v>
      </c>
      <c r="C71" s="1" t="s">
        <v>28</v>
      </c>
      <c r="D71" s="1" t="s">
        <v>112</v>
      </c>
      <c r="E71" s="1" t="s">
        <v>81</v>
      </c>
      <c r="F71" s="1" t="s">
        <v>414</v>
      </c>
      <c r="G71">
        <v>3</v>
      </c>
      <c r="H71">
        <v>11</v>
      </c>
      <c r="I71" s="1" t="s">
        <v>242</v>
      </c>
      <c r="J71" s="1" t="s">
        <v>243</v>
      </c>
      <c r="K71" s="1" t="s">
        <v>244</v>
      </c>
      <c r="L71" s="1" t="s">
        <v>245</v>
      </c>
      <c r="M71" s="1" t="s">
        <v>142</v>
      </c>
      <c r="N71" s="1" t="s">
        <v>142</v>
      </c>
      <c r="O71" s="1" t="s">
        <v>143</v>
      </c>
      <c r="P71">
        <v>300</v>
      </c>
      <c r="Q71" s="1" t="s">
        <v>144</v>
      </c>
    </row>
    <row r="72" spans="1:17" x14ac:dyDescent="0.2">
      <c r="A72" s="1" t="s">
        <v>178</v>
      </c>
      <c r="B72">
        <v>71</v>
      </c>
      <c r="C72" s="1" t="s">
        <v>28</v>
      </c>
      <c r="D72" s="1" t="s">
        <v>112</v>
      </c>
      <c r="E72" s="1" t="s">
        <v>81</v>
      </c>
      <c r="F72" s="1" t="s">
        <v>414</v>
      </c>
      <c r="G72">
        <v>3</v>
      </c>
      <c r="H72">
        <v>11</v>
      </c>
      <c r="I72" s="1" t="s">
        <v>240</v>
      </c>
      <c r="J72" s="1" t="s">
        <v>241</v>
      </c>
      <c r="K72" s="1" t="s">
        <v>139</v>
      </c>
      <c r="L72" s="1" t="s">
        <v>140</v>
      </c>
      <c r="M72" s="1" t="s">
        <v>153</v>
      </c>
      <c r="N72" s="1" t="s">
        <v>142</v>
      </c>
      <c r="O72" s="1" t="s">
        <v>150</v>
      </c>
      <c r="P72">
        <v>-7237.94</v>
      </c>
      <c r="Q72" s="1" t="s">
        <v>144</v>
      </c>
    </row>
    <row r="73" spans="1:17" x14ac:dyDescent="0.2">
      <c r="A73" s="1" t="s">
        <v>179</v>
      </c>
      <c r="B73">
        <v>72</v>
      </c>
      <c r="C73" s="1" t="s">
        <v>28</v>
      </c>
      <c r="D73" s="1" t="s">
        <v>112</v>
      </c>
      <c r="E73" s="1" t="s">
        <v>81</v>
      </c>
      <c r="F73" s="1" t="s">
        <v>414</v>
      </c>
      <c r="G73">
        <v>3</v>
      </c>
      <c r="H73">
        <v>11</v>
      </c>
      <c r="I73" s="1" t="s">
        <v>286</v>
      </c>
      <c r="J73" s="1" t="s">
        <v>287</v>
      </c>
      <c r="K73" s="1" t="s">
        <v>244</v>
      </c>
      <c r="L73" s="1" t="s">
        <v>288</v>
      </c>
      <c r="M73" s="1" t="s">
        <v>142</v>
      </c>
      <c r="N73" s="1" t="s">
        <v>142</v>
      </c>
      <c r="O73" s="1" t="s">
        <v>150</v>
      </c>
      <c r="P73">
        <v>-8843.18</v>
      </c>
      <c r="Q73" s="1" t="s">
        <v>144</v>
      </c>
    </row>
    <row r="74" spans="1:17" x14ac:dyDescent="0.2">
      <c r="A74" s="1" t="s">
        <v>180</v>
      </c>
      <c r="B74">
        <v>73</v>
      </c>
      <c r="C74" s="1" t="s">
        <v>28</v>
      </c>
      <c r="D74" s="1" t="s">
        <v>112</v>
      </c>
      <c r="E74" s="1" t="s">
        <v>112</v>
      </c>
      <c r="F74" s="1" t="s">
        <v>444</v>
      </c>
      <c r="G74">
        <v>3</v>
      </c>
      <c r="H74">
        <v>12</v>
      </c>
      <c r="I74" s="1" t="s">
        <v>151</v>
      </c>
      <c r="J74" s="1" t="s">
        <v>152</v>
      </c>
      <c r="K74" s="1" t="s">
        <v>139</v>
      </c>
      <c r="L74" s="1" t="s">
        <v>140</v>
      </c>
      <c r="M74" s="1" t="s">
        <v>153</v>
      </c>
      <c r="N74" s="1" t="s">
        <v>142</v>
      </c>
      <c r="O74" s="1" t="s">
        <v>150</v>
      </c>
      <c r="P74">
        <v>-7482.25</v>
      </c>
      <c r="Q74" s="1" t="s">
        <v>144</v>
      </c>
    </row>
    <row r="75" spans="1:17" x14ac:dyDescent="0.2">
      <c r="A75" s="1" t="s">
        <v>183</v>
      </c>
      <c r="B75">
        <v>74</v>
      </c>
      <c r="C75" s="1" t="s">
        <v>28</v>
      </c>
      <c r="D75" s="1" t="s">
        <v>112</v>
      </c>
      <c r="E75" s="1" t="s">
        <v>112</v>
      </c>
      <c r="F75" s="1" t="s">
        <v>444</v>
      </c>
      <c r="G75">
        <v>3</v>
      </c>
      <c r="H75">
        <v>12</v>
      </c>
      <c r="I75" s="1" t="s">
        <v>151</v>
      </c>
      <c r="J75" s="1" t="s">
        <v>152</v>
      </c>
      <c r="K75" s="1" t="s">
        <v>139</v>
      </c>
      <c r="L75" s="1" t="s">
        <v>140</v>
      </c>
      <c r="M75" s="1" t="s">
        <v>153</v>
      </c>
      <c r="N75" s="1" t="s">
        <v>142</v>
      </c>
      <c r="O75" s="1" t="s">
        <v>143</v>
      </c>
      <c r="P75">
        <v>13493.44</v>
      </c>
      <c r="Q75" s="1" t="s">
        <v>144</v>
      </c>
    </row>
    <row r="76" spans="1:17" x14ac:dyDescent="0.2">
      <c r="A76" s="1" t="s">
        <v>184</v>
      </c>
      <c r="B76">
        <v>75</v>
      </c>
      <c r="C76" s="1" t="s">
        <v>28</v>
      </c>
      <c r="D76" s="1" t="s">
        <v>112</v>
      </c>
      <c r="E76" s="1" t="s">
        <v>112</v>
      </c>
      <c r="F76" s="1" t="s">
        <v>444</v>
      </c>
      <c r="G76">
        <v>3</v>
      </c>
      <c r="H76">
        <v>12</v>
      </c>
      <c r="I76" s="1" t="s">
        <v>281</v>
      </c>
      <c r="J76" s="1" t="s">
        <v>282</v>
      </c>
      <c r="K76" s="1" t="s">
        <v>139</v>
      </c>
      <c r="L76" s="1" t="s">
        <v>140</v>
      </c>
      <c r="M76" s="1" t="s">
        <v>153</v>
      </c>
      <c r="N76" s="1" t="s">
        <v>142</v>
      </c>
      <c r="O76" s="1" t="s">
        <v>150</v>
      </c>
      <c r="P76">
        <v>-13493.44</v>
      </c>
      <c r="Q76" s="1" t="s">
        <v>144</v>
      </c>
    </row>
    <row r="77" spans="1:17" x14ac:dyDescent="0.2">
      <c r="A77" s="1" t="s">
        <v>185</v>
      </c>
      <c r="B77">
        <v>76</v>
      </c>
      <c r="C77" s="1" t="s">
        <v>28</v>
      </c>
      <c r="D77" s="1" t="s">
        <v>112</v>
      </c>
      <c r="E77" s="1" t="s">
        <v>112</v>
      </c>
      <c r="F77" s="1" t="s">
        <v>444</v>
      </c>
      <c r="G77">
        <v>3</v>
      </c>
      <c r="H77">
        <v>12</v>
      </c>
      <c r="I77" s="1" t="s">
        <v>281</v>
      </c>
      <c r="J77" s="1" t="s">
        <v>282</v>
      </c>
      <c r="K77" s="1" t="s">
        <v>139</v>
      </c>
      <c r="L77" s="1" t="s">
        <v>140</v>
      </c>
      <c r="M77" s="1" t="s">
        <v>153</v>
      </c>
      <c r="N77" s="1" t="s">
        <v>142</v>
      </c>
      <c r="O77" s="1" t="s">
        <v>143</v>
      </c>
      <c r="P77">
        <v>7538.67</v>
      </c>
      <c r="Q77" s="1" t="s">
        <v>144</v>
      </c>
    </row>
    <row r="78" spans="1:17" x14ac:dyDescent="0.2">
      <c r="A78" s="1" t="s">
        <v>186</v>
      </c>
      <c r="B78">
        <v>77</v>
      </c>
      <c r="C78" s="1" t="s">
        <v>28</v>
      </c>
      <c r="D78" s="1" t="s">
        <v>112</v>
      </c>
      <c r="E78" s="1" t="s">
        <v>112</v>
      </c>
      <c r="F78" s="1" t="s">
        <v>444</v>
      </c>
      <c r="G78">
        <v>3</v>
      </c>
      <c r="H78">
        <v>12</v>
      </c>
      <c r="I78" s="1" t="s">
        <v>232</v>
      </c>
      <c r="J78" s="1" t="s">
        <v>233</v>
      </c>
      <c r="K78" s="1" t="s">
        <v>139</v>
      </c>
      <c r="L78" s="1" t="s">
        <v>147</v>
      </c>
      <c r="M78" s="1" t="s">
        <v>234</v>
      </c>
      <c r="N78" s="1" t="s">
        <v>235</v>
      </c>
      <c r="O78" s="1" t="s">
        <v>150</v>
      </c>
      <c r="P78">
        <v>-37555.43</v>
      </c>
      <c r="Q78" s="1" t="s">
        <v>144</v>
      </c>
    </row>
    <row r="79" spans="1:17" x14ac:dyDescent="0.2">
      <c r="A79" s="1" t="s">
        <v>187</v>
      </c>
      <c r="B79">
        <v>78</v>
      </c>
      <c r="C79" s="1" t="s">
        <v>28</v>
      </c>
      <c r="D79" s="1" t="s">
        <v>112</v>
      </c>
      <c r="E79" s="1" t="s">
        <v>112</v>
      </c>
      <c r="F79" s="1" t="s">
        <v>444</v>
      </c>
      <c r="G79">
        <v>3</v>
      </c>
      <c r="H79">
        <v>12</v>
      </c>
      <c r="I79" s="1" t="s">
        <v>232</v>
      </c>
      <c r="J79" s="1" t="s">
        <v>233</v>
      </c>
      <c r="K79" s="1" t="s">
        <v>139</v>
      </c>
      <c r="L79" s="1" t="s">
        <v>147</v>
      </c>
      <c r="M79" s="1" t="s">
        <v>234</v>
      </c>
      <c r="N79" s="1" t="s">
        <v>235</v>
      </c>
      <c r="O79" s="1" t="s">
        <v>143</v>
      </c>
      <c r="P79">
        <v>7182.25</v>
      </c>
      <c r="Q79" s="1" t="s">
        <v>144</v>
      </c>
    </row>
    <row r="80" spans="1:17" x14ac:dyDescent="0.2">
      <c r="A80" s="1" t="s">
        <v>188</v>
      </c>
      <c r="B80">
        <v>79</v>
      </c>
      <c r="C80" s="1" t="s">
        <v>28</v>
      </c>
      <c r="D80" s="1" t="s">
        <v>112</v>
      </c>
      <c r="E80" s="1" t="s">
        <v>112</v>
      </c>
      <c r="F80" s="1" t="s">
        <v>444</v>
      </c>
      <c r="G80">
        <v>3</v>
      </c>
      <c r="H80">
        <v>12</v>
      </c>
      <c r="I80" s="1" t="s">
        <v>236</v>
      </c>
      <c r="J80" s="1" t="s">
        <v>237</v>
      </c>
      <c r="K80" s="1" t="s">
        <v>139</v>
      </c>
      <c r="L80" s="1" t="s">
        <v>147</v>
      </c>
      <c r="M80" s="1" t="s">
        <v>234</v>
      </c>
      <c r="N80" s="1" t="s">
        <v>235</v>
      </c>
      <c r="O80" s="1" t="s">
        <v>150</v>
      </c>
      <c r="P80">
        <v>-36555.43</v>
      </c>
      <c r="Q80" s="1" t="s">
        <v>144</v>
      </c>
    </row>
    <row r="81" spans="1:17" x14ac:dyDescent="0.2">
      <c r="A81" s="1" t="s">
        <v>189</v>
      </c>
      <c r="B81">
        <v>80</v>
      </c>
      <c r="C81" s="1" t="s">
        <v>28</v>
      </c>
      <c r="D81" s="1" t="s">
        <v>112</v>
      </c>
      <c r="E81" s="1" t="s">
        <v>112</v>
      </c>
      <c r="F81" s="1" t="s">
        <v>444</v>
      </c>
      <c r="G81">
        <v>3</v>
      </c>
      <c r="H81">
        <v>12</v>
      </c>
      <c r="I81" s="1" t="s">
        <v>236</v>
      </c>
      <c r="J81" s="1" t="s">
        <v>237</v>
      </c>
      <c r="K81" s="1" t="s">
        <v>139</v>
      </c>
      <c r="L81" s="1" t="s">
        <v>147</v>
      </c>
      <c r="M81" s="1" t="s">
        <v>234</v>
      </c>
      <c r="N81" s="1" t="s">
        <v>235</v>
      </c>
      <c r="O81" s="1" t="s">
        <v>143</v>
      </c>
      <c r="P81">
        <v>36555.43</v>
      </c>
      <c r="Q81" s="1" t="s">
        <v>144</v>
      </c>
    </row>
    <row r="82" spans="1:17" x14ac:dyDescent="0.2">
      <c r="A82" s="1" t="s">
        <v>190</v>
      </c>
      <c r="B82">
        <v>81</v>
      </c>
      <c r="C82" s="1" t="s">
        <v>28</v>
      </c>
      <c r="D82" s="1" t="s">
        <v>112</v>
      </c>
      <c r="E82" s="1" t="s">
        <v>112</v>
      </c>
      <c r="F82" s="1" t="s">
        <v>444</v>
      </c>
      <c r="G82">
        <v>3</v>
      </c>
      <c r="H82">
        <v>12</v>
      </c>
      <c r="I82" s="1" t="s">
        <v>238</v>
      </c>
      <c r="J82" s="1" t="s">
        <v>239</v>
      </c>
      <c r="K82" s="1" t="s">
        <v>139</v>
      </c>
      <c r="L82" s="1" t="s">
        <v>147</v>
      </c>
      <c r="M82" s="1" t="s">
        <v>234</v>
      </c>
      <c r="N82" s="1" t="s">
        <v>235</v>
      </c>
      <c r="O82" s="1" t="s">
        <v>150</v>
      </c>
      <c r="P82">
        <v>-1000</v>
      </c>
      <c r="Q82" s="1" t="s">
        <v>144</v>
      </c>
    </row>
    <row r="83" spans="1:17" x14ac:dyDescent="0.2">
      <c r="A83" s="1" t="s">
        <v>191</v>
      </c>
      <c r="B83">
        <v>82</v>
      </c>
      <c r="C83" s="1" t="s">
        <v>28</v>
      </c>
      <c r="D83" s="1" t="s">
        <v>112</v>
      </c>
      <c r="E83" s="1" t="s">
        <v>112</v>
      </c>
      <c r="F83" s="1" t="s">
        <v>444</v>
      </c>
      <c r="G83">
        <v>3</v>
      </c>
      <c r="H83">
        <v>12</v>
      </c>
      <c r="I83" s="1" t="s">
        <v>238</v>
      </c>
      <c r="J83" s="1" t="s">
        <v>239</v>
      </c>
      <c r="K83" s="1" t="s">
        <v>139</v>
      </c>
      <c r="L83" s="1" t="s">
        <v>147</v>
      </c>
      <c r="M83" s="1" t="s">
        <v>234</v>
      </c>
      <c r="N83" s="1" t="s">
        <v>235</v>
      </c>
      <c r="O83" s="1" t="s">
        <v>143</v>
      </c>
      <c r="P83">
        <v>1000</v>
      </c>
      <c r="Q83" s="1" t="s">
        <v>144</v>
      </c>
    </row>
    <row r="84" spans="1:17" x14ac:dyDescent="0.2">
      <c r="A84" s="1" t="s">
        <v>192</v>
      </c>
      <c r="B84">
        <v>83</v>
      </c>
      <c r="C84" s="1" t="s">
        <v>28</v>
      </c>
      <c r="D84" s="1" t="s">
        <v>112</v>
      </c>
      <c r="E84" s="1" t="s">
        <v>112</v>
      </c>
      <c r="F84" s="1" t="s">
        <v>444</v>
      </c>
      <c r="G84">
        <v>3</v>
      </c>
      <c r="H84">
        <v>12</v>
      </c>
      <c r="I84" s="1" t="s">
        <v>283</v>
      </c>
      <c r="J84" s="1" t="s">
        <v>284</v>
      </c>
      <c r="K84" s="1" t="s">
        <v>244</v>
      </c>
      <c r="L84" s="1" t="s">
        <v>285</v>
      </c>
      <c r="M84" s="1" t="s">
        <v>142</v>
      </c>
      <c r="N84" s="1" t="s">
        <v>142</v>
      </c>
      <c r="O84" s="1" t="s">
        <v>143</v>
      </c>
      <c r="P84">
        <v>6452.52</v>
      </c>
      <c r="Q84" s="1" t="s">
        <v>144</v>
      </c>
    </row>
    <row r="85" spans="1:17" x14ac:dyDescent="0.2">
      <c r="A85" s="1" t="s">
        <v>193</v>
      </c>
      <c r="B85">
        <v>84</v>
      </c>
      <c r="C85" s="1" t="s">
        <v>28</v>
      </c>
      <c r="D85" s="1" t="s">
        <v>112</v>
      </c>
      <c r="E85" s="1" t="s">
        <v>112</v>
      </c>
      <c r="F85" s="1" t="s">
        <v>444</v>
      </c>
      <c r="G85">
        <v>3</v>
      </c>
      <c r="H85">
        <v>12</v>
      </c>
      <c r="I85" s="1" t="s">
        <v>242</v>
      </c>
      <c r="J85" s="1" t="s">
        <v>243</v>
      </c>
      <c r="K85" s="1" t="s">
        <v>244</v>
      </c>
      <c r="L85" s="1" t="s">
        <v>245</v>
      </c>
      <c r="M85" s="1" t="s">
        <v>142</v>
      </c>
      <c r="N85" s="1" t="s">
        <v>142</v>
      </c>
      <c r="O85" s="1" t="s">
        <v>143</v>
      </c>
      <c r="P85">
        <v>300</v>
      </c>
      <c r="Q85" s="1" t="s">
        <v>144</v>
      </c>
    </row>
    <row r="86" spans="1:17" x14ac:dyDescent="0.2">
      <c r="A86" s="1" t="s">
        <v>194</v>
      </c>
      <c r="B86">
        <v>85</v>
      </c>
      <c r="C86" s="1" t="s">
        <v>28</v>
      </c>
      <c r="D86" s="1" t="s">
        <v>112</v>
      </c>
      <c r="E86" s="1" t="s">
        <v>112</v>
      </c>
      <c r="F86" s="1" t="s">
        <v>444</v>
      </c>
      <c r="G86">
        <v>3</v>
      </c>
      <c r="H86">
        <v>12</v>
      </c>
      <c r="I86" s="1" t="s">
        <v>240</v>
      </c>
      <c r="J86" s="1" t="s">
        <v>241</v>
      </c>
      <c r="K86" s="1" t="s">
        <v>139</v>
      </c>
      <c r="L86" s="1" t="s">
        <v>140</v>
      </c>
      <c r="M86" s="1" t="s">
        <v>153</v>
      </c>
      <c r="N86" s="1" t="s">
        <v>142</v>
      </c>
      <c r="O86" s="1" t="s">
        <v>150</v>
      </c>
      <c r="P86">
        <v>-6452.52</v>
      </c>
      <c r="Q86" s="1" t="s">
        <v>144</v>
      </c>
    </row>
    <row r="87" spans="1:17" x14ac:dyDescent="0.2">
      <c r="A87" s="1" t="s">
        <v>195</v>
      </c>
      <c r="B87">
        <v>86</v>
      </c>
      <c r="C87" s="1" t="s">
        <v>28</v>
      </c>
      <c r="D87" s="1" t="s">
        <v>112</v>
      </c>
      <c r="E87" s="1" t="s">
        <v>112</v>
      </c>
      <c r="F87" s="1" t="s">
        <v>444</v>
      </c>
      <c r="G87">
        <v>3</v>
      </c>
      <c r="H87">
        <v>12</v>
      </c>
      <c r="I87" s="1" t="s">
        <v>240</v>
      </c>
      <c r="J87" s="1" t="s">
        <v>241</v>
      </c>
      <c r="K87" s="1" t="s">
        <v>139</v>
      </c>
      <c r="L87" s="1" t="s">
        <v>140</v>
      </c>
      <c r="M87" s="1" t="s">
        <v>153</v>
      </c>
      <c r="N87" s="1" t="s">
        <v>142</v>
      </c>
      <c r="O87" s="1" t="s">
        <v>143</v>
      </c>
      <c r="P87">
        <v>37555.43</v>
      </c>
      <c r="Q87" s="1" t="s">
        <v>144</v>
      </c>
    </row>
    <row r="88" spans="1:17" x14ac:dyDescent="0.2">
      <c r="A88" s="1" t="s">
        <v>196</v>
      </c>
      <c r="B88">
        <v>87</v>
      </c>
      <c r="C88" s="1" t="s">
        <v>28</v>
      </c>
      <c r="D88" s="1" t="s">
        <v>112</v>
      </c>
      <c r="E88" s="1" t="s">
        <v>112</v>
      </c>
      <c r="F88" s="1" t="s">
        <v>444</v>
      </c>
      <c r="G88">
        <v>3</v>
      </c>
      <c r="H88">
        <v>12</v>
      </c>
      <c r="I88" s="1" t="s">
        <v>286</v>
      </c>
      <c r="J88" s="1" t="s">
        <v>287</v>
      </c>
      <c r="K88" s="1" t="s">
        <v>244</v>
      </c>
      <c r="L88" s="1" t="s">
        <v>288</v>
      </c>
      <c r="M88" s="1" t="s">
        <v>142</v>
      </c>
      <c r="N88" s="1" t="s">
        <v>142</v>
      </c>
      <c r="O88" s="1" t="s">
        <v>150</v>
      </c>
      <c r="P88">
        <v>-7538.67</v>
      </c>
      <c r="Q88" s="1" t="s">
        <v>144</v>
      </c>
    </row>
    <row r="89" spans="1:17" x14ac:dyDescent="0.2">
      <c r="A89" s="1" t="s">
        <v>197</v>
      </c>
      <c r="B89">
        <v>88</v>
      </c>
      <c r="C89" s="1" t="s">
        <v>28</v>
      </c>
      <c r="D89" s="1" t="s">
        <v>112</v>
      </c>
      <c r="E89" s="1" t="s">
        <v>31</v>
      </c>
      <c r="F89" s="1" t="s">
        <v>473</v>
      </c>
      <c r="G89">
        <v>3</v>
      </c>
      <c r="H89">
        <v>13</v>
      </c>
      <c r="I89" s="1" t="s">
        <v>151</v>
      </c>
      <c r="J89" s="1" t="s">
        <v>152</v>
      </c>
      <c r="K89" s="1" t="s">
        <v>139</v>
      </c>
      <c r="L89" s="1" t="s">
        <v>140</v>
      </c>
      <c r="M89" s="1" t="s">
        <v>153</v>
      </c>
      <c r="N89" s="1" t="s">
        <v>142</v>
      </c>
      <c r="O89" s="1" t="s">
        <v>150</v>
      </c>
      <c r="P89">
        <v>-200</v>
      </c>
      <c r="Q89" s="1" t="s">
        <v>144</v>
      </c>
    </row>
    <row r="90" spans="1:17" x14ac:dyDescent="0.2">
      <c r="A90" s="1" t="s">
        <v>198</v>
      </c>
      <c r="B90">
        <v>89</v>
      </c>
      <c r="C90" s="1" t="s">
        <v>28</v>
      </c>
      <c r="D90" s="1" t="s">
        <v>112</v>
      </c>
      <c r="E90" s="1" t="s">
        <v>31</v>
      </c>
      <c r="F90" s="1" t="s">
        <v>473</v>
      </c>
      <c r="G90">
        <v>3</v>
      </c>
      <c r="H90">
        <v>13</v>
      </c>
      <c r="I90" s="1" t="s">
        <v>151</v>
      </c>
      <c r="J90" s="1" t="s">
        <v>152</v>
      </c>
      <c r="K90" s="1" t="s">
        <v>139</v>
      </c>
      <c r="L90" s="1" t="s">
        <v>140</v>
      </c>
      <c r="M90" s="1" t="s">
        <v>153</v>
      </c>
      <c r="N90" s="1" t="s">
        <v>142</v>
      </c>
      <c r="O90" s="1" t="s">
        <v>143</v>
      </c>
      <c r="P90">
        <v>13593.6</v>
      </c>
      <c r="Q90" s="1" t="s">
        <v>144</v>
      </c>
    </row>
    <row r="91" spans="1:17" x14ac:dyDescent="0.2">
      <c r="A91" s="1" t="s">
        <v>199</v>
      </c>
      <c r="B91">
        <v>90</v>
      </c>
      <c r="C91" s="1" t="s">
        <v>28</v>
      </c>
      <c r="D91" s="1" t="s">
        <v>112</v>
      </c>
      <c r="E91" s="1" t="s">
        <v>31</v>
      </c>
      <c r="F91" s="1" t="s">
        <v>473</v>
      </c>
      <c r="G91">
        <v>3</v>
      </c>
      <c r="H91">
        <v>13</v>
      </c>
      <c r="I91" s="1" t="s">
        <v>281</v>
      </c>
      <c r="J91" s="1" t="s">
        <v>282</v>
      </c>
      <c r="K91" s="1" t="s">
        <v>139</v>
      </c>
      <c r="L91" s="1" t="s">
        <v>140</v>
      </c>
      <c r="M91" s="1" t="s">
        <v>153</v>
      </c>
      <c r="N91" s="1" t="s">
        <v>142</v>
      </c>
      <c r="O91" s="1" t="s">
        <v>150</v>
      </c>
      <c r="P91">
        <v>-13593.6</v>
      </c>
      <c r="Q91" s="1" t="s">
        <v>144</v>
      </c>
    </row>
    <row r="92" spans="1:17" x14ac:dyDescent="0.2">
      <c r="A92" s="1" t="s">
        <v>200</v>
      </c>
      <c r="B92">
        <v>91</v>
      </c>
      <c r="C92" s="1" t="s">
        <v>28</v>
      </c>
      <c r="D92" s="1" t="s">
        <v>112</v>
      </c>
      <c r="E92" s="1" t="s">
        <v>31</v>
      </c>
      <c r="F92" s="1" t="s">
        <v>473</v>
      </c>
      <c r="G92">
        <v>3</v>
      </c>
      <c r="H92">
        <v>13</v>
      </c>
      <c r="I92" s="1" t="s">
        <v>281</v>
      </c>
      <c r="J92" s="1" t="s">
        <v>282</v>
      </c>
      <c r="K92" s="1" t="s">
        <v>139</v>
      </c>
      <c r="L92" s="1" t="s">
        <v>140</v>
      </c>
      <c r="M92" s="1" t="s">
        <v>153</v>
      </c>
      <c r="N92" s="1" t="s">
        <v>142</v>
      </c>
      <c r="O92" s="1" t="s">
        <v>143</v>
      </c>
      <c r="P92">
        <v>17756.849999999999</v>
      </c>
      <c r="Q92" s="1" t="s">
        <v>144</v>
      </c>
    </row>
    <row r="93" spans="1:17" x14ac:dyDescent="0.2">
      <c r="A93" s="1" t="s">
        <v>201</v>
      </c>
      <c r="B93">
        <v>92</v>
      </c>
      <c r="C93" s="1" t="s">
        <v>28</v>
      </c>
      <c r="D93" s="1" t="s">
        <v>112</v>
      </c>
      <c r="E93" s="1" t="s">
        <v>31</v>
      </c>
      <c r="F93" s="1" t="s">
        <v>473</v>
      </c>
      <c r="G93">
        <v>3</v>
      </c>
      <c r="H93">
        <v>13</v>
      </c>
      <c r="I93" s="1" t="s">
        <v>283</v>
      </c>
      <c r="J93" s="1" t="s">
        <v>284</v>
      </c>
      <c r="K93" s="1" t="s">
        <v>244</v>
      </c>
      <c r="L93" s="1" t="s">
        <v>285</v>
      </c>
      <c r="M93" s="1" t="s">
        <v>142</v>
      </c>
      <c r="N93" s="1" t="s">
        <v>142</v>
      </c>
      <c r="O93" s="1" t="s">
        <v>143</v>
      </c>
      <c r="P93">
        <v>14496.18</v>
      </c>
      <c r="Q93" s="1" t="s">
        <v>144</v>
      </c>
    </row>
    <row r="94" spans="1:17" x14ac:dyDescent="0.2">
      <c r="A94" s="1" t="s">
        <v>202</v>
      </c>
      <c r="B94">
        <v>93</v>
      </c>
      <c r="C94" s="1" t="s">
        <v>28</v>
      </c>
      <c r="D94" s="1" t="s">
        <v>112</v>
      </c>
      <c r="E94" s="1" t="s">
        <v>31</v>
      </c>
      <c r="F94" s="1" t="s">
        <v>473</v>
      </c>
      <c r="G94">
        <v>3</v>
      </c>
      <c r="H94">
        <v>13</v>
      </c>
      <c r="I94" s="1" t="s">
        <v>242</v>
      </c>
      <c r="J94" s="1" t="s">
        <v>243</v>
      </c>
      <c r="K94" s="1" t="s">
        <v>244</v>
      </c>
      <c r="L94" s="1" t="s">
        <v>245</v>
      </c>
      <c r="M94" s="1" t="s">
        <v>142</v>
      </c>
      <c r="N94" s="1" t="s">
        <v>142</v>
      </c>
      <c r="O94" s="1" t="s">
        <v>143</v>
      </c>
      <c r="P94">
        <v>200</v>
      </c>
      <c r="Q94" s="1" t="s">
        <v>144</v>
      </c>
    </row>
    <row r="95" spans="1:17" x14ac:dyDescent="0.2">
      <c r="A95" s="1" t="s">
        <v>203</v>
      </c>
      <c r="B95">
        <v>94</v>
      </c>
      <c r="C95" s="1" t="s">
        <v>28</v>
      </c>
      <c r="D95" s="1" t="s">
        <v>112</v>
      </c>
      <c r="E95" s="1" t="s">
        <v>31</v>
      </c>
      <c r="F95" s="1" t="s">
        <v>473</v>
      </c>
      <c r="G95">
        <v>3</v>
      </c>
      <c r="H95">
        <v>13</v>
      </c>
      <c r="I95" s="1" t="s">
        <v>240</v>
      </c>
      <c r="J95" s="1" t="s">
        <v>241</v>
      </c>
      <c r="K95" s="1" t="s">
        <v>139</v>
      </c>
      <c r="L95" s="1" t="s">
        <v>140</v>
      </c>
      <c r="M95" s="1" t="s">
        <v>153</v>
      </c>
      <c r="N95" s="1" t="s">
        <v>142</v>
      </c>
      <c r="O95" s="1" t="s">
        <v>150</v>
      </c>
      <c r="P95">
        <v>-14496.18</v>
      </c>
      <c r="Q95" s="1" t="s">
        <v>144</v>
      </c>
    </row>
    <row r="96" spans="1:17" x14ac:dyDescent="0.2">
      <c r="A96" s="1" t="s">
        <v>204</v>
      </c>
      <c r="B96">
        <v>95</v>
      </c>
      <c r="C96" s="1" t="s">
        <v>28</v>
      </c>
      <c r="D96" s="1" t="s">
        <v>112</v>
      </c>
      <c r="E96" s="1" t="s">
        <v>31</v>
      </c>
      <c r="F96" s="1" t="s">
        <v>473</v>
      </c>
      <c r="G96">
        <v>3</v>
      </c>
      <c r="H96">
        <v>13</v>
      </c>
      <c r="I96" s="1" t="s">
        <v>286</v>
      </c>
      <c r="J96" s="1" t="s">
        <v>287</v>
      </c>
      <c r="K96" s="1" t="s">
        <v>244</v>
      </c>
      <c r="L96" s="1" t="s">
        <v>288</v>
      </c>
      <c r="M96" s="1" t="s">
        <v>142</v>
      </c>
      <c r="N96" s="1" t="s">
        <v>142</v>
      </c>
      <c r="O96" s="1" t="s">
        <v>150</v>
      </c>
      <c r="P96">
        <v>-17756.849999999999</v>
      </c>
      <c r="Q96" s="1" t="s">
        <v>144</v>
      </c>
    </row>
    <row r="97" spans="1:17" x14ac:dyDescent="0.2">
      <c r="A97" s="1" t="s">
        <v>205</v>
      </c>
      <c r="B97">
        <v>96</v>
      </c>
      <c r="C97" s="1" t="s">
        <v>28</v>
      </c>
      <c r="D97" s="1" t="s">
        <v>112</v>
      </c>
      <c r="E97" s="1" t="s">
        <v>181</v>
      </c>
      <c r="F97" s="1" t="s">
        <v>478</v>
      </c>
      <c r="G97">
        <v>3</v>
      </c>
      <c r="H97">
        <v>14</v>
      </c>
      <c r="I97" s="1" t="s">
        <v>151</v>
      </c>
      <c r="J97" s="1" t="s">
        <v>152</v>
      </c>
      <c r="K97" s="1" t="s">
        <v>139</v>
      </c>
      <c r="L97" s="1" t="s">
        <v>140</v>
      </c>
      <c r="M97" s="1" t="s">
        <v>153</v>
      </c>
      <c r="N97" s="1" t="s">
        <v>142</v>
      </c>
      <c r="O97" s="1" t="s">
        <v>150</v>
      </c>
      <c r="P97">
        <v>-300</v>
      </c>
      <c r="Q97" s="1" t="s">
        <v>144</v>
      </c>
    </row>
    <row r="98" spans="1:17" x14ac:dyDescent="0.2">
      <c r="A98" s="1" t="s">
        <v>206</v>
      </c>
      <c r="B98">
        <v>97</v>
      </c>
      <c r="C98" s="1" t="s">
        <v>28</v>
      </c>
      <c r="D98" s="1" t="s">
        <v>112</v>
      </c>
      <c r="E98" s="1" t="s">
        <v>181</v>
      </c>
      <c r="F98" s="1" t="s">
        <v>478</v>
      </c>
      <c r="G98">
        <v>3</v>
      </c>
      <c r="H98">
        <v>14</v>
      </c>
      <c r="I98" s="1" t="s">
        <v>151</v>
      </c>
      <c r="J98" s="1" t="s">
        <v>152</v>
      </c>
      <c r="K98" s="1" t="s">
        <v>139</v>
      </c>
      <c r="L98" s="1" t="s">
        <v>140</v>
      </c>
      <c r="M98" s="1" t="s">
        <v>153</v>
      </c>
      <c r="N98" s="1" t="s">
        <v>142</v>
      </c>
      <c r="O98" s="1" t="s">
        <v>143</v>
      </c>
      <c r="P98">
        <v>2047.38</v>
      </c>
      <c r="Q98" s="1" t="s">
        <v>144</v>
      </c>
    </row>
    <row r="99" spans="1:17" x14ac:dyDescent="0.2">
      <c r="A99" s="1" t="s">
        <v>209</v>
      </c>
      <c r="B99">
        <v>98</v>
      </c>
      <c r="C99" s="1" t="s">
        <v>28</v>
      </c>
      <c r="D99" s="1" t="s">
        <v>112</v>
      </c>
      <c r="E99" s="1" t="s">
        <v>181</v>
      </c>
      <c r="F99" s="1" t="s">
        <v>478</v>
      </c>
      <c r="G99">
        <v>3</v>
      </c>
      <c r="H99">
        <v>14</v>
      </c>
      <c r="I99" s="1" t="s">
        <v>281</v>
      </c>
      <c r="J99" s="1" t="s">
        <v>282</v>
      </c>
      <c r="K99" s="1" t="s">
        <v>139</v>
      </c>
      <c r="L99" s="1" t="s">
        <v>140</v>
      </c>
      <c r="M99" s="1" t="s">
        <v>153</v>
      </c>
      <c r="N99" s="1" t="s">
        <v>142</v>
      </c>
      <c r="O99" s="1" t="s">
        <v>150</v>
      </c>
      <c r="P99">
        <v>-2047.38</v>
      </c>
      <c r="Q99" s="1" t="s">
        <v>144</v>
      </c>
    </row>
    <row r="100" spans="1:17" x14ac:dyDescent="0.2">
      <c r="A100" s="1" t="s">
        <v>210</v>
      </c>
      <c r="B100">
        <v>99</v>
      </c>
      <c r="C100" s="1" t="s">
        <v>28</v>
      </c>
      <c r="D100" s="1" t="s">
        <v>112</v>
      </c>
      <c r="E100" s="1" t="s">
        <v>181</v>
      </c>
      <c r="F100" s="1" t="s">
        <v>478</v>
      </c>
      <c r="G100">
        <v>3</v>
      </c>
      <c r="H100">
        <v>14</v>
      </c>
      <c r="I100" s="1" t="s">
        <v>281</v>
      </c>
      <c r="J100" s="1" t="s">
        <v>282</v>
      </c>
      <c r="K100" s="1" t="s">
        <v>139</v>
      </c>
      <c r="L100" s="1" t="s">
        <v>140</v>
      </c>
      <c r="M100" s="1" t="s">
        <v>153</v>
      </c>
      <c r="N100" s="1" t="s">
        <v>142</v>
      </c>
      <c r="O100" s="1" t="s">
        <v>143</v>
      </c>
      <c r="P100">
        <v>14854.77</v>
      </c>
      <c r="Q100" s="1" t="s">
        <v>144</v>
      </c>
    </row>
    <row r="101" spans="1:17" x14ac:dyDescent="0.2">
      <c r="A101" s="1" t="s">
        <v>211</v>
      </c>
      <c r="B101">
        <v>100</v>
      </c>
      <c r="C101" s="1" t="s">
        <v>28</v>
      </c>
      <c r="D101" s="1" t="s">
        <v>112</v>
      </c>
      <c r="E101" s="1" t="s">
        <v>181</v>
      </c>
      <c r="F101" s="1" t="s">
        <v>478</v>
      </c>
      <c r="G101">
        <v>3</v>
      </c>
      <c r="H101">
        <v>14</v>
      </c>
      <c r="I101" s="1" t="s">
        <v>283</v>
      </c>
      <c r="J101" s="1" t="s">
        <v>284</v>
      </c>
      <c r="K101" s="1" t="s">
        <v>244</v>
      </c>
      <c r="L101" s="1" t="s">
        <v>285</v>
      </c>
      <c r="M101" s="1" t="s">
        <v>142</v>
      </c>
      <c r="N101" s="1" t="s">
        <v>142</v>
      </c>
      <c r="O101" s="1" t="s">
        <v>143</v>
      </c>
      <c r="P101">
        <v>12722.21</v>
      </c>
      <c r="Q101" s="1" t="s">
        <v>144</v>
      </c>
    </row>
    <row r="102" spans="1:17" x14ac:dyDescent="0.2">
      <c r="A102" s="1" t="s">
        <v>212</v>
      </c>
      <c r="B102">
        <v>101</v>
      </c>
      <c r="C102" s="1" t="s">
        <v>28</v>
      </c>
      <c r="D102" s="1" t="s">
        <v>112</v>
      </c>
      <c r="E102" s="1" t="s">
        <v>181</v>
      </c>
      <c r="F102" s="1" t="s">
        <v>478</v>
      </c>
      <c r="G102">
        <v>3</v>
      </c>
      <c r="H102">
        <v>14</v>
      </c>
      <c r="I102" s="1" t="s">
        <v>242</v>
      </c>
      <c r="J102" s="1" t="s">
        <v>243</v>
      </c>
      <c r="K102" s="1" t="s">
        <v>244</v>
      </c>
      <c r="L102" s="1" t="s">
        <v>245</v>
      </c>
      <c r="M102" s="1" t="s">
        <v>142</v>
      </c>
      <c r="N102" s="1" t="s">
        <v>142</v>
      </c>
      <c r="O102" s="1" t="s">
        <v>143</v>
      </c>
      <c r="P102">
        <v>300</v>
      </c>
      <c r="Q102" s="1" t="s">
        <v>144</v>
      </c>
    </row>
    <row r="103" spans="1:17" x14ac:dyDescent="0.2">
      <c r="A103" s="1" t="s">
        <v>213</v>
      </c>
      <c r="B103">
        <v>102</v>
      </c>
      <c r="C103" s="1" t="s">
        <v>28</v>
      </c>
      <c r="D103" s="1" t="s">
        <v>112</v>
      </c>
      <c r="E103" s="1" t="s">
        <v>181</v>
      </c>
      <c r="F103" s="1" t="s">
        <v>478</v>
      </c>
      <c r="G103">
        <v>3</v>
      </c>
      <c r="H103">
        <v>14</v>
      </c>
      <c r="I103" s="1" t="s">
        <v>240</v>
      </c>
      <c r="J103" s="1" t="s">
        <v>241</v>
      </c>
      <c r="K103" s="1" t="s">
        <v>139</v>
      </c>
      <c r="L103" s="1" t="s">
        <v>140</v>
      </c>
      <c r="M103" s="1" t="s">
        <v>153</v>
      </c>
      <c r="N103" s="1" t="s">
        <v>142</v>
      </c>
      <c r="O103" s="1" t="s">
        <v>150</v>
      </c>
      <c r="P103">
        <v>-12722.21</v>
      </c>
      <c r="Q103" s="1" t="s">
        <v>144</v>
      </c>
    </row>
    <row r="104" spans="1:17" x14ac:dyDescent="0.2">
      <c r="A104" s="1" t="s">
        <v>214</v>
      </c>
      <c r="B104">
        <v>103</v>
      </c>
      <c r="C104" s="1" t="s">
        <v>28</v>
      </c>
      <c r="D104" s="1" t="s">
        <v>112</v>
      </c>
      <c r="E104" s="1" t="s">
        <v>181</v>
      </c>
      <c r="F104" s="1" t="s">
        <v>478</v>
      </c>
      <c r="G104">
        <v>3</v>
      </c>
      <c r="H104">
        <v>14</v>
      </c>
      <c r="I104" s="1" t="s">
        <v>286</v>
      </c>
      <c r="J104" s="1" t="s">
        <v>287</v>
      </c>
      <c r="K104" s="1" t="s">
        <v>244</v>
      </c>
      <c r="L104" s="1" t="s">
        <v>288</v>
      </c>
      <c r="M104" s="1" t="s">
        <v>142</v>
      </c>
      <c r="N104" s="1" t="s">
        <v>142</v>
      </c>
      <c r="O104" s="1" t="s">
        <v>150</v>
      </c>
      <c r="P104">
        <v>-14854.77</v>
      </c>
      <c r="Q104" s="1" t="s">
        <v>144</v>
      </c>
    </row>
    <row r="105" spans="1:17" x14ac:dyDescent="0.2">
      <c r="A105" s="1" t="s">
        <v>215</v>
      </c>
      <c r="B105">
        <v>104</v>
      </c>
      <c r="C105" s="1" t="s">
        <v>28</v>
      </c>
      <c r="D105" s="1" t="s">
        <v>112</v>
      </c>
      <c r="E105" s="1" t="s">
        <v>207</v>
      </c>
      <c r="F105" s="1" t="s">
        <v>485</v>
      </c>
      <c r="G105">
        <v>3</v>
      </c>
      <c r="H105">
        <v>15</v>
      </c>
      <c r="I105" s="1" t="s">
        <v>151</v>
      </c>
      <c r="J105" s="1" t="s">
        <v>152</v>
      </c>
      <c r="K105" s="1" t="s">
        <v>139</v>
      </c>
      <c r="L105" s="1" t="s">
        <v>140</v>
      </c>
      <c r="M105" s="1" t="s">
        <v>153</v>
      </c>
      <c r="N105" s="1" t="s">
        <v>142</v>
      </c>
      <c r="O105" s="1" t="s">
        <v>150</v>
      </c>
      <c r="P105">
        <v>-300</v>
      </c>
      <c r="Q105" s="1" t="s">
        <v>144</v>
      </c>
    </row>
    <row r="106" spans="1:17" x14ac:dyDescent="0.2">
      <c r="A106" s="1" t="s">
        <v>216</v>
      </c>
      <c r="B106">
        <v>105</v>
      </c>
      <c r="C106" s="1" t="s">
        <v>28</v>
      </c>
      <c r="D106" s="1" t="s">
        <v>112</v>
      </c>
      <c r="E106" s="1" t="s">
        <v>207</v>
      </c>
      <c r="F106" s="1" t="s">
        <v>485</v>
      </c>
      <c r="G106">
        <v>3</v>
      </c>
      <c r="H106">
        <v>15</v>
      </c>
      <c r="I106" s="1" t="s">
        <v>151</v>
      </c>
      <c r="J106" s="1" t="s">
        <v>152</v>
      </c>
      <c r="K106" s="1" t="s">
        <v>139</v>
      </c>
      <c r="L106" s="1" t="s">
        <v>140</v>
      </c>
      <c r="M106" s="1" t="s">
        <v>153</v>
      </c>
      <c r="N106" s="1" t="s">
        <v>142</v>
      </c>
      <c r="O106" s="1" t="s">
        <v>143</v>
      </c>
      <c r="P106">
        <v>8843.18</v>
      </c>
      <c r="Q106" s="1" t="s">
        <v>144</v>
      </c>
    </row>
    <row r="107" spans="1:17" x14ac:dyDescent="0.2">
      <c r="A107" s="1" t="s">
        <v>217</v>
      </c>
      <c r="B107">
        <v>106</v>
      </c>
      <c r="C107" s="1" t="s">
        <v>28</v>
      </c>
      <c r="D107" s="1" t="s">
        <v>112</v>
      </c>
      <c r="E107" s="1" t="s">
        <v>207</v>
      </c>
      <c r="F107" s="1" t="s">
        <v>485</v>
      </c>
      <c r="G107">
        <v>3</v>
      </c>
      <c r="H107">
        <v>15</v>
      </c>
      <c r="I107" s="1" t="s">
        <v>281</v>
      </c>
      <c r="J107" s="1" t="s">
        <v>282</v>
      </c>
      <c r="K107" s="1" t="s">
        <v>139</v>
      </c>
      <c r="L107" s="1" t="s">
        <v>140</v>
      </c>
      <c r="M107" s="1" t="s">
        <v>153</v>
      </c>
      <c r="N107" s="1" t="s">
        <v>142</v>
      </c>
      <c r="O107" s="1" t="s">
        <v>150</v>
      </c>
      <c r="P107">
        <v>-8843.18</v>
      </c>
      <c r="Q107" s="1" t="s">
        <v>144</v>
      </c>
    </row>
    <row r="108" spans="1:17" x14ac:dyDescent="0.2">
      <c r="A108" s="1" t="s">
        <v>218</v>
      </c>
      <c r="B108">
        <v>107</v>
      </c>
      <c r="C108" s="1" t="s">
        <v>28</v>
      </c>
      <c r="D108" s="1" t="s">
        <v>112</v>
      </c>
      <c r="E108" s="1" t="s">
        <v>207</v>
      </c>
      <c r="F108" s="1" t="s">
        <v>485</v>
      </c>
      <c r="G108">
        <v>3</v>
      </c>
      <c r="H108">
        <v>15</v>
      </c>
      <c r="I108" s="1" t="s">
        <v>281</v>
      </c>
      <c r="J108" s="1" t="s">
        <v>282</v>
      </c>
      <c r="K108" s="1" t="s">
        <v>139</v>
      </c>
      <c r="L108" s="1" t="s">
        <v>140</v>
      </c>
      <c r="M108" s="1" t="s">
        <v>153</v>
      </c>
      <c r="N108" s="1" t="s">
        <v>142</v>
      </c>
      <c r="O108" s="1" t="s">
        <v>143</v>
      </c>
      <c r="P108">
        <v>17157.349999999999</v>
      </c>
      <c r="Q108" s="1" t="s">
        <v>144</v>
      </c>
    </row>
    <row r="109" spans="1:17" x14ac:dyDescent="0.2">
      <c r="A109" s="1" t="s">
        <v>219</v>
      </c>
      <c r="B109">
        <v>108</v>
      </c>
      <c r="C109" s="1" t="s">
        <v>28</v>
      </c>
      <c r="D109" s="1" t="s">
        <v>112</v>
      </c>
      <c r="E109" s="1" t="s">
        <v>207</v>
      </c>
      <c r="F109" s="1" t="s">
        <v>485</v>
      </c>
      <c r="G109">
        <v>3</v>
      </c>
      <c r="H109">
        <v>15</v>
      </c>
      <c r="I109" s="1" t="s">
        <v>283</v>
      </c>
      <c r="J109" s="1" t="s">
        <v>284</v>
      </c>
      <c r="K109" s="1" t="s">
        <v>244</v>
      </c>
      <c r="L109" s="1" t="s">
        <v>285</v>
      </c>
      <c r="M109" s="1" t="s">
        <v>142</v>
      </c>
      <c r="N109" s="1" t="s">
        <v>142</v>
      </c>
      <c r="O109" s="1" t="s">
        <v>143</v>
      </c>
      <c r="P109">
        <v>14548.1</v>
      </c>
      <c r="Q109" s="1" t="s">
        <v>144</v>
      </c>
    </row>
    <row r="110" spans="1:17" x14ac:dyDescent="0.2">
      <c r="A110" s="1" t="s">
        <v>220</v>
      </c>
      <c r="B110">
        <v>109</v>
      </c>
      <c r="C110" s="1" t="s">
        <v>28</v>
      </c>
      <c r="D110" s="1" t="s">
        <v>112</v>
      </c>
      <c r="E110" s="1" t="s">
        <v>207</v>
      </c>
      <c r="F110" s="1" t="s">
        <v>485</v>
      </c>
      <c r="G110">
        <v>3</v>
      </c>
      <c r="H110">
        <v>15</v>
      </c>
      <c r="I110" s="1" t="s">
        <v>242</v>
      </c>
      <c r="J110" s="1" t="s">
        <v>243</v>
      </c>
      <c r="K110" s="1" t="s">
        <v>244</v>
      </c>
      <c r="L110" s="1" t="s">
        <v>245</v>
      </c>
      <c r="M110" s="1" t="s">
        <v>142</v>
      </c>
      <c r="N110" s="1" t="s">
        <v>142</v>
      </c>
      <c r="O110" s="1" t="s">
        <v>143</v>
      </c>
      <c r="P110">
        <v>300</v>
      </c>
      <c r="Q110" s="1" t="s">
        <v>144</v>
      </c>
    </row>
    <row r="111" spans="1:17" x14ac:dyDescent="0.2">
      <c r="A111" s="1" t="s">
        <v>221</v>
      </c>
      <c r="B111">
        <v>110</v>
      </c>
      <c r="C111" s="1" t="s">
        <v>28</v>
      </c>
      <c r="D111" s="1" t="s">
        <v>112</v>
      </c>
      <c r="E111" s="1" t="s">
        <v>207</v>
      </c>
      <c r="F111" s="1" t="s">
        <v>485</v>
      </c>
      <c r="G111">
        <v>3</v>
      </c>
      <c r="H111">
        <v>15</v>
      </c>
      <c r="I111" s="1" t="s">
        <v>240</v>
      </c>
      <c r="J111" s="1" t="s">
        <v>241</v>
      </c>
      <c r="K111" s="1" t="s">
        <v>139</v>
      </c>
      <c r="L111" s="1" t="s">
        <v>140</v>
      </c>
      <c r="M111" s="1" t="s">
        <v>153</v>
      </c>
      <c r="N111" s="1" t="s">
        <v>142</v>
      </c>
      <c r="O111" s="1" t="s">
        <v>150</v>
      </c>
      <c r="P111">
        <v>-14548.1</v>
      </c>
      <c r="Q111" s="1" t="s">
        <v>144</v>
      </c>
    </row>
    <row r="112" spans="1:17" x14ac:dyDescent="0.2">
      <c r="A112" s="1" t="s">
        <v>222</v>
      </c>
      <c r="B112">
        <v>111</v>
      </c>
      <c r="C112" s="1" t="s">
        <v>28</v>
      </c>
      <c r="D112" s="1" t="s">
        <v>112</v>
      </c>
      <c r="E112" s="1" t="s">
        <v>207</v>
      </c>
      <c r="F112" s="1" t="s">
        <v>485</v>
      </c>
      <c r="G112">
        <v>3</v>
      </c>
      <c r="H112">
        <v>15</v>
      </c>
      <c r="I112" s="1" t="s">
        <v>286</v>
      </c>
      <c r="J112" s="1" t="s">
        <v>287</v>
      </c>
      <c r="K112" s="1" t="s">
        <v>244</v>
      </c>
      <c r="L112" s="1" t="s">
        <v>288</v>
      </c>
      <c r="M112" s="1" t="s">
        <v>142</v>
      </c>
      <c r="N112" s="1" t="s">
        <v>142</v>
      </c>
      <c r="O112" s="1" t="s">
        <v>150</v>
      </c>
      <c r="P112">
        <v>-17157.349999999999</v>
      </c>
      <c r="Q112" s="1" t="s">
        <v>144</v>
      </c>
    </row>
    <row r="113" spans="1:17" x14ac:dyDescent="0.2">
      <c r="A113" s="1" t="s">
        <v>223</v>
      </c>
      <c r="B113">
        <v>112</v>
      </c>
      <c r="C113" s="1" t="s">
        <v>28</v>
      </c>
      <c r="D113" s="1" t="s">
        <v>112</v>
      </c>
      <c r="E113" s="1" t="s">
        <v>256</v>
      </c>
      <c r="F113" s="1" t="s">
        <v>564</v>
      </c>
      <c r="G113">
        <v>4</v>
      </c>
      <c r="H113">
        <v>16</v>
      </c>
      <c r="I113" s="1" t="s">
        <v>151</v>
      </c>
      <c r="J113" s="1" t="s">
        <v>152</v>
      </c>
      <c r="K113" s="1" t="s">
        <v>139</v>
      </c>
      <c r="L113" s="1" t="s">
        <v>140</v>
      </c>
      <c r="M113" s="1" t="s">
        <v>153</v>
      </c>
      <c r="N113" s="1" t="s">
        <v>142</v>
      </c>
      <c r="O113" s="1" t="s">
        <v>150</v>
      </c>
      <c r="P113">
        <v>-300</v>
      </c>
      <c r="Q113" s="1" t="s">
        <v>144</v>
      </c>
    </row>
    <row r="114" spans="1:17" x14ac:dyDescent="0.2">
      <c r="A114" s="1" t="s">
        <v>224</v>
      </c>
      <c r="B114">
        <v>113</v>
      </c>
      <c r="C114" s="1" t="s">
        <v>28</v>
      </c>
      <c r="D114" s="1" t="s">
        <v>112</v>
      </c>
      <c r="E114" s="1" t="s">
        <v>256</v>
      </c>
      <c r="F114" s="1" t="s">
        <v>564</v>
      </c>
      <c r="G114">
        <v>4</v>
      </c>
      <c r="H114">
        <v>16</v>
      </c>
      <c r="I114" s="1" t="s">
        <v>151</v>
      </c>
      <c r="J114" s="1" t="s">
        <v>152</v>
      </c>
      <c r="K114" s="1" t="s">
        <v>139</v>
      </c>
      <c r="L114" s="1" t="s">
        <v>140</v>
      </c>
      <c r="M114" s="1" t="s">
        <v>153</v>
      </c>
      <c r="N114" s="1" t="s">
        <v>142</v>
      </c>
      <c r="O114" s="1" t="s">
        <v>143</v>
      </c>
      <c r="P114">
        <v>7538.67</v>
      </c>
      <c r="Q114" s="1" t="s">
        <v>144</v>
      </c>
    </row>
    <row r="115" spans="1:17" x14ac:dyDescent="0.2">
      <c r="A115" s="1" t="s">
        <v>225</v>
      </c>
      <c r="B115">
        <v>114</v>
      </c>
      <c r="C115" s="1" t="s">
        <v>28</v>
      </c>
      <c r="D115" s="1" t="s">
        <v>112</v>
      </c>
      <c r="E115" s="1" t="s">
        <v>256</v>
      </c>
      <c r="F115" s="1" t="s">
        <v>564</v>
      </c>
      <c r="G115">
        <v>4</v>
      </c>
      <c r="H115">
        <v>16</v>
      </c>
      <c r="I115" s="1" t="s">
        <v>281</v>
      </c>
      <c r="J115" s="1" t="s">
        <v>282</v>
      </c>
      <c r="K115" s="1" t="s">
        <v>139</v>
      </c>
      <c r="L115" s="1" t="s">
        <v>140</v>
      </c>
      <c r="M115" s="1" t="s">
        <v>153</v>
      </c>
      <c r="N115" s="1" t="s">
        <v>142</v>
      </c>
      <c r="O115" s="1" t="s">
        <v>150</v>
      </c>
      <c r="P115">
        <v>-7538.67</v>
      </c>
      <c r="Q115" s="1" t="s">
        <v>144</v>
      </c>
    </row>
    <row r="116" spans="1:17" x14ac:dyDescent="0.2">
      <c r="A116" s="1" t="s">
        <v>226</v>
      </c>
      <c r="B116">
        <v>115</v>
      </c>
      <c r="C116" s="1" t="s">
        <v>28</v>
      </c>
      <c r="D116" s="1" t="s">
        <v>112</v>
      </c>
      <c r="E116" s="1" t="s">
        <v>256</v>
      </c>
      <c r="F116" s="1" t="s">
        <v>564</v>
      </c>
      <c r="G116">
        <v>4</v>
      </c>
      <c r="H116">
        <v>16</v>
      </c>
      <c r="I116" s="1" t="s">
        <v>281</v>
      </c>
      <c r="J116" s="1" t="s">
        <v>282</v>
      </c>
      <c r="K116" s="1" t="s">
        <v>139</v>
      </c>
      <c r="L116" s="1" t="s">
        <v>140</v>
      </c>
      <c r="M116" s="1" t="s">
        <v>153</v>
      </c>
      <c r="N116" s="1" t="s">
        <v>142</v>
      </c>
      <c r="O116" s="1" t="s">
        <v>143</v>
      </c>
      <c r="P116">
        <v>17162.72</v>
      </c>
      <c r="Q116" s="1" t="s">
        <v>144</v>
      </c>
    </row>
    <row r="117" spans="1:17" x14ac:dyDescent="0.2">
      <c r="A117" s="1" t="s">
        <v>227</v>
      </c>
      <c r="B117">
        <v>116</v>
      </c>
      <c r="C117" s="1" t="s">
        <v>28</v>
      </c>
      <c r="D117" s="1" t="s">
        <v>112</v>
      </c>
      <c r="E117" s="1" t="s">
        <v>256</v>
      </c>
      <c r="F117" s="1" t="s">
        <v>564</v>
      </c>
      <c r="G117">
        <v>4</v>
      </c>
      <c r="H117">
        <v>16</v>
      </c>
      <c r="I117" s="1" t="s">
        <v>232</v>
      </c>
      <c r="J117" s="1" t="s">
        <v>233</v>
      </c>
      <c r="K117" s="1" t="s">
        <v>139</v>
      </c>
      <c r="L117" s="1" t="s">
        <v>147</v>
      </c>
      <c r="M117" s="1" t="s">
        <v>234</v>
      </c>
      <c r="N117" s="1" t="s">
        <v>235</v>
      </c>
      <c r="O117" s="1" t="s">
        <v>150</v>
      </c>
      <c r="P117">
        <v>-41042.25</v>
      </c>
      <c r="Q117" s="1" t="s">
        <v>144</v>
      </c>
    </row>
    <row r="118" spans="1:17" x14ac:dyDescent="0.2">
      <c r="A118" s="1" t="s">
        <v>228</v>
      </c>
      <c r="B118">
        <v>117</v>
      </c>
      <c r="C118" s="1" t="s">
        <v>28</v>
      </c>
      <c r="D118" s="1" t="s">
        <v>112</v>
      </c>
      <c r="E118" s="1" t="s">
        <v>256</v>
      </c>
      <c r="F118" s="1" t="s">
        <v>564</v>
      </c>
      <c r="G118">
        <v>4</v>
      </c>
      <c r="H118">
        <v>16</v>
      </c>
      <c r="I118" s="1" t="s">
        <v>236</v>
      </c>
      <c r="J118" s="1" t="s">
        <v>237</v>
      </c>
      <c r="K118" s="1" t="s">
        <v>139</v>
      </c>
      <c r="L118" s="1" t="s">
        <v>147</v>
      </c>
      <c r="M118" s="1" t="s">
        <v>234</v>
      </c>
      <c r="N118" s="1" t="s">
        <v>235</v>
      </c>
      <c r="O118" s="1" t="s">
        <v>150</v>
      </c>
      <c r="P118">
        <v>-40042.25</v>
      </c>
      <c r="Q118" s="1" t="s">
        <v>144</v>
      </c>
    </row>
    <row r="119" spans="1:17" x14ac:dyDescent="0.2">
      <c r="A119" s="1" t="s">
        <v>229</v>
      </c>
      <c r="B119">
        <v>118</v>
      </c>
      <c r="C119" s="1" t="s">
        <v>28</v>
      </c>
      <c r="D119" s="1" t="s">
        <v>112</v>
      </c>
      <c r="E119" s="1" t="s">
        <v>256</v>
      </c>
      <c r="F119" s="1" t="s">
        <v>564</v>
      </c>
      <c r="G119">
        <v>4</v>
      </c>
      <c r="H119">
        <v>16</v>
      </c>
      <c r="I119" s="1" t="s">
        <v>236</v>
      </c>
      <c r="J119" s="1" t="s">
        <v>237</v>
      </c>
      <c r="K119" s="1" t="s">
        <v>139</v>
      </c>
      <c r="L119" s="1" t="s">
        <v>147</v>
      </c>
      <c r="M119" s="1" t="s">
        <v>234</v>
      </c>
      <c r="N119" s="1" t="s">
        <v>235</v>
      </c>
      <c r="O119" s="1" t="s">
        <v>143</v>
      </c>
      <c r="P119">
        <v>40042.25</v>
      </c>
      <c r="Q119" s="1" t="s">
        <v>144</v>
      </c>
    </row>
    <row r="120" spans="1:17" x14ac:dyDescent="0.2">
      <c r="A120" s="1" t="s">
        <v>230</v>
      </c>
      <c r="B120">
        <v>119</v>
      </c>
      <c r="C120" s="1" t="s">
        <v>28</v>
      </c>
      <c r="D120" s="1" t="s">
        <v>112</v>
      </c>
      <c r="E120" s="1" t="s">
        <v>256</v>
      </c>
      <c r="F120" s="1" t="s">
        <v>564</v>
      </c>
      <c r="G120">
        <v>4</v>
      </c>
      <c r="H120">
        <v>16</v>
      </c>
      <c r="I120" s="1" t="s">
        <v>238</v>
      </c>
      <c r="J120" s="1" t="s">
        <v>239</v>
      </c>
      <c r="K120" s="1" t="s">
        <v>139</v>
      </c>
      <c r="L120" s="1" t="s">
        <v>147</v>
      </c>
      <c r="M120" s="1" t="s">
        <v>234</v>
      </c>
      <c r="N120" s="1" t="s">
        <v>235</v>
      </c>
      <c r="O120" s="1" t="s">
        <v>150</v>
      </c>
      <c r="P120">
        <v>-1000</v>
      </c>
      <c r="Q120" s="1" t="s">
        <v>144</v>
      </c>
    </row>
    <row r="121" spans="1:17" x14ac:dyDescent="0.2">
      <c r="A121" s="1" t="s">
        <v>231</v>
      </c>
      <c r="B121">
        <v>120</v>
      </c>
      <c r="C121" s="1" t="s">
        <v>28</v>
      </c>
      <c r="D121" s="1" t="s">
        <v>112</v>
      </c>
      <c r="E121" s="1" t="s">
        <v>256</v>
      </c>
      <c r="F121" s="1" t="s">
        <v>564</v>
      </c>
      <c r="G121">
        <v>4</v>
      </c>
      <c r="H121">
        <v>16</v>
      </c>
      <c r="I121" s="1" t="s">
        <v>238</v>
      </c>
      <c r="J121" s="1" t="s">
        <v>239</v>
      </c>
      <c r="K121" s="1" t="s">
        <v>139</v>
      </c>
      <c r="L121" s="1" t="s">
        <v>147</v>
      </c>
      <c r="M121" s="1" t="s">
        <v>234</v>
      </c>
      <c r="N121" s="1" t="s">
        <v>235</v>
      </c>
      <c r="O121" s="1" t="s">
        <v>143</v>
      </c>
      <c r="P121">
        <v>1000</v>
      </c>
      <c r="Q121" s="1" t="s">
        <v>144</v>
      </c>
    </row>
    <row r="122" spans="1:17" x14ac:dyDescent="0.2">
      <c r="A122" s="1" t="s">
        <v>255</v>
      </c>
      <c r="B122">
        <v>121</v>
      </c>
      <c r="C122" s="1" t="s">
        <v>28</v>
      </c>
      <c r="D122" s="1" t="s">
        <v>112</v>
      </c>
      <c r="E122" s="1" t="s">
        <v>256</v>
      </c>
      <c r="F122" s="1" t="s">
        <v>564</v>
      </c>
      <c r="G122">
        <v>4</v>
      </c>
      <c r="H122">
        <v>16</v>
      </c>
      <c r="I122" s="1" t="s">
        <v>283</v>
      </c>
      <c r="J122" s="1" t="s">
        <v>284</v>
      </c>
      <c r="K122" s="1" t="s">
        <v>244</v>
      </c>
      <c r="L122" s="1" t="s">
        <v>285</v>
      </c>
      <c r="M122" s="1" t="s">
        <v>142</v>
      </c>
      <c r="N122" s="1" t="s">
        <v>142</v>
      </c>
      <c r="O122" s="1" t="s">
        <v>143</v>
      </c>
      <c r="P122">
        <v>14412.12</v>
      </c>
      <c r="Q122" s="1" t="s">
        <v>144</v>
      </c>
    </row>
    <row r="123" spans="1:17" x14ac:dyDescent="0.2">
      <c r="A123" s="1" t="s">
        <v>258</v>
      </c>
      <c r="B123">
        <v>122</v>
      </c>
      <c r="C123" s="1" t="s">
        <v>28</v>
      </c>
      <c r="D123" s="1" t="s">
        <v>112</v>
      </c>
      <c r="E123" s="1" t="s">
        <v>256</v>
      </c>
      <c r="F123" s="1" t="s">
        <v>564</v>
      </c>
      <c r="G123">
        <v>4</v>
      </c>
      <c r="H123">
        <v>16</v>
      </c>
      <c r="I123" s="1" t="s">
        <v>242</v>
      </c>
      <c r="J123" s="1" t="s">
        <v>243</v>
      </c>
      <c r="K123" s="1" t="s">
        <v>244</v>
      </c>
      <c r="L123" s="1" t="s">
        <v>245</v>
      </c>
      <c r="M123" s="1" t="s">
        <v>142</v>
      </c>
      <c r="N123" s="1" t="s">
        <v>142</v>
      </c>
      <c r="O123" s="1" t="s">
        <v>143</v>
      </c>
      <c r="P123">
        <v>300</v>
      </c>
      <c r="Q123" s="1" t="s">
        <v>144</v>
      </c>
    </row>
    <row r="124" spans="1:17" x14ac:dyDescent="0.2">
      <c r="A124" s="1" t="s">
        <v>259</v>
      </c>
      <c r="B124">
        <v>123</v>
      </c>
      <c r="C124" s="1" t="s">
        <v>28</v>
      </c>
      <c r="D124" s="1" t="s">
        <v>112</v>
      </c>
      <c r="E124" s="1" t="s">
        <v>256</v>
      </c>
      <c r="F124" s="1" t="s">
        <v>564</v>
      </c>
      <c r="G124">
        <v>4</v>
      </c>
      <c r="H124">
        <v>16</v>
      </c>
      <c r="I124" s="1" t="s">
        <v>240</v>
      </c>
      <c r="J124" s="1" t="s">
        <v>241</v>
      </c>
      <c r="K124" s="1" t="s">
        <v>139</v>
      </c>
      <c r="L124" s="1" t="s">
        <v>140</v>
      </c>
      <c r="M124" s="1" t="s">
        <v>153</v>
      </c>
      <c r="N124" s="1" t="s">
        <v>142</v>
      </c>
      <c r="O124" s="1" t="s">
        <v>150</v>
      </c>
      <c r="P124">
        <v>-14412.12</v>
      </c>
      <c r="Q124" s="1" t="s">
        <v>144</v>
      </c>
    </row>
    <row r="125" spans="1:17" x14ac:dyDescent="0.2">
      <c r="A125" s="1" t="s">
        <v>260</v>
      </c>
      <c r="B125">
        <v>124</v>
      </c>
      <c r="C125" s="1" t="s">
        <v>28</v>
      </c>
      <c r="D125" s="1" t="s">
        <v>112</v>
      </c>
      <c r="E125" s="1" t="s">
        <v>256</v>
      </c>
      <c r="F125" s="1" t="s">
        <v>564</v>
      </c>
      <c r="G125">
        <v>4</v>
      </c>
      <c r="H125">
        <v>16</v>
      </c>
      <c r="I125" s="1" t="s">
        <v>240</v>
      </c>
      <c r="J125" s="1" t="s">
        <v>241</v>
      </c>
      <c r="K125" s="1" t="s">
        <v>139</v>
      </c>
      <c r="L125" s="1" t="s">
        <v>140</v>
      </c>
      <c r="M125" s="1" t="s">
        <v>153</v>
      </c>
      <c r="N125" s="1" t="s">
        <v>142</v>
      </c>
      <c r="O125" s="1" t="s">
        <v>143</v>
      </c>
      <c r="P125">
        <v>41042.25</v>
      </c>
      <c r="Q125" s="1" t="s">
        <v>144</v>
      </c>
    </row>
    <row r="126" spans="1:17" x14ac:dyDescent="0.2">
      <c r="A126" s="1" t="s">
        <v>261</v>
      </c>
      <c r="B126">
        <v>125</v>
      </c>
      <c r="C126" s="1" t="s">
        <v>28</v>
      </c>
      <c r="D126" s="1" t="s">
        <v>112</v>
      </c>
      <c r="E126" s="1" t="s">
        <v>256</v>
      </c>
      <c r="F126" s="1" t="s">
        <v>564</v>
      </c>
      <c r="G126">
        <v>4</v>
      </c>
      <c r="H126">
        <v>16</v>
      </c>
      <c r="I126" s="1" t="s">
        <v>286</v>
      </c>
      <c r="J126" s="1" t="s">
        <v>287</v>
      </c>
      <c r="K126" s="1" t="s">
        <v>244</v>
      </c>
      <c r="L126" s="1" t="s">
        <v>288</v>
      </c>
      <c r="M126" s="1" t="s">
        <v>142</v>
      </c>
      <c r="N126" s="1" t="s">
        <v>142</v>
      </c>
      <c r="O126" s="1" t="s">
        <v>150</v>
      </c>
      <c r="P126">
        <v>-17162.72</v>
      </c>
      <c r="Q126" s="1" t="s">
        <v>144</v>
      </c>
    </row>
    <row r="127" spans="1:17" x14ac:dyDescent="0.2">
      <c r="A127" s="1" t="s">
        <v>262</v>
      </c>
      <c r="B127">
        <v>126</v>
      </c>
      <c r="C127" s="1" t="s">
        <v>28</v>
      </c>
      <c r="D127" s="1" t="s">
        <v>112</v>
      </c>
      <c r="E127" s="1" t="s">
        <v>296</v>
      </c>
      <c r="F127" s="1" t="s">
        <v>594</v>
      </c>
      <c r="G127">
        <v>4</v>
      </c>
      <c r="H127">
        <v>17</v>
      </c>
      <c r="I127" s="1" t="s">
        <v>151</v>
      </c>
      <c r="J127" s="1" t="s">
        <v>152</v>
      </c>
      <c r="K127" s="1" t="s">
        <v>139</v>
      </c>
      <c r="L127" s="1" t="s">
        <v>140</v>
      </c>
      <c r="M127" s="1" t="s">
        <v>153</v>
      </c>
      <c r="N127" s="1" t="s">
        <v>142</v>
      </c>
      <c r="O127" s="1" t="s">
        <v>150</v>
      </c>
      <c r="P127">
        <v>-37755.43</v>
      </c>
      <c r="Q127" s="1" t="s">
        <v>144</v>
      </c>
    </row>
    <row r="128" spans="1:17" x14ac:dyDescent="0.2">
      <c r="A128" s="1" t="s">
        <v>263</v>
      </c>
      <c r="B128">
        <v>127</v>
      </c>
      <c r="C128" s="1" t="s">
        <v>28</v>
      </c>
      <c r="D128" s="1" t="s">
        <v>112</v>
      </c>
      <c r="E128" s="1" t="s">
        <v>296</v>
      </c>
      <c r="F128" s="1" t="s">
        <v>594</v>
      </c>
      <c r="G128">
        <v>4</v>
      </c>
      <c r="H128">
        <v>17</v>
      </c>
      <c r="I128" s="1" t="s">
        <v>151</v>
      </c>
      <c r="J128" s="1" t="s">
        <v>152</v>
      </c>
      <c r="K128" s="1" t="s">
        <v>139</v>
      </c>
      <c r="L128" s="1" t="s">
        <v>140</v>
      </c>
      <c r="M128" s="1" t="s">
        <v>153</v>
      </c>
      <c r="N128" s="1" t="s">
        <v>142</v>
      </c>
      <c r="O128" s="1" t="s">
        <v>143</v>
      </c>
      <c r="P128">
        <v>17756.849999999999</v>
      </c>
      <c r="Q128" s="1" t="s">
        <v>144</v>
      </c>
    </row>
    <row r="129" spans="1:17" x14ac:dyDescent="0.2">
      <c r="A129" s="1" t="s">
        <v>264</v>
      </c>
      <c r="B129">
        <v>128</v>
      </c>
      <c r="C129" s="1" t="s">
        <v>28</v>
      </c>
      <c r="D129" s="1" t="s">
        <v>112</v>
      </c>
      <c r="E129" s="1" t="s">
        <v>296</v>
      </c>
      <c r="F129" s="1" t="s">
        <v>594</v>
      </c>
      <c r="G129">
        <v>4</v>
      </c>
      <c r="H129">
        <v>17</v>
      </c>
      <c r="I129" s="1" t="s">
        <v>281</v>
      </c>
      <c r="J129" s="1" t="s">
        <v>282</v>
      </c>
      <c r="K129" s="1" t="s">
        <v>139</v>
      </c>
      <c r="L129" s="1" t="s">
        <v>140</v>
      </c>
      <c r="M129" s="1" t="s">
        <v>153</v>
      </c>
      <c r="N129" s="1" t="s">
        <v>142</v>
      </c>
      <c r="O129" s="1" t="s">
        <v>150</v>
      </c>
      <c r="P129">
        <v>-17756.849999999999</v>
      </c>
      <c r="Q129" s="1" t="s">
        <v>144</v>
      </c>
    </row>
    <row r="130" spans="1:17" x14ac:dyDescent="0.2">
      <c r="A130" s="1" t="s">
        <v>265</v>
      </c>
      <c r="B130">
        <v>129</v>
      </c>
      <c r="C130" s="1" t="s">
        <v>28</v>
      </c>
      <c r="D130" s="1" t="s">
        <v>112</v>
      </c>
      <c r="E130" s="1" t="s">
        <v>296</v>
      </c>
      <c r="F130" s="1" t="s">
        <v>594</v>
      </c>
      <c r="G130">
        <v>4</v>
      </c>
      <c r="H130">
        <v>17</v>
      </c>
      <c r="I130" s="1" t="s">
        <v>281</v>
      </c>
      <c r="J130" s="1" t="s">
        <v>282</v>
      </c>
      <c r="K130" s="1" t="s">
        <v>139</v>
      </c>
      <c r="L130" s="1" t="s">
        <v>140</v>
      </c>
      <c r="M130" s="1" t="s">
        <v>153</v>
      </c>
      <c r="N130" s="1" t="s">
        <v>142</v>
      </c>
      <c r="O130" s="1" t="s">
        <v>143</v>
      </c>
      <c r="P130">
        <v>8100.28</v>
      </c>
      <c r="Q130" s="1" t="s">
        <v>144</v>
      </c>
    </row>
    <row r="131" spans="1:17" x14ac:dyDescent="0.2">
      <c r="A131" s="1" t="s">
        <v>266</v>
      </c>
      <c r="B131">
        <v>130</v>
      </c>
      <c r="C131" s="1" t="s">
        <v>28</v>
      </c>
      <c r="D131" s="1" t="s">
        <v>112</v>
      </c>
      <c r="E131" s="1" t="s">
        <v>296</v>
      </c>
      <c r="F131" s="1" t="s">
        <v>594</v>
      </c>
      <c r="G131">
        <v>4</v>
      </c>
      <c r="H131">
        <v>17</v>
      </c>
      <c r="I131" s="1" t="s">
        <v>232</v>
      </c>
      <c r="J131" s="1" t="s">
        <v>233</v>
      </c>
      <c r="K131" s="1" t="s">
        <v>139</v>
      </c>
      <c r="L131" s="1" t="s">
        <v>147</v>
      </c>
      <c r="M131" s="1" t="s">
        <v>234</v>
      </c>
      <c r="N131" s="1" t="s">
        <v>235</v>
      </c>
      <c r="O131" s="1" t="s">
        <v>143</v>
      </c>
      <c r="P131">
        <v>37555.43</v>
      </c>
      <c r="Q131" s="1" t="s">
        <v>144</v>
      </c>
    </row>
    <row r="132" spans="1:17" x14ac:dyDescent="0.2">
      <c r="A132" s="1" t="s">
        <v>267</v>
      </c>
      <c r="B132">
        <v>131</v>
      </c>
      <c r="C132" s="1" t="s">
        <v>28</v>
      </c>
      <c r="D132" s="1" t="s">
        <v>112</v>
      </c>
      <c r="E132" s="1" t="s">
        <v>296</v>
      </c>
      <c r="F132" s="1" t="s">
        <v>594</v>
      </c>
      <c r="G132">
        <v>4</v>
      </c>
      <c r="H132">
        <v>17</v>
      </c>
      <c r="I132" s="1" t="s">
        <v>283</v>
      </c>
      <c r="J132" s="1" t="s">
        <v>284</v>
      </c>
      <c r="K132" s="1" t="s">
        <v>244</v>
      </c>
      <c r="L132" s="1" t="s">
        <v>285</v>
      </c>
      <c r="M132" s="1" t="s">
        <v>142</v>
      </c>
      <c r="N132" s="1" t="s">
        <v>142</v>
      </c>
      <c r="O132" s="1" t="s">
        <v>143</v>
      </c>
      <c r="P132">
        <v>6896.27</v>
      </c>
      <c r="Q132" s="1" t="s">
        <v>144</v>
      </c>
    </row>
    <row r="133" spans="1:17" x14ac:dyDescent="0.2">
      <c r="A133" s="1" t="s">
        <v>268</v>
      </c>
      <c r="B133">
        <v>132</v>
      </c>
      <c r="C133" s="1" t="s">
        <v>28</v>
      </c>
      <c r="D133" s="1" t="s">
        <v>112</v>
      </c>
      <c r="E133" s="1" t="s">
        <v>296</v>
      </c>
      <c r="F133" s="1" t="s">
        <v>594</v>
      </c>
      <c r="G133">
        <v>4</v>
      </c>
      <c r="H133">
        <v>17</v>
      </c>
      <c r="I133" s="1" t="s">
        <v>242</v>
      </c>
      <c r="J133" s="1" t="s">
        <v>243</v>
      </c>
      <c r="K133" s="1" t="s">
        <v>244</v>
      </c>
      <c r="L133" s="1" t="s">
        <v>245</v>
      </c>
      <c r="M133" s="1" t="s">
        <v>142</v>
      </c>
      <c r="N133" s="1" t="s">
        <v>142</v>
      </c>
      <c r="O133" s="1" t="s">
        <v>143</v>
      </c>
      <c r="P133">
        <v>200</v>
      </c>
      <c r="Q133" s="1" t="s">
        <v>144</v>
      </c>
    </row>
    <row r="134" spans="1:17" x14ac:dyDescent="0.2">
      <c r="A134" s="1" t="s">
        <v>269</v>
      </c>
      <c r="B134">
        <v>133</v>
      </c>
      <c r="C134" s="1" t="s">
        <v>28</v>
      </c>
      <c r="D134" s="1" t="s">
        <v>112</v>
      </c>
      <c r="E134" s="1" t="s">
        <v>296</v>
      </c>
      <c r="F134" s="1" t="s">
        <v>594</v>
      </c>
      <c r="G134">
        <v>4</v>
      </c>
      <c r="H134">
        <v>17</v>
      </c>
      <c r="I134" s="1" t="s">
        <v>240</v>
      </c>
      <c r="J134" s="1" t="s">
        <v>241</v>
      </c>
      <c r="K134" s="1" t="s">
        <v>139</v>
      </c>
      <c r="L134" s="1" t="s">
        <v>140</v>
      </c>
      <c r="M134" s="1" t="s">
        <v>153</v>
      </c>
      <c r="N134" s="1" t="s">
        <v>142</v>
      </c>
      <c r="O134" s="1" t="s">
        <v>150</v>
      </c>
      <c r="P134">
        <v>-6896.27</v>
      </c>
      <c r="Q134" s="1" t="s">
        <v>144</v>
      </c>
    </row>
    <row r="135" spans="1:17" x14ac:dyDescent="0.2">
      <c r="A135" s="1" t="s">
        <v>270</v>
      </c>
      <c r="B135">
        <v>134</v>
      </c>
      <c r="C135" s="1" t="s">
        <v>28</v>
      </c>
      <c r="D135" s="1" t="s">
        <v>112</v>
      </c>
      <c r="E135" s="1" t="s">
        <v>296</v>
      </c>
      <c r="F135" s="1" t="s">
        <v>594</v>
      </c>
      <c r="G135">
        <v>4</v>
      </c>
      <c r="H135">
        <v>17</v>
      </c>
      <c r="I135" s="1" t="s">
        <v>286</v>
      </c>
      <c r="J135" s="1" t="s">
        <v>287</v>
      </c>
      <c r="K135" s="1" t="s">
        <v>244</v>
      </c>
      <c r="L135" s="1" t="s">
        <v>288</v>
      </c>
      <c r="M135" s="1" t="s">
        <v>142</v>
      </c>
      <c r="N135" s="1" t="s">
        <v>142</v>
      </c>
      <c r="O135" s="1" t="s">
        <v>150</v>
      </c>
      <c r="P135">
        <v>-8100.28</v>
      </c>
      <c r="Q135" s="1" t="s">
        <v>144</v>
      </c>
    </row>
    <row r="136" spans="1:17" x14ac:dyDescent="0.2">
      <c r="A136" s="1" t="s">
        <v>271</v>
      </c>
      <c r="B136">
        <v>135</v>
      </c>
      <c r="C136" s="1" t="s">
        <v>28</v>
      </c>
      <c r="D136" s="1" t="s">
        <v>112</v>
      </c>
      <c r="E136" s="1" t="s">
        <v>326</v>
      </c>
      <c r="F136" s="1" t="s">
        <v>621</v>
      </c>
      <c r="G136">
        <v>4</v>
      </c>
      <c r="H136">
        <v>18</v>
      </c>
      <c r="I136" s="1" t="s">
        <v>151</v>
      </c>
      <c r="J136" s="1" t="s">
        <v>152</v>
      </c>
      <c r="K136" s="1" t="s">
        <v>139</v>
      </c>
      <c r="L136" s="1" t="s">
        <v>140</v>
      </c>
      <c r="M136" s="1" t="s">
        <v>153</v>
      </c>
      <c r="N136" s="1" t="s">
        <v>142</v>
      </c>
      <c r="O136" s="1" t="s">
        <v>150</v>
      </c>
      <c r="P136">
        <v>-200</v>
      </c>
      <c r="Q136" s="1" t="s">
        <v>144</v>
      </c>
    </row>
    <row r="137" spans="1:17" x14ac:dyDescent="0.2">
      <c r="A137" s="1" t="s">
        <v>272</v>
      </c>
      <c r="B137">
        <v>136</v>
      </c>
      <c r="C137" s="1" t="s">
        <v>28</v>
      </c>
      <c r="D137" s="1" t="s">
        <v>112</v>
      </c>
      <c r="E137" s="1" t="s">
        <v>326</v>
      </c>
      <c r="F137" s="1" t="s">
        <v>621</v>
      </c>
      <c r="G137">
        <v>4</v>
      </c>
      <c r="H137">
        <v>18</v>
      </c>
      <c r="I137" s="1" t="s">
        <v>151</v>
      </c>
      <c r="J137" s="1" t="s">
        <v>152</v>
      </c>
      <c r="K137" s="1" t="s">
        <v>139</v>
      </c>
      <c r="L137" s="1" t="s">
        <v>140</v>
      </c>
      <c r="M137" s="1" t="s">
        <v>153</v>
      </c>
      <c r="N137" s="1" t="s">
        <v>142</v>
      </c>
      <c r="O137" s="1" t="s">
        <v>143</v>
      </c>
      <c r="P137">
        <v>14854.77</v>
      </c>
      <c r="Q137" s="1" t="s">
        <v>144</v>
      </c>
    </row>
    <row r="138" spans="1:17" x14ac:dyDescent="0.2">
      <c r="A138" s="1" t="s">
        <v>273</v>
      </c>
      <c r="B138">
        <v>137</v>
      </c>
      <c r="C138" s="1" t="s">
        <v>28</v>
      </c>
      <c r="D138" s="1" t="s">
        <v>112</v>
      </c>
      <c r="E138" s="1" t="s">
        <v>326</v>
      </c>
      <c r="F138" s="1" t="s">
        <v>621</v>
      </c>
      <c r="G138">
        <v>4</v>
      </c>
      <c r="H138">
        <v>18</v>
      </c>
      <c r="I138" s="1" t="s">
        <v>281</v>
      </c>
      <c r="J138" s="1" t="s">
        <v>282</v>
      </c>
      <c r="K138" s="1" t="s">
        <v>139</v>
      </c>
      <c r="L138" s="1" t="s">
        <v>140</v>
      </c>
      <c r="M138" s="1" t="s">
        <v>153</v>
      </c>
      <c r="N138" s="1" t="s">
        <v>142</v>
      </c>
      <c r="O138" s="1" t="s">
        <v>150</v>
      </c>
      <c r="P138">
        <v>-14854.77</v>
      </c>
      <c r="Q138" s="1" t="s">
        <v>144</v>
      </c>
    </row>
    <row r="139" spans="1:17" x14ac:dyDescent="0.2">
      <c r="A139" s="1" t="s">
        <v>274</v>
      </c>
      <c r="B139">
        <v>138</v>
      </c>
      <c r="C139" s="1" t="s">
        <v>28</v>
      </c>
      <c r="D139" s="1" t="s">
        <v>112</v>
      </c>
      <c r="E139" s="1" t="s">
        <v>326</v>
      </c>
      <c r="F139" s="1" t="s">
        <v>621</v>
      </c>
      <c r="G139">
        <v>4</v>
      </c>
      <c r="H139">
        <v>18</v>
      </c>
      <c r="I139" s="1" t="s">
        <v>281</v>
      </c>
      <c r="J139" s="1" t="s">
        <v>282</v>
      </c>
      <c r="K139" s="1" t="s">
        <v>139</v>
      </c>
      <c r="L139" s="1" t="s">
        <v>140</v>
      </c>
      <c r="M139" s="1" t="s">
        <v>153</v>
      </c>
      <c r="N139" s="1" t="s">
        <v>142</v>
      </c>
      <c r="O139" s="1" t="s">
        <v>143</v>
      </c>
      <c r="P139">
        <v>18111.5</v>
      </c>
      <c r="Q139" s="1" t="s">
        <v>144</v>
      </c>
    </row>
    <row r="140" spans="1:17" x14ac:dyDescent="0.2">
      <c r="A140" s="1" t="s">
        <v>275</v>
      </c>
      <c r="B140">
        <v>139</v>
      </c>
      <c r="C140" s="1" t="s">
        <v>28</v>
      </c>
      <c r="D140" s="1" t="s">
        <v>112</v>
      </c>
      <c r="E140" s="1" t="s">
        <v>326</v>
      </c>
      <c r="F140" s="1" t="s">
        <v>621</v>
      </c>
      <c r="G140">
        <v>4</v>
      </c>
      <c r="H140">
        <v>18</v>
      </c>
      <c r="I140" s="1" t="s">
        <v>283</v>
      </c>
      <c r="J140" s="1" t="s">
        <v>284</v>
      </c>
      <c r="K140" s="1" t="s">
        <v>244</v>
      </c>
      <c r="L140" s="1" t="s">
        <v>285</v>
      </c>
      <c r="M140" s="1" t="s">
        <v>142</v>
      </c>
      <c r="N140" s="1" t="s">
        <v>142</v>
      </c>
      <c r="O140" s="1" t="s">
        <v>143</v>
      </c>
      <c r="P140">
        <v>15052.02</v>
      </c>
      <c r="Q140" s="1" t="s">
        <v>144</v>
      </c>
    </row>
    <row r="141" spans="1:17" x14ac:dyDescent="0.2">
      <c r="A141" s="1" t="s">
        <v>276</v>
      </c>
      <c r="B141">
        <v>140</v>
      </c>
      <c r="C141" s="1" t="s">
        <v>28</v>
      </c>
      <c r="D141" s="1" t="s">
        <v>112</v>
      </c>
      <c r="E141" s="1" t="s">
        <v>326</v>
      </c>
      <c r="F141" s="1" t="s">
        <v>621</v>
      </c>
      <c r="G141">
        <v>4</v>
      </c>
      <c r="H141">
        <v>18</v>
      </c>
      <c r="I141" s="1" t="s">
        <v>242</v>
      </c>
      <c r="J141" s="1" t="s">
        <v>243</v>
      </c>
      <c r="K141" s="1" t="s">
        <v>244</v>
      </c>
      <c r="L141" s="1" t="s">
        <v>245</v>
      </c>
      <c r="M141" s="1" t="s">
        <v>142</v>
      </c>
      <c r="N141" s="1" t="s">
        <v>142</v>
      </c>
      <c r="O141" s="1" t="s">
        <v>143</v>
      </c>
      <c r="P141">
        <v>200</v>
      </c>
      <c r="Q141" s="1" t="s">
        <v>144</v>
      </c>
    </row>
    <row r="142" spans="1:17" x14ac:dyDescent="0.2">
      <c r="A142" s="1" t="s">
        <v>277</v>
      </c>
      <c r="B142">
        <v>141</v>
      </c>
      <c r="C142" s="1" t="s">
        <v>28</v>
      </c>
      <c r="D142" s="1" t="s">
        <v>112</v>
      </c>
      <c r="E142" s="1" t="s">
        <v>326</v>
      </c>
      <c r="F142" s="1" t="s">
        <v>621</v>
      </c>
      <c r="G142">
        <v>4</v>
      </c>
      <c r="H142">
        <v>18</v>
      </c>
      <c r="I142" s="1" t="s">
        <v>240</v>
      </c>
      <c r="J142" s="1" t="s">
        <v>241</v>
      </c>
      <c r="K142" s="1" t="s">
        <v>139</v>
      </c>
      <c r="L142" s="1" t="s">
        <v>140</v>
      </c>
      <c r="M142" s="1" t="s">
        <v>153</v>
      </c>
      <c r="N142" s="1" t="s">
        <v>142</v>
      </c>
      <c r="O142" s="1" t="s">
        <v>150</v>
      </c>
      <c r="P142">
        <v>-15052.02</v>
      </c>
      <c r="Q142" s="1" t="s">
        <v>144</v>
      </c>
    </row>
    <row r="143" spans="1:17" x14ac:dyDescent="0.2">
      <c r="A143" s="1" t="s">
        <v>278</v>
      </c>
      <c r="B143">
        <v>142</v>
      </c>
      <c r="C143" s="1" t="s">
        <v>28</v>
      </c>
      <c r="D143" s="1" t="s">
        <v>112</v>
      </c>
      <c r="E143" s="1" t="s">
        <v>326</v>
      </c>
      <c r="F143" s="1" t="s">
        <v>621</v>
      </c>
      <c r="G143">
        <v>4</v>
      </c>
      <c r="H143">
        <v>18</v>
      </c>
      <c r="I143" s="1" t="s">
        <v>286</v>
      </c>
      <c r="J143" s="1" t="s">
        <v>287</v>
      </c>
      <c r="K143" s="1" t="s">
        <v>244</v>
      </c>
      <c r="L143" s="1" t="s">
        <v>288</v>
      </c>
      <c r="M143" s="1" t="s">
        <v>142</v>
      </c>
      <c r="N143" s="1" t="s">
        <v>142</v>
      </c>
      <c r="O143" s="1" t="s">
        <v>150</v>
      </c>
      <c r="P143">
        <v>-18111.5</v>
      </c>
      <c r="Q143" s="1" t="s">
        <v>144</v>
      </c>
    </row>
    <row r="144" spans="1:17" x14ac:dyDescent="0.2">
      <c r="A144" s="1" t="s">
        <v>279</v>
      </c>
      <c r="B144">
        <v>143</v>
      </c>
      <c r="C144" s="1" t="s">
        <v>28</v>
      </c>
      <c r="D144" s="1" t="s">
        <v>112</v>
      </c>
      <c r="E144" s="1" t="s">
        <v>357</v>
      </c>
      <c r="F144" s="1" t="s">
        <v>651</v>
      </c>
      <c r="G144">
        <v>4</v>
      </c>
      <c r="H144">
        <v>19</v>
      </c>
      <c r="I144" s="1" t="s">
        <v>151</v>
      </c>
      <c r="J144" s="1" t="s">
        <v>152</v>
      </c>
      <c r="K144" s="1" t="s">
        <v>139</v>
      </c>
      <c r="L144" s="1" t="s">
        <v>140</v>
      </c>
      <c r="M144" s="1" t="s">
        <v>153</v>
      </c>
      <c r="N144" s="1" t="s">
        <v>142</v>
      </c>
      <c r="O144" s="1" t="s">
        <v>150</v>
      </c>
      <c r="P144">
        <v>-300</v>
      </c>
      <c r="Q144" s="1" t="s">
        <v>144</v>
      </c>
    </row>
    <row r="145" spans="1:17" x14ac:dyDescent="0.2">
      <c r="A145" s="1" t="s">
        <v>280</v>
      </c>
      <c r="B145">
        <v>144</v>
      </c>
      <c r="C145" s="1" t="s">
        <v>28</v>
      </c>
      <c r="D145" s="1" t="s">
        <v>112</v>
      </c>
      <c r="E145" s="1" t="s">
        <v>357</v>
      </c>
      <c r="F145" s="1" t="s">
        <v>651</v>
      </c>
      <c r="G145">
        <v>4</v>
      </c>
      <c r="H145">
        <v>19</v>
      </c>
      <c r="I145" s="1" t="s">
        <v>151</v>
      </c>
      <c r="J145" s="1" t="s">
        <v>152</v>
      </c>
      <c r="K145" s="1" t="s">
        <v>139</v>
      </c>
      <c r="L145" s="1" t="s">
        <v>140</v>
      </c>
      <c r="M145" s="1" t="s">
        <v>153</v>
      </c>
      <c r="N145" s="1" t="s">
        <v>142</v>
      </c>
      <c r="O145" s="1" t="s">
        <v>143</v>
      </c>
      <c r="P145">
        <v>17157.349999999999</v>
      </c>
      <c r="Q145" s="1" t="s">
        <v>144</v>
      </c>
    </row>
    <row r="146" spans="1:17" x14ac:dyDescent="0.2">
      <c r="A146" s="1" t="s">
        <v>295</v>
      </c>
      <c r="B146">
        <v>145</v>
      </c>
      <c r="C146" s="1" t="s">
        <v>28</v>
      </c>
      <c r="D146" s="1" t="s">
        <v>112</v>
      </c>
      <c r="E146" s="1" t="s">
        <v>357</v>
      </c>
      <c r="F146" s="1" t="s">
        <v>651</v>
      </c>
      <c r="G146">
        <v>4</v>
      </c>
      <c r="H146">
        <v>19</v>
      </c>
      <c r="I146" s="1" t="s">
        <v>281</v>
      </c>
      <c r="J146" s="1" t="s">
        <v>282</v>
      </c>
      <c r="K146" s="1" t="s">
        <v>139</v>
      </c>
      <c r="L146" s="1" t="s">
        <v>140</v>
      </c>
      <c r="M146" s="1" t="s">
        <v>153</v>
      </c>
      <c r="N146" s="1" t="s">
        <v>142</v>
      </c>
      <c r="O146" s="1" t="s">
        <v>150</v>
      </c>
      <c r="P146">
        <v>-17157.349999999999</v>
      </c>
      <c r="Q146" s="1" t="s">
        <v>144</v>
      </c>
    </row>
    <row r="147" spans="1:17" x14ac:dyDescent="0.2">
      <c r="A147" s="1" t="s">
        <v>298</v>
      </c>
      <c r="B147">
        <v>146</v>
      </c>
      <c r="C147" s="1" t="s">
        <v>28</v>
      </c>
      <c r="D147" s="1" t="s">
        <v>112</v>
      </c>
      <c r="E147" s="1" t="s">
        <v>357</v>
      </c>
      <c r="F147" s="1" t="s">
        <v>651</v>
      </c>
      <c r="G147">
        <v>4</v>
      </c>
      <c r="H147">
        <v>19</v>
      </c>
      <c r="I147" s="1" t="s">
        <v>281</v>
      </c>
      <c r="J147" s="1" t="s">
        <v>282</v>
      </c>
      <c r="K147" s="1" t="s">
        <v>139</v>
      </c>
      <c r="L147" s="1" t="s">
        <v>140</v>
      </c>
      <c r="M147" s="1" t="s">
        <v>153</v>
      </c>
      <c r="N147" s="1" t="s">
        <v>142</v>
      </c>
      <c r="O147" s="1" t="s">
        <v>143</v>
      </c>
      <c r="P147">
        <v>12344.56</v>
      </c>
      <c r="Q147" s="1" t="s">
        <v>144</v>
      </c>
    </row>
    <row r="148" spans="1:17" x14ac:dyDescent="0.2">
      <c r="A148" s="1" t="s">
        <v>299</v>
      </c>
      <c r="B148">
        <v>147</v>
      </c>
      <c r="C148" s="1" t="s">
        <v>28</v>
      </c>
      <c r="D148" s="1" t="s">
        <v>112</v>
      </c>
      <c r="E148" s="1" t="s">
        <v>357</v>
      </c>
      <c r="F148" s="1" t="s">
        <v>651</v>
      </c>
      <c r="G148">
        <v>4</v>
      </c>
      <c r="H148">
        <v>19</v>
      </c>
      <c r="I148" s="1" t="s">
        <v>283</v>
      </c>
      <c r="J148" s="1" t="s">
        <v>284</v>
      </c>
      <c r="K148" s="1" t="s">
        <v>244</v>
      </c>
      <c r="L148" s="1" t="s">
        <v>285</v>
      </c>
      <c r="M148" s="1" t="s">
        <v>142</v>
      </c>
      <c r="N148" s="1" t="s">
        <v>142</v>
      </c>
      <c r="O148" s="1" t="s">
        <v>143</v>
      </c>
      <c r="P148">
        <v>10472.81</v>
      </c>
      <c r="Q148" s="1" t="s">
        <v>144</v>
      </c>
    </row>
    <row r="149" spans="1:17" x14ac:dyDescent="0.2">
      <c r="A149" s="1" t="s">
        <v>300</v>
      </c>
      <c r="B149">
        <v>148</v>
      </c>
      <c r="C149" s="1" t="s">
        <v>28</v>
      </c>
      <c r="D149" s="1" t="s">
        <v>112</v>
      </c>
      <c r="E149" s="1" t="s">
        <v>357</v>
      </c>
      <c r="F149" s="1" t="s">
        <v>651</v>
      </c>
      <c r="G149">
        <v>4</v>
      </c>
      <c r="H149">
        <v>19</v>
      </c>
      <c r="I149" s="1" t="s">
        <v>242</v>
      </c>
      <c r="J149" s="1" t="s">
        <v>243</v>
      </c>
      <c r="K149" s="1" t="s">
        <v>244</v>
      </c>
      <c r="L149" s="1" t="s">
        <v>245</v>
      </c>
      <c r="M149" s="1" t="s">
        <v>142</v>
      </c>
      <c r="N149" s="1" t="s">
        <v>142</v>
      </c>
      <c r="O149" s="1" t="s">
        <v>143</v>
      </c>
      <c r="P149">
        <v>300</v>
      </c>
      <c r="Q149" s="1" t="s">
        <v>144</v>
      </c>
    </row>
    <row r="150" spans="1:17" x14ac:dyDescent="0.2">
      <c r="A150" s="1" t="s">
        <v>301</v>
      </c>
      <c r="B150">
        <v>149</v>
      </c>
      <c r="C150" s="1" t="s">
        <v>28</v>
      </c>
      <c r="D150" s="1" t="s">
        <v>112</v>
      </c>
      <c r="E150" s="1" t="s">
        <v>357</v>
      </c>
      <c r="F150" s="1" t="s">
        <v>651</v>
      </c>
      <c r="G150">
        <v>4</v>
      </c>
      <c r="H150">
        <v>19</v>
      </c>
      <c r="I150" s="1" t="s">
        <v>240</v>
      </c>
      <c r="J150" s="1" t="s">
        <v>241</v>
      </c>
      <c r="K150" s="1" t="s">
        <v>139</v>
      </c>
      <c r="L150" s="1" t="s">
        <v>140</v>
      </c>
      <c r="M150" s="1" t="s">
        <v>153</v>
      </c>
      <c r="N150" s="1" t="s">
        <v>142</v>
      </c>
      <c r="O150" s="1" t="s">
        <v>150</v>
      </c>
      <c r="P150">
        <v>-10472.81</v>
      </c>
      <c r="Q150" s="1" t="s">
        <v>144</v>
      </c>
    </row>
    <row r="151" spans="1:17" x14ac:dyDescent="0.2">
      <c r="A151" s="1" t="s">
        <v>302</v>
      </c>
      <c r="B151">
        <v>150</v>
      </c>
      <c r="C151" s="1" t="s">
        <v>28</v>
      </c>
      <c r="D151" s="1" t="s">
        <v>112</v>
      </c>
      <c r="E151" s="1" t="s">
        <v>357</v>
      </c>
      <c r="F151" s="1" t="s">
        <v>651</v>
      </c>
      <c r="G151">
        <v>4</v>
      </c>
      <c r="H151">
        <v>19</v>
      </c>
      <c r="I151" s="1" t="s">
        <v>286</v>
      </c>
      <c r="J151" s="1" t="s">
        <v>287</v>
      </c>
      <c r="K151" s="1" t="s">
        <v>244</v>
      </c>
      <c r="L151" s="1" t="s">
        <v>288</v>
      </c>
      <c r="M151" s="1" t="s">
        <v>142</v>
      </c>
      <c r="N151" s="1" t="s">
        <v>142</v>
      </c>
      <c r="O151" s="1" t="s">
        <v>150</v>
      </c>
      <c r="P151">
        <v>-12344.56</v>
      </c>
      <c r="Q151" s="1" t="s">
        <v>144</v>
      </c>
    </row>
    <row r="152" spans="1:17" x14ac:dyDescent="0.2">
      <c r="A152" s="1" t="s">
        <v>303</v>
      </c>
      <c r="B152">
        <v>151</v>
      </c>
      <c r="C152" s="1" t="s">
        <v>28</v>
      </c>
      <c r="D152" s="1" t="s">
        <v>112</v>
      </c>
      <c r="E152" s="1" t="s">
        <v>387</v>
      </c>
      <c r="F152" s="1" t="s">
        <v>682</v>
      </c>
      <c r="G152">
        <v>4</v>
      </c>
      <c r="H152">
        <v>20</v>
      </c>
      <c r="I152" s="1" t="s">
        <v>151</v>
      </c>
      <c r="J152" s="1" t="s">
        <v>152</v>
      </c>
      <c r="K152" s="1" t="s">
        <v>139</v>
      </c>
      <c r="L152" s="1" t="s">
        <v>140</v>
      </c>
      <c r="M152" s="1" t="s">
        <v>153</v>
      </c>
      <c r="N152" s="1" t="s">
        <v>142</v>
      </c>
      <c r="O152" s="1" t="s">
        <v>150</v>
      </c>
      <c r="P152">
        <v>-300</v>
      </c>
      <c r="Q152" s="1" t="s">
        <v>144</v>
      </c>
    </row>
    <row r="153" spans="1:17" x14ac:dyDescent="0.2">
      <c r="A153" s="1" t="s">
        <v>304</v>
      </c>
      <c r="B153">
        <v>152</v>
      </c>
      <c r="C153" s="1" t="s">
        <v>28</v>
      </c>
      <c r="D153" s="1" t="s">
        <v>112</v>
      </c>
      <c r="E153" s="1" t="s">
        <v>387</v>
      </c>
      <c r="F153" s="1" t="s">
        <v>682</v>
      </c>
      <c r="G153">
        <v>4</v>
      </c>
      <c r="H153">
        <v>20</v>
      </c>
      <c r="I153" s="1" t="s">
        <v>151</v>
      </c>
      <c r="J153" s="1" t="s">
        <v>152</v>
      </c>
      <c r="K153" s="1" t="s">
        <v>139</v>
      </c>
      <c r="L153" s="1" t="s">
        <v>140</v>
      </c>
      <c r="M153" s="1" t="s">
        <v>153</v>
      </c>
      <c r="N153" s="1" t="s">
        <v>142</v>
      </c>
      <c r="O153" s="1" t="s">
        <v>143</v>
      </c>
      <c r="P153">
        <v>17162.72</v>
      </c>
      <c r="Q153" s="1" t="s">
        <v>144</v>
      </c>
    </row>
    <row r="154" spans="1:17" x14ac:dyDescent="0.2">
      <c r="A154" s="1" t="s">
        <v>305</v>
      </c>
      <c r="B154">
        <v>153</v>
      </c>
      <c r="C154" s="1" t="s">
        <v>28</v>
      </c>
      <c r="D154" s="1" t="s">
        <v>112</v>
      </c>
      <c r="E154" s="1" t="s">
        <v>387</v>
      </c>
      <c r="F154" s="1" t="s">
        <v>682</v>
      </c>
      <c r="G154">
        <v>4</v>
      </c>
      <c r="H154">
        <v>20</v>
      </c>
      <c r="I154" s="1" t="s">
        <v>281</v>
      </c>
      <c r="J154" s="1" t="s">
        <v>282</v>
      </c>
      <c r="K154" s="1" t="s">
        <v>139</v>
      </c>
      <c r="L154" s="1" t="s">
        <v>140</v>
      </c>
      <c r="M154" s="1" t="s">
        <v>153</v>
      </c>
      <c r="N154" s="1" t="s">
        <v>142</v>
      </c>
      <c r="O154" s="1" t="s">
        <v>150</v>
      </c>
      <c r="P154">
        <v>-17162.72</v>
      </c>
      <c r="Q154" s="1" t="s">
        <v>144</v>
      </c>
    </row>
    <row r="155" spans="1:17" x14ac:dyDescent="0.2">
      <c r="A155" s="1" t="s">
        <v>306</v>
      </c>
      <c r="B155">
        <v>154</v>
      </c>
      <c r="C155" s="1" t="s">
        <v>28</v>
      </c>
      <c r="D155" s="1" t="s">
        <v>112</v>
      </c>
      <c r="E155" s="1" t="s">
        <v>387</v>
      </c>
      <c r="F155" s="1" t="s">
        <v>682</v>
      </c>
      <c r="G155">
        <v>4</v>
      </c>
      <c r="H155">
        <v>20</v>
      </c>
      <c r="I155" s="1" t="s">
        <v>281</v>
      </c>
      <c r="J155" s="1" t="s">
        <v>282</v>
      </c>
      <c r="K155" s="1" t="s">
        <v>139</v>
      </c>
      <c r="L155" s="1" t="s">
        <v>140</v>
      </c>
      <c r="M155" s="1" t="s">
        <v>153</v>
      </c>
      <c r="N155" s="1" t="s">
        <v>142</v>
      </c>
      <c r="O155" s="1" t="s">
        <v>143</v>
      </c>
      <c r="P155">
        <v>2387.39</v>
      </c>
      <c r="Q155" s="1" t="s">
        <v>144</v>
      </c>
    </row>
    <row r="156" spans="1:17" x14ac:dyDescent="0.2">
      <c r="A156" s="1" t="s">
        <v>307</v>
      </c>
      <c r="B156">
        <v>155</v>
      </c>
      <c r="C156" s="1" t="s">
        <v>28</v>
      </c>
      <c r="D156" s="1" t="s">
        <v>112</v>
      </c>
      <c r="E156" s="1" t="s">
        <v>387</v>
      </c>
      <c r="F156" s="1" t="s">
        <v>682</v>
      </c>
      <c r="G156">
        <v>4</v>
      </c>
      <c r="H156">
        <v>20</v>
      </c>
      <c r="I156" s="1" t="s">
        <v>283</v>
      </c>
      <c r="J156" s="1" t="s">
        <v>284</v>
      </c>
      <c r="K156" s="1" t="s">
        <v>244</v>
      </c>
      <c r="L156" s="1" t="s">
        <v>285</v>
      </c>
      <c r="M156" s="1" t="s">
        <v>142</v>
      </c>
      <c r="N156" s="1" t="s">
        <v>142</v>
      </c>
      <c r="O156" s="1" t="s">
        <v>143</v>
      </c>
      <c r="P156">
        <v>1892.65</v>
      </c>
      <c r="Q156" s="1" t="s">
        <v>144</v>
      </c>
    </row>
    <row r="157" spans="1:17" x14ac:dyDescent="0.2">
      <c r="A157" s="1" t="s">
        <v>308</v>
      </c>
      <c r="B157">
        <v>156</v>
      </c>
      <c r="C157" s="1" t="s">
        <v>28</v>
      </c>
      <c r="D157" s="1" t="s">
        <v>112</v>
      </c>
      <c r="E157" s="1" t="s">
        <v>387</v>
      </c>
      <c r="F157" s="1" t="s">
        <v>682</v>
      </c>
      <c r="G157">
        <v>4</v>
      </c>
      <c r="H157">
        <v>20</v>
      </c>
      <c r="I157" s="1" t="s">
        <v>242</v>
      </c>
      <c r="J157" s="1" t="s">
        <v>243</v>
      </c>
      <c r="K157" s="1" t="s">
        <v>244</v>
      </c>
      <c r="L157" s="1" t="s">
        <v>245</v>
      </c>
      <c r="M157" s="1" t="s">
        <v>142</v>
      </c>
      <c r="N157" s="1" t="s">
        <v>142</v>
      </c>
      <c r="O157" s="1" t="s">
        <v>143</v>
      </c>
      <c r="P157">
        <v>300</v>
      </c>
      <c r="Q157" s="1" t="s">
        <v>144</v>
      </c>
    </row>
    <row r="158" spans="1:17" x14ac:dyDescent="0.2">
      <c r="A158" s="1" t="s">
        <v>309</v>
      </c>
      <c r="B158">
        <v>157</v>
      </c>
      <c r="C158" s="1" t="s">
        <v>28</v>
      </c>
      <c r="D158" s="1" t="s">
        <v>112</v>
      </c>
      <c r="E158" s="1" t="s">
        <v>387</v>
      </c>
      <c r="F158" s="1" t="s">
        <v>682</v>
      </c>
      <c r="G158">
        <v>4</v>
      </c>
      <c r="H158">
        <v>20</v>
      </c>
      <c r="I158" s="1" t="s">
        <v>240</v>
      </c>
      <c r="J158" s="1" t="s">
        <v>241</v>
      </c>
      <c r="K158" s="1" t="s">
        <v>139</v>
      </c>
      <c r="L158" s="1" t="s">
        <v>140</v>
      </c>
      <c r="M158" s="1" t="s">
        <v>153</v>
      </c>
      <c r="N158" s="1" t="s">
        <v>142</v>
      </c>
      <c r="O158" s="1" t="s">
        <v>150</v>
      </c>
      <c r="P158">
        <v>-1892.65</v>
      </c>
      <c r="Q158" s="1" t="s">
        <v>144</v>
      </c>
    </row>
    <row r="159" spans="1:17" x14ac:dyDescent="0.2">
      <c r="A159" s="1" t="s">
        <v>310</v>
      </c>
      <c r="B159">
        <v>158</v>
      </c>
      <c r="C159" s="1" t="s">
        <v>28</v>
      </c>
      <c r="D159" s="1" t="s">
        <v>112</v>
      </c>
      <c r="E159" s="1" t="s">
        <v>387</v>
      </c>
      <c r="F159" s="1" t="s">
        <v>682</v>
      </c>
      <c r="G159">
        <v>4</v>
      </c>
      <c r="H159">
        <v>20</v>
      </c>
      <c r="I159" s="1" t="s">
        <v>286</v>
      </c>
      <c r="J159" s="1" t="s">
        <v>287</v>
      </c>
      <c r="K159" s="1" t="s">
        <v>244</v>
      </c>
      <c r="L159" s="1" t="s">
        <v>288</v>
      </c>
      <c r="M159" s="1" t="s">
        <v>142</v>
      </c>
      <c r="N159" s="1" t="s">
        <v>142</v>
      </c>
      <c r="O159" s="1" t="s">
        <v>150</v>
      </c>
      <c r="P159">
        <v>-2387.39</v>
      </c>
      <c r="Q159" s="1" t="s">
        <v>144</v>
      </c>
    </row>
    <row r="160" spans="1:17" x14ac:dyDescent="0.2">
      <c r="A160" s="1" t="s">
        <v>311</v>
      </c>
      <c r="B160">
        <v>159</v>
      </c>
      <c r="C160" s="1" t="s">
        <v>28</v>
      </c>
      <c r="D160" s="1" t="s">
        <v>31</v>
      </c>
      <c r="E160" s="1" t="s">
        <v>81</v>
      </c>
      <c r="F160" s="1" t="s">
        <v>709</v>
      </c>
      <c r="G160">
        <v>5</v>
      </c>
      <c r="H160">
        <v>21</v>
      </c>
      <c r="I160" s="1" t="s">
        <v>151</v>
      </c>
      <c r="J160" s="1" t="s">
        <v>152</v>
      </c>
      <c r="K160" s="1" t="s">
        <v>139</v>
      </c>
      <c r="L160" s="1" t="s">
        <v>140</v>
      </c>
      <c r="M160" s="1" t="s">
        <v>153</v>
      </c>
      <c r="N160" s="1" t="s">
        <v>142</v>
      </c>
      <c r="O160" s="1" t="s">
        <v>150</v>
      </c>
      <c r="P160">
        <v>-41342.25</v>
      </c>
      <c r="Q160" s="1" t="s">
        <v>144</v>
      </c>
    </row>
    <row r="161" spans="1:17" x14ac:dyDescent="0.2">
      <c r="A161" s="1" t="s">
        <v>312</v>
      </c>
      <c r="B161">
        <v>160</v>
      </c>
      <c r="C161" s="1" t="s">
        <v>28</v>
      </c>
      <c r="D161" s="1" t="s">
        <v>31</v>
      </c>
      <c r="E161" s="1" t="s">
        <v>81</v>
      </c>
      <c r="F161" s="1" t="s">
        <v>709</v>
      </c>
      <c r="G161">
        <v>5</v>
      </c>
      <c r="H161">
        <v>21</v>
      </c>
      <c r="I161" s="1" t="s">
        <v>151</v>
      </c>
      <c r="J161" s="1" t="s">
        <v>152</v>
      </c>
      <c r="K161" s="1" t="s">
        <v>139</v>
      </c>
      <c r="L161" s="1" t="s">
        <v>140</v>
      </c>
      <c r="M161" s="1" t="s">
        <v>153</v>
      </c>
      <c r="N161" s="1" t="s">
        <v>142</v>
      </c>
      <c r="O161" s="1" t="s">
        <v>143</v>
      </c>
      <c r="P161">
        <v>8100.28</v>
      </c>
      <c r="Q161" s="1" t="s">
        <v>144</v>
      </c>
    </row>
    <row r="162" spans="1:17" x14ac:dyDescent="0.2">
      <c r="A162" s="1" t="s">
        <v>313</v>
      </c>
      <c r="B162">
        <v>161</v>
      </c>
      <c r="C162" s="1" t="s">
        <v>28</v>
      </c>
      <c r="D162" s="1" t="s">
        <v>31</v>
      </c>
      <c r="E162" s="1" t="s">
        <v>81</v>
      </c>
      <c r="F162" s="1" t="s">
        <v>709</v>
      </c>
      <c r="G162">
        <v>5</v>
      </c>
      <c r="H162">
        <v>21</v>
      </c>
      <c r="I162" s="1" t="s">
        <v>281</v>
      </c>
      <c r="J162" s="1" t="s">
        <v>282</v>
      </c>
      <c r="K162" s="1" t="s">
        <v>139</v>
      </c>
      <c r="L162" s="1" t="s">
        <v>140</v>
      </c>
      <c r="M162" s="1" t="s">
        <v>153</v>
      </c>
      <c r="N162" s="1" t="s">
        <v>142</v>
      </c>
      <c r="O162" s="1" t="s">
        <v>150</v>
      </c>
      <c r="P162">
        <v>-8100.28</v>
      </c>
      <c r="Q162" s="1" t="s">
        <v>144</v>
      </c>
    </row>
    <row r="163" spans="1:17" x14ac:dyDescent="0.2">
      <c r="A163" s="1" t="s">
        <v>314</v>
      </c>
      <c r="B163">
        <v>162</v>
      </c>
      <c r="C163" s="1" t="s">
        <v>28</v>
      </c>
      <c r="D163" s="1" t="s">
        <v>31</v>
      </c>
      <c r="E163" s="1" t="s">
        <v>81</v>
      </c>
      <c r="F163" s="1" t="s">
        <v>709</v>
      </c>
      <c r="G163">
        <v>5</v>
      </c>
      <c r="H163">
        <v>21</v>
      </c>
      <c r="I163" s="1" t="s">
        <v>281</v>
      </c>
      <c r="J163" s="1" t="s">
        <v>282</v>
      </c>
      <c r="K163" s="1" t="s">
        <v>139</v>
      </c>
      <c r="L163" s="1" t="s">
        <v>140</v>
      </c>
      <c r="M163" s="1" t="s">
        <v>153</v>
      </c>
      <c r="N163" s="1" t="s">
        <v>142</v>
      </c>
      <c r="O163" s="1" t="s">
        <v>143</v>
      </c>
      <c r="P163">
        <v>4475.72</v>
      </c>
      <c r="Q163" s="1" t="s">
        <v>144</v>
      </c>
    </row>
    <row r="164" spans="1:17" x14ac:dyDescent="0.2">
      <c r="A164" s="1" t="s">
        <v>315</v>
      </c>
      <c r="B164">
        <v>163</v>
      </c>
      <c r="C164" s="1" t="s">
        <v>28</v>
      </c>
      <c r="D164" s="1" t="s">
        <v>31</v>
      </c>
      <c r="E164" s="1" t="s">
        <v>81</v>
      </c>
      <c r="F164" s="1" t="s">
        <v>709</v>
      </c>
      <c r="G164">
        <v>5</v>
      </c>
      <c r="H164">
        <v>21</v>
      </c>
      <c r="I164" s="1" t="s">
        <v>232</v>
      </c>
      <c r="J164" s="1" t="s">
        <v>233</v>
      </c>
      <c r="K164" s="1" t="s">
        <v>139</v>
      </c>
      <c r="L164" s="1" t="s">
        <v>147</v>
      </c>
      <c r="M164" s="1" t="s">
        <v>234</v>
      </c>
      <c r="N164" s="1" t="s">
        <v>235</v>
      </c>
      <c r="O164" s="1" t="s">
        <v>143</v>
      </c>
      <c r="P164">
        <v>41042.25</v>
      </c>
      <c r="Q164" s="1" t="s">
        <v>144</v>
      </c>
    </row>
    <row r="165" spans="1:17" x14ac:dyDescent="0.2">
      <c r="A165" s="1" t="s">
        <v>316</v>
      </c>
      <c r="B165">
        <v>164</v>
      </c>
      <c r="C165" s="1" t="s">
        <v>28</v>
      </c>
      <c r="D165" s="1" t="s">
        <v>31</v>
      </c>
      <c r="E165" s="1" t="s">
        <v>81</v>
      </c>
      <c r="F165" s="1" t="s">
        <v>709</v>
      </c>
      <c r="G165">
        <v>5</v>
      </c>
      <c r="H165">
        <v>21</v>
      </c>
      <c r="I165" s="1" t="s">
        <v>283</v>
      </c>
      <c r="J165" s="1" t="s">
        <v>284</v>
      </c>
      <c r="K165" s="1" t="s">
        <v>244</v>
      </c>
      <c r="L165" s="1" t="s">
        <v>285</v>
      </c>
      <c r="M165" s="1" t="s">
        <v>142</v>
      </c>
      <c r="N165" s="1" t="s">
        <v>142</v>
      </c>
      <c r="O165" s="1" t="s">
        <v>143</v>
      </c>
      <c r="P165">
        <v>3956.39</v>
      </c>
      <c r="Q165" s="1" t="s">
        <v>144</v>
      </c>
    </row>
    <row r="166" spans="1:17" x14ac:dyDescent="0.2">
      <c r="A166" s="1" t="s">
        <v>317</v>
      </c>
      <c r="B166">
        <v>165</v>
      </c>
      <c r="C166" s="1" t="s">
        <v>28</v>
      </c>
      <c r="D166" s="1" t="s">
        <v>31</v>
      </c>
      <c r="E166" s="1" t="s">
        <v>81</v>
      </c>
      <c r="F166" s="1" t="s">
        <v>709</v>
      </c>
      <c r="G166">
        <v>5</v>
      </c>
      <c r="H166">
        <v>21</v>
      </c>
      <c r="I166" s="1" t="s">
        <v>242</v>
      </c>
      <c r="J166" s="1" t="s">
        <v>243</v>
      </c>
      <c r="K166" s="1" t="s">
        <v>244</v>
      </c>
      <c r="L166" s="1" t="s">
        <v>245</v>
      </c>
      <c r="M166" s="1" t="s">
        <v>142</v>
      </c>
      <c r="N166" s="1" t="s">
        <v>142</v>
      </c>
      <c r="O166" s="1" t="s">
        <v>143</v>
      </c>
      <c r="P166">
        <v>300</v>
      </c>
      <c r="Q166" s="1" t="s">
        <v>144</v>
      </c>
    </row>
    <row r="167" spans="1:17" x14ac:dyDescent="0.2">
      <c r="A167" s="1" t="s">
        <v>318</v>
      </c>
      <c r="B167">
        <v>166</v>
      </c>
      <c r="C167" s="1" t="s">
        <v>28</v>
      </c>
      <c r="D167" s="1" t="s">
        <v>31</v>
      </c>
      <c r="E167" s="1" t="s">
        <v>81</v>
      </c>
      <c r="F167" s="1" t="s">
        <v>709</v>
      </c>
      <c r="G167">
        <v>5</v>
      </c>
      <c r="H167">
        <v>21</v>
      </c>
      <c r="I167" s="1" t="s">
        <v>240</v>
      </c>
      <c r="J167" s="1" t="s">
        <v>241</v>
      </c>
      <c r="K167" s="1" t="s">
        <v>139</v>
      </c>
      <c r="L167" s="1" t="s">
        <v>140</v>
      </c>
      <c r="M167" s="1" t="s">
        <v>153</v>
      </c>
      <c r="N167" s="1" t="s">
        <v>142</v>
      </c>
      <c r="O167" s="1" t="s">
        <v>150</v>
      </c>
      <c r="P167">
        <v>-3956.39</v>
      </c>
      <c r="Q167" s="1" t="s">
        <v>144</v>
      </c>
    </row>
    <row r="168" spans="1:17" x14ac:dyDescent="0.2">
      <c r="A168" s="1" t="s">
        <v>319</v>
      </c>
      <c r="B168">
        <v>167</v>
      </c>
      <c r="C168" s="1" t="s">
        <v>28</v>
      </c>
      <c r="D168" s="1" t="s">
        <v>31</v>
      </c>
      <c r="E168" s="1" t="s">
        <v>81</v>
      </c>
      <c r="F168" s="1" t="s">
        <v>709</v>
      </c>
      <c r="G168">
        <v>5</v>
      </c>
      <c r="H168">
        <v>21</v>
      </c>
      <c r="I168" s="1" t="s">
        <v>286</v>
      </c>
      <c r="J168" s="1" t="s">
        <v>287</v>
      </c>
      <c r="K168" s="1" t="s">
        <v>244</v>
      </c>
      <c r="L168" s="1" t="s">
        <v>288</v>
      </c>
      <c r="M168" s="1" t="s">
        <v>142</v>
      </c>
      <c r="N168" s="1" t="s">
        <v>142</v>
      </c>
      <c r="O168" s="1" t="s">
        <v>150</v>
      </c>
      <c r="P168">
        <v>-4475.72</v>
      </c>
      <c r="Q168" s="1" t="s">
        <v>144</v>
      </c>
    </row>
    <row r="169" spans="1:17" x14ac:dyDescent="0.2">
      <c r="A169" s="1" t="s">
        <v>320</v>
      </c>
      <c r="B169">
        <v>168</v>
      </c>
      <c r="C169" s="1" t="s">
        <v>28</v>
      </c>
      <c r="D169" s="1" t="s">
        <v>31</v>
      </c>
      <c r="E169" s="1" t="s">
        <v>112</v>
      </c>
      <c r="F169" s="1" t="s">
        <v>736</v>
      </c>
      <c r="G169">
        <v>5</v>
      </c>
      <c r="H169">
        <v>22</v>
      </c>
      <c r="I169" s="1" t="s">
        <v>151</v>
      </c>
      <c r="J169" s="1" t="s">
        <v>152</v>
      </c>
      <c r="K169" s="1" t="s">
        <v>139</v>
      </c>
      <c r="L169" s="1" t="s">
        <v>140</v>
      </c>
      <c r="M169" s="1" t="s">
        <v>153</v>
      </c>
      <c r="N169" s="1" t="s">
        <v>142</v>
      </c>
      <c r="O169" s="1" t="s">
        <v>150</v>
      </c>
      <c r="P169">
        <v>-200</v>
      </c>
      <c r="Q169" s="1" t="s">
        <v>144</v>
      </c>
    </row>
    <row r="170" spans="1:17" x14ac:dyDescent="0.2">
      <c r="A170" s="1" t="s">
        <v>325</v>
      </c>
      <c r="B170">
        <v>169</v>
      </c>
      <c r="C170" s="1" t="s">
        <v>28</v>
      </c>
      <c r="D170" s="1" t="s">
        <v>31</v>
      </c>
      <c r="E170" s="1" t="s">
        <v>112</v>
      </c>
      <c r="F170" s="1" t="s">
        <v>736</v>
      </c>
      <c r="G170">
        <v>5</v>
      </c>
      <c r="H170">
        <v>22</v>
      </c>
      <c r="I170" s="1" t="s">
        <v>151</v>
      </c>
      <c r="J170" s="1" t="s">
        <v>152</v>
      </c>
      <c r="K170" s="1" t="s">
        <v>139</v>
      </c>
      <c r="L170" s="1" t="s">
        <v>140</v>
      </c>
      <c r="M170" s="1" t="s">
        <v>153</v>
      </c>
      <c r="N170" s="1" t="s">
        <v>142</v>
      </c>
      <c r="O170" s="1" t="s">
        <v>143</v>
      </c>
      <c r="P170">
        <v>18111.5</v>
      </c>
      <c r="Q170" s="1" t="s">
        <v>144</v>
      </c>
    </row>
    <row r="171" spans="1:17" x14ac:dyDescent="0.2">
      <c r="A171" s="1" t="s">
        <v>328</v>
      </c>
      <c r="B171">
        <v>170</v>
      </c>
      <c r="C171" s="1" t="s">
        <v>28</v>
      </c>
      <c r="D171" s="1" t="s">
        <v>31</v>
      </c>
      <c r="E171" s="1" t="s">
        <v>112</v>
      </c>
      <c r="F171" s="1" t="s">
        <v>736</v>
      </c>
      <c r="G171">
        <v>5</v>
      </c>
      <c r="H171">
        <v>22</v>
      </c>
      <c r="I171" s="1" t="s">
        <v>281</v>
      </c>
      <c r="J171" s="1" t="s">
        <v>282</v>
      </c>
      <c r="K171" s="1" t="s">
        <v>139</v>
      </c>
      <c r="L171" s="1" t="s">
        <v>140</v>
      </c>
      <c r="M171" s="1" t="s">
        <v>153</v>
      </c>
      <c r="N171" s="1" t="s">
        <v>142</v>
      </c>
      <c r="O171" s="1" t="s">
        <v>150</v>
      </c>
      <c r="P171">
        <v>-18111.5</v>
      </c>
      <c r="Q171" s="1" t="s">
        <v>144</v>
      </c>
    </row>
    <row r="172" spans="1:17" x14ac:dyDescent="0.2">
      <c r="A172" s="1" t="s">
        <v>329</v>
      </c>
      <c r="B172">
        <v>171</v>
      </c>
      <c r="C172" s="1" t="s">
        <v>28</v>
      </c>
      <c r="D172" s="1" t="s">
        <v>31</v>
      </c>
      <c r="E172" s="1" t="s">
        <v>112</v>
      </c>
      <c r="F172" s="1" t="s">
        <v>736</v>
      </c>
      <c r="G172">
        <v>5</v>
      </c>
      <c r="H172">
        <v>22</v>
      </c>
      <c r="I172" s="1" t="s">
        <v>281</v>
      </c>
      <c r="J172" s="1" t="s">
        <v>282</v>
      </c>
      <c r="K172" s="1" t="s">
        <v>139</v>
      </c>
      <c r="L172" s="1" t="s">
        <v>140</v>
      </c>
      <c r="M172" s="1" t="s">
        <v>153</v>
      </c>
      <c r="N172" s="1" t="s">
        <v>142</v>
      </c>
      <c r="O172" s="1" t="s">
        <v>143</v>
      </c>
      <c r="P172">
        <v>5611.39</v>
      </c>
      <c r="Q172" s="1" t="s">
        <v>144</v>
      </c>
    </row>
    <row r="173" spans="1:17" x14ac:dyDescent="0.2">
      <c r="A173" s="1" t="s">
        <v>330</v>
      </c>
      <c r="B173">
        <v>172</v>
      </c>
      <c r="C173" s="1" t="s">
        <v>28</v>
      </c>
      <c r="D173" s="1" t="s">
        <v>31</v>
      </c>
      <c r="E173" s="1" t="s">
        <v>112</v>
      </c>
      <c r="F173" s="1" t="s">
        <v>736</v>
      </c>
      <c r="G173">
        <v>5</v>
      </c>
      <c r="H173">
        <v>22</v>
      </c>
      <c r="I173" s="1" t="s">
        <v>232</v>
      </c>
      <c r="J173" s="1" t="s">
        <v>233</v>
      </c>
      <c r="K173" s="1" t="s">
        <v>139</v>
      </c>
      <c r="L173" s="1" t="s">
        <v>147</v>
      </c>
      <c r="M173" s="1" t="s">
        <v>234</v>
      </c>
      <c r="N173" s="1" t="s">
        <v>235</v>
      </c>
      <c r="O173" s="1" t="s">
        <v>150</v>
      </c>
      <c r="P173">
        <v>-61112.63</v>
      </c>
      <c r="Q173" s="1" t="s">
        <v>144</v>
      </c>
    </row>
    <row r="174" spans="1:17" x14ac:dyDescent="0.2">
      <c r="A174" s="1" t="s">
        <v>331</v>
      </c>
      <c r="B174">
        <v>173</v>
      </c>
      <c r="C174" s="1" t="s">
        <v>28</v>
      </c>
      <c r="D174" s="1" t="s">
        <v>31</v>
      </c>
      <c r="E174" s="1" t="s">
        <v>112</v>
      </c>
      <c r="F174" s="1" t="s">
        <v>736</v>
      </c>
      <c r="G174">
        <v>5</v>
      </c>
      <c r="H174">
        <v>22</v>
      </c>
      <c r="I174" s="1" t="s">
        <v>236</v>
      </c>
      <c r="J174" s="1" t="s">
        <v>237</v>
      </c>
      <c r="K174" s="1" t="s">
        <v>139</v>
      </c>
      <c r="L174" s="1" t="s">
        <v>147</v>
      </c>
      <c r="M174" s="1" t="s">
        <v>234</v>
      </c>
      <c r="N174" s="1" t="s">
        <v>235</v>
      </c>
      <c r="O174" s="1" t="s">
        <v>150</v>
      </c>
      <c r="P174">
        <v>-60112.63</v>
      </c>
      <c r="Q174" s="1" t="s">
        <v>144</v>
      </c>
    </row>
    <row r="175" spans="1:17" x14ac:dyDescent="0.2">
      <c r="A175" s="1" t="s">
        <v>332</v>
      </c>
      <c r="B175">
        <v>174</v>
      </c>
      <c r="C175" s="1" t="s">
        <v>28</v>
      </c>
      <c r="D175" s="1" t="s">
        <v>31</v>
      </c>
      <c r="E175" s="1" t="s">
        <v>112</v>
      </c>
      <c r="F175" s="1" t="s">
        <v>736</v>
      </c>
      <c r="G175">
        <v>5</v>
      </c>
      <c r="H175">
        <v>22</v>
      </c>
      <c r="I175" s="1" t="s">
        <v>236</v>
      </c>
      <c r="J175" s="1" t="s">
        <v>237</v>
      </c>
      <c r="K175" s="1" t="s">
        <v>139</v>
      </c>
      <c r="L175" s="1" t="s">
        <v>147</v>
      </c>
      <c r="M175" s="1" t="s">
        <v>234</v>
      </c>
      <c r="N175" s="1" t="s">
        <v>235</v>
      </c>
      <c r="O175" s="1" t="s">
        <v>143</v>
      </c>
      <c r="P175">
        <v>60112.63</v>
      </c>
      <c r="Q175" s="1" t="s">
        <v>144</v>
      </c>
    </row>
    <row r="176" spans="1:17" x14ac:dyDescent="0.2">
      <c r="A176" s="1" t="s">
        <v>333</v>
      </c>
      <c r="B176">
        <v>175</v>
      </c>
      <c r="C176" s="1" t="s">
        <v>28</v>
      </c>
      <c r="D176" s="1" t="s">
        <v>31</v>
      </c>
      <c r="E176" s="1" t="s">
        <v>112</v>
      </c>
      <c r="F176" s="1" t="s">
        <v>736</v>
      </c>
      <c r="G176">
        <v>5</v>
      </c>
      <c r="H176">
        <v>22</v>
      </c>
      <c r="I176" s="1" t="s">
        <v>238</v>
      </c>
      <c r="J176" s="1" t="s">
        <v>239</v>
      </c>
      <c r="K176" s="1" t="s">
        <v>139</v>
      </c>
      <c r="L176" s="1" t="s">
        <v>147</v>
      </c>
      <c r="M176" s="1" t="s">
        <v>234</v>
      </c>
      <c r="N176" s="1" t="s">
        <v>235</v>
      </c>
      <c r="O176" s="1" t="s">
        <v>150</v>
      </c>
      <c r="P176">
        <v>-1000</v>
      </c>
      <c r="Q176" s="1" t="s">
        <v>144</v>
      </c>
    </row>
    <row r="177" spans="1:17" x14ac:dyDescent="0.2">
      <c r="A177" s="1" t="s">
        <v>334</v>
      </c>
      <c r="B177">
        <v>176</v>
      </c>
      <c r="C177" s="1" t="s">
        <v>28</v>
      </c>
      <c r="D177" s="1" t="s">
        <v>31</v>
      </c>
      <c r="E177" s="1" t="s">
        <v>112</v>
      </c>
      <c r="F177" s="1" t="s">
        <v>736</v>
      </c>
      <c r="G177">
        <v>5</v>
      </c>
      <c r="H177">
        <v>22</v>
      </c>
      <c r="I177" s="1" t="s">
        <v>238</v>
      </c>
      <c r="J177" s="1" t="s">
        <v>239</v>
      </c>
      <c r="K177" s="1" t="s">
        <v>139</v>
      </c>
      <c r="L177" s="1" t="s">
        <v>147</v>
      </c>
      <c r="M177" s="1" t="s">
        <v>234</v>
      </c>
      <c r="N177" s="1" t="s">
        <v>235</v>
      </c>
      <c r="O177" s="1" t="s">
        <v>143</v>
      </c>
      <c r="P177">
        <v>1000</v>
      </c>
      <c r="Q177" s="1" t="s">
        <v>144</v>
      </c>
    </row>
    <row r="178" spans="1:17" x14ac:dyDescent="0.2">
      <c r="A178" s="1" t="s">
        <v>335</v>
      </c>
      <c r="B178">
        <v>177</v>
      </c>
      <c r="C178" s="1" t="s">
        <v>28</v>
      </c>
      <c r="D178" s="1" t="s">
        <v>31</v>
      </c>
      <c r="E178" s="1" t="s">
        <v>112</v>
      </c>
      <c r="F178" s="1" t="s">
        <v>736</v>
      </c>
      <c r="G178">
        <v>5</v>
      </c>
      <c r="H178">
        <v>22</v>
      </c>
      <c r="I178" s="1" t="s">
        <v>283</v>
      </c>
      <c r="J178" s="1" t="s">
        <v>284</v>
      </c>
      <c r="K178" s="1" t="s">
        <v>244</v>
      </c>
      <c r="L178" s="1" t="s">
        <v>285</v>
      </c>
      <c r="M178" s="1" t="s">
        <v>142</v>
      </c>
      <c r="N178" s="1" t="s">
        <v>142</v>
      </c>
      <c r="O178" s="1" t="s">
        <v>143</v>
      </c>
      <c r="P178">
        <v>4866.21</v>
      </c>
      <c r="Q178" s="1" t="s">
        <v>144</v>
      </c>
    </row>
    <row r="179" spans="1:17" x14ac:dyDescent="0.2">
      <c r="A179" s="1" t="s">
        <v>336</v>
      </c>
      <c r="B179">
        <v>178</v>
      </c>
      <c r="C179" s="1" t="s">
        <v>28</v>
      </c>
      <c r="D179" s="1" t="s">
        <v>31</v>
      </c>
      <c r="E179" s="1" t="s">
        <v>112</v>
      </c>
      <c r="F179" s="1" t="s">
        <v>736</v>
      </c>
      <c r="G179">
        <v>5</v>
      </c>
      <c r="H179">
        <v>22</v>
      </c>
      <c r="I179" s="1" t="s">
        <v>242</v>
      </c>
      <c r="J179" s="1" t="s">
        <v>243</v>
      </c>
      <c r="K179" s="1" t="s">
        <v>244</v>
      </c>
      <c r="L179" s="1" t="s">
        <v>245</v>
      </c>
      <c r="M179" s="1" t="s">
        <v>142</v>
      </c>
      <c r="N179" s="1" t="s">
        <v>142</v>
      </c>
      <c r="O179" s="1" t="s">
        <v>143</v>
      </c>
      <c r="P179">
        <v>200</v>
      </c>
      <c r="Q179" s="1" t="s">
        <v>144</v>
      </c>
    </row>
    <row r="180" spans="1:17" x14ac:dyDescent="0.2">
      <c r="A180" s="1" t="s">
        <v>337</v>
      </c>
      <c r="B180">
        <v>179</v>
      </c>
      <c r="C180" s="1" t="s">
        <v>28</v>
      </c>
      <c r="D180" s="1" t="s">
        <v>31</v>
      </c>
      <c r="E180" s="1" t="s">
        <v>112</v>
      </c>
      <c r="F180" s="1" t="s">
        <v>736</v>
      </c>
      <c r="G180">
        <v>5</v>
      </c>
      <c r="H180">
        <v>22</v>
      </c>
      <c r="I180" s="1" t="s">
        <v>240</v>
      </c>
      <c r="J180" s="1" t="s">
        <v>241</v>
      </c>
      <c r="K180" s="1" t="s">
        <v>139</v>
      </c>
      <c r="L180" s="1" t="s">
        <v>140</v>
      </c>
      <c r="M180" s="1" t="s">
        <v>153</v>
      </c>
      <c r="N180" s="1" t="s">
        <v>142</v>
      </c>
      <c r="O180" s="1" t="s">
        <v>150</v>
      </c>
      <c r="P180">
        <v>-4866.22</v>
      </c>
      <c r="Q180" s="1" t="s">
        <v>144</v>
      </c>
    </row>
    <row r="181" spans="1:17" x14ac:dyDescent="0.2">
      <c r="A181" s="1" t="s">
        <v>338</v>
      </c>
      <c r="B181">
        <v>180</v>
      </c>
      <c r="C181" s="1" t="s">
        <v>28</v>
      </c>
      <c r="D181" s="1" t="s">
        <v>31</v>
      </c>
      <c r="E181" s="1" t="s">
        <v>112</v>
      </c>
      <c r="F181" s="1" t="s">
        <v>736</v>
      </c>
      <c r="G181">
        <v>5</v>
      </c>
      <c r="H181">
        <v>22</v>
      </c>
      <c r="I181" s="1" t="s">
        <v>240</v>
      </c>
      <c r="J181" s="1" t="s">
        <v>241</v>
      </c>
      <c r="K181" s="1" t="s">
        <v>139</v>
      </c>
      <c r="L181" s="1" t="s">
        <v>140</v>
      </c>
      <c r="M181" s="1" t="s">
        <v>153</v>
      </c>
      <c r="N181" s="1" t="s">
        <v>142</v>
      </c>
      <c r="O181" s="1" t="s">
        <v>143</v>
      </c>
      <c r="P181">
        <v>61112.639999999999</v>
      </c>
      <c r="Q181" s="1" t="s">
        <v>144</v>
      </c>
    </row>
    <row r="182" spans="1:17" x14ac:dyDescent="0.2">
      <c r="A182" s="1" t="s">
        <v>339</v>
      </c>
      <c r="B182">
        <v>181</v>
      </c>
      <c r="C182" s="1" t="s">
        <v>28</v>
      </c>
      <c r="D182" s="1" t="s">
        <v>31</v>
      </c>
      <c r="E182" s="1" t="s">
        <v>112</v>
      </c>
      <c r="F182" s="1" t="s">
        <v>736</v>
      </c>
      <c r="G182">
        <v>5</v>
      </c>
      <c r="H182">
        <v>22</v>
      </c>
      <c r="I182" s="1" t="s">
        <v>286</v>
      </c>
      <c r="J182" s="1" t="s">
        <v>287</v>
      </c>
      <c r="K182" s="1" t="s">
        <v>244</v>
      </c>
      <c r="L182" s="1" t="s">
        <v>288</v>
      </c>
      <c r="M182" s="1" t="s">
        <v>142</v>
      </c>
      <c r="N182" s="1" t="s">
        <v>142</v>
      </c>
      <c r="O182" s="1" t="s">
        <v>150</v>
      </c>
      <c r="P182">
        <v>-5611.39</v>
      </c>
      <c r="Q182" s="1" t="s">
        <v>144</v>
      </c>
    </row>
    <row r="183" spans="1:17" x14ac:dyDescent="0.2">
      <c r="A183" s="1" t="s">
        <v>340</v>
      </c>
      <c r="B183">
        <v>182</v>
      </c>
      <c r="C183" s="1" t="s">
        <v>28</v>
      </c>
      <c r="D183" s="1" t="s">
        <v>31</v>
      </c>
      <c r="E183" s="1" t="s">
        <v>31</v>
      </c>
      <c r="F183" s="1" t="s">
        <v>764</v>
      </c>
      <c r="G183">
        <v>5</v>
      </c>
      <c r="H183">
        <v>23</v>
      </c>
      <c r="I183" s="1" t="s">
        <v>151</v>
      </c>
      <c r="J183" s="1" t="s">
        <v>152</v>
      </c>
      <c r="K183" s="1" t="s">
        <v>139</v>
      </c>
      <c r="L183" s="1" t="s">
        <v>140</v>
      </c>
      <c r="M183" s="1" t="s">
        <v>153</v>
      </c>
      <c r="N183" s="1" t="s">
        <v>142</v>
      </c>
      <c r="O183" s="1" t="s">
        <v>150</v>
      </c>
      <c r="P183">
        <v>-200</v>
      </c>
      <c r="Q183" s="1" t="s">
        <v>144</v>
      </c>
    </row>
    <row r="184" spans="1:17" x14ac:dyDescent="0.2">
      <c r="A184" s="1" t="s">
        <v>341</v>
      </c>
      <c r="B184">
        <v>183</v>
      </c>
      <c r="C184" s="1" t="s">
        <v>28</v>
      </c>
      <c r="D184" s="1" t="s">
        <v>31</v>
      </c>
      <c r="E184" s="1" t="s">
        <v>31</v>
      </c>
      <c r="F184" s="1" t="s">
        <v>764</v>
      </c>
      <c r="G184">
        <v>5</v>
      </c>
      <c r="H184">
        <v>23</v>
      </c>
      <c r="I184" s="1" t="s">
        <v>151</v>
      </c>
      <c r="J184" s="1" t="s">
        <v>152</v>
      </c>
      <c r="K184" s="1" t="s">
        <v>139</v>
      </c>
      <c r="L184" s="1" t="s">
        <v>140</v>
      </c>
      <c r="M184" s="1" t="s">
        <v>153</v>
      </c>
      <c r="N184" s="1" t="s">
        <v>142</v>
      </c>
      <c r="O184" s="1" t="s">
        <v>143</v>
      </c>
      <c r="P184">
        <v>12344.56</v>
      </c>
      <c r="Q184" s="1" t="s">
        <v>144</v>
      </c>
    </row>
    <row r="185" spans="1:17" x14ac:dyDescent="0.2">
      <c r="A185" s="1" t="s">
        <v>342</v>
      </c>
      <c r="B185">
        <v>184</v>
      </c>
      <c r="C185" s="1" t="s">
        <v>28</v>
      </c>
      <c r="D185" s="1" t="s">
        <v>31</v>
      </c>
      <c r="E185" s="1" t="s">
        <v>31</v>
      </c>
      <c r="F185" s="1" t="s">
        <v>764</v>
      </c>
      <c r="G185">
        <v>5</v>
      </c>
      <c r="H185">
        <v>23</v>
      </c>
      <c r="I185" s="1" t="s">
        <v>281</v>
      </c>
      <c r="J185" s="1" t="s">
        <v>282</v>
      </c>
      <c r="K185" s="1" t="s">
        <v>139</v>
      </c>
      <c r="L185" s="1" t="s">
        <v>140</v>
      </c>
      <c r="M185" s="1" t="s">
        <v>153</v>
      </c>
      <c r="N185" s="1" t="s">
        <v>142</v>
      </c>
      <c r="O185" s="1" t="s">
        <v>150</v>
      </c>
      <c r="P185">
        <v>-12344.56</v>
      </c>
      <c r="Q185" s="1" t="s">
        <v>144</v>
      </c>
    </row>
    <row r="186" spans="1:17" x14ac:dyDescent="0.2">
      <c r="A186" s="1" t="s">
        <v>343</v>
      </c>
      <c r="B186">
        <v>185</v>
      </c>
      <c r="C186" s="1" t="s">
        <v>28</v>
      </c>
      <c r="D186" s="1" t="s">
        <v>31</v>
      </c>
      <c r="E186" s="1" t="s">
        <v>31</v>
      </c>
      <c r="F186" s="1" t="s">
        <v>764</v>
      </c>
      <c r="G186">
        <v>5</v>
      </c>
      <c r="H186">
        <v>23</v>
      </c>
      <c r="I186" s="1" t="s">
        <v>281</v>
      </c>
      <c r="J186" s="1" t="s">
        <v>282</v>
      </c>
      <c r="K186" s="1" t="s">
        <v>139</v>
      </c>
      <c r="L186" s="1" t="s">
        <v>140</v>
      </c>
      <c r="M186" s="1" t="s">
        <v>153</v>
      </c>
      <c r="N186" s="1" t="s">
        <v>142</v>
      </c>
      <c r="O186" s="1" t="s">
        <v>143</v>
      </c>
      <c r="P186">
        <v>11242.24</v>
      </c>
      <c r="Q186" s="1" t="s">
        <v>144</v>
      </c>
    </row>
    <row r="187" spans="1:17" x14ac:dyDescent="0.2">
      <c r="A187" s="1" t="s">
        <v>344</v>
      </c>
      <c r="B187">
        <v>186</v>
      </c>
      <c r="C187" s="1" t="s">
        <v>28</v>
      </c>
      <c r="D187" s="1" t="s">
        <v>31</v>
      </c>
      <c r="E187" s="1" t="s">
        <v>31</v>
      </c>
      <c r="F187" s="1" t="s">
        <v>764</v>
      </c>
      <c r="G187">
        <v>5</v>
      </c>
      <c r="H187">
        <v>23</v>
      </c>
      <c r="I187" s="1" t="s">
        <v>283</v>
      </c>
      <c r="J187" s="1" t="s">
        <v>284</v>
      </c>
      <c r="K187" s="1" t="s">
        <v>244</v>
      </c>
      <c r="L187" s="1" t="s">
        <v>285</v>
      </c>
      <c r="M187" s="1" t="s">
        <v>142</v>
      </c>
      <c r="N187" s="1" t="s">
        <v>142</v>
      </c>
      <c r="O187" s="1" t="s">
        <v>143</v>
      </c>
      <c r="P187">
        <v>9240.7999999999993</v>
      </c>
      <c r="Q187" s="1" t="s">
        <v>144</v>
      </c>
    </row>
    <row r="188" spans="1:17" x14ac:dyDescent="0.2">
      <c r="A188" s="1" t="s">
        <v>345</v>
      </c>
      <c r="B188">
        <v>187</v>
      </c>
      <c r="C188" s="1" t="s">
        <v>28</v>
      </c>
      <c r="D188" s="1" t="s">
        <v>31</v>
      </c>
      <c r="E188" s="1" t="s">
        <v>31</v>
      </c>
      <c r="F188" s="1" t="s">
        <v>764</v>
      </c>
      <c r="G188">
        <v>5</v>
      </c>
      <c r="H188">
        <v>23</v>
      </c>
      <c r="I188" s="1" t="s">
        <v>242</v>
      </c>
      <c r="J188" s="1" t="s">
        <v>243</v>
      </c>
      <c r="K188" s="1" t="s">
        <v>244</v>
      </c>
      <c r="L188" s="1" t="s">
        <v>245</v>
      </c>
      <c r="M188" s="1" t="s">
        <v>142</v>
      </c>
      <c r="N188" s="1" t="s">
        <v>142</v>
      </c>
      <c r="O188" s="1" t="s">
        <v>143</v>
      </c>
      <c r="P188">
        <v>200</v>
      </c>
      <c r="Q188" s="1" t="s">
        <v>144</v>
      </c>
    </row>
    <row r="189" spans="1:17" x14ac:dyDescent="0.2">
      <c r="A189" s="1" t="s">
        <v>346</v>
      </c>
      <c r="B189">
        <v>188</v>
      </c>
      <c r="C189" s="1" t="s">
        <v>28</v>
      </c>
      <c r="D189" s="1" t="s">
        <v>31</v>
      </c>
      <c r="E189" s="1" t="s">
        <v>31</v>
      </c>
      <c r="F189" s="1" t="s">
        <v>764</v>
      </c>
      <c r="G189">
        <v>5</v>
      </c>
      <c r="H189">
        <v>23</v>
      </c>
      <c r="I189" s="1" t="s">
        <v>240</v>
      </c>
      <c r="J189" s="1" t="s">
        <v>241</v>
      </c>
      <c r="K189" s="1" t="s">
        <v>139</v>
      </c>
      <c r="L189" s="1" t="s">
        <v>140</v>
      </c>
      <c r="M189" s="1" t="s">
        <v>153</v>
      </c>
      <c r="N189" s="1" t="s">
        <v>142</v>
      </c>
      <c r="O189" s="1" t="s">
        <v>150</v>
      </c>
      <c r="P189">
        <v>-9240.7999999999993</v>
      </c>
      <c r="Q189" s="1" t="s">
        <v>144</v>
      </c>
    </row>
    <row r="190" spans="1:17" x14ac:dyDescent="0.2">
      <c r="A190" s="1" t="s">
        <v>347</v>
      </c>
      <c r="B190">
        <v>189</v>
      </c>
      <c r="C190" s="1" t="s">
        <v>28</v>
      </c>
      <c r="D190" s="1" t="s">
        <v>31</v>
      </c>
      <c r="E190" s="1" t="s">
        <v>31</v>
      </c>
      <c r="F190" s="1" t="s">
        <v>764</v>
      </c>
      <c r="G190">
        <v>5</v>
      </c>
      <c r="H190">
        <v>23</v>
      </c>
      <c r="I190" s="1" t="s">
        <v>286</v>
      </c>
      <c r="J190" s="1" t="s">
        <v>287</v>
      </c>
      <c r="K190" s="1" t="s">
        <v>244</v>
      </c>
      <c r="L190" s="1" t="s">
        <v>288</v>
      </c>
      <c r="M190" s="1" t="s">
        <v>142</v>
      </c>
      <c r="N190" s="1" t="s">
        <v>142</v>
      </c>
      <c r="O190" s="1" t="s">
        <v>150</v>
      </c>
      <c r="P190">
        <v>-11242.24</v>
      </c>
      <c r="Q190" s="1" t="s">
        <v>144</v>
      </c>
    </row>
    <row r="191" spans="1:17" x14ac:dyDescent="0.2">
      <c r="A191" s="1" t="s">
        <v>348</v>
      </c>
      <c r="B191">
        <v>190</v>
      </c>
      <c r="C191" s="1" t="s">
        <v>28</v>
      </c>
      <c r="D191" s="1" t="s">
        <v>31</v>
      </c>
      <c r="E191" s="1" t="s">
        <v>181</v>
      </c>
      <c r="F191" s="1" t="s">
        <v>791</v>
      </c>
      <c r="G191">
        <v>5</v>
      </c>
      <c r="H191">
        <v>24</v>
      </c>
      <c r="I191" s="1" t="s">
        <v>151</v>
      </c>
      <c r="J191" s="1" t="s">
        <v>152</v>
      </c>
      <c r="K191" s="1" t="s">
        <v>139</v>
      </c>
      <c r="L191" s="1" t="s">
        <v>140</v>
      </c>
      <c r="M191" s="1" t="s">
        <v>153</v>
      </c>
      <c r="N191" s="1" t="s">
        <v>142</v>
      </c>
      <c r="O191" s="1" t="s">
        <v>150</v>
      </c>
      <c r="P191">
        <v>-200</v>
      </c>
      <c r="Q191" s="1" t="s">
        <v>144</v>
      </c>
    </row>
    <row r="192" spans="1:17" x14ac:dyDescent="0.2">
      <c r="A192" s="1" t="s">
        <v>349</v>
      </c>
      <c r="B192">
        <v>191</v>
      </c>
      <c r="C192" s="1" t="s">
        <v>28</v>
      </c>
      <c r="D192" s="1" t="s">
        <v>31</v>
      </c>
      <c r="E192" s="1" t="s">
        <v>181</v>
      </c>
      <c r="F192" s="1" t="s">
        <v>791</v>
      </c>
      <c r="G192">
        <v>5</v>
      </c>
      <c r="H192">
        <v>24</v>
      </c>
      <c r="I192" s="1" t="s">
        <v>151</v>
      </c>
      <c r="J192" s="1" t="s">
        <v>152</v>
      </c>
      <c r="K192" s="1" t="s">
        <v>139</v>
      </c>
      <c r="L192" s="1" t="s">
        <v>140</v>
      </c>
      <c r="M192" s="1" t="s">
        <v>153</v>
      </c>
      <c r="N192" s="1" t="s">
        <v>142</v>
      </c>
      <c r="O192" s="1" t="s">
        <v>143</v>
      </c>
      <c r="P192">
        <v>2387.39</v>
      </c>
      <c r="Q192" s="1" t="s">
        <v>144</v>
      </c>
    </row>
    <row r="193" spans="1:17" x14ac:dyDescent="0.2">
      <c r="A193" s="1" t="s">
        <v>350</v>
      </c>
      <c r="B193">
        <v>192</v>
      </c>
      <c r="C193" s="1" t="s">
        <v>28</v>
      </c>
      <c r="D193" s="1" t="s">
        <v>31</v>
      </c>
      <c r="E193" s="1" t="s">
        <v>181</v>
      </c>
      <c r="F193" s="1" t="s">
        <v>791</v>
      </c>
      <c r="G193">
        <v>5</v>
      </c>
      <c r="H193">
        <v>24</v>
      </c>
      <c r="I193" s="1" t="s">
        <v>281</v>
      </c>
      <c r="J193" s="1" t="s">
        <v>282</v>
      </c>
      <c r="K193" s="1" t="s">
        <v>139</v>
      </c>
      <c r="L193" s="1" t="s">
        <v>140</v>
      </c>
      <c r="M193" s="1" t="s">
        <v>153</v>
      </c>
      <c r="N193" s="1" t="s">
        <v>142</v>
      </c>
      <c r="O193" s="1" t="s">
        <v>150</v>
      </c>
      <c r="P193">
        <v>-2387.39</v>
      </c>
      <c r="Q193" s="1" t="s">
        <v>144</v>
      </c>
    </row>
    <row r="194" spans="1:17" x14ac:dyDescent="0.2">
      <c r="A194" s="1" t="s">
        <v>356</v>
      </c>
      <c r="B194">
        <v>193</v>
      </c>
      <c r="C194" s="1" t="s">
        <v>28</v>
      </c>
      <c r="D194" s="1" t="s">
        <v>31</v>
      </c>
      <c r="E194" s="1" t="s">
        <v>181</v>
      </c>
      <c r="F194" s="1" t="s">
        <v>791</v>
      </c>
      <c r="G194">
        <v>5</v>
      </c>
      <c r="H194">
        <v>24</v>
      </c>
      <c r="I194" s="1" t="s">
        <v>281</v>
      </c>
      <c r="J194" s="1" t="s">
        <v>282</v>
      </c>
      <c r="K194" s="1" t="s">
        <v>139</v>
      </c>
      <c r="L194" s="1" t="s">
        <v>140</v>
      </c>
      <c r="M194" s="1" t="s">
        <v>153</v>
      </c>
      <c r="N194" s="1" t="s">
        <v>142</v>
      </c>
      <c r="O194" s="1" t="s">
        <v>143</v>
      </c>
      <c r="P194">
        <v>18572.330000000002</v>
      </c>
      <c r="Q194" s="1" t="s">
        <v>144</v>
      </c>
    </row>
    <row r="195" spans="1:17" x14ac:dyDescent="0.2">
      <c r="A195" s="1" t="s">
        <v>359</v>
      </c>
      <c r="B195">
        <v>194</v>
      </c>
      <c r="C195" s="1" t="s">
        <v>28</v>
      </c>
      <c r="D195" s="1" t="s">
        <v>31</v>
      </c>
      <c r="E195" s="1" t="s">
        <v>181</v>
      </c>
      <c r="F195" s="1" t="s">
        <v>791</v>
      </c>
      <c r="G195">
        <v>5</v>
      </c>
      <c r="H195">
        <v>24</v>
      </c>
      <c r="I195" s="1" t="s">
        <v>283</v>
      </c>
      <c r="J195" s="1" t="s">
        <v>284</v>
      </c>
      <c r="K195" s="1" t="s">
        <v>244</v>
      </c>
      <c r="L195" s="1" t="s">
        <v>285</v>
      </c>
      <c r="M195" s="1" t="s">
        <v>142</v>
      </c>
      <c r="N195" s="1" t="s">
        <v>142</v>
      </c>
      <c r="O195" s="1" t="s">
        <v>143</v>
      </c>
      <c r="P195">
        <v>15762.98</v>
      </c>
      <c r="Q195" s="1" t="s">
        <v>144</v>
      </c>
    </row>
    <row r="196" spans="1:17" x14ac:dyDescent="0.2">
      <c r="A196" s="1" t="s">
        <v>360</v>
      </c>
      <c r="B196">
        <v>195</v>
      </c>
      <c r="C196" s="1" t="s">
        <v>28</v>
      </c>
      <c r="D196" s="1" t="s">
        <v>31</v>
      </c>
      <c r="E196" s="1" t="s">
        <v>181</v>
      </c>
      <c r="F196" s="1" t="s">
        <v>791</v>
      </c>
      <c r="G196">
        <v>5</v>
      </c>
      <c r="H196">
        <v>24</v>
      </c>
      <c r="I196" s="1" t="s">
        <v>242</v>
      </c>
      <c r="J196" s="1" t="s">
        <v>243</v>
      </c>
      <c r="K196" s="1" t="s">
        <v>244</v>
      </c>
      <c r="L196" s="1" t="s">
        <v>245</v>
      </c>
      <c r="M196" s="1" t="s">
        <v>142</v>
      </c>
      <c r="N196" s="1" t="s">
        <v>142</v>
      </c>
      <c r="O196" s="1" t="s">
        <v>143</v>
      </c>
      <c r="P196">
        <v>200</v>
      </c>
      <c r="Q196" s="1" t="s">
        <v>144</v>
      </c>
    </row>
    <row r="197" spans="1:17" x14ac:dyDescent="0.2">
      <c r="A197" s="1" t="s">
        <v>361</v>
      </c>
      <c r="B197">
        <v>196</v>
      </c>
      <c r="C197" s="1" t="s">
        <v>28</v>
      </c>
      <c r="D197" s="1" t="s">
        <v>31</v>
      </c>
      <c r="E197" s="1" t="s">
        <v>181</v>
      </c>
      <c r="F197" s="1" t="s">
        <v>791</v>
      </c>
      <c r="G197">
        <v>5</v>
      </c>
      <c r="H197">
        <v>24</v>
      </c>
      <c r="I197" s="1" t="s">
        <v>240</v>
      </c>
      <c r="J197" s="1" t="s">
        <v>241</v>
      </c>
      <c r="K197" s="1" t="s">
        <v>139</v>
      </c>
      <c r="L197" s="1" t="s">
        <v>140</v>
      </c>
      <c r="M197" s="1" t="s">
        <v>153</v>
      </c>
      <c r="N197" s="1" t="s">
        <v>142</v>
      </c>
      <c r="O197" s="1" t="s">
        <v>150</v>
      </c>
      <c r="P197">
        <v>-15762.98</v>
      </c>
      <c r="Q197" s="1" t="s">
        <v>144</v>
      </c>
    </row>
    <row r="198" spans="1:17" x14ac:dyDescent="0.2">
      <c r="A198" s="1" t="s">
        <v>362</v>
      </c>
      <c r="B198">
        <v>197</v>
      </c>
      <c r="C198" s="1" t="s">
        <v>28</v>
      </c>
      <c r="D198" s="1" t="s">
        <v>31</v>
      </c>
      <c r="E198" s="1" t="s">
        <v>181</v>
      </c>
      <c r="F198" s="1" t="s">
        <v>791</v>
      </c>
      <c r="G198">
        <v>5</v>
      </c>
      <c r="H198">
        <v>24</v>
      </c>
      <c r="I198" s="1" t="s">
        <v>286</v>
      </c>
      <c r="J198" s="1" t="s">
        <v>287</v>
      </c>
      <c r="K198" s="1" t="s">
        <v>244</v>
      </c>
      <c r="L198" s="1" t="s">
        <v>288</v>
      </c>
      <c r="M198" s="1" t="s">
        <v>142</v>
      </c>
      <c r="N198" s="1" t="s">
        <v>142</v>
      </c>
      <c r="O198" s="1" t="s">
        <v>150</v>
      </c>
      <c r="P198">
        <v>-18572.330000000002</v>
      </c>
      <c r="Q198" s="1" t="s">
        <v>144</v>
      </c>
    </row>
    <row r="199" spans="1:17" x14ac:dyDescent="0.2">
      <c r="A199" s="1" t="s">
        <v>363</v>
      </c>
      <c r="B199">
        <v>198</v>
      </c>
      <c r="C199" s="1" t="s">
        <v>28</v>
      </c>
      <c r="D199" s="1" t="s">
        <v>31</v>
      </c>
      <c r="E199" s="1" t="s">
        <v>207</v>
      </c>
      <c r="F199" s="1" t="s">
        <v>822</v>
      </c>
      <c r="G199">
        <v>5</v>
      </c>
      <c r="H199">
        <v>25</v>
      </c>
      <c r="I199" s="1" t="s">
        <v>151</v>
      </c>
      <c r="J199" s="1" t="s">
        <v>152</v>
      </c>
      <c r="K199" s="1" t="s">
        <v>139</v>
      </c>
      <c r="L199" s="1" t="s">
        <v>140</v>
      </c>
      <c r="M199" s="1" t="s">
        <v>153</v>
      </c>
      <c r="N199" s="1" t="s">
        <v>142</v>
      </c>
      <c r="O199" s="1" t="s">
        <v>150</v>
      </c>
      <c r="P199">
        <v>-300</v>
      </c>
      <c r="Q199" s="1" t="s">
        <v>144</v>
      </c>
    </row>
    <row r="200" spans="1:17" x14ac:dyDescent="0.2">
      <c r="A200" s="1" t="s">
        <v>364</v>
      </c>
      <c r="B200">
        <v>199</v>
      </c>
      <c r="C200" s="1" t="s">
        <v>28</v>
      </c>
      <c r="D200" s="1" t="s">
        <v>31</v>
      </c>
      <c r="E200" s="1" t="s">
        <v>207</v>
      </c>
      <c r="F200" s="1" t="s">
        <v>822</v>
      </c>
      <c r="G200">
        <v>5</v>
      </c>
      <c r="H200">
        <v>25</v>
      </c>
      <c r="I200" s="1" t="s">
        <v>151</v>
      </c>
      <c r="J200" s="1" t="s">
        <v>152</v>
      </c>
      <c r="K200" s="1" t="s">
        <v>139</v>
      </c>
      <c r="L200" s="1" t="s">
        <v>140</v>
      </c>
      <c r="M200" s="1" t="s">
        <v>153</v>
      </c>
      <c r="N200" s="1" t="s">
        <v>142</v>
      </c>
      <c r="O200" s="1" t="s">
        <v>143</v>
      </c>
      <c r="P200">
        <v>4475.72</v>
      </c>
      <c r="Q200" s="1" t="s">
        <v>144</v>
      </c>
    </row>
    <row r="201" spans="1:17" x14ac:dyDescent="0.2">
      <c r="A201" s="1" t="s">
        <v>365</v>
      </c>
      <c r="B201">
        <v>200</v>
      </c>
      <c r="C201" s="1" t="s">
        <v>28</v>
      </c>
      <c r="D201" s="1" t="s">
        <v>31</v>
      </c>
      <c r="E201" s="1" t="s">
        <v>207</v>
      </c>
      <c r="F201" s="1" t="s">
        <v>822</v>
      </c>
      <c r="G201">
        <v>5</v>
      </c>
      <c r="H201">
        <v>25</v>
      </c>
      <c r="I201" s="1" t="s">
        <v>281</v>
      </c>
      <c r="J201" s="1" t="s">
        <v>282</v>
      </c>
      <c r="K201" s="1" t="s">
        <v>139</v>
      </c>
      <c r="L201" s="1" t="s">
        <v>140</v>
      </c>
      <c r="M201" s="1" t="s">
        <v>153</v>
      </c>
      <c r="N201" s="1" t="s">
        <v>142</v>
      </c>
      <c r="O201" s="1" t="s">
        <v>150</v>
      </c>
      <c r="P201">
        <v>-4475.72</v>
      </c>
      <c r="Q201" s="1" t="s">
        <v>144</v>
      </c>
    </row>
    <row r="202" spans="1:17" x14ac:dyDescent="0.2">
      <c r="A202" s="1" t="s">
        <v>366</v>
      </c>
      <c r="B202">
        <v>201</v>
      </c>
      <c r="C202" s="1" t="s">
        <v>28</v>
      </c>
      <c r="D202" s="1" t="s">
        <v>31</v>
      </c>
      <c r="E202" s="1" t="s">
        <v>207</v>
      </c>
      <c r="F202" s="1" t="s">
        <v>822</v>
      </c>
      <c r="G202">
        <v>5</v>
      </c>
      <c r="H202">
        <v>25</v>
      </c>
      <c r="I202" s="1" t="s">
        <v>281</v>
      </c>
      <c r="J202" s="1" t="s">
        <v>282</v>
      </c>
      <c r="K202" s="1" t="s">
        <v>139</v>
      </c>
      <c r="L202" s="1" t="s">
        <v>140</v>
      </c>
      <c r="M202" s="1" t="s">
        <v>153</v>
      </c>
      <c r="N202" s="1" t="s">
        <v>142</v>
      </c>
      <c r="O202" s="1" t="s">
        <v>143</v>
      </c>
      <c r="P202">
        <v>8900.5300000000007</v>
      </c>
      <c r="Q202" s="1" t="s">
        <v>144</v>
      </c>
    </row>
    <row r="203" spans="1:17" x14ac:dyDescent="0.2">
      <c r="A203" s="1" t="s">
        <v>367</v>
      </c>
      <c r="B203">
        <v>202</v>
      </c>
      <c r="C203" s="1" t="s">
        <v>28</v>
      </c>
      <c r="D203" s="1" t="s">
        <v>31</v>
      </c>
      <c r="E203" s="1" t="s">
        <v>207</v>
      </c>
      <c r="F203" s="1" t="s">
        <v>822</v>
      </c>
      <c r="G203">
        <v>5</v>
      </c>
      <c r="H203">
        <v>25</v>
      </c>
      <c r="I203" s="1" t="s">
        <v>283</v>
      </c>
      <c r="J203" s="1" t="s">
        <v>284</v>
      </c>
      <c r="K203" s="1" t="s">
        <v>244</v>
      </c>
      <c r="L203" s="1" t="s">
        <v>285</v>
      </c>
      <c r="M203" s="1" t="s">
        <v>142</v>
      </c>
      <c r="N203" s="1" t="s">
        <v>142</v>
      </c>
      <c r="O203" s="1" t="s">
        <v>143</v>
      </c>
      <c r="P203">
        <v>7905.84</v>
      </c>
      <c r="Q203" s="1" t="s">
        <v>144</v>
      </c>
    </row>
    <row r="204" spans="1:17" x14ac:dyDescent="0.2">
      <c r="A204" s="1" t="s">
        <v>368</v>
      </c>
      <c r="B204">
        <v>203</v>
      </c>
      <c r="C204" s="1" t="s">
        <v>28</v>
      </c>
      <c r="D204" s="1" t="s">
        <v>31</v>
      </c>
      <c r="E204" s="1" t="s">
        <v>207</v>
      </c>
      <c r="F204" s="1" t="s">
        <v>822</v>
      </c>
      <c r="G204">
        <v>5</v>
      </c>
      <c r="H204">
        <v>25</v>
      </c>
      <c r="I204" s="1" t="s">
        <v>242</v>
      </c>
      <c r="J204" s="1" t="s">
        <v>243</v>
      </c>
      <c r="K204" s="1" t="s">
        <v>244</v>
      </c>
      <c r="L204" s="1" t="s">
        <v>245</v>
      </c>
      <c r="M204" s="1" t="s">
        <v>142</v>
      </c>
      <c r="N204" s="1" t="s">
        <v>142</v>
      </c>
      <c r="O204" s="1" t="s">
        <v>143</v>
      </c>
      <c r="P204">
        <v>300</v>
      </c>
      <c r="Q204" s="1" t="s">
        <v>144</v>
      </c>
    </row>
    <row r="205" spans="1:17" x14ac:dyDescent="0.2">
      <c r="A205" s="1" t="s">
        <v>369</v>
      </c>
      <c r="B205">
        <v>204</v>
      </c>
      <c r="C205" s="1" t="s">
        <v>28</v>
      </c>
      <c r="D205" s="1" t="s">
        <v>31</v>
      </c>
      <c r="E205" s="1" t="s">
        <v>207</v>
      </c>
      <c r="F205" s="1" t="s">
        <v>822</v>
      </c>
      <c r="G205">
        <v>5</v>
      </c>
      <c r="H205">
        <v>25</v>
      </c>
      <c r="I205" s="1" t="s">
        <v>240</v>
      </c>
      <c r="J205" s="1" t="s">
        <v>241</v>
      </c>
      <c r="K205" s="1" t="s">
        <v>139</v>
      </c>
      <c r="L205" s="1" t="s">
        <v>140</v>
      </c>
      <c r="M205" s="1" t="s">
        <v>153</v>
      </c>
      <c r="N205" s="1" t="s">
        <v>142</v>
      </c>
      <c r="O205" s="1" t="s">
        <v>150</v>
      </c>
      <c r="P205">
        <v>-7905.84</v>
      </c>
      <c r="Q205" s="1" t="s">
        <v>144</v>
      </c>
    </row>
    <row r="206" spans="1:17" x14ac:dyDescent="0.2">
      <c r="A206" s="1" t="s">
        <v>370</v>
      </c>
      <c r="B206">
        <v>205</v>
      </c>
      <c r="C206" s="1" t="s">
        <v>28</v>
      </c>
      <c r="D206" s="1" t="s">
        <v>31</v>
      </c>
      <c r="E206" s="1" t="s">
        <v>207</v>
      </c>
      <c r="F206" s="1" t="s">
        <v>822</v>
      </c>
      <c r="G206">
        <v>5</v>
      </c>
      <c r="H206">
        <v>25</v>
      </c>
      <c r="I206" s="1" t="s">
        <v>286</v>
      </c>
      <c r="J206" s="1" t="s">
        <v>287</v>
      </c>
      <c r="K206" s="1" t="s">
        <v>244</v>
      </c>
      <c r="L206" s="1" t="s">
        <v>288</v>
      </c>
      <c r="M206" s="1" t="s">
        <v>142</v>
      </c>
      <c r="N206" s="1" t="s">
        <v>142</v>
      </c>
      <c r="O206" s="1" t="s">
        <v>150</v>
      </c>
      <c r="P206">
        <v>-8900.5300000000007</v>
      </c>
      <c r="Q206" s="1" t="s">
        <v>144</v>
      </c>
    </row>
    <row r="207" spans="1:17" x14ac:dyDescent="0.2">
      <c r="A207" s="1" t="s">
        <v>371</v>
      </c>
      <c r="B207">
        <v>206</v>
      </c>
      <c r="C207" s="1" t="s">
        <v>28</v>
      </c>
      <c r="D207" s="1" t="s">
        <v>31</v>
      </c>
      <c r="E207" s="1" t="s">
        <v>256</v>
      </c>
      <c r="F207" s="1" t="s">
        <v>851</v>
      </c>
      <c r="G207">
        <v>6</v>
      </c>
      <c r="H207">
        <v>26</v>
      </c>
      <c r="I207" s="1" t="s">
        <v>151</v>
      </c>
      <c r="J207" s="1" t="s">
        <v>152</v>
      </c>
      <c r="K207" s="1" t="s">
        <v>139</v>
      </c>
      <c r="L207" s="1" t="s">
        <v>140</v>
      </c>
      <c r="M207" s="1" t="s">
        <v>153</v>
      </c>
      <c r="N207" s="1" t="s">
        <v>142</v>
      </c>
      <c r="O207" s="1" t="s">
        <v>150</v>
      </c>
      <c r="P207">
        <v>-300</v>
      </c>
      <c r="Q207" s="1" t="s">
        <v>144</v>
      </c>
    </row>
    <row r="208" spans="1:17" x14ac:dyDescent="0.2">
      <c r="A208" s="1" t="s">
        <v>372</v>
      </c>
      <c r="B208">
        <v>207</v>
      </c>
      <c r="C208" s="1" t="s">
        <v>28</v>
      </c>
      <c r="D208" s="1" t="s">
        <v>31</v>
      </c>
      <c r="E208" s="1" t="s">
        <v>256</v>
      </c>
      <c r="F208" s="1" t="s">
        <v>851</v>
      </c>
      <c r="G208">
        <v>6</v>
      </c>
      <c r="H208">
        <v>26</v>
      </c>
      <c r="I208" s="1" t="s">
        <v>151</v>
      </c>
      <c r="J208" s="1" t="s">
        <v>152</v>
      </c>
      <c r="K208" s="1" t="s">
        <v>139</v>
      </c>
      <c r="L208" s="1" t="s">
        <v>140</v>
      </c>
      <c r="M208" s="1" t="s">
        <v>153</v>
      </c>
      <c r="N208" s="1" t="s">
        <v>142</v>
      </c>
      <c r="O208" s="1" t="s">
        <v>143</v>
      </c>
      <c r="P208">
        <v>5611.39</v>
      </c>
      <c r="Q208" s="1" t="s">
        <v>144</v>
      </c>
    </row>
    <row r="209" spans="1:17" x14ac:dyDescent="0.2">
      <c r="A209" s="1" t="s">
        <v>373</v>
      </c>
      <c r="B209">
        <v>208</v>
      </c>
      <c r="C209" s="1" t="s">
        <v>28</v>
      </c>
      <c r="D209" s="1" t="s">
        <v>31</v>
      </c>
      <c r="E209" s="1" t="s">
        <v>256</v>
      </c>
      <c r="F209" s="1" t="s">
        <v>851</v>
      </c>
      <c r="G209">
        <v>6</v>
      </c>
      <c r="H209">
        <v>26</v>
      </c>
      <c r="I209" s="1" t="s">
        <v>281</v>
      </c>
      <c r="J209" s="1" t="s">
        <v>282</v>
      </c>
      <c r="K209" s="1" t="s">
        <v>139</v>
      </c>
      <c r="L209" s="1" t="s">
        <v>140</v>
      </c>
      <c r="M209" s="1" t="s">
        <v>153</v>
      </c>
      <c r="N209" s="1" t="s">
        <v>142</v>
      </c>
      <c r="O209" s="1" t="s">
        <v>150</v>
      </c>
      <c r="P209">
        <v>-5611.39</v>
      </c>
      <c r="Q209" s="1" t="s">
        <v>144</v>
      </c>
    </row>
    <row r="210" spans="1:17" x14ac:dyDescent="0.2">
      <c r="A210" s="1" t="s">
        <v>374</v>
      </c>
      <c r="B210">
        <v>209</v>
      </c>
      <c r="C210" s="1" t="s">
        <v>28</v>
      </c>
      <c r="D210" s="1" t="s">
        <v>31</v>
      </c>
      <c r="E210" s="1" t="s">
        <v>256</v>
      </c>
      <c r="F210" s="1" t="s">
        <v>851</v>
      </c>
      <c r="G210">
        <v>6</v>
      </c>
      <c r="H210">
        <v>26</v>
      </c>
      <c r="I210" s="1" t="s">
        <v>281</v>
      </c>
      <c r="J210" s="1" t="s">
        <v>282</v>
      </c>
      <c r="K210" s="1" t="s">
        <v>139</v>
      </c>
      <c r="L210" s="1" t="s">
        <v>140</v>
      </c>
      <c r="M210" s="1" t="s">
        <v>153</v>
      </c>
      <c r="N210" s="1" t="s">
        <v>142</v>
      </c>
      <c r="O210" s="1" t="s">
        <v>143</v>
      </c>
      <c r="P210">
        <v>6850.47</v>
      </c>
      <c r="Q210" s="1" t="s">
        <v>144</v>
      </c>
    </row>
    <row r="211" spans="1:17" x14ac:dyDescent="0.2">
      <c r="A211" s="1" t="s">
        <v>375</v>
      </c>
      <c r="B211">
        <v>210</v>
      </c>
      <c r="C211" s="1" t="s">
        <v>28</v>
      </c>
      <c r="D211" s="1" t="s">
        <v>31</v>
      </c>
      <c r="E211" s="1" t="s">
        <v>256</v>
      </c>
      <c r="F211" s="1" t="s">
        <v>851</v>
      </c>
      <c r="G211">
        <v>6</v>
      </c>
      <c r="H211">
        <v>26</v>
      </c>
      <c r="I211" s="1" t="s">
        <v>283</v>
      </c>
      <c r="J211" s="1" t="s">
        <v>284</v>
      </c>
      <c r="K211" s="1" t="s">
        <v>244</v>
      </c>
      <c r="L211" s="1" t="s">
        <v>285</v>
      </c>
      <c r="M211" s="1" t="s">
        <v>142</v>
      </c>
      <c r="N211" s="1" t="s">
        <v>142</v>
      </c>
      <c r="O211" s="1" t="s">
        <v>143</v>
      </c>
      <c r="P211">
        <v>5663.71</v>
      </c>
      <c r="Q211" s="1" t="s">
        <v>144</v>
      </c>
    </row>
    <row r="212" spans="1:17" x14ac:dyDescent="0.2">
      <c r="A212" s="1" t="s">
        <v>376</v>
      </c>
      <c r="B212">
        <v>211</v>
      </c>
      <c r="C212" s="1" t="s">
        <v>28</v>
      </c>
      <c r="D212" s="1" t="s">
        <v>31</v>
      </c>
      <c r="E212" s="1" t="s">
        <v>256</v>
      </c>
      <c r="F212" s="1" t="s">
        <v>851</v>
      </c>
      <c r="G212">
        <v>6</v>
      </c>
      <c r="H212">
        <v>26</v>
      </c>
      <c r="I212" s="1" t="s">
        <v>242</v>
      </c>
      <c r="J212" s="1" t="s">
        <v>243</v>
      </c>
      <c r="K212" s="1" t="s">
        <v>244</v>
      </c>
      <c r="L212" s="1" t="s">
        <v>245</v>
      </c>
      <c r="M212" s="1" t="s">
        <v>142</v>
      </c>
      <c r="N212" s="1" t="s">
        <v>142</v>
      </c>
      <c r="O212" s="1" t="s">
        <v>143</v>
      </c>
      <c r="P212">
        <v>300</v>
      </c>
      <c r="Q212" s="1" t="s">
        <v>144</v>
      </c>
    </row>
    <row r="213" spans="1:17" x14ac:dyDescent="0.2">
      <c r="A213" s="1" t="s">
        <v>377</v>
      </c>
      <c r="B213">
        <v>212</v>
      </c>
      <c r="C213" s="1" t="s">
        <v>28</v>
      </c>
      <c r="D213" s="1" t="s">
        <v>31</v>
      </c>
      <c r="E213" s="1" t="s">
        <v>256</v>
      </c>
      <c r="F213" s="1" t="s">
        <v>851</v>
      </c>
      <c r="G213">
        <v>6</v>
      </c>
      <c r="H213">
        <v>26</v>
      </c>
      <c r="I213" s="1" t="s">
        <v>240</v>
      </c>
      <c r="J213" s="1" t="s">
        <v>241</v>
      </c>
      <c r="K213" s="1" t="s">
        <v>139</v>
      </c>
      <c r="L213" s="1" t="s">
        <v>140</v>
      </c>
      <c r="M213" s="1" t="s">
        <v>153</v>
      </c>
      <c r="N213" s="1" t="s">
        <v>142</v>
      </c>
      <c r="O213" s="1" t="s">
        <v>150</v>
      </c>
      <c r="P213">
        <v>-5663.71</v>
      </c>
      <c r="Q213" s="1" t="s">
        <v>144</v>
      </c>
    </row>
    <row r="214" spans="1:17" x14ac:dyDescent="0.2">
      <c r="A214" s="1" t="s">
        <v>378</v>
      </c>
      <c r="B214">
        <v>213</v>
      </c>
      <c r="C214" s="1" t="s">
        <v>28</v>
      </c>
      <c r="D214" s="1" t="s">
        <v>31</v>
      </c>
      <c r="E214" s="1" t="s">
        <v>256</v>
      </c>
      <c r="F214" s="1" t="s">
        <v>851</v>
      </c>
      <c r="G214">
        <v>6</v>
      </c>
      <c r="H214">
        <v>26</v>
      </c>
      <c r="I214" s="1" t="s">
        <v>286</v>
      </c>
      <c r="J214" s="1" t="s">
        <v>287</v>
      </c>
      <c r="K214" s="1" t="s">
        <v>244</v>
      </c>
      <c r="L214" s="1" t="s">
        <v>288</v>
      </c>
      <c r="M214" s="1" t="s">
        <v>142</v>
      </c>
      <c r="N214" s="1" t="s">
        <v>142</v>
      </c>
      <c r="O214" s="1" t="s">
        <v>150</v>
      </c>
      <c r="P214">
        <v>-6850.47</v>
      </c>
      <c r="Q214" s="1" t="s">
        <v>144</v>
      </c>
    </row>
    <row r="215" spans="1:17" x14ac:dyDescent="0.2">
      <c r="A215" s="1" t="s">
        <v>379</v>
      </c>
      <c r="B215">
        <v>214</v>
      </c>
      <c r="C215" s="1" t="s">
        <v>28</v>
      </c>
      <c r="D215" s="1" t="s">
        <v>31</v>
      </c>
      <c r="E215" s="1" t="s">
        <v>296</v>
      </c>
      <c r="F215" s="1" t="s">
        <v>879</v>
      </c>
      <c r="G215">
        <v>6</v>
      </c>
      <c r="H215">
        <v>27</v>
      </c>
      <c r="I215" s="1" t="s">
        <v>151</v>
      </c>
      <c r="J215" s="1" t="s">
        <v>152</v>
      </c>
      <c r="K215" s="1" t="s">
        <v>139</v>
      </c>
      <c r="L215" s="1" t="s">
        <v>140</v>
      </c>
      <c r="M215" s="1" t="s">
        <v>153</v>
      </c>
      <c r="N215" s="1" t="s">
        <v>142</v>
      </c>
      <c r="O215" s="1" t="s">
        <v>150</v>
      </c>
      <c r="P215">
        <v>-61312.63</v>
      </c>
      <c r="Q215" s="1" t="s">
        <v>144</v>
      </c>
    </row>
    <row r="216" spans="1:17" x14ac:dyDescent="0.2">
      <c r="A216" s="1" t="s">
        <v>380</v>
      </c>
      <c r="B216">
        <v>215</v>
      </c>
      <c r="C216" s="1" t="s">
        <v>28</v>
      </c>
      <c r="D216" s="1" t="s">
        <v>31</v>
      </c>
      <c r="E216" s="1" t="s">
        <v>296</v>
      </c>
      <c r="F216" s="1" t="s">
        <v>879</v>
      </c>
      <c r="G216">
        <v>6</v>
      </c>
      <c r="H216">
        <v>27</v>
      </c>
      <c r="I216" s="1" t="s">
        <v>151</v>
      </c>
      <c r="J216" s="1" t="s">
        <v>152</v>
      </c>
      <c r="K216" s="1" t="s">
        <v>139</v>
      </c>
      <c r="L216" s="1" t="s">
        <v>140</v>
      </c>
      <c r="M216" s="1" t="s">
        <v>153</v>
      </c>
      <c r="N216" s="1" t="s">
        <v>142</v>
      </c>
      <c r="O216" s="1" t="s">
        <v>143</v>
      </c>
      <c r="P216">
        <v>11242.24</v>
      </c>
      <c r="Q216" s="1" t="s">
        <v>144</v>
      </c>
    </row>
    <row r="217" spans="1:17" x14ac:dyDescent="0.2">
      <c r="A217" s="1" t="s">
        <v>381</v>
      </c>
      <c r="B217">
        <v>216</v>
      </c>
      <c r="C217" s="1" t="s">
        <v>28</v>
      </c>
      <c r="D217" s="1" t="s">
        <v>31</v>
      </c>
      <c r="E217" s="1" t="s">
        <v>296</v>
      </c>
      <c r="F217" s="1" t="s">
        <v>879</v>
      </c>
      <c r="G217">
        <v>6</v>
      </c>
      <c r="H217">
        <v>27</v>
      </c>
      <c r="I217" s="1" t="s">
        <v>281</v>
      </c>
      <c r="J217" s="1" t="s">
        <v>282</v>
      </c>
      <c r="K217" s="1" t="s">
        <v>139</v>
      </c>
      <c r="L217" s="1" t="s">
        <v>140</v>
      </c>
      <c r="M217" s="1" t="s">
        <v>153</v>
      </c>
      <c r="N217" s="1" t="s">
        <v>142</v>
      </c>
      <c r="O217" s="1" t="s">
        <v>150</v>
      </c>
      <c r="P217">
        <v>-11242.24</v>
      </c>
      <c r="Q217" s="1" t="s">
        <v>144</v>
      </c>
    </row>
    <row r="218" spans="1:17" x14ac:dyDescent="0.2">
      <c r="A218" s="1" t="s">
        <v>386</v>
      </c>
      <c r="B218">
        <v>217</v>
      </c>
      <c r="C218" s="1" t="s">
        <v>28</v>
      </c>
      <c r="D218" s="1" t="s">
        <v>31</v>
      </c>
      <c r="E218" s="1" t="s">
        <v>296</v>
      </c>
      <c r="F218" s="1" t="s">
        <v>879</v>
      </c>
      <c r="G218">
        <v>6</v>
      </c>
      <c r="H218">
        <v>27</v>
      </c>
      <c r="I218" s="1" t="s">
        <v>281</v>
      </c>
      <c r="J218" s="1" t="s">
        <v>282</v>
      </c>
      <c r="K218" s="1" t="s">
        <v>139</v>
      </c>
      <c r="L218" s="1" t="s">
        <v>140</v>
      </c>
      <c r="M218" s="1" t="s">
        <v>153</v>
      </c>
      <c r="N218" s="1" t="s">
        <v>142</v>
      </c>
      <c r="O218" s="1" t="s">
        <v>143</v>
      </c>
      <c r="P218">
        <v>15005.15</v>
      </c>
      <c r="Q218" s="1" t="s">
        <v>144</v>
      </c>
    </row>
    <row r="219" spans="1:17" x14ac:dyDescent="0.2">
      <c r="A219" s="1" t="s">
        <v>389</v>
      </c>
      <c r="B219">
        <v>218</v>
      </c>
      <c r="C219" s="1" t="s">
        <v>28</v>
      </c>
      <c r="D219" s="1" t="s">
        <v>31</v>
      </c>
      <c r="E219" s="1" t="s">
        <v>296</v>
      </c>
      <c r="F219" s="1" t="s">
        <v>879</v>
      </c>
      <c r="G219">
        <v>6</v>
      </c>
      <c r="H219">
        <v>27</v>
      </c>
      <c r="I219" s="1" t="s">
        <v>232</v>
      </c>
      <c r="J219" s="1" t="s">
        <v>233</v>
      </c>
      <c r="K219" s="1" t="s">
        <v>139</v>
      </c>
      <c r="L219" s="1" t="s">
        <v>147</v>
      </c>
      <c r="M219" s="1" t="s">
        <v>234</v>
      </c>
      <c r="N219" s="1" t="s">
        <v>235</v>
      </c>
      <c r="O219" s="1" t="s">
        <v>150</v>
      </c>
      <c r="P219">
        <v>-42081.35</v>
      </c>
      <c r="Q219" s="1" t="s">
        <v>144</v>
      </c>
    </row>
    <row r="220" spans="1:17" x14ac:dyDescent="0.2">
      <c r="A220" s="1" t="s">
        <v>390</v>
      </c>
      <c r="B220">
        <v>219</v>
      </c>
      <c r="C220" s="1" t="s">
        <v>28</v>
      </c>
      <c r="D220" s="1" t="s">
        <v>31</v>
      </c>
      <c r="E220" s="1" t="s">
        <v>296</v>
      </c>
      <c r="F220" s="1" t="s">
        <v>879</v>
      </c>
      <c r="G220">
        <v>6</v>
      </c>
      <c r="H220">
        <v>27</v>
      </c>
      <c r="I220" s="1" t="s">
        <v>232</v>
      </c>
      <c r="J220" s="1" t="s">
        <v>233</v>
      </c>
      <c r="K220" s="1" t="s">
        <v>139</v>
      </c>
      <c r="L220" s="1" t="s">
        <v>147</v>
      </c>
      <c r="M220" s="1" t="s">
        <v>234</v>
      </c>
      <c r="N220" s="1" t="s">
        <v>235</v>
      </c>
      <c r="O220" s="1" t="s">
        <v>143</v>
      </c>
      <c r="P220">
        <v>61112.63</v>
      </c>
      <c r="Q220" s="1" t="s">
        <v>144</v>
      </c>
    </row>
    <row r="221" spans="1:17" x14ac:dyDescent="0.2">
      <c r="A221" s="1" t="s">
        <v>391</v>
      </c>
      <c r="B221">
        <v>220</v>
      </c>
      <c r="C221" s="1" t="s">
        <v>28</v>
      </c>
      <c r="D221" s="1" t="s">
        <v>31</v>
      </c>
      <c r="E221" s="1" t="s">
        <v>296</v>
      </c>
      <c r="F221" s="1" t="s">
        <v>879</v>
      </c>
      <c r="G221">
        <v>6</v>
      </c>
      <c r="H221">
        <v>27</v>
      </c>
      <c r="I221" s="1" t="s">
        <v>236</v>
      </c>
      <c r="J221" s="1" t="s">
        <v>237</v>
      </c>
      <c r="K221" s="1" t="s">
        <v>139</v>
      </c>
      <c r="L221" s="1" t="s">
        <v>147</v>
      </c>
      <c r="M221" s="1" t="s">
        <v>234</v>
      </c>
      <c r="N221" s="1" t="s">
        <v>235</v>
      </c>
      <c r="O221" s="1" t="s">
        <v>150</v>
      </c>
      <c r="P221">
        <v>-41081.35</v>
      </c>
      <c r="Q221" s="1" t="s">
        <v>144</v>
      </c>
    </row>
    <row r="222" spans="1:17" x14ac:dyDescent="0.2">
      <c r="A222" s="1" t="s">
        <v>392</v>
      </c>
      <c r="B222">
        <v>221</v>
      </c>
      <c r="C222" s="1" t="s">
        <v>28</v>
      </c>
      <c r="D222" s="1" t="s">
        <v>31</v>
      </c>
      <c r="E222" s="1" t="s">
        <v>296</v>
      </c>
      <c r="F222" s="1" t="s">
        <v>879</v>
      </c>
      <c r="G222">
        <v>6</v>
      </c>
      <c r="H222">
        <v>27</v>
      </c>
      <c r="I222" s="1" t="s">
        <v>236</v>
      </c>
      <c r="J222" s="1" t="s">
        <v>237</v>
      </c>
      <c r="K222" s="1" t="s">
        <v>139</v>
      </c>
      <c r="L222" s="1" t="s">
        <v>147</v>
      </c>
      <c r="M222" s="1" t="s">
        <v>234</v>
      </c>
      <c r="N222" s="1" t="s">
        <v>235</v>
      </c>
      <c r="O222" s="1" t="s">
        <v>143</v>
      </c>
      <c r="P222">
        <v>41081.35</v>
      </c>
      <c r="Q222" s="1" t="s">
        <v>144</v>
      </c>
    </row>
    <row r="223" spans="1:17" x14ac:dyDescent="0.2">
      <c r="A223" s="1" t="s">
        <v>393</v>
      </c>
      <c r="B223">
        <v>222</v>
      </c>
      <c r="C223" s="1" t="s">
        <v>28</v>
      </c>
      <c r="D223" s="1" t="s">
        <v>31</v>
      </c>
      <c r="E223" s="1" t="s">
        <v>296</v>
      </c>
      <c r="F223" s="1" t="s">
        <v>879</v>
      </c>
      <c r="G223">
        <v>6</v>
      </c>
      <c r="H223">
        <v>27</v>
      </c>
      <c r="I223" s="1" t="s">
        <v>238</v>
      </c>
      <c r="J223" s="1" t="s">
        <v>239</v>
      </c>
      <c r="K223" s="1" t="s">
        <v>139</v>
      </c>
      <c r="L223" s="1" t="s">
        <v>147</v>
      </c>
      <c r="M223" s="1" t="s">
        <v>234</v>
      </c>
      <c r="N223" s="1" t="s">
        <v>235</v>
      </c>
      <c r="O223" s="1" t="s">
        <v>150</v>
      </c>
      <c r="P223">
        <v>-1000</v>
      </c>
      <c r="Q223" s="1" t="s">
        <v>144</v>
      </c>
    </row>
    <row r="224" spans="1:17" x14ac:dyDescent="0.2">
      <c r="A224" s="1" t="s">
        <v>394</v>
      </c>
      <c r="B224">
        <v>223</v>
      </c>
      <c r="C224" s="1" t="s">
        <v>28</v>
      </c>
      <c r="D224" s="1" t="s">
        <v>31</v>
      </c>
      <c r="E224" s="1" t="s">
        <v>296</v>
      </c>
      <c r="F224" s="1" t="s">
        <v>879</v>
      </c>
      <c r="G224">
        <v>6</v>
      </c>
      <c r="H224">
        <v>27</v>
      </c>
      <c r="I224" s="1" t="s">
        <v>238</v>
      </c>
      <c r="J224" s="1" t="s">
        <v>239</v>
      </c>
      <c r="K224" s="1" t="s">
        <v>139</v>
      </c>
      <c r="L224" s="1" t="s">
        <v>147</v>
      </c>
      <c r="M224" s="1" t="s">
        <v>234</v>
      </c>
      <c r="N224" s="1" t="s">
        <v>235</v>
      </c>
      <c r="O224" s="1" t="s">
        <v>143</v>
      </c>
      <c r="P224">
        <v>1000</v>
      </c>
      <c r="Q224" s="1" t="s">
        <v>144</v>
      </c>
    </row>
    <row r="225" spans="1:17" x14ac:dyDescent="0.2">
      <c r="A225" s="1" t="s">
        <v>395</v>
      </c>
      <c r="B225">
        <v>224</v>
      </c>
      <c r="C225" s="1" t="s">
        <v>28</v>
      </c>
      <c r="D225" s="1" t="s">
        <v>31</v>
      </c>
      <c r="E225" s="1" t="s">
        <v>296</v>
      </c>
      <c r="F225" s="1" t="s">
        <v>879</v>
      </c>
      <c r="G225">
        <v>6</v>
      </c>
      <c r="H225">
        <v>27</v>
      </c>
      <c r="I225" s="1" t="s">
        <v>283</v>
      </c>
      <c r="J225" s="1" t="s">
        <v>284</v>
      </c>
      <c r="K225" s="1" t="s">
        <v>244</v>
      </c>
      <c r="L225" s="1" t="s">
        <v>285</v>
      </c>
      <c r="M225" s="1" t="s">
        <v>142</v>
      </c>
      <c r="N225" s="1" t="s">
        <v>142</v>
      </c>
      <c r="O225" s="1" t="s">
        <v>143</v>
      </c>
      <c r="P225">
        <v>12574.69</v>
      </c>
      <c r="Q225" s="1" t="s">
        <v>144</v>
      </c>
    </row>
    <row r="226" spans="1:17" x14ac:dyDescent="0.2">
      <c r="A226" s="1" t="s">
        <v>396</v>
      </c>
      <c r="B226">
        <v>225</v>
      </c>
      <c r="C226" s="1" t="s">
        <v>28</v>
      </c>
      <c r="D226" s="1" t="s">
        <v>31</v>
      </c>
      <c r="E226" s="1" t="s">
        <v>296</v>
      </c>
      <c r="F226" s="1" t="s">
        <v>879</v>
      </c>
      <c r="G226">
        <v>6</v>
      </c>
      <c r="H226">
        <v>27</v>
      </c>
      <c r="I226" s="1" t="s">
        <v>242</v>
      </c>
      <c r="J226" s="1" t="s">
        <v>243</v>
      </c>
      <c r="K226" s="1" t="s">
        <v>244</v>
      </c>
      <c r="L226" s="1" t="s">
        <v>245</v>
      </c>
      <c r="M226" s="1" t="s">
        <v>142</v>
      </c>
      <c r="N226" s="1" t="s">
        <v>142</v>
      </c>
      <c r="O226" s="1" t="s">
        <v>143</v>
      </c>
      <c r="P226">
        <v>200</v>
      </c>
      <c r="Q226" s="1" t="s">
        <v>144</v>
      </c>
    </row>
    <row r="227" spans="1:17" x14ac:dyDescent="0.2">
      <c r="A227" s="1" t="s">
        <v>397</v>
      </c>
      <c r="B227">
        <v>226</v>
      </c>
      <c r="C227" s="1" t="s">
        <v>28</v>
      </c>
      <c r="D227" s="1" t="s">
        <v>31</v>
      </c>
      <c r="E227" s="1" t="s">
        <v>296</v>
      </c>
      <c r="F227" s="1" t="s">
        <v>879</v>
      </c>
      <c r="G227">
        <v>6</v>
      </c>
      <c r="H227">
        <v>27</v>
      </c>
      <c r="I227" s="1" t="s">
        <v>240</v>
      </c>
      <c r="J227" s="1" t="s">
        <v>241</v>
      </c>
      <c r="K227" s="1" t="s">
        <v>139</v>
      </c>
      <c r="L227" s="1" t="s">
        <v>140</v>
      </c>
      <c r="M227" s="1" t="s">
        <v>153</v>
      </c>
      <c r="N227" s="1" t="s">
        <v>142</v>
      </c>
      <c r="O227" s="1" t="s">
        <v>150</v>
      </c>
      <c r="P227">
        <v>-12574.69</v>
      </c>
      <c r="Q227" s="1" t="s">
        <v>144</v>
      </c>
    </row>
    <row r="228" spans="1:17" x14ac:dyDescent="0.2">
      <c r="A228" s="1" t="s">
        <v>398</v>
      </c>
      <c r="B228">
        <v>227</v>
      </c>
      <c r="C228" s="1" t="s">
        <v>28</v>
      </c>
      <c r="D228" s="1" t="s">
        <v>31</v>
      </c>
      <c r="E228" s="1" t="s">
        <v>296</v>
      </c>
      <c r="F228" s="1" t="s">
        <v>879</v>
      </c>
      <c r="G228">
        <v>6</v>
      </c>
      <c r="H228">
        <v>27</v>
      </c>
      <c r="I228" s="1" t="s">
        <v>240</v>
      </c>
      <c r="J228" s="1" t="s">
        <v>241</v>
      </c>
      <c r="K228" s="1" t="s">
        <v>139</v>
      </c>
      <c r="L228" s="1" t="s">
        <v>140</v>
      </c>
      <c r="M228" s="1" t="s">
        <v>153</v>
      </c>
      <c r="N228" s="1" t="s">
        <v>142</v>
      </c>
      <c r="O228" s="1" t="s">
        <v>143</v>
      </c>
      <c r="P228">
        <v>42081.35</v>
      </c>
      <c r="Q228" s="1" t="s">
        <v>144</v>
      </c>
    </row>
    <row r="229" spans="1:17" x14ac:dyDescent="0.2">
      <c r="A229" s="1" t="s">
        <v>399</v>
      </c>
      <c r="B229">
        <v>228</v>
      </c>
      <c r="C229" s="1" t="s">
        <v>28</v>
      </c>
      <c r="D229" s="1" t="s">
        <v>31</v>
      </c>
      <c r="E229" s="1" t="s">
        <v>296</v>
      </c>
      <c r="F229" s="1" t="s">
        <v>879</v>
      </c>
      <c r="G229">
        <v>6</v>
      </c>
      <c r="H229">
        <v>27</v>
      </c>
      <c r="I229" s="1" t="s">
        <v>286</v>
      </c>
      <c r="J229" s="1" t="s">
        <v>287</v>
      </c>
      <c r="K229" s="1" t="s">
        <v>244</v>
      </c>
      <c r="L229" s="1" t="s">
        <v>288</v>
      </c>
      <c r="M229" s="1" t="s">
        <v>142</v>
      </c>
      <c r="N229" s="1" t="s">
        <v>142</v>
      </c>
      <c r="O229" s="1" t="s">
        <v>150</v>
      </c>
      <c r="P229">
        <v>-15005.15</v>
      </c>
      <c r="Q229" s="1" t="s">
        <v>144</v>
      </c>
    </row>
    <row r="230" spans="1:17" x14ac:dyDescent="0.2">
      <c r="A230" s="1" t="s">
        <v>400</v>
      </c>
      <c r="B230">
        <v>229</v>
      </c>
      <c r="C230" s="1" t="s">
        <v>28</v>
      </c>
      <c r="D230" s="1" t="s">
        <v>31</v>
      </c>
      <c r="E230" s="1" t="s">
        <v>326</v>
      </c>
      <c r="F230" s="1" t="s">
        <v>907</v>
      </c>
      <c r="G230">
        <v>6</v>
      </c>
      <c r="H230">
        <v>28</v>
      </c>
      <c r="I230" s="1" t="s">
        <v>151</v>
      </c>
      <c r="J230" s="1" t="s">
        <v>152</v>
      </c>
      <c r="K230" s="1" t="s">
        <v>139</v>
      </c>
      <c r="L230" s="1" t="s">
        <v>140</v>
      </c>
      <c r="M230" s="1" t="s">
        <v>153</v>
      </c>
      <c r="N230" s="1" t="s">
        <v>142</v>
      </c>
      <c r="O230" s="1" t="s">
        <v>150</v>
      </c>
      <c r="P230">
        <v>-200</v>
      </c>
      <c r="Q230" s="1" t="s">
        <v>144</v>
      </c>
    </row>
    <row r="231" spans="1:17" x14ac:dyDescent="0.2">
      <c r="A231" s="1" t="s">
        <v>401</v>
      </c>
      <c r="B231">
        <v>230</v>
      </c>
      <c r="C231" s="1" t="s">
        <v>28</v>
      </c>
      <c r="D231" s="1" t="s">
        <v>31</v>
      </c>
      <c r="E231" s="1" t="s">
        <v>326</v>
      </c>
      <c r="F231" s="1" t="s">
        <v>907</v>
      </c>
      <c r="G231">
        <v>6</v>
      </c>
      <c r="H231">
        <v>28</v>
      </c>
      <c r="I231" s="1" t="s">
        <v>151</v>
      </c>
      <c r="J231" s="1" t="s">
        <v>152</v>
      </c>
      <c r="K231" s="1" t="s">
        <v>139</v>
      </c>
      <c r="L231" s="1" t="s">
        <v>140</v>
      </c>
      <c r="M231" s="1" t="s">
        <v>153</v>
      </c>
      <c r="N231" s="1" t="s">
        <v>142</v>
      </c>
      <c r="O231" s="1" t="s">
        <v>143</v>
      </c>
      <c r="P231">
        <v>18572.330000000002</v>
      </c>
      <c r="Q231" s="1" t="s">
        <v>144</v>
      </c>
    </row>
    <row r="232" spans="1:17" x14ac:dyDescent="0.2">
      <c r="A232" s="1" t="s">
        <v>402</v>
      </c>
      <c r="B232">
        <v>231</v>
      </c>
      <c r="C232" s="1" t="s">
        <v>28</v>
      </c>
      <c r="D232" s="1" t="s">
        <v>31</v>
      </c>
      <c r="E232" s="1" t="s">
        <v>326</v>
      </c>
      <c r="F232" s="1" t="s">
        <v>907</v>
      </c>
      <c r="G232">
        <v>6</v>
      </c>
      <c r="H232">
        <v>28</v>
      </c>
      <c r="I232" s="1" t="s">
        <v>281</v>
      </c>
      <c r="J232" s="1" t="s">
        <v>282</v>
      </c>
      <c r="K232" s="1" t="s">
        <v>139</v>
      </c>
      <c r="L232" s="1" t="s">
        <v>140</v>
      </c>
      <c r="M232" s="1" t="s">
        <v>153</v>
      </c>
      <c r="N232" s="1" t="s">
        <v>142</v>
      </c>
      <c r="O232" s="1" t="s">
        <v>150</v>
      </c>
      <c r="P232">
        <v>-18572.330000000002</v>
      </c>
      <c r="Q232" s="1" t="s">
        <v>144</v>
      </c>
    </row>
    <row r="233" spans="1:17" x14ac:dyDescent="0.2">
      <c r="A233" s="1" t="s">
        <v>403</v>
      </c>
      <c r="B233">
        <v>232</v>
      </c>
      <c r="C233" s="1" t="s">
        <v>28</v>
      </c>
      <c r="D233" s="1" t="s">
        <v>31</v>
      </c>
      <c r="E233" s="1" t="s">
        <v>326</v>
      </c>
      <c r="F233" s="1" t="s">
        <v>907</v>
      </c>
      <c r="G233">
        <v>6</v>
      </c>
      <c r="H233">
        <v>28</v>
      </c>
      <c r="I233" s="1" t="s">
        <v>281</v>
      </c>
      <c r="J233" s="1" t="s">
        <v>282</v>
      </c>
      <c r="K233" s="1" t="s">
        <v>139</v>
      </c>
      <c r="L233" s="1" t="s">
        <v>140</v>
      </c>
      <c r="M233" s="1" t="s">
        <v>153</v>
      </c>
      <c r="N233" s="1" t="s">
        <v>142</v>
      </c>
      <c r="O233" s="1" t="s">
        <v>143</v>
      </c>
      <c r="P233">
        <v>12977.84</v>
      </c>
      <c r="Q233" s="1" t="s">
        <v>144</v>
      </c>
    </row>
    <row r="234" spans="1:17" x14ac:dyDescent="0.2">
      <c r="A234" s="1" t="s">
        <v>404</v>
      </c>
      <c r="B234">
        <v>233</v>
      </c>
      <c r="C234" s="1" t="s">
        <v>28</v>
      </c>
      <c r="D234" s="1" t="s">
        <v>31</v>
      </c>
      <c r="E234" s="1" t="s">
        <v>326</v>
      </c>
      <c r="F234" s="1" t="s">
        <v>907</v>
      </c>
      <c r="G234">
        <v>6</v>
      </c>
      <c r="H234">
        <v>28</v>
      </c>
      <c r="I234" s="1" t="s">
        <v>283</v>
      </c>
      <c r="J234" s="1" t="s">
        <v>284</v>
      </c>
      <c r="K234" s="1" t="s">
        <v>244</v>
      </c>
      <c r="L234" s="1" t="s">
        <v>285</v>
      </c>
      <c r="M234" s="1" t="s">
        <v>142</v>
      </c>
      <c r="N234" s="1" t="s">
        <v>142</v>
      </c>
      <c r="O234" s="1" t="s">
        <v>143</v>
      </c>
      <c r="P234">
        <v>10899.2</v>
      </c>
      <c r="Q234" s="1" t="s">
        <v>144</v>
      </c>
    </row>
    <row r="235" spans="1:17" x14ac:dyDescent="0.2">
      <c r="A235" s="1" t="s">
        <v>405</v>
      </c>
      <c r="B235">
        <v>234</v>
      </c>
      <c r="C235" s="1" t="s">
        <v>28</v>
      </c>
      <c r="D235" s="1" t="s">
        <v>31</v>
      </c>
      <c r="E235" s="1" t="s">
        <v>326</v>
      </c>
      <c r="F235" s="1" t="s">
        <v>907</v>
      </c>
      <c r="G235">
        <v>6</v>
      </c>
      <c r="H235">
        <v>28</v>
      </c>
      <c r="I235" s="1" t="s">
        <v>242</v>
      </c>
      <c r="J235" s="1" t="s">
        <v>243</v>
      </c>
      <c r="K235" s="1" t="s">
        <v>244</v>
      </c>
      <c r="L235" s="1" t="s">
        <v>245</v>
      </c>
      <c r="M235" s="1" t="s">
        <v>142</v>
      </c>
      <c r="N235" s="1" t="s">
        <v>142</v>
      </c>
      <c r="O235" s="1" t="s">
        <v>143</v>
      </c>
      <c r="P235">
        <v>200</v>
      </c>
      <c r="Q235" s="1" t="s">
        <v>144</v>
      </c>
    </row>
    <row r="236" spans="1:17" x14ac:dyDescent="0.2">
      <c r="A236" s="1" t="s">
        <v>406</v>
      </c>
      <c r="B236">
        <v>235</v>
      </c>
      <c r="C236" s="1" t="s">
        <v>28</v>
      </c>
      <c r="D236" s="1" t="s">
        <v>31</v>
      </c>
      <c r="E236" s="1" t="s">
        <v>326</v>
      </c>
      <c r="F236" s="1" t="s">
        <v>907</v>
      </c>
      <c r="G236">
        <v>6</v>
      </c>
      <c r="H236">
        <v>28</v>
      </c>
      <c r="I236" s="1" t="s">
        <v>240</v>
      </c>
      <c r="J236" s="1" t="s">
        <v>241</v>
      </c>
      <c r="K236" s="1" t="s">
        <v>139</v>
      </c>
      <c r="L236" s="1" t="s">
        <v>140</v>
      </c>
      <c r="M236" s="1" t="s">
        <v>153</v>
      </c>
      <c r="N236" s="1" t="s">
        <v>142</v>
      </c>
      <c r="O236" s="1" t="s">
        <v>150</v>
      </c>
      <c r="P236">
        <v>-10899.2</v>
      </c>
      <c r="Q236" s="1" t="s">
        <v>144</v>
      </c>
    </row>
    <row r="237" spans="1:17" x14ac:dyDescent="0.2">
      <c r="A237" s="1" t="s">
        <v>407</v>
      </c>
      <c r="B237">
        <v>236</v>
      </c>
      <c r="C237" s="1" t="s">
        <v>28</v>
      </c>
      <c r="D237" s="1" t="s">
        <v>31</v>
      </c>
      <c r="E237" s="1" t="s">
        <v>326</v>
      </c>
      <c r="F237" s="1" t="s">
        <v>907</v>
      </c>
      <c r="G237">
        <v>6</v>
      </c>
      <c r="H237">
        <v>28</v>
      </c>
      <c r="I237" s="1" t="s">
        <v>286</v>
      </c>
      <c r="J237" s="1" t="s">
        <v>287</v>
      </c>
      <c r="K237" s="1" t="s">
        <v>244</v>
      </c>
      <c r="L237" s="1" t="s">
        <v>288</v>
      </c>
      <c r="M237" s="1" t="s">
        <v>142</v>
      </c>
      <c r="N237" s="1" t="s">
        <v>142</v>
      </c>
      <c r="O237" s="1" t="s">
        <v>150</v>
      </c>
      <c r="P237">
        <v>-12977.84</v>
      </c>
      <c r="Q237" s="1" t="s">
        <v>144</v>
      </c>
    </row>
    <row r="238" spans="1:17" x14ac:dyDescent="0.2">
      <c r="A238" s="1" t="s">
        <v>408</v>
      </c>
      <c r="B238">
        <v>237</v>
      </c>
      <c r="C238" s="1" t="s">
        <v>28</v>
      </c>
      <c r="D238" s="1" t="s">
        <v>31</v>
      </c>
      <c r="E238" s="1" t="s">
        <v>357</v>
      </c>
      <c r="F238" s="1" t="s">
        <v>936</v>
      </c>
      <c r="G238">
        <v>6</v>
      </c>
      <c r="H238">
        <v>29</v>
      </c>
      <c r="I238" s="1" t="s">
        <v>151</v>
      </c>
      <c r="J238" s="1" t="s">
        <v>152</v>
      </c>
      <c r="K238" s="1" t="s">
        <v>139</v>
      </c>
      <c r="L238" s="1" t="s">
        <v>140</v>
      </c>
      <c r="M238" s="1" t="s">
        <v>153</v>
      </c>
      <c r="N238" s="1" t="s">
        <v>142</v>
      </c>
      <c r="O238" s="1" t="s">
        <v>150</v>
      </c>
      <c r="P238">
        <v>-300</v>
      </c>
      <c r="Q238" s="1" t="s">
        <v>144</v>
      </c>
    </row>
    <row r="239" spans="1:17" x14ac:dyDescent="0.2">
      <c r="A239" s="1" t="s">
        <v>409</v>
      </c>
      <c r="B239">
        <v>238</v>
      </c>
      <c r="C239" s="1" t="s">
        <v>28</v>
      </c>
      <c r="D239" s="1" t="s">
        <v>31</v>
      </c>
      <c r="E239" s="1" t="s">
        <v>357</v>
      </c>
      <c r="F239" s="1" t="s">
        <v>936</v>
      </c>
      <c r="G239">
        <v>6</v>
      </c>
      <c r="H239">
        <v>29</v>
      </c>
      <c r="I239" s="1" t="s">
        <v>151</v>
      </c>
      <c r="J239" s="1" t="s">
        <v>152</v>
      </c>
      <c r="K239" s="1" t="s">
        <v>139</v>
      </c>
      <c r="L239" s="1" t="s">
        <v>140</v>
      </c>
      <c r="M239" s="1" t="s">
        <v>153</v>
      </c>
      <c r="N239" s="1" t="s">
        <v>142</v>
      </c>
      <c r="O239" s="1" t="s">
        <v>143</v>
      </c>
      <c r="P239">
        <v>8900.5300000000007</v>
      </c>
      <c r="Q239" s="1" t="s">
        <v>144</v>
      </c>
    </row>
    <row r="240" spans="1:17" x14ac:dyDescent="0.2">
      <c r="A240" s="1" t="s">
        <v>410</v>
      </c>
      <c r="B240">
        <v>239</v>
      </c>
      <c r="C240" s="1" t="s">
        <v>28</v>
      </c>
      <c r="D240" s="1" t="s">
        <v>31</v>
      </c>
      <c r="E240" s="1" t="s">
        <v>357</v>
      </c>
      <c r="F240" s="1" t="s">
        <v>936</v>
      </c>
      <c r="G240">
        <v>6</v>
      </c>
      <c r="H240">
        <v>29</v>
      </c>
      <c r="I240" s="1" t="s">
        <v>281</v>
      </c>
      <c r="J240" s="1" t="s">
        <v>282</v>
      </c>
      <c r="K240" s="1" t="s">
        <v>139</v>
      </c>
      <c r="L240" s="1" t="s">
        <v>140</v>
      </c>
      <c r="M240" s="1" t="s">
        <v>153</v>
      </c>
      <c r="N240" s="1" t="s">
        <v>142</v>
      </c>
      <c r="O240" s="1" t="s">
        <v>150</v>
      </c>
      <c r="P240">
        <v>-8900.5300000000007</v>
      </c>
      <c r="Q240" s="1" t="s">
        <v>144</v>
      </c>
    </row>
    <row r="241" spans="1:17" x14ac:dyDescent="0.2">
      <c r="A241" s="1" t="s">
        <v>411</v>
      </c>
      <c r="B241">
        <v>240</v>
      </c>
      <c r="C241" s="1" t="s">
        <v>28</v>
      </c>
      <c r="D241" s="1" t="s">
        <v>31</v>
      </c>
      <c r="E241" s="1" t="s">
        <v>357</v>
      </c>
      <c r="F241" s="1" t="s">
        <v>936</v>
      </c>
      <c r="G241">
        <v>6</v>
      </c>
      <c r="H241">
        <v>29</v>
      </c>
      <c r="I241" s="1" t="s">
        <v>281</v>
      </c>
      <c r="J241" s="1" t="s">
        <v>282</v>
      </c>
      <c r="K241" s="1" t="s">
        <v>139</v>
      </c>
      <c r="L241" s="1" t="s">
        <v>140</v>
      </c>
      <c r="M241" s="1" t="s">
        <v>153</v>
      </c>
      <c r="N241" s="1" t="s">
        <v>142</v>
      </c>
      <c r="O241" s="1" t="s">
        <v>143</v>
      </c>
      <c r="P241">
        <v>18228.14</v>
      </c>
      <c r="Q241" s="1" t="s">
        <v>144</v>
      </c>
    </row>
    <row r="242" spans="1:17" x14ac:dyDescent="0.2">
      <c r="A242" s="1" t="s">
        <v>413</v>
      </c>
      <c r="B242">
        <v>241</v>
      </c>
      <c r="C242" s="1" t="s">
        <v>28</v>
      </c>
      <c r="D242" s="1" t="s">
        <v>31</v>
      </c>
      <c r="E242" s="1" t="s">
        <v>357</v>
      </c>
      <c r="F242" s="1" t="s">
        <v>936</v>
      </c>
      <c r="G242">
        <v>6</v>
      </c>
      <c r="H242">
        <v>29</v>
      </c>
      <c r="I242" s="1" t="s">
        <v>283</v>
      </c>
      <c r="J242" s="1" t="s">
        <v>284</v>
      </c>
      <c r="K242" s="1" t="s">
        <v>244</v>
      </c>
      <c r="L242" s="1" t="s">
        <v>285</v>
      </c>
      <c r="M242" s="1" t="s">
        <v>142</v>
      </c>
      <c r="N242" s="1" t="s">
        <v>142</v>
      </c>
      <c r="O242" s="1" t="s">
        <v>143</v>
      </c>
      <c r="P242">
        <v>15440.53</v>
      </c>
      <c r="Q242" s="1" t="s">
        <v>144</v>
      </c>
    </row>
    <row r="243" spans="1:17" x14ac:dyDescent="0.2">
      <c r="A243" s="1" t="s">
        <v>415</v>
      </c>
      <c r="B243">
        <v>242</v>
      </c>
      <c r="C243" s="1" t="s">
        <v>28</v>
      </c>
      <c r="D243" s="1" t="s">
        <v>31</v>
      </c>
      <c r="E243" s="1" t="s">
        <v>357</v>
      </c>
      <c r="F243" s="1" t="s">
        <v>936</v>
      </c>
      <c r="G243">
        <v>6</v>
      </c>
      <c r="H243">
        <v>29</v>
      </c>
      <c r="I243" s="1" t="s">
        <v>242</v>
      </c>
      <c r="J243" s="1" t="s">
        <v>243</v>
      </c>
      <c r="K243" s="1" t="s">
        <v>244</v>
      </c>
      <c r="L243" s="1" t="s">
        <v>245</v>
      </c>
      <c r="M243" s="1" t="s">
        <v>142</v>
      </c>
      <c r="N243" s="1" t="s">
        <v>142</v>
      </c>
      <c r="O243" s="1" t="s">
        <v>143</v>
      </c>
      <c r="P243">
        <v>300</v>
      </c>
      <c r="Q243" s="1" t="s">
        <v>144</v>
      </c>
    </row>
    <row r="244" spans="1:17" x14ac:dyDescent="0.2">
      <c r="A244" s="1" t="s">
        <v>416</v>
      </c>
      <c r="B244">
        <v>243</v>
      </c>
      <c r="C244" s="1" t="s">
        <v>28</v>
      </c>
      <c r="D244" s="1" t="s">
        <v>31</v>
      </c>
      <c r="E244" s="1" t="s">
        <v>357</v>
      </c>
      <c r="F244" s="1" t="s">
        <v>936</v>
      </c>
      <c r="G244">
        <v>6</v>
      </c>
      <c r="H244">
        <v>29</v>
      </c>
      <c r="I244" s="1" t="s">
        <v>240</v>
      </c>
      <c r="J244" s="1" t="s">
        <v>241</v>
      </c>
      <c r="K244" s="1" t="s">
        <v>139</v>
      </c>
      <c r="L244" s="1" t="s">
        <v>140</v>
      </c>
      <c r="M244" s="1" t="s">
        <v>153</v>
      </c>
      <c r="N244" s="1" t="s">
        <v>142</v>
      </c>
      <c r="O244" s="1" t="s">
        <v>150</v>
      </c>
      <c r="P244">
        <v>-15440.53</v>
      </c>
      <c r="Q244" s="1" t="s">
        <v>144</v>
      </c>
    </row>
    <row r="245" spans="1:17" x14ac:dyDescent="0.2">
      <c r="A245" s="1" t="s">
        <v>417</v>
      </c>
      <c r="B245">
        <v>244</v>
      </c>
      <c r="C245" s="1" t="s">
        <v>28</v>
      </c>
      <c r="D245" s="1" t="s">
        <v>31</v>
      </c>
      <c r="E245" s="1" t="s">
        <v>357</v>
      </c>
      <c r="F245" s="1" t="s">
        <v>936</v>
      </c>
      <c r="G245">
        <v>6</v>
      </c>
      <c r="H245">
        <v>29</v>
      </c>
      <c r="I245" s="1" t="s">
        <v>286</v>
      </c>
      <c r="J245" s="1" t="s">
        <v>287</v>
      </c>
      <c r="K245" s="1" t="s">
        <v>244</v>
      </c>
      <c r="L245" s="1" t="s">
        <v>288</v>
      </c>
      <c r="M245" s="1" t="s">
        <v>142</v>
      </c>
      <c r="N245" s="1" t="s">
        <v>142</v>
      </c>
      <c r="O245" s="1" t="s">
        <v>150</v>
      </c>
      <c r="P245">
        <v>-18228.14</v>
      </c>
      <c r="Q245" s="1" t="s">
        <v>144</v>
      </c>
    </row>
    <row r="246" spans="1:17" x14ac:dyDescent="0.2">
      <c r="A246" s="1" t="s">
        <v>418</v>
      </c>
      <c r="B246">
        <v>245</v>
      </c>
      <c r="C246" s="1" t="s">
        <v>28</v>
      </c>
      <c r="D246" s="1" t="s">
        <v>31</v>
      </c>
      <c r="E246" s="1" t="s">
        <v>387</v>
      </c>
      <c r="F246" s="1" t="s">
        <v>964</v>
      </c>
      <c r="G246">
        <v>6</v>
      </c>
      <c r="H246">
        <v>30</v>
      </c>
      <c r="I246" s="1" t="s">
        <v>151</v>
      </c>
      <c r="J246" s="1" t="s">
        <v>152</v>
      </c>
      <c r="K246" s="1" t="s">
        <v>139</v>
      </c>
      <c r="L246" s="1" t="s">
        <v>140</v>
      </c>
      <c r="M246" s="1" t="s">
        <v>153</v>
      </c>
      <c r="N246" s="1" t="s">
        <v>142</v>
      </c>
      <c r="O246" s="1" t="s">
        <v>150</v>
      </c>
      <c r="P246">
        <v>-300</v>
      </c>
      <c r="Q246" s="1" t="s">
        <v>144</v>
      </c>
    </row>
    <row r="247" spans="1:17" x14ac:dyDescent="0.2">
      <c r="A247" s="1" t="s">
        <v>419</v>
      </c>
      <c r="B247">
        <v>246</v>
      </c>
      <c r="C247" s="1" t="s">
        <v>28</v>
      </c>
      <c r="D247" s="1" t="s">
        <v>31</v>
      </c>
      <c r="E247" s="1" t="s">
        <v>387</v>
      </c>
      <c r="F247" s="1" t="s">
        <v>964</v>
      </c>
      <c r="G247">
        <v>6</v>
      </c>
      <c r="H247">
        <v>30</v>
      </c>
      <c r="I247" s="1" t="s">
        <v>151</v>
      </c>
      <c r="J247" s="1" t="s">
        <v>152</v>
      </c>
      <c r="K247" s="1" t="s">
        <v>139</v>
      </c>
      <c r="L247" s="1" t="s">
        <v>140</v>
      </c>
      <c r="M247" s="1" t="s">
        <v>153</v>
      </c>
      <c r="N247" s="1" t="s">
        <v>142</v>
      </c>
      <c r="O247" s="1" t="s">
        <v>143</v>
      </c>
      <c r="P247">
        <v>6850.47</v>
      </c>
      <c r="Q247" s="1" t="s">
        <v>144</v>
      </c>
    </row>
    <row r="248" spans="1:17" x14ac:dyDescent="0.2">
      <c r="A248" s="1" t="s">
        <v>420</v>
      </c>
      <c r="B248">
        <v>247</v>
      </c>
      <c r="C248" s="1" t="s">
        <v>28</v>
      </c>
      <c r="D248" s="1" t="s">
        <v>31</v>
      </c>
      <c r="E248" s="1" t="s">
        <v>387</v>
      </c>
      <c r="F248" s="1" t="s">
        <v>964</v>
      </c>
      <c r="G248">
        <v>6</v>
      </c>
      <c r="H248">
        <v>30</v>
      </c>
      <c r="I248" s="1" t="s">
        <v>281</v>
      </c>
      <c r="J248" s="1" t="s">
        <v>282</v>
      </c>
      <c r="K248" s="1" t="s">
        <v>139</v>
      </c>
      <c r="L248" s="1" t="s">
        <v>140</v>
      </c>
      <c r="M248" s="1" t="s">
        <v>153</v>
      </c>
      <c r="N248" s="1" t="s">
        <v>142</v>
      </c>
      <c r="O248" s="1" t="s">
        <v>150</v>
      </c>
      <c r="P248">
        <v>-6850.47</v>
      </c>
      <c r="Q248" s="1" t="s">
        <v>144</v>
      </c>
    </row>
    <row r="249" spans="1:17" x14ac:dyDescent="0.2">
      <c r="A249" s="1" t="s">
        <v>421</v>
      </c>
      <c r="B249">
        <v>248</v>
      </c>
      <c r="C249" s="1" t="s">
        <v>28</v>
      </c>
      <c r="D249" s="1" t="s">
        <v>31</v>
      </c>
      <c r="E249" s="1" t="s">
        <v>387</v>
      </c>
      <c r="F249" s="1" t="s">
        <v>964</v>
      </c>
      <c r="G249">
        <v>6</v>
      </c>
      <c r="H249">
        <v>30</v>
      </c>
      <c r="I249" s="1" t="s">
        <v>281</v>
      </c>
      <c r="J249" s="1" t="s">
        <v>282</v>
      </c>
      <c r="K249" s="1" t="s">
        <v>139</v>
      </c>
      <c r="L249" s="1" t="s">
        <v>140</v>
      </c>
      <c r="M249" s="1" t="s">
        <v>153</v>
      </c>
      <c r="N249" s="1" t="s">
        <v>142</v>
      </c>
      <c r="O249" s="1" t="s">
        <v>143</v>
      </c>
      <c r="P249">
        <v>13940.87</v>
      </c>
      <c r="Q249" s="1" t="s">
        <v>144</v>
      </c>
    </row>
    <row r="250" spans="1:17" x14ac:dyDescent="0.2">
      <c r="A250" s="1" t="s">
        <v>422</v>
      </c>
      <c r="B250">
        <v>249</v>
      </c>
      <c r="C250" s="1" t="s">
        <v>28</v>
      </c>
      <c r="D250" s="1" t="s">
        <v>31</v>
      </c>
      <c r="E250" s="1" t="s">
        <v>387</v>
      </c>
      <c r="F250" s="1" t="s">
        <v>964</v>
      </c>
      <c r="G250">
        <v>6</v>
      </c>
      <c r="H250">
        <v>30</v>
      </c>
      <c r="I250" s="1" t="s">
        <v>283</v>
      </c>
      <c r="J250" s="1" t="s">
        <v>284</v>
      </c>
      <c r="K250" s="1" t="s">
        <v>244</v>
      </c>
      <c r="L250" s="1" t="s">
        <v>285</v>
      </c>
      <c r="M250" s="1" t="s">
        <v>142</v>
      </c>
      <c r="N250" s="1" t="s">
        <v>142</v>
      </c>
      <c r="O250" s="1" t="s">
        <v>143</v>
      </c>
      <c r="P250">
        <v>11868.98</v>
      </c>
      <c r="Q250" s="1" t="s">
        <v>144</v>
      </c>
    </row>
    <row r="251" spans="1:17" x14ac:dyDescent="0.2">
      <c r="A251" s="1" t="s">
        <v>423</v>
      </c>
      <c r="B251">
        <v>250</v>
      </c>
      <c r="C251" s="1" t="s">
        <v>28</v>
      </c>
      <c r="D251" s="1" t="s">
        <v>31</v>
      </c>
      <c r="E251" s="1" t="s">
        <v>387</v>
      </c>
      <c r="F251" s="1" t="s">
        <v>964</v>
      </c>
      <c r="G251">
        <v>6</v>
      </c>
      <c r="H251">
        <v>30</v>
      </c>
      <c r="I251" s="1" t="s">
        <v>242</v>
      </c>
      <c r="J251" s="1" t="s">
        <v>243</v>
      </c>
      <c r="K251" s="1" t="s">
        <v>244</v>
      </c>
      <c r="L251" s="1" t="s">
        <v>245</v>
      </c>
      <c r="M251" s="1" t="s">
        <v>142</v>
      </c>
      <c r="N251" s="1" t="s">
        <v>142</v>
      </c>
      <c r="O251" s="1" t="s">
        <v>143</v>
      </c>
      <c r="P251">
        <v>300</v>
      </c>
      <c r="Q251" s="1" t="s">
        <v>144</v>
      </c>
    </row>
    <row r="252" spans="1:17" x14ac:dyDescent="0.2">
      <c r="A252" s="1" t="s">
        <v>424</v>
      </c>
      <c r="B252">
        <v>251</v>
      </c>
      <c r="C252" s="1" t="s">
        <v>28</v>
      </c>
      <c r="D252" s="1" t="s">
        <v>31</v>
      </c>
      <c r="E252" s="1" t="s">
        <v>387</v>
      </c>
      <c r="F252" s="1" t="s">
        <v>964</v>
      </c>
      <c r="G252">
        <v>6</v>
      </c>
      <c r="H252">
        <v>30</v>
      </c>
      <c r="I252" s="1" t="s">
        <v>240</v>
      </c>
      <c r="J252" s="1" t="s">
        <v>241</v>
      </c>
      <c r="K252" s="1" t="s">
        <v>139</v>
      </c>
      <c r="L252" s="1" t="s">
        <v>140</v>
      </c>
      <c r="M252" s="1" t="s">
        <v>153</v>
      </c>
      <c r="N252" s="1" t="s">
        <v>142</v>
      </c>
      <c r="O252" s="1" t="s">
        <v>150</v>
      </c>
      <c r="P252">
        <v>-11868.98</v>
      </c>
      <c r="Q252" s="1" t="s">
        <v>144</v>
      </c>
    </row>
    <row r="253" spans="1:17" x14ac:dyDescent="0.2">
      <c r="A253" s="1" t="s">
        <v>425</v>
      </c>
      <c r="B253">
        <v>252</v>
      </c>
      <c r="C253" s="1" t="s">
        <v>28</v>
      </c>
      <c r="D253" s="1" t="s">
        <v>31</v>
      </c>
      <c r="E253" s="1" t="s">
        <v>387</v>
      </c>
      <c r="F253" s="1" t="s">
        <v>964</v>
      </c>
      <c r="G253">
        <v>6</v>
      </c>
      <c r="H253">
        <v>30</v>
      </c>
      <c r="I253" s="1" t="s">
        <v>286</v>
      </c>
      <c r="J253" s="1" t="s">
        <v>287</v>
      </c>
      <c r="K253" s="1" t="s">
        <v>244</v>
      </c>
      <c r="L253" s="1" t="s">
        <v>288</v>
      </c>
      <c r="M253" s="1" t="s">
        <v>142</v>
      </c>
      <c r="N253" s="1" t="s">
        <v>142</v>
      </c>
      <c r="O253" s="1" t="s">
        <v>150</v>
      </c>
      <c r="P253">
        <v>-13940.87</v>
      </c>
      <c r="Q253" s="1" t="s">
        <v>144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452E-E94E-744B-8428-71D192F4552F}">
  <dimension ref="A1:K25"/>
  <sheetViews>
    <sheetView topLeftCell="D1"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1.33203125" bestFit="1" customWidth="1"/>
    <col min="5" max="5" width="20.33203125" bestFit="1" customWidth="1"/>
    <col min="6" max="6" width="24.6640625" bestFit="1" customWidth="1"/>
    <col min="7" max="7" width="22.33203125" bestFit="1" customWidth="1"/>
    <col min="8" max="8" width="17.33203125" bestFit="1" customWidth="1"/>
    <col min="9" max="9" width="7.5" bestFit="1" customWidth="1"/>
    <col min="10" max="10" width="22.33203125" bestFit="1" customWidth="1"/>
    <col min="11" max="11" width="21.1640625" bestFit="1" customWidth="1"/>
  </cols>
  <sheetData>
    <row r="1" spans="1:11" x14ac:dyDescent="0.2">
      <c r="A1" t="s">
        <v>0</v>
      </c>
      <c r="B1" t="s">
        <v>1</v>
      </c>
      <c r="C1" t="s">
        <v>20</v>
      </c>
      <c r="D1" t="s">
        <v>23</v>
      </c>
      <c r="E1" t="s">
        <v>21</v>
      </c>
      <c r="F1" t="s">
        <v>22</v>
      </c>
      <c r="G1" t="s">
        <v>69</v>
      </c>
      <c r="H1" t="s">
        <v>70</v>
      </c>
      <c r="I1" t="s">
        <v>26</v>
      </c>
      <c r="J1" t="s">
        <v>71</v>
      </c>
      <c r="K1" t="s">
        <v>7</v>
      </c>
    </row>
    <row r="2" spans="1:11" x14ac:dyDescent="0.2">
      <c r="A2" s="1" t="s">
        <v>27</v>
      </c>
      <c r="B2">
        <v>1</v>
      </c>
      <c r="C2" s="1" t="s">
        <v>28</v>
      </c>
      <c r="D2" s="1" t="s">
        <v>31</v>
      </c>
      <c r="E2" s="1" t="s">
        <v>29</v>
      </c>
      <c r="F2" s="1" t="s">
        <v>30</v>
      </c>
      <c r="G2">
        <v>265</v>
      </c>
      <c r="H2">
        <v>0</v>
      </c>
      <c r="I2" s="1" t="s">
        <v>32</v>
      </c>
      <c r="J2">
        <v>27</v>
      </c>
      <c r="K2">
        <v>30</v>
      </c>
    </row>
    <row r="3" spans="1:11" x14ac:dyDescent="0.2">
      <c r="A3" s="1" t="s">
        <v>33</v>
      </c>
      <c r="B3">
        <v>2</v>
      </c>
      <c r="C3" s="1" t="s">
        <v>28</v>
      </c>
      <c r="D3" s="1" t="s">
        <v>49</v>
      </c>
      <c r="E3" s="1" t="s">
        <v>29</v>
      </c>
      <c r="F3" s="1" t="s">
        <v>30</v>
      </c>
      <c r="G3">
        <v>79</v>
      </c>
      <c r="H3">
        <v>1896</v>
      </c>
      <c r="I3" s="1" t="s">
        <v>32</v>
      </c>
      <c r="J3">
        <v>26</v>
      </c>
      <c r="K3">
        <v>30</v>
      </c>
    </row>
    <row r="4" spans="1:11" x14ac:dyDescent="0.2">
      <c r="A4" s="1" t="s">
        <v>36</v>
      </c>
      <c r="B4">
        <v>3</v>
      </c>
      <c r="C4" s="1" t="s">
        <v>28</v>
      </c>
      <c r="D4" s="1" t="s">
        <v>56</v>
      </c>
      <c r="E4" s="1" t="s">
        <v>29</v>
      </c>
      <c r="F4" s="1" t="s">
        <v>30</v>
      </c>
      <c r="G4">
        <v>100</v>
      </c>
      <c r="H4">
        <v>372</v>
      </c>
      <c r="I4" s="1" t="s">
        <v>32</v>
      </c>
      <c r="J4">
        <v>24</v>
      </c>
      <c r="K4">
        <v>30</v>
      </c>
    </row>
    <row r="5" spans="1:11" x14ac:dyDescent="0.2">
      <c r="A5" s="1" t="s">
        <v>39</v>
      </c>
      <c r="B5">
        <v>4</v>
      </c>
      <c r="C5" s="1" t="s">
        <v>28</v>
      </c>
      <c r="D5" s="1" t="s">
        <v>63</v>
      </c>
      <c r="E5" s="1" t="s">
        <v>29</v>
      </c>
      <c r="F5" s="1" t="s">
        <v>30</v>
      </c>
      <c r="G5">
        <v>75</v>
      </c>
      <c r="H5">
        <v>332</v>
      </c>
      <c r="I5" s="1" t="s">
        <v>32</v>
      </c>
      <c r="J5">
        <v>22</v>
      </c>
      <c r="K5">
        <v>30</v>
      </c>
    </row>
    <row r="6" spans="1:11" x14ac:dyDescent="0.2">
      <c r="A6" s="1" t="s">
        <v>42</v>
      </c>
      <c r="B6">
        <v>5</v>
      </c>
      <c r="C6" s="1" t="s">
        <v>28</v>
      </c>
      <c r="D6" s="1" t="s">
        <v>31</v>
      </c>
      <c r="E6" s="1" t="s">
        <v>34</v>
      </c>
      <c r="F6" s="1" t="s">
        <v>35</v>
      </c>
      <c r="G6">
        <v>223</v>
      </c>
      <c r="H6">
        <v>0</v>
      </c>
      <c r="I6" s="1" t="s">
        <v>32</v>
      </c>
      <c r="J6">
        <v>27</v>
      </c>
      <c r="K6">
        <v>30</v>
      </c>
    </row>
    <row r="7" spans="1:11" x14ac:dyDescent="0.2">
      <c r="A7" s="1" t="s">
        <v>45</v>
      </c>
      <c r="B7">
        <v>6</v>
      </c>
      <c r="C7" s="1" t="s">
        <v>28</v>
      </c>
      <c r="D7" s="1" t="s">
        <v>49</v>
      </c>
      <c r="E7" s="1" t="s">
        <v>34</v>
      </c>
      <c r="F7" s="1" t="s">
        <v>35</v>
      </c>
      <c r="G7">
        <v>27</v>
      </c>
      <c r="H7">
        <v>159</v>
      </c>
      <c r="I7" s="1" t="s">
        <v>32</v>
      </c>
      <c r="J7">
        <v>26</v>
      </c>
      <c r="K7">
        <v>30</v>
      </c>
    </row>
    <row r="8" spans="1:11" x14ac:dyDescent="0.2">
      <c r="A8" s="1" t="s">
        <v>48</v>
      </c>
      <c r="B8">
        <v>7</v>
      </c>
      <c r="C8" s="1" t="s">
        <v>28</v>
      </c>
      <c r="D8" s="1" t="s">
        <v>56</v>
      </c>
      <c r="E8" s="1" t="s">
        <v>34</v>
      </c>
      <c r="F8" s="1" t="s">
        <v>35</v>
      </c>
      <c r="G8">
        <v>40</v>
      </c>
      <c r="H8">
        <v>149</v>
      </c>
      <c r="I8" s="1" t="s">
        <v>32</v>
      </c>
      <c r="J8">
        <v>26</v>
      </c>
      <c r="K8">
        <v>30</v>
      </c>
    </row>
    <row r="9" spans="1:11" x14ac:dyDescent="0.2">
      <c r="A9" s="1" t="s">
        <v>50</v>
      </c>
      <c r="B9">
        <v>8</v>
      </c>
      <c r="C9" s="1" t="s">
        <v>28</v>
      </c>
      <c r="D9" s="1" t="s">
        <v>63</v>
      </c>
      <c r="E9" s="1" t="s">
        <v>34</v>
      </c>
      <c r="F9" s="1" t="s">
        <v>35</v>
      </c>
      <c r="G9">
        <v>40</v>
      </c>
      <c r="H9">
        <v>0</v>
      </c>
      <c r="I9" s="1" t="s">
        <v>32</v>
      </c>
      <c r="J9">
        <v>26</v>
      </c>
      <c r="K9">
        <v>30</v>
      </c>
    </row>
    <row r="10" spans="1:11" x14ac:dyDescent="0.2">
      <c r="A10" s="1" t="s">
        <v>51</v>
      </c>
      <c r="B10">
        <v>9</v>
      </c>
      <c r="C10" s="1" t="s">
        <v>28</v>
      </c>
      <c r="D10" s="1" t="s">
        <v>31</v>
      </c>
      <c r="E10" s="1" t="s">
        <v>37</v>
      </c>
      <c r="F10" s="1" t="s">
        <v>38</v>
      </c>
      <c r="G10">
        <v>360</v>
      </c>
      <c r="H10">
        <v>0</v>
      </c>
      <c r="I10" s="1" t="s">
        <v>32</v>
      </c>
      <c r="J10">
        <v>27</v>
      </c>
      <c r="K10">
        <v>30</v>
      </c>
    </row>
    <row r="11" spans="1:11" x14ac:dyDescent="0.2">
      <c r="A11" s="1" t="s">
        <v>52</v>
      </c>
      <c r="B11">
        <v>10</v>
      </c>
      <c r="C11" s="1" t="s">
        <v>28</v>
      </c>
      <c r="D11" s="1" t="s">
        <v>49</v>
      </c>
      <c r="E11" s="1" t="s">
        <v>37</v>
      </c>
      <c r="F11" s="1" t="s">
        <v>38</v>
      </c>
      <c r="G11">
        <v>150</v>
      </c>
      <c r="H11">
        <v>728</v>
      </c>
      <c r="I11" s="1" t="s">
        <v>32</v>
      </c>
      <c r="J11">
        <v>26</v>
      </c>
      <c r="K11">
        <v>30</v>
      </c>
    </row>
    <row r="12" spans="1:11" x14ac:dyDescent="0.2">
      <c r="A12" s="1" t="s">
        <v>53</v>
      </c>
      <c r="B12">
        <v>11</v>
      </c>
      <c r="C12" s="1" t="s">
        <v>28</v>
      </c>
      <c r="D12" s="1" t="s">
        <v>56</v>
      </c>
      <c r="E12" s="1" t="s">
        <v>37</v>
      </c>
      <c r="F12" s="1" t="s">
        <v>38</v>
      </c>
      <c r="G12">
        <v>123</v>
      </c>
      <c r="H12">
        <v>1400</v>
      </c>
      <c r="I12" s="1" t="s">
        <v>32</v>
      </c>
      <c r="J12">
        <v>25</v>
      </c>
      <c r="K12">
        <v>30</v>
      </c>
    </row>
    <row r="13" spans="1:11" x14ac:dyDescent="0.2">
      <c r="A13" s="1" t="s">
        <v>54</v>
      </c>
      <c r="B13">
        <v>12</v>
      </c>
      <c r="C13" s="1" t="s">
        <v>28</v>
      </c>
      <c r="D13" s="1" t="s">
        <v>63</v>
      </c>
      <c r="E13" s="1" t="s">
        <v>37</v>
      </c>
      <c r="F13" s="1" t="s">
        <v>38</v>
      </c>
      <c r="G13">
        <v>75</v>
      </c>
      <c r="H13">
        <v>99</v>
      </c>
      <c r="I13" s="1" t="s">
        <v>32</v>
      </c>
      <c r="J13">
        <v>26</v>
      </c>
      <c r="K13">
        <v>30</v>
      </c>
    </row>
    <row r="14" spans="1:11" x14ac:dyDescent="0.2">
      <c r="A14" s="1" t="s">
        <v>55</v>
      </c>
      <c r="B14">
        <v>13</v>
      </c>
      <c r="C14" s="1" t="s">
        <v>28</v>
      </c>
      <c r="D14" s="1" t="s">
        <v>31</v>
      </c>
      <c r="E14" s="1" t="s">
        <v>40</v>
      </c>
      <c r="F14" s="1" t="s">
        <v>41</v>
      </c>
      <c r="G14">
        <v>105</v>
      </c>
      <c r="H14">
        <v>0</v>
      </c>
      <c r="I14" s="1" t="s">
        <v>32</v>
      </c>
      <c r="J14">
        <v>27</v>
      </c>
      <c r="K14">
        <v>30</v>
      </c>
    </row>
    <row r="15" spans="1:11" x14ac:dyDescent="0.2">
      <c r="A15" s="1" t="s">
        <v>57</v>
      </c>
      <c r="B15">
        <v>14</v>
      </c>
      <c r="C15" s="1" t="s">
        <v>28</v>
      </c>
      <c r="D15" s="1" t="s">
        <v>49</v>
      </c>
      <c r="E15" s="1" t="s">
        <v>40</v>
      </c>
      <c r="F15" s="1" t="s">
        <v>41</v>
      </c>
      <c r="G15">
        <v>40</v>
      </c>
      <c r="H15">
        <v>39</v>
      </c>
      <c r="I15" s="1" t="s">
        <v>32</v>
      </c>
      <c r="J15">
        <v>26</v>
      </c>
      <c r="K15">
        <v>30</v>
      </c>
    </row>
    <row r="16" spans="1:11" x14ac:dyDescent="0.2">
      <c r="A16" s="1" t="s">
        <v>58</v>
      </c>
      <c r="B16">
        <v>15</v>
      </c>
      <c r="C16" s="1" t="s">
        <v>28</v>
      </c>
      <c r="D16" s="1" t="s">
        <v>56</v>
      </c>
      <c r="E16" s="1" t="s">
        <v>40</v>
      </c>
      <c r="F16" s="1" t="s">
        <v>41</v>
      </c>
      <c r="G16">
        <v>40</v>
      </c>
      <c r="H16">
        <v>60</v>
      </c>
      <c r="I16" s="1" t="s">
        <v>32</v>
      </c>
      <c r="J16">
        <v>25</v>
      </c>
      <c r="K16">
        <v>30</v>
      </c>
    </row>
    <row r="17" spans="1:11" x14ac:dyDescent="0.2">
      <c r="A17" s="1" t="s">
        <v>59</v>
      </c>
      <c r="B17">
        <v>16</v>
      </c>
      <c r="C17" s="1" t="s">
        <v>28</v>
      </c>
      <c r="D17" s="1" t="s">
        <v>63</v>
      </c>
      <c r="E17" s="1" t="s">
        <v>40</v>
      </c>
      <c r="F17" s="1" t="s">
        <v>41</v>
      </c>
      <c r="G17">
        <v>82</v>
      </c>
      <c r="H17">
        <v>337</v>
      </c>
      <c r="I17" s="1" t="s">
        <v>32</v>
      </c>
      <c r="J17">
        <v>26</v>
      </c>
      <c r="K17">
        <v>30</v>
      </c>
    </row>
    <row r="18" spans="1:11" x14ac:dyDescent="0.2">
      <c r="A18" s="1" t="s">
        <v>60</v>
      </c>
      <c r="B18">
        <v>17</v>
      </c>
      <c r="C18" s="1" t="s">
        <v>28</v>
      </c>
      <c r="D18" s="1" t="s">
        <v>31</v>
      </c>
      <c r="E18" s="1" t="s">
        <v>43</v>
      </c>
      <c r="F18" s="1" t="s">
        <v>44</v>
      </c>
      <c r="G18">
        <v>125</v>
      </c>
      <c r="H18">
        <v>0</v>
      </c>
      <c r="I18" s="1" t="s">
        <v>32</v>
      </c>
      <c r="J18">
        <v>27</v>
      </c>
      <c r="K18">
        <v>30</v>
      </c>
    </row>
    <row r="19" spans="1:11" x14ac:dyDescent="0.2">
      <c r="A19" s="1" t="s">
        <v>61</v>
      </c>
      <c r="B19">
        <v>18</v>
      </c>
      <c r="C19" s="1" t="s">
        <v>28</v>
      </c>
      <c r="D19" s="1" t="s">
        <v>49</v>
      </c>
      <c r="E19" s="1" t="s">
        <v>43</v>
      </c>
      <c r="F19" s="1" t="s">
        <v>44</v>
      </c>
      <c r="G19">
        <v>60</v>
      </c>
      <c r="H19">
        <v>237</v>
      </c>
      <c r="I19" s="1" t="s">
        <v>32</v>
      </c>
      <c r="J19">
        <v>26</v>
      </c>
      <c r="K19">
        <v>30</v>
      </c>
    </row>
    <row r="20" spans="1:11" x14ac:dyDescent="0.2">
      <c r="A20" s="1" t="s">
        <v>62</v>
      </c>
      <c r="B20">
        <v>19</v>
      </c>
      <c r="C20" s="1" t="s">
        <v>28</v>
      </c>
      <c r="D20" s="1" t="s">
        <v>56</v>
      </c>
      <c r="E20" s="1" t="s">
        <v>43</v>
      </c>
      <c r="F20" s="1" t="s">
        <v>44</v>
      </c>
      <c r="G20">
        <v>56</v>
      </c>
      <c r="H20">
        <v>466</v>
      </c>
      <c r="I20" s="1" t="s">
        <v>32</v>
      </c>
      <c r="J20">
        <v>26</v>
      </c>
      <c r="K20">
        <v>30</v>
      </c>
    </row>
    <row r="21" spans="1:11" x14ac:dyDescent="0.2">
      <c r="A21" s="1" t="s">
        <v>64</v>
      </c>
      <c r="B21">
        <v>20</v>
      </c>
      <c r="C21" s="1" t="s">
        <v>28</v>
      </c>
      <c r="D21" s="1" t="s">
        <v>63</v>
      </c>
      <c r="E21" s="1" t="s">
        <v>43</v>
      </c>
      <c r="F21" s="1" t="s">
        <v>44</v>
      </c>
      <c r="G21">
        <v>40</v>
      </c>
      <c r="H21">
        <v>35</v>
      </c>
      <c r="I21" s="1" t="s">
        <v>32</v>
      </c>
      <c r="J21">
        <v>26</v>
      </c>
      <c r="K21">
        <v>30</v>
      </c>
    </row>
    <row r="22" spans="1:11" x14ac:dyDescent="0.2">
      <c r="A22" s="1" t="s">
        <v>65</v>
      </c>
      <c r="B22">
        <v>21</v>
      </c>
      <c r="C22" s="1" t="s">
        <v>28</v>
      </c>
      <c r="D22" s="1" t="s">
        <v>31</v>
      </c>
      <c r="E22" s="1" t="s">
        <v>46</v>
      </c>
      <c r="F22" s="1" t="s">
        <v>47</v>
      </c>
      <c r="G22">
        <v>274</v>
      </c>
      <c r="H22">
        <v>0</v>
      </c>
      <c r="I22" s="1" t="s">
        <v>32</v>
      </c>
      <c r="J22">
        <v>27</v>
      </c>
      <c r="K22">
        <v>30</v>
      </c>
    </row>
    <row r="23" spans="1:11" x14ac:dyDescent="0.2">
      <c r="A23" s="1" t="s">
        <v>66</v>
      </c>
      <c r="B23">
        <v>22</v>
      </c>
      <c r="C23" s="1" t="s">
        <v>28</v>
      </c>
      <c r="D23" s="1" t="s">
        <v>49</v>
      </c>
      <c r="E23" s="1" t="s">
        <v>46</v>
      </c>
      <c r="F23" s="1" t="s">
        <v>47</v>
      </c>
      <c r="G23">
        <v>19</v>
      </c>
      <c r="H23">
        <v>277</v>
      </c>
      <c r="I23" s="1" t="s">
        <v>32</v>
      </c>
      <c r="J23">
        <v>24</v>
      </c>
      <c r="K23">
        <v>30</v>
      </c>
    </row>
    <row r="24" spans="1:11" x14ac:dyDescent="0.2">
      <c r="A24" s="1" t="s">
        <v>67</v>
      </c>
      <c r="B24">
        <v>23</v>
      </c>
      <c r="C24" s="1" t="s">
        <v>28</v>
      </c>
      <c r="D24" s="1" t="s">
        <v>56</v>
      </c>
      <c r="E24" s="1" t="s">
        <v>46</v>
      </c>
      <c r="F24" s="1" t="s">
        <v>47</v>
      </c>
      <c r="G24">
        <v>40</v>
      </c>
      <c r="H24">
        <v>114</v>
      </c>
      <c r="I24" s="1" t="s">
        <v>32</v>
      </c>
      <c r="J24">
        <v>25</v>
      </c>
      <c r="K24">
        <v>30</v>
      </c>
    </row>
    <row r="25" spans="1:11" x14ac:dyDescent="0.2">
      <c r="A25" s="1" t="s">
        <v>68</v>
      </c>
      <c r="B25">
        <v>24</v>
      </c>
      <c r="C25" s="1" t="s">
        <v>28</v>
      </c>
      <c r="D25" s="1" t="s">
        <v>63</v>
      </c>
      <c r="E25" s="1" t="s">
        <v>46</v>
      </c>
      <c r="F25" s="1" t="s">
        <v>47</v>
      </c>
      <c r="G25">
        <v>10</v>
      </c>
      <c r="H25">
        <v>103</v>
      </c>
      <c r="I25" s="1" t="s">
        <v>32</v>
      </c>
      <c r="J25">
        <v>26</v>
      </c>
      <c r="K25">
        <v>30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45B3-A3BC-9445-8FDF-C187E0D48B20}">
  <dimension ref="A1:I25"/>
  <sheetViews>
    <sheetView workbookViewId="0"/>
  </sheetViews>
  <sheetFormatPr baseColWidth="10" defaultRowHeight="16" x14ac:dyDescent="0.2"/>
  <cols>
    <col min="1" max="1" width="5.6640625" bestFit="1" customWidth="1"/>
    <col min="2" max="2" width="10.5" bestFit="1" customWidth="1"/>
    <col min="3" max="3" width="9.1640625" bestFit="1" customWidth="1"/>
    <col min="4" max="4" width="20.33203125" bestFit="1" customWidth="1"/>
    <col min="5" max="5" width="24.6640625" bestFit="1" customWidth="1"/>
    <col min="6" max="6" width="21.33203125" bestFit="1" customWidth="1"/>
    <col min="7" max="7" width="9.33203125" bestFit="1" customWidth="1"/>
    <col min="8" max="8" width="13.83203125" bestFit="1" customWidth="1"/>
    <col min="9" max="9" width="7.5" bestFit="1" customWidth="1"/>
  </cols>
  <sheetData>
    <row r="1" spans="1:9" x14ac:dyDescent="0.2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">
      <c r="A2" s="1" t="s">
        <v>27</v>
      </c>
      <c r="B2">
        <v>1</v>
      </c>
      <c r="C2" s="1" t="s">
        <v>28</v>
      </c>
      <c r="D2" s="1" t="s">
        <v>29</v>
      </c>
      <c r="E2" s="1" t="s">
        <v>30</v>
      </c>
      <c r="F2" s="1" t="s">
        <v>31</v>
      </c>
      <c r="G2">
        <v>265</v>
      </c>
      <c r="H2">
        <v>0</v>
      </c>
      <c r="I2" s="1" t="s">
        <v>32</v>
      </c>
    </row>
    <row r="3" spans="1:9" x14ac:dyDescent="0.2">
      <c r="A3" s="1" t="s">
        <v>33</v>
      </c>
      <c r="B3">
        <v>2</v>
      </c>
      <c r="C3" s="1" t="s">
        <v>28</v>
      </c>
      <c r="D3" s="1" t="s">
        <v>34</v>
      </c>
      <c r="E3" s="1" t="s">
        <v>35</v>
      </c>
      <c r="F3" s="1" t="s">
        <v>31</v>
      </c>
      <c r="G3">
        <v>223</v>
      </c>
      <c r="H3">
        <v>0</v>
      </c>
      <c r="I3" s="1" t="s">
        <v>32</v>
      </c>
    </row>
    <row r="4" spans="1:9" x14ac:dyDescent="0.2">
      <c r="A4" s="1" t="s">
        <v>36</v>
      </c>
      <c r="B4">
        <v>3</v>
      </c>
      <c r="C4" s="1" t="s">
        <v>28</v>
      </c>
      <c r="D4" s="1" t="s">
        <v>37</v>
      </c>
      <c r="E4" s="1" t="s">
        <v>38</v>
      </c>
      <c r="F4" s="1" t="s">
        <v>31</v>
      </c>
      <c r="G4">
        <v>360</v>
      </c>
      <c r="H4">
        <v>0</v>
      </c>
      <c r="I4" s="1" t="s">
        <v>32</v>
      </c>
    </row>
    <row r="5" spans="1:9" x14ac:dyDescent="0.2">
      <c r="A5" s="1" t="s">
        <v>39</v>
      </c>
      <c r="B5">
        <v>4</v>
      </c>
      <c r="C5" s="1" t="s">
        <v>28</v>
      </c>
      <c r="D5" s="1" t="s">
        <v>40</v>
      </c>
      <c r="E5" s="1" t="s">
        <v>41</v>
      </c>
      <c r="F5" s="1" t="s">
        <v>31</v>
      </c>
      <c r="G5">
        <v>105</v>
      </c>
      <c r="H5">
        <v>0</v>
      </c>
      <c r="I5" s="1" t="s">
        <v>32</v>
      </c>
    </row>
    <row r="6" spans="1:9" x14ac:dyDescent="0.2">
      <c r="A6" s="1" t="s">
        <v>42</v>
      </c>
      <c r="B6">
        <v>5</v>
      </c>
      <c r="C6" s="1" t="s">
        <v>28</v>
      </c>
      <c r="D6" s="1" t="s">
        <v>43</v>
      </c>
      <c r="E6" s="1" t="s">
        <v>44</v>
      </c>
      <c r="F6" s="1" t="s">
        <v>31</v>
      </c>
      <c r="G6">
        <v>125</v>
      </c>
      <c r="H6">
        <v>0</v>
      </c>
      <c r="I6" s="1" t="s">
        <v>32</v>
      </c>
    </row>
    <row r="7" spans="1:9" x14ac:dyDescent="0.2">
      <c r="A7" s="1" t="s">
        <v>45</v>
      </c>
      <c r="B7">
        <v>6</v>
      </c>
      <c r="C7" s="1" t="s">
        <v>28</v>
      </c>
      <c r="D7" s="1" t="s">
        <v>46</v>
      </c>
      <c r="E7" s="1" t="s">
        <v>47</v>
      </c>
      <c r="F7" s="1" t="s">
        <v>31</v>
      </c>
      <c r="G7">
        <v>274</v>
      </c>
      <c r="H7">
        <v>0</v>
      </c>
      <c r="I7" s="1" t="s">
        <v>32</v>
      </c>
    </row>
    <row r="8" spans="1:9" x14ac:dyDescent="0.2">
      <c r="A8" s="1" t="s">
        <v>48</v>
      </c>
      <c r="B8">
        <v>7</v>
      </c>
      <c r="C8" s="1" t="s">
        <v>28</v>
      </c>
      <c r="D8" s="1" t="s">
        <v>29</v>
      </c>
      <c r="E8" s="1" t="s">
        <v>30</v>
      </c>
      <c r="F8" s="1" t="s">
        <v>49</v>
      </c>
      <c r="G8">
        <v>79</v>
      </c>
      <c r="H8">
        <v>0</v>
      </c>
      <c r="I8" s="1" t="s">
        <v>32</v>
      </c>
    </row>
    <row r="9" spans="1:9" x14ac:dyDescent="0.2">
      <c r="A9" s="1" t="s">
        <v>50</v>
      </c>
      <c r="B9">
        <v>8</v>
      </c>
      <c r="C9" s="1" t="s">
        <v>28</v>
      </c>
      <c r="D9" s="1" t="s">
        <v>34</v>
      </c>
      <c r="E9" s="1" t="s">
        <v>35</v>
      </c>
      <c r="F9" s="1" t="s">
        <v>49</v>
      </c>
      <c r="G9">
        <v>27</v>
      </c>
      <c r="H9">
        <v>0</v>
      </c>
      <c r="I9" s="1" t="s">
        <v>32</v>
      </c>
    </row>
    <row r="10" spans="1:9" x14ac:dyDescent="0.2">
      <c r="A10" s="1" t="s">
        <v>51</v>
      </c>
      <c r="B10">
        <v>9</v>
      </c>
      <c r="C10" s="1" t="s">
        <v>28</v>
      </c>
      <c r="D10" s="1" t="s">
        <v>37</v>
      </c>
      <c r="E10" s="1" t="s">
        <v>38</v>
      </c>
      <c r="F10" s="1" t="s">
        <v>49</v>
      </c>
      <c r="G10">
        <v>150</v>
      </c>
      <c r="H10">
        <v>0</v>
      </c>
      <c r="I10" s="1" t="s">
        <v>32</v>
      </c>
    </row>
    <row r="11" spans="1:9" x14ac:dyDescent="0.2">
      <c r="A11" s="1" t="s">
        <v>52</v>
      </c>
      <c r="B11">
        <v>10</v>
      </c>
      <c r="C11" s="1" t="s">
        <v>28</v>
      </c>
      <c r="D11" s="1" t="s">
        <v>40</v>
      </c>
      <c r="E11" s="1" t="s">
        <v>41</v>
      </c>
      <c r="F11" s="1" t="s">
        <v>49</v>
      </c>
      <c r="G11">
        <v>40</v>
      </c>
      <c r="H11">
        <v>0</v>
      </c>
      <c r="I11" s="1" t="s">
        <v>32</v>
      </c>
    </row>
    <row r="12" spans="1:9" x14ac:dyDescent="0.2">
      <c r="A12" s="1" t="s">
        <v>53</v>
      </c>
      <c r="B12">
        <v>11</v>
      </c>
      <c r="C12" s="1" t="s">
        <v>28</v>
      </c>
      <c r="D12" s="1" t="s">
        <v>43</v>
      </c>
      <c r="E12" s="1" t="s">
        <v>44</v>
      </c>
      <c r="F12" s="1" t="s">
        <v>49</v>
      </c>
      <c r="G12">
        <v>60</v>
      </c>
      <c r="H12">
        <v>0</v>
      </c>
      <c r="I12" s="1" t="s">
        <v>32</v>
      </c>
    </row>
    <row r="13" spans="1:9" x14ac:dyDescent="0.2">
      <c r="A13" s="1" t="s">
        <v>54</v>
      </c>
      <c r="B13">
        <v>12</v>
      </c>
      <c r="C13" s="1" t="s">
        <v>28</v>
      </c>
      <c r="D13" s="1" t="s">
        <v>46</v>
      </c>
      <c r="E13" s="1" t="s">
        <v>47</v>
      </c>
      <c r="F13" s="1" t="s">
        <v>49</v>
      </c>
      <c r="G13">
        <v>19</v>
      </c>
      <c r="H13">
        <v>0</v>
      </c>
      <c r="I13" s="1" t="s">
        <v>32</v>
      </c>
    </row>
    <row r="14" spans="1:9" x14ac:dyDescent="0.2">
      <c r="A14" s="1" t="s">
        <v>55</v>
      </c>
      <c r="B14">
        <v>13</v>
      </c>
      <c r="C14" s="1" t="s">
        <v>28</v>
      </c>
      <c r="D14" s="1" t="s">
        <v>29</v>
      </c>
      <c r="E14" s="1" t="s">
        <v>30</v>
      </c>
      <c r="F14" s="1" t="s">
        <v>56</v>
      </c>
      <c r="G14">
        <v>100</v>
      </c>
      <c r="H14">
        <v>0</v>
      </c>
      <c r="I14" s="1" t="s">
        <v>32</v>
      </c>
    </row>
    <row r="15" spans="1:9" x14ac:dyDescent="0.2">
      <c r="A15" s="1" t="s">
        <v>57</v>
      </c>
      <c r="B15">
        <v>14</v>
      </c>
      <c r="C15" s="1" t="s">
        <v>28</v>
      </c>
      <c r="D15" s="1" t="s">
        <v>34</v>
      </c>
      <c r="E15" s="1" t="s">
        <v>35</v>
      </c>
      <c r="F15" s="1" t="s">
        <v>56</v>
      </c>
      <c r="G15">
        <v>40</v>
      </c>
      <c r="H15">
        <v>0</v>
      </c>
      <c r="I15" s="1" t="s">
        <v>32</v>
      </c>
    </row>
    <row r="16" spans="1:9" x14ac:dyDescent="0.2">
      <c r="A16" s="1" t="s">
        <v>58</v>
      </c>
      <c r="B16">
        <v>15</v>
      </c>
      <c r="C16" s="1" t="s">
        <v>28</v>
      </c>
      <c r="D16" s="1" t="s">
        <v>37</v>
      </c>
      <c r="E16" s="1" t="s">
        <v>38</v>
      </c>
      <c r="F16" s="1" t="s">
        <v>56</v>
      </c>
      <c r="G16">
        <v>123</v>
      </c>
      <c r="H16">
        <v>0</v>
      </c>
      <c r="I16" s="1" t="s">
        <v>32</v>
      </c>
    </row>
    <row r="17" spans="1:9" x14ac:dyDescent="0.2">
      <c r="A17" s="1" t="s">
        <v>59</v>
      </c>
      <c r="B17">
        <v>16</v>
      </c>
      <c r="C17" s="1" t="s">
        <v>28</v>
      </c>
      <c r="D17" s="1" t="s">
        <v>40</v>
      </c>
      <c r="E17" s="1" t="s">
        <v>41</v>
      </c>
      <c r="F17" s="1" t="s">
        <v>56</v>
      </c>
      <c r="G17">
        <v>40</v>
      </c>
      <c r="H17">
        <v>0</v>
      </c>
      <c r="I17" s="1" t="s">
        <v>32</v>
      </c>
    </row>
    <row r="18" spans="1:9" x14ac:dyDescent="0.2">
      <c r="A18" s="1" t="s">
        <v>60</v>
      </c>
      <c r="B18">
        <v>17</v>
      </c>
      <c r="C18" s="1" t="s">
        <v>28</v>
      </c>
      <c r="D18" s="1" t="s">
        <v>43</v>
      </c>
      <c r="E18" s="1" t="s">
        <v>44</v>
      </c>
      <c r="F18" s="1" t="s">
        <v>56</v>
      </c>
      <c r="G18">
        <v>56</v>
      </c>
      <c r="H18">
        <v>0</v>
      </c>
      <c r="I18" s="1" t="s">
        <v>32</v>
      </c>
    </row>
    <row r="19" spans="1:9" x14ac:dyDescent="0.2">
      <c r="A19" s="1" t="s">
        <v>61</v>
      </c>
      <c r="B19">
        <v>18</v>
      </c>
      <c r="C19" s="1" t="s">
        <v>28</v>
      </c>
      <c r="D19" s="1" t="s">
        <v>46</v>
      </c>
      <c r="E19" s="1" t="s">
        <v>47</v>
      </c>
      <c r="F19" s="1" t="s">
        <v>56</v>
      </c>
      <c r="G19">
        <v>40</v>
      </c>
      <c r="H19">
        <v>0</v>
      </c>
      <c r="I19" s="1" t="s">
        <v>32</v>
      </c>
    </row>
    <row r="20" spans="1:9" x14ac:dyDescent="0.2">
      <c r="A20" s="1" t="s">
        <v>62</v>
      </c>
      <c r="B20">
        <v>19</v>
      </c>
      <c r="C20" s="1" t="s">
        <v>28</v>
      </c>
      <c r="D20" s="1" t="s">
        <v>29</v>
      </c>
      <c r="E20" s="1" t="s">
        <v>30</v>
      </c>
      <c r="F20" s="1" t="s">
        <v>63</v>
      </c>
      <c r="G20">
        <v>75</v>
      </c>
      <c r="H20">
        <v>0</v>
      </c>
      <c r="I20" s="1" t="s">
        <v>32</v>
      </c>
    </row>
    <row r="21" spans="1:9" x14ac:dyDescent="0.2">
      <c r="A21" s="1" t="s">
        <v>64</v>
      </c>
      <c r="B21">
        <v>20</v>
      </c>
      <c r="C21" s="1" t="s">
        <v>28</v>
      </c>
      <c r="D21" s="1" t="s">
        <v>34</v>
      </c>
      <c r="E21" s="1" t="s">
        <v>35</v>
      </c>
      <c r="F21" s="1" t="s">
        <v>63</v>
      </c>
      <c r="G21">
        <v>40</v>
      </c>
      <c r="H21">
        <v>0</v>
      </c>
      <c r="I21" s="1" t="s">
        <v>32</v>
      </c>
    </row>
    <row r="22" spans="1:9" x14ac:dyDescent="0.2">
      <c r="A22" s="1" t="s">
        <v>65</v>
      </c>
      <c r="B22">
        <v>21</v>
      </c>
      <c r="C22" s="1" t="s">
        <v>28</v>
      </c>
      <c r="D22" s="1" t="s">
        <v>37</v>
      </c>
      <c r="E22" s="1" t="s">
        <v>38</v>
      </c>
      <c r="F22" s="1" t="s">
        <v>63</v>
      </c>
      <c r="G22">
        <v>75</v>
      </c>
      <c r="H22">
        <v>0</v>
      </c>
      <c r="I22" s="1" t="s">
        <v>32</v>
      </c>
    </row>
    <row r="23" spans="1:9" x14ac:dyDescent="0.2">
      <c r="A23" s="1" t="s">
        <v>66</v>
      </c>
      <c r="B23">
        <v>22</v>
      </c>
      <c r="C23" s="1" t="s">
        <v>28</v>
      </c>
      <c r="D23" s="1" t="s">
        <v>40</v>
      </c>
      <c r="E23" s="1" t="s">
        <v>41</v>
      </c>
      <c r="F23" s="1" t="s">
        <v>63</v>
      </c>
      <c r="G23">
        <v>82</v>
      </c>
      <c r="H23">
        <v>0</v>
      </c>
      <c r="I23" s="1" t="s">
        <v>32</v>
      </c>
    </row>
    <row r="24" spans="1:9" x14ac:dyDescent="0.2">
      <c r="A24" s="1" t="s">
        <v>67</v>
      </c>
      <c r="B24">
        <v>23</v>
      </c>
      <c r="C24" s="1" t="s">
        <v>28</v>
      </c>
      <c r="D24" s="1" t="s">
        <v>43</v>
      </c>
      <c r="E24" s="1" t="s">
        <v>44</v>
      </c>
      <c r="F24" s="1" t="s">
        <v>63</v>
      </c>
      <c r="G24">
        <v>40</v>
      </c>
      <c r="H24">
        <v>0</v>
      </c>
      <c r="I24" s="1" t="s">
        <v>32</v>
      </c>
    </row>
    <row r="25" spans="1:9" x14ac:dyDescent="0.2">
      <c r="A25" s="1" t="s">
        <v>68</v>
      </c>
      <c r="B25">
        <v>24</v>
      </c>
      <c r="C25" s="1" t="s">
        <v>28</v>
      </c>
      <c r="D25" s="1" t="s">
        <v>46</v>
      </c>
      <c r="E25" s="1" t="s">
        <v>47</v>
      </c>
      <c r="F25" s="1" t="s">
        <v>63</v>
      </c>
      <c r="G25">
        <v>10</v>
      </c>
      <c r="H25">
        <v>0</v>
      </c>
      <c r="I25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D9F8-76E0-064E-ADBC-7ECE744FCB4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908FC8-42C9-2946-A3BD-66FD6E3CFF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Margin__Pivot</vt:lpstr>
      <vt:lpstr>Sales_Pivot</vt:lpstr>
      <vt:lpstr>Sales</vt:lpstr>
      <vt:lpstr>Company_Valuation</vt:lpstr>
      <vt:lpstr>Inventory_Pivot</vt:lpstr>
      <vt:lpstr>Inventory</vt:lpstr>
      <vt:lpstr>Sheet3</vt:lpstr>
      <vt:lpstr>Financial_Postings</vt:lpstr>
      <vt:lpstr>Current_Inventory_KPI</vt:lpstr>
      <vt:lpstr>Current_Inventory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Young</cp:lastModifiedBy>
  <dcterms:created xsi:type="dcterms:W3CDTF">2026-09-24T23:32:27Z</dcterms:created>
  <dcterms:modified xsi:type="dcterms:W3CDTF">2026-09-25T01:31:10Z</dcterms:modified>
</cp:coreProperties>
</file>