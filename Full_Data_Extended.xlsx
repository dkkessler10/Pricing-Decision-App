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eeyoung-nam/Desktop/2026 Fall/ITM6450/Game 1/Logistic Extended Game/Team/"/>
    </mc:Choice>
  </mc:AlternateContent>
  <xr:revisionPtr revIDLastSave="0" documentId="13_ncr:1_{2F4943C3-43F5-9849-BD37-722D5D9CB341}" xr6:coauthVersionLast="47" xr6:coauthVersionMax="47" xr10:uidLastSave="{00000000-0000-0000-0000-000000000000}"/>
  <bookViews>
    <workbookView xWindow="0" yWindow="660" windowWidth="28480" windowHeight="18460" xr2:uid="{2151155D-03E7-F446-B124-5177AF331DFD}"/>
  </bookViews>
  <sheets>
    <sheet name="1. Company_Valuation" sheetId="4" r:id="rId1"/>
    <sheet name="2. Pivot_Sales" sheetId="39" r:id="rId2"/>
    <sheet name="3. Pivot_Inventory" sheetId="42" r:id="rId3"/>
    <sheet name="Margin" sheetId="45" r:id="rId4"/>
    <sheet name="Sales" sheetId="35" r:id="rId5"/>
    <sheet name="Inventory (2)" sheetId="31" r:id="rId6"/>
    <sheet name="Sheet5" sheetId="43" r:id="rId7"/>
    <sheet name="Stock_Transfers (2)" sheetId="36" r:id="rId8"/>
    <sheet name="Purchase_Orders (2)" sheetId="34" r:id="rId9"/>
    <sheet name="Production_Orders (2)" sheetId="33" r:id="rId10"/>
    <sheet name="Market (2)" sheetId="32" r:id="rId11"/>
    <sheet name="Independent_Requirements (2)" sheetId="30" r:id="rId12"/>
    <sheet name="Financial_Postings (2)" sheetId="29" r:id="rId13"/>
    <sheet name="Current_Inventory_KPI (2)" sheetId="28" r:id="rId14"/>
    <sheet name="Current_Inventory (2)" sheetId="27" r:id="rId15"/>
    <sheet name="Current_Game_Rules (2)" sheetId="26" r:id="rId16"/>
    <sheet name="Company_Valuation (2)" sheetId="25" r:id="rId17"/>
    <sheet name="Financial_Postings" sheetId="10" r:id="rId18"/>
    <sheet name="Current_Suppliers_Prices" sheetId="9" r:id="rId19"/>
    <sheet name="Current_Pricing_Conditions" sheetId="8" r:id="rId20"/>
    <sheet name="Current_Inventory_KPI" sheetId="7" r:id="rId21"/>
    <sheet name="Current_Inventory" sheetId="6" r:id="rId22"/>
    <sheet name="Current_Game_Rules" sheetId="5" r:id="rId23"/>
    <sheet name="Pivot_Company Val" sheetId="38" r:id="rId24"/>
  </sheets>
  <definedNames>
    <definedName name="ExternalData_10" localSheetId="16" hidden="1">'Company_Valuation (2)'!$A$1:$T$81</definedName>
    <definedName name="ExternalData_11" localSheetId="15" hidden="1">'Current_Game_Rules (2)'!$A$1:$H$22</definedName>
    <definedName name="ExternalData_12" localSheetId="14" hidden="1">'Current_Inventory (2)'!$A$1:$I$25</definedName>
    <definedName name="ExternalData_13" localSheetId="13" hidden="1">'Current_Inventory_KPI (2)'!$A$1:$K$25</definedName>
    <definedName name="ExternalData_14" localSheetId="12" hidden="1">'Financial_Postings (2)'!$A$1:$Q$698</definedName>
    <definedName name="ExternalData_15" localSheetId="11" hidden="1">'Independent_Requirements (2)'!$A$1:$K$42</definedName>
    <definedName name="ExternalData_16" localSheetId="5" hidden="1">'Inventory (2)'!$A$1:$M$1945</definedName>
    <definedName name="ExternalData_17" localSheetId="10" hidden="1">'Market (2)'!$A$1:$N$282</definedName>
    <definedName name="ExternalData_18" localSheetId="9" hidden="1">'Production_Orders (2)'!$A$1:$S$2</definedName>
    <definedName name="ExternalData_19" localSheetId="8" hidden="1">'Purchase_Orders (2)'!$A$1:$T$92</definedName>
    <definedName name="ExternalData_20" localSheetId="4" hidden="1">Sales!$A$1:$V$682</definedName>
    <definedName name="ExternalData_21" localSheetId="7" hidden="1">'Stock_Transfers (2)'!$A$1:$M$500</definedName>
    <definedName name="ExternalData_3" localSheetId="0" hidden="1">'1. Company_Valuation'!$A$1:$T$81</definedName>
    <definedName name="ExternalData_4" localSheetId="22" hidden="1">'Current_Game_Rules'!$A$1:$H$22</definedName>
    <definedName name="ExternalData_5" localSheetId="21" hidden="1">'Current_Inventory'!$A$1:$I$25</definedName>
    <definedName name="ExternalData_6" localSheetId="20" hidden="1">'Current_Inventory_KPI'!$A$1:$K$25</definedName>
    <definedName name="ExternalData_7" localSheetId="19" hidden="1">'Current_Pricing_Conditions'!$A$1:$I$7</definedName>
    <definedName name="ExternalData_8" localSheetId="18" hidden="1">'Current_Suppliers_Prices'!$A$1:$I$7</definedName>
    <definedName name="ExternalData_9" localSheetId="17" hidden="1">Financial_Postings!$A$1:$Q$698</definedName>
  </definedNames>
  <calcPr calcId="191029"/>
  <pivotCaches>
    <pivotCache cacheId="1554" r:id="rId25"/>
    <pivotCache cacheId="1562" r:id="rId26"/>
    <pivotCache cacheId="1569" r:id="rId27"/>
    <pivotCache cacheId="1576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4" l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M16" i="45"/>
  <c r="M17" i="45" s="1"/>
  <c r="K16" i="45"/>
  <c r="K17" i="45" s="1"/>
  <c r="I16" i="45"/>
  <c r="I17" i="45" s="1"/>
  <c r="G16" i="45"/>
  <c r="G17" i="45" s="1"/>
  <c r="E16" i="45"/>
  <c r="E17" i="45" s="1"/>
  <c r="C16" i="45"/>
  <c r="E45" i="43"/>
  <c r="C17" i="45" l="1"/>
  <c r="P16" i="45"/>
  <c r="P17" i="4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B57C7-CF5F-4A45-BCB1-9F9296A40AAF}" keepAlive="1" name="Query - BOM_Changes" description="Connection to the 'BOM_Changes' query in the workbook." type="5" refreshedVersion="8" background="1" saveData="1">
    <dbPr connection="Provider=Microsoft.Mashup.OleDb.1;Data Source=$Workbook$;Location=BOM_Changes;Extended Properties=&quot;&quot;" command="SELECT * FROM [BOM_Changes]"/>
  </connection>
  <connection id="2" xr16:uid="{CCA44648-08FD-C948-A098-C5846B061289}" keepAlive="1" name="Query - Carbon_Emissions" description="Connection to the 'Carbon_Emissions' query in the workbook." type="5" refreshedVersion="8" background="1" saveData="1">
    <dbPr connection="Provider=Microsoft.Mashup.OleDb.1;Data Source=$Workbook$;Location=Carbon_Emissions;Extended Properties=&quot;&quot;" command="SELECT * FROM [Carbon_Emissions]"/>
  </connection>
  <connection id="3" xr16:uid="{13B056A1-890C-0042-ADC1-516997B00B2B}" keepAlive="1" name="Query - Company_Valuation" description="Connection to the 'Company_Valuation' query in the workbook." type="5" refreshedVersion="8" background="1" saveData="1">
    <dbPr connection="Provider=Microsoft.Mashup.OleDb.1;Data Source=$Workbook$;Location=Company_Valuation;Extended Properties=&quot;&quot;" command="SELECT * FROM [Company_Valuation]"/>
  </connection>
  <connection id="4" xr16:uid="{DBE49B26-3F78-B447-8493-CE1299158597}" keepAlive="1" name="Query - Company_Valuation (2)" description="Connection to the 'Company_Valuation (2)' query in the workbook." type="5" refreshedVersion="8" background="1" saveData="1">
    <dbPr connection="Provider=Microsoft.Mashup.OleDb.1;Data Source=$Workbook$;Location=&quot;Company_Valuation (2)&quot;;Extended Properties=&quot;&quot;" command="SELECT * FROM [Company_Valuation (2)]"/>
  </connection>
  <connection id="5" xr16:uid="{02C6932B-9B8D-654C-A0B0-389453D543C3}" keepAlive="1" name="Query - Current_Game_Rules" description="Connection to the 'Current_Game_Rules' query in the workbook." type="5" refreshedVersion="8" background="1" saveData="1">
    <dbPr connection="Provider=Microsoft.Mashup.OleDb.1;Data Source=$Workbook$;Location=Current_Game_Rules;Extended Properties=&quot;&quot;" command="SELECT * FROM [Current_Game_Rules]"/>
  </connection>
  <connection id="6" xr16:uid="{9110044F-FD75-704D-ADDA-DBD248A16BE2}" keepAlive="1" name="Query - Current_Game_Rules (2)" description="Connection to the 'Current_Game_Rules (2)' query in the workbook." type="5" refreshedVersion="8" background="1" saveData="1">
    <dbPr connection="Provider=Microsoft.Mashup.OleDb.1;Data Source=$Workbook$;Location=&quot;Current_Game_Rules (2)&quot;;Extended Properties=&quot;&quot;" command="SELECT * FROM [Current_Game_Rules (2)]"/>
  </connection>
  <connection id="7" xr16:uid="{2FCD96DC-5E2C-7942-9205-6F3C0010CC81}" keepAlive="1" name="Query - Current_Inventory" description="Connection to the 'Current_Inventory' query in the workbook." type="5" refreshedVersion="8" background="1" saveData="1">
    <dbPr connection="Provider=Microsoft.Mashup.OleDb.1;Data Source=$Workbook$;Location=Current_Inventory;Extended Properties=&quot;&quot;" command="SELECT * FROM [Current_Inventory]"/>
  </connection>
  <connection id="8" xr16:uid="{02B1350D-813F-D040-BBD9-F44C745D23AB}" keepAlive="1" name="Query - Current_Inventory (2)" description="Connection to the 'Current_Inventory (2)' query in the workbook." type="5" refreshedVersion="8" background="1" saveData="1">
    <dbPr connection="Provider=Microsoft.Mashup.OleDb.1;Data Source=$Workbook$;Location=&quot;Current_Inventory (2)&quot;;Extended Properties=&quot;&quot;" command="SELECT * FROM [Current_Inventory (2)]"/>
  </connection>
  <connection id="9" xr16:uid="{B0587022-1B74-0949-9155-1DF6E75B272E}" keepAlive="1" name="Query - Current_Inventory_KPI" description="Connection to the 'Current_Inventory_KPI' query in the workbook." type="5" refreshedVersion="8" background="1" saveData="1">
    <dbPr connection="Provider=Microsoft.Mashup.OleDb.1;Data Source=$Workbook$;Location=Current_Inventory_KPI;Extended Properties=&quot;&quot;" command="SELECT * FROM [Current_Inventory_KPI]"/>
  </connection>
  <connection id="10" xr16:uid="{3A19FB2B-3255-2949-BC89-C22790945A93}" keepAlive="1" name="Query - Current_Inventory_KPI (2)" description="Connection to the 'Current_Inventory_KPI (2)' query in the workbook." type="5" refreshedVersion="8" background="1" saveData="1">
    <dbPr connection="Provider=Microsoft.Mashup.OleDb.1;Data Source=$Workbook$;Location=&quot;Current_Inventory_KPI (2)&quot;;Extended Properties=&quot;&quot;" command="SELECT * FROM [Current_Inventory_KPI (2)]"/>
  </connection>
  <connection id="11" xr16:uid="{E98B6F75-2934-5544-BCC1-98E8FB4319D3}" keepAlive="1" name="Query - Current_Pricing_Conditions" description="Connection to the 'Current_Pricing_Conditions' query in the workbook." type="5" refreshedVersion="8" background="1" saveData="1">
    <dbPr connection="Provider=Microsoft.Mashup.OleDb.1;Data Source=$Workbook$;Location=Current_Pricing_Conditions;Extended Properties=&quot;&quot;" command="SELECT * FROM [Current_Pricing_Conditions]"/>
  </connection>
  <connection id="12" xr16:uid="{7D87A4AA-B644-5144-8EC2-989DAB59E263}" keepAlive="1" name="Query - Current_Suppliers_Prices" description="Connection to the 'Current_Suppliers_Prices' query in the workbook." type="5" refreshedVersion="8" background="1" saveData="1">
    <dbPr connection="Provider=Microsoft.Mashup.OleDb.1;Data Source=$Workbook$;Location=Current_Suppliers_Prices;Extended Properties=&quot;&quot;" command="SELECT * FROM [Current_Suppliers_Prices]"/>
  </connection>
  <connection id="13" xr16:uid="{03556B81-E973-704C-8FF2-2BAFC15AF2A2}" keepAlive="1" name="Query - Financial_Postings" description="Connection to the 'Financial_Postings' query in the workbook." type="5" refreshedVersion="8" background="1" saveData="1">
    <dbPr connection="Provider=Microsoft.Mashup.OleDb.1;Data Source=$Workbook$;Location=Financial_Postings;Extended Properties=&quot;&quot;" command="SELECT * FROM [Financial_Postings]"/>
  </connection>
  <connection id="14" xr16:uid="{4F18F40B-79DF-3549-B95E-DB5A181FA6B6}" keepAlive="1" name="Query - Financial_Postings (2)" description="Connection to the 'Financial_Postings (2)' query in the workbook." type="5" refreshedVersion="8" background="1" saveData="1">
    <dbPr connection="Provider=Microsoft.Mashup.OleDb.1;Data Source=$Workbook$;Location=&quot;Financial_Postings (2)&quot;;Extended Properties=&quot;&quot;" command="SELECT * FROM [Financial_Postings (2)]"/>
  </connection>
  <connection id="15" xr16:uid="{35F36FA4-86DE-F249-AC13-5A9B50AAC729}" keepAlive="1" name="Query - Independent_Requirements" description="Connection to the 'Independent_Requirements' query in the workbook." type="5" refreshedVersion="8" background="1" saveData="1">
    <dbPr connection="Provider=Microsoft.Mashup.OleDb.1;Data Source=$Workbook$;Location=Independent_Requirements;Extended Properties=&quot;&quot;" command="SELECT * FROM [Independent_Requirements]"/>
  </connection>
  <connection id="16" xr16:uid="{E11BD3E9-2E14-B34F-B4D8-5F34D8A3123F}" keepAlive="1" name="Query - Independent_Requirements (2)" description="Connection to the 'Independent_Requirements (2)' query in the workbook." type="5" refreshedVersion="8" background="1" saveData="1">
    <dbPr connection="Provider=Microsoft.Mashup.OleDb.1;Data Source=$Workbook$;Location=&quot;Independent_Requirements (2)&quot;;Extended Properties=&quot;&quot;" command="SELECT * FROM [Independent_Requirements (2)]"/>
  </connection>
  <connection id="17" xr16:uid="{8D346ECA-BF27-6F42-AD87-B8DDBD588764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18" xr16:uid="{03ECEF6C-0105-2340-B1D7-2C82A1BE5FBB}" keepAlive="1" name="Query - Inventory (2)" description="Connection to the 'Inventory (2)' query in the workbook." type="5" refreshedVersion="8" background="1" saveData="1">
    <dbPr connection="Provider=Microsoft.Mashup.OleDb.1;Data Source=$Workbook$;Location=&quot;Inventory (2)&quot;;Extended Properties=&quot;&quot;" command="SELECT * FROM [Inventory (2)]"/>
  </connection>
  <connection id="19" xr16:uid="{7DDCF93A-1D5F-F74D-A9EC-1B5C27C88E0F}" keepAlive="1" name="Query - Market" description="Connection to the 'Market' query in the workbook." type="5" refreshedVersion="8" background="1" saveData="1">
    <dbPr connection="Provider=Microsoft.Mashup.OleDb.1;Data Source=$Workbook$;Location=Market;Extended Properties=&quot;&quot;" command="SELECT * FROM [Market]"/>
  </connection>
  <connection id="20" xr16:uid="{C201D365-28A3-0744-BBB0-2C381BA7BEA8}" keepAlive="1" name="Query - Market (2)" description="Connection to the 'Market (2)' query in the workbook." type="5" refreshedVersion="8" background="1" saveData="1">
    <dbPr connection="Provider=Microsoft.Mashup.OleDb.1;Data Source=$Workbook$;Location=&quot;Market (2)&quot;;Extended Properties=&quot;&quot;" command="SELECT * FROM [Market (2)]"/>
  </connection>
  <connection id="21" xr16:uid="{CC97E795-2EA3-3243-8252-124BC2D5195B}" keepAlive="1" name="Query - Marketing_Expenses" description="Connection to the 'Marketing_Expenses' query in the workbook." type="5" refreshedVersion="8" background="1" saveData="1">
    <dbPr connection="Provider=Microsoft.Mashup.OleDb.1;Data Source=$Workbook$;Location=Marketing_Expenses;Extended Properties=&quot;&quot;" command="SELECT * FROM [Marketing_Expenses]"/>
  </connection>
  <connection id="22" xr16:uid="{BBEA8F9B-48A5-9643-9275-4D485CB150D8}" keepAlive="1" name="Query - Production" description="Connection to the 'Production' query in the workbook." type="5" refreshedVersion="8" background="1" saveData="1">
    <dbPr connection="Provider=Microsoft.Mashup.OleDb.1;Data Source=$Workbook$;Location=Production;Extended Properties=&quot;&quot;" command="SELECT * FROM [Production]"/>
  </connection>
  <connection id="23" xr16:uid="{39FE9944-31B1-7146-B5F5-3F661A5148FB}" keepAlive="1" name="Query - Production_Orders" description="Connection to the 'Production_Orders' query in the workbook." type="5" refreshedVersion="8" background="1" saveData="1">
    <dbPr connection="Provider=Microsoft.Mashup.OleDb.1;Data Source=$Workbook$;Location=Production_Orders;Extended Properties=&quot;&quot;" command="SELECT * FROM [Production_Orders]"/>
  </connection>
  <connection id="24" xr16:uid="{0CC53789-3586-434E-8177-4441AB78CFC1}" keepAlive="1" name="Query - Production_Orders (2)" description="Connection to the 'Production_Orders (2)' query in the workbook." type="5" refreshedVersion="8" background="1" saveData="1">
    <dbPr connection="Provider=Microsoft.Mashup.OleDb.1;Data Source=$Workbook$;Location=&quot;Production_Orders (2)&quot;;Extended Properties=&quot;&quot;" command="SELECT * FROM [Production_Orders (2)]"/>
  </connection>
  <connection id="25" xr16:uid="{EA9171D9-AD88-A745-94EA-C5A4758A080F}" keepAlive="1" name="Query - Purchase_Orders" description="Connection to the 'Purchase_Orders' query in the workbook." type="5" refreshedVersion="8" background="1" saveData="1">
    <dbPr connection="Provider=Microsoft.Mashup.OleDb.1;Data Source=$Workbook$;Location=Purchase_Orders;Extended Properties=&quot;&quot;" command="SELECT * FROM [Purchase_Orders]"/>
  </connection>
  <connection id="26" xr16:uid="{D0D3496E-8859-0149-BD95-CEAAAE2FE9A5}" keepAlive="1" name="Query - Purchase_Orders (2)" description="Connection to the 'Purchase_Orders (2)' query in the workbook." type="5" refreshedVersion="8" background="1" saveData="1">
    <dbPr connection="Provider=Microsoft.Mashup.OleDb.1;Data Source=$Workbook$;Location=&quot;Purchase_Orders (2)&quot;;Extended Properties=&quot;&quot;" command="SELECT * FROM [Purchase_Orders (2)]"/>
  </connection>
  <connection id="27" xr16:uid="{1B4B0A0A-C167-CF4F-9F50-D1A288B04709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8" xr16:uid="{53F0155F-B468-8C4A-B053-5016A9ABBDE4}" keepAlive="1" name="Query - Sales (2)" description="Connection to the 'Sales (2)' query in the workbook." type="5" refreshedVersion="8" background="1" saveData="1">
    <dbPr connection="Provider=Microsoft.Mashup.OleDb.1;Data Source=$Workbook$;Location=&quot;Sales (2)&quot;;Extended Properties=&quot;&quot;" command="SELECT * FROM [Sales (2)]"/>
  </connection>
  <connection id="29" xr16:uid="{CEF52D3E-2843-A344-B1D4-1475C6FA83A8}" keepAlive="1" name="Query - Stock_Transfers" description="Connection to the 'Stock_Transfers' query in the workbook." type="5" refreshedVersion="8" background="1" saveData="1">
    <dbPr connection="Provider=Microsoft.Mashup.OleDb.1;Data Source=$Workbook$;Location=Stock_Transfers;Extended Properties=&quot;&quot;" command="SELECT * FROM [Stock_Transfers]"/>
  </connection>
  <connection id="30" xr16:uid="{40083722-F935-6B48-A263-A03B85A3FD35}" keepAlive="1" name="Query - Stock_Transfers (2)" description="Connection to the 'Stock_Transfers (2)' query in the workbook." type="5" refreshedVersion="8" background="1" saveData="1">
    <dbPr connection="Provider=Microsoft.Mashup.OleDb.1;Data Source=$Workbook$;Location=&quot;Stock_Transfers (2)&quot;;Extended Properties=&quot;&quot;" command="SELECT * FROM [Stock_Transfers (2)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<sst xmlns="http://schemas.openxmlformats.org/spreadsheetml/2006/main" count="56544" uniqueCount="2572">
  <si>
    <t>ID</t>
  </si>
  <si>
    <t>ROW_ID</t>
  </si>
  <si>
    <t>PLANT</t>
  </si>
  <si>
    <t>SIM_ROUND</t>
  </si>
  <si>
    <t>SIM_STEP</t>
  </si>
  <si>
    <t>SIM_DATE</t>
  </si>
  <si>
    <t>SIM_PERIOD</t>
  </si>
  <si>
    <t>SIM_ELAPSED_STEPS</t>
  </si>
  <si>
    <t>MATERIAL_NUMBER</t>
  </si>
  <si>
    <t>MATERIAL_DESCRIPTION</t>
  </si>
  <si>
    <t>QUANTITY</t>
  </si>
  <si>
    <t>UNIT</t>
  </si>
  <si>
    <t>COMPANY_CODE</t>
  </si>
  <si>
    <t>BANK_CASH_ACCOUNT</t>
  </si>
  <si>
    <t>ACCOUNTS_RECEIVABLE</t>
  </si>
  <si>
    <t>BANK_LOAN</t>
  </si>
  <si>
    <t>ACCOUNTS_PAYABLE</t>
  </si>
  <si>
    <t>PROFIT</t>
  </si>
  <si>
    <t>SETUP_TIME_INVESTMENT</t>
  </si>
  <si>
    <t>DEBT_LOADING</t>
  </si>
  <si>
    <t>CREDIT_RATING</t>
  </si>
  <si>
    <t>COMPANY_RISK_RATE_PCT</t>
  </si>
  <si>
    <t>MARKET_RISK_RATE_PCT</t>
  </si>
  <si>
    <t>COMPANY_VALUATION</t>
  </si>
  <si>
    <t>CURRENCY</t>
  </si>
  <si>
    <t>.1~1</t>
  </si>
  <si>
    <t>D2</t>
  </si>
  <si>
    <t>01</t>
  </si>
  <si>
    <t>01/01</t>
  </si>
  <si>
    <t>AAA+</t>
  </si>
  <si>
    <t>EUR</t>
  </si>
  <si>
    <t>.1~2</t>
  </si>
  <si>
    <t>02</t>
  </si>
  <si>
    <t>01/02</t>
  </si>
  <si>
    <t>.1~3</t>
  </si>
  <si>
    <t>03</t>
  </si>
  <si>
    <t>01/03</t>
  </si>
  <si>
    <t>.1~4</t>
  </si>
  <si>
    <t>04</t>
  </si>
  <si>
    <t>01/04</t>
  </si>
  <si>
    <t>.1~5</t>
  </si>
  <si>
    <t>05</t>
  </si>
  <si>
    <t>01/05</t>
  </si>
  <si>
    <t>.1~6</t>
  </si>
  <si>
    <t>06</t>
  </si>
  <si>
    <t>01/06</t>
  </si>
  <si>
    <t>.1~7</t>
  </si>
  <si>
    <t>07</t>
  </si>
  <si>
    <t>01/07</t>
  </si>
  <si>
    <t>.1~8</t>
  </si>
  <si>
    <t>08</t>
  </si>
  <si>
    <t>01/08</t>
  </si>
  <si>
    <t>.1~9</t>
  </si>
  <si>
    <t>09</t>
  </si>
  <si>
    <t>01/09</t>
  </si>
  <si>
    <t>.1~10</t>
  </si>
  <si>
    <t>10</t>
  </si>
  <si>
    <t>01/10</t>
  </si>
  <si>
    <t>.1~11</t>
  </si>
  <si>
    <t>02/01</t>
  </si>
  <si>
    <t>.1~12</t>
  </si>
  <si>
    <t>02/02</t>
  </si>
  <si>
    <t>.1~13</t>
  </si>
  <si>
    <t>02/03</t>
  </si>
  <si>
    <t>.1~14</t>
  </si>
  <si>
    <t>02/04</t>
  </si>
  <si>
    <t>.1~15</t>
  </si>
  <si>
    <t>02/05</t>
  </si>
  <si>
    <t>.1~16</t>
  </si>
  <si>
    <t>02/06</t>
  </si>
  <si>
    <t>.1~17</t>
  </si>
  <si>
    <t>02/07</t>
  </si>
  <si>
    <t>.1~18</t>
  </si>
  <si>
    <t>02/08</t>
  </si>
  <si>
    <t>.1~19</t>
  </si>
  <si>
    <t>02/09</t>
  </si>
  <si>
    <t>.1~20</t>
  </si>
  <si>
    <t>02/10</t>
  </si>
  <si>
    <t>.1~21</t>
  </si>
  <si>
    <t>03/01</t>
  </si>
  <si>
    <t>.1~22</t>
  </si>
  <si>
    <t>03/02</t>
  </si>
  <si>
    <t>.1~23</t>
  </si>
  <si>
    <t>03/03</t>
  </si>
  <si>
    <t>.1~24</t>
  </si>
  <si>
    <t>03/04</t>
  </si>
  <si>
    <t>.1~25</t>
  </si>
  <si>
    <t>03/05</t>
  </si>
  <si>
    <t>.1~26</t>
  </si>
  <si>
    <t>03/06</t>
  </si>
  <si>
    <t>.1~27</t>
  </si>
  <si>
    <t>03/07</t>
  </si>
  <si>
    <t>.1~28</t>
  </si>
  <si>
    <t>03/08</t>
  </si>
  <si>
    <t>.1~29</t>
  </si>
  <si>
    <t>03/09</t>
  </si>
  <si>
    <t>.1~30</t>
  </si>
  <si>
    <t>03/10</t>
  </si>
  <si>
    <t>GAME</t>
  </si>
  <si>
    <t>SCENARIO</t>
  </si>
  <si>
    <t>CATEGORY</t>
  </si>
  <si>
    <t>ELEMENT</t>
  </si>
  <si>
    <t>DETAIL</t>
  </si>
  <si>
    <t>VALUE</t>
  </si>
  <si>
    <t>Logistics</t>
  </si>
  <si>
    <t>Extended</t>
  </si>
  <si>
    <t>Organizational_Element</t>
  </si>
  <si>
    <t>Distribution_Channel</t>
  </si>
  <si>
    <t>16</t>
  </si>
  <si>
    <t>Retailers</t>
  </si>
  <si>
    <t>Storage_Location</t>
  </si>
  <si>
    <t>Trading Goods</t>
  </si>
  <si>
    <t>03N</t>
  </si>
  <si>
    <t>North</t>
  </si>
  <si>
    <t>03S</t>
  </si>
  <si>
    <t>South</t>
  </si>
  <si>
    <t>03W</t>
  </si>
  <si>
    <t>West</t>
  </si>
  <si>
    <t>Supplier</t>
  </si>
  <si>
    <t>V04</t>
  </si>
  <si>
    <t>Dairy Cooperative</t>
  </si>
  <si>
    <t>Product</t>
  </si>
  <si>
    <t>DD-T01</t>
  </si>
  <si>
    <t>Milk</t>
  </si>
  <si>
    <t>Finished products</t>
  </si>
  <si>
    <t>DD-T02</t>
  </si>
  <si>
    <t>Cream</t>
  </si>
  <si>
    <t>DD-T03</t>
  </si>
  <si>
    <t>Yoghurt</t>
  </si>
  <si>
    <t>DD-T04</t>
  </si>
  <si>
    <t>Cheese</t>
  </si>
  <si>
    <t>DD-T05</t>
  </si>
  <si>
    <t>Butter</t>
  </si>
  <si>
    <t>DD-T06</t>
  </si>
  <si>
    <t>Ice Cream</t>
  </si>
  <si>
    <t>Rules</t>
  </si>
  <si>
    <t>Lead_Time</t>
  </si>
  <si>
    <t>1-2 days</t>
  </si>
  <si>
    <t>Approximate_Market_Size</t>
  </si>
  <si>
    <t>DC16</t>
  </si>
  <si>
    <t>€72 000 per team per day</t>
  </si>
  <si>
    <t>PO_Cost</t>
  </si>
  <si>
    <t>1000.00</t>
  </si>
  <si>
    <t>Payment_Time</t>
  </si>
  <si>
    <t>4 days</t>
  </si>
  <si>
    <t>5 days</t>
  </si>
  <si>
    <t>Transfer_Cost</t>
  </si>
  <si>
    <t>Between Storage Locations</t>
  </si>
  <si>
    <t>100</t>
  </si>
  <si>
    <t>Storage_Extra_Capacity_Threshold</t>
  </si>
  <si>
    <t>1000</t>
  </si>
  <si>
    <t>Storage_Extra_Capacity_Cost</t>
  </si>
  <si>
    <t>300</t>
  </si>
  <si>
    <t>Storage_Capacity</t>
  </si>
  <si>
    <t>4000</t>
  </si>
  <si>
    <t>STORAGE_LOCATION</t>
  </si>
  <si>
    <t>STOCK</t>
  </si>
  <si>
    <t>RESTRICTED</t>
  </si>
  <si>
    <t>ST</t>
  </si>
  <si>
    <t>CURRENT_INVENTORY</t>
  </si>
  <si>
    <t>QUANTITY_SOLD</t>
  </si>
  <si>
    <t>NB_STEPS_AVAILABLE</t>
  </si>
  <si>
    <t>SALES_ORGANIZATION</t>
  </si>
  <si>
    <t>DISTRIBUTION_CHANNEL</t>
  </si>
  <si>
    <t>DC_NAME</t>
  </si>
  <si>
    <t>PRICE</t>
  </si>
  <si>
    <t>PURCHASING_ORGANIZATION</t>
  </si>
  <si>
    <t>VENDOR_CODE</t>
  </si>
  <si>
    <t>VENDOR_NAME</t>
  </si>
  <si>
    <t>GL_ACCOUNT_NUMBER</t>
  </si>
  <si>
    <t>GL_ACCOUNT_NAME</t>
  </si>
  <si>
    <t>FS_LEVEL_1</t>
  </si>
  <si>
    <t>FS_LEVEL_2</t>
  </si>
  <si>
    <t>FS_LEVEL_3</t>
  </si>
  <si>
    <t>FS_LEVEL_4</t>
  </si>
  <si>
    <t>DEBIT_CREDIT_INDICATOR</t>
  </si>
  <si>
    <t>AMOUNT</t>
  </si>
  <si>
    <t>11000</t>
  </si>
  <si>
    <t>Machinery and equipment</t>
  </si>
  <si>
    <t>Balance Sheet</t>
  </si>
  <si>
    <t>Assets</t>
  </si>
  <si>
    <t>Long-Term Assets</t>
  </si>
  <si>
    <t/>
  </si>
  <si>
    <t>Debit</t>
  </si>
  <si>
    <t>70000</t>
  </si>
  <si>
    <t>Common stock</t>
  </si>
  <si>
    <t>Liabilities and Owners' Equity</t>
  </si>
  <si>
    <t>Equity</t>
  </si>
  <si>
    <t>Shareholders Equity</t>
  </si>
  <si>
    <t>Credit</t>
  </si>
  <si>
    <t>113300</t>
  </si>
  <si>
    <t>Bank Cash Account</t>
  </si>
  <si>
    <t>Current Assets</t>
  </si>
  <si>
    <t>160000</t>
  </si>
  <si>
    <t>Accounts payable-domestic</t>
  </si>
  <si>
    <t>Liabilities</t>
  </si>
  <si>
    <t>Current Liabilities</t>
  </si>
  <si>
    <t>191100</t>
  </si>
  <si>
    <t>GR/IR Clearing - External procurement</t>
  </si>
  <si>
    <t>192100</t>
  </si>
  <si>
    <t>Freight clearing (MM)</t>
  </si>
  <si>
    <t>792000</t>
  </si>
  <si>
    <t>Finished goods</t>
  </si>
  <si>
    <t>472000</t>
  </si>
  <si>
    <t>Shipping costs</t>
  </si>
  <si>
    <t>Income Statement</t>
  </si>
  <si>
    <t>Operating Expenses</t>
  </si>
  <si>
    <t>140000</t>
  </si>
  <si>
    <t>Customers - Domestic Receivables</t>
  </si>
  <si>
    <t>400020</t>
  </si>
  <si>
    <t>Raw mat.consumed/trading goods without cost center</t>
  </si>
  <si>
    <t>Cost of Goods Sold</t>
  </si>
  <si>
    <t>800000</t>
  </si>
  <si>
    <t>Sales revenues - domestic</t>
  </si>
  <si>
    <t>Revenues</t>
  </si>
  <si>
    <t>.1~31</t>
  </si>
  <si>
    <t>.1~32</t>
  </si>
  <si>
    <t>.1~33</t>
  </si>
  <si>
    <t>.1~34</t>
  </si>
  <si>
    <t>.1~35</t>
  </si>
  <si>
    <t>.1~36</t>
  </si>
  <si>
    <t>.1~37</t>
  </si>
  <si>
    <t>.1~38</t>
  </si>
  <si>
    <t>.1~39</t>
  </si>
  <si>
    <t>.1~40</t>
  </si>
  <si>
    <t>.1~41</t>
  </si>
  <si>
    <t>.1~42</t>
  </si>
  <si>
    <t>.1~43</t>
  </si>
  <si>
    <t>.1~44</t>
  </si>
  <si>
    <t>.1~45</t>
  </si>
  <si>
    <t>.1~46</t>
  </si>
  <si>
    <t>.1~47</t>
  </si>
  <si>
    <t>.1~48</t>
  </si>
  <si>
    <t>.1~49</t>
  </si>
  <si>
    <t>.1~50</t>
  </si>
  <si>
    <t>.1~51</t>
  </si>
  <si>
    <t>.1~52</t>
  </si>
  <si>
    <t>.1~53</t>
  </si>
  <si>
    <t>.1~54</t>
  </si>
  <si>
    <t>.1~55</t>
  </si>
  <si>
    <t>.1~56</t>
  </si>
  <si>
    <t>.1~57</t>
  </si>
  <si>
    <t>.1~58</t>
  </si>
  <si>
    <t>.1~59</t>
  </si>
  <si>
    <t>.1~60</t>
  </si>
  <si>
    <t>.1~61</t>
  </si>
  <si>
    <t>.1~62</t>
  </si>
  <si>
    <t>.1~63</t>
  </si>
  <si>
    <t>.1~64</t>
  </si>
  <si>
    <t>.1~65</t>
  </si>
  <si>
    <t>.1~66</t>
  </si>
  <si>
    <t>.1~67</t>
  </si>
  <si>
    <t>.1~68</t>
  </si>
  <si>
    <t>.1~69</t>
  </si>
  <si>
    <t>.1~70</t>
  </si>
  <si>
    <t>.1~71</t>
  </si>
  <si>
    <t>.1~72</t>
  </si>
  <si>
    <t>.1~73</t>
  </si>
  <si>
    <t>.1~74</t>
  </si>
  <si>
    <t>.1~75</t>
  </si>
  <si>
    <t>.1~76</t>
  </si>
  <si>
    <t>.1~77</t>
  </si>
  <si>
    <t>.1~78</t>
  </si>
  <si>
    <t>.1~79</t>
  </si>
  <si>
    <t>.1~80</t>
  </si>
  <si>
    <t>.1~81</t>
  </si>
  <si>
    <t>.1~82</t>
  </si>
  <si>
    <t>.1~83</t>
  </si>
  <si>
    <t>.1~84</t>
  </si>
  <si>
    <t>.1~85</t>
  </si>
  <si>
    <t>.1~86</t>
  </si>
  <si>
    <t>.1~87</t>
  </si>
  <si>
    <t>.1~88</t>
  </si>
  <si>
    <t>.1~89</t>
  </si>
  <si>
    <t>.1~90</t>
  </si>
  <si>
    <t>.1~91</t>
  </si>
  <si>
    <t>.1~92</t>
  </si>
  <si>
    <t>.1~93</t>
  </si>
  <si>
    <t>.1~94</t>
  </si>
  <si>
    <t>.1~95</t>
  </si>
  <si>
    <t>.1~96</t>
  </si>
  <si>
    <t>.1~97</t>
  </si>
  <si>
    <t>.1~98</t>
  </si>
  <si>
    <t>.1~99</t>
  </si>
  <si>
    <t>.1~100</t>
  </si>
  <si>
    <t>.1~101</t>
  </si>
  <si>
    <t>.1~102</t>
  </si>
  <si>
    <t>.1~103</t>
  </si>
  <si>
    <t>.1~104</t>
  </si>
  <si>
    <t>.1~105</t>
  </si>
  <si>
    <t>.1~106</t>
  </si>
  <si>
    <t>.1~107</t>
  </si>
  <si>
    <t>.1~108</t>
  </si>
  <si>
    <t>.1~109</t>
  </si>
  <si>
    <t>.1~110</t>
  </si>
  <si>
    <t>.1~111</t>
  </si>
  <si>
    <t>.1~112</t>
  </si>
  <si>
    <t>.1~113</t>
  </si>
  <si>
    <t>.1~114</t>
  </si>
  <si>
    <t>.1~115</t>
  </si>
  <si>
    <t>.1~116</t>
  </si>
  <si>
    <t>.1~117</t>
  </si>
  <si>
    <t>.1~118</t>
  </si>
  <si>
    <t>.1~119</t>
  </si>
  <si>
    <t>.1~120</t>
  </si>
  <si>
    <t>.1~121</t>
  </si>
  <si>
    <t>.1~122</t>
  </si>
  <si>
    <t>.1~123</t>
  </si>
  <si>
    <t>.1~124</t>
  </si>
  <si>
    <t>.1~125</t>
  </si>
  <si>
    <t>.1~126</t>
  </si>
  <si>
    <t>.1~127</t>
  </si>
  <si>
    <t>.1~128</t>
  </si>
  <si>
    <t>.1~129</t>
  </si>
  <si>
    <t>.1~130</t>
  </si>
  <si>
    <t>.1~131</t>
  </si>
  <si>
    <t>.1~132</t>
  </si>
  <si>
    <t>.1~133</t>
  </si>
  <si>
    <t>.1~134</t>
  </si>
  <si>
    <t>.1~135</t>
  </si>
  <si>
    <t>.1~136</t>
  </si>
  <si>
    <t>.1~137</t>
  </si>
  <si>
    <t>.1~138</t>
  </si>
  <si>
    <t>.1~139</t>
  </si>
  <si>
    <t>.1~140</t>
  </si>
  <si>
    <t>.1~141</t>
  </si>
  <si>
    <t>.1~142</t>
  </si>
  <si>
    <t>.1~143</t>
  </si>
  <si>
    <t>.1~144</t>
  </si>
  <si>
    <t>.1~145</t>
  </si>
  <si>
    <t>.1~146</t>
  </si>
  <si>
    <t>.1~147</t>
  </si>
  <si>
    <t>.1~148</t>
  </si>
  <si>
    <t>.1~149</t>
  </si>
  <si>
    <t>.1~150</t>
  </si>
  <si>
    <t>.1~151</t>
  </si>
  <si>
    <t>.1~152</t>
  </si>
  <si>
    <t>.1~153</t>
  </si>
  <si>
    <t>.1~154</t>
  </si>
  <si>
    <t>.1~155</t>
  </si>
  <si>
    <t>.1~156</t>
  </si>
  <si>
    <t>.1~157</t>
  </si>
  <si>
    <t>.1~158</t>
  </si>
  <si>
    <t>.1~159</t>
  </si>
  <si>
    <t>.1~160</t>
  </si>
  <si>
    <t>.1~161</t>
  </si>
  <si>
    <t>.1~162</t>
  </si>
  <si>
    <t>.1~163</t>
  </si>
  <si>
    <t>.1~164</t>
  </si>
  <si>
    <t>.1~165</t>
  </si>
  <si>
    <t>.1~166</t>
  </si>
  <si>
    <t>.1~167</t>
  </si>
  <si>
    <t>.1~168</t>
  </si>
  <si>
    <t>.1~169</t>
  </si>
  <si>
    <t>.1~170</t>
  </si>
  <si>
    <t>.1~171</t>
  </si>
  <si>
    <t>.1~172</t>
  </si>
  <si>
    <t>.1~173</t>
  </si>
  <si>
    <t>.1~174</t>
  </si>
  <si>
    <t>.1~175</t>
  </si>
  <si>
    <t>.1~176</t>
  </si>
  <si>
    <t>.1~177</t>
  </si>
  <si>
    <t>.1~178</t>
  </si>
  <si>
    <t>.1~179</t>
  </si>
  <si>
    <t>.1~180</t>
  </si>
  <si>
    <t>.1~181</t>
  </si>
  <si>
    <t>.1~182</t>
  </si>
  <si>
    <t>.1~183</t>
  </si>
  <si>
    <t>.1~184</t>
  </si>
  <si>
    <t>.1~185</t>
  </si>
  <si>
    <t>.1~186</t>
  </si>
  <si>
    <t>.1~187</t>
  </si>
  <si>
    <t>.1~188</t>
  </si>
  <si>
    <t>.1~189</t>
  </si>
  <si>
    <t>.1~190</t>
  </si>
  <si>
    <t>.1~191</t>
  </si>
  <si>
    <t>.1~192</t>
  </si>
  <si>
    <t>.1~193</t>
  </si>
  <si>
    <t>.1~194</t>
  </si>
  <si>
    <t>.1~195</t>
  </si>
  <si>
    <t>.1~196</t>
  </si>
  <si>
    <t>.1~197</t>
  </si>
  <si>
    <t>.1~198</t>
  </si>
  <si>
    <t>.1~199</t>
  </si>
  <si>
    <t>.1~200</t>
  </si>
  <si>
    <t>.1~201</t>
  </si>
  <si>
    <t>.1~202</t>
  </si>
  <si>
    <t>.1~203</t>
  </si>
  <si>
    <t>.1~204</t>
  </si>
  <si>
    <t>.1~205</t>
  </si>
  <si>
    <t>.1~206</t>
  </si>
  <si>
    <t>.1~207</t>
  </si>
  <si>
    <t>.1~208</t>
  </si>
  <si>
    <t>.1~209</t>
  </si>
  <si>
    <t>.1~210</t>
  </si>
  <si>
    <t>.1~211</t>
  </si>
  <si>
    <t>.1~212</t>
  </si>
  <si>
    <t>.1~213</t>
  </si>
  <si>
    <t>.1~214</t>
  </si>
  <si>
    <t>.1~215</t>
  </si>
  <si>
    <t>.1~216</t>
  </si>
  <si>
    <t>.1~217</t>
  </si>
  <si>
    <t>.1~218</t>
  </si>
  <si>
    <t>.1~219</t>
  </si>
  <si>
    <t>.1~220</t>
  </si>
  <si>
    <t>.1~221</t>
  </si>
  <si>
    <t>.1~222</t>
  </si>
  <si>
    <t>.1~223</t>
  </si>
  <si>
    <t>.1~224</t>
  </si>
  <si>
    <t>.1~225</t>
  </si>
  <si>
    <t>.1~226</t>
  </si>
  <si>
    <t>.1~227</t>
  </si>
  <si>
    <t>.1~228</t>
  </si>
  <si>
    <t>.1~229</t>
  </si>
  <si>
    <t>.1~230</t>
  </si>
  <si>
    <t>.1~231</t>
  </si>
  <si>
    <t>.1~232</t>
  </si>
  <si>
    <t>.1~233</t>
  </si>
  <si>
    <t>.1~234</t>
  </si>
  <si>
    <t>.1~235</t>
  </si>
  <si>
    <t>.1~236</t>
  </si>
  <si>
    <t>.1~237</t>
  </si>
  <si>
    <t>.1~238</t>
  </si>
  <si>
    <t>.1~239</t>
  </si>
  <si>
    <t>.1~240</t>
  </si>
  <si>
    <t>.1~241</t>
  </si>
  <si>
    <t>.1~242</t>
  </si>
  <si>
    <t>.1~243</t>
  </si>
  <si>
    <t>.1~244</t>
  </si>
  <si>
    <t>.1~245</t>
  </si>
  <si>
    <t>.1~246</t>
  </si>
  <si>
    <t>.1~247</t>
  </si>
  <si>
    <t>.1~248</t>
  </si>
  <si>
    <t>.1~249</t>
  </si>
  <si>
    <t>.1~250</t>
  </si>
  <si>
    <t>.1~251</t>
  </si>
  <si>
    <t>.1~252</t>
  </si>
  <si>
    <t>INVENTORY_OPENING_BALANCE</t>
  </si>
  <si>
    <t>.1~253</t>
  </si>
  <si>
    <t>.1~254</t>
  </si>
  <si>
    <t>.1~255</t>
  </si>
  <si>
    <t>.1~256</t>
  </si>
  <si>
    <t>.1~257</t>
  </si>
  <si>
    <t>.1~258</t>
  </si>
  <si>
    <t>.1~259</t>
  </si>
  <si>
    <t>.1~260</t>
  </si>
  <si>
    <t>.1~261</t>
  </si>
  <si>
    <t>.1~262</t>
  </si>
  <si>
    <t>.1~263</t>
  </si>
  <si>
    <t>.1~264</t>
  </si>
  <si>
    <t>.1~265</t>
  </si>
  <si>
    <t>.1~266</t>
  </si>
  <si>
    <t>.1~267</t>
  </si>
  <si>
    <t>.1~268</t>
  </si>
  <si>
    <t>.1~269</t>
  </si>
  <si>
    <t>.1~270</t>
  </si>
  <si>
    <t>.1~271</t>
  </si>
  <si>
    <t>.1~272</t>
  </si>
  <si>
    <t>.1~273</t>
  </si>
  <si>
    <t>.1~274</t>
  </si>
  <si>
    <t>.1~275</t>
  </si>
  <si>
    <t>.1~276</t>
  </si>
  <si>
    <t>.1~277</t>
  </si>
  <si>
    <t>.1~278</t>
  </si>
  <si>
    <t>.1~279</t>
  </si>
  <si>
    <t>.1~280</t>
  </si>
  <si>
    <t>.1~281</t>
  </si>
  <si>
    <t>.1~282</t>
  </si>
  <si>
    <t>.1~283</t>
  </si>
  <si>
    <t>.1~284</t>
  </si>
  <si>
    <t>.1~285</t>
  </si>
  <si>
    <t>.1~286</t>
  </si>
  <si>
    <t>.1~287</t>
  </si>
  <si>
    <t>.1~288</t>
  </si>
  <si>
    <t>.1~289</t>
  </si>
  <si>
    <t>.1~290</t>
  </si>
  <si>
    <t>.1~291</t>
  </si>
  <si>
    <t>.1~292</t>
  </si>
  <si>
    <t>.1~293</t>
  </si>
  <si>
    <t>.1~294</t>
  </si>
  <si>
    <t>.1~295</t>
  </si>
  <si>
    <t>.1~296</t>
  </si>
  <si>
    <t>.1~297</t>
  </si>
  <si>
    <t>.1~298</t>
  </si>
  <si>
    <t>.1~299</t>
  </si>
  <si>
    <t>.1~300</t>
  </si>
  <si>
    <t>.1~301</t>
  </si>
  <si>
    <t>.1~302</t>
  </si>
  <si>
    <t>.1~303</t>
  </si>
  <si>
    <t>.1~304</t>
  </si>
  <si>
    <t>.1~305</t>
  </si>
  <si>
    <t>.1~306</t>
  </si>
  <si>
    <t>.1~307</t>
  </si>
  <si>
    <t>.1~308</t>
  </si>
  <si>
    <t>.1~309</t>
  </si>
  <si>
    <t>.1~310</t>
  </si>
  <si>
    <t>.1~311</t>
  </si>
  <si>
    <t>.1~312</t>
  </si>
  <si>
    <t>.1~313</t>
  </si>
  <si>
    <t>.1~314</t>
  </si>
  <si>
    <t>.1~315</t>
  </si>
  <si>
    <t>.1~316</t>
  </si>
  <si>
    <t>.1~317</t>
  </si>
  <si>
    <t>.1~318</t>
  </si>
  <si>
    <t>.1~319</t>
  </si>
  <si>
    <t>.1~320</t>
  </si>
  <si>
    <t>.1~321</t>
  </si>
  <si>
    <t>.1~322</t>
  </si>
  <si>
    <t>.1~323</t>
  </si>
  <si>
    <t>.1~324</t>
  </si>
  <si>
    <t>.1~325</t>
  </si>
  <si>
    <t>.1~326</t>
  </si>
  <si>
    <t>.1~327</t>
  </si>
  <si>
    <t>.1~328</t>
  </si>
  <si>
    <t>.1~329</t>
  </si>
  <si>
    <t>.1~330</t>
  </si>
  <si>
    <t>.1~331</t>
  </si>
  <si>
    <t>.1~332</t>
  </si>
  <si>
    <t>.1~333</t>
  </si>
  <si>
    <t>.1~334</t>
  </si>
  <si>
    <t>.1~335</t>
  </si>
  <si>
    <t>.1~336</t>
  </si>
  <si>
    <t>.1~337</t>
  </si>
  <si>
    <t>.1~338</t>
  </si>
  <si>
    <t>.1~339</t>
  </si>
  <si>
    <t>.1~340</t>
  </si>
  <si>
    <t>.1~341</t>
  </si>
  <si>
    <t>.1~342</t>
  </si>
  <si>
    <t>.1~343</t>
  </si>
  <si>
    <t>.1~344</t>
  </si>
  <si>
    <t>.1~345</t>
  </si>
  <si>
    <t>.1~346</t>
  </si>
  <si>
    <t>.1~347</t>
  </si>
  <si>
    <t>.1~348</t>
  </si>
  <si>
    <t>.1~349</t>
  </si>
  <si>
    <t>.1~350</t>
  </si>
  <si>
    <t>.1~351</t>
  </si>
  <si>
    <t>.1~352</t>
  </si>
  <si>
    <t>.1~353</t>
  </si>
  <si>
    <t>.1~354</t>
  </si>
  <si>
    <t>.1~355</t>
  </si>
  <si>
    <t>.1~356</t>
  </si>
  <si>
    <t>.1~357</t>
  </si>
  <si>
    <t>.1~358</t>
  </si>
  <si>
    <t>.1~359</t>
  </si>
  <si>
    <t>.1~360</t>
  </si>
  <si>
    <t>.1~361</t>
  </si>
  <si>
    <t>.1~362</t>
  </si>
  <si>
    <t>.1~363</t>
  </si>
  <si>
    <t>.1~364</t>
  </si>
  <si>
    <t>.1~365</t>
  </si>
  <si>
    <t>.1~366</t>
  </si>
  <si>
    <t>.1~367</t>
  </si>
  <si>
    <t>.1~368</t>
  </si>
  <si>
    <t>.1~369</t>
  </si>
  <si>
    <t>.1~370</t>
  </si>
  <si>
    <t>.1~371</t>
  </si>
  <si>
    <t>.1~372</t>
  </si>
  <si>
    <t>.1~373</t>
  </si>
  <si>
    <t>.1~374</t>
  </si>
  <si>
    <t>.1~375</t>
  </si>
  <si>
    <t>.1~376</t>
  </si>
  <si>
    <t>.1~377</t>
  </si>
  <si>
    <t>.1~378</t>
  </si>
  <si>
    <t>.1~379</t>
  </si>
  <si>
    <t>.1~380</t>
  </si>
  <si>
    <t>.1~381</t>
  </si>
  <si>
    <t>.1~382</t>
  </si>
  <si>
    <t>.1~383</t>
  </si>
  <si>
    <t>.1~384</t>
  </si>
  <si>
    <t>.1~385</t>
  </si>
  <si>
    <t>.1~386</t>
  </si>
  <si>
    <t>.1~387</t>
  </si>
  <si>
    <t>.1~388</t>
  </si>
  <si>
    <t>.1~389</t>
  </si>
  <si>
    <t>.1~390</t>
  </si>
  <si>
    <t>.1~391</t>
  </si>
  <si>
    <t>.1~392</t>
  </si>
  <si>
    <t>.1~393</t>
  </si>
  <si>
    <t>.1~394</t>
  </si>
  <si>
    <t>.1~395</t>
  </si>
  <si>
    <t>.1~396</t>
  </si>
  <si>
    <t>.1~397</t>
  </si>
  <si>
    <t>.1~398</t>
  </si>
  <si>
    <t>.1~399</t>
  </si>
  <si>
    <t>.1~400</t>
  </si>
  <si>
    <t>.1~401</t>
  </si>
  <si>
    <t>.1~402</t>
  </si>
  <si>
    <t>.1~403</t>
  </si>
  <si>
    <t>.1~404</t>
  </si>
  <si>
    <t>.1~405</t>
  </si>
  <si>
    <t>.1~406</t>
  </si>
  <si>
    <t>.1~407</t>
  </si>
  <si>
    <t>.1~408</t>
  </si>
  <si>
    <t>.1~409</t>
  </si>
  <si>
    <t>.1~410</t>
  </si>
  <si>
    <t>.1~411</t>
  </si>
  <si>
    <t>.1~412</t>
  </si>
  <si>
    <t>.1~413</t>
  </si>
  <si>
    <t>.1~414</t>
  </si>
  <si>
    <t>.1~415</t>
  </si>
  <si>
    <t>.1~416</t>
  </si>
  <si>
    <t>.1~417</t>
  </si>
  <si>
    <t>.1~418</t>
  </si>
  <si>
    <t>.1~419</t>
  </si>
  <si>
    <t>.1~420</t>
  </si>
  <si>
    <t>.1~421</t>
  </si>
  <si>
    <t>.1~422</t>
  </si>
  <si>
    <t>.1~423</t>
  </si>
  <si>
    <t>.1~424</t>
  </si>
  <si>
    <t>.1~425</t>
  </si>
  <si>
    <t>.1~426</t>
  </si>
  <si>
    <t>.1~427</t>
  </si>
  <si>
    <t>.1~428</t>
  </si>
  <si>
    <t>.1~429</t>
  </si>
  <si>
    <t>.1~430</t>
  </si>
  <si>
    <t>.1~431</t>
  </si>
  <si>
    <t>.1~432</t>
  </si>
  <si>
    <t>.1~433</t>
  </si>
  <si>
    <t>.1~434</t>
  </si>
  <si>
    <t>.1~435</t>
  </si>
  <si>
    <t>.1~436</t>
  </si>
  <si>
    <t>.1~437</t>
  </si>
  <si>
    <t>.1~438</t>
  </si>
  <si>
    <t>.1~439</t>
  </si>
  <si>
    <t>.1~440</t>
  </si>
  <si>
    <t>.1~441</t>
  </si>
  <si>
    <t>.1~442</t>
  </si>
  <si>
    <t>.1~443</t>
  </si>
  <si>
    <t>.1~444</t>
  </si>
  <si>
    <t>.1~445</t>
  </si>
  <si>
    <t>.1~446</t>
  </si>
  <si>
    <t>.1~447</t>
  </si>
  <si>
    <t>.1~448</t>
  </si>
  <si>
    <t>.1~449</t>
  </si>
  <si>
    <t>.1~450</t>
  </si>
  <si>
    <t>.1~451</t>
  </si>
  <si>
    <t>.1~452</t>
  </si>
  <si>
    <t>.1~453</t>
  </si>
  <si>
    <t>.1~454</t>
  </si>
  <si>
    <t>.1~455</t>
  </si>
  <si>
    <t>.1~456</t>
  </si>
  <si>
    <t>.1~457</t>
  </si>
  <si>
    <t>.1~458</t>
  </si>
  <si>
    <t>.1~459</t>
  </si>
  <si>
    <t>.1~460</t>
  </si>
  <si>
    <t>.1~461</t>
  </si>
  <si>
    <t>.1~462</t>
  </si>
  <si>
    <t>.1~463</t>
  </si>
  <si>
    <t>.1~464</t>
  </si>
  <si>
    <t>.1~465</t>
  </si>
  <si>
    <t>.1~466</t>
  </si>
  <si>
    <t>.1~467</t>
  </si>
  <si>
    <t>.1~468</t>
  </si>
  <si>
    <t>.1~469</t>
  </si>
  <si>
    <t>.1~470</t>
  </si>
  <si>
    <t>.1~471</t>
  </si>
  <si>
    <t>.1~472</t>
  </si>
  <si>
    <t>.1~473</t>
  </si>
  <si>
    <t>.1~474</t>
  </si>
  <si>
    <t>.1~475</t>
  </si>
  <si>
    <t>.1~476</t>
  </si>
  <si>
    <t>.1~477</t>
  </si>
  <si>
    <t>.1~478</t>
  </si>
  <si>
    <t>.1~479</t>
  </si>
  <si>
    <t>.1~480</t>
  </si>
  <si>
    <t>.1~481</t>
  </si>
  <si>
    <t>.1~482</t>
  </si>
  <si>
    <t>.1~483</t>
  </si>
  <si>
    <t>.1~484</t>
  </si>
  <si>
    <t>.1~485</t>
  </si>
  <si>
    <t>.1~486</t>
  </si>
  <si>
    <t>.1~487</t>
  </si>
  <si>
    <t>.1~488</t>
  </si>
  <si>
    <t>.1~489</t>
  </si>
  <si>
    <t>.1~490</t>
  </si>
  <si>
    <t>.1~491</t>
  </si>
  <si>
    <t>.1~492</t>
  </si>
  <si>
    <t>.1~493</t>
  </si>
  <si>
    <t>.1~494</t>
  </si>
  <si>
    <t>.1~495</t>
  </si>
  <si>
    <t>.1~496</t>
  </si>
  <si>
    <t>.1~497</t>
  </si>
  <si>
    <t>.1~498</t>
  </si>
  <si>
    <t>.1~499</t>
  </si>
  <si>
    <t>.1~500</t>
  </si>
  <si>
    <t>.1~501</t>
  </si>
  <si>
    <t>.1~502</t>
  </si>
  <si>
    <t>.1~503</t>
  </si>
  <si>
    <t>.1~504</t>
  </si>
  <si>
    <t>.1~505</t>
  </si>
  <si>
    <t>.1~506</t>
  </si>
  <si>
    <t>.1~507</t>
  </si>
  <si>
    <t>.1~508</t>
  </si>
  <si>
    <t>.1~509</t>
  </si>
  <si>
    <t>.1~510</t>
  </si>
  <si>
    <t>.1~511</t>
  </si>
  <si>
    <t>.1~512</t>
  </si>
  <si>
    <t>.1~513</t>
  </si>
  <si>
    <t>.1~514</t>
  </si>
  <si>
    <t>.1~515</t>
  </si>
  <si>
    <t>.1~516</t>
  </si>
  <si>
    <t>.1~517</t>
  </si>
  <si>
    <t>.1~518</t>
  </si>
  <si>
    <t>.1~519</t>
  </si>
  <si>
    <t>.1~520</t>
  </si>
  <si>
    <t>.1~521</t>
  </si>
  <si>
    <t>.1~522</t>
  </si>
  <si>
    <t>.1~523</t>
  </si>
  <si>
    <t>.1~524</t>
  </si>
  <si>
    <t>.1~525</t>
  </si>
  <si>
    <t>.1~526</t>
  </si>
  <si>
    <t>.1~527</t>
  </si>
  <si>
    <t>.1~528</t>
  </si>
  <si>
    <t>.1~529</t>
  </si>
  <si>
    <t>.1~530</t>
  </si>
  <si>
    <t>.1~531</t>
  </si>
  <si>
    <t>.1~532</t>
  </si>
  <si>
    <t>.1~533</t>
  </si>
  <si>
    <t>.1~534</t>
  </si>
  <si>
    <t>.1~535</t>
  </si>
  <si>
    <t>.1~536</t>
  </si>
  <si>
    <t>.1~537</t>
  </si>
  <si>
    <t>.1~538</t>
  </si>
  <si>
    <t>.1~539</t>
  </si>
  <si>
    <t>.1~540</t>
  </si>
  <si>
    <t>.1~541</t>
  </si>
  <si>
    <t>.1~542</t>
  </si>
  <si>
    <t>.1~543</t>
  </si>
  <si>
    <t>.1~544</t>
  </si>
  <si>
    <t>.1~545</t>
  </si>
  <si>
    <t>.1~546</t>
  </si>
  <si>
    <t>.1~547</t>
  </si>
  <si>
    <t>.1~548</t>
  </si>
  <si>
    <t>.1~549</t>
  </si>
  <si>
    <t>.1~550</t>
  </si>
  <si>
    <t>.1~551</t>
  </si>
  <si>
    <t>.1~552</t>
  </si>
  <si>
    <t>.1~553</t>
  </si>
  <si>
    <t>.1~554</t>
  </si>
  <si>
    <t>.1~555</t>
  </si>
  <si>
    <t>.1~556</t>
  </si>
  <si>
    <t>.1~557</t>
  </si>
  <si>
    <t>.1~558</t>
  </si>
  <si>
    <t>.1~559</t>
  </si>
  <si>
    <t>.1~560</t>
  </si>
  <si>
    <t>.1~561</t>
  </si>
  <si>
    <t>.1~562</t>
  </si>
  <si>
    <t>.1~563</t>
  </si>
  <si>
    <t>.1~564</t>
  </si>
  <si>
    <t>.1~565</t>
  </si>
  <si>
    <t>.1~566</t>
  </si>
  <si>
    <t>.1~567</t>
  </si>
  <si>
    <t>.1~568</t>
  </si>
  <si>
    <t>.1~569</t>
  </si>
  <si>
    <t>.1~570</t>
  </si>
  <si>
    <t>.1~571</t>
  </si>
  <si>
    <t>.1~572</t>
  </si>
  <si>
    <t>.1~573</t>
  </si>
  <si>
    <t>.1~574</t>
  </si>
  <si>
    <t>.1~575</t>
  </si>
  <si>
    <t>.1~576</t>
  </si>
  <si>
    <t>.1~577</t>
  </si>
  <si>
    <t>.1~578</t>
  </si>
  <si>
    <t>.1~579</t>
  </si>
  <si>
    <t>.1~580</t>
  </si>
  <si>
    <t>.1~581</t>
  </si>
  <si>
    <t>.1~582</t>
  </si>
  <si>
    <t>.1~583</t>
  </si>
  <si>
    <t>.1~584</t>
  </si>
  <si>
    <t>.1~585</t>
  </si>
  <si>
    <t>.1~586</t>
  </si>
  <si>
    <t>.1~587</t>
  </si>
  <si>
    <t>.1~588</t>
  </si>
  <si>
    <t>.1~589</t>
  </si>
  <si>
    <t>.1~590</t>
  </si>
  <si>
    <t>.1~591</t>
  </si>
  <si>
    <t>.1~592</t>
  </si>
  <si>
    <t>.1~593</t>
  </si>
  <si>
    <t>.1~594</t>
  </si>
  <si>
    <t>.1~595</t>
  </si>
  <si>
    <t>.1~596</t>
  </si>
  <si>
    <t>.1~597</t>
  </si>
  <si>
    <t>.1~598</t>
  </si>
  <si>
    <t>.1~599</t>
  </si>
  <si>
    <t>.1~600</t>
  </si>
  <si>
    <t>.1~601</t>
  </si>
  <si>
    <t>.1~602</t>
  </si>
  <si>
    <t>.1~603</t>
  </si>
  <si>
    <t>.1~604</t>
  </si>
  <si>
    <t>.1~605</t>
  </si>
  <si>
    <t>.1~606</t>
  </si>
  <si>
    <t>.1~607</t>
  </si>
  <si>
    <t>.1~608</t>
  </si>
  <si>
    <t>.1~609</t>
  </si>
  <si>
    <t>.1~610</t>
  </si>
  <si>
    <t>.1~611</t>
  </si>
  <si>
    <t>.1~612</t>
  </si>
  <si>
    <t>.1~613</t>
  </si>
  <si>
    <t>.1~614</t>
  </si>
  <si>
    <t>.1~615</t>
  </si>
  <si>
    <t>.1~616</t>
  </si>
  <si>
    <t>.1~617</t>
  </si>
  <si>
    <t>.1~618</t>
  </si>
  <si>
    <t>.1~619</t>
  </si>
  <si>
    <t>.1~620</t>
  </si>
  <si>
    <t>.1~621</t>
  </si>
  <si>
    <t>.1~622</t>
  </si>
  <si>
    <t>.1~623</t>
  </si>
  <si>
    <t>.1~624</t>
  </si>
  <si>
    <t>.1~625</t>
  </si>
  <si>
    <t>.1~626</t>
  </si>
  <si>
    <t>.1~627</t>
  </si>
  <si>
    <t>.1~628</t>
  </si>
  <si>
    <t>.1~629</t>
  </si>
  <si>
    <t>.1~630</t>
  </si>
  <si>
    <t>.1~631</t>
  </si>
  <si>
    <t>.1~632</t>
  </si>
  <si>
    <t>.1~633</t>
  </si>
  <si>
    <t>.1~634</t>
  </si>
  <si>
    <t>.1~635</t>
  </si>
  <si>
    <t>.1~636</t>
  </si>
  <si>
    <t>.1~637</t>
  </si>
  <si>
    <t>.1~638</t>
  </si>
  <si>
    <t>.1~639</t>
  </si>
  <si>
    <t>.1~640</t>
  </si>
  <si>
    <t>.1~641</t>
  </si>
  <si>
    <t>.1~642</t>
  </si>
  <si>
    <t>.1~643</t>
  </si>
  <si>
    <t>.1~644</t>
  </si>
  <si>
    <t>.1~645</t>
  </si>
  <si>
    <t>.1~646</t>
  </si>
  <si>
    <t>.1~647</t>
  </si>
  <si>
    <t>.1~648</t>
  </si>
  <si>
    <t>.1~649</t>
  </si>
  <si>
    <t>.1~650</t>
  </si>
  <si>
    <t>.1~651</t>
  </si>
  <si>
    <t>.1~652</t>
  </si>
  <si>
    <t>.1~653</t>
  </si>
  <si>
    <t>.1~654</t>
  </si>
  <si>
    <t>.1~655</t>
  </si>
  <si>
    <t>.1~656</t>
  </si>
  <si>
    <t>.1~657</t>
  </si>
  <si>
    <t>.1~658</t>
  </si>
  <si>
    <t>.1~659</t>
  </si>
  <si>
    <t>.1~660</t>
  </si>
  <si>
    <t>.1~661</t>
  </si>
  <si>
    <t>.1~662</t>
  </si>
  <si>
    <t>.1~663</t>
  </si>
  <si>
    <t>.1~664</t>
  </si>
  <si>
    <t>.1~665</t>
  </si>
  <si>
    <t>.1~666</t>
  </si>
  <si>
    <t>.1~667</t>
  </si>
  <si>
    <t>.1~668</t>
  </si>
  <si>
    <t>.1~669</t>
  </si>
  <si>
    <t>.1~670</t>
  </si>
  <si>
    <t>.1~671</t>
  </si>
  <si>
    <t>.1~672</t>
  </si>
  <si>
    <t>.1~673</t>
  </si>
  <si>
    <t>.1~674</t>
  </si>
  <si>
    <t>.1~675</t>
  </si>
  <si>
    <t>.1~676</t>
  </si>
  <si>
    <t>.1~677</t>
  </si>
  <si>
    <t>.1~678</t>
  </si>
  <si>
    <t>.1~679</t>
  </si>
  <si>
    <t>.1~680</t>
  </si>
  <si>
    <t>.1~681</t>
  </si>
  <si>
    <t>.1~682</t>
  </si>
  <si>
    <t>.1~683</t>
  </si>
  <si>
    <t>.1~684</t>
  </si>
  <si>
    <t>.1~685</t>
  </si>
  <si>
    <t>.1~686</t>
  </si>
  <si>
    <t>.1~687</t>
  </si>
  <si>
    <t>.1~688</t>
  </si>
  <si>
    <t>.1~689</t>
  </si>
  <si>
    <t>.1~690</t>
  </si>
  <si>
    <t>.1~691</t>
  </si>
  <si>
    <t>.1~692</t>
  </si>
  <si>
    <t>.1~693</t>
  </si>
  <si>
    <t>.1~694</t>
  </si>
  <si>
    <t>.1~695</t>
  </si>
  <si>
    <t>.1~696</t>
  </si>
  <si>
    <t>.1~697</t>
  </si>
  <si>
    <t>.1~698</t>
  </si>
  <si>
    <t>.1~699</t>
  </si>
  <si>
    <t>.1~700</t>
  </si>
  <si>
    <t>.1~701</t>
  </si>
  <si>
    <t>.1~702</t>
  </si>
  <si>
    <t>.1~703</t>
  </si>
  <si>
    <t>.1~704</t>
  </si>
  <si>
    <t>.1~705</t>
  </si>
  <si>
    <t>.1~706</t>
  </si>
  <si>
    <t>.1~707</t>
  </si>
  <si>
    <t>.1~708</t>
  </si>
  <si>
    <t>.1~709</t>
  </si>
  <si>
    <t>.1~710</t>
  </si>
  <si>
    <t>.1~711</t>
  </si>
  <si>
    <t>.1~712</t>
  </si>
  <si>
    <t>.1~713</t>
  </si>
  <si>
    <t>.1~714</t>
  </si>
  <si>
    <t>.1~715</t>
  </si>
  <si>
    <t>.1~716</t>
  </si>
  <si>
    <t>.1~717</t>
  </si>
  <si>
    <t>.1~718</t>
  </si>
  <si>
    <t>.1~719</t>
  </si>
  <si>
    <t>.1~720</t>
  </si>
  <si>
    <t>.1~721</t>
  </si>
  <si>
    <t>04/01</t>
  </si>
  <si>
    <t>.1~722</t>
  </si>
  <si>
    <t>.1~723</t>
  </si>
  <si>
    <t>.1~724</t>
  </si>
  <si>
    <t>.1~725</t>
  </si>
  <si>
    <t>.1~726</t>
  </si>
  <si>
    <t>.1~727</t>
  </si>
  <si>
    <t>.1~728</t>
  </si>
  <si>
    <t>.1~729</t>
  </si>
  <si>
    <t>.1~730</t>
  </si>
  <si>
    <t>.1~731</t>
  </si>
  <si>
    <t>.1~732</t>
  </si>
  <si>
    <t>.1~733</t>
  </si>
  <si>
    <t>.1~734</t>
  </si>
  <si>
    <t>.1~735</t>
  </si>
  <si>
    <t>.1~736</t>
  </si>
  <si>
    <t>.1~737</t>
  </si>
  <si>
    <t>.1~738</t>
  </si>
  <si>
    <t>.1~739</t>
  </si>
  <si>
    <t>.1~740</t>
  </si>
  <si>
    <t>.1~741</t>
  </si>
  <si>
    <t>.1~742</t>
  </si>
  <si>
    <t>.1~743</t>
  </si>
  <si>
    <t>.1~744</t>
  </si>
  <si>
    <t>AREA</t>
  </si>
  <si>
    <t>AVERAGE_PRICE</t>
  </si>
  <si>
    <t>NET_VALUE</t>
  </si>
  <si>
    <t>Market</t>
  </si>
  <si>
    <t>PURCHASING_ORDER</t>
  </si>
  <si>
    <t>VENDOR</t>
  </si>
  <si>
    <t>UNIT_PRICE</t>
  </si>
  <si>
    <t>STATUS</t>
  </si>
  <si>
    <t>GOODS_RECEIPT_ROUND</t>
  </si>
  <si>
    <t>GOODS_RECEIPT_STEP</t>
  </si>
  <si>
    <t>GOODS_RECEIPT_DATE</t>
  </si>
  <si>
    <t>4500000055</t>
  </si>
  <si>
    <t>Delivered</t>
  </si>
  <si>
    <t>4500000060</t>
  </si>
  <si>
    <t>4500000061</t>
  </si>
  <si>
    <t>4500000065</t>
  </si>
  <si>
    <t>4500000072</t>
  </si>
  <si>
    <t>4500000078</t>
  </si>
  <si>
    <t>4500000082</t>
  </si>
  <si>
    <t>SALES_ORDER_NUMBER</t>
  </si>
  <si>
    <t>LINE_ITEM</t>
  </si>
  <si>
    <t>QUANTITY_DELIVERED</t>
  </si>
  <si>
    <t>NET_PRICE</t>
  </si>
  <si>
    <t>COST</t>
  </si>
  <si>
    <t>1013</t>
  </si>
  <si>
    <t>1</t>
  </si>
  <si>
    <t>1019</t>
  </si>
  <si>
    <t>1023</t>
  </si>
  <si>
    <t>1016</t>
  </si>
  <si>
    <t>1034</t>
  </si>
  <si>
    <t>1031</t>
  </si>
  <si>
    <t>2</t>
  </si>
  <si>
    <t>1040</t>
  </si>
  <si>
    <t>3</t>
  </si>
  <si>
    <t>1037</t>
  </si>
  <si>
    <t>1045</t>
  </si>
  <si>
    <t>4</t>
  </si>
  <si>
    <t>1051</t>
  </si>
  <si>
    <t>1048</t>
  </si>
  <si>
    <t>1062</t>
  </si>
  <si>
    <t>1057</t>
  </si>
  <si>
    <t>1071</t>
  </si>
  <si>
    <t>1067</t>
  </si>
  <si>
    <t>1064</t>
  </si>
  <si>
    <t>1085</t>
  </si>
  <si>
    <t>1081</t>
  </si>
  <si>
    <t>1088</t>
  </si>
  <si>
    <t>1078</t>
  </si>
  <si>
    <t>1093</t>
  </si>
  <si>
    <t>1110</t>
  </si>
  <si>
    <t>1117</t>
  </si>
  <si>
    <t>1114</t>
  </si>
  <si>
    <t>1107</t>
  </si>
  <si>
    <t>1127</t>
  </si>
  <si>
    <t>1124</t>
  </si>
  <si>
    <t>1130</t>
  </si>
  <si>
    <t>1134</t>
  </si>
  <si>
    <t>9</t>
  </si>
  <si>
    <t>1142</t>
  </si>
  <si>
    <t>1138</t>
  </si>
  <si>
    <t>1157</t>
  </si>
  <si>
    <t>1152</t>
  </si>
  <si>
    <t>1165</t>
  </si>
  <si>
    <t>1167</t>
  </si>
  <si>
    <t>1162</t>
  </si>
  <si>
    <t>1147</t>
  </si>
  <si>
    <t>1173</t>
  </si>
  <si>
    <t>1176</t>
  </si>
  <si>
    <t>1186</t>
  </si>
  <si>
    <t>1191</t>
  </si>
  <si>
    <t>1181</t>
  </si>
  <si>
    <t>1207</t>
  </si>
  <si>
    <t>1202</t>
  </si>
  <si>
    <t>1211</t>
  </si>
  <si>
    <t>5</t>
  </si>
  <si>
    <t>6</t>
  </si>
  <si>
    <t>1223</t>
  </si>
  <si>
    <t>1219</t>
  </si>
  <si>
    <t>1241</t>
  </si>
  <si>
    <t>1236</t>
  </si>
  <si>
    <t>1252</t>
  </si>
  <si>
    <t>1255</t>
  </si>
  <si>
    <t>1246</t>
  </si>
  <si>
    <t>1267</t>
  </si>
  <si>
    <t>1272</t>
  </si>
  <si>
    <t>1275</t>
  </si>
  <si>
    <t>7</t>
  </si>
  <si>
    <t>1263</t>
  </si>
  <si>
    <t>1258</t>
  </si>
  <si>
    <t>1283</t>
  </si>
  <si>
    <t>1279</t>
  </si>
  <si>
    <t>1298</t>
  </si>
  <si>
    <t>1293</t>
  </si>
  <si>
    <t>1323</t>
  </si>
  <si>
    <t>1325</t>
  </si>
  <si>
    <t>1318</t>
  </si>
  <si>
    <t>1333</t>
  </si>
  <si>
    <t>1339</t>
  </si>
  <si>
    <t>1349</t>
  </si>
  <si>
    <t>1353</t>
  </si>
  <si>
    <t>1360</t>
  </si>
  <si>
    <t>1361</t>
  </si>
  <si>
    <t>1357</t>
  </si>
  <si>
    <t>1345</t>
  </si>
  <si>
    <t>1364</t>
  </si>
  <si>
    <t>1378</t>
  </si>
  <si>
    <t>1373</t>
  </si>
  <si>
    <t>1369</t>
  </si>
  <si>
    <t>1388</t>
  </si>
  <si>
    <t>1385</t>
  </si>
  <si>
    <t>1394</t>
  </si>
  <si>
    <t>1400</t>
  </si>
  <si>
    <t>1403</t>
  </si>
  <si>
    <t>1408</t>
  </si>
  <si>
    <t>1416</t>
  </si>
  <si>
    <t>1428</t>
  </si>
  <si>
    <t>1424</t>
  </si>
  <si>
    <t>1420</t>
  </si>
  <si>
    <t>1440</t>
  </si>
  <si>
    <t>1444</t>
  </si>
  <si>
    <t>1436</t>
  </si>
  <si>
    <t>1452</t>
  </si>
  <si>
    <t>1460</t>
  </si>
  <si>
    <t>1463</t>
  </si>
  <si>
    <t>1456</t>
  </si>
  <si>
    <t>Row Labels</t>
  </si>
  <si>
    <t>(blank)</t>
  </si>
  <si>
    <t>Grand Total</t>
  </si>
  <si>
    <t>Column Labels</t>
  </si>
  <si>
    <t>Sum of QUANTITY</t>
  </si>
  <si>
    <t>DD-T01 Total</t>
  </si>
  <si>
    <t>DD-T02 Total</t>
  </si>
  <si>
    <t>DD-T03 Total</t>
  </si>
  <si>
    <t>DD-T04 Total</t>
  </si>
  <si>
    <t>DD-T05 Total</t>
  </si>
  <si>
    <t>DD-T06 Total</t>
  </si>
  <si>
    <t>(blank) Total</t>
  </si>
  <si>
    <t>Butter Total</t>
  </si>
  <si>
    <t>Cheese Total</t>
  </si>
  <si>
    <t>Cream Total</t>
  </si>
  <si>
    <t>Ice Cream Total</t>
  </si>
  <si>
    <t>Milk Total</t>
  </si>
  <si>
    <t>Yoghurt Total</t>
  </si>
  <si>
    <t>Sum of INVENTORY_OPENING_BALANCE</t>
  </si>
  <si>
    <t>PRODUCTION_ORDER</t>
  </si>
  <si>
    <t>BEGIN_ROUND</t>
  </si>
  <si>
    <t>BEGIN_STEP</t>
  </si>
  <si>
    <t>END_ROUND</t>
  </si>
  <si>
    <t>END_STEP</t>
  </si>
  <si>
    <t>TARGET_QUANTITY</t>
  </si>
  <si>
    <t>CONFIRMED_QUANTITY</t>
  </si>
  <si>
    <t>SETUP_TIME</t>
  </si>
  <si>
    <t>Sum of BANK_CASH_ACCOUNT</t>
  </si>
  <si>
    <t>Sum of PROFIT</t>
  </si>
  <si>
    <t>Sum of COMPANY_VALUATION</t>
  </si>
  <si>
    <t>1479</t>
  </si>
  <si>
    <t>1486</t>
  </si>
  <si>
    <t>1483</t>
  </si>
  <si>
    <t>1485</t>
  </si>
  <si>
    <t>1471</t>
  </si>
  <si>
    <t>1475</t>
  </si>
  <si>
    <t>.1~745</t>
  </si>
  <si>
    <t>04/02</t>
  </si>
  <si>
    <t>.1~746</t>
  </si>
  <si>
    <t>.1~747</t>
  </si>
  <si>
    <t>.1~748</t>
  </si>
  <si>
    <t>.1~749</t>
  </si>
  <si>
    <t>.1~750</t>
  </si>
  <si>
    <t>.1~751</t>
  </si>
  <si>
    <t>.1~752</t>
  </si>
  <si>
    <t>.1~753</t>
  </si>
  <si>
    <t>.1~754</t>
  </si>
  <si>
    <t>.1~755</t>
  </si>
  <si>
    <t>.1~756</t>
  </si>
  <si>
    <t>.1~757</t>
  </si>
  <si>
    <t>.1~758</t>
  </si>
  <si>
    <t>.1~759</t>
  </si>
  <si>
    <t>.1~760</t>
  </si>
  <si>
    <t>.1~761</t>
  </si>
  <si>
    <t>.1~762</t>
  </si>
  <si>
    <t>.1~763</t>
  </si>
  <si>
    <t>.1~764</t>
  </si>
  <si>
    <t>.1~765</t>
  </si>
  <si>
    <t>.1~766</t>
  </si>
  <si>
    <t>.1~767</t>
  </si>
  <si>
    <t>.1~768</t>
  </si>
  <si>
    <t>1494</t>
  </si>
  <si>
    <t>1498</t>
  </si>
  <si>
    <t>1490</t>
  </si>
  <si>
    <t>1487</t>
  </si>
  <si>
    <t>.1~769</t>
  </si>
  <si>
    <t>04/03</t>
  </si>
  <si>
    <t>.1~770</t>
  </si>
  <si>
    <t>.1~771</t>
  </si>
  <si>
    <t>.1~772</t>
  </si>
  <si>
    <t>.1~773</t>
  </si>
  <si>
    <t>.1~774</t>
  </si>
  <si>
    <t>.1~775</t>
  </si>
  <si>
    <t>.1~776</t>
  </si>
  <si>
    <t>.1~777</t>
  </si>
  <si>
    <t>.1~778</t>
  </si>
  <si>
    <t>.1~779</t>
  </si>
  <si>
    <t>.1~780</t>
  </si>
  <si>
    <t>.1~781</t>
  </si>
  <si>
    <t>.1~782</t>
  </si>
  <si>
    <t>.1~783</t>
  </si>
  <si>
    <t>.1~784</t>
  </si>
  <si>
    <t>.1~785</t>
  </si>
  <si>
    <t>.1~786</t>
  </si>
  <si>
    <t>.1~787</t>
  </si>
  <si>
    <t>.1~788</t>
  </si>
  <si>
    <t>.1~789</t>
  </si>
  <si>
    <t>.1~790</t>
  </si>
  <si>
    <t>.1~791</t>
  </si>
  <si>
    <t>.1~792</t>
  </si>
  <si>
    <t>4500000090</t>
  </si>
  <si>
    <t>1508</t>
  </si>
  <si>
    <t>1512</t>
  </si>
  <si>
    <t>1504</t>
  </si>
  <si>
    <t>.1~793</t>
  </si>
  <si>
    <t>04/04</t>
  </si>
  <si>
    <t>.1~794</t>
  </si>
  <si>
    <t>.1~795</t>
  </si>
  <si>
    <t>.1~796</t>
  </si>
  <si>
    <t>.1~797</t>
  </si>
  <si>
    <t>.1~798</t>
  </si>
  <si>
    <t>.1~799</t>
  </si>
  <si>
    <t>.1~800</t>
  </si>
  <si>
    <t>.1~801</t>
  </si>
  <si>
    <t>.1~802</t>
  </si>
  <si>
    <t>.1~803</t>
  </si>
  <si>
    <t>.1~804</t>
  </si>
  <si>
    <t>.1~805</t>
  </si>
  <si>
    <t>.1~806</t>
  </si>
  <si>
    <t>.1~807</t>
  </si>
  <si>
    <t>.1~808</t>
  </si>
  <si>
    <t>.1~809</t>
  </si>
  <si>
    <t>.1~810</t>
  </si>
  <si>
    <t>.1~811</t>
  </si>
  <si>
    <t>.1~812</t>
  </si>
  <si>
    <t>.1~813</t>
  </si>
  <si>
    <t>.1~814</t>
  </si>
  <si>
    <t>.1~815</t>
  </si>
  <si>
    <t>.1~816</t>
  </si>
  <si>
    <t>1521</t>
  </si>
  <si>
    <t>1528</t>
  </si>
  <si>
    <t>1517</t>
  </si>
  <si>
    <t>1524</t>
  </si>
  <si>
    <t>.1~817</t>
  </si>
  <si>
    <t>04/05</t>
  </si>
  <si>
    <t>.1~818</t>
  </si>
  <si>
    <t>.1~819</t>
  </si>
  <si>
    <t>.1~820</t>
  </si>
  <si>
    <t>.1~821</t>
  </si>
  <si>
    <t>.1~822</t>
  </si>
  <si>
    <t>.1~823</t>
  </si>
  <si>
    <t>.1~824</t>
  </si>
  <si>
    <t>.1~825</t>
  </si>
  <si>
    <t>.1~826</t>
  </si>
  <si>
    <t>.1~827</t>
  </si>
  <si>
    <t>.1~828</t>
  </si>
  <si>
    <t>.1~829</t>
  </si>
  <si>
    <t>.1~830</t>
  </si>
  <si>
    <t>.1~831</t>
  </si>
  <si>
    <t>.1~832</t>
  </si>
  <si>
    <t>.1~833</t>
  </si>
  <si>
    <t>.1~834</t>
  </si>
  <si>
    <t>.1~835</t>
  </si>
  <si>
    <t>.1~836</t>
  </si>
  <si>
    <t>.1~837</t>
  </si>
  <si>
    <t>.1~838</t>
  </si>
  <si>
    <t>.1~839</t>
  </si>
  <si>
    <t>.1~840</t>
  </si>
  <si>
    <t>1536</t>
  </si>
  <si>
    <t>1544</t>
  </si>
  <si>
    <t>1546</t>
  </si>
  <si>
    <t>1547</t>
  </si>
  <si>
    <t>1540</t>
  </si>
  <si>
    <t>.1~841</t>
  </si>
  <si>
    <t>04/06</t>
  </si>
  <si>
    <t>.1~842</t>
  </si>
  <si>
    <t>.1~843</t>
  </si>
  <si>
    <t>.1~844</t>
  </si>
  <si>
    <t>.1~845</t>
  </si>
  <si>
    <t>.1~846</t>
  </si>
  <si>
    <t>.1~847</t>
  </si>
  <si>
    <t>.1~848</t>
  </si>
  <si>
    <t>.1~849</t>
  </si>
  <si>
    <t>.1~850</t>
  </si>
  <si>
    <t>.1~851</t>
  </si>
  <si>
    <t>.1~852</t>
  </si>
  <si>
    <t>.1~853</t>
  </si>
  <si>
    <t>.1~854</t>
  </si>
  <si>
    <t>.1~855</t>
  </si>
  <si>
    <t>.1~856</t>
  </si>
  <si>
    <t>.1~857</t>
  </si>
  <si>
    <t>.1~858</t>
  </si>
  <si>
    <t>.1~859</t>
  </si>
  <si>
    <t>.1~860</t>
  </si>
  <si>
    <t>.1~861</t>
  </si>
  <si>
    <t>.1~862</t>
  </si>
  <si>
    <t>.1~863</t>
  </si>
  <si>
    <t>.1~864</t>
  </si>
  <si>
    <t>purchase order</t>
  </si>
  <si>
    <t>1555</t>
  </si>
  <si>
    <t>1551</t>
  </si>
  <si>
    <t>1560</t>
  </si>
  <si>
    <t>1558</t>
  </si>
  <si>
    <t>.1~865</t>
  </si>
  <si>
    <t>04/07</t>
  </si>
  <si>
    <t>.1~866</t>
  </si>
  <si>
    <t>.1~867</t>
  </si>
  <si>
    <t>.1~868</t>
  </si>
  <si>
    <t>.1~869</t>
  </si>
  <si>
    <t>.1~870</t>
  </si>
  <si>
    <t>.1~871</t>
  </si>
  <si>
    <t>.1~872</t>
  </si>
  <si>
    <t>.1~873</t>
  </si>
  <si>
    <t>.1~874</t>
  </si>
  <si>
    <t>.1~875</t>
  </si>
  <si>
    <t>.1~876</t>
  </si>
  <si>
    <t>.1~877</t>
  </si>
  <si>
    <t>.1~878</t>
  </si>
  <si>
    <t>.1~879</t>
  </si>
  <si>
    <t>.1~880</t>
  </si>
  <si>
    <t>.1~881</t>
  </si>
  <si>
    <t>.1~882</t>
  </si>
  <si>
    <t>.1~883</t>
  </si>
  <si>
    <t>.1~884</t>
  </si>
  <si>
    <t>.1~885</t>
  </si>
  <si>
    <t>.1~886</t>
  </si>
  <si>
    <t>.1~887</t>
  </si>
  <si>
    <t>.1~888</t>
  </si>
  <si>
    <t>1568</t>
  </si>
  <si>
    <t>1563</t>
  </si>
  <si>
    <t>1576</t>
  </si>
  <si>
    <t>1574</t>
  </si>
  <si>
    <t>1572</t>
  </si>
  <si>
    <t>.1~889</t>
  </si>
  <si>
    <t>04/08</t>
  </si>
  <si>
    <t>.1~890</t>
  </si>
  <si>
    <t>.1~891</t>
  </si>
  <si>
    <t>.1~892</t>
  </si>
  <si>
    <t>.1~893</t>
  </si>
  <si>
    <t>.1~894</t>
  </si>
  <si>
    <t>.1~895</t>
  </si>
  <si>
    <t>.1~896</t>
  </si>
  <si>
    <t>.1~897</t>
  </si>
  <si>
    <t>.1~898</t>
  </si>
  <si>
    <t>.1~899</t>
  </si>
  <si>
    <t>.1~900</t>
  </si>
  <si>
    <t>.1~901</t>
  </si>
  <si>
    <t>.1~902</t>
  </si>
  <si>
    <t>.1~903</t>
  </si>
  <si>
    <t>.1~904</t>
  </si>
  <si>
    <t>.1~905</t>
  </si>
  <si>
    <t>.1~906</t>
  </si>
  <si>
    <t>.1~907</t>
  </si>
  <si>
    <t>.1~908</t>
  </si>
  <si>
    <t>.1~909</t>
  </si>
  <si>
    <t>.1~910</t>
  </si>
  <si>
    <t>.1~911</t>
  </si>
  <si>
    <t>.1~912</t>
  </si>
  <si>
    <t>4500000093</t>
  </si>
  <si>
    <t>04/09</t>
  </si>
  <si>
    <t>1579</t>
  </si>
  <si>
    <t>1590</t>
  </si>
  <si>
    <t>1586</t>
  </si>
  <si>
    <t>1582</t>
  </si>
  <si>
    <t>.1~913</t>
  </si>
  <si>
    <t>.1~914</t>
  </si>
  <si>
    <t>.1~915</t>
  </si>
  <si>
    <t>.1~916</t>
  </si>
  <si>
    <t>.1~917</t>
  </si>
  <si>
    <t>.1~918</t>
  </si>
  <si>
    <t>.1~919</t>
  </si>
  <si>
    <t>.1~920</t>
  </si>
  <si>
    <t>.1~921</t>
  </si>
  <si>
    <t>.1~922</t>
  </si>
  <si>
    <t>.1~923</t>
  </si>
  <si>
    <t>.1~924</t>
  </si>
  <si>
    <t>.1~925</t>
  </si>
  <si>
    <t>.1~926</t>
  </si>
  <si>
    <t>.1~927</t>
  </si>
  <si>
    <t>.1~928</t>
  </si>
  <si>
    <t>.1~929</t>
  </si>
  <si>
    <t>.1~930</t>
  </si>
  <si>
    <t>.1~931</t>
  </si>
  <si>
    <t>.1~932</t>
  </si>
  <si>
    <t>.1~933</t>
  </si>
  <si>
    <t>.1~934</t>
  </si>
  <si>
    <t>.1~935</t>
  </si>
  <si>
    <t>.1~936</t>
  </si>
  <si>
    <t>1600</t>
  </si>
  <si>
    <t>1601</t>
  </si>
  <si>
    <t>1602</t>
  </si>
  <si>
    <t>1598</t>
  </si>
  <si>
    <t>.1~937</t>
  </si>
  <si>
    <t>04/10</t>
  </si>
  <si>
    <t>.1~938</t>
  </si>
  <si>
    <t>.1~939</t>
  </si>
  <si>
    <t>.1~940</t>
  </si>
  <si>
    <t>.1~941</t>
  </si>
  <si>
    <t>.1~942</t>
  </si>
  <si>
    <t>.1~943</t>
  </si>
  <si>
    <t>.1~944</t>
  </si>
  <si>
    <t>.1~945</t>
  </si>
  <si>
    <t>.1~946</t>
  </si>
  <si>
    <t>.1~947</t>
  </si>
  <si>
    <t>.1~948</t>
  </si>
  <si>
    <t>.1~949</t>
  </si>
  <si>
    <t>.1~950</t>
  </si>
  <si>
    <t>.1~951</t>
  </si>
  <si>
    <t>.1~952</t>
  </si>
  <si>
    <t>.1~953</t>
  </si>
  <si>
    <t>.1~954</t>
  </si>
  <si>
    <t>.1~955</t>
  </si>
  <si>
    <t>.1~956</t>
  </si>
  <si>
    <t>.1~957</t>
  </si>
  <si>
    <t>.1~958</t>
  </si>
  <si>
    <t>.1~959</t>
  </si>
  <si>
    <t>.1~960</t>
  </si>
  <si>
    <t>05/01</t>
  </si>
  <si>
    <t>05/02</t>
  </si>
  <si>
    <t>1611</t>
  </si>
  <si>
    <t>1605</t>
  </si>
  <si>
    <t>1608</t>
  </si>
  <si>
    <t>1630</t>
  </si>
  <si>
    <t>1619</t>
  </si>
  <si>
    <t>1622</t>
  </si>
  <si>
    <t>1626</t>
  </si>
  <si>
    <t>1643</t>
  </si>
  <si>
    <t>1640</t>
  </si>
  <si>
    <t>1637</t>
  </si>
  <si>
    <t>1633</t>
  </si>
  <si>
    <t>.1~961</t>
  </si>
  <si>
    <t>.1~962</t>
  </si>
  <si>
    <t>.1~963</t>
  </si>
  <si>
    <t>.1~964</t>
  </si>
  <si>
    <t>.1~965</t>
  </si>
  <si>
    <t>.1~966</t>
  </si>
  <si>
    <t>.1~967</t>
  </si>
  <si>
    <t>.1~968</t>
  </si>
  <si>
    <t>.1~969</t>
  </si>
  <si>
    <t>.1~970</t>
  </si>
  <si>
    <t>.1~971</t>
  </si>
  <si>
    <t>.1~972</t>
  </si>
  <si>
    <t>.1~973</t>
  </si>
  <si>
    <t>.1~974</t>
  </si>
  <si>
    <t>.1~975</t>
  </si>
  <si>
    <t>.1~976</t>
  </si>
  <si>
    <t>.1~977</t>
  </si>
  <si>
    <t>.1~978</t>
  </si>
  <si>
    <t>.1~979</t>
  </si>
  <si>
    <t>.1~980</t>
  </si>
  <si>
    <t>.1~981</t>
  </si>
  <si>
    <t>.1~982</t>
  </si>
  <si>
    <t>.1~983</t>
  </si>
  <si>
    <t>.1~984</t>
  </si>
  <si>
    <t>.1~985</t>
  </si>
  <si>
    <t>.1~986</t>
  </si>
  <si>
    <t>.1~987</t>
  </si>
  <si>
    <t>.1~988</t>
  </si>
  <si>
    <t>.1~989</t>
  </si>
  <si>
    <t>.1~990</t>
  </si>
  <si>
    <t>.1~991</t>
  </si>
  <si>
    <t>.1~992</t>
  </si>
  <si>
    <t>.1~993</t>
  </si>
  <si>
    <t>.1~994</t>
  </si>
  <si>
    <t>.1~995</t>
  </si>
  <si>
    <t>.1~996</t>
  </si>
  <si>
    <t>.1~997</t>
  </si>
  <si>
    <t>.1~998</t>
  </si>
  <si>
    <t>.1~999</t>
  </si>
  <si>
    <t>.1~1000</t>
  </si>
  <si>
    <t>.1~1001</t>
  </si>
  <si>
    <t>.1~1002</t>
  </si>
  <si>
    <t>.1~1003</t>
  </si>
  <si>
    <t>.1~1004</t>
  </si>
  <si>
    <t>.1~1005</t>
  </si>
  <si>
    <t>.1~1006</t>
  </si>
  <si>
    <t>.1~1007</t>
  </si>
  <si>
    <t>.1~1008</t>
  </si>
  <si>
    <t>.1~1009</t>
  </si>
  <si>
    <t>05/03</t>
  </si>
  <si>
    <t>.1~1010</t>
  </si>
  <si>
    <t>.1~1011</t>
  </si>
  <si>
    <t>.1~1012</t>
  </si>
  <si>
    <t>.1~1013</t>
  </si>
  <si>
    <t>.1~1014</t>
  </si>
  <si>
    <t>.1~1015</t>
  </si>
  <si>
    <t>.1~1016</t>
  </si>
  <si>
    <t>.1~1017</t>
  </si>
  <si>
    <t>.1~1018</t>
  </si>
  <si>
    <t>.1~1019</t>
  </si>
  <si>
    <t>.1~1020</t>
  </si>
  <si>
    <t>.1~1021</t>
  </si>
  <si>
    <t>.1~1022</t>
  </si>
  <si>
    <t>.1~1023</t>
  </si>
  <si>
    <t>.1~1024</t>
  </si>
  <si>
    <t>.1~1025</t>
  </si>
  <si>
    <t>.1~1026</t>
  </si>
  <si>
    <t>.1~1027</t>
  </si>
  <si>
    <t>.1~1028</t>
  </si>
  <si>
    <t>.1~1029</t>
  </si>
  <si>
    <t>.1~1030</t>
  </si>
  <si>
    <t>.1~1031</t>
  </si>
  <si>
    <t>.1~1032</t>
  </si>
  <si>
    <t>Rate Profit</t>
  </si>
  <si>
    <t>1651</t>
  </si>
  <si>
    <t>8</t>
  </si>
  <si>
    <t>1659</t>
  </si>
  <si>
    <t>1657</t>
  </si>
  <si>
    <t>1654</t>
  </si>
  <si>
    <t>.1~1033</t>
  </si>
  <si>
    <t>05/04</t>
  </si>
  <si>
    <t>.1~1034</t>
  </si>
  <si>
    <t>.1~1035</t>
  </si>
  <si>
    <t>.1~1036</t>
  </si>
  <si>
    <t>.1~1037</t>
  </si>
  <si>
    <t>.1~1038</t>
  </si>
  <si>
    <t>.1~1039</t>
  </si>
  <si>
    <t>.1~1040</t>
  </si>
  <si>
    <t>.1~1041</t>
  </si>
  <si>
    <t>.1~1042</t>
  </si>
  <si>
    <t>.1~1043</t>
  </si>
  <si>
    <t>.1~1044</t>
  </si>
  <si>
    <t>.1~1045</t>
  </si>
  <si>
    <t>.1~1046</t>
  </si>
  <si>
    <t>.1~1047</t>
  </si>
  <si>
    <t>.1~1048</t>
  </si>
  <si>
    <t>.1~1049</t>
  </si>
  <si>
    <t>.1~1050</t>
  </si>
  <si>
    <t>.1~1051</t>
  </si>
  <si>
    <t>.1~1052</t>
  </si>
  <si>
    <t>.1~1053</t>
  </si>
  <si>
    <t>.1~1054</t>
  </si>
  <si>
    <t>.1~1055</t>
  </si>
  <si>
    <t>.1~1056</t>
  </si>
  <si>
    <t>Sum of NET_VALUE</t>
  </si>
  <si>
    <t>Sum of COST</t>
  </si>
  <si>
    <t>Total Sum of COST</t>
  </si>
  <si>
    <t>Total Sum of NET_VALUE</t>
  </si>
  <si>
    <t>05/05</t>
  </si>
  <si>
    <t>05/06</t>
  </si>
  <si>
    <t>05/07</t>
  </si>
  <si>
    <t>05/08</t>
  </si>
  <si>
    <t>1670</t>
  </si>
  <si>
    <t>1666</t>
  </si>
  <si>
    <t>1663</t>
  </si>
  <si>
    <t>1673</t>
  </si>
  <si>
    <t>1683</t>
  </si>
  <si>
    <t>1675</t>
  </si>
  <si>
    <t>1686</t>
  </si>
  <si>
    <t>1678</t>
  </si>
  <si>
    <t>1690</t>
  </si>
  <si>
    <t>1694</t>
  </si>
  <si>
    <t>1700</t>
  </si>
  <si>
    <t>1697</t>
  </si>
  <si>
    <t>1704</t>
  </si>
  <si>
    <t>1712</t>
  </si>
  <si>
    <t>1708</t>
  </si>
  <si>
    <t>1720</t>
  </si>
  <si>
    <t>1718</t>
  </si>
  <si>
    <t>1733</t>
  </si>
  <si>
    <t>1730</t>
  </si>
  <si>
    <t>1723</t>
  </si>
  <si>
    <t>1727</t>
  </si>
  <si>
    <t>.1~1057</t>
  </si>
  <si>
    <t>.1~1058</t>
  </si>
  <si>
    <t>.1~1059</t>
  </si>
  <si>
    <t>.1~1060</t>
  </si>
  <si>
    <t>.1~1061</t>
  </si>
  <si>
    <t>.1~1062</t>
  </si>
  <si>
    <t>.1~1063</t>
  </si>
  <si>
    <t>.1~1064</t>
  </si>
  <si>
    <t>.1~1065</t>
  </si>
  <si>
    <t>.1~1066</t>
  </si>
  <si>
    <t>.1~1067</t>
  </si>
  <si>
    <t>.1~1068</t>
  </si>
  <si>
    <t>.1~1069</t>
  </si>
  <si>
    <t>.1~1070</t>
  </si>
  <si>
    <t>.1~1071</t>
  </si>
  <si>
    <t>.1~1072</t>
  </si>
  <si>
    <t>.1~1073</t>
  </si>
  <si>
    <t>.1~1074</t>
  </si>
  <si>
    <t>.1~1075</t>
  </si>
  <si>
    <t>.1~1076</t>
  </si>
  <si>
    <t>.1~1077</t>
  </si>
  <si>
    <t>.1~1078</t>
  </si>
  <si>
    <t>.1~1079</t>
  </si>
  <si>
    <t>.1~1080</t>
  </si>
  <si>
    <t>.1~1081</t>
  </si>
  <si>
    <t>.1~1082</t>
  </si>
  <si>
    <t>.1~1083</t>
  </si>
  <si>
    <t>.1~1084</t>
  </si>
  <si>
    <t>.1~1085</t>
  </si>
  <si>
    <t>.1~1086</t>
  </si>
  <si>
    <t>.1~1087</t>
  </si>
  <si>
    <t>.1~1088</t>
  </si>
  <si>
    <t>.1~1089</t>
  </si>
  <si>
    <t>.1~1090</t>
  </si>
  <si>
    <t>.1~1091</t>
  </si>
  <si>
    <t>.1~1092</t>
  </si>
  <si>
    <t>.1~1093</t>
  </si>
  <si>
    <t>.1~1094</t>
  </si>
  <si>
    <t>.1~1095</t>
  </si>
  <si>
    <t>.1~1096</t>
  </si>
  <si>
    <t>.1~1097</t>
  </si>
  <si>
    <t>.1~1098</t>
  </si>
  <si>
    <t>.1~1099</t>
  </si>
  <si>
    <t>.1~1100</t>
  </si>
  <si>
    <t>.1~1101</t>
  </si>
  <si>
    <t>.1~1102</t>
  </si>
  <si>
    <t>.1~1103</t>
  </si>
  <si>
    <t>.1~1104</t>
  </si>
  <si>
    <t>.1~1105</t>
  </si>
  <si>
    <t>.1~1106</t>
  </si>
  <si>
    <t>.1~1107</t>
  </si>
  <si>
    <t>.1~1108</t>
  </si>
  <si>
    <t>.1~1109</t>
  </si>
  <si>
    <t>.1~1110</t>
  </si>
  <si>
    <t>.1~1111</t>
  </si>
  <si>
    <t>.1~1112</t>
  </si>
  <si>
    <t>.1~1113</t>
  </si>
  <si>
    <t>.1~1114</t>
  </si>
  <si>
    <t>.1~1115</t>
  </si>
  <si>
    <t>.1~1116</t>
  </si>
  <si>
    <t>.1~1117</t>
  </si>
  <si>
    <t>.1~1118</t>
  </si>
  <si>
    <t>.1~1119</t>
  </si>
  <si>
    <t>.1~1120</t>
  </si>
  <si>
    <t>.1~1121</t>
  </si>
  <si>
    <t>.1~1122</t>
  </si>
  <si>
    <t>.1~1123</t>
  </si>
  <si>
    <t>.1~1124</t>
  </si>
  <si>
    <t>.1~1125</t>
  </si>
  <si>
    <t>.1~1126</t>
  </si>
  <si>
    <t>.1~1127</t>
  </si>
  <si>
    <t>.1~1128</t>
  </si>
  <si>
    <t>.1~1129</t>
  </si>
  <si>
    <t>.1~1130</t>
  </si>
  <si>
    <t>.1~1131</t>
  </si>
  <si>
    <t>.1~1132</t>
  </si>
  <si>
    <t>.1~1133</t>
  </si>
  <si>
    <t>.1~1134</t>
  </si>
  <si>
    <t>.1~1135</t>
  </si>
  <si>
    <t>.1~1136</t>
  </si>
  <si>
    <t>.1~1137</t>
  </si>
  <si>
    <t>.1~1138</t>
  </si>
  <si>
    <t>.1~1139</t>
  </si>
  <si>
    <t>.1~1140</t>
  </si>
  <si>
    <t>.1~1141</t>
  </si>
  <si>
    <t>.1~1142</t>
  </si>
  <si>
    <t>.1~1143</t>
  </si>
  <si>
    <t>.1~1144</t>
  </si>
  <si>
    <t>.1~1145</t>
  </si>
  <si>
    <t>.1~1146</t>
  </si>
  <si>
    <t>.1~1147</t>
  </si>
  <si>
    <t>.1~1148</t>
  </si>
  <si>
    <t>.1~1149</t>
  </si>
  <si>
    <t>.1~1150</t>
  </si>
  <si>
    <t>.1~1151</t>
  </si>
  <si>
    <t>.1~1152</t>
  </si>
  <si>
    <t>.1~1153</t>
  </si>
  <si>
    <t>05/09</t>
  </si>
  <si>
    <t>.1~1154</t>
  </si>
  <si>
    <t>.1~1155</t>
  </si>
  <si>
    <t>.1~1156</t>
  </si>
  <si>
    <t>.1~1157</t>
  </si>
  <si>
    <t>.1~1158</t>
  </si>
  <si>
    <t>.1~1159</t>
  </si>
  <si>
    <t>.1~1160</t>
  </si>
  <si>
    <t>.1~1161</t>
  </si>
  <si>
    <t>.1~1162</t>
  </si>
  <si>
    <t>.1~1163</t>
  </si>
  <si>
    <t>.1~1164</t>
  </si>
  <si>
    <t>.1~1165</t>
  </si>
  <si>
    <t>.1~1166</t>
  </si>
  <si>
    <t>.1~1167</t>
  </si>
  <si>
    <t>.1~1168</t>
  </si>
  <si>
    <t>.1~1169</t>
  </si>
  <si>
    <t>.1~1170</t>
  </si>
  <si>
    <t>.1~1171</t>
  </si>
  <si>
    <t>.1~1172</t>
  </si>
  <si>
    <t>.1~1173</t>
  </si>
  <si>
    <t>.1~1174</t>
  </si>
  <si>
    <t>.1~1175</t>
  </si>
  <si>
    <t>.1~1176</t>
  </si>
  <si>
    <t>4500000098</t>
  </si>
  <si>
    <t>1745</t>
  </si>
  <si>
    <t>1741</t>
  </si>
  <si>
    <t>1750</t>
  </si>
  <si>
    <t>1737</t>
  </si>
  <si>
    <t>.1~1177</t>
  </si>
  <si>
    <t>05/10</t>
  </si>
  <si>
    <t>.1~1178</t>
  </si>
  <si>
    <t>.1~1179</t>
  </si>
  <si>
    <t>.1~1180</t>
  </si>
  <si>
    <t>.1~1181</t>
  </si>
  <si>
    <t>.1~1182</t>
  </si>
  <si>
    <t>.1~1183</t>
  </si>
  <si>
    <t>.1~1184</t>
  </si>
  <si>
    <t>.1~1185</t>
  </si>
  <si>
    <t>.1~1186</t>
  </si>
  <si>
    <t>.1~1187</t>
  </si>
  <si>
    <t>.1~1188</t>
  </si>
  <si>
    <t>.1~1189</t>
  </si>
  <si>
    <t>.1~1190</t>
  </si>
  <si>
    <t>.1~1191</t>
  </si>
  <si>
    <t>.1~1192</t>
  </si>
  <si>
    <t>.1~1193</t>
  </si>
  <si>
    <t>.1~1194</t>
  </si>
  <si>
    <t>.1~1195</t>
  </si>
  <si>
    <t>.1~1196</t>
  </si>
  <si>
    <t>.1~1197</t>
  </si>
  <si>
    <t>.1~1198</t>
  </si>
  <si>
    <t>.1~1199</t>
  </si>
  <si>
    <t>.1~1200</t>
  </si>
  <si>
    <t>1759</t>
  </si>
  <si>
    <t>1764</t>
  </si>
  <si>
    <t>1766</t>
  </si>
  <si>
    <t>1755</t>
  </si>
  <si>
    <t>.1~1201</t>
  </si>
  <si>
    <t>06/01</t>
  </si>
  <si>
    <t>.1~1202</t>
  </si>
  <si>
    <t>.1~1203</t>
  </si>
  <si>
    <t>.1~1204</t>
  </si>
  <si>
    <t>.1~1205</t>
  </si>
  <si>
    <t>.1~1206</t>
  </si>
  <si>
    <t>.1~1207</t>
  </si>
  <si>
    <t>.1~1208</t>
  </si>
  <si>
    <t>.1~1209</t>
  </si>
  <si>
    <t>.1~1210</t>
  </si>
  <si>
    <t>.1~1211</t>
  </si>
  <si>
    <t>.1~1212</t>
  </si>
  <si>
    <t>.1~1213</t>
  </si>
  <si>
    <t>.1~1214</t>
  </si>
  <si>
    <t>.1~1215</t>
  </si>
  <si>
    <t>.1~1216</t>
  </si>
  <si>
    <t>.1~1217</t>
  </si>
  <si>
    <t>.1~1218</t>
  </si>
  <si>
    <t>.1~1219</t>
  </si>
  <si>
    <t>.1~1220</t>
  </si>
  <si>
    <t>.1~1221</t>
  </si>
  <si>
    <t>.1~1222</t>
  </si>
  <si>
    <t>.1~1223</t>
  </si>
  <si>
    <t>.1~1224</t>
  </si>
  <si>
    <t>4500000102</t>
  </si>
  <si>
    <t>06/02</t>
  </si>
  <si>
    <t>1770</t>
  </si>
  <si>
    <t>1780</t>
  </si>
  <si>
    <t>1774</t>
  </si>
  <si>
    <t>1777</t>
  </si>
  <si>
    <t>.1~1225</t>
  </si>
  <si>
    <t>.1~1226</t>
  </si>
  <si>
    <t>.1~1227</t>
  </si>
  <si>
    <t>.1~1228</t>
  </si>
  <si>
    <t>.1~1229</t>
  </si>
  <si>
    <t>.1~1230</t>
  </si>
  <si>
    <t>.1~1231</t>
  </si>
  <si>
    <t>.1~1232</t>
  </si>
  <si>
    <t>.1~1233</t>
  </si>
  <si>
    <t>.1~1234</t>
  </si>
  <si>
    <t>.1~1235</t>
  </si>
  <si>
    <t>.1~1236</t>
  </si>
  <si>
    <t>.1~1237</t>
  </si>
  <si>
    <t>.1~1238</t>
  </si>
  <si>
    <t>.1~1239</t>
  </si>
  <si>
    <t>.1~1240</t>
  </si>
  <si>
    <t>.1~1241</t>
  </si>
  <si>
    <t>.1~1242</t>
  </si>
  <si>
    <t>.1~1243</t>
  </si>
  <si>
    <t>.1~1244</t>
  </si>
  <si>
    <t>.1~1245</t>
  </si>
  <si>
    <t>.1~1246</t>
  </si>
  <si>
    <t>.1~1247</t>
  </si>
  <si>
    <t>.1~1248</t>
  </si>
  <si>
    <t>1793</t>
  </si>
  <si>
    <t>1798</t>
  </si>
  <si>
    <t>1791</t>
  </si>
  <si>
    <t>1796</t>
  </si>
  <si>
    <t>1787</t>
  </si>
  <si>
    <t>.1~1249</t>
  </si>
  <si>
    <t>06/03</t>
  </si>
  <si>
    <t>.1~1250</t>
  </si>
  <si>
    <t>.1~1251</t>
  </si>
  <si>
    <t>.1~1252</t>
  </si>
  <si>
    <t>.1~1253</t>
  </si>
  <si>
    <t>.1~1254</t>
  </si>
  <si>
    <t>.1~1255</t>
  </si>
  <si>
    <t>.1~1256</t>
  </si>
  <si>
    <t>.1~1257</t>
  </si>
  <si>
    <t>.1~1258</t>
  </si>
  <si>
    <t>.1~1259</t>
  </si>
  <si>
    <t>.1~1260</t>
  </si>
  <si>
    <t>.1~1261</t>
  </si>
  <si>
    <t>.1~1262</t>
  </si>
  <si>
    <t>.1~1263</t>
  </si>
  <si>
    <t>.1~1264</t>
  </si>
  <si>
    <t>.1~1265</t>
  </si>
  <si>
    <t>.1~1266</t>
  </si>
  <si>
    <t>.1~1267</t>
  </si>
  <si>
    <t>.1~1268</t>
  </si>
  <si>
    <t>.1~1269</t>
  </si>
  <si>
    <t>.1~1270</t>
  </si>
  <si>
    <t>.1~1271</t>
  </si>
  <si>
    <t>.1~1272</t>
  </si>
  <si>
    <t>1805</t>
  </si>
  <si>
    <t>1808</t>
  </si>
  <si>
    <t>1801</t>
  </si>
  <si>
    <t>.1~1273</t>
  </si>
  <si>
    <t>06/04</t>
  </si>
  <si>
    <t>.1~1274</t>
  </si>
  <si>
    <t>.1~1275</t>
  </si>
  <si>
    <t>.1~1276</t>
  </si>
  <si>
    <t>.1~1277</t>
  </si>
  <si>
    <t>.1~1278</t>
  </si>
  <si>
    <t>.1~1279</t>
  </si>
  <si>
    <t>.1~1280</t>
  </si>
  <si>
    <t>.1~1281</t>
  </si>
  <si>
    <t>.1~1282</t>
  </si>
  <si>
    <t>.1~1283</t>
  </si>
  <si>
    <t>.1~1284</t>
  </si>
  <si>
    <t>.1~1285</t>
  </si>
  <si>
    <t>.1~1286</t>
  </si>
  <si>
    <t>.1~1287</t>
  </si>
  <si>
    <t>.1~1288</t>
  </si>
  <si>
    <t>.1~1289</t>
  </si>
  <si>
    <t>.1~1290</t>
  </si>
  <si>
    <t>.1~1291</t>
  </si>
  <si>
    <t>.1~1292</t>
  </si>
  <si>
    <t>.1~1293</t>
  </si>
  <si>
    <t>.1~1294</t>
  </si>
  <si>
    <t>.1~1295</t>
  </si>
  <si>
    <t>.1~1296</t>
  </si>
  <si>
    <t>1819</t>
  </si>
  <si>
    <t>1815</t>
  </si>
  <si>
    <t>1828</t>
  </si>
  <si>
    <t>1811</t>
  </si>
  <si>
    <t>1824</t>
  </si>
  <si>
    <t>.1~1297</t>
  </si>
  <si>
    <t>06/05</t>
  </si>
  <si>
    <t>.1~1298</t>
  </si>
  <si>
    <t>.1~1299</t>
  </si>
  <si>
    <t>.1~1300</t>
  </si>
  <si>
    <t>.1~1301</t>
  </si>
  <si>
    <t>.1~1302</t>
  </si>
  <si>
    <t>.1~1303</t>
  </si>
  <si>
    <t>.1~1304</t>
  </si>
  <si>
    <t>.1~1305</t>
  </si>
  <si>
    <t>.1~1306</t>
  </si>
  <si>
    <t>.1~1307</t>
  </si>
  <si>
    <t>.1~1308</t>
  </si>
  <si>
    <t>.1~1309</t>
  </si>
  <si>
    <t>.1~1310</t>
  </si>
  <si>
    <t>.1~1311</t>
  </si>
  <si>
    <t>.1~1312</t>
  </si>
  <si>
    <t>.1~1313</t>
  </si>
  <si>
    <t>.1~1314</t>
  </si>
  <si>
    <t>.1~1315</t>
  </si>
  <si>
    <t>.1~1316</t>
  </si>
  <si>
    <t>.1~1317</t>
  </si>
  <si>
    <t>.1~1318</t>
  </si>
  <si>
    <t>.1~1319</t>
  </si>
  <si>
    <t>.1~1320</t>
  </si>
  <si>
    <t>4500000104</t>
  </si>
  <si>
    <t>06/06</t>
  </si>
  <si>
    <t>1838</t>
  </si>
  <si>
    <t>1829</t>
  </si>
  <si>
    <t>1842</t>
  </si>
  <si>
    <t>1846</t>
  </si>
  <si>
    <t>1833</t>
  </si>
  <si>
    <t>1854</t>
  </si>
  <si>
    <t>1858</t>
  </si>
  <si>
    <t>1866</t>
  </si>
  <si>
    <t>1862</t>
  </si>
  <si>
    <t>1865</t>
  </si>
  <si>
    <t>.1~1321</t>
  </si>
  <si>
    <t>.1~1322</t>
  </si>
  <si>
    <t>.1~1323</t>
  </si>
  <si>
    <t>.1~1324</t>
  </si>
  <si>
    <t>.1~1325</t>
  </si>
  <si>
    <t>.1~1326</t>
  </si>
  <si>
    <t>.1~1327</t>
  </si>
  <si>
    <t>.1~1328</t>
  </si>
  <si>
    <t>.1~1329</t>
  </si>
  <si>
    <t>.1~1330</t>
  </si>
  <si>
    <t>.1~1331</t>
  </si>
  <si>
    <t>.1~1332</t>
  </si>
  <si>
    <t>.1~1333</t>
  </si>
  <si>
    <t>.1~1334</t>
  </si>
  <si>
    <t>.1~1335</t>
  </si>
  <si>
    <t>.1~1336</t>
  </si>
  <si>
    <t>.1~1337</t>
  </si>
  <si>
    <t>.1~1338</t>
  </si>
  <si>
    <t>.1~1339</t>
  </si>
  <si>
    <t>.1~1340</t>
  </si>
  <si>
    <t>.1~1341</t>
  </si>
  <si>
    <t>.1~1342</t>
  </si>
  <si>
    <t>.1~1343</t>
  </si>
  <si>
    <t>.1~1344</t>
  </si>
  <si>
    <t>.1~1345</t>
  </si>
  <si>
    <t>06/07</t>
  </si>
  <si>
    <t>.1~1346</t>
  </si>
  <si>
    <t>.1~1347</t>
  </si>
  <si>
    <t>.1~1348</t>
  </si>
  <si>
    <t>.1~1349</t>
  </si>
  <si>
    <t>.1~1350</t>
  </si>
  <si>
    <t>.1~1351</t>
  </si>
  <si>
    <t>.1~1352</t>
  </si>
  <si>
    <t>.1~1353</t>
  </si>
  <si>
    <t>.1~1354</t>
  </si>
  <si>
    <t>.1~1355</t>
  </si>
  <si>
    <t>.1~1356</t>
  </si>
  <si>
    <t>.1~1357</t>
  </si>
  <si>
    <t>.1~1358</t>
  </si>
  <si>
    <t>.1~1359</t>
  </si>
  <si>
    <t>.1~1360</t>
  </si>
  <si>
    <t>.1~1361</t>
  </si>
  <si>
    <t>.1~1362</t>
  </si>
  <si>
    <t>.1~1363</t>
  </si>
  <si>
    <t>.1~1364</t>
  </si>
  <si>
    <t>.1~1365</t>
  </si>
  <si>
    <t>.1~1366</t>
  </si>
  <si>
    <t>.1~1367</t>
  </si>
  <si>
    <t>.1~1368</t>
  </si>
  <si>
    <t>06/08</t>
  </si>
  <si>
    <t>06/09</t>
  </si>
  <si>
    <t>1872</t>
  </si>
  <si>
    <t>1869</t>
  </si>
  <si>
    <t>1880</t>
  </si>
  <si>
    <t>1876</t>
  </si>
  <si>
    <t>1878</t>
  </si>
  <si>
    <t>1886</t>
  </si>
  <si>
    <t>1882</t>
  </si>
  <si>
    <t>1895</t>
  </si>
  <si>
    <t>1890</t>
  </si>
  <si>
    <t>1900</t>
  </si>
  <si>
    <t>1904</t>
  </si>
  <si>
    <t>1907</t>
  </si>
  <si>
    <t>1896</t>
  </si>
  <si>
    <t>.1~1369</t>
  </si>
  <si>
    <t>.1~1370</t>
  </si>
  <si>
    <t>.1~1371</t>
  </si>
  <si>
    <t>.1~1372</t>
  </si>
  <si>
    <t>.1~1373</t>
  </si>
  <si>
    <t>.1~1374</t>
  </si>
  <si>
    <t>.1~1375</t>
  </si>
  <si>
    <t>.1~1376</t>
  </si>
  <si>
    <t>.1~1377</t>
  </si>
  <si>
    <t>.1~1378</t>
  </si>
  <si>
    <t>.1~1379</t>
  </si>
  <si>
    <t>.1~1380</t>
  </si>
  <si>
    <t>.1~1381</t>
  </si>
  <si>
    <t>.1~1382</t>
  </si>
  <si>
    <t>.1~1383</t>
  </si>
  <si>
    <t>.1~1384</t>
  </si>
  <si>
    <t>.1~1385</t>
  </si>
  <si>
    <t>.1~1386</t>
  </si>
  <si>
    <t>.1~1387</t>
  </si>
  <si>
    <t>.1~1388</t>
  </si>
  <si>
    <t>.1~1389</t>
  </si>
  <si>
    <t>.1~1390</t>
  </si>
  <si>
    <t>.1~1391</t>
  </si>
  <si>
    <t>.1~1392</t>
  </si>
  <si>
    <t>.1~1393</t>
  </si>
  <si>
    <t>.1~1394</t>
  </si>
  <si>
    <t>.1~1395</t>
  </si>
  <si>
    <t>.1~1396</t>
  </si>
  <si>
    <t>.1~1397</t>
  </si>
  <si>
    <t>.1~1398</t>
  </si>
  <si>
    <t>.1~1399</t>
  </si>
  <si>
    <t>.1~1400</t>
  </si>
  <si>
    <t>.1~1401</t>
  </si>
  <si>
    <t>.1~1402</t>
  </si>
  <si>
    <t>.1~1403</t>
  </si>
  <si>
    <t>.1~1404</t>
  </si>
  <si>
    <t>.1~1405</t>
  </si>
  <si>
    <t>.1~1406</t>
  </si>
  <si>
    <t>.1~1407</t>
  </si>
  <si>
    <t>.1~1408</t>
  </si>
  <si>
    <t>.1~1409</t>
  </si>
  <si>
    <t>.1~1410</t>
  </si>
  <si>
    <t>.1~1411</t>
  </si>
  <si>
    <t>.1~1412</t>
  </si>
  <si>
    <t>.1~1413</t>
  </si>
  <si>
    <t>.1~1414</t>
  </si>
  <si>
    <t>.1~1415</t>
  </si>
  <si>
    <t>.1~1416</t>
  </si>
  <si>
    <t>.1~1417</t>
  </si>
  <si>
    <t>06/10</t>
  </si>
  <si>
    <t>.1~1418</t>
  </si>
  <si>
    <t>.1~1419</t>
  </si>
  <si>
    <t>.1~1420</t>
  </si>
  <si>
    <t>.1~1421</t>
  </si>
  <si>
    <t>.1~1422</t>
  </si>
  <si>
    <t>.1~1423</t>
  </si>
  <si>
    <t>.1~1424</t>
  </si>
  <si>
    <t>.1~1425</t>
  </si>
  <si>
    <t>.1~1426</t>
  </si>
  <si>
    <t>.1~1427</t>
  </si>
  <si>
    <t>.1~1428</t>
  </si>
  <si>
    <t>.1~1429</t>
  </si>
  <si>
    <t>.1~1430</t>
  </si>
  <si>
    <t>.1~1431</t>
  </si>
  <si>
    <t>.1~1432</t>
  </si>
  <si>
    <t>.1~1433</t>
  </si>
  <si>
    <t>.1~1434</t>
  </si>
  <si>
    <t>.1~1435</t>
  </si>
  <si>
    <t>.1~1436</t>
  </si>
  <si>
    <t>.1~1437</t>
  </si>
  <si>
    <t>.1~1438</t>
  </si>
  <si>
    <t>.1~1439</t>
  </si>
  <si>
    <t>.1~1440</t>
  </si>
  <si>
    <t>4500000108</t>
  </si>
  <si>
    <t>1916</t>
  </si>
  <si>
    <t>0</t>
  </si>
  <si>
    <t>1923</t>
  </si>
  <si>
    <t>1920</t>
  </si>
  <si>
    <t>1913</t>
  </si>
  <si>
    <t>.1~1441</t>
  </si>
  <si>
    <t>07/01</t>
  </si>
  <si>
    <t>.1~1442</t>
  </si>
  <si>
    <t>.1~1443</t>
  </si>
  <si>
    <t>.1~1444</t>
  </si>
  <si>
    <t>.1~1445</t>
  </si>
  <si>
    <t>.1~1446</t>
  </si>
  <si>
    <t>.1~1447</t>
  </si>
  <si>
    <t>.1~1448</t>
  </si>
  <si>
    <t>.1~1449</t>
  </si>
  <si>
    <t>.1~1450</t>
  </si>
  <si>
    <t>.1~1451</t>
  </si>
  <si>
    <t>.1~1452</t>
  </si>
  <si>
    <t>.1~1453</t>
  </si>
  <si>
    <t>.1~1454</t>
  </si>
  <si>
    <t>.1~1455</t>
  </si>
  <si>
    <t>.1~1456</t>
  </si>
  <si>
    <t>.1~1457</t>
  </si>
  <si>
    <t>.1~1458</t>
  </si>
  <si>
    <t>.1~1459</t>
  </si>
  <si>
    <t>.1~1460</t>
  </si>
  <si>
    <t>.1~1461</t>
  </si>
  <si>
    <t>.1~1462</t>
  </si>
  <si>
    <t>.1~1463</t>
  </si>
  <si>
    <t>.1~1464</t>
  </si>
  <si>
    <t>1940</t>
  </si>
  <si>
    <t>1934</t>
  </si>
  <si>
    <t>1937</t>
  </si>
  <si>
    <t>1926</t>
  </si>
  <si>
    <t>1930</t>
  </si>
  <si>
    <t>.1~1465</t>
  </si>
  <si>
    <t>07/02</t>
  </si>
  <si>
    <t>.1~1466</t>
  </si>
  <si>
    <t>.1~1467</t>
  </si>
  <si>
    <t>.1~1468</t>
  </si>
  <si>
    <t>.1~1469</t>
  </si>
  <si>
    <t>.1~1470</t>
  </si>
  <si>
    <t>.1~1471</t>
  </si>
  <si>
    <t>.1~1472</t>
  </si>
  <si>
    <t>.1~1473</t>
  </si>
  <si>
    <t>.1~1474</t>
  </si>
  <si>
    <t>.1~1475</t>
  </si>
  <si>
    <t>.1~1476</t>
  </si>
  <si>
    <t>.1~1477</t>
  </si>
  <si>
    <t>.1~1478</t>
  </si>
  <si>
    <t>.1~1479</t>
  </si>
  <si>
    <t>.1~1480</t>
  </si>
  <si>
    <t>.1~1481</t>
  </si>
  <si>
    <t>.1~1482</t>
  </si>
  <si>
    <t>.1~1483</t>
  </si>
  <si>
    <t>.1~1484</t>
  </si>
  <si>
    <t>.1~1485</t>
  </si>
  <si>
    <t>.1~1486</t>
  </si>
  <si>
    <t>.1~1487</t>
  </si>
  <si>
    <t>.1~1488</t>
  </si>
  <si>
    <t>07/03</t>
  </si>
  <si>
    <t>1962</t>
  </si>
  <si>
    <t>1955</t>
  </si>
  <si>
    <t>1952</t>
  </si>
  <si>
    <t>1959</t>
  </si>
  <si>
    <t>1944</t>
  </si>
  <si>
    <t>1948</t>
  </si>
  <si>
    <t>1967</t>
  </si>
  <si>
    <t>1973</t>
  </si>
  <si>
    <t>1965</t>
  </si>
  <si>
    <t>.1~1489</t>
  </si>
  <si>
    <t>.1~1490</t>
  </si>
  <si>
    <t>.1~1491</t>
  </si>
  <si>
    <t>.1~1492</t>
  </si>
  <si>
    <t>.1~1493</t>
  </si>
  <si>
    <t>.1~1494</t>
  </si>
  <si>
    <t>.1~1495</t>
  </si>
  <si>
    <t>.1~1496</t>
  </si>
  <si>
    <t>.1~1497</t>
  </si>
  <si>
    <t>.1~1498</t>
  </si>
  <si>
    <t>.1~1499</t>
  </si>
  <si>
    <t>.1~1500</t>
  </si>
  <si>
    <t>.1~1501</t>
  </si>
  <si>
    <t>.1~1502</t>
  </si>
  <si>
    <t>.1~1503</t>
  </si>
  <si>
    <t>.1~1504</t>
  </si>
  <si>
    <t>.1~1505</t>
  </si>
  <si>
    <t>.1~1506</t>
  </si>
  <si>
    <t>.1~1507</t>
  </si>
  <si>
    <t>.1~1508</t>
  </si>
  <si>
    <t>.1~1509</t>
  </si>
  <si>
    <t>.1~1510</t>
  </si>
  <si>
    <t>.1~1511</t>
  </si>
  <si>
    <t>.1~1512</t>
  </si>
  <si>
    <t>.1~1513</t>
  </si>
  <si>
    <t>07/04</t>
  </si>
  <si>
    <t>.1~1514</t>
  </si>
  <si>
    <t>.1~1515</t>
  </si>
  <si>
    <t>.1~1516</t>
  </si>
  <si>
    <t>.1~1517</t>
  </si>
  <si>
    <t>.1~1518</t>
  </si>
  <si>
    <t>.1~1519</t>
  </si>
  <si>
    <t>.1~1520</t>
  </si>
  <si>
    <t>.1~1521</t>
  </si>
  <si>
    <t>.1~1522</t>
  </si>
  <si>
    <t>.1~1523</t>
  </si>
  <si>
    <t>.1~1524</t>
  </si>
  <si>
    <t>.1~1525</t>
  </si>
  <si>
    <t>.1~1526</t>
  </si>
  <si>
    <t>.1~1527</t>
  </si>
  <si>
    <t>.1~1528</t>
  </si>
  <si>
    <t>.1~1529</t>
  </si>
  <si>
    <t>.1~1530</t>
  </si>
  <si>
    <t>.1~1531</t>
  </si>
  <si>
    <t>.1~1532</t>
  </si>
  <si>
    <t>.1~1533</t>
  </si>
  <si>
    <t>.1~1534</t>
  </si>
  <si>
    <t>.1~1535</t>
  </si>
  <si>
    <t>.1~1536</t>
  </si>
  <si>
    <t>4500000112</t>
  </si>
  <si>
    <t>1979</t>
  </si>
  <si>
    <t>1983</t>
  </si>
  <si>
    <t>1990</t>
  </si>
  <si>
    <t>1994</t>
  </si>
  <si>
    <t>1986</t>
  </si>
  <si>
    <t>.1~1537</t>
  </si>
  <si>
    <t>07/05</t>
  </si>
  <si>
    <t>.1~1538</t>
  </si>
  <si>
    <t>.1~1539</t>
  </si>
  <si>
    <t>.1~1540</t>
  </si>
  <si>
    <t>.1~1541</t>
  </si>
  <si>
    <t>.1~1542</t>
  </si>
  <si>
    <t>.1~1543</t>
  </si>
  <si>
    <t>.1~1544</t>
  </si>
  <si>
    <t>.1~1545</t>
  </si>
  <si>
    <t>.1~1546</t>
  </si>
  <si>
    <t>.1~1547</t>
  </si>
  <si>
    <t>.1~1548</t>
  </si>
  <si>
    <t>.1~1549</t>
  </si>
  <si>
    <t>.1~1550</t>
  </si>
  <si>
    <t>.1~1551</t>
  </si>
  <si>
    <t>.1~1552</t>
  </si>
  <si>
    <t>.1~1553</t>
  </si>
  <si>
    <t>.1~1554</t>
  </si>
  <si>
    <t>.1~1555</t>
  </si>
  <si>
    <t>.1~1556</t>
  </si>
  <si>
    <t>.1~1557</t>
  </si>
  <si>
    <t>.1~1558</t>
  </si>
  <si>
    <t>.1~1559</t>
  </si>
  <si>
    <t>.1~1560</t>
  </si>
  <si>
    <t>2003</t>
  </si>
  <si>
    <t>1997</t>
  </si>
  <si>
    <t>2010</t>
  </si>
  <si>
    <t>2008</t>
  </si>
  <si>
    <t>2005</t>
  </si>
  <si>
    <t>.1~1561</t>
  </si>
  <si>
    <t>07/06</t>
  </si>
  <si>
    <t>.1~1562</t>
  </si>
  <si>
    <t>.1~1563</t>
  </si>
  <si>
    <t>.1~1564</t>
  </si>
  <si>
    <t>.1~1565</t>
  </si>
  <si>
    <t>.1~1566</t>
  </si>
  <si>
    <t>.1~1567</t>
  </si>
  <si>
    <t>.1~1568</t>
  </si>
  <si>
    <t>.1~1569</t>
  </si>
  <si>
    <t>.1~1570</t>
  </si>
  <si>
    <t>.1~1571</t>
  </si>
  <si>
    <t>.1~1572</t>
  </si>
  <si>
    <t>.1~1573</t>
  </si>
  <si>
    <t>.1~1574</t>
  </si>
  <si>
    <t>.1~1575</t>
  </si>
  <si>
    <t>.1~1576</t>
  </si>
  <si>
    <t>.1~1577</t>
  </si>
  <si>
    <t>.1~1578</t>
  </si>
  <si>
    <t>.1~1579</t>
  </si>
  <si>
    <t>.1~1580</t>
  </si>
  <si>
    <t>.1~1581</t>
  </si>
  <si>
    <t>.1~1582</t>
  </si>
  <si>
    <t>.1~1583</t>
  </si>
  <si>
    <t>.1~1584</t>
  </si>
  <si>
    <t>4500000117</t>
  </si>
  <si>
    <t>07/07</t>
  </si>
  <si>
    <t>2013</t>
  </si>
  <si>
    <t>2025</t>
  </si>
  <si>
    <t>2021</t>
  </si>
  <si>
    <t>2017</t>
  </si>
  <si>
    <t>.1~1585</t>
  </si>
  <si>
    <t>.1~1586</t>
  </si>
  <si>
    <t>.1~1587</t>
  </si>
  <si>
    <t>.1~1588</t>
  </si>
  <si>
    <t>.1~1589</t>
  </si>
  <si>
    <t>.1~1590</t>
  </si>
  <si>
    <t>.1~1591</t>
  </si>
  <si>
    <t>.1~1592</t>
  </si>
  <si>
    <t>.1~1593</t>
  </si>
  <si>
    <t>.1~1594</t>
  </si>
  <si>
    <t>.1~1595</t>
  </si>
  <si>
    <t>.1~1596</t>
  </si>
  <si>
    <t>.1~1597</t>
  </si>
  <si>
    <t>.1~1598</t>
  </si>
  <si>
    <t>.1~1599</t>
  </si>
  <si>
    <t>.1~1600</t>
  </si>
  <si>
    <t>.1~1601</t>
  </si>
  <si>
    <t>.1~1602</t>
  </si>
  <si>
    <t>.1~1603</t>
  </si>
  <si>
    <t>.1~1604</t>
  </si>
  <si>
    <t>.1~1605</t>
  </si>
  <si>
    <t>.1~1606</t>
  </si>
  <si>
    <t>.1~1607</t>
  </si>
  <si>
    <t>.1~1608</t>
  </si>
  <si>
    <t>07/08</t>
  </si>
  <si>
    <t>07/09</t>
  </si>
  <si>
    <t>2031</t>
  </si>
  <si>
    <t>2041</t>
  </si>
  <si>
    <t>2038</t>
  </si>
  <si>
    <t>2034</t>
  </si>
  <si>
    <t>2043</t>
  </si>
  <si>
    <t>2048</t>
  </si>
  <si>
    <t>2061</t>
  </si>
  <si>
    <t>2060</t>
  </si>
  <si>
    <t>2052</t>
  </si>
  <si>
    <t>2058</t>
  </si>
  <si>
    <t>2068</t>
  </si>
  <si>
    <t>2072</t>
  </si>
  <si>
    <t>2075</t>
  </si>
  <si>
    <t>2065</t>
  </si>
  <si>
    <t>.1~1609</t>
  </si>
  <si>
    <t>.1~1610</t>
  </si>
  <si>
    <t>.1~1611</t>
  </si>
  <si>
    <t>.1~1612</t>
  </si>
  <si>
    <t>.1~1613</t>
  </si>
  <si>
    <t>.1~1614</t>
  </si>
  <si>
    <t>.1~1615</t>
  </si>
  <si>
    <t>.1~1616</t>
  </si>
  <si>
    <t>.1~1617</t>
  </si>
  <si>
    <t>.1~1618</t>
  </si>
  <si>
    <t>.1~1619</t>
  </si>
  <si>
    <t>.1~1620</t>
  </si>
  <si>
    <t>.1~1621</t>
  </si>
  <si>
    <t>.1~1622</t>
  </si>
  <si>
    <t>.1~1623</t>
  </si>
  <si>
    <t>.1~1624</t>
  </si>
  <si>
    <t>.1~1625</t>
  </si>
  <si>
    <t>.1~1626</t>
  </si>
  <si>
    <t>.1~1627</t>
  </si>
  <si>
    <t>.1~1628</t>
  </si>
  <si>
    <t>.1~1629</t>
  </si>
  <si>
    <t>.1~1630</t>
  </si>
  <si>
    <t>.1~1631</t>
  </si>
  <si>
    <t>.1~1632</t>
  </si>
  <si>
    <t>.1~1633</t>
  </si>
  <si>
    <t>.1~1634</t>
  </si>
  <si>
    <t>.1~1635</t>
  </si>
  <si>
    <t>.1~1636</t>
  </si>
  <si>
    <t>.1~1637</t>
  </si>
  <si>
    <t>.1~1638</t>
  </si>
  <si>
    <t>.1~1639</t>
  </si>
  <si>
    <t>.1~1640</t>
  </si>
  <si>
    <t>.1~1641</t>
  </si>
  <si>
    <t>.1~1642</t>
  </si>
  <si>
    <t>.1~1643</t>
  </si>
  <si>
    <t>.1~1644</t>
  </si>
  <si>
    <t>.1~1645</t>
  </si>
  <si>
    <t>.1~1646</t>
  </si>
  <si>
    <t>.1~1647</t>
  </si>
  <si>
    <t>.1~1648</t>
  </si>
  <si>
    <t>.1~1649</t>
  </si>
  <si>
    <t>.1~1650</t>
  </si>
  <si>
    <t>.1~1651</t>
  </si>
  <si>
    <t>.1~1652</t>
  </si>
  <si>
    <t>.1~1653</t>
  </si>
  <si>
    <t>.1~1654</t>
  </si>
  <si>
    <t>.1~1655</t>
  </si>
  <si>
    <t>.1~1656</t>
  </si>
  <si>
    <t>.1~1657</t>
  </si>
  <si>
    <t>07/10</t>
  </si>
  <si>
    <t>.1~1658</t>
  </si>
  <si>
    <t>.1~1659</t>
  </si>
  <si>
    <t>.1~1660</t>
  </si>
  <si>
    <t>.1~1661</t>
  </si>
  <si>
    <t>.1~1662</t>
  </si>
  <si>
    <t>.1~1663</t>
  </si>
  <si>
    <t>.1~1664</t>
  </si>
  <si>
    <t>.1~1665</t>
  </si>
  <si>
    <t>.1~1666</t>
  </si>
  <si>
    <t>.1~1667</t>
  </si>
  <si>
    <t>.1~1668</t>
  </si>
  <si>
    <t>.1~1669</t>
  </si>
  <si>
    <t>.1~1670</t>
  </si>
  <si>
    <t>.1~1671</t>
  </si>
  <si>
    <t>.1~1672</t>
  </si>
  <si>
    <t>.1~1673</t>
  </si>
  <si>
    <t>.1~1674</t>
  </si>
  <si>
    <t>.1~1675</t>
  </si>
  <si>
    <t>.1~1676</t>
  </si>
  <si>
    <t>.1~1677</t>
  </si>
  <si>
    <t>.1~1678</t>
  </si>
  <si>
    <t>.1~1679</t>
  </si>
  <si>
    <t>.1~1680</t>
  </si>
  <si>
    <t>2081</t>
  </si>
  <si>
    <t>2090</t>
  </si>
  <si>
    <t>2093</t>
  </si>
  <si>
    <t>2077</t>
  </si>
  <si>
    <t>2086</t>
  </si>
  <si>
    <t>.1~1681</t>
  </si>
  <si>
    <t>08/01</t>
  </si>
  <si>
    <t>.1~1682</t>
  </si>
  <si>
    <t>.1~1683</t>
  </si>
  <si>
    <t>.1~1684</t>
  </si>
  <si>
    <t>.1~1685</t>
  </si>
  <si>
    <t>.1~1686</t>
  </si>
  <si>
    <t>.1~1687</t>
  </si>
  <si>
    <t>.1~1688</t>
  </si>
  <si>
    <t>.1~1689</t>
  </si>
  <si>
    <t>.1~1690</t>
  </si>
  <si>
    <t>.1~1691</t>
  </si>
  <si>
    <t>.1~1692</t>
  </si>
  <si>
    <t>.1~1693</t>
  </si>
  <si>
    <t>.1~1694</t>
  </si>
  <si>
    <t>.1~1695</t>
  </si>
  <si>
    <t>.1~1696</t>
  </si>
  <si>
    <t>.1~1697</t>
  </si>
  <si>
    <t>.1~1698</t>
  </si>
  <si>
    <t>.1~1699</t>
  </si>
  <si>
    <t>.1~1700</t>
  </si>
  <si>
    <t>.1~1701</t>
  </si>
  <si>
    <t>.1~1702</t>
  </si>
  <si>
    <t>.1~1703</t>
  </si>
  <si>
    <t>.1~1704</t>
  </si>
  <si>
    <t>4500000120</t>
  </si>
  <si>
    <t>08/02</t>
  </si>
  <si>
    <t>08/03</t>
  </si>
  <si>
    <t>2105</t>
  </si>
  <si>
    <t>2109</t>
  </si>
  <si>
    <t>2098</t>
  </si>
  <si>
    <t>2101</t>
  </si>
  <si>
    <t>2124</t>
  </si>
  <si>
    <t>2118</t>
  </si>
  <si>
    <t>2114</t>
  </si>
  <si>
    <t>2121</t>
  </si>
  <si>
    <t>2133</t>
  </si>
  <si>
    <t>2136</t>
  </si>
  <si>
    <t>2135</t>
  </si>
  <si>
    <t>2129</t>
  </si>
  <si>
    <t>.1~1705</t>
  </si>
  <si>
    <t>.1~1706</t>
  </si>
  <si>
    <t>.1~1707</t>
  </si>
  <si>
    <t>.1~1708</t>
  </si>
  <si>
    <t>.1~1709</t>
  </si>
  <si>
    <t>.1~1710</t>
  </si>
  <si>
    <t>.1~1711</t>
  </si>
  <si>
    <t>.1~1712</t>
  </si>
  <si>
    <t>.1~1713</t>
  </si>
  <si>
    <t>.1~1714</t>
  </si>
  <si>
    <t>.1~1715</t>
  </si>
  <si>
    <t>.1~1716</t>
  </si>
  <si>
    <t>.1~1717</t>
  </si>
  <si>
    <t>.1~1718</t>
  </si>
  <si>
    <t>.1~1719</t>
  </si>
  <si>
    <t>.1~1720</t>
  </si>
  <si>
    <t>.1~1721</t>
  </si>
  <si>
    <t>.1~1722</t>
  </si>
  <si>
    <t>.1~1723</t>
  </si>
  <si>
    <t>.1~1724</t>
  </si>
  <si>
    <t>.1~1725</t>
  </si>
  <si>
    <t>.1~1726</t>
  </si>
  <si>
    <t>.1~1727</t>
  </si>
  <si>
    <t>.1~1728</t>
  </si>
  <si>
    <t>.1~1729</t>
  </si>
  <si>
    <t>.1~1730</t>
  </si>
  <si>
    <t>.1~1731</t>
  </si>
  <si>
    <t>.1~1732</t>
  </si>
  <si>
    <t>.1~1733</t>
  </si>
  <si>
    <t>.1~1734</t>
  </si>
  <si>
    <t>.1~1735</t>
  </si>
  <si>
    <t>.1~1736</t>
  </si>
  <si>
    <t>.1~1737</t>
  </si>
  <si>
    <t>.1~1738</t>
  </si>
  <si>
    <t>.1~1739</t>
  </si>
  <si>
    <t>.1~1740</t>
  </si>
  <si>
    <t>.1~1741</t>
  </si>
  <si>
    <t>.1~1742</t>
  </si>
  <si>
    <t>.1~1743</t>
  </si>
  <si>
    <t>.1~1744</t>
  </si>
  <si>
    <t>.1~1745</t>
  </si>
  <si>
    <t>.1~1746</t>
  </si>
  <si>
    <t>.1~1747</t>
  </si>
  <si>
    <t>.1~1748</t>
  </si>
  <si>
    <t>.1~1749</t>
  </si>
  <si>
    <t>.1~1750</t>
  </si>
  <si>
    <t>.1~1751</t>
  </si>
  <si>
    <t>.1~1752</t>
  </si>
  <si>
    <t>.1~1753</t>
  </si>
  <si>
    <t>08/04</t>
  </si>
  <si>
    <t>.1~1754</t>
  </si>
  <si>
    <t>.1~1755</t>
  </si>
  <si>
    <t>.1~1756</t>
  </si>
  <si>
    <t>.1~1757</t>
  </si>
  <si>
    <t>.1~1758</t>
  </si>
  <si>
    <t>.1~1759</t>
  </si>
  <si>
    <t>.1~1760</t>
  </si>
  <si>
    <t>.1~1761</t>
  </si>
  <si>
    <t>.1~1762</t>
  </si>
  <si>
    <t>.1~1763</t>
  </si>
  <si>
    <t>.1~1764</t>
  </si>
  <si>
    <t>.1~1765</t>
  </si>
  <si>
    <t>.1~1766</t>
  </si>
  <si>
    <t>.1~1767</t>
  </si>
  <si>
    <t>.1~1768</t>
  </si>
  <si>
    <t>.1~1769</t>
  </si>
  <si>
    <t>.1~1770</t>
  </si>
  <si>
    <t>.1~1771</t>
  </si>
  <si>
    <t>.1~1772</t>
  </si>
  <si>
    <t>.1~1773</t>
  </si>
  <si>
    <t>.1~1774</t>
  </si>
  <si>
    <t>.1~1775</t>
  </si>
  <si>
    <t>.1~1776</t>
  </si>
  <si>
    <t>2140</t>
  </si>
  <si>
    <t>2150</t>
  </si>
  <si>
    <t>2147</t>
  </si>
  <si>
    <t>2137</t>
  </si>
  <si>
    <t>2143</t>
  </si>
  <si>
    <t>.1~1777</t>
  </si>
  <si>
    <t>08/05</t>
  </si>
  <si>
    <t>.1~1778</t>
  </si>
  <si>
    <t>.1~1779</t>
  </si>
  <si>
    <t>.1~1780</t>
  </si>
  <si>
    <t>.1~1781</t>
  </si>
  <si>
    <t>.1~1782</t>
  </si>
  <si>
    <t>.1~1783</t>
  </si>
  <si>
    <t>.1~1784</t>
  </si>
  <si>
    <t>.1~1785</t>
  </si>
  <si>
    <t>.1~1786</t>
  </si>
  <si>
    <t>.1~1787</t>
  </si>
  <si>
    <t>.1~1788</t>
  </si>
  <si>
    <t>.1~1789</t>
  </si>
  <si>
    <t>.1~1790</t>
  </si>
  <si>
    <t>.1~1791</t>
  </si>
  <si>
    <t>.1~1792</t>
  </si>
  <si>
    <t>.1~1793</t>
  </si>
  <si>
    <t>.1~1794</t>
  </si>
  <si>
    <t>.1~1795</t>
  </si>
  <si>
    <t>.1~1796</t>
  </si>
  <si>
    <t>.1~1797</t>
  </si>
  <si>
    <t>.1~1798</t>
  </si>
  <si>
    <t>.1~1799</t>
  </si>
  <si>
    <t>.1~1800</t>
  </si>
  <si>
    <t>4500000125</t>
  </si>
  <si>
    <t>08/07</t>
  </si>
  <si>
    <t>2155</t>
  </si>
  <si>
    <t>2163</t>
  </si>
  <si>
    <t>2167</t>
  </si>
  <si>
    <t>2169</t>
  </si>
  <si>
    <t>2160</t>
  </si>
  <si>
    <t>2165</t>
  </si>
  <si>
    <t>.1~1801</t>
  </si>
  <si>
    <t>08/06</t>
  </si>
  <si>
    <t>.1~1802</t>
  </si>
  <si>
    <t>.1~1803</t>
  </si>
  <si>
    <t>.1~1804</t>
  </si>
  <si>
    <t>.1~1805</t>
  </si>
  <si>
    <t>.1~1806</t>
  </si>
  <si>
    <t>.1~1807</t>
  </si>
  <si>
    <t>.1~1808</t>
  </si>
  <si>
    <t>.1~1809</t>
  </si>
  <si>
    <t>.1~1810</t>
  </si>
  <si>
    <t>.1~1811</t>
  </si>
  <si>
    <t>.1~1812</t>
  </si>
  <si>
    <t>.1~1813</t>
  </si>
  <si>
    <t>.1~1814</t>
  </si>
  <si>
    <t>.1~1815</t>
  </si>
  <si>
    <t>.1~1816</t>
  </si>
  <si>
    <t>.1~1817</t>
  </si>
  <si>
    <t>.1~1818</t>
  </si>
  <si>
    <t>.1~1819</t>
  </si>
  <si>
    <t>.1~1820</t>
  </si>
  <si>
    <t>.1~1821</t>
  </si>
  <si>
    <t>.1~1822</t>
  </si>
  <si>
    <t>.1~1823</t>
  </si>
  <si>
    <t>.1~1824</t>
  </si>
  <si>
    <t>2174</t>
  </si>
  <si>
    <t>2186</t>
  </si>
  <si>
    <t>2182</t>
  </si>
  <si>
    <t>2177</t>
  </si>
  <si>
    <t>.1~1825</t>
  </si>
  <si>
    <t>.1~1826</t>
  </si>
  <si>
    <t>.1~1827</t>
  </si>
  <si>
    <t>.1~1828</t>
  </si>
  <si>
    <t>.1~1829</t>
  </si>
  <si>
    <t>.1~1830</t>
  </si>
  <si>
    <t>.1~1831</t>
  </si>
  <si>
    <t>.1~1832</t>
  </si>
  <si>
    <t>.1~1833</t>
  </si>
  <si>
    <t>.1~1834</t>
  </si>
  <si>
    <t>.1~1835</t>
  </si>
  <si>
    <t>.1~1836</t>
  </si>
  <si>
    <t>.1~1837</t>
  </si>
  <si>
    <t>.1~1838</t>
  </si>
  <si>
    <t>.1~1839</t>
  </si>
  <si>
    <t>.1~1840</t>
  </si>
  <si>
    <t>.1~1841</t>
  </si>
  <si>
    <t>.1~1842</t>
  </si>
  <si>
    <t>.1~1843</t>
  </si>
  <si>
    <t>.1~1844</t>
  </si>
  <si>
    <t>.1~1845</t>
  </si>
  <si>
    <t>.1~1846</t>
  </si>
  <si>
    <t>.1~1847</t>
  </si>
  <si>
    <t>.1~1848</t>
  </si>
  <si>
    <t>2191</t>
  </si>
  <si>
    <t>2196</t>
  </si>
  <si>
    <t>.1~1849</t>
  </si>
  <si>
    <t>08/08</t>
  </si>
  <si>
    <t>.1~1850</t>
  </si>
  <si>
    <t>.1~1851</t>
  </si>
  <si>
    <t>.1~1852</t>
  </si>
  <si>
    <t>.1~1853</t>
  </si>
  <si>
    <t>.1~1854</t>
  </si>
  <si>
    <t>.1~1855</t>
  </si>
  <si>
    <t>.1~1856</t>
  </si>
  <si>
    <t>.1~1857</t>
  </si>
  <si>
    <t>.1~1858</t>
  </si>
  <si>
    <t>.1~1859</t>
  </si>
  <si>
    <t>.1~1860</t>
  </si>
  <si>
    <t>.1~1861</t>
  </si>
  <si>
    <t>.1~1862</t>
  </si>
  <si>
    <t>.1~1863</t>
  </si>
  <si>
    <t>.1~1864</t>
  </si>
  <si>
    <t>.1~1865</t>
  </si>
  <si>
    <t>.1~1866</t>
  </si>
  <si>
    <t>.1~1867</t>
  </si>
  <si>
    <t>.1~1868</t>
  </si>
  <si>
    <t>.1~1869</t>
  </si>
  <si>
    <t>.1~1870</t>
  </si>
  <si>
    <t>.1~1871</t>
  </si>
  <si>
    <t>.1~1872</t>
  </si>
  <si>
    <t>2207</t>
  </si>
  <si>
    <t>2204</t>
  </si>
  <si>
    <t>2218</t>
  </si>
  <si>
    <t>2216</t>
  </si>
  <si>
    <t>2211</t>
  </si>
  <si>
    <t>2214</t>
  </si>
  <si>
    <t>.1~1873</t>
  </si>
  <si>
    <t>08/09</t>
  </si>
  <si>
    <t>.1~1874</t>
  </si>
  <si>
    <t>.1~1875</t>
  </si>
  <si>
    <t>.1~1876</t>
  </si>
  <si>
    <t>.1~1877</t>
  </si>
  <si>
    <t>.1~1878</t>
  </si>
  <si>
    <t>.1~1879</t>
  </si>
  <si>
    <t>.1~1880</t>
  </si>
  <si>
    <t>.1~1881</t>
  </si>
  <si>
    <t>.1~1882</t>
  </si>
  <si>
    <t>.1~1883</t>
  </si>
  <si>
    <t>.1~1884</t>
  </si>
  <si>
    <t>.1~1885</t>
  </si>
  <si>
    <t>.1~1886</t>
  </si>
  <si>
    <t>.1~1887</t>
  </si>
  <si>
    <t>.1~1888</t>
  </si>
  <si>
    <t>.1~1889</t>
  </si>
  <si>
    <t>.1~1890</t>
  </si>
  <si>
    <t>.1~1891</t>
  </si>
  <si>
    <t>.1~1892</t>
  </si>
  <si>
    <t>.1~1893</t>
  </si>
  <si>
    <t>.1~1894</t>
  </si>
  <si>
    <t>.1~1895</t>
  </si>
  <si>
    <t>.1~1896</t>
  </si>
  <si>
    <t>08/10</t>
  </si>
  <si>
    <t>2232</t>
  </si>
  <si>
    <t>2229</t>
  </si>
  <si>
    <t>2234</t>
  </si>
  <si>
    <t>2226</t>
  </si>
  <si>
    <t>2221</t>
  </si>
  <si>
    <t>2243</t>
  </si>
  <si>
    <t>2251</t>
  </si>
  <si>
    <t>2247</t>
  </si>
  <si>
    <t>2239</t>
  </si>
  <si>
    <t>.1~1897</t>
  </si>
  <si>
    <t>.1~1898</t>
  </si>
  <si>
    <t>.1~1899</t>
  </si>
  <si>
    <t>.1~1900</t>
  </si>
  <si>
    <t>.1~1901</t>
  </si>
  <si>
    <t>.1~1902</t>
  </si>
  <si>
    <t>.1~1903</t>
  </si>
  <si>
    <t>.1~1904</t>
  </si>
  <si>
    <t>.1~1905</t>
  </si>
  <si>
    <t>.1~1906</t>
  </si>
  <si>
    <t>.1~1907</t>
  </si>
  <si>
    <t>.1~1908</t>
  </si>
  <si>
    <t>.1~1909</t>
  </si>
  <si>
    <t>.1~1910</t>
  </si>
  <si>
    <t>.1~1911</t>
  </si>
  <si>
    <t>.1~1912</t>
  </si>
  <si>
    <t>.1~1913</t>
  </si>
  <si>
    <t>.1~1914</t>
  </si>
  <si>
    <t>.1~1915</t>
  </si>
  <si>
    <t>.1~1916</t>
  </si>
  <si>
    <t>.1~1917</t>
  </si>
  <si>
    <t>.1~1918</t>
  </si>
  <si>
    <t>.1~1919</t>
  </si>
  <si>
    <t>.1~1920</t>
  </si>
  <si>
    <t>.1~1921</t>
  </si>
  <si>
    <t>09/01</t>
  </si>
  <si>
    <t>.1~1922</t>
  </si>
  <si>
    <t>.1~1923</t>
  </si>
  <si>
    <t>.1~1924</t>
  </si>
  <si>
    <t>.1~1925</t>
  </si>
  <si>
    <t>.1~1926</t>
  </si>
  <si>
    <t>.1~1927</t>
  </si>
  <si>
    <t>.1~1928</t>
  </si>
  <si>
    <t>.1~1929</t>
  </si>
  <si>
    <t>.1~1930</t>
  </si>
  <si>
    <t>.1~1931</t>
  </si>
  <si>
    <t>.1~1932</t>
  </si>
  <si>
    <t>.1~1933</t>
  </si>
  <si>
    <t>.1~1934</t>
  </si>
  <si>
    <t>.1~1935</t>
  </si>
  <si>
    <t>.1~1936</t>
  </si>
  <si>
    <t>.1~1937</t>
  </si>
  <si>
    <t>.1~1938</t>
  </si>
  <si>
    <t>.1~1939</t>
  </si>
  <si>
    <t>.1~1940</t>
  </si>
  <si>
    <t>.1~1941</t>
  </si>
  <si>
    <t>.1~1942</t>
  </si>
  <si>
    <t>.1~1943</t>
  </si>
  <si>
    <t>.1~1944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</si>
</sst>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21" Type="http://schemas.openxmlformats.org/officeDocument/2006/relationships/worksheet" Target="worksheets/sheet21.xml"/><Relationship Id="rId34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sheetMetadata" Target="metadata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connections" Target="connections.xml"/><Relationship Id="rId35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" panose="020406040505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Company_Valuation'!$M$1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79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432FF"/>
                    </a:solidFill>
                    <a:latin typeface="Century" panose="020406040505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Company_Valuation'!$F$2:$F$81</c:f>
              <c:strCache>
                <c:ptCount val="80"/>
                <c:pt idx="0">
                  <c:v>01/01</c:v>
                </c:pt>
                <c:pt idx="1">
                  <c:v>01/02</c:v>
                </c:pt>
                <c:pt idx="2">
                  <c:v>01/03</c:v>
                </c:pt>
                <c:pt idx="3">
                  <c:v>01/04</c:v>
                </c:pt>
                <c:pt idx="4">
                  <c:v>01/05</c:v>
                </c:pt>
                <c:pt idx="5">
                  <c:v>01/06</c:v>
                </c:pt>
                <c:pt idx="6">
                  <c:v>01/07</c:v>
                </c:pt>
                <c:pt idx="7">
                  <c:v>01/08</c:v>
                </c:pt>
                <c:pt idx="8">
                  <c:v>01/09</c:v>
                </c:pt>
                <c:pt idx="9">
                  <c:v>01/10</c:v>
                </c:pt>
                <c:pt idx="10">
                  <c:v>02/01</c:v>
                </c:pt>
                <c:pt idx="11">
                  <c:v>02/02</c:v>
                </c:pt>
                <c:pt idx="12">
                  <c:v>02/03</c:v>
                </c:pt>
                <c:pt idx="13">
                  <c:v>02/04</c:v>
                </c:pt>
                <c:pt idx="14">
                  <c:v>02/05</c:v>
                </c:pt>
                <c:pt idx="15">
                  <c:v>02/06</c:v>
                </c:pt>
                <c:pt idx="16">
                  <c:v>02/07</c:v>
                </c:pt>
                <c:pt idx="17">
                  <c:v>02/08</c:v>
                </c:pt>
                <c:pt idx="18">
                  <c:v>02/09</c:v>
                </c:pt>
                <c:pt idx="19">
                  <c:v>02/10</c:v>
                </c:pt>
                <c:pt idx="20">
                  <c:v>03/01</c:v>
                </c:pt>
                <c:pt idx="21">
                  <c:v>03/02</c:v>
                </c:pt>
                <c:pt idx="22">
                  <c:v>03/03</c:v>
                </c:pt>
                <c:pt idx="23">
                  <c:v>03/04</c:v>
                </c:pt>
                <c:pt idx="24">
                  <c:v>03/05</c:v>
                </c:pt>
                <c:pt idx="25">
                  <c:v>03/06</c:v>
                </c:pt>
                <c:pt idx="26">
                  <c:v>03/07</c:v>
                </c:pt>
                <c:pt idx="27">
                  <c:v>03/08</c:v>
                </c:pt>
                <c:pt idx="28">
                  <c:v>03/09</c:v>
                </c:pt>
                <c:pt idx="29">
                  <c:v>03/10</c:v>
                </c:pt>
                <c:pt idx="30">
                  <c:v>04/01</c:v>
                </c:pt>
                <c:pt idx="31">
                  <c:v>04/02</c:v>
                </c:pt>
                <c:pt idx="32">
                  <c:v>04/03</c:v>
                </c:pt>
                <c:pt idx="33">
                  <c:v>04/04</c:v>
                </c:pt>
                <c:pt idx="34">
                  <c:v>04/05</c:v>
                </c:pt>
                <c:pt idx="35">
                  <c:v>04/06</c:v>
                </c:pt>
                <c:pt idx="36">
                  <c:v>04/07</c:v>
                </c:pt>
                <c:pt idx="37">
                  <c:v>04/08</c:v>
                </c:pt>
                <c:pt idx="38">
                  <c:v>04/09</c:v>
                </c:pt>
                <c:pt idx="39">
                  <c:v>04/10</c:v>
                </c:pt>
                <c:pt idx="40">
                  <c:v>05/01</c:v>
                </c:pt>
                <c:pt idx="41">
                  <c:v>05/02</c:v>
                </c:pt>
                <c:pt idx="42">
                  <c:v>05/03</c:v>
                </c:pt>
                <c:pt idx="43">
                  <c:v>05/04</c:v>
                </c:pt>
                <c:pt idx="44">
                  <c:v>05/05</c:v>
                </c:pt>
                <c:pt idx="45">
                  <c:v>05/06</c:v>
                </c:pt>
                <c:pt idx="46">
                  <c:v>05/07</c:v>
                </c:pt>
                <c:pt idx="47">
                  <c:v>05/08</c:v>
                </c:pt>
                <c:pt idx="48">
                  <c:v>05/09</c:v>
                </c:pt>
                <c:pt idx="49">
                  <c:v>05/10</c:v>
                </c:pt>
                <c:pt idx="50">
                  <c:v>06/01</c:v>
                </c:pt>
                <c:pt idx="51">
                  <c:v>06/02</c:v>
                </c:pt>
                <c:pt idx="52">
                  <c:v>06/03</c:v>
                </c:pt>
                <c:pt idx="53">
                  <c:v>06/04</c:v>
                </c:pt>
                <c:pt idx="54">
                  <c:v>06/05</c:v>
                </c:pt>
                <c:pt idx="55">
                  <c:v>06/06</c:v>
                </c:pt>
                <c:pt idx="56">
                  <c:v>06/07</c:v>
                </c:pt>
                <c:pt idx="57">
                  <c:v>06/08</c:v>
                </c:pt>
                <c:pt idx="58">
                  <c:v>06/09</c:v>
                </c:pt>
                <c:pt idx="59">
                  <c:v>06/10</c:v>
                </c:pt>
                <c:pt idx="60">
                  <c:v>07/01</c:v>
                </c:pt>
                <c:pt idx="61">
                  <c:v>07/02</c:v>
                </c:pt>
                <c:pt idx="62">
                  <c:v>07/03</c:v>
                </c:pt>
                <c:pt idx="63">
                  <c:v>07/04</c:v>
                </c:pt>
                <c:pt idx="64">
                  <c:v>07/05</c:v>
                </c:pt>
                <c:pt idx="65">
                  <c:v>07/06</c:v>
                </c:pt>
                <c:pt idx="66">
                  <c:v>07/07</c:v>
                </c:pt>
                <c:pt idx="67">
                  <c:v>07/08</c:v>
                </c:pt>
                <c:pt idx="68">
                  <c:v>07/09</c:v>
                </c:pt>
                <c:pt idx="69">
                  <c:v>07/10</c:v>
                </c:pt>
                <c:pt idx="70">
                  <c:v>08/01</c:v>
                </c:pt>
                <c:pt idx="71">
                  <c:v>08/02</c:v>
                </c:pt>
                <c:pt idx="72">
                  <c:v>08/03</c:v>
                </c:pt>
                <c:pt idx="73">
                  <c:v>08/04</c:v>
                </c:pt>
                <c:pt idx="74">
                  <c:v>08/05</c:v>
                </c:pt>
                <c:pt idx="75">
                  <c:v>08/06</c:v>
                </c:pt>
                <c:pt idx="76">
                  <c:v>08/07</c:v>
                </c:pt>
                <c:pt idx="77">
                  <c:v>08/08</c:v>
                </c:pt>
                <c:pt idx="78">
                  <c:v>08/09</c:v>
                </c:pt>
                <c:pt idx="79">
                  <c:v>08/10</c:v>
                </c:pt>
              </c:strCache>
            </c:strRef>
          </c:cat>
          <c:val>
            <c:numRef>
              <c:f>'1. Company_Valuation'!$M$2:$M$81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-300</c:v>
                </c:pt>
                <c:pt idx="4">
                  <c:v>1354.06</c:v>
                </c:pt>
                <c:pt idx="5">
                  <c:v>2527.4299999999998</c:v>
                </c:pt>
                <c:pt idx="6">
                  <c:v>4081.59</c:v>
                </c:pt>
                <c:pt idx="7">
                  <c:v>6342.9</c:v>
                </c:pt>
                <c:pt idx="8">
                  <c:v>8559.84</c:v>
                </c:pt>
                <c:pt idx="9">
                  <c:v>8555.91</c:v>
                </c:pt>
                <c:pt idx="10">
                  <c:v>9861.15</c:v>
                </c:pt>
                <c:pt idx="11">
                  <c:v>10647.3</c:v>
                </c:pt>
                <c:pt idx="12">
                  <c:v>13707.97</c:v>
                </c:pt>
                <c:pt idx="13">
                  <c:v>15540.53</c:v>
                </c:pt>
                <c:pt idx="14">
                  <c:v>17849.78</c:v>
                </c:pt>
                <c:pt idx="15">
                  <c:v>20300.38</c:v>
                </c:pt>
                <c:pt idx="16">
                  <c:v>21304.39</c:v>
                </c:pt>
                <c:pt idx="17">
                  <c:v>24163.87</c:v>
                </c:pt>
                <c:pt idx="18">
                  <c:v>25735.62</c:v>
                </c:pt>
                <c:pt idx="19">
                  <c:v>25930.36</c:v>
                </c:pt>
                <c:pt idx="20">
                  <c:v>26149.69</c:v>
                </c:pt>
                <c:pt idx="21">
                  <c:v>26694.87</c:v>
                </c:pt>
                <c:pt idx="22">
                  <c:v>28496.31</c:v>
                </c:pt>
                <c:pt idx="23">
                  <c:v>31105.66</c:v>
                </c:pt>
                <c:pt idx="24">
                  <c:v>31800.35</c:v>
                </c:pt>
                <c:pt idx="25">
                  <c:v>32687.11</c:v>
                </c:pt>
                <c:pt idx="26">
                  <c:v>34917.57</c:v>
                </c:pt>
                <c:pt idx="27">
                  <c:v>36796.21</c:v>
                </c:pt>
                <c:pt idx="28">
                  <c:v>39283.82</c:v>
                </c:pt>
                <c:pt idx="29">
                  <c:v>41055.71</c:v>
                </c:pt>
                <c:pt idx="30">
                  <c:v>44288.79</c:v>
                </c:pt>
                <c:pt idx="31">
                  <c:v>45622.71</c:v>
                </c:pt>
                <c:pt idx="32">
                  <c:v>47725.27</c:v>
                </c:pt>
                <c:pt idx="33">
                  <c:v>48711.32</c:v>
                </c:pt>
                <c:pt idx="34">
                  <c:v>50687.19</c:v>
                </c:pt>
                <c:pt idx="35">
                  <c:v>52317.68</c:v>
                </c:pt>
                <c:pt idx="36">
                  <c:v>54657.24</c:v>
                </c:pt>
                <c:pt idx="37">
                  <c:v>56577.73</c:v>
                </c:pt>
                <c:pt idx="38">
                  <c:v>57447.39</c:v>
                </c:pt>
                <c:pt idx="39">
                  <c:v>57948.639999999999</c:v>
                </c:pt>
                <c:pt idx="40">
                  <c:v>59968.69</c:v>
                </c:pt>
                <c:pt idx="41">
                  <c:v>62002.53</c:v>
                </c:pt>
                <c:pt idx="42">
                  <c:v>63664.27</c:v>
                </c:pt>
                <c:pt idx="43">
                  <c:v>65132.39</c:v>
                </c:pt>
                <c:pt idx="44">
                  <c:v>67118.63</c:v>
                </c:pt>
                <c:pt idx="45">
                  <c:v>68800.23</c:v>
                </c:pt>
                <c:pt idx="46">
                  <c:v>69210.509999999995</c:v>
                </c:pt>
                <c:pt idx="47">
                  <c:v>72424.91</c:v>
                </c:pt>
                <c:pt idx="48">
                  <c:v>74190.34</c:v>
                </c:pt>
                <c:pt idx="49">
                  <c:v>76618.84</c:v>
                </c:pt>
                <c:pt idx="50">
                  <c:v>78635.360000000001</c:v>
                </c:pt>
                <c:pt idx="51">
                  <c:v>80792.67</c:v>
                </c:pt>
                <c:pt idx="52">
                  <c:v>81625.48</c:v>
                </c:pt>
                <c:pt idx="53">
                  <c:v>84133.68</c:v>
                </c:pt>
                <c:pt idx="54">
                  <c:v>86178.61</c:v>
                </c:pt>
                <c:pt idx="55">
                  <c:v>88058.43</c:v>
                </c:pt>
                <c:pt idx="56">
                  <c:v>89150.85</c:v>
                </c:pt>
                <c:pt idx="57">
                  <c:v>91431.81</c:v>
                </c:pt>
                <c:pt idx="58">
                  <c:v>93731.199999999997</c:v>
                </c:pt>
                <c:pt idx="59">
                  <c:v>95722.68</c:v>
                </c:pt>
                <c:pt idx="60">
                  <c:v>97241.74</c:v>
                </c:pt>
                <c:pt idx="61">
                  <c:v>100330.19</c:v>
                </c:pt>
                <c:pt idx="62">
                  <c:v>102329.2</c:v>
                </c:pt>
                <c:pt idx="63">
                  <c:v>103581.22</c:v>
                </c:pt>
                <c:pt idx="64">
                  <c:v>106291.76</c:v>
                </c:pt>
                <c:pt idx="65">
                  <c:v>108558.8</c:v>
                </c:pt>
                <c:pt idx="66">
                  <c:v>110235.03</c:v>
                </c:pt>
                <c:pt idx="67">
                  <c:v>115041.06</c:v>
                </c:pt>
                <c:pt idx="68">
                  <c:v>116474.17</c:v>
                </c:pt>
                <c:pt idx="69">
                  <c:v>120082.4</c:v>
                </c:pt>
                <c:pt idx="70">
                  <c:v>121256.14</c:v>
                </c:pt>
                <c:pt idx="71">
                  <c:v>123371.45</c:v>
                </c:pt>
                <c:pt idx="72">
                  <c:v>126127.48</c:v>
                </c:pt>
                <c:pt idx="73">
                  <c:v>128069.39</c:v>
                </c:pt>
                <c:pt idx="74">
                  <c:v>131174.17000000001</c:v>
                </c:pt>
                <c:pt idx="75">
                  <c:v>134208.04999999999</c:v>
                </c:pt>
                <c:pt idx="76">
                  <c:v>135595</c:v>
                </c:pt>
                <c:pt idx="77">
                  <c:v>138349.07</c:v>
                </c:pt>
                <c:pt idx="78">
                  <c:v>140542.24</c:v>
                </c:pt>
                <c:pt idx="79">
                  <c:v>142478.35999999999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B-F34C-BFAC-D82B0A5FC0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44173120"/>
        <c:axId val="1250928704"/>
      </c:barChart>
      <c:lineChart>
        <c:grouping val="standard"/>
        <c:varyColors val="0"/>
        <c:ser>
          <c:idx val="1"/>
          <c:order val="1"/>
          <c:tx>
            <c:strRef>
              <c:f>'1. Company_Valuation'!$S$1</c:f>
              <c:strCache>
                <c:ptCount val="1"/>
                <c:pt idx="0">
                  <c:v>COMPANY_VALUATION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Century" panose="020406040505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Company_Valuation'!$F$2:$F$81</c:f>
              <c:strCache>
                <c:ptCount val="80"/>
                <c:pt idx="0">
                  <c:v>01/01</c:v>
                </c:pt>
                <c:pt idx="1">
                  <c:v>01/02</c:v>
                </c:pt>
                <c:pt idx="2">
                  <c:v>01/03</c:v>
                </c:pt>
                <c:pt idx="3">
                  <c:v>01/04</c:v>
                </c:pt>
                <c:pt idx="4">
                  <c:v>01/05</c:v>
                </c:pt>
                <c:pt idx="5">
                  <c:v>01/06</c:v>
                </c:pt>
                <c:pt idx="6">
                  <c:v>01/07</c:v>
                </c:pt>
                <c:pt idx="7">
                  <c:v>01/08</c:v>
                </c:pt>
                <c:pt idx="8">
                  <c:v>01/09</c:v>
                </c:pt>
                <c:pt idx="9">
                  <c:v>01/10</c:v>
                </c:pt>
                <c:pt idx="10">
                  <c:v>02/01</c:v>
                </c:pt>
                <c:pt idx="11">
                  <c:v>02/02</c:v>
                </c:pt>
                <c:pt idx="12">
                  <c:v>02/03</c:v>
                </c:pt>
                <c:pt idx="13">
                  <c:v>02/04</c:v>
                </c:pt>
                <c:pt idx="14">
                  <c:v>02/05</c:v>
                </c:pt>
                <c:pt idx="15">
                  <c:v>02/06</c:v>
                </c:pt>
                <c:pt idx="16">
                  <c:v>02/07</c:v>
                </c:pt>
                <c:pt idx="17">
                  <c:v>02/08</c:v>
                </c:pt>
                <c:pt idx="18">
                  <c:v>02/09</c:v>
                </c:pt>
                <c:pt idx="19">
                  <c:v>02/10</c:v>
                </c:pt>
                <c:pt idx="20">
                  <c:v>03/01</c:v>
                </c:pt>
                <c:pt idx="21">
                  <c:v>03/02</c:v>
                </c:pt>
                <c:pt idx="22">
                  <c:v>03/03</c:v>
                </c:pt>
                <c:pt idx="23">
                  <c:v>03/04</c:v>
                </c:pt>
                <c:pt idx="24">
                  <c:v>03/05</c:v>
                </c:pt>
                <c:pt idx="25">
                  <c:v>03/06</c:v>
                </c:pt>
                <c:pt idx="26">
                  <c:v>03/07</c:v>
                </c:pt>
                <c:pt idx="27">
                  <c:v>03/08</c:v>
                </c:pt>
                <c:pt idx="28">
                  <c:v>03/09</c:v>
                </c:pt>
                <c:pt idx="29">
                  <c:v>03/10</c:v>
                </c:pt>
                <c:pt idx="30">
                  <c:v>04/01</c:v>
                </c:pt>
                <c:pt idx="31">
                  <c:v>04/02</c:v>
                </c:pt>
                <c:pt idx="32">
                  <c:v>04/03</c:v>
                </c:pt>
                <c:pt idx="33">
                  <c:v>04/04</c:v>
                </c:pt>
                <c:pt idx="34">
                  <c:v>04/05</c:v>
                </c:pt>
                <c:pt idx="35">
                  <c:v>04/06</c:v>
                </c:pt>
                <c:pt idx="36">
                  <c:v>04/07</c:v>
                </c:pt>
                <c:pt idx="37">
                  <c:v>04/08</c:v>
                </c:pt>
                <c:pt idx="38">
                  <c:v>04/09</c:v>
                </c:pt>
                <c:pt idx="39">
                  <c:v>04/10</c:v>
                </c:pt>
                <c:pt idx="40">
                  <c:v>05/01</c:v>
                </c:pt>
                <c:pt idx="41">
                  <c:v>05/02</c:v>
                </c:pt>
                <c:pt idx="42">
                  <c:v>05/03</c:v>
                </c:pt>
                <c:pt idx="43">
                  <c:v>05/04</c:v>
                </c:pt>
                <c:pt idx="44">
                  <c:v>05/05</c:v>
                </c:pt>
                <c:pt idx="45">
                  <c:v>05/06</c:v>
                </c:pt>
                <c:pt idx="46">
                  <c:v>05/07</c:v>
                </c:pt>
                <c:pt idx="47">
                  <c:v>05/08</c:v>
                </c:pt>
                <c:pt idx="48">
                  <c:v>05/09</c:v>
                </c:pt>
                <c:pt idx="49">
                  <c:v>05/10</c:v>
                </c:pt>
                <c:pt idx="50">
                  <c:v>06/01</c:v>
                </c:pt>
                <c:pt idx="51">
                  <c:v>06/02</c:v>
                </c:pt>
                <c:pt idx="52">
                  <c:v>06/03</c:v>
                </c:pt>
                <c:pt idx="53">
                  <c:v>06/04</c:v>
                </c:pt>
                <c:pt idx="54">
                  <c:v>06/05</c:v>
                </c:pt>
                <c:pt idx="55">
                  <c:v>06/06</c:v>
                </c:pt>
                <c:pt idx="56">
                  <c:v>06/07</c:v>
                </c:pt>
                <c:pt idx="57">
                  <c:v>06/08</c:v>
                </c:pt>
                <c:pt idx="58">
                  <c:v>06/09</c:v>
                </c:pt>
                <c:pt idx="59">
                  <c:v>06/10</c:v>
                </c:pt>
                <c:pt idx="60">
                  <c:v>07/01</c:v>
                </c:pt>
                <c:pt idx="61">
                  <c:v>07/02</c:v>
                </c:pt>
                <c:pt idx="62">
                  <c:v>07/03</c:v>
                </c:pt>
                <c:pt idx="63">
                  <c:v>07/04</c:v>
                </c:pt>
                <c:pt idx="64">
                  <c:v>07/05</c:v>
                </c:pt>
                <c:pt idx="65">
                  <c:v>07/06</c:v>
                </c:pt>
                <c:pt idx="66">
                  <c:v>07/07</c:v>
                </c:pt>
                <c:pt idx="67">
                  <c:v>07/08</c:v>
                </c:pt>
                <c:pt idx="68">
                  <c:v>07/09</c:v>
                </c:pt>
                <c:pt idx="69">
                  <c:v>07/10</c:v>
                </c:pt>
                <c:pt idx="70">
                  <c:v>08/01</c:v>
                </c:pt>
                <c:pt idx="71">
                  <c:v>08/02</c:v>
                </c:pt>
                <c:pt idx="72">
                  <c:v>08/03</c:v>
                </c:pt>
                <c:pt idx="73">
                  <c:v>08/04</c:v>
                </c:pt>
                <c:pt idx="74">
                  <c:v>08/05</c:v>
                </c:pt>
                <c:pt idx="75">
                  <c:v>08/06</c:v>
                </c:pt>
                <c:pt idx="76">
                  <c:v>08/07</c:v>
                </c:pt>
                <c:pt idx="77">
                  <c:v>08/08</c:v>
                </c:pt>
                <c:pt idx="78">
                  <c:v>08/09</c:v>
                </c:pt>
                <c:pt idx="79">
                  <c:v>08/10</c:v>
                </c:pt>
              </c:strCache>
            </c:strRef>
          </c:cat>
          <c:val>
            <c:numRef>
              <c:f>'1. Company_Valuation'!$S$2:$S$81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-60000</c:v>
                </c:pt>
                <c:pt idx="4">
                  <c:v>216649.60000000001</c:v>
                </c:pt>
                <c:pt idx="5">
                  <c:v>336990.67</c:v>
                </c:pt>
                <c:pt idx="6">
                  <c:v>466467.43</c:v>
                </c:pt>
                <c:pt idx="7">
                  <c:v>634290</c:v>
                </c:pt>
                <c:pt idx="8">
                  <c:v>760874.67</c:v>
                </c:pt>
                <c:pt idx="9">
                  <c:v>684472.8</c:v>
                </c:pt>
                <c:pt idx="10">
                  <c:v>717174.55</c:v>
                </c:pt>
                <c:pt idx="11">
                  <c:v>709820</c:v>
                </c:pt>
                <c:pt idx="12">
                  <c:v>843567.38</c:v>
                </c:pt>
                <c:pt idx="13">
                  <c:v>888030.29</c:v>
                </c:pt>
                <c:pt idx="14">
                  <c:v>951988.27</c:v>
                </c:pt>
                <c:pt idx="15">
                  <c:v>1015019</c:v>
                </c:pt>
                <c:pt idx="16">
                  <c:v>1002559.53</c:v>
                </c:pt>
                <c:pt idx="17">
                  <c:v>1073949.78</c:v>
                </c:pt>
                <c:pt idx="18">
                  <c:v>1083605.05</c:v>
                </c:pt>
                <c:pt idx="19">
                  <c:v>1037214.4</c:v>
                </c:pt>
                <c:pt idx="20">
                  <c:v>996178.67</c:v>
                </c:pt>
                <c:pt idx="21">
                  <c:v>970722.55</c:v>
                </c:pt>
                <c:pt idx="22">
                  <c:v>991176</c:v>
                </c:pt>
                <c:pt idx="23">
                  <c:v>1036855.33</c:v>
                </c:pt>
                <c:pt idx="24">
                  <c:v>1017611.2</c:v>
                </c:pt>
                <c:pt idx="25">
                  <c:v>1005757.23</c:v>
                </c:pt>
                <c:pt idx="26">
                  <c:v>1034594.67</c:v>
                </c:pt>
                <c:pt idx="27">
                  <c:v>1051320.29</c:v>
                </c:pt>
                <c:pt idx="28">
                  <c:v>1083691.5900000001</c:v>
                </c:pt>
                <c:pt idx="29">
                  <c:v>1094818.93</c:v>
                </c:pt>
                <c:pt idx="30">
                  <c:v>1142936.52</c:v>
                </c:pt>
                <c:pt idx="31">
                  <c:v>1140567.75</c:v>
                </c:pt>
                <c:pt idx="32">
                  <c:v>1156976.24</c:v>
                </c:pt>
                <c:pt idx="33">
                  <c:v>1146148.71</c:v>
                </c:pt>
                <c:pt idx="34">
                  <c:v>1158564.3400000001</c:v>
                </c:pt>
                <c:pt idx="35">
                  <c:v>1162615.1100000001</c:v>
                </c:pt>
                <c:pt idx="36">
                  <c:v>1181778.1599999999</c:v>
                </c:pt>
                <c:pt idx="37">
                  <c:v>1191110.1100000001</c:v>
                </c:pt>
                <c:pt idx="38">
                  <c:v>1178408</c:v>
                </c:pt>
                <c:pt idx="39">
                  <c:v>1158972.8</c:v>
                </c:pt>
                <c:pt idx="40">
                  <c:v>1170120.78</c:v>
                </c:pt>
                <c:pt idx="41">
                  <c:v>1181000.57</c:v>
                </c:pt>
                <c:pt idx="42">
                  <c:v>1184451.53</c:v>
                </c:pt>
                <c:pt idx="43">
                  <c:v>1184225.27</c:v>
                </c:pt>
                <c:pt idx="44">
                  <c:v>1193220.0900000001</c:v>
                </c:pt>
                <c:pt idx="45">
                  <c:v>1196525.74</c:v>
                </c:pt>
                <c:pt idx="46">
                  <c:v>1178051.23</c:v>
                </c:pt>
                <c:pt idx="47">
                  <c:v>1207081.83</c:v>
                </c:pt>
                <c:pt idx="48">
                  <c:v>1211270.8600000001</c:v>
                </c:pt>
                <c:pt idx="49">
                  <c:v>1225901.44</c:v>
                </c:pt>
                <c:pt idx="50">
                  <c:v>1233495.8400000001</c:v>
                </c:pt>
                <c:pt idx="51">
                  <c:v>1242964.1499999999</c:v>
                </c:pt>
                <c:pt idx="52">
                  <c:v>1232082.72</c:v>
                </c:pt>
                <c:pt idx="53">
                  <c:v>1246424.8899999999</c:v>
                </c:pt>
                <c:pt idx="54">
                  <c:v>1253507.05</c:v>
                </c:pt>
                <c:pt idx="55">
                  <c:v>1257977.57</c:v>
                </c:pt>
                <c:pt idx="56">
                  <c:v>1251240</c:v>
                </c:pt>
                <c:pt idx="57">
                  <c:v>1261128.4099999999</c:v>
                </c:pt>
                <c:pt idx="58">
                  <c:v>1270931.53</c:v>
                </c:pt>
                <c:pt idx="59">
                  <c:v>1276302.3999999999</c:v>
                </c:pt>
                <c:pt idx="60">
                  <c:v>1275301.51</c:v>
                </c:pt>
                <c:pt idx="61">
                  <c:v>1294583.1000000001</c:v>
                </c:pt>
                <c:pt idx="62">
                  <c:v>1299418.4099999999</c:v>
                </c:pt>
                <c:pt idx="63">
                  <c:v>1294765.25</c:v>
                </c:pt>
                <c:pt idx="64">
                  <c:v>1308206.28</c:v>
                </c:pt>
                <c:pt idx="65">
                  <c:v>1315864.24</c:v>
                </c:pt>
                <c:pt idx="66">
                  <c:v>1316239.1599999999</c:v>
                </c:pt>
                <c:pt idx="67">
                  <c:v>1353424.24</c:v>
                </c:pt>
                <c:pt idx="68">
                  <c:v>1350425.16</c:v>
                </c:pt>
                <c:pt idx="69">
                  <c:v>1372370.29</c:v>
                </c:pt>
                <c:pt idx="70">
                  <c:v>1366266.37</c:v>
                </c:pt>
                <c:pt idx="71">
                  <c:v>1370793.89</c:v>
                </c:pt>
                <c:pt idx="72">
                  <c:v>1382218.96</c:v>
                </c:pt>
                <c:pt idx="73">
                  <c:v>1384533.95</c:v>
                </c:pt>
                <c:pt idx="74">
                  <c:v>1399191.15</c:v>
                </c:pt>
                <c:pt idx="75">
                  <c:v>1412716.32</c:v>
                </c:pt>
                <c:pt idx="76">
                  <c:v>1408779.22</c:v>
                </c:pt>
                <c:pt idx="77">
                  <c:v>1418964.82</c:v>
                </c:pt>
                <c:pt idx="78">
                  <c:v>1423212.56</c:v>
                </c:pt>
                <c:pt idx="79">
                  <c:v>1424783.6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B-F34C-BFAC-D82B0A5FC0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5405888"/>
        <c:axId val="1156565632"/>
      </c:lineChart>
      <c:catAx>
        <c:axId val="12441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" panose="02040604050505020304" pitchFamily="18" charset="0"/>
                <a:ea typeface="+mn-ea"/>
                <a:cs typeface="+mn-cs"/>
              </a:defRPr>
            </a:pPr>
            <a:endParaRPr lang="en-US"/>
          </a:p>
        </c:txPr>
        <c:crossAx val="1250928704"/>
        <c:auto val="1"/>
        <c:lblAlgn val="ctr"/>
        <c:lblOffset val="100"/>
        <c:noMultiLvlLbl val="0"/>
      </c:catAx>
      <c:valAx>
        <c:axId val="1250928704"/>
        <c:scaling>
          <c:orientation val="minMax"/>
          <c:max val="1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entury" panose="02040604050505020304" pitchFamily="18" charset="0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entury" panose="020406040505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" panose="02040604050505020304" pitchFamily="18" charset="0"/>
                <a:ea typeface="+mn-ea"/>
                <a:cs typeface="+mn-cs"/>
              </a:defRPr>
            </a:pPr>
            <a:endParaRPr lang="en-US"/>
          </a:p>
        </c:txPr>
        <c:crossAx val="1244173120"/>
        <c:crossBetween val="between"/>
      </c:valAx>
      <c:valAx>
        <c:axId val="1156565632"/>
        <c:scaling>
          <c:orientation val="minMax"/>
          <c:max val="15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entury" panose="02040604050505020304" pitchFamily="18" charset="0"/>
                    <a:ea typeface="+mn-ea"/>
                    <a:cs typeface="+mn-cs"/>
                  </a:defRPr>
                </a:pPr>
                <a:r>
                  <a:rPr lang="en-US"/>
                  <a:t>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entury" panose="020406040505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" panose="02040604050505020304" pitchFamily="18" charset="0"/>
                <a:ea typeface="+mn-ea"/>
                <a:cs typeface="+mn-cs"/>
              </a:defRPr>
            </a:pPr>
            <a:endParaRPr lang="en-US"/>
          </a:p>
        </c:txPr>
        <c:crossAx val="1235405888"/>
        <c:crosses val="max"/>
        <c:crossBetween val="between"/>
      </c:valAx>
      <c:catAx>
        <c:axId val="1235405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65656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" panose="020406040505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Century" panose="020406040505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694267</xdr:colOff>
      <xdr:row>81</xdr:row>
      <xdr:rowOff>184150</xdr:rowOff>
    </xdr:from>
    <xdr:to>
      <xdr:col>17</xdr:col>
      <xdr:colOff>393700</xdr:colOff>
      <xdr:row>124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654EB-6073-F862-472E-07609CCD7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96.875713773145" createdVersion="8" refreshedVersion="8" minRefreshableVersion="3" recordCount="80" xr:uid="{81CF1FA0-A87D-FB45-B790-804010A29821}">
  <cacheSource type="worksheet">
    <worksheetSource ref="A1:T1048576" sheet="1. Company_Valuation"/>
  </cacheSource>
  <cacheFields count="20">
    <cacheField name="ID" numFmtId="0">
      <sharedItems containsBlank="1"/>
    </cacheField>
    <cacheField name="ROW_ID" numFmtId="0">
      <sharedItems containsString="0" containsBlank="1" containsNumber="1" containsInteger="1" minValue="1" maxValue="78"/>
    </cacheField>
    <cacheField name="COMPANY_CODE" numFmtId="0">
      <sharedItems containsBlank="1"/>
    </cacheField>
    <cacheField name="SIM_ROUND" numFmtId="0">
      <sharedItems containsBlank="1"/>
    </cacheField>
    <cacheField name="SIM_STEP" numFmtId="0">
      <sharedItems containsBlank="1"/>
    </cacheField>
    <cacheField name="SIM_DATE" numFmtId="0">
      <sharedItems containsBlank="1" count="79">
        <s v="01/01"/>
        <s v="01/02"/>
        <s v="01/03"/>
        <s v="01/04"/>
        <s v="01/05"/>
        <s v="01/06"/>
        <s v="01/07"/>
        <s v="01/08"/>
        <s v="01/09"/>
        <s v="01/10"/>
        <s v="02/01"/>
        <s v="02/02"/>
        <s v="02/03"/>
        <s v="02/04"/>
        <s v="02/05"/>
        <s v="02/06"/>
        <s v="02/07"/>
        <s v="02/08"/>
        <s v="02/09"/>
        <s v="02/10"/>
        <s v="03/01"/>
        <s v="03/02"/>
        <s v="03/03"/>
        <s v="03/04"/>
        <s v="03/05"/>
        <s v="03/06"/>
        <s v="03/07"/>
        <s v="03/08"/>
        <s v="03/09"/>
        <s v="03/10"/>
        <s v="04/01"/>
        <s v="04/02"/>
        <s v="04/03"/>
        <s v="04/04"/>
        <s v="04/05"/>
        <s v="04/06"/>
        <s v="04/07"/>
        <s v="04/08"/>
        <s v="04/09"/>
        <s v="04/10"/>
        <s v="05/01"/>
        <s v="05/02"/>
        <s v="05/03"/>
        <s v="05/04"/>
        <s v="05/05"/>
        <s v="05/06"/>
        <s v="05/07"/>
        <s v="05/08"/>
        <s v="05/09"/>
        <s v="05/10"/>
        <s v="06/01"/>
        <s v="06/02"/>
        <s v="06/03"/>
        <s v="06/04"/>
        <s v="06/05"/>
        <s v="06/06"/>
        <s v="06/07"/>
        <s v="06/08"/>
        <s v="06/09"/>
        <s v="06/10"/>
        <s v="07/01"/>
        <s v="07/02"/>
        <s v="07/03"/>
        <s v="07/04"/>
        <s v="07/05"/>
        <s v="07/06"/>
        <s v="07/07"/>
        <s v="07/08"/>
        <s v="07/09"/>
        <s v="07/10"/>
        <s v="08/01"/>
        <s v="08/02"/>
        <s v="08/03"/>
        <s v="08/04"/>
        <s v="08/05"/>
        <s v="08/06"/>
        <s v="08/07"/>
        <s v="08/08"/>
        <m/>
      </sharedItems>
    </cacheField>
    <cacheField name="SIM_PERIOD" numFmtId="0">
      <sharedItems containsString="0" containsBlank="1" containsNumber="1" containsInteger="1" minValue="1" maxValue="16"/>
    </cacheField>
    <cacheField name="SIM_ELAPSED_STEPS" numFmtId="0">
      <sharedItems containsString="0" containsBlank="1" containsNumber="1" containsInteger="1" minValue="1" maxValue="78"/>
    </cacheField>
    <cacheField name="BANK_CASH_ACCOUNT" numFmtId="0">
      <sharedItems containsString="0" containsBlank="1" containsNumber="1" minValue="83390.720000000001" maxValue="306696.90999999997"/>
    </cacheField>
    <cacheField name="ACCOUNTS_RECEIVABLE" numFmtId="0">
      <sharedItems containsString="0" containsBlank="1" containsNumber="1" minValue="0" maxValue="96836.2"/>
    </cacheField>
    <cacheField name="BANK_LOAN" numFmtId="0">
      <sharedItems containsString="0" containsBlank="1" containsNumber="1" containsInteger="1" minValue="0" maxValue="0"/>
    </cacheField>
    <cacheField name="ACCOUNTS_PAYABLE" numFmtId="0">
      <sharedItems containsString="0" containsBlank="1" containsNumber="1" minValue="-173898.11" maxValue="0"/>
    </cacheField>
    <cacheField name="PROFIT" numFmtId="0">
      <sharedItems containsString="0" containsBlank="1" containsNumber="1" minValue="-300" maxValue="138349.07"/>
    </cacheField>
    <cacheField name="SETUP_TIME_INVESTMENT" numFmtId="0">
      <sharedItems containsString="0" containsBlank="1" containsNumber="1" containsInteger="1" minValue="0" maxValue="0"/>
    </cacheField>
    <cacheField name="DEBT_LOADING" numFmtId="0">
      <sharedItems containsString="0" containsBlank="1" containsNumber="1" minValue="84290.72" maxValue="333137.13"/>
    </cacheField>
    <cacheField name="CREDIT_RATING" numFmtId="0">
      <sharedItems containsBlank="1"/>
    </cacheField>
    <cacheField name="COMPANY_RISK_RATE_PCT" numFmtId="0">
      <sharedItems containsString="0" containsBlank="1" containsNumber="1" containsInteger="1" minValue="3" maxValue="3"/>
    </cacheField>
    <cacheField name="MARKET_RISK_RATE_PCT" numFmtId="0">
      <sharedItems containsString="0" containsBlank="1" containsNumber="1" containsInteger="1" minValue="7" maxValue="7"/>
    </cacheField>
    <cacheField name="COMPANY_VALUATION" numFmtId="0">
      <sharedItems containsString="0" containsBlank="1" containsNumber="1" minValue="-60000" maxValue="1418964.82"/>
    </cacheField>
    <cacheField name="CURRENC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96.875714004629" createdVersion="8" refreshedVersion="8" minRefreshableVersion="3" recordCount="661" xr:uid="{382F0CBB-46EE-574A-B07A-69D1F70527F4}">
  <cacheSource type="worksheet">
    <worksheetSource ref="A1:V1048576" sheet="Sales"/>
  </cacheSource>
  <cacheFields count="22">
    <cacheField name="ID" numFmtId="0">
      <sharedItems containsBlank="1"/>
    </cacheField>
    <cacheField name="ROW_ID" numFmtId="0">
      <sharedItems containsString="0" containsBlank="1" containsNumber="1" containsInteger="1" minValue="1" maxValue="660"/>
    </cacheField>
    <cacheField name="SALES_ORGANIZATION" numFmtId="0">
      <sharedItems containsBlank="1"/>
    </cacheField>
    <cacheField name="SIM_ROUND" numFmtId="0">
      <sharedItems containsBlank="1" count="9">
        <s v="01"/>
        <s v="02"/>
        <s v="03"/>
        <s v="04"/>
        <s v="05"/>
        <s v="06"/>
        <s v="07"/>
        <s v="08"/>
        <m/>
      </sharedItems>
    </cacheField>
    <cacheField name="SIM_STEP" numFmtId="0">
      <sharedItems containsBlank="1"/>
    </cacheField>
    <cacheField name="SIM_DATE" numFmtId="0">
      <sharedItems containsBlank="1" count="75">
        <s v="01/05"/>
        <s v="01/06"/>
        <s v="01/07"/>
        <s v="01/08"/>
        <s v="01/09"/>
        <s v="01/10"/>
        <s v="02/01"/>
        <s v="02/02"/>
        <s v="02/03"/>
        <s v="02/04"/>
        <s v="02/05"/>
        <s v="02/06"/>
        <s v="02/07"/>
        <s v="02/08"/>
        <s v="02/09"/>
        <s v="02/10"/>
        <s v="03/01"/>
        <s v="03/02"/>
        <s v="03/03"/>
        <s v="03/04"/>
        <s v="03/05"/>
        <s v="03/06"/>
        <s v="03/07"/>
        <s v="03/08"/>
        <s v="03/09"/>
        <s v="03/10"/>
        <s v="04/01"/>
        <s v="04/02"/>
        <s v="04/03"/>
        <s v="04/04"/>
        <s v="04/05"/>
        <s v="04/06"/>
        <s v="04/07"/>
        <s v="04/08"/>
        <s v="04/09"/>
        <s v="04/10"/>
        <s v="05/01"/>
        <s v="05/02"/>
        <s v="05/03"/>
        <s v="05/04"/>
        <s v="05/05"/>
        <s v="05/06"/>
        <s v="05/07"/>
        <s v="05/08"/>
        <s v="05/09"/>
        <s v="05/10"/>
        <s v="06/01"/>
        <s v="06/02"/>
        <s v="06/03"/>
        <s v="06/04"/>
        <s v="06/05"/>
        <s v="06/06"/>
        <s v="06/07"/>
        <s v="06/08"/>
        <s v="06/09"/>
        <s v="06/10"/>
        <s v="07/01"/>
        <s v="07/02"/>
        <s v="07/03"/>
        <s v="07/04"/>
        <s v="07/05"/>
        <s v="07/06"/>
        <s v="07/07"/>
        <s v="07/08"/>
        <s v="07/09"/>
        <s v="07/10"/>
        <s v="08/01"/>
        <s v="08/02"/>
        <s v="08/03"/>
        <s v="08/04"/>
        <s v="08/05"/>
        <s v="08/06"/>
        <s v="08/07"/>
        <s v="08/08"/>
        <m/>
      </sharedItems>
    </cacheField>
    <cacheField name="SIM_PERIOD" numFmtId="0">
      <sharedItems containsString="0" containsBlank="1" containsNumber="1" containsInteger="1" minValue="1" maxValue="16"/>
    </cacheField>
    <cacheField name="SIM_ELAPSED_STEPS" numFmtId="0">
      <sharedItems containsString="0" containsBlank="1" containsNumber="1" containsInteger="1" minValue="5" maxValue="78"/>
    </cacheField>
    <cacheField name="SALES_ORDER_NUMBER" numFmtId="0">
      <sharedItems containsBlank="1"/>
    </cacheField>
    <cacheField name="LINE_ITEM" numFmtId="0">
      <sharedItems containsBlank="1"/>
    </cacheField>
    <cacheField name="STORAGE_LOCATION" numFmtId="0">
      <sharedItems containsBlank="1" count="4">
        <s v="03N"/>
        <s v="03S"/>
        <s v="03W"/>
        <m/>
      </sharedItems>
    </cacheField>
    <cacheField name="AREA" numFmtId="0">
      <sharedItems containsBlank="1"/>
    </cacheField>
    <cacheField name="DISTRIBUTION_CHANNEL" numFmtId="0">
      <sharedItems containsBlank="1"/>
    </cacheField>
    <cacheField name="MATERIAL_NUMBER" numFmtId="0">
      <sharedItems containsBlank="1" count="7">
        <s v="DD-T01"/>
        <s v="DD-T03"/>
        <s v="DD-T04"/>
        <s v="DD-T02"/>
        <s v="DD-T05"/>
        <s v="DD-T06"/>
        <m/>
      </sharedItems>
    </cacheField>
    <cacheField name="MATERIAL_DESCRIPTION" numFmtId="0">
      <sharedItems containsBlank="1" count="7">
        <s v="Milk"/>
        <s v="Yoghurt"/>
        <s v="Cheese"/>
        <s v="Cream"/>
        <s v="Butter"/>
        <s v="Ice Cream"/>
        <m/>
      </sharedItems>
    </cacheField>
    <cacheField name="QUANTITY" numFmtId="0">
      <sharedItems containsString="0" containsBlank="1" containsNumber="1" containsInteger="1" minValue="1" maxValue="85"/>
    </cacheField>
    <cacheField name="QUANTITY_DELIVERED" numFmtId="0">
      <sharedItems containsString="0" containsBlank="1" containsNumber="1" containsInteger="1" minValue="1" maxValue="85"/>
    </cacheField>
    <cacheField name="UNIT" numFmtId="0">
      <sharedItems containsBlank="1"/>
    </cacheField>
    <cacheField name="NET_PRICE" numFmtId="0">
      <sharedItems containsString="0" containsBlank="1" containsNumber="1" minValue="28.18" maxValue="99.13"/>
    </cacheField>
    <cacheField name="NET_VALUE" numFmtId="0">
      <sharedItems containsString="0" containsBlank="1" containsNumber="1" minValue="29.35" maxValue="2481.59"/>
    </cacheField>
    <cacheField name="COST" numFmtId="0">
      <sharedItems containsString="0" containsBlank="1" containsNumber="1" minValue="23.16" maxValue="2268.54"/>
    </cacheField>
    <cacheField name="CURRENC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96.875714236114" createdVersion="8" refreshedVersion="8" minRefreshableVersion="3" recordCount="1897" xr:uid="{15F96C0F-03FA-9B4F-B30F-471A6C925FDF}">
  <cacheSource type="worksheet">
    <worksheetSource ref="A1:M1048576" sheet="Inventory (2)"/>
  </cacheSource>
  <cacheFields count="13">
    <cacheField name="ID" numFmtId="0">
      <sharedItems containsBlank="1"/>
    </cacheField>
    <cacheField name="ROW_ID" numFmtId="0">
      <sharedItems containsString="0" containsBlank="1" containsNumber="1" containsInteger="1" minValue="1" maxValue="1896"/>
    </cacheField>
    <cacheField name="PLANT" numFmtId="0">
      <sharedItems containsBlank="1"/>
    </cacheField>
    <cacheField name="SIM_ROUND" numFmtId="0">
      <sharedItems containsBlank="1"/>
    </cacheField>
    <cacheField name="SIM_STEP" numFmtId="0">
      <sharedItems containsBlank="1"/>
    </cacheField>
    <cacheField name="SIM_DATE" numFmtId="0">
      <sharedItems containsBlank="1" count="80">
        <s v="01/01"/>
        <s v="01/02"/>
        <s v="01/03"/>
        <s v="01/04"/>
        <s v="01/05"/>
        <s v="01/06"/>
        <s v="01/07"/>
        <s v="01/08"/>
        <s v="01/09"/>
        <s v="01/10"/>
        <s v="02/01"/>
        <s v="02/02"/>
        <s v="02/03"/>
        <s v="02/04"/>
        <s v="02/05"/>
        <s v="02/06"/>
        <s v="02/07"/>
        <s v="02/08"/>
        <s v="02/09"/>
        <s v="02/10"/>
        <s v="03/01"/>
        <s v="03/02"/>
        <s v="03/03"/>
        <s v="03/04"/>
        <s v="03/05"/>
        <s v="03/06"/>
        <s v="03/07"/>
        <s v="03/08"/>
        <s v="03/09"/>
        <s v="03/10"/>
        <s v="04/01"/>
        <s v="04/02"/>
        <s v="04/03"/>
        <s v="04/04"/>
        <s v="04/05"/>
        <s v="04/06"/>
        <s v="04/07"/>
        <s v="04/08"/>
        <s v="04/09"/>
        <s v="04/10"/>
        <s v="05/01"/>
        <s v="05/02"/>
        <s v="05/03"/>
        <s v="05/04"/>
        <s v="05/05"/>
        <s v="05/06"/>
        <s v="05/07"/>
        <s v="05/08"/>
        <s v="05/09"/>
        <s v="05/10"/>
        <s v="06/01"/>
        <s v="06/02"/>
        <s v="06/03"/>
        <s v="06/04"/>
        <s v="06/05"/>
        <s v="06/06"/>
        <s v="06/07"/>
        <s v="06/08"/>
        <s v="06/09"/>
        <s v="06/10"/>
        <s v="07/01"/>
        <s v="07/02"/>
        <s v="07/03"/>
        <s v="07/04"/>
        <s v="07/05"/>
        <s v="07/06"/>
        <s v="07/07"/>
        <s v="07/08"/>
        <s v="07/09"/>
        <s v="07/10"/>
        <s v="08/01"/>
        <s v="08/02"/>
        <s v="08/03"/>
        <s v="08/04"/>
        <s v="08/05"/>
        <s v="08/06"/>
        <s v="08/07"/>
        <s v="08/08"/>
        <s v="08/09"/>
        <m/>
      </sharedItems>
    </cacheField>
    <cacheField name="SIM_PERIOD" numFmtId="0">
      <sharedItems containsString="0" containsBlank="1" containsNumber="1" containsInteger="1" minValue="1" maxValue="16"/>
    </cacheField>
    <cacheField name="SIM_ELAPSED_STEPS" numFmtId="0">
      <sharedItems containsString="0" containsBlank="1" containsNumber="1" containsInteger="1" minValue="1" maxValue="79"/>
    </cacheField>
    <cacheField name="STORAGE_LOCATION" numFmtId="0">
      <sharedItems containsBlank="1" count="5">
        <s v="03"/>
        <s v="03N"/>
        <s v="03S"/>
        <s v="03W"/>
        <m/>
      </sharedItems>
    </cacheField>
    <cacheField name="MATERIAL_NUMBER" numFmtId="0">
      <sharedItems containsBlank="1" count="7">
        <s v="DD-T01"/>
        <s v="DD-T02"/>
        <s v="DD-T03"/>
        <s v="DD-T04"/>
        <s v="DD-T05"/>
        <s v="DD-T06"/>
        <m/>
      </sharedItems>
    </cacheField>
    <cacheField name="MATERIAL_DESCRIPTION" numFmtId="0">
      <sharedItems containsBlank="1" count="7">
        <s v="Milk"/>
        <s v="Cream"/>
        <s v="Yoghurt"/>
        <s v="Cheese"/>
        <s v="Butter"/>
        <s v="Ice Cream"/>
        <m/>
      </sharedItems>
    </cacheField>
    <cacheField name="INVENTORY_OPENING_BALANCE" numFmtId="0">
      <sharedItems containsString="0" containsBlank="1" containsNumber="1" containsInteger="1" minValue="0" maxValue="1400"/>
    </cacheField>
    <cacheField name="UNI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96.875714351852" createdVersion="8" refreshedVersion="8" minRefreshableVersion="3" recordCount="489" xr:uid="{9664B437-3DD2-AD42-8E28-D233DE1494BE}">
  <cacheSource type="worksheet">
    <worksheetSource ref="A1:M1048576" sheet="Stock_Transfers (2)"/>
  </cacheSource>
  <cacheFields count="13">
    <cacheField name="ID" numFmtId="0">
      <sharedItems containsBlank="1"/>
    </cacheField>
    <cacheField name="ROW_ID" numFmtId="0">
      <sharedItems containsString="0" containsBlank="1" containsNumber="1" containsInteger="1" minValue="1" maxValue="488"/>
    </cacheField>
    <cacheField name="PLANT" numFmtId="0">
      <sharedItems containsBlank="1"/>
    </cacheField>
    <cacheField name="SIM_ROUND" numFmtId="0">
      <sharedItems containsBlank="1"/>
    </cacheField>
    <cacheField name="SIM_STEP" numFmtId="0">
      <sharedItems containsBlank="1"/>
    </cacheField>
    <cacheField name="SIM_DATE" numFmtId="0">
      <sharedItems containsBlank="1" count="62">
        <s v="01/04"/>
        <s v="01/06"/>
        <s v="01/07"/>
        <s v="01/08"/>
        <s v="01/09"/>
        <s v="01/10"/>
        <s v="02/01"/>
        <s v="02/02"/>
        <s v="02/03"/>
        <s v="02/04"/>
        <s v="02/05"/>
        <s v="02/06"/>
        <s v="02/07"/>
        <s v="02/08"/>
        <s v="02/09"/>
        <s v="02/10"/>
        <s v="03/01"/>
        <s v="03/02"/>
        <s v="03/03"/>
        <s v="03/04"/>
        <s v="03/05"/>
        <s v="03/06"/>
        <s v="03/07"/>
        <s v="03/08"/>
        <s v="03/09"/>
        <s v="03/10"/>
        <s v="04/01"/>
        <s v="04/02"/>
        <s v="04/03"/>
        <s v="04/04"/>
        <s v="04/05"/>
        <s v="04/06"/>
        <s v="04/07"/>
        <s v="04/08"/>
        <s v="04/09"/>
        <s v="04/10"/>
        <s v="05/01"/>
        <s v="05/02"/>
        <s v="05/03"/>
        <s v="05/04"/>
        <s v="05/05"/>
        <s v="05/06"/>
        <s v="05/07"/>
        <s v="05/08"/>
        <s v="05/09"/>
        <s v="05/10"/>
        <s v="06/01"/>
        <s v="06/03"/>
        <s v="06/06"/>
        <s v="06/07"/>
        <s v="06/10"/>
        <s v="07/01"/>
        <s v="07/04"/>
        <s v="07/05"/>
        <s v="07/07"/>
        <s v="07/09"/>
        <s v="08/01"/>
        <s v="08/03"/>
        <s v="08/05"/>
        <s v="08/07"/>
        <s v="08/08"/>
        <m/>
      </sharedItems>
    </cacheField>
    <cacheField name="SIM_PERIOD" numFmtId="0">
      <sharedItems containsString="0" containsBlank="1" containsNumber="1" containsInteger="1" minValue="1" maxValue="16"/>
    </cacheField>
    <cacheField name="SIM_ELAPSED_STEPS" numFmtId="0">
      <sharedItems containsString="0" containsBlank="1" containsNumber="1" containsInteger="1" minValue="4" maxValue="78"/>
    </cacheField>
    <cacheField name="STORAGE_LOCATION" numFmtId="0">
      <sharedItems containsBlank="1" count="4">
        <s v="03S"/>
        <s v="03N"/>
        <s v="03W"/>
        <m/>
      </sharedItems>
    </cacheField>
    <cacheField name="MATERIAL_NUMBER" numFmtId="0">
      <sharedItems containsBlank="1" count="7">
        <s v="DD-T01"/>
        <s v="DD-T02"/>
        <s v="DD-T03"/>
        <s v="DD-T04"/>
        <s v="DD-T05"/>
        <s v="DD-T06"/>
        <m/>
      </sharedItems>
    </cacheField>
    <cacheField name="MATERIAL_DESCRIPTION" numFmtId="0">
      <sharedItems containsBlank="1" count="7">
        <s v="Milk"/>
        <s v="Cream"/>
        <s v="Yoghurt"/>
        <s v="Cheese"/>
        <s v="Butter"/>
        <s v="Ice Cream"/>
        <m/>
      </sharedItems>
    </cacheField>
    <cacheField name="UNIT" numFmtId="0">
      <sharedItems containsBlank="1"/>
    </cacheField>
    <cacheField name="QUANTITY" numFmtId="0">
      <sharedItems containsString="0" containsBlank="1" containsNumber="1" containsInteger="1" minValue="1" maxValue="6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.1~1"/>
    <n v="1"/>
    <s v="D2"/>
    <s v="01"/>
    <s v="01"/>
    <x v="0"/>
    <n v="1"/>
    <n v="1"/>
    <n v="250000"/>
    <n v="0"/>
    <n v="0"/>
    <n v="0"/>
    <n v="0"/>
    <n v="0"/>
    <n v="250000"/>
    <s v="AAA+"/>
    <n v="3"/>
    <n v="7"/>
    <n v="0"/>
    <s v="EUR"/>
  </r>
  <r>
    <s v=".1~2"/>
    <n v="2"/>
    <s v="D2"/>
    <s v="01"/>
    <s v="02"/>
    <x v="1"/>
    <n v="1"/>
    <n v="2"/>
    <n v="250000"/>
    <n v="0"/>
    <n v="0"/>
    <n v="0"/>
    <n v="0"/>
    <n v="0"/>
    <n v="250000"/>
    <s v="AAA+"/>
    <n v="3"/>
    <n v="7"/>
    <n v="0"/>
    <s v="EUR"/>
  </r>
  <r>
    <s v=".1~3"/>
    <n v="3"/>
    <s v="D2"/>
    <s v="01"/>
    <s v="03"/>
    <x v="2"/>
    <n v="1"/>
    <n v="3"/>
    <n v="250000"/>
    <n v="0"/>
    <n v="0"/>
    <n v="-165409.28"/>
    <n v="0"/>
    <n v="0"/>
    <n v="84590.720000000001"/>
    <s v="AAA+"/>
    <n v="3"/>
    <n v="7"/>
    <n v="0"/>
    <s v="EUR"/>
  </r>
  <r>
    <s v=".1~4"/>
    <n v="4"/>
    <s v="D2"/>
    <s v="01"/>
    <s v="04"/>
    <x v="3"/>
    <n v="1"/>
    <n v="4"/>
    <n v="249700"/>
    <n v="0"/>
    <n v="0"/>
    <n v="-165409.28"/>
    <n v="-300"/>
    <n v="0"/>
    <n v="84290.72"/>
    <s v="AAA+"/>
    <n v="3"/>
    <n v="7"/>
    <n v="-60000"/>
    <s v="EUR"/>
  </r>
  <r>
    <s v=".1~5"/>
    <n v="5"/>
    <s v="D2"/>
    <s v="01"/>
    <s v="05"/>
    <x v="4"/>
    <n v="1"/>
    <n v="5"/>
    <n v="249700"/>
    <n v="7873.92"/>
    <n v="0"/>
    <n v="-165409.28"/>
    <n v="1354.06"/>
    <n v="0"/>
    <n v="92164.64"/>
    <s v="AAA+"/>
    <n v="3"/>
    <n v="7"/>
    <n v="216649.60000000001"/>
    <s v="EUR"/>
  </r>
  <r>
    <s v=".1~6"/>
    <n v="6"/>
    <s v="D2"/>
    <s v="01"/>
    <s v="06"/>
    <x v="5"/>
    <n v="2"/>
    <n v="6"/>
    <n v="249400"/>
    <n v="15096.36"/>
    <n v="0"/>
    <n v="-166715.85999999999"/>
    <n v="2527.4299999999998"/>
    <n v="0"/>
    <n v="97780.5"/>
    <s v="AAA+"/>
    <n v="3"/>
    <n v="7"/>
    <n v="336990.67"/>
    <s v="EUR"/>
  </r>
  <r>
    <s v=".1~7"/>
    <n v="7"/>
    <s v="D2"/>
    <s v="01"/>
    <s v="07"/>
    <x v="6"/>
    <n v="2"/>
    <n v="7"/>
    <n v="249100"/>
    <n v="24707.59"/>
    <n v="0"/>
    <n v="-173898.11"/>
    <n v="4081.59"/>
    <n v="0"/>
    <n v="99909.48"/>
    <s v="AAA+"/>
    <n v="3"/>
    <n v="7"/>
    <n v="466467.43"/>
    <s v="EUR"/>
  </r>
  <r>
    <s v=".1~8"/>
    <n v="8"/>
    <s v="D2"/>
    <s v="01"/>
    <s v="08"/>
    <x v="7"/>
    <n v="2"/>
    <n v="8"/>
    <n v="83390.720000000001"/>
    <n v="38201.03"/>
    <n v="0"/>
    <n v="-8488.83"/>
    <n v="6342.9"/>
    <n v="0"/>
    <n v="113102.92"/>
    <s v="AAA+"/>
    <n v="3"/>
    <n v="7"/>
    <n v="634290"/>
    <s v="EUR"/>
  </r>
  <r>
    <s v=".1~9"/>
    <n v="9"/>
    <s v="D2"/>
    <s v="01"/>
    <s v="09"/>
    <x v="8"/>
    <n v="2"/>
    <n v="9"/>
    <n v="90964.64"/>
    <n v="43920.71"/>
    <n v="0"/>
    <n v="-8488.83"/>
    <n v="8559.84"/>
    <n v="0"/>
    <n v="126396.52"/>
    <s v="AAA+"/>
    <n v="3"/>
    <n v="7"/>
    <n v="760874.67"/>
    <s v="EUR"/>
  </r>
  <r>
    <s v=".1~10"/>
    <n v="10"/>
    <s v="D2"/>
    <s v="01"/>
    <s v="10"/>
    <x v="9"/>
    <n v="2"/>
    <n v="10"/>
    <n v="97887.08"/>
    <n v="38745.65"/>
    <n v="0"/>
    <n v="-8488.83"/>
    <n v="8555.91"/>
    <n v="0"/>
    <n v="128143.9"/>
    <s v="AAA+"/>
    <n v="3"/>
    <n v="7"/>
    <n v="684472.8"/>
    <s v="EUR"/>
  </r>
  <r>
    <s v=".1~11"/>
    <n v="11"/>
    <s v="D2"/>
    <s v="02"/>
    <s v="01"/>
    <x v="10"/>
    <n v="3"/>
    <n v="11"/>
    <n v="105891.73"/>
    <n v="37977.599999999999"/>
    <n v="0"/>
    <n v="-7182.25"/>
    <n v="9861.15"/>
    <n v="0"/>
    <n v="136687.07999999999"/>
    <s v="AAA+"/>
    <n v="3"/>
    <n v="7"/>
    <n v="717174.55"/>
    <s v="EUR"/>
  </r>
  <r>
    <s v=".1~12"/>
    <n v="12"/>
    <s v="D2"/>
    <s v="02"/>
    <s v="02"/>
    <x v="11"/>
    <n v="3"/>
    <n v="12"/>
    <n v="111902.92"/>
    <n v="32022.83"/>
    <n v="0"/>
    <n v="-37555.43"/>
    <n v="10647.3"/>
    <n v="0"/>
    <n v="106370.32"/>
    <s v="AAA+"/>
    <n v="3"/>
    <n v="7"/>
    <n v="709820"/>
    <s v="EUR"/>
  </r>
  <r>
    <s v=".1~13"/>
    <n v="13"/>
    <s v="D2"/>
    <s v="02"/>
    <s v="03"/>
    <x v="12"/>
    <n v="3"/>
    <n v="13"/>
    <n v="125296.52"/>
    <n v="36186.080000000002"/>
    <n v="0"/>
    <n v="-37555.43"/>
    <n v="13707.97"/>
    <n v="0"/>
    <n v="123927.17"/>
    <s v="AAA+"/>
    <n v="3"/>
    <n v="7"/>
    <n v="843567.38"/>
    <s v="EUR"/>
  </r>
  <r>
    <s v=".1~14"/>
    <n v="14"/>
    <s v="D2"/>
    <s v="02"/>
    <s v="04"/>
    <x v="13"/>
    <n v="3"/>
    <n v="14"/>
    <n v="127043.9"/>
    <n v="48993.47"/>
    <n v="0"/>
    <n v="-37555.43"/>
    <n v="15540.53"/>
    <n v="0"/>
    <n v="138481.94"/>
    <s v="AAA+"/>
    <n v="3"/>
    <n v="7"/>
    <n v="888030.29"/>
    <s v="EUR"/>
  </r>
  <r>
    <s v=".1~15"/>
    <n v="15"/>
    <s v="D2"/>
    <s v="02"/>
    <s v="05"/>
    <x v="14"/>
    <n v="3"/>
    <n v="15"/>
    <n v="135587.07999999999"/>
    <n v="57307.64"/>
    <n v="0"/>
    <n v="-37555.43"/>
    <n v="17849.78"/>
    <n v="0"/>
    <n v="155339.29"/>
    <s v="AAA+"/>
    <n v="3"/>
    <n v="7"/>
    <n v="951988.27"/>
    <s v="EUR"/>
  </r>
  <r>
    <s v=".1~16"/>
    <n v="16"/>
    <s v="D2"/>
    <s v="02"/>
    <s v="06"/>
    <x v="15"/>
    <n v="4"/>
    <n v="16"/>
    <n v="142825.75"/>
    <n v="66931.69"/>
    <n v="0"/>
    <n v="-78597.679999999993"/>
    <n v="20300.38"/>
    <n v="0"/>
    <n v="131159.76"/>
    <s v="AAA+"/>
    <n v="3"/>
    <n v="7"/>
    <n v="1015019"/>
    <s v="EUR"/>
  </r>
  <r>
    <s v=".1~17"/>
    <n v="17"/>
    <s v="D2"/>
    <s v="02"/>
    <s v="07"/>
    <x v="16"/>
    <n v="4"/>
    <n v="17"/>
    <n v="122827.17"/>
    <n v="57275.12"/>
    <n v="0"/>
    <n v="-41042.25"/>
    <n v="21304.39"/>
    <n v="0"/>
    <n v="139060.04"/>
    <s v="AAA+"/>
    <n v="3"/>
    <n v="7"/>
    <n v="1002559.53"/>
    <s v="EUR"/>
  </r>
  <r>
    <s v=".1~18"/>
    <n v="18"/>
    <s v="D2"/>
    <s v="02"/>
    <s v="08"/>
    <x v="17"/>
    <n v="4"/>
    <n v="18"/>
    <n v="137481.94"/>
    <n v="60531.85"/>
    <n v="0"/>
    <n v="-41042.25"/>
    <n v="24163.87"/>
    <n v="0"/>
    <n v="156971.54"/>
    <s v="AAA+"/>
    <n v="3"/>
    <n v="7"/>
    <n v="1073949.78"/>
    <s v="EUR"/>
  </r>
  <r>
    <s v=".1~19"/>
    <n v="19"/>
    <s v="D2"/>
    <s v="02"/>
    <s v="09"/>
    <x v="18"/>
    <n v="4"/>
    <n v="19"/>
    <n v="154339.29"/>
    <n v="55719.06"/>
    <n v="0"/>
    <n v="-41042.25"/>
    <n v="25735.62"/>
    <n v="0"/>
    <n v="169016.1"/>
    <s v="AAA+"/>
    <n v="3"/>
    <n v="7"/>
    <n v="1083605.05"/>
    <s v="EUR"/>
  </r>
  <r>
    <s v=".1~20"/>
    <n v="20"/>
    <s v="D2"/>
    <s v="02"/>
    <s v="10"/>
    <x v="19"/>
    <n v="4"/>
    <n v="20"/>
    <n v="171202.01"/>
    <n v="40943.730000000003"/>
    <n v="0"/>
    <n v="-41042.25"/>
    <n v="25930.36"/>
    <n v="0"/>
    <n v="171103.49"/>
    <s v="AAA+"/>
    <n v="3"/>
    <n v="7"/>
    <n v="1037214.4"/>
    <s v="EUR"/>
  </r>
  <r>
    <s v=".1~21"/>
    <n v="21"/>
    <s v="D2"/>
    <s v="03"/>
    <s v="01"/>
    <x v="20"/>
    <n v="5"/>
    <n v="21"/>
    <n v="137960.04"/>
    <n v="37319.17"/>
    <n v="0"/>
    <n v="0"/>
    <n v="26149.69"/>
    <n v="0"/>
    <n v="175279.21"/>
    <s v="AAA+"/>
    <n v="3"/>
    <n v="7"/>
    <n v="996178.67"/>
    <s v="EUR"/>
  </r>
  <r>
    <s v=".1~22"/>
    <n v="22"/>
    <s v="D2"/>
    <s v="03"/>
    <s v="02"/>
    <x v="21"/>
    <n v="5"/>
    <n v="22"/>
    <n v="155871.54"/>
    <n v="24819.06"/>
    <n v="0"/>
    <n v="-61112.63"/>
    <n v="26694.87"/>
    <n v="0"/>
    <n v="119577.97"/>
    <s v="AAA+"/>
    <n v="3"/>
    <n v="7"/>
    <n v="970722.55"/>
    <s v="EUR"/>
  </r>
  <r>
    <s v=".1~23"/>
    <n v="23"/>
    <s v="D2"/>
    <s v="03"/>
    <s v="03"/>
    <x v="22"/>
    <n v="5"/>
    <n v="23"/>
    <n v="168016.1"/>
    <n v="23716.74"/>
    <n v="0"/>
    <n v="-61112.63"/>
    <n v="28496.31"/>
    <n v="0"/>
    <n v="130620.21"/>
    <s v="AAA+"/>
    <n v="3"/>
    <n v="7"/>
    <n v="991176"/>
    <s v="EUR"/>
  </r>
  <r>
    <s v=".1~24"/>
    <n v="24"/>
    <s v="D2"/>
    <s v="03"/>
    <s v="04"/>
    <x v="23"/>
    <n v="5"/>
    <n v="24"/>
    <n v="170203.49"/>
    <n v="39901.68"/>
    <n v="0"/>
    <n v="-61112.63"/>
    <n v="31105.66"/>
    <n v="0"/>
    <n v="148992.54"/>
    <s v="AAA+"/>
    <n v="3"/>
    <n v="7"/>
    <n v="1036855.33"/>
    <s v="EUR"/>
  </r>
  <r>
    <s v=".1~25"/>
    <n v="25"/>
    <s v="D2"/>
    <s v="03"/>
    <s v="05"/>
    <x v="24"/>
    <n v="5"/>
    <n v="25"/>
    <n v="174379.21"/>
    <n v="44326.49"/>
    <n v="0"/>
    <n v="-61112.63"/>
    <n v="31800.35"/>
    <n v="0"/>
    <n v="157593.07"/>
    <s v="AAA+"/>
    <n v="3"/>
    <n v="7"/>
    <n v="1017611.2"/>
    <s v="EUR"/>
  </r>
  <r>
    <s v=".1~26"/>
    <n v="26"/>
    <s v="D2"/>
    <s v="03"/>
    <s v="06"/>
    <x v="25"/>
    <n v="6"/>
    <n v="26"/>
    <n v="179690.6"/>
    <n v="45565.57"/>
    <n v="0"/>
    <n v="-61112.63"/>
    <n v="32687.11"/>
    <n v="0"/>
    <n v="164143.54"/>
    <s v="AAA+"/>
    <n v="3"/>
    <n v="7"/>
    <n v="1005757.23"/>
    <s v="EUR"/>
  </r>
  <r>
    <s v=".1~27"/>
    <n v="27"/>
    <s v="D2"/>
    <s v="03"/>
    <s v="07"/>
    <x v="26"/>
    <n v="6"/>
    <n v="27"/>
    <n v="129620.21"/>
    <n v="49328.480000000003"/>
    <n v="0"/>
    <n v="-42081.35"/>
    <n v="34917.57"/>
    <n v="0"/>
    <n v="136867.34"/>
    <s v="AAA+"/>
    <n v="3"/>
    <n v="7"/>
    <n v="1034594.67"/>
    <s v="EUR"/>
  </r>
  <r>
    <s v=".1~28"/>
    <n v="28"/>
    <s v="D2"/>
    <s v="03"/>
    <s v="08"/>
    <x v="27"/>
    <n v="6"/>
    <n v="28"/>
    <n v="147992.54"/>
    <n v="43733.99"/>
    <n v="0"/>
    <n v="-42081.35"/>
    <n v="36796.21"/>
    <n v="0"/>
    <n v="149645.18"/>
    <s v="AAA+"/>
    <n v="3"/>
    <n v="7"/>
    <n v="1051320.29"/>
    <s v="EUR"/>
  </r>
  <r>
    <s v=".1~29"/>
    <n v="29"/>
    <s v="D2"/>
    <s v="03"/>
    <s v="09"/>
    <x v="28"/>
    <n v="6"/>
    <n v="29"/>
    <n v="156593.07"/>
    <n v="53061.599999999999"/>
    <n v="0"/>
    <n v="-42081.35"/>
    <n v="39283.82"/>
    <n v="0"/>
    <n v="167573.32"/>
    <s v="AAA+"/>
    <n v="3"/>
    <n v="7"/>
    <n v="1083691.5900000001"/>
    <s v="EUR"/>
  </r>
  <r>
    <s v=".1~30"/>
    <n v="30"/>
    <s v="D2"/>
    <s v="03"/>
    <s v="10"/>
    <x v="29"/>
    <n v="6"/>
    <n v="30"/>
    <n v="163143.54"/>
    <n v="60152"/>
    <n v="0"/>
    <n v="-42081.35"/>
    <n v="41055.71"/>
    <n v="0"/>
    <n v="181214.19"/>
    <s v="AAA+"/>
    <n v="3"/>
    <n v="7"/>
    <n v="1094818.93"/>
    <s v="EUR"/>
  </r>
  <r>
    <s v=".1~31"/>
    <n v="31"/>
    <s v="D2"/>
    <s v="04"/>
    <s v="01"/>
    <x v="30"/>
    <n v="7"/>
    <n v="31"/>
    <n v="177848.69"/>
    <n v="72476.73"/>
    <n v="0"/>
    <n v="-42081.35"/>
    <n v="44288.79"/>
    <n v="0"/>
    <n v="208244.07"/>
    <s v="AAA+"/>
    <n v="3"/>
    <n v="7"/>
    <n v="1142936.52"/>
    <s v="EUR"/>
  </r>
  <r>
    <s v=".1~32"/>
    <n v="32"/>
    <s v="D2"/>
    <s v="04"/>
    <s v="02"/>
    <x v="31"/>
    <n v="7"/>
    <n v="32"/>
    <n v="148445.18"/>
    <n v="71952.539999999994"/>
    <n v="0"/>
    <n v="0"/>
    <n v="45622.71"/>
    <n v="0"/>
    <n v="220397.72"/>
    <s v="AAA+"/>
    <n v="3"/>
    <n v="7"/>
    <n v="1140567.75"/>
    <s v="EUR"/>
  </r>
  <r>
    <s v=".1~33"/>
    <n v="33"/>
    <s v="D2"/>
    <s v="04"/>
    <s v="03"/>
    <x v="32"/>
    <n v="7"/>
    <n v="33"/>
    <n v="166373.32"/>
    <n v="71534.67"/>
    <n v="0"/>
    <n v="-44056.87"/>
    <n v="47725.27"/>
    <n v="0"/>
    <n v="193851.12"/>
    <s v="AAA+"/>
    <n v="3"/>
    <n v="7"/>
    <n v="1156976.24"/>
    <s v="EUR"/>
  </r>
  <r>
    <s v=".1~34"/>
    <n v="34"/>
    <s v="D2"/>
    <s v="04"/>
    <s v="04"/>
    <x v="33"/>
    <n v="7"/>
    <n v="34"/>
    <n v="180014.19"/>
    <n v="71046.09"/>
    <n v="0"/>
    <n v="-44056.87"/>
    <n v="48711.32"/>
    <n v="0"/>
    <n v="207003.41"/>
    <s v="AAA+"/>
    <n v="3"/>
    <n v="7"/>
    <n v="1146148.71"/>
    <s v="EUR"/>
  </r>
  <r>
    <s v=".1~35"/>
    <n v="35"/>
    <s v="D2"/>
    <s v="04"/>
    <s v="05"/>
    <x v="34"/>
    <n v="7"/>
    <n v="35"/>
    <n v="207044.07"/>
    <n v="58731.44"/>
    <n v="0"/>
    <n v="-44056.87"/>
    <n v="50687.19"/>
    <n v="0"/>
    <n v="221718.64"/>
    <s v="AAA+"/>
    <n v="3"/>
    <n v="7"/>
    <n v="1158564.3400000001"/>
    <s v="EUR"/>
  </r>
  <r>
    <s v=".1~36"/>
    <n v="36"/>
    <s v="D2"/>
    <s v="04"/>
    <s v="06"/>
    <x v="35"/>
    <n v="8"/>
    <n v="36"/>
    <n v="219197.72"/>
    <n v="64015.96"/>
    <n v="0"/>
    <n v="-44056.87"/>
    <n v="52317.68"/>
    <n v="0"/>
    <n v="239156.81"/>
    <s v="AAA+"/>
    <n v="3"/>
    <n v="7"/>
    <n v="1162615.1100000001"/>
    <s v="EUR"/>
  </r>
  <r>
    <s v=".1~37"/>
    <n v="37"/>
    <s v="D2"/>
    <s v="04"/>
    <s v="07"/>
    <x v="36"/>
    <n v="8"/>
    <n v="37"/>
    <n v="236807.99"/>
    <n v="63996.32"/>
    <n v="0"/>
    <n v="-44056.87"/>
    <n v="54657.24"/>
    <n v="0"/>
    <n v="256747.44"/>
    <s v="AAA+"/>
    <n v="3"/>
    <n v="7"/>
    <n v="1181778.1599999999"/>
    <s v="EUR"/>
  </r>
  <r>
    <s v=".1~38"/>
    <n v="38"/>
    <s v="D2"/>
    <s v="04"/>
    <s v="08"/>
    <x v="37"/>
    <n v="8"/>
    <n v="38"/>
    <n v="205903.41"/>
    <n v="66790.63"/>
    <n v="0"/>
    <n v="0"/>
    <n v="56577.73"/>
    <n v="0"/>
    <n v="272694.03999999998"/>
    <s v="AAA+"/>
    <n v="3"/>
    <n v="7"/>
    <n v="1191110.1100000001"/>
    <s v="EUR"/>
  </r>
  <r>
    <s v=".1~39"/>
    <n v="39"/>
    <s v="D2"/>
    <s v="04"/>
    <s v="09"/>
    <x v="38"/>
    <n v="8"/>
    <n v="39"/>
    <n v="220718.64"/>
    <n v="58788.88"/>
    <n v="0"/>
    <n v="-130310.59"/>
    <n v="57447.39"/>
    <n v="0"/>
    <n v="149196.93"/>
    <s v="AAA+"/>
    <n v="3"/>
    <n v="7"/>
    <n v="1178408"/>
    <s v="EUR"/>
  </r>
  <r>
    <s v=".1~40"/>
    <n v="40"/>
    <s v="D2"/>
    <s v="04"/>
    <s v="10"/>
    <x v="39"/>
    <n v="8"/>
    <n v="40"/>
    <n v="238156.81"/>
    <n v="49163.6"/>
    <n v="0"/>
    <n v="-130310.59"/>
    <n v="57948.639999999999"/>
    <n v="0"/>
    <n v="157009.82"/>
    <s v="AAA+"/>
    <n v="3"/>
    <n v="7"/>
    <n v="1158972.8"/>
    <s v="EUR"/>
  </r>
  <r>
    <s v=".1~41"/>
    <n v="41"/>
    <s v="D2"/>
    <s v="05"/>
    <s v="01"/>
    <x v="40"/>
    <n v="9"/>
    <n v="41"/>
    <n v="255747.44"/>
    <n v="46283.98"/>
    <n v="0"/>
    <n v="-130310.59"/>
    <n v="59968.69"/>
    <n v="0"/>
    <n v="171720.83"/>
    <s v="AAA+"/>
    <n v="3"/>
    <n v="7"/>
    <n v="1170120.78"/>
    <s v="EUR"/>
  </r>
  <r>
    <s v=".1~42"/>
    <n v="42"/>
    <s v="D2"/>
    <s v="05"/>
    <s v="02"/>
    <x v="41"/>
    <n v="9"/>
    <n v="42"/>
    <n v="271694.03999999998"/>
    <n v="47237.25"/>
    <n v="0"/>
    <n v="-130310.59"/>
    <n v="62002.53"/>
    <n v="0"/>
    <n v="188620.7"/>
    <s v="AAA+"/>
    <n v="3"/>
    <n v="7"/>
    <n v="1181000.57"/>
    <s v="EUR"/>
  </r>
  <r>
    <s v=".1~43"/>
    <n v="43"/>
    <s v="D2"/>
    <s v="05"/>
    <s v="03"/>
    <x v="42"/>
    <n v="9"/>
    <n v="43"/>
    <n v="278407.52"/>
    <n v="55374.5"/>
    <n v="0"/>
    <n v="-130310.59"/>
    <n v="63664.27"/>
    <n v="0"/>
    <n v="203471.43"/>
    <s v="AAA+"/>
    <n v="3"/>
    <n v="7"/>
    <n v="1184451.53"/>
    <s v="EUR"/>
  </r>
  <r>
    <s v=".1~44"/>
    <n v="44"/>
    <s v="D2"/>
    <s v="05"/>
    <s v="04"/>
    <x v="43"/>
    <n v="9"/>
    <n v="44"/>
    <n v="155909.82"/>
    <n v="62314.95"/>
    <n v="0"/>
    <n v="0"/>
    <n v="65132.39"/>
    <n v="0"/>
    <n v="218224.77"/>
    <s v="AAA+"/>
    <n v="3"/>
    <n v="7"/>
    <n v="1184225.27"/>
    <s v="EUR"/>
  </r>
  <r>
    <s v=".1~45"/>
    <n v="45"/>
    <s v="D2"/>
    <s v="05"/>
    <s v="05"/>
    <x v="44"/>
    <n v="9"/>
    <n v="45"/>
    <n v="170620.83"/>
    <n v="61989.49"/>
    <n v="0"/>
    <n v="0"/>
    <n v="67118.63"/>
    <n v="0"/>
    <n v="232610.32"/>
    <s v="AAA+"/>
    <n v="3"/>
    <n v="7"/>
    <n v="1193220.0900000001"/>
    <s v="EUR"/>
  </r>
  <r>
    <s v=".1~46"/>
    <n v="46"/>
    <s v="D2"/>
    <s v="05"/>
    <s v="06"/>
    <x v="45"/>
    <n v="10"/>
    <n v="46"/>
    <n v="187520.7"/>
    <n v="58682.79"/>
    <n v="0"/>
    <n v="0"/>
    <n v="68800.23"/>
    <n v="0"/>
    <n v="246203.49"/>
    <s v="AAA+"/>
    <n v="3"/>
    <n v="7"/>
    <n v="1196525.74"/>
    <s v="EUR"/>
  </r>
  <r>
    <s v=".1~47"/>
    <n v="47"/>
    <s v="D2"/>
    <s v="05"/>
    <s v="07"/>
    <x v="46"/>
    <n v="10"/>
    <n v="47"/>
    <n v="202371.43"/>
    <n v="49394.31"/>
    <n v="0"/>
    <n v="-45884.33"/>
    <n v="69210.509999999995"/>
    <n v="0"/>
    <n v="205881.41"/>
    <s v="AAA+"/>
    <n v="3"/>
    <n v="7"/>
    <n v="1178051.23"/>
    <s v="EUR"/>
  </r>
  <r>
    <s v=".1~48"/>
    <n v="48"/>
    <s v="D2"/>
    <s v="05"/>
    <s v="08"/>
    <x v="47"/>
    <n v="10"/>
    <n v="48"/>
    <n v="217124.77"/>
    <n v="62071.7"/>
    <n v="0"/>
    <n v="-45884.33"/>
    <n v="72424.91"/>
    <n v="0"/>
    <n v="233312.14"/>
    <s v="AAA+"/>
    <n v="3"/>
    <n v="7"/>
    <n v="1207081.83"/>
    <s v="EUR"/>
  </r>
  <r>
    <s v=".1~49"/>
    <n v="49"/>
    <s v="D2"/>
    <s v="05"/>
    <s v="09"/>
    <x v="48"/>
    <n v="10"/>
    <n v="49"/>
    <n v="231410.32"/>
    <n v="63265.02"/>
    <n v="0"/>
    <n v="-45884.33"/>
    <n v="74190.34"/>
    <n v="0"/>
    <n v="248791.01"/>
    <s v="AAA+"/>
    <n v="3"/>
    <n v="7"/>
    <n v="1211270.8600000001"/>
    <s v="EUR"/>
  </r>
  <r>
    <s v=".1~50"/>
    <n v="50"/>
    <s v="D2"/>
    <s v="05"/>
    <s v="10"/>
    <x v="49"/>
    <n v="10"/>
    <n v="50"/>
    <n v="245003.49"/>
    <n v="74277.67"/>
    <n v="0"/>
    <n v="-45884.33"/>
    <n v="76618.84"/>
    <n v="0"/>
    <n v="273396.83"/>
    <s v="AAA+"/>
    <n v="3"/>
    <n v="7"/>
    <n v="1225901.44"/>
    <s v="EUR"/>
  </r>
  <r>
    <s v=".1~51"/>
    <n v="51"/>
    <s v="D2"/>
    <s v="06"/>
    <s v="01"/>
    <x v="50"/>
    <n v="11"/>
    <n v="51"/>
    <n v="250565.74"/>
    <n v="83566.67"/>
    <n v="0"/>
    <n v="-45884.33"/>
    <n v="78635.360000000001"/>
    <n v="0"/>
    <n v="288248.08"/>
    <s v="AAA+"/>
    <n v="3"/>
    <n v="7"/>
    <n v="1233495.8400000001"/>
    <s v="EUR"/>
  </r>
  <r>
    <s v=".1~52"/>
    <n v="52"/>
    <s v="D2"/>
    <s v="06"/>
    <s v="02"/>
    <x v="51"/>
    <n v="11"/>
    <n v="52"/>
    <n v="232412.14"/>
    <n v="72644.070000000007"/>
    <n v="0"/>
    <n v="-61760.73"/>
    <n v="80792.67"/>
    <n v="0"/>
    <n v="243295.48"/>
    <s v="AAA+"/>
    <n v="3"/>
    <n v="7"/>
    <n v="1242964.1499999999"/>
    <s v="EUR"/>
  </r>
  <r>
    <s v=".1~53"/>
    <n v="53"/>
    <s v="D2"/>
    <s v="06"/>
    <s v="03"/>
    <x v="52"/>
    <n v="11"/>
    <n v="53"/>
    <n v="247891.01"/>
    <n v="67048.570000000007"/>
    <n v="0"/>
    <n v="-61760.73"/>
    <n v="81625.48"/>
    <n v="0"/>
    <n v="253178.85"/>
    <s v="AAA+"/>
    <n v="3"/>
    <n v="7"/>
    <n v="1232082.72"/>
    <s v="EUR"/>
  </r>
  <r>
    <s v=".1~54"/>
    <n v="54"/>
    <s v="D2"/>
    <s v="06"/>
    <s v="04"/>
    <x v="53"/>
    <n v="11"/>
    <n v="54"/>
    <n v="272796.83"/>
    <n v="61899.05"/>
    <n v="0"/>
    <n v="-61760.73"/>
    <n v="84133.68"/>
    <n v="0"/>
    <n v="272935.15000000002"/>
    <s v="AAA+"/>
    <n v="3"/>
    <n v="7"/>
    <n v="1246424.8899999999"/>
    <s v="EUR"/>
  </r>
  <r>
    <s v=".1~55"/>
    <n v="55"/>
    <s v="D2"/>
    <s v="06"/>
    <s v="05"/>
    <x v="54"/>
    <n v="11"/>
    <n v="55"/>
    <n v="287948.08"/>
    <n v="61139.51"/>
    <n v="0"/>
    <n v="-61760.73"/>
    <n v="86178.61"/>
    <n v="0"/>
    <n v="287326.86"/>
    <s v="AAA+"/>
    <n v="3"/>
    <n v="7"/>
    <n v="1253507.05"/>
    <s v="EUR"/>
  </r>
  <r>
    <s v=".1~56"/>
    <n v="56"/>
    <s v="D2"/>
    <s v="06"/>
    <s v="06"/>
    <x v="55"/>
    <n v="12"/>
    <n v="56"/>
    <n v="304456.21000000002"/>
    <n v="62323.56"/>
    <n v="0"/>
    <n v="-137981.79"/>
    <n v="88058.43"/>
    <n v="0"/>
    <n v="228797.98"/>
    <s v="AAA+"/>
    <n v="3"/>
    <n v="7"/>
    <n v="1257977.57"/>
    <s v="EUR"/>
  </r>
  <r>
    <s v=".1~57"/>
    <n v="57"/>
    <s v="D2"/>
    <s v="06"/>
    <s v="07"/>
    <x v="56"/>
    <n v="12"/>
    <n v="57"/>
    <n v="252578.85"/>
    <n v="61557.18"/>
    <n v="0"/>
    <n v="-76221.06"/>
    <n v="89150.85"/>
    <n v="0"/>
    <n v="237914.97"/>
    <s v="AAA+"/>
    <n v="3"/>
    <n v="7"/>
    <n v="1251240"/>
    <s v="EUR"/>
  </r>
  <r>
    <s v=".1~58"/>
    <n v="58"/>
    <s v="D2"/>
    <s v="06"/>
    <s v="08"/>
    <x v="57"/>
    <n v="12"/>
    <n v="58"/>
    <n v="272335.15000000002"/>
    <n v="58382.17"/>
    <n v="0"/>
    <n v="-76221.06"/>
    <n v="91431.81"/>
    <n v="0"/>
    <n v="254496.26"/>
    <s v="AAA+"/>
    <n v="3"/>
    <n v="7"/>
    <n v="1261128.4099999999"/>
    <s v="EUR"/>
  </r>
  <r>
    <s v=".1~59"/>
    <n v="59"/>
    <s v="D2"/>
    <s v="06"/>
    <s v="09"/>
    <x v="58"/>
    <n v="12"/>
    <n v="59"/>
    <n v="286726.86"/>
    <n v="61569.26"/>
    <n v="0"/>
    <n v="-76221.06"/>
    <n v="93731.199999999997"/>
    <n v="0"/>
    <n v="272075.06"/>
    <s v="AAA+"/>
    <n v="3"/>
    <n v="7"/>
    <n v="1270931.53"/>
    <s v="EUR"/>
  </r>
  <r>
    <s v=".1~60"/>
    <n v="60"/>
    <s v="D2"/>
    <s v="06"/>
    <s v="10"/>
    <x v="59"/>
    <n v="12"/>
    <n v="60"/>
    <n v="304419.03999999998"/>
    <n v="65564.62"/>
    <n v="0"/>
    <n v="-129849.18"/>
    <n v="95722.68"/>
    <n v="0"/>
    <n v="240134.48"/>
    <s v="AAA+"/>
    <n v="3"/>
    <n v="7"/>
    <n v="1276302.3999999999"/>
    <s v="EUR"/>
  </r>
  <r>
    <s v=".1~61"/>
    <n v="61"/>
    <s v="D2"/>
    <s v="07"/>
    <s v="01"/>
    <x v="60"/>
    <n v="13"/>
    <n v="61"/>
    <n v="237314.97"/>
    <n v="70431.41"/>
    <n v="0"/>
    <n v="-53628.12"/>
    <n v="97241.74"/>
    <n v="0"/>
    <n v="254118.26"/>
    <s v="AAA+"/>
    <n v="3"/>
    <n v="7"/>
    <n v="1275301.51"/>
    <s v="EUR"/>
  </r>
  <r>
    <s v=".1~62"/>
    <n v="62"/>
    <s v="D2"/>
    <s v="07"/>
    <s v="02"/>
    <x v="61"/>
    <n v="13"/>
    <n v="62"/>
    <n v="253896.26"/>
    <n v="77601.94"/>
    <n v="0"/>
    <n v="-53628.12"/>
    <n v="100330.19"/>
    <n v="0"/>
    <n v="277870.08000000002"/>
    <s v="AAA+"/>
    <n v="3"/>
    <n v="7"/>
    <n v="1294583.1000000001"/>
    <s v="EUR"/>
  </r>
  <r>
    <s v=".1~63"/>
    <n v="63"/>
    <s v="D2"/>
    <s v="07"/>
    <s v="03"/>
    <x v="62"/>
    <n v="13"/>
    <n v="63"/>
    <n v="271475.06"/>
    <n v="73173.649999999994"/>
    <n v="0"/>
    <n v="-53628.12"/>
    <n v="102329.2"/>
    <n v="0"/>
    <n v="291020.59000000003"/>
    <s v="AAA+"/>
    <n v="3"/>
    <n v="7"/>
    <n v="1299418.4099999999"/>
    <s v="EUR"/>
  </r>
  <r>
    <s v=".1~64"/>
    <n v="64"/>
    <s v="D2"/>
    <s v="07"/>
    <s v="04"/>
    <x v="63"/>
    <n v="13"/>
    <n v="64"/>
    <n v="293162.59999999998"/>
    <n v="65787.88"/>
    <n v="0"/>
    <n v="-137542.42000000001"/>
    <n v="103581.22"/>
    <n v="0"/>
    <n v="221408.06"/>
    <s v="AAA+"/>
    <n v="3"/>
    <n v="7"/>
    <n v="1294765.25"/>
    <s v="EUR"/>
  </r>
  <r>
    <s v=".1~65"/>
    <n v="65"/>
    <s v="D2"/>
    <s v="07"/>
    <s v="05"/>
    <x v="64"/>
    <n v="13"/>
    <n v="65"/>
    <n v="253518.26"/>
    <n v="74416.160000000003"/>
    <n v="0"/>
    <n v="-83914.3"/>
    <n v="106291.76"/>
    <n v="0"/>
    <n v="244020.12"/>
    <s v="AAA+"/>
    <n v="3"/>
    <n v="7"/>
    <n v="1308206.28"/>
    <s v="EUR"/>
  </r>
  <r>
    <s v=".1~66"/>
    <n v="66"/>
    <s v="D2"/>
    <s v="07"/>
    <s v="06"/>
    <x v="65"/>
    <n v="14"/>
    <n v="66"/>
    <n v="277270.08"/>
    <n v="72144.09"/>
    <n v="0"/>
    <n v="-83914.3"/>
    <n v="108558.8"/>
    <n v="0"/>
    <n v="265499.87"/>
    <s v="AAA+"/>
    <n v="3"/>
    <n v="7"/>
    <n v="1315864.24"/>
    <s v="EUR"/>
  </r>
  <r>
    <s v=".1~67"/>
    <n v="67"/>
    <s v="D2"/>
    <s v="07"/>
    <s v="07"/>
    <x v="66"/>
    <n v="14"/>
    <n v="67"/>
    <n v="290120.59000000003"/>
    <n v="73050.66"/>
    <n v="0"/>
    <n v="-148715.71"/>
    <n v="110235.03"/>
    <n v="0"/>
    <n v="214455.54"/>
    <s v="AAA+"/>
    <n v="3"/>
    <n v="7"/>
    <n v="1316239.1599999999"/>
    <s v="EUR"/>
  </r>
  <r>
    <s v=".1~68"/>
    <n v="68"/>
    <s v="D2"/>
    <s v="07"/>
    <s v="08"/>
    <x v="67"/>
    <n v="14"/>
    <n v="68"/>
    <n v="304722.36"/>
    <n v="96836.2"/>
    <n v="0"/>
    <n v="-148715.71"/>
    <n v="115041.06"/>
    <n v="0"/>
    <n v="252842.85"/>
    <s v="AAA+"/>
    <n v="3"/>
    <n v="7"/>
    <n v="1353424.24"/>
    <s v="EUR"/>
  </r>
  <r>
    <s v=".1~69"/>
    <n v="69"/>
    <s v="D2"/>
    <s v="07"/>
    <s v="09"/>
    <x v="68"/>
    <n v="14"/>
    <n v="69"/>
    <n v="243420.12"/>
    <n v="88706.1"/>
    <n v="0"/>
    <n v="-64801.41"/>
    <n v="116474.17"/>
    <n v="0"/>
    <n v="267324.81"/>
    <s v="AAA+"/>
    <n v="3"/>
    <n v="7"/>
    <n v="1350425.16"/>
    <s v="EUR"/>
  </r>
  <r>
    <s v=".1~70"/>
    <n v="70"/>
    <s v="D2"/>
    <s v="07"/>
    <s v="10"/>
    <x v="69"/>
    <n v="14"/>
    <n v="70"/>
    <n v="264899.87"/>
    <n v="94927.24"/>
    <n v="0"/>
    <n v="-64801.41"/>
    <n v="120082.4"/>
    <n v="0"/>
    <n v="295025.7"/>
    <s v="AAA+"/>
    <n v="3"/>
    <n v="7"/>
    <n v="1372370.29"/>
    <s v="EUR"/>
  </r>
  <r>
    <s v=".1~71"/>
    <n v="71"/>
    <s v="D2"/>
    <s v="08"/>
    <s v="01"/>
    <x v="70"/>
    <n v="15"/>
    <n v="71"/>
    <n v="278656.95"/>
    <n v="93441.37"/>
    <n v="0"/>
    <n v="-146755.19"/>
    <n v="121256.14"/>
    <n v="0"/>
    <n v="225343.13"/>
    <s v="AAA+"/>
    <n v="3"/>
    <n v="7"/>
    <n v="1366266.37"/>
    <s v="EUR"/>
  </r>
  <r>
    <s v=".1~72"/>
    <n v="72"/>
    <s v="D2"/>
    <s v="08"/>
    <s v="02"/>
    <x v="71"/>
    <n v="15"/>
    <n v="72"/>
    <n v="252242.85"/>
    <n v="70675.28"/>
    <n v="0"/>
    <n v="-81953.78"/>
    <n v="123371.45"/>
    <n v="0"/>
    <n v="240964.35"/>
    <s v="AAA+"/>
    <n v="3"/>
    <n v="7"/>
    <n v="1370793.89"/>
    <s v="EUR"/>
  </r>
  <r>
    <s v=".1~73"/>
    <n v="73"/>
    <s v="D2"/>
    <s v="08"/>
    <s v="03"/>
    <x v="72"/>
    <n v="15"/>
    <n v="73"/>
    <n v="266724.81"/>
    <n v="78404.89"/>
    <n v="0"/>
    <n v="-81953.78"/>
    <n v="126127.48"/>
    <n v="0"/>
    <n v="263175.92"/>
    <s v="AAA+"/>
    <n v="3"/>
    <n v="7"/>
    <n v="1382218.96"/>
    <s v="EUR"/>
  </r>
  <r>
    <s v=".1~74"/>
    <n v="74"/>
    <s v="D2"/>
    <s v="08"/>
    <s v="04"/>
    <x v="73"/>
    <n v="15"/>
    <n v="74"/>
    <n v="294425.7"/>
    <n v="66676.210000000006"/>
    <n v="0"/>
    <n v="-81953.78"/>
    <n v="128069.39"/>
    <n v="0"/>
    <n v="279148.13"/>
    <s v="AAA+"/>
    <n v="3"/>
    <n v="7"/>
    <n v="1384533.95"/>
    <s v="EUR"/>
  </r>
  <r>
    <s v=".1~75"/>
    <n v="75"/>
    <s v="D2"/>
    <s v="08"/>
    <s v="05"/>
    <x v="74"/>
    <n v="15"/>
    <n v="75"/>
    <n v="306696.90999999997"/>
    <n v="80748.7"/>
    <n v="0"/>
    <n v="-81953.78"/>
    <n v="131174.17000000001"/>
    <n v="0"/>
    <n v="305491.83"/>
    <s v="AAA+"/>
    <n v="3"/>
    <n v="7"/>
    <n v="1399191.15"/>
    <s v="EUR"/>
  </r>
  <r>
    <s v=".1~76"/>
    <n v="76"/>
    <s v="D2"/>
    <s v="08"/>
    <s v="06"/>
    <x v="75"/>
    <n v="16"/>
    <n v="76"/>
    <n v="240364.35"/>
    <n v="92772.78"/>
    <n v="0"/>
    <n v="0"/>
    <n v="134208.04999999999"/>
    <n v="0"/>
    <n v="333137.13"/>
    <s v="AAA+"/>
    <n v="3"/>
    <n v="7"/>
    <n v="1412716.32"/>
    <s v="EUR"/>
  </r>
  <r>
    <s v=".1~77"/>
    <n v="77"/>
    <s v="D2"/>
    <s v="08"/>
    <s v="07"/>
    <x v="76"/>
    <n v="16"/>
    <n v="77"/>
    <n v="262575.92"/>
    <n v="81932.38"/>
    <n v="0"/>
    <n v="-82064.289999999994"/>
    <n v="135595"/>
    <n v="0"/>
    <n v="262444.01"/>
    <s v="AAA+"/>
    <n v="3"/>
    <n v="7"/>
    <n v="1408779.22"/>
    <s v="EUR"/>
  </r>
  <r>
    <s v=".1~78"/>
    <n v="78"/>
    <s v="D2"/>
    <s v="08"/>
    <s v="08"/>
    <x v="77"/>
    <n v="16"/>
    <n v="78"/>
    <n v="278248.13"/>
    <n v="86399.1"/>
    <n v="0"/>
    <n v="-82064.289999999994"/>
    <n v="138349.07"/>
    <n v="0"/>
    <n v="282582.94"/>
    <s v="AAA+"/>
    <n v="3"/>
    <n v="7"/>
    <n v="1418964.82"/>
    <s v="EUR"/>
  </r>
  <r>
    <m/>
    <m/>
    <m/>
    <m/>
    <m/>
    <x v="78"/>
    <m/>
    <m/>
    <m/>
    <m/>
    <m/>
    <m/>
    <m/>
    <m/>
    <m/>
    <m/>
    <m/>
    <m/>
    <m/>
    <m/>
  </r>
  <r>
    <m/>
    <m/>
    <m/>
    <m/>
    <m/>
    <x v="78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1">
  <r>
    <s v=".1~1"/>
    <n v="1"/>
    <s v="D2"/>
    <x v="0"/>
    <s v="05"/>
    <x v="0"/>
    <n v="1"/>
    <n v="5"/>
    <s v="1013"/>
    <s v="1"/>
    <x v="0"/>
    <s v="North"/>
    <s v="16"/>
    <x v="0"/>
    <x v="0"/>
    <n v="81"/>
    <n v="81"/>
    <s v="ST"/>
    <n v="29.35"/>
    <n v="2377.35"/>
    <n v="1870.29"/>
    <s v="EUR"/>
  </r>
  <r>
    <s v=".1~2"/>
    <n v="2"/>
    <s v="D2"/>
    <x v="0"/>
    <s v="05"/>
    <x v="0"/>
    <n v="1"/>
    <n v="5"/>
    <s v="1019"/>
    <s v="1"/>
    <x v="1"/>
    <s v="South"/>
    <s v="16"/>
    <x v="0"/>
    <x v="0"/>
    <n v="60"/>
    <n v="60"/>
    <s v="ST"/>
    <n v="29.35"/>
    <n v="1761"/>
    <n v="1385.4"/>
    <s v="EUR"/>
  </r>
  <r>
    <s v=".1~3"/>
    <n v="3"/>
    <s v="D2"/>
    <x v="0"/>
    <s v="05"/>
    <x v="0"/>
    <n v="1"/>
    <n v="5"/>
    <s v="1023"/>
    <s v="1"/>
    <x v="1"/>
    <s v="South"/>
    <s v="16"/>
    <x v="1"/>
    <x v="1"/>
    <n v="66"/>
    <n v="66"/>
    <s v="ST"/>
    <n v="34.07"/>
    <n v="2248.62"/>
    <n v="1716.66"/>
    <s v="EUR"/>
  </r>
  <r>
    <s v=".1~4"/>
    <n v="4"/>
    <s v="D2"/>
    <x v="0"/>
    <s v="05"/>
    <x v="0"/>
    <n v="1"/>
    <n v="5"/>
    <s v="1016"/>
    <s v="1"/>
    <x v="2"/>
    <s v="West"/>
    <s v="16"/>
    <x v="2"/>
    <x v="2"/>
    <n v="15"/>
    <n v="15"/>
    <s v="ST"/>
    <n v="99.13"/>
    <n v="1486.95"/>
    <n v="1247.7"/>
    <s v="EUR"/>
  </r>
  <r>
    <s v=".1~5"/>
    <n v="5"/>
    <s v="D2"/>
    <x v="0"/>
    <s v="06"/>
    <x v="1"/>
    <n v="2"/>
    <n v="6"/>
    <s v="1031"/>
    <s v="1"/>
    <x v="0"/>
    <s v="North"/>
    <s v="16"/>
    <x v="0"/>
    <x v="0"/>
    <n v="72"/>
    <n v="72"/>
    <s v="ST"/>
    <n v="29.35"/>
    <n v="2113.1999999999998"/>
    <n v="1667.52"/>
    <s v="EUR"/>
  </r>
  <r>
    <s v=".1~6"/>
    <n v="6"/>
    <s v="D2"/>
    <x v="0"/>
    <s v="06"/>
    <x v="1"/>
    <n v="2"/>
    <n v="6"/>
    <s v="1034"/>
    <s v="1"/>
    <x v="0"/>
    <s v="North"/>
    <s v="16"/>
    <x v="0"/>
    <x v="0"/>
    <n v="1"/>
    <n v="1"/>
    <s v="ST"/>
    <n v="29.35"/>
    <n v="29.35"/>
    <n v="23.16"/>
    <s v="EUR"/>
  </r>
  <r>
    <s v=".1~7"/>
    <n v="7"/>
    <s v="D2"/>
    <x v="0"/>
    <s v="06"/>
    <x v="1"/>
    <n v="2"/>
    <n v="6"/>
    <s v="1031"/>
    <s v="2"/>
    <x v="0"/>
    <s v="North"/>
    <s v="16"/>
    <x v="1"/>
    <x v="1"/>
    <n v="44"/>
    <n v="44"/>
    <s v="ST"/>
    <n v="34.07"/>
    <n v="1499.08"/>
    <n v="1148.4000000000001"/>
    <s v="EUR"/>
  </r>
  <r>
    <s v=".1~8"/>
    <n v="8"/>
    <s v="D2"/>
    <x v="0"/>
    <s v="06"/>
    <x v="1"/>
    <n v="2"/>
    <n v="6"/>
    <s v="1040"/>
    <s v="3"/>
    <x v="1"/>
    <s v="South"/>
    <s v="16"/>
    <x v="1"/>
    <x v="1"/>
    <n v="44"/>
    <n v="44"/>
    <s v="ST"/>
    <n v="34.07"/>
    <n v="1499.08"/>
    <n v="1148.4000000000001"/>
    <s v="EUR"/>
  </r>
  <r>
    <s v=".1~9"/>
    <n v="9"/>
    <s v="D2"/>
    <x v="0"/>
    <s v="06"/>
    <x v="1"/>
    <n v="2"/>
    <n v="6"/>
    <s v="1040"/>
    <s v="1"/>
    <x v="1"/>
    <s v="South"/>
    <s v="16"/>
    <x v="2"/>
    <x v="2"/>
    <n v="15"/>
    <n v="15"/>
    <s v="ST"/>
    <n v="99.13"/>
    <n v="1486.95"/>
    <n v="1258.5"/>
    <s v="EUR"/>
  </r>
  <r>
    <s v=".1~10"/>
    <n v="10"/>
    <s v="D2"/>
    <x v="0"/>
    <s v="06"/>
    <x v="1"/>
    <n v="2"/>
    <n v="6"/>
    <s v="1037"/>
    <s v="1"/>
    <x v="2"/>
    <s v="West"/>
    <s v="16"/>
    <x v="2"/>
    <x v="2"/>
    <n v="6"/>
    <n v="6"/>
    <s v="ST"/>
    <n v="99.13"/>
    <n v="594.78"/>
    <n v="503.4"/>
    <s v="EUR"/>
  </r>
  <r>
    <s v=".1~11"/>
    <n v="11"/>
    <s v="D2"/>
    <x v="0"/>
    <s v="07"/>
    <x v="2"/>
    <n v="2"/>
    <n v="7"/>
    <s v="1045"/>
    <s v="3"/>
    <x v="0"/>
    <s v="North"/>
    <s v="16"/>
    <x v="0"/>
    <x v="0"/>
    <n v="54"/>
    <n v="54"/>
    <s v="ST"/>
    <n v="29.35"/>
    <n v="1584.9"/>
    <n v="1275.48"/>
    <s v="EUR"/>
  </r>
  <r>
    <s v=".1~12"/>
    <n v="12"/>
    <s v="D2"/>
    <x v="0"/>
    <s v="07"/>
    <x v="2"/>
    <n v="2"/>
    <n v="7"/>
    <s v="1045"/>
    <s v="1"/>
    <x v="0"/>
    <s v="North"/>
    <s v="16"/>
    <x v="3"/>
    <x v="3"/>
    <n v="20"/>
    <n v="20"/>
    <s v="ST"/>
    <n v="85.38"/>
    <n v="1707.6"/>
    <n v="1460.6"/>
    <s v="EUR"/>
  </r>
  <r>
    <s v=".1~13"/>
    <n v="13"/>
    <s v="D2"/>
    <x v="0"/>
    <s v="07"/>
    <x v="2"/>
    <n v="2"/>
    <n v="7"/>
    <s v="1045"/>
    <s v="4"/>
    <x v="0"/>
    <s v="North"/>
    <s v="16"/>
    <x v="1"/>
    <x v="1"/>
    <n v="10"/>
    <n v="10"/>
    <s v="ST"/>
    <n v="34.07"/>
    <n v="340.7"/>
    <n v="263.7"/>
    <s v="EUR"/>
  </r>
  <r>
    <s v=".1~14"/>
    <n v="14"/>
    <s v="D2"/>
    <x v="0"/>
    <s v="07"/>
    <x v="2"/>
    <n v="2"/>
    <n v="7"/>
    <s v="1045"/>
    <s v="2"/>
    <x v="0"/>
    <s v="North"/>
    <s v="16"/>
    <x v="1"/>
    <x v="1"/>
    <n v="61"/>
    <n v="61"/>
    <s v="ST"/>
    <n v="34.07"/>
    <n v="2078.27"/>
    <n v="1608.57"/>
    <s v="EUR"/>
  </r>
  <r>
    <s v=".1~15"/>
    <n v="15"/>
    <s v="D2"/>
    <x v="0"/>
    <s v="07"/>
    <x v="2"/>
    <n v="2"/>
    <n v="7"/>
    <s v="1051"/>
    <s v="1"/>
    <x v="1"/>
    <s v="South"/>
    <s v="16"/>
    <x v="1"/>
    <x v="1"/>
    <n v="65"/>
    <n v="65"/>
    <s v="ST"/>
    <n v="34.07"/>
    <n v="2214.5500000000002"/>
    <n v="1714.05"/>
    <s v="EUR"/>
  </r>
  <r>
    <s v=".1~16"/>
    <n v="16"/>
    <s v="D2"/>
    <x v="0"/>
    <s v="07"/>
    <x v="2"/>
    <n v="2"/>
    <n v="7"/>
    <s v="1048"/>
    <s v="1"/>
    <x v="2"/>
    <s v="West"/>
    <s v="16"/>
    <x v="2"/>
    <x v="2"/>
    <n v="17"/>
    <n v="17"/>
    <s v="ST"/>
    <n v="99.13"/>
    <n v="1685.21"/>
    <n v="1434.63"/>
    <s v="EUR"/>
  </r>
  <r>
    <s v=".1~17"/>
    <n v="17"/>
    <s v="D2"/>
    <x v="0"/>
    <s v="08"/>
    <x v="3"/>
    <n v="2"/>
    <n v="8"/>
    <s v="1057"/>
    <s v="1"/>
    <x v="0"/>
    <s v="North"/>
    <s v="16"/>
    <x v="0"/>
    <x v="0"/>
    <n v="81"/>
    <n v="81"/>
    <s v="ST"/>
    <n v="29.35"/>
    <n v="2377.35"/>
    <n v="1913.22"/>
    <s v="EUR"/>
  </r>
  <r>
    <s v=".1~18"/>
    <n v="18"/>
    <s v="D2"/>
    <x v="0"/>
    <s v="08"/>
    <x v="3"/>
    <n v="2"/>
    <n v="8"/>
    <s v="1062"/>
    <s v="1"/>
    <x v="0"/>
    <s v="North"/>
    <s v="16"/>
    <x v="0"/>
    <x v="0"/>
    <n v="76"/>
    <n v="76"/>
    <s v="ST"/>
    <n v="29.35"/>
    <n v="2230.6"/>
    <n v="1795.12"/>
    <s v="EUR"/>
  </r>
  <r>
    <s v=".1~19"/>
    <n v="19"/>
    <s v="D2"/>
    <x v="0"/>
    <s v="08"/>
    <x v="3"/>
    <n v="2"/>
    <n v="8"/>
    <s v="1062"/>
    <s v="2"/>
    <x v="0"/>
    <s v="North"/>
    <s v="16"/>
    <x v="0"/>
    <x v="0"/>
    <n v="19"/>
    <n v="19"/>
    <s v="ST"/>
    <n v="29.35"/>
    <n v="557.65"/>
    <n v="448.78"/>
    <s v="EUR"/>
  </r>
  <r>
    <s v=".1~20"/>
    <n v="20"/>
    <s v="D2"/>
    <x v="0"/>
    <s v="08"/>
    <x v="3"/>
    <n v="2"/>
    <n v="8"/>
    <s v="1057"/>
    <s v="2"/>
    <x v="0"/>
    <s v="North"/>
    <s v="16"/>
    <x v="1"/>
    <x v="1"/>
    <n v="44"/>
    <n v="44"/>
    <s v="ST"/>
    <n v="34.07"/>
    <n v="1499.08"/>
    <n v="1160.28"/>
    <s v="EUR"/>
  </r>
  <r>
    <s v=".1~21"/>
    <n v="21"/>
    <s v="D2"/>
    <x v="0"/>
    <s v="08"/>
    <x v="3"/>
    <n v="2"/>
    <n v="8"/>
    <s v="1071"/>
    <s v="1"/>
    <x v="1"/>
    <s v="South"/>
    <s v="16"/>
    <x v="0"/>
    <x v="0"/>
    <n v="60"/>
    <n v="60"/>
    <s v="ST"/>
    <n v="29.35"/>
    <n v="1761"/>
    <n v="1417.2"/>
    <s v="EUR"/>
  </r>
  <r>
    <s v=".1~22"/>
    <n v="22"/>
    <s v="D2"/>
    <x v="0"/>
    <s v="08"/>
    <x v="3"/>
    <n v="2"/>
    <n v="8"/>
    <s v="1067"/>
    <s v="1"/>
    <x v="2"/>
    <s v="West"/>
    <s v="16"/>
    <x v="1"/>
    <x v="1"/>
    <n v="44"/>
    <n v="44"/>
    <s v="ST"/>
    <n v="34.07"/>
    <n v="1499.08"/>
    <n v="1160.28"/>
    <s v="EUR"/>
  </r>
  <r>
    <s v=".1~23"/>
    <n v="23"/>
    <s v="D2"/>
    <x v="0"/>
    <s v="08"/>
    <x v="3"/>
    <n v="2"/>
    <n v="8"/>
    <s v="1067"/>
    <s v="2"/>
    <x v="2"/>
    <s v="West"/>
    <s v="16"/>
    <x v="2"/>
    <x v="2"/>
    <n v="19"/>
    <n v="19"/>
    <s v="ST"/>
    <n v="99.13"/>
    <n v="1883.47"/>
    <n v="1603.41"/>
    <s v="EUR"/>
  </r>
  <r>
    <s v=".1~24"/>
    <n v="24"/>
    <s v="D2"/>
    <x v="0"/>
    <s v="08"/>
    <x v="3"/>
    <n v="2"/>
    <n v="8"/>
    <s v="1064"/>
    <s v="1"/>
    <x v="2"/>
    <s v="West"/>
    <s v="16"/>
    <x v="2"/>
    <x v="2"/>
    <n v="17"/>
    <n v="17"/>
    <s v="ST"/>
    <n v="99.13"/>
    <n v="1685.21"/>
    <n v="1434.63"/>
    <s v="EUR"/>
  </r>
  <r>
    <s v=".1~25"/>
    <n v="25"/>
    <s v="D2"/>
    <x v="0"/>
    <s v="09"/>
    <x v="4"/>
    <n v="2"/>
    <n v="9"/>
    <s v="1085"/>
    <s v="1"/>
    <x v="0"/>
    <s v="North"/>
    <s v="16"/>
    <x v="0"/>
    <x v="0"/>
    <n v="54"/>
    <n v="54"/>
    <s v="ST"/>
    <n v="29.35"/>
    <n v="1584.9"/>
    <n v="1275.48"/>
    <s v="EUR"/>
  </r>
  <r>
    <s v=".1~26"/>
    <n v="26"/>
    <s v="D2"/>
    <x v="0"/>
    <s v="09"/>
    <x v="4"/>
    <n v="2"/>
    <n v="9"/>
    <s v="1081"/>
    <s v="1"/>
    <x v="0"/>
    <s v="North"/>
    <s v="16"/>
    <x v="1"/>
    <x v="1"/>
    <n v="57"/>
    <n v="57"/>
    <s v="ST"/>
    <n v="34.07"/>
    <n v="1941.99"/>
    <n v="1503.09"/>
    <s v="EUR"/>
  </r>
  <r>
    <s v=".1~27"/>
    <n v="27"/>
    <s v="D2"/>
    <x v="0"/>
    <s v="09"/>
    <x v="4"/>
    <n v="2"/>
    <n v="9"/>
    <s v="1081"/>
    <s v="2"/>
    <x v="0"/>
    <s v="North"/>
    <s v="16"/>
    <x v="4"/>
    <x v="4"/>
    <n v="26"/>
    <n v="26"/>
    <s v="ST"/>
    <n v="70.86"/>
    <n v="1842.36"/>
    <n v="1576.64"/>
    <s v="EUR"/>
  </r>
  <r>
    <s v=".1~28"/>
    <n v="28"/>
    <s v="D2"/>
    <x v="0"/>
    <s v="09"/>
    <x v="4"/>
    <n v="2"/>
    <n v="9"/>
    <s v="1088"/>
    <s v="3"/>
    <x v="1"/>
    <s v="South"/>
    <s v="16"/>
    <x v="1"/>
    <x v="1"/>
    <n v="54"/>
    <n v="54"/>
    <s v="ST"/>
    <n v="34.07"/>
    <n v="1839.78"/>
    <n v="1423.98"/>
    <s v="EUR"/>
  </r>
  <r>
    <s v=".1~29"/>
    <n v="29"/>
    <s v="D2"/>
    <x v="0"/>
    <s v="09"/>
    <x v="4"/>
    <n v="2"/>
    <n v="9"/>
    <s v="1088"/>
    <s v="2"/>
    <x v="1"/>
    <s v="South"/>
    <s v="16"/>
    <x v="1"/>
    <x v="1"/>
    <n v="56"/>
    <n v="56"/>
    <s v="ST"/>
    <n v="34.07"/>
    <n v="1907.92"/>
    <n v="1476.72"/>
    <s v="EUR"/>
  </r>
  <r>
    <s v=".1~30"/>
    <n v="30"/>
    <s v="D2"/>
    <x v="0"/>
    <s v="09"/>
    <x v="4"/>
    <n v="2"/>
    <n v="9"/>
    <s v="1088"/>
    <s v="1"/>
    <x v="1"/>
    <s v="South"/>
    <s v="16"/>
    <x v="4"/>
    <x v="4"/>
    <n v="31"/>
    <n v="31"/>
    <s v="ST"/>
    <n v="70.86"/>
    <n v="2196.66"/>
    <n v="1879.84"/>
    <s v="EUR"/>
  </r>
  <r>
    <s v=".1~31"/>
    <n v="31"/>
    <s v="D2"/>
    <x v="0"/>
    <s v="09"/>
    <x v="4"/>
    <n v="2"/>
    <n v="9"/>
    <s v="1078"/>
    <s v="1"/>
    <x v="2"/>
    <s v="West"/>
    <s v="16"/>
    <x v="2"/>
    <x v="2"/>
    <n v="23"/>
    <n v="23"/>
    <s v="ST"/>
    <n v="99.13"/>
    <n v="2279.9899999999998"/>
    <n v="1940.97"/>
    <s v="EUR"/>
  </r>
  <r>
    <s v=".1~32"/>
    <n v="32"/>
    <s v="D2"/>
    <x v="0"/>
    <s v="10"/>
    <x v="5"/>
    <n v="2"/>
    <n v="10"/>
    <s v="1093"/>
    <s v="2"/>
    <x v="0"/>
    <s v="North"/>
    <s v="16"/>
    <x v="3"/>
    <x v="3"/>
    <n v="19"/>
    <n v="19"/>
    <s v="ST"/>
    <n v="85.38"/>
    <n v="1622.22"/>
    <n v="1387.57"/>
    <s v="EUR"/>
  </r>
  <r>
    <s v=".1~33"/>
    <n v="33"/>
    <s v="D2"/>
    <x v="0"/>
    <s v="10"/>
    <x v="5"/>
    <n v="2"/>
    <n v="10"/>
    <s v="1093"/>
    <s v="1"/>
    <x v="0"/>
    <s v="North"/>
    <s v="16"/>
    <x v="4"/>
    <x v="4"/>
    <n v="6"/>
    <n v="6"/>
    <s v="ST"/>
    <n v="70.86"/>
    <n v="425.16"/>
    <n v="363.84"/>
    <s v="EUR"/>
  </r>
  <r>
    <s v=".1~34"/>
    <n v="34"/>
    <s v="D2"/>
    <x v="1"/>
    <s v="01"/>
    <x v="6"/>
    <n v="3"/>
    <n v="11"/>
    <s v="1110"/>
    <s v="2"/>
    <x v="0"/>
    <s v="North"/>
    <s v="16"/>
    <x v="0"/>
    <x v="0"/>
    <n v="71"/>
    <n v="71"/>
    <s v="ST"/>
    <n v="29.35"/>
    <n v="2083.85"/>
    <n v="1677.02"/>
    <s v="EUR"/>
  </r>
  <r>
    <s v=".1~35"/>
    <n v="35"/>
    <s v="D2"/>
    <x v="1"/>
    <s v="01"/>
    <x v="6"/>
    <n v="3"/>
    <n v="11"/>
    <s v="1110"/>
    <s v="3"/>
    <x v="0"/>
    <s v="North"/>
    <s v="16"/>
    <x v="0"/>
    <x v="0"/>
    <n v="7"/>
    <n v="7"/>
    <s v="ST"/>
    <n v="29.35"/>
    <n v="205.45"/>
    <n v="165.34"/>
    <s v="EUR"/>
  </r>
  <r>
    <s v=".1~36"/>
    <n v="36"/>
    <s v="D2"/>
    <x v="1"/>
    <s v="01"/>
    <x v="6"/>
    <n v="3"/>
    <n v="11"/>
    <s v="1117"/>
    <s v="1"/>
    <x v="0"/>
    <s v="North"/>
    <s v="16"/>
    <x v="0"/>
    <x v="0"/>
    <n v="64"/>
    <n v="64"/>
    <s v="ST"/>
    <n v="29.35"/>
    <n v="1878.4"/>
    <n v="1511.68"/>
    <s v="EUR"/>
  </r>
  <r>
    <s v=".1~37"/>
    <n v="37"/>
    <s v="D2"/>
    <x v="1"/>
    <s v="01"/>
    <x v="6"/>
    <n v="3"/>
    <n v="11"/>
    <s v="1110"/>
    <s v="1"/>
    <x v="0"/>
    <s v="North"/>
    <s v="16"/>
    <x v="4"/>
    <x v="4"/>
    <n v="22"/>
    <n v="22"/>
    <s v="ST"/>
    <n v="68.44"/>
    <n v="1505.68"/>
    <n v="1334.08"/>
    <s v="EUR"/>
  </r>
  <r>
    <s v=".1~38"/>
    <n v="38"/>
    <s v="D2"/>
    <x v="1"/>
    <s v="01"/>
    <x v="6"/>
    <n v="3"/>
    <n v="11"/>
    <s v="1114"/>
    <s v="1"/>
    <x v="1"/>
    <s v="South"/>
    <s v="16"/>
    <x v="0"/>
    <x v="0"/>
    <n v="57"/>
    <n v="57"/>
    <s v="ST"/>
    <n v="29.35"/>
    <n v="1672.95"/>
    <n v="1346.34"/>
    <s v="EUR"/>
  </r>
  <r>
    <s v=".1~39"/>
    <n v="39"/>
    <s v="D2"/>
    <x v="1"/>
    <s v="01"/>
    <x v="6"/>
    <n v="3"/>
    <n v="11"/>
    <s v="1107"/>
    <s v="1"/>
    <x v="2"/>
    <s v="West"/>
    <s v="16"/>
    <x v="0"/>
    <x v="0"/>
    <n v="51"/>
    <n v="51"/>
    <s v="ST"/>
    <n v="29.35"/>
    <n v="1496.85"/>
    <n v="1204.6199999999999"/>
    <s v="EUR"/>
  </r>
  <r>
    <s v=".1~40"/>
    <n v="40"/>
    <s v="D2"/>
    <x v="1"/>
    <s v="02"/>
    <x v="7"/>
    <n v="3"/>
    <n v="12"/>
    <s v="1127"/>
    <s v="1"/>
    <x v="0"/>
    <s v="North"/>
    <s v="16"/>
    <x v="4"/>
    <x v="4"/>
    <n v="3"/>
    <n v="3"/>
    <s v="ST"/>
    <n v="68.44"/>
    <n v="205.32"/>
    <n v="182.25"/>
    <s v="EUR"/>
  </r>
  <r>
    <s v=".1~41"/>
    <n v="41"/>
    <s v="D2"/>
    <x v="1"/>
    <s v="02"/>
    <x v="7"/>
    <n v="3"/>
    <n v="12"/>
    <s v="1124"/>
    <s v="2"/>
    <x v="1"/>
    <s v="South"/>
    <s v="16"/>
    <x v="3"/>
    <x v="3"/>
    <n v="28"/>
    <n v="28"/>
    <s v="ST"/>
    <n v="80.680000000000007"/>
    <n v="2259.04"/>
    <n v="2047.08"/>
    <s v="EUR"/>
  </r>
  <r>
    <s v=".1~42"/>
    <n v="42"/>
    <s v="D2"/>
    <x v="1"/>
    <s v="02"/>
    <x v="7"/>
    <n v="3"/>
    <n v="12"/>
    <s v="1130"/>
    <s v="1"/>
    <x v="1"/>
    <s v="South"/>
    <s v="16"/>
    <x v="3"/>
    <x v="3"/>
    <n v="27"/>
    <n v="27"/>
    <s v="ST"/>
    <n v="80.680000000000007"/>
    <n v="2178.36"/>
    <n v="1973.97"/>
    <s v="EUR"/>
  </r>
  <r>
    <s v=".1~43"/>
    <n v="43"/>
    <s v="D2"/>
    <x v="1"/>
    <s v="02"/>
    <x v="7"/>
    <n v="3"/>
    <n v="12"/>
    <s v="1124"/>
    <s v="1"/>
    <x v="1"/>
    <s v="South"/>
    <s v="16"/>
    <x v="1"/>
    <x v="1"/>
    <n v="63"/>
    <n v="63"/>
    <s v="ST"/>
    <n v="34.07"/>
    <n v="2146.41"/>
    <n v="1666.98"/>
    <s v="EUR"/>
  </r>
  <r>
    <s v=".1~44"/>
    <n v="44"/>
    <s v="D2"/>
    <x v="1"/>
    <s v="02"/>
    <x v="7"/>
    <n v="3"/>
    <n v="12"/>
    <s v="1124"/>
    <s v="3"/>
    <x v="1"/>
    <s v="South"/>
    <s v="16"/>
    <x v="1"/>
    <x v="1"/>
    <n v="22"/>
    <n v="22"/>
    <s v="ST"/>
    <n v="34.07"/>
    <n v="749.54"/>
    <n v="582.12"/>
    <s v="EUR"/>
  </r>
  <r>
    <s v=".1~45"/>
    <n v="45"/>
    <s v="D2"/>
    <x v="1"/>
    <s v="03"/>
    <x v="8"/>
    <n v="3"/>
    <n v="13"/>
    <s v="1134"/>
    <s v="4"/>
    <x v="0"/>
    <s v="North"/>
    <s v="16"/>
    <x v="0"/>
    <x v="0"/>
    <n v="63"/>
    <n v="63"/>
    <s v="ST"/>
    <n v="29.35"/>
    <n v="1849.05"/>
    <n v="1486.8"/>
    <s v="EUR"/>
  </r>
  <r>
    <s v=".1~46"/>
    <n v="46"/>
    <s v="D2"/>
    <x v="1"/>
    <s v="03"/>
    <x v="8"/>
    <n v="3"/>
    <n v="13"/>
    <s v="1134"/>
    <s v="2"/>
    <x v="0"/>
    <s v="North"/>
    <s v="16"/>
    <x v="0"/>
    <x v="0"/>
    <n v="83"/>
    <n v="83"/>
    <s v="ST"/>
    <n v="29.35"/>
    <n v="2436.0500000000002"/>
    <n v="1958.8"/>
    <s v="EUR"/>
  </r>
  <r>
    <s v=".1~47"/>
    <n v="47"/>
    <s v="D2"/>
    <x v="1"/>
    <s v="03"/>
    <x v="8"/>
    <n v="3"/>
    <n v="13"/>
    <s v="1134"/>
    <s v="9"/>
    <x v="0"/>
    <s v="North"/>
    <s v="16"/>
    <x v="0"/>
    <x v="0"/>
    <n v="56"/>
    <n v="56"/>
    <s v="ST"/>
    <n v="29.35"/>
    <n v="1643.6"/>
    <n v="1321.6"/>
    <s v="EUR"/>
  </r>
  <r>
    <s v=".1~48"/>
    <n v="48"/>
    <s v="D2"/>
    <x v="1"/>
    <s v="03"/>
    <x v="8"/>
    <n v="3"/>
    <n v="13"/>
    <s v="1134"/>
    <s v="1"/>
    <x v="0"/>
    <s v="North"/>
    <s v="16"/>
    <x v="1"/>
    <x v="1"/>
    <n v="62"/>
    <n v="62"/>
    <s v="ST"/>
    <n v="34.07"/>
    <n v="2112.34"/>
    <n v="1640.52"/>
    <s v="EUR"/>
  </r>
  <r>
    <s v=".1~49"/>
    <n v="49"/>
    <s v="D2"/>
    <x v="1"/>
    <s v="03"/>
    <x v="8"/>
    <n v="3"/>
    <n v="13"/>
    <s v="1134"/>
    <s v="3"/>
    <x v="0"/>
    <s v="North"/>
    <s v="16"/>
    <x v="4"/>
    <x v="4"/>
    <n v="23"/>
    <n v="23"/>
    <s v="ST"/>
    <n v="68.44"/>
    <n v="1574.12"/>
    <n v="1397.25"/>
    <s v="EUR"/>
  </r>
  <r>
    <s v=".1~50"/>
    <n v="50"/>
    <s v="D2"/>
    <x v="1"/>
    <s v="03"/>
    <x v="8"/>
    <n v="3"/>
    <n v="13"/>
    <s v="1142"/>
    <s v="3"/>
    <x v="1"/>
    <s v="South"/>
    <s v="16"/>
    <x v="0"/>
    <x v="0"/>
    <n v="68"/>
    <n v="68"/>
    <s v="ST"/>
    <n v="29.35"/>
    <n v="1995.8"/>
    <n v="1604.8"/>
    <s v="EUR"/>
  </r>
  <r>
    <s v=".1~51"/>
    <n v="51"/>
    <s v="D2"/>
    <x v="1"/>
    <s v="03"/>
    <x v="8"/>
    <n v="3"/>
    <n v="13"/>
    <s v="1142"/>
    <s v="1"/>
    <x v="1"/>
    <s v="South"/>
    <s v="16"/>
    <x v="1"/>
    <x v="1"/>
    <n v="65"/>
    <n v="65"/>
    <s v="ST"/>
    <n v="34.07"/>
    <n v="2214.5500000000002"/>
    <n v="1719.9"/>
    <s v="EUR"/>
  </r>
  <r>
    <s v=".1~52"/>
    <n v="52"/>
    <s v="D2"/>
    <x v="1"/>
    <s v="03"/>
    <x v="8"/>
    <n v="3"/>
    <n v="13"/>
    <s v="1142"/>
    <s v="2"/>
    <x v="1"/>
    <s v="South"/>
    <s v="16"/>
    <x v="4"/>
    <x v="4"/>
    <n v="36"/>
    <n v="36"/>
    <s v="ST"/>
    <n v="68.44"/>
    <n v="2463.84"/>
    <n v="2187"/>
    <s v="EUR"/>
  </r>
  <r>
    <s v=".1~53"/>
    <n v="53"/>
    <s v="D2"/>
    <x v="1"/>
    <s v="03"/>
    <x v="8"/>
    <n v="3"/>
    <n v="13"/>
    <s v="1138"/>
    <s v="1"/>
    <x v="2"/>
    <s v="West"/>
    <s v="16"/>
    <x v="0"/>
    <x v="0"/>
    <n v="50"/>
    <n v="50"/>
    <s v="ST"/>
    <n v="29.35"/>
    <n v="1467.5"/>
    <n v="1180"/>
    <s v="EUR"/>
  </r>
  <r>
    <s v=".1~54"/>
    <n v="54"/>
    <s v="D2"/>
    <x v="1"/>
    <s v="04"/>
    <x v="9"/>
    <n v="3"/>
    <n v="14"/>
    <s v="1157"/>
    <s v="2"/>
    <x v="0"/>
    <s v="North"/>
    <s v="16"/>
    <x v="0"/>
    <x v="0"/>
    <n v="18"/>
    <n v="18"/>
    <s v="ST"/>
    <n v="29.35"/>
    <n v="528.29999999999995"/>
    <n v="424.8"/>
    <s v="EUR"/>
  </r>
  <r>
    <s v=".1~55"/>
    <n v="55"/>
    <s v="D2"/>
    <x v="1"/>
    <s v="04"/>
    <x v="9"/>
    <n v="3"/>
    <n v="14"/>
    <s v="1157"/>
    <s v="1"/>
    <x v="0"/>
    <s v="North"/>
    <s v="16"/>
    <x v="3"/>
    <x v="3"/>
    <n v="29"/>
    <n v="29"/>
    <s v="ST"/>
    <n v="80.680000000000007"/>
    <n v="2339.7199999999998"/>
    <n v="2120.19"/>
    <s v="EUR"/>
  </r>
  <r>
    <s v=".1~56"/>
    <n v="56"/>
    <s v="D2"/>
    <x v="1"/>
    <s v="04"/>
    <x v="9"/>
    <n v="3"/>
    <n v="14"/>
    <s v="1152"/>
    <s v="2"/>
    <x v="0"/>
    <s v="North"/>
    <s v="16"/>
    <x v="1"/>
    <x v="1"/>
    <n v="51"/>
    <n v="51"/>
    <s v="ST"/>
    <n v="34.07"/>
    <n v="1737.57"/>
    <n v="1349.46"/>
    <s v="EUR"/>
  </r>
  <r>
    <s v=".1~57"/>
    <n v="57"/>
    <s v="D2"/>
    <x v="1"/>
    <s v="04"/>
    <x v="9"/>
    <n v="3"/>
    <n v="14"/>
    <s v="1152"/>
    <s v="1"/>
    <x v="0"/>
    <s v="North"/>
    <s v="16"/>
    <x v="4"/>
    <x v="4"/>
    <n v="31"/>
    <n v="31"/>
    <s v="ST"/>
    <n v="68.44"/>
    <n v="2121.64"/>
    <n v="1883.25"/>
    <s v="EUR"/>
  </r>
  <r>
    <s v=".1~58"/>
    <n v="58"/>
    <s v="D2"/>
    <x v="1"/>
    <s v="04"/>
    <x v="9"/>
    <n v="3"/>
    <n v="14"/>
    <s v="1157"/>
    <s v="3"/>
    <x v="0"/>
    <s v="North"/>
    <s v="16"/>
    <x v="4"/>
    <x v="4"/>
    <n v="6"/>
    <n v="6"/>
    <s v="ST"/>
    <n v="68.44"/>
    <n v="410.64"/>
    <n v="364.5"/>
    <s v="EUR"/>
  </r>
  <r>
    <s v=".1~59"/>
    <n v="59"/>
    <s v="D2"/>
    <x v="1"/>
    <s v="04"/>
    <x v="9"/>
    <n v="3"/>
    <n v="14"/>
    <s v="1165"/>
    <s v="1"/>
    <x v="1"/>
    <s v="South"/>
    <s v="16"/>
    <x v="1"/>
    <x v="1"/>
    <n v="62"/>
    <n v="62"/>
    <s v="ST"/>
    <n v="34.07"/>
    <n v="2112.34"/>
    <n v="1640.52"/>
    <s v="EUR"/>
  </r>
  <r>
    <s v=".1~60"/>
    <n v="60"/>
    <s v="D2"/>
    <x v="1"/>
    <s v="04"/>
    <x v="9"/>
    <n v="3"/>
    <n v="14"/>
    <s v="1167"/>
    <s v="1"/>
    <x v="1"/>
    <s v="South"/>
    <s v="16"/>
    <x v="4"/>
    <x v="4"/>
    <n v="34"/>
    <n v="34"/>
    <s v="ST"/>
    <n v="68.44"/>
    <n v="2326.96"/>
    <n v="2065.5"/>
    <s v="EUR"/>
  </r>
  <r>
    <s v=".1~61"/>
    <n v="61"/>
    <s v="D2"/>
    <x v="1"/>
    <s v="04"/>
    <x v="9"/>
    <n v="3"/>
    <n v="14"/>
    <s v="1147"/>
    <s v="1"/>
    <x v="2"/>
    <s v="West"/>
    <s v="16"/>
    <x v="2"/>
    <x v="2"/>
    <n v="17"/>
    <n v="17"/>
    <s v="ST"/>
    <n v="96.4"/>
    <n v="1638.8"/>
    <n v="1437.01"/>
    <s v="EUR"/>
  </r>
  <r>
    <s v=".1~62"/>
    <n v="62"/>
    <s v="D2"/>
    <x v="1"/>
    <s v="04"/>
    <x v="9"/>
    <n v="3"/>
    <n v="14"/>
    <s v="1162"/>
    <s v="1"/>
    <x v="2"/>
    <s v="West"/>
    <s v="16"/>
    <x v="2"/>
    <x v="2"/>
    <n v="17"/>
    <n v="17"/>
    <s v="ST"/>
    <n v="96.4"/>
    <n v="1638.8"/>
    <n v="1437.01"/>
    <s v="EUR"/>
  </r>
  <r>
    <s v=".1~63"/>
    <n v="63"/>
    <s v="D2"/>
    <x v="1"/>
    <s v="05"/>
    <x v="10"/>
    <n v="3"/>
    <n v="15"/>
    <s v="1173"/>
    <s v="1"/>
    <x v="0"/>
    <s v="North"/>
    <s v="16"/>
    <x v="0"/>
    <x v="0"/>
    <n v="64"/>
    <n v="64"/>
    <s v="ST"/>
    <n v="29.35"/>
    <n v="1878.4"/>
    <n v="1510.4"/>
    <s v="EUR"/>
  </r>
  <r>
    <s v=".1~64"/>
    <n v="64"/>
    <s v="D2"/>
    <x v="1"/>
    <s v="05"/>
    <x v="10"/>
    <n v="3"/>
    <n v="15"/>
    <s v="1176"/>
    <s v="1"/>
    <x v="0"/>
    <s v="North"/>
    <s v="16"/>
    <x v="1"/>
    <x v="1"/>
    <n v="60"/>
    <n v="60"/>
    <s v="ST"/>
    <n v="34.07"/>
    <n v="2044.2"/>
    <n v="1587.6"/>
    <s v="EUR"/>
  </r>
  <r>
    <s v=".1~65"/>
    <n v="65"/>
    <s v="D2"/>
    <x v="1"/>
    <s v="05"/>
    <x v="10"/>
    <n v="3"/>
    <n v="15"/>
    <s v="1173"/>
    <s v="2"/>
    <x v="0"/>
    <s v="North"/>
    <s v="16"/>
    <x v="2"/>
    <x v="2"/>
    <n v="21"/>
    <n v="21"/>
    <s v="ST"/>
    <n v="96.4"/>
    <n v="2024.4"/>
    <n v="1775.13"/>
    <s v="EUR"/>
  </r>
  <r>
    <s v=".1~66"/>
    <n v="66"/>
    <s v="D2"/>
    <x v="1"/>
    <s v="05"/>
    <x v="10"/>
    <n v="3"/>
    <n v="15"/>
    <s v="1186"/>
    <s v="1"/>
    <x v="1"/>
    <s v="South"/>
    <s v="16"/>
    <x v="1"/>
    <x v="1"/>
    <n v="53"/>
    <n v="53"/>
    <s v="ST"/>
    <n v="34.07"/>
    <n v="1805.71"/>
    <n v="1402.38"/>
    <s v="EUR"/>
  </r>
  <r>
    <s v=".1~67"/>
    <n v="67"/>
    <s v="D2"/>
    <x v="1"/>
    <s v="05"/>
    <x v="10"/>
    <n v="3"/>
    <n v="15"/>
    <s v="1191"/>
    <s v="1"/>
    <x v="1"/>
    <s v="South"/>
    <s v="16"/>
    <x v="2"/>
    <x v="2"/>
    <n v="23"/>
    <n v="23"/>
    <s v="ST"/>
    <n v="96.4"/>
    <n v="2217.1999999999998"/>
    <n v="1944.19"/>
    <s v="EUR"/>
  </r>
  <r>
    <s v=".1~68"/>
    <n v="68"/>
    <s v="D2"/>
    <x v="1"/>
    <s v="05"/>
    <x v="10"/>
    <n v="3"/>
    <n v="15"/>
    <s v="1191"/>
    <s v="2"/>
    <x v="1"/>
    <s v="South"/>
    <s v="16"/>
    <x v="4"/>
    <x v="4"/>
    <n v="36"/>
    <n v="36"/>
    <s v="ST"/>
    <n v="68.44"/>
    <n v="2463.84"/>
    <n v="2187"/>
    <s v="EUR"/>
  </r>
  <r>
    <s v=".1~69"/>
    <n v="69"/>
    <s v="D2"/>
    <x v="1"/>
    <s v="05"/>
    <x v="10"/>
    <n v="3"/>
    <n v="15"/>
    <s v="1181"/>
    <s v="2"/>
    <x v="2"/>
    <s v="West"/>
    <s v="16"/>
    <x v="2"/>
    <x v="2"/>
    <n v="24"/>
    <n v="24"/>
    <s v="ST"/>
    <n v="96.4"/>
    <n v="2313.6"/>
    <n v="2028.72"/>
    <s v="EUR"/>
  </r>
  <r>
    <s v=".1~70"/>
    <n v="70"/>
    <s v="D2"/>
    <x v="1"/>
    <s v="05"/>
    <x v="10"/>
    <n v="3"/>
    <n v="15"/>
    <s v="1181"/>
    <s v="1"/>
    <x v="2"/>
    <s v="West"/>
    <s v="16"/>
    <x v="2"/>
    <x v="2"/>
    <n v="25"/>
    <n v="25"/>
    <s v="ST"/>
    <n v="96.4"/>
    <n v="2410"/>
    <n v="2113.25"/>
    <s v="EUR"/>
  </r>
  <r>
    <s v=".1~71"/>
    <n v="71"/>
    <s v="D2"/>
    <x v="1"/>
    <s v="06"/>
    <x v="11"/>
    <n v="4"/>
    <n v="16"/>
    <s v="1202"/>
    <s v="1"/>
    <x v="0"/>
    <s v="North"/>
    <s v="16"/>
    <x v="0"/>
    <x v="0"/>
    <n v="56"/>
    <n v="56"/>
    <s v="ST"/>
    <n v="29.35"/>
    <n v="1643.6"/>
    <n v="1319.36"/>
    <s v="EUR"/>
  </r>
  <r>
    <s v=".1~72"/>
    <n v="72"/>
    <s v="D2"/>
    <x v="1"/>
    <s v="06"/>
    <x v="11"/>
    <n v="4"/>
    <n v="16"/>
    <s v="1207"/>
    <s v="4"/>
    <x v="0"/>
    <s v="North"/>
    <s v="16"/>
    <x v="0"/>
    <x v="0"/>
    <n v="27"/>
    <n v="27"/>
    <s v="ST"/>
    <n v="29.35"/>
    <n v="792.45"/>
    <n v="636.12"/>
    <s v="EUR"/>
  </r>
  <r>
    <s v=".1~73"/>
    <n v="73"/>
    <s v="D2"/>
    <x v="1"/>
    <s v="06"/>
    <x v="11"/>
    <n v="4"/>
    <n v="16"/>
    <s v="1207"/>
    <s v="2"/>
    <x v="0"/>
    <s v="North"/>
    <s v="16"/>
    <x v="0"/>
    <x v="0"/>
    <n v="73"/>
    <n v="73"/>
    <s v="ST"/>
    <n v="29.35"/>
    <n v="2142.5500000000002"/>
    <n v="1719.88"/>
    <s v="EUR"/>
  </r>
  <r>
    <s v=".1~74"/>
    <n v="74"/>
    <s v="D2"/>
    <x v="1"/>
    <s v="06"/>
    <x v="11"/>
    <n v="4"/>
    <n v="16"/>
    <s v="1202"/>
    <s v="3"/>
    <x v="0"/>
    <s v="North"/>
    <s v="16"/>
    <x v="1"/>
    <x v="1"/>
    <n v="60"/>
    <n v="60"/>
    <s v="ST"/>
    <n v="34.07"/>
    <n v="2044.2"/>
    <n v="1588.2"/>
    <s v="EUR"/>
  </r>
  <r>
    <s v=".1~75"/>
    <n v="75"/>
    <s v="D2"/>
    <x v="1"/>
    <s v="06"/>
    <x v="11"/>
    <n v="4"/>
    <n v="16"/>
    <s v="1207"/>
    <s v="3"/>
    <x v="0"/>
    <s v="North"/>
    <s v="16"/>
    <x v="4"/>
    <x v="4"/>
    <n v="31"/>
    <n v="31"/>
    <s v="ST"/>
    <n v="68.44"/>
    <n v="2121.64"/>
    <n v="1889.76"/>
    <s v="EUR"/>
  </r>
  <r>
    <s v=".1~76"/>
    <n v="76"/>
    <s v="D2"/>
    <x v="1"/>
    <s v="06"/>
    <x v="11"/>
    <n v="4"/>
    <n v="16"/>
    <s v="1207"/>
    <s v="1"/>
    <x v="0"/>
    <s v="North"/>
    <s v="16"/>
    <x v="5"/>
    <x v="5"/>
    <n v="23"/>
    <n v="23"/>
    <s v="ST"/>
    <n v="50"/>
    <n v="1150"/>
    <n v="1006.94"/>
    <s v="EUR"/>
  </r>
  <r>
    <s v=".1~77"/>
    <n v="77"/>
    <s v="D2"/>
    <x v="1"/>
    <s v="06"/>
    <x v="11"/>
    <n v="4"/>
    <n v="16"/>
    <s v="1202"/>
    <s v="2"/>
    <x v="0"/>
    <s v="North"/>
    <s v="16"/>
    <x v="5"/>
    <x v="5"/>
    <n v="47"/>
    <n v="47"/>
    <s v="ST"/>
    <n v="50"/>
    <n v="2350"/>
    <n v="2057.66"/>
    <s v="EUR"/>
  </r>
  <r>
    <s v=".1~78"/>
    <n v="78"/>
    <s v="D2"/>
    <x v="1"/>
    <s v="06"/>
    <x v="11"/>
    <n v="4"/>
    <n v="16"/>
    <s v="1211"/>
    <s v="1"/>
    <x v="1"/>
    <s v="South"/>
    <s v="16"/>
    <x v="3"/>
    <x v="3"/>
    <n v="19"/>
    <n v="19"/>
    <s v="ST"/>
    <n v="80.680000000000007"/>
    <n v="1532.92"/>
    <n v="1391.75"/>
    <s v="EUR"/>
  </r>
  <r>
    <s v=".1~79"/>
    <n v="79"/>
    <s v="D2"/>
    <x v="1"/>
    <s v="06"/>
    <x v="11"/>
    <n v="4"/>
    <n v="16"/>
    <s v="1211"/>
    <s v="5"/>
    <x v="1"/>
    <s v="South"/>
    <s v="16"/>
    <x v="1"/>
    <x v="1"/>
    <n v="44"/>
    <n v="44"/>
    <s v="ST"/>
    <n v="34.07"/>
    <n v="1499.08"/>
    <n v="1164.68"/>
    <s v="EUR"/>
  </r>
  <r>
    <s v=".1~80"/>
    <n v="80"/>
    <s v="D2"/>
    <x v="1"/>
    <s v="06"/>
    <x v="11"/>
    <n v="4"/>
    <n v="16"/>
    <s v="1211"/>
    <s v="6"/>
    <x v="1"/>
    <s v="South"/>
    <s v="16"/>
    <x v="1"/>
    <x v="1"/>
    <n v="4"/>
    <n v="4"/>
    <s v="ST"/>
    <n v="34.07"/>
    <n v="136.28"/>
    <n v="105.88"/>
    <s v="EUR"/>
  </r>
  <r>
    <s v=".1~81"/>
    <n v="81"/>
    <s v="D2"/>
    <x v="1"/>
    <s v="06"/>
    <x v="11"/>
    <n v="4"/>
    <n v="16"/>
    <s v="1211"/>
    <s v="2"/>
    <x v="1"/>
    <s v="South"/>
    <s v="16"/>
    <x v="5"/>
    <x v="5"/>
    <n v="35"/>
    <n v="35"/>
    <s v="ST"/>
    <n v="50"/>
    <n v="1750"/>
    <n v="1532.3"/>
    <s v="EUR"/>
  </r>
  <r>
    <s v=".1~82"/>
    <n v="82"/>
    <s v="D2"/>
    <x v="1"/>
    <s v="07"/>
    <x v="12"/>
    <n v="4"/>
    <n v="17"/>
    <s v="1223"/>
    <s v="1"/>
    <x v="1"/>
    <s v="South"/>
    <s v="16"/>
    <x v="1"/>
    <x v="1"/>
    <n v="68"/>
    <n v="68"/>
    <s v="ST"/>
    <n v="34.07"/>
    <n v="2316.7600000000002"/>
    <n v="1799.96"/>
    <s v="EUR"/>
  </r>
  <r>
    <s v=".1~83"/>
    <n v="83"/>
    <s v="D2"/>
    <x v="1"/>
    <s v="07"/>
    <x v="12"/>
    <n v="4"/>
    <n v="17"/>
    <s v="1223"/>
    <s v="2"/>
    <x v="1"/>
    <s v="South"/>
    <s v="16"/>
    <x v="4"/>
    <x v="4"/>
    <n v="28"/>
    <n v="28"/>
    <s v="ST"/>
    <n v="68.44"/>
    <n v="1916.32"/>
    <n v="1706.88"/>
    <s v="EUR"/>
  </r>
  <r>
    <s v=".1~84"/>
    <n v="84"/>
    <s v="D2"/>
    <x v="1"/>
    <s v="07"/>
    <x v="12"/>
    <n v="4"/>
    <n v="17"/>
    <s v="1219"/>
    <s v="1"/>
    <x v="2"/>
    <s v="West"/>
    <s v="16"/>
    <x v="2"/>
    <x v="2"/>
    <n v="23"/>
    <n v="23"/>
    <s v="ST"/>
    <n v="96.4"/>
    <n v="2217.1999999999998"/>
    <n v="1944.65"/>
    <s v="EUR"/>
  </r>
  <r>
    <s v=".1~85"/>
    <n v="85"/>
    <s v="D2"/>
    <x v="1"/>
    <s v="07"/>
    <x v="12"/>
    <n v="4"/>
    <n v="17"/>
    <s v="1219"/>
    <s v="2"/>
    <x v="2"/>
    <s v="West"/>
    <s v="16"/>
    <x v="5"/>
    <x v="5"/>
    <n v="33"/>
    <n v="33"/>
    <s v="ST"/>
    <n v="50"/>
    <n v="1650"/>
    <n v="1444.74"/>
    <s v="EUR"/>
  </r>
  <r>
    <s v=".1~86"/>
    <n v="86"/>
    <s v="D2"/>
    <x v="1"/>
    <s v="08"/>
    <x v="13"/>
    <n v="4"/>
    <n v="18"/>
    <s v="1236"/>
    <s v="1"/>
    <x v="0"/>
    <s v="North"/>
    <s v="16"/>
    <x v="0"/>
    <x v="0"/>
    <n v="56"/>
    <n v="56"/>
    <s v="ST"/>
    <n v="29.35"/>
    <n v="1643.6"/>
    <n v="1319.36"/>
    <s v="EUR"/>
  </r>
  <r>
    <s v=".1~87"/>
    <n v="87"/>
    <s v="D2"/>
    <x v="1"/>
    <s v="08"/>
    <x v="13"/>
    <n v="4"/>
    <n v="18"/>
    <s v="1241"/>
    <s v="2"/>
    <x v="0"/>
    <s v="North"/>
    <s v="16"/>
    <x v="0"/>
    <x v="0"/>
    <n v="77"/>
    <n v="77"/>
    <s v="ST"/>
    <n v="29.35"/>
    <n v="2259.9499999999998"/>
    <n v="1814.12"/>
    <s v="EUR"/>
  </r>
  <r>
    <s v=".1~88"/>
    <n v="88"/>
    <s v="D2"/>
    <x v="1"/>
    <s v="08"/>
    <x v="13"/>
    <n v="4"/>
    <n v="18"/>
    <s v="1241"/>
    <s v="3"/>
    <x v="0"/>
    <s v="North"/>
    <s v="16"/>
    <x v="3"/>
    <x v="3"/>
    <n v="18"/>
    <n v="18"/>
    <s v="ST"/>
    <n v="80.680000000000007"/>
    <n v="1452.24"/>
    <n v="1318.5"/>
    <s v="EUR"/>
  </r>
  <r>
    <s v=".1~89"/>
    <n v="89"/>
    <s v="D2"/>
    <x v="1"/>
    <s v="08"/>
    <x v="13"/>
    <n v="4"/>
    <n v="18"/>
    <s v="1236"/>
    <s v="2"/>
    <x v="0"/>
    <s v="North"/>
    <s v="16"/>
    <x v="1"/>
    <x v="1"/>
    <n v="65"/>
    <n v="65"/>
    <s v="ST"/>
    <n v="34.07"/>
    <n v="2214.5500000000002"/>
    <n v="1720.55"/>
    <s v="EUR"/>
  </r>
  <r>
    <s v=".1~90"/>
    <n v="90"/>
    <s v="D2"/>
    <x v="1"/>
    <s v="08"/>
    <x v="13"/>
    <n v="4"/>
    <n v="18"/>
    <s v="1241"/>
    <s v="1"/>
    <x v="0"/>
    <s v="North"/>
    <s v="16"/>
    <x v="5"/>
    <x v="5"/>
    <n v="41"/>
    <n v="41"/>
    <s v="ST"/>
    <n v="50"/>
    <n v="2050"/>
    <n v="1794.98"/>
    <s v="EUR"/>
  </r>
  <r>
    <s v=".1~91"/>
    <n v="91"/>
    <s v="D2"/>
    <x v="1"/>
    <s v="08"/>
    <x v="13"/>
    <n v="4"/>
    <n v="18"/>
    <s v="1252"/>
    <s v="1"/>
    <x v="1"/>
    <s v="South"/>
    <s v="16"/>
    <x v="1"/>
    <x v="1"/>
    <n v="27"/>
    <n v="27"/>
    <s v="ST"/>
    <n v="34.07"/>
    <n v="919.89"/>
    <n v="714.69"/>
    <s v="EUR"/>
  </r>
  <r>
    <s v=".1~92"/>
    <n v="92"/>
    <s v="D2"/>
    <x v="1"/>
    <s v="08"/>
    <x v="13"/>
    <n v="4"/>
    <n v="18"/>
    <s v="1255"/>
    <s v="1"/>
    <x v="1"/>
    <s v="South"/>
    <s v="16"/>
    <x v="4"/>
    <x v="4"/>
    <n v="28"/>
    <n v="28"/>
    <s v="ST"/>
    <n v="68.44"/>
    <n v="1916.32"/>
    <n v="1706.88"/>
    <s v="EUR"/>
  </r>
  <r>
    <s v=".1~93"/>
    <n v="93"/>
    <s v="D2"/>
    <x v="1"/>
    <s v="08"/>
    <x v="13"/>
    <n v="4"/>
    <n v="18"/>
    <s v="1246"/>
    <s v="3"/>
    <x v="2"/>
    <s v="West"/>
    <s v="16"/>
    <x v="0"/>
    <x v="0"/>
    <n v="50"/>
    <n v="50"/>
    <s v="ST"/>
    <n v="29.35"/>
    <n v="1467.5"/>
    <n v="1178"/>
    <s v="EUR"/>
  </r>
  <r>
    <s v=".1~94"/>
    <n v="94"/>
    <s v="D2"/>
    <x v="1"/>
    <s v="08"/>
    <x v="13"/>
    <n v="4"/>
    <n v="18"/>
    <s v="1246"/>
    <s v="1"/>
    <x v="2"/>
    <s v="West"/>
    <s v="16"/>
    <x v="1"/>
    <x v="1"/>
    <n v="55"/>
    <n v="55"/>
    <s v="ST"/>
    <n v="34.07"/>
    <n v="1873.85"/>
    <n v="1455.85"/>
    <s v="EUR"/>
  </r>
  <r>
    <s v=".1~95"/>
    <n v="95"/>
    <s v="D2"/>
    <x v="1"/>
    <s v="08"/>
    <x v="13"/>
    <n v="4"/>
    <n v="18"/>
    <s v="1246"/>
    <s v="2"/>
    <x v="2"/>
    <s v="West"/>
    <s v="16"/>
    <x v="2"/>
    <x v="2"/>
    <n v="24"/>
    <n v="24"/>
    <s v="ST"/>
    <n v="96.4"/>
    <n v="2313.6"/>
    <n v="2029.2"/>
    <s v="EUR"/>
  </r>
  <r>
    <s v=".1~96"/>
    <n v="96"/>
    <s v="D2"/>
    <x v="1"/>
    <s v="09"/>
    <x v="14"/>
    <n v="4"/>
    <n v="19"/>
    <s v="1267"/>
    <s v="1"/>
    <x v="0"/>
    <s v="North"/>
    <s v="16"/>
    <x v="0"/>
    <x v="0"/>
    <n v="13"/>
    <n v="13"/>
    <s v="ST"/>
    <n v="29.35"/>
    <n v="381.55"/>
    <n v="306.27999999999997"/>
    <s v="EUR"/>
  </r>
  <r>
    <s v=".1~97"/>
    <n v="97"/>
    <s v="D2"/>
    <x v="1"/>
    <s v="09"/>
    <x v="14"/>
    <n v="4"/>
    <n v="19"/>
    <s v="1272"/>
    <s v="1"/>
    <x v="0"/>
    <s v="North"/>
    <s v="16"/>
    <x v="5"/>
    <x v="5"/>
    <n v="19"/>
    <n v="19"/>
    <s v="ST"/>
    <n v="50"/>
    <n v="950"/>
    <n v="831.82"/>
    <s v="EUR"/>
  </r>
  <r>
    <s v=".1~98"/>
    <n v="98"/>
    <s v="D2"/>
    <x v="1"/>
    <s v="09"/>
    <x v="14"/>
    <n v="4"/>
    <n v="19"/>
    <s v="1275"/>
    <s v="2"/>
    <x v="1"/>
    <s v="South"/>
    <s v="16"/>
    <x v="3"/>
    <x v="3"/>
    <n v="25"/>
    <n v="25"/>
    <s v="ST"/>
    <n v="80.680000000000007"/>
    <n v="2017"/>
    <n v="1831.25"/>
    <s v="EUR"/>
  </r>
  <r>
    <s v=".1~99"/>
    <n v="99"/>
    <s v="D2"/>
    <x v="1"/>
    <s v="09"/>
    <x v="14"/>
    <n v="4"/>
    <n v="19"/>
    <s v="1275"/>
    <s v="7"/>
    <x v="1"/>
    <s v="South"/>
    <s v="16"/>
    <x v="1"/>
    <x v="1"/>
    <n v="53"/>
    <n v="53"/>
    <s v="ST"/>
    <n v="34.07"/>
    <n v="1805.71"/>
    <n v="1402.91"/>
    <s v="EUR"/>
  </r>
  <r>
    <s v=".1~100"/>
    <n v="100"/>
    <s v="D2"/>
    <x v="1"/>
    <s v="09"/>
    <x v="14"/>
    <n v="4"/>
    <n v="19"/>
    <s v="1275"/>
    <s v="1"/>
    <x v="1"/>
    <s v="South"/>
    <s v="16"/>
    <x v="1"/>
    <x v="1"/>
    <n v="48"/>
    <n v="48"/>
    <s v="ST"/>
    <n v="34.07"/>
    <n v="1635.36"/>
    <n v="1270.56"/>
    <s v="EUR"/>
  </r>
  <r>
    <s v=".1~101"/>
    <n v="101"/>
    <s v="D2"/>
    <x v="1"/>
    <s v="09"/>
    <x v="14"/>
    <n v="4"/>
    <n v="19"/>
    <s v="1275"/>
    <s v="3"/>
    <x v="1"/>
    <s v="South"/>
    <s v="16"/>
    <x v="1"/>
    <x v="1"/>
    <n v="22"/>
    <n v="22"/>
    <s v="ST"/>
    <n v="34.07"/>
    <n v="749.54"/>
    <n v="582.34"/>
    <s v="EUR"/>
  </r>
  <r>
    <s v=".1~102"/>
    <n v="102"/>
    <s v="D2"/>
    <x v="1"/>
    <s v="09"/>
    <x v="14"/>
    <n v="4"/>
    <n v="19"/>
    <s v="1263"/>
    <s v="1"/>
    <x v="2"/>
    <s v="West"/>
    <s v="16"/>
    <x v="2"/>
    <x v="2"/>
    <n v="25"/>
    <n v="25"/>
    <s v="ST"/>
    <n v="96.4"/>
    <n v="2410"/>
    <n v="2113.75"/>
    <s v="EUR"/>
  </r>
  <r>
    <s v=".1~103"/>
    <n v="103"/>
    <s v="D2"/>
    <x v="1"/>
    <s v="09"/>
    <x v="14"/>
    <n v="4"/>
    <n v="19"/>
    <s v="1258"/>
    <s v="1"/>
    <x v="2"/>
    <s v="West"/>
    <s v="16"/>
    <x v="4"/>
    <x v="4"/>
    <n v="35"/>
    <n v="35"/>
    <s v="ST"/>
    <n v="68.44"/>
    <n v="2395.4"/>
    <n v="2133.6"/>
    <s v="EUR"/>
  </r>
  <r>
    <s v=".1~104"/>
    <n v="104"/>
    <s v="D2"/>
    <x v="1"/>
    <s v="10"/>
    <x v="15"/>
    <n v="4"/>
    <n v="20"/>
    <s v="1283"/>
    <s v="1"/>
    <x v="1"/>
    <s v="South"/>
    <s v="16"/>
    <x v="1"/>
    <x v="1"/>
    <n v="27"/>
    <n v="27"/>
    <s v="ST"/>
    <n v="34.07"/>
    <n v="919.89"/>
    <n v="714.69"/>
    <s v="EUR"/>
  </r>
  <r>
    <s v=".1~105"/>
    <n v="105"/>
    <s v="D2"/>
    <x v="1"/>
    <s v="10"/>
    <x v="15"/>
    <n v="4"/>
    <n v="20"/>
    <s v="1279"/>
    <s v="1"/>
    <x v="2"/>
    <s v="West"/>
    <s v="16"/>
    <x v="0"/>
    <x v="0"/>
    <n v="50"/>
    <n v="50"/>
    <s v="ST"/>
    <n v="29.35"/>
    <n v="1467.5"/>
    <n v="1178"/>
    <s v="EUR"/>
  </r>
  <r>
    <s v=".1~106"/>
    <n v="106"/>
    <s v="D2"/>
    <x v="2"/>
    <s v="01"/>
    <x v="16"/>
    <n v="5"/>
    <n v="21"/>
    <s v="1298"/>
    <s v="1"/>
    <x v="1"/>
    <s v="South"/>
    <s v="16"/>
    <x v="4"/>
    <x v="4"/>
    <n v="33"/>
    <n v="33"/>
    <s v="ST"/>
    <n v="68.44"/>
    <n v="2258.52"/>
    <n v="2011.68"/>
    <s v="EUR"/>
  </r>
  <r>
    <s v=".1~107"/>
    <n v="107"/>
    <s v="D2"/>
    <x v="2"/>
    <s v="01"/>
    <x v="16"/>
    <n v="5"/>
    <n v="21"/>
    <s v="1293"/>
    <s v="1"/>
    <x v="2"/>
    <s v="West"/>
    <s v="16"/>
    <x v="2"/>
    <x v="2"/>
    <n v="23"/>
    <n v="23"/>
    <s v="ST"/>
    <n v="96.4"/>
    <n v="2217.1999999999998"/>
    <n v="1944.65"/>
    <s v="EUR"/>
  </r>
  <r>
    <s v=".1~108"/>
    <n v="108"/>
    <s v="D2"/>
    <x v="2"/>
    <s v="02"/>
    <x v="17"/>
    <n v="5"/>
    <n v="22"/>
    <s v="1323"/>
    <s v="1"/>
    <x v="0"/>
    <s v="North"/>
    <s v="16"/>
    <x v="0"/>
    <x v="0"/>
    <n v="1"/>
    <n v="1"/>
    <s v="ST"/>
    <n v="29.35"/>
    <n v="29.35"/>
    <n v="23.47"/>
    <s v="EUR"/>
  </r>
  <r>
    <s v=".1~109"/>
    <n v="109"/>
    <s v="D2"/>
    <x v="2"/>
    <s v="02"/>
    <x v="17"/>
    <n v="5"/>
    <n v="22"/>
    <s v="1325"/>
    <s v="1"/>
    <x v="1"/>
    <s v="South"/>
    <s v="16"/>
    <x v="3"/>
    <x v="3"/>
    <n v="7"/>
    <n v="7"/>
    <s v="ST"/>
    <n v="80.680000000000007"/>
    <n v="564.76"/>
    <n v="512.82000000000005"/>
    <s v="EUR"/>
  </r>
  <r>
    <s v=".1~110"/>
    <n v="110"/>
    <s v="D2"/>
    <x v="2"/>
    <s v="02"/>
    <x v="17"/>
    <n v="5"/>
    <n v="22"/>
    <s v="1318"/>
    <s v="2"/>
    <x v="1"/>
    <s v="South"/>
    <s v="16"/>
    <x v="3"/>
    <x v="3"/>
    <n v="14"/>
    <n v="14"/>
    <s v="ST"/>
    <n v="80.680000000000007"/>
    <n v="1129.52"/>
    <n v="1025.6400000000001"/>
    <s v="EUR"/>
  </r>
  <r>
    <s v=".1~111"/>
    <n v="111"/>
    <s v="D2"/>
    <x v="2"/>
    <s v="02"/>
    <x v="17"/>
    <n v="5"/>
    <n v="22"/>
    <s v="1318"/>
    <s v="1"/>
    <x v="1"/>
    <s v="South"/>
    <s v="16"/>
    <x v="1"/>
    <x v="1"/>
    <n v="56"/>
    <n v="56"/>
    <s v="ST"/>
    <n v="32.76"/>
    <n v="1834.56"/>
    <n v="1476.16"/>
    <s v="EUR"/>
  </r>
  <r>
    <s v=".1~112"/>
    <n v="112"/>
    <s v="D2"/>
    <x v="2"/>
    <s v="02"/>
    <x v="17"/>
    <n v="5"/>
    <n v="22"/>
    <s v="1325"/>
    <s v="2"/>
    <x v="1"/>
    <s v="South"/>
    <s v="16"/>
    <x v="4"/>
    <x v="4"/>
    <n v="30"/>
    <n v="30"/>
    <s v="ST"/>
    <n v="68.44"/>
    <n v="2053.1999999999998"/>
    <n v="1827.9"/>
    <s v="EUR"/>
  </r>
  <r>
    <s v=".1~113"/>
    <n v="113"/>
    <s v="D2"/>
    <x v="2"/>
    <s v="03"/>
    <x v="18"/>
    <n v="5"/>
    <n v="23"/>
    <s v="1333"/>
    <s v="6"/>
    <x v="0"/>
    <s v="North"/>
    <s v="16"/>
    <x v="0"/>
    <x v="0"/>
    <n v="77"/>
    <n v="77"/>
    <s v="ST"/>
    <n v="29.35"/>
    <n v="2259.9499999999998"/>
    <n v="1807.19"/>
    <s v="EUR"/>
  </r>
  <r>
    <s v=".1~114"/>
    <n v="114"/>
    <s v="D2"/>
    <x v="2"/>
    <s v="03"/>
    <x v="18"/>
    <n v="5"/>
    <n v="23"/>
    <s v="1333"/>
    <s v="2"/>
    <x v="0"/>
    <s v="North"/>
    <s v="16"/>
    <x v="0"/>
    <x v="0"/>
    <n v="71"/>
    <n v="71"/>
    <s v="ST"/>
    <n v="29.35"/>
    <n v="2083.85"/>
    <n v="1666.37"/>
    <s v="EUR"/>
  </r>
  <r>
    <s v=".1~115"/>
    <n v="115"/>
    <s v="D2"/>
    <x v="2"/>
    <s v="03"/>
    <x v="18"/>
    <n v="5"/>
    <n v="23"/>
    <s v="1333"/>
    <s v="1"/>
    <x v="0"/>
    <s v="North"/>
    <s v="16"/>
    <x v="1"/>
    <x v="1"/>
    <n v="58"/>
    <n v="58"/>
    <s v="ST"/>
    <n v="32.76"/>
    <n v="1900.08"/>
    <n v="1528.88"/>
    <s v="EUR"/>
  </r>
  <r>
    <s v=".1~116"/>
    <n v="116"/>
    <s v="D2"/>
    <x v="2"/>
    <s v="03"/>
    <x v="18"/>
    <n v="5"/>
    <n v="23"/>
    <s v="1333"/>
    <s v="7"/>
    <x v="0"/>
    <s v="North"/>
    <s v="16"/>
    <x v="5"/>
    <x v="5"/>
    <n v="16"/>
    <n v="16"/>
    <s v="ST"/>
    <n v="50"/>
    <n v="800"/>
    <n v="701.12"/>
    <s v="EUR"/>
  </r>
  <r>
    <s v=".1~117"/>
    <n v="117"/>
    <s v="D2"/>
    <x v="2"/>
    <s v="03"/>
    <x v="18"/>
    <n v="5"/>
    <n v="23"/>
    <s v="1333"/>
    <s v="5"/>
    <x v="0"/>
    <s v="North"/>
    <s v="16"/>
    <x v="5"/>
    <x v="5"/>
    <n v="44"/>
    <n v="44"/>
    <s v="ST"/>
    <n v="50"/>
    <n v="2200"/>
    <n v="1928.08"/>
    <s v="EUR"/>
  </r>
  <r>
    <s v=".1~118"/>
    <n v="118"/>
    <s v="D2"/>
    <x v="2"/>
    <s v="03"/>
    <x v="18"/>
    <n v="5"/>
    <n v="23"/>
    <s v="1339"/>
    <s v="1"/>
    <x v="1"/>
    <s v="South"/>
    <s v="16"/>
    <x v="1"/>
    <x v="1"/>
    <n v="61"/>
    <n v="61"/>
    <s v="ST"/>
    <n v="32.76"/>
    <n v="1998.36"/>
    <n v="1607.96"/>
    <s v="EUR"/>
  </r>
  <r>
    <s v=".1~119"/>
    <n v="119"/>
    <s v="D2"/>
    <x v="2"/>
    <s v="04"/>
    <x v="19"/>
    <n v="5"/>
    <n v="24"/>
    <s v="1349"/>
    <s v="1"/>
    <x v="0"/>
    <s v="North"/>
    <s v="16"/>
    <x v="0"/>
    <x v="0"/>
    <n v="63"/>
    <n v="63"/>
    <s v="ST"/>
    <n v="29.35"/>
    <n v="1849.05"/>
    <n v="1478.61"/>
    <s v="EUR"/>
  </r>
  <r>
    <s v=".1~120"/>
    <n v="120"/>
    <s v="D2"/>
    <x v="2"/>
    <s v="04"/>
    <x v="19"/>
    <n v="5"/>
    <n v="24"/>
    <s v="1353"/>
    <s v="1"/>
    <x v="0"/>
    <s v="North"/>
    <s v="16"/>
    <x v="0"/>
    <x v="0"/>
    <n v="9"/>
    <n v="9"/>
    <s v="ST"/>
    <n v="29.35"/>
    <n v="264.14999999999998"/>
    <n v="211.23"/>
    <s v="EUR"/>
  </r>
  <r>
    <s v=".1~121"/>
    <n v="121"/>
    <s v="D2"/>
    <x v="2"/>
    <s v="04"/>
    <x v="19"/>
    <n v="5"/>
    <n v="24"/>
    <s v="1349"/>
    <s v="2"/>
    <x v="0"/>
    <s v="North"/>
    <s v="16"/>
    <x v="4"/>
    <x v="4"/>
    <n v="22"/>
    <n v="22"/>
    <s v="ST"/>
    <n v="68.44"/>
    <n v="1505.68"/>
    <n v="1340.46"/>
    <s v="EUR"/>
  </r>
  <r>
    <s v=".1~122"/>
    <n v="122"/>
    <s v="D2"/>
    <x v="2"/>
    <s v="04"/>
    <x v="19"/>
    <n v="5"/>
    <n v="24"/>
    <s v="1353"/>
    <s v="2"/>
    <x v="0"/>
    <s v="North"/>
    <s v="16"/>
    <x v="4"/>
    <x v="4"/>
    <n v="25"/>
    <n v="25"/>
    <s v="ST"/>
    <n v="68.44"/>
    <n v="1711"/>
    <n v="1523.25"/>
    <s v="EUR"/>
  </r>
  <r>
    <s v=".1~123"/>
    <n v="123"/>
    <s v="D2"/>
    <x v="2"/>
    <s v="04"/>
    <x v="19"/>
    <n v="5"/>
    <n v="24"/>
    <s v="1361"/>
    <s v="1"/>
    <x v="1"/>
    <s v="South"/>
    <s v="16"/>
    <x v="1"/>
    <x v="1"/>
    <n v="63"/>
    <n v="63"/>
    <s v="ST"/>
    <n v="32.76"/>
    <n v="2063.88"/>
    <n v="1660.68"/>
    <s v="EUR"/>
  </r>
  <r>
    <s v=".1~124"/>
    <n v="124"/>
    <s v="D2"/>
    <x v="2"/>
    <s v="04"/>
    <x v="19"/>
    <n v="5"/>
    <n v="24"/>
    <s v="1360"/>
    <s v="1"/>
    <x v="1"/>
    <s v="South"/>
    <s v="16"/>
    <x v="1"/>
    <x v="1"/>
    <n v="41"/>
    <n v="41"/>
    <s v="ST"/>
    <n v="32.76"/>
    <n v="1343.16"/>
    <n v="1080.76"/>
    <s v="EUR"/>
  </r>
  <r>
    <s v=".1~125"/>
    <n v="125"/>
    <s v="D2"/>
    <x v="2"/>
    <s v="04"/>
    <x v="19"/>
    <n v="5"/>
    <n v="24"/>
    <s v="1361"/>
    <s v="2"/>
    <x v="1"/>
    <s v="South"/>
    <s v="16"/>
    <x v="2"/>
    <x v="2"/>
    <n v="22"/>
    <n v="22"/>
    <s v="ST"/>
    <n v="96.4"/>
    <n v="2120.8000000000002"/>
    <n v="1855.26"/>
    <s v="EUR"/>
  </r>
  <r>
    <s v=".1~126"/>
    <n v="126"/>
    <s v="D2"/>
    <x v="2"/>
    <s v="04"/>
    <x v="19"/>
    <n v="5"/>
    <n v="24"/>
    <s v="1361"/>
    <s v="3"/>
    <x v="1"/>
    <s v="South"/>
    <s v="16"/>
    <x v="4"/>
    <x v="4"/>
    <n v="24"/>
    <n v="24"/>
    <s v="ST"/>
    <n v="68.44"/>
    <n v="1642.56"/>
    <n v="1462.32"/>
    <s v="EUR"/>
  </r>
  <r>
    <s v=".1~127"/>
    <n v="127"/>
    <s v="D2"/>
    <x v="2"/>
    <s v="04"/>
    <x v="19"/>
    <n v="5"/>
    <n v="24"/>
    <s v="1357"/>
    <s v="2"/>
    <x v="2"/>
    <s v="West"/>
    <s v="16"/>
    <x v="0"/>
    <x v="0"/>
    <n v="75"/>
    <n v="75"/>
    <s v="ST"/>
    <n v="29.35"/>
    <n v="2201.25"/>
    <n v="1760.25"/>
    <s v="EUR"/>
  </r>
  <r>
    <s v=".1~128"/>
    <n v="128"/>
    <s v="D2"/>
    <x v="2"/>
    <s v="04"/>
    <x v="19"/>
    <n v="5"/>
    <n v="24"/>
    <s v="1357"/>
    <s v="1"/>
    <x v="2"/>
    <s v="West"/>
    <s v="16"/>
    <x v="2"/>
    <x v="2"/>
    <n v="22"/>
    <n v="22"/>
    <s v="ST"/>
    <n v="96.4"/>
    <n v="2120.8000000000002"/>
    <n v="1855.26"/>
    <s v="EUR"/>
  </r>
  <r>
    <s v=".1~129"/>
    <n v="129"/>
    <s v="D2"/>
    <x v="2"/>
    <s v="04"/>
    <x v="19"/>
    <n v="5"/>
    <n v="24"/>
    <s v="1345"/>
    <s v="1"/>
    <x v="2"/>
    <s v="West"/>
    <s v="16"/>
    <x v="5"/>
    <x v="5"/>
    <n v="35"/>
    <n v="35"/>
    <s v="ST"/>
    <n v="50"/>
    <n v="1750"/>
    <n v="1533.7"/>
    <s v="EUR"/>
  </r>
  <r>
    <s v=".1~130"/>
    <n v="130"/>
    <s v="D2"/>
    <x v="2"/>
    <s v="05"/>
    <x v="20"/>
    <n v="5"/>
    <n v="25"/>
    <s v="1364"/>
    <s v="2"/>
    <x v="0"/>
    <s v="North"/>
    <s v="16"/>
    <x v="0"/>
    <x v="0"/>
    <n v="11"/>
    <n v="11"/>
    <s v="ST"/>
    <n v="29.35"/>
    <n v="322.85000000000002"/>
    <n v="258.17"/>
    <s v="EUR"/>
  </r>
  <r>
    <s v=".1~131"/>
    <n v="131"/>
    <s v="D2"/>
    <x v="2"/>
    <s v="05"/>
    <x v="20"/>
    <n v="5"/>
    <n v="25"/>
    <s v="1364"/>
    <s v="3"/>
    <x v="0"/>
    <s v="North"/>
    <s v="16"/>
    <x v="3"/>
    <x v="3"/>
    <n v="29"/>
    <n v="29"/>
    <s v="ST"/>
    <n v="80.680000000000007"/>
    <n v="2339.7199999999998"/>
    <n v="2124.54"/>
    <s v="EUR"/>
  </r>
  <r>
    <s v=".1~132"/>
    <n v="132"/>
    <s v="D2"/>
    <x v="2"/>
    <s v="05"/>
    <x v="20"/>
    <n v="5"/>
    <n v="25"/>
    <s v="1364"/>
    <s v="1"/>
    <x v="0"/>
    <s v="North"/>
    <s v="16"/>
    <x v="4"/>
    <x v="4"/>
    <n v="13"/>
    <n v="13"/>
    <s v="ST"/>
    <n v="68.44"/>
    <n v="889.72"/>
    <n v="792.09"/>
    <s v="EUR"/>
  </r>
  <r>
    <s v=".1~133"/>
    <n v="133"/>
    <s v="D2"/>
    <x v="2"/>
    <s v="05"/>
    <x v="20"/>
    <n v="5"/>
    <n v="25"/>
    <s v="1378"/>
    <s v="1"/>
    <x v="1"/>
    <s v="South"/>
    <s v="16"/>
    <x v="4"/>
    <x v="4"/>
    <n v="17"/>
    <n v="17"/>
    <s v="ST"/>
    <n v="68.44"/>
    <n v="1163.48"/>
    <n v="1035.81"/>
    <s v="EUR"/>
  </r>
  <r>
    <s v=".1~134"/>
    <n v="134"/>
    <s v="D2"/>
    <x v="2"/>
    <s v="05"/>
    <x v="20"/>
    <n v="5"/>
    <n v="25"/>
    <s v="1373"/>
    <s v="1"/>
    <x v="1"/>
    <s v="South"/>
    <s v="16"/>
    <x v="4"/>
    <x v="4"/>
    <n v="29"/>
    <n v="29"/>
    <s v="ST"/>
    <n v="68.44"/>
    <n v="1984.76"/>
    <n v="1766.97"/>
    <s v="EUR"/>
  </r>
  <r>
    <s v=".1~135"/>
    <n v="135"/>
    <s v="D2"/>
    <x v="2"/>
    <s v="05"/>
    <x v="20"/>
    <n v="5"/>
    <n v="25"/>
    <s v="1373"/>
    <s v="2"/>
    <x v="1"/>
    <s v="South"/>
    <s v="16"/>
    <x v="5"/>
    <x v="5"/>
    <n v="39"/>
    <n v="39"/>
    <s v="ST"/>
    <n v="50"/>
    <n v="1950"/>
    <n v="1708.98"/>
    <s v="EUR"/>
  </r>
  <r>
    <s v=".1~136"/>
    <n v="136"/>
    <s v="D2"/>
    <x v="2"/>
    <s v="05"/>
    <x v="20"/>
    <n v="5"/>
    <n v="25"/>
    <s v="1369"/>
    <s v="1"/>
    <x v="2"/>
    <s v="West"/>
    <s v="16"/>
    <x v="5"/>
    <x v="5"/>
    <n v="5"/>
    <n v="5"/>
    <s v="ST"/>
    <n v="50"/>
    <n v="250"/>
    <n v="219.1"/>
    <s v="EUR"/>
  </r>
  <r>
    <s v=".1~137"/>
    <n v="137"/>
    <s v="D2"/>
    <x v="2"/>
    <s v="06"/>
    <x v="21"/>
    <n v="6"/>
    <n v="26"/>
    <s v="1388"/>
    <s v="2"/>
    <x v="0"/>
    <s v="North"/>
    <s v="16"/>
    <x v="0"/>
    <x v="0"/>
    <n v="70"/>
    <n v="70"/>
    <s v="ST"/>
    <n v="29.35"/>
    <n v="2054.5"/>
    <n v="1642.9"/>
    <s v="EUR"/>
  </r>
  <r>
    <s v=".1~138"/>
    <n v="138"/>
    <s v="D2"/>
    <x v="2"/>
    <s v="06"/>
    <x v="21"/>
    <n v="6"/>
    <n v="26"/>
    <s v="1385"/>
    <s v="1"/>
    <x v="0"/>
    <s v="North"/>
    <s v="16"/>
    <x v="1"/>
    <x v="1"/>
    <n v="52"/>
    <n v="52"/>
    <s v="ST"/>
    <n v="32.76"/>
    <n v="1703.52"/>
    <n v="1370.72"/>
    <s v="EUR"/>
  </r>
  <r>
    <s v=".1~139"/>
    <n v="139"/>
    <s v="D2"/>
    <x v="2"/>
    <s v="06"/>
    <x v="21"/>
    <n v="6"/>
    <n v="26"/>
    <s v="1388"/>
    <s v="1"/>
    <x v="0"/>
    <s v="North"/>
    <s v="16"/>
    <x v="5"/>
    <x v="5"/>
    <n v="46"/>
    <n v="46"/>
    <s v="ST"/>
    <n v="50"/>
    <n v="2300"/>
    <n v="2015.72"/>
    <s v="EUR"/>
  </r>
  <r>
    <s v=".1~140"/>
    <n v="140"/>
    <s v="D2"/>
    <x v="2"/>
    <s v="06"/>
    <x v="21"/>
    <n v="6"/>
    <n v="26"/>
    <s v="1394"/>
    <s v="1"/>
    <x v="1"/>
    <s v="South"/>
    <s v="16"/>
    <x v="0"/>
    <x v="0"/>
    <n v="27"/>
    <n v="27"/>
    <s v="ST"/>
    <n v="29.35"/>
    <n v="792.45"/>
    <n v="633.69000000000005"/>
    <s v="EUR"/>
  </r>
  <r>
    <s v=".1~141"/>
    <n v="141"/>
    <s v="D2"/>
    <x v="2"/>
    <s v="07"/>
    <x v="22"/>
    <n v="6"/>
    <n v="27"/>
    <s v="1400"/>
    <s v="1"/>
    <x v="0"/>
    <s v="North"/>
    <s v="16"/>
    <x v="0"/>
    <x v="0"/>
    <n v="60"/>
    <n v="60"/>
    <s v="ST"/>
    <n v="29.35"/>
    <n v="1761"/>
    <n v="1409.4"/>
    <s v="EUR"/>
  </r>
  <r>
    <s v=".1~142"/>
    <n v="142"/>
    <s v="D2"/>
    <x v="2"/>
    <s v="07"/>
    <x v="22"/>
    <n v="6"/>
    <n v="27"/>
    <s v="1403"/>
    <s v="2"/>
    <x v="0"/>
    <s v="North"/>
    <s v="16"/>
    <x v="0"/>
    <x v="0"/>
    <n v="81"/>
    <n v="81"/>
    <s v="ST"/>
    <n v="29.35"/>
    <n v="2377.35"/>
    <n v="1902.69"/>
    <s v="EUR"/>
  </r>
  <r>
    <s v=".1~143"/>
    <n v="143"/>
    <s v="D2"/>
    <x v="2"/>
    <s v="07"/>
    <x v="22"/>
    <n v="6"/>
    <n v="27"/>
    <s v="1403"/>
    <s v="3"/>
    <x v="0"/>
    <s v="North"/>
    <s v="16"/>
    <x v="3"/>
    <x v="3"/>
    <n v="21"/>
    <n v="21"/>
    <s v="ST"/>
    <n v="80.680000000000007"/>
    <n v="1694.28"/>
    <n v="1538.46"/>
    <s v="EUR"/>
  </r>
  <r>
    <s v=".1~144"/>
    <n v="144"/>
    <s v="D2"/>
    <x v="2"/>
    <s v="07"/>
    <x v="22"/>
    <n v="6"/>
    <n v="27"/>
    <s v="1403"/>
    <s v="1"/>
    <x v="0"/>
    <s v="North"/>
    <s v="16"/>
    <x v="1"/>
    <x v="1"/>
    <n v="54"/>
    <n v="54"/>
    <s v="ST"/>
    <n v="32.76"/>
    <n v="1769.04"/>
    <n v="1426.14"/>
    <s v="EUR"/>
  </r>
  <r>
    <s v=".1~145"/>
    <n v="145"/>
    <s v="D2"/>
    <x v="2"/>
    <s v="07"/>
    <x v="22"/>
    <n v="6"/>
    <n v="27"/>
    <s v="1408"/>
    <s v="1"/>
    <x v="1"/>
    <s v="South"/>
    <s v="16"/>
    <x v="1"/>
    <x v="1"/>
    <n v="74"/>
    <n v="74"/>
    <s v="ST"/>
    <n v="32.76"/>
    <n v="2424.2399999999998"/>
    <n v="1954.34"/>
    <s v="EUR"/>
  </r>
  <r>
    <s v=".1~146"/>
    <n v="146"/>
    <s v="D2"/>
    <x v="2"/>
    <s v="07"/>
    <x v="22"/>
    <n v="6"/>
    <n v="27"/>
    <s v="1408"/>
    <s v="2"/>
    <x v="1"/>
    <s v="South"/>
    <s v="16"/>
    <x v="1"/>
    <x v="1"/>
    <n v="35"/>
    <n v="35"/>
    <s v="ST"/>
    <n v="32.76"/>
    <n v="1146.5999999999999"/>
    <n v="924.35"/>
    <s v="EUR"/>
  </r>
  <r>
    <s v=".1~147"/>
    <n v="147"/>
    <s v="D2"/>
    <x v="2"/>
    <s v="07"/>
    <x v="22"/>
    <n v="6"/>
    <n v="27"/>
    <s v="1408"/>
    <s v="5"/>
    <x v="1"/>
    <s v="South"/>
    <s v="16"/>
    <x v="4"/>
    <x v="4"/>
    <n v="26"/>
    <n v="26"/>
    <s v="ST"/>
    <n v="68.44"/>
    <n v="1779.44"/>
    <n v="1587.56"/>
    <s v="EUR"/>
  </r>
  <r>
    <s v=".1~148"/>
    <n v="148"/>
    <s v="D2"/>
    <x v="2"/>
    <s v="07"/>
    <x v="22"/>
    <n v="6"/>
    <n v="27"/>
    <s v="1408"/>
    <s v="6"/>
    <x v="1"/>
    <s v="South"/>
    <s v="16"/>
    <x v="4"/>
    <x v="4"/>
    <n v="30"/>
    <n v="30"/>
    <s v="ST"/>
    <n v="68.44"/>
    <n v="2053.1999999999998"/>
    <n v="1831.8"/>
    <s v="EUR"/>
  </r>
  <r>
    <s v=".1~149"/>
    <n v="149"/>
    <s v="D2"/>
    <x v="2"/>
    <s v="08"/>
    <x v="23"/>
    <n v="6"/>
    <n v="28"/>
    <s v="1416"/>
    <s v="1"/>
    <x v="0"/>
    <s v="North"/>
    <s v="16"/>
    <x v="0"/>
    <x v="0"/>
    <n v="71"/>
    <n v="71"/>
    <s v="ST"/>
    <n v="29.35"/>
    <n v="2083.85"/>
    <n v="1667.79"/>
    <s v="EUR"/>
  </r>
  <r>
    <s v=".1~150"/>
    <n v="150"/>
    <s v="D2"/>
    <x v="2"/>
    <s v="08"/>
    <x v="23"/>
    <n v="6"/>
    <n v="28"/>
    <s v="1428"/>
    <s v="3"/>
    <x v="1"/>
    <s v="South"/>
    <s v="16"/>
    <x v="0"/>
    <x v="0"/>
    <n v="61"/>
    <n v="61"/>
    <s v="ST"/>
    <n v="29.35"/>
    <n v="1790.35"/>
    <n v="1432.89"/>
    <s v="EUR"/>
  </r>
  <r>
    <s v=".1~151"/>
    <n v="151"/>
    <s v="D2"/>
    <x v="2"/>
    <s v="08"/>
    <x v="23"/>
    <n v="6"/>
    <n v="28"/>
    <s v="1428"/>
    <s v="2"/>
    <x v="1"/>
    <s v="South"/>
    <s v="16"/>
    <x v="3"/>
    <x v="3"/>
    <n v="29"/>
    <n v="29"/>
    <s v="ST"/>
    <n v="80.680000000000007"/>
    <n v="2339.7199999999998"/>
    <n v="2124.54"/>
    <s v="EUR"/>
  </r>
  <r>
    <s v=".1~152"/>
    <n v="152"/>
    <s v="D2"/>
    <x v="2"/>
    <s v="08"/>
    <x v="23"/>
    <n v="6"/>
    <n v="28"/>
    <s v="1428"/>
    <s v="1"/>
    <x v="1"/>
    <s v="South"/>
    <s v="16"/>
    <x v="1"/>
    <x v="1"/>
    <n v="66"/>
    <n v="66"/>
    <s v="ST"/>
    <n v="32.76"/>
    <n v="2162.16"/>
    <n v="1743.06"/>
    <s v="EUR"/>
  </r>
  <r>
    <s v=".1~153"/>
    <n v="153"/>
    <s v="D2"/>
    <x v="2"/>
    <s v="08"/>
    <x v="23"/>
    <n v="6"/>
    <n v="28"/>
    <s v="1424"/>
    <s v="1"/>
    <x v="1"/>
    <s v="South"/>
    <s v="16"/>
    <x v="4"/>
    <x v="4"/>
    <n v="14"/>
    <n v="14"/>
    <s v="ST"/>
    <n v="68.44"/>
    <n v="958.16"/>
    <n v="854.84"/>
    <s v="EUR"/>
  </r>
  <r>
    <s v=".1~154"/>
    <n v="154"/>
    <s v="D2"/>
    <x v="2"/>
    <s v="08"/>
    <x v="23"/>
    <n v="6"/>
    <n v="28"/>
    <s v="1428"/>
    <s v="4"/>
    <x v="1"/>
    <s v="South"/>
    <s v="16"/>
    <x v="5"/>
    <x v="5"/>
    <n v="40"/>
    <n v="40"/>
    <s v="ST"/>
    <n v="50"/>
    <n v="2000"/>
    <n v="1761.2"/>
    <s v="EUR"/>
  </r>
  <r>
    <s v=".1~155"/>
    <n v="155"/>
    <s v="D2"/>
    <x v="2"/>
    <s v="08"/>
    <x v="23"/>
    <n v="6"/>
    <n v="28"/>
    <s v="1420"/>
    <s v="1"/>
    <x v="2"/>
    <s v="West"/>
    <s v="16"/>
    <x v="0"/>
    <x v="0"/>
    <n v="56"/>
    <n v="56"/>
    <s v="ST"/>
    <n v="29.35"/>
    <n v="1643.6"/>
    <n v="1315.44"/>
    <s v="EUR"/>
  </r>
  <r>
    <s v=".1~156"/>
    <n v="156"/>
    <s v="D2"/>
    <x v="2"/>
    <s v="09"/>
    <x v="24"/>
    <n v="6"/>
    <n v="29"/>
    <s v="1440"/>
    <s v="1"/>
    <x v="0"/>
    <s v="North"/>
    <s v="16"/>
    <x v="0"/>
    <x v="0"/>
    <n v="75"/>
    <n v="75"/>
    <s v="ST"/>
    <n v="29.35"/>
    <n v="2201.25"/>
    <n v="1761.75"/>
    <s v="EUR"/>
  </r>
  <r>
    <s v=".1~157"/>
    <n v="157"/>
    <s v="D2"/>
    <x v="2"/>
    <s v="09"/>
    <x v="24"/>
    <n v="6"/>
    <n v="29"/>
    <s v="1440"/>
    <s v="3"/>
    <x v="0"/>
    <s v="North"/>
    <s v="16"/>
    <x v="1"/>
    <x v="1"/>
    <n v="50"/>
    <n v="50"/>
    <s v="ST"/>
    <n v="32.76"/>
    <n v="1638"/>
    <n v="1320.5"/>
    <s v="EUR"/>
  </r>
  <r>
    <s v=".1~158"/>
    <n v="158"/>
    <s v="D2"/>
    <x v="2"/>
    <s v="09"/>
    <x v="24"/>
    <n v="6"/>
    <n v="29"/>
    <s v="1440"/>
    <s v="4"/>
    <x v="0"/>
    <s v="North"/>
    <s v="16"/>
    <x v="2"/>
    <x v="2"/>
    <n v="18"/>
    <n v="18"/>
    <s v="ST"/>
    <n v="96.4"/>
    <n v="1735.2"/>
    <n v="1517.94"/>
    <s v="EUR"/>
  </r>
  <r>
    <s v=".1~159"/>
    <n v="159"/>
    <s v="D2"/>
    <x v="2"/>
    <s v="09"/>
    <x v="24"/>
    <n v="6"/>
    <n v="29"/>
    <s v="1440"/>
    <s v="2"/>
    <x v="0"/>
    <s v="North"/>
    <s v="16"/>
    <x v="4"/>
    <x v="4"/>
    <n v="29"/>
    <n v="29"/>
    <s v="ST"/>
    <n v="68.44"/>
    <n v="1984.76"/>
    <n v="1770.74"/>
    <s v="EUR"/>
  </r>
  <r>
    <s v=".1~160"/>
    <n v="160"/>
    <s v="D2"/>
    <x v="2"/>
    <s v="09"/>
    <x v="24"/>
    <n v="6"/>
    <n v="29"/>
    <s v="1444"/>
    <s v="6"/>
    <x v="1"/>
    <s v="South"/>
    <s v="16"/>
    <x v="0"/>
    <x v="0"/>
    <n v="39"/>
    <n v="39"/>
    <s v="ST"/>
    <n v="29.35"/>
    <n v="1144.6500000000001"/>
    <n v="916.11"/>
    <s v="EUR"/>
  </r>
  <r>
    <s v=".1~161"/>
    <n v="161"/>
    <s v="D2"/>
    <x v="2"/>
    <s v="09"/>
    <x v="24"/>
    <n v="6"/>
    <n v="29"/>
    <s v="1444"/>
    <s v="4"/>
    <x v="1"/>
    <s v="South"/>
    <s v="16"/>
    <x v="1"/>
    <x v="1"/>
    <n v="42"/>
    <n v="42"/>
    <s v="ST"/>
    <n v="32.76"/>
    <n v="1375.92"/>
    <n v="1109.22"/>
    <s v="EUR"/>
  </r>
  <r>
    <s v=".1~162"/>
    <n v="162"/>
    <s v="D2"/>
    <x v="2"/>
    <s v="09"/>
    <x v="24"/>
    <n v="6"/>
    <n v="29"/>
    <s v="1444"/>
    <s v="1"/>
    <x v="1"/>
    <s v="South"/>
    <s v="16"/>
    <x v="1"/>
    <x v="1"/>
    <n v="67"/>
    <n v="67"/>
    <s v="ST"/>
    <n v="32.76"/>
    <n v="2194.92"/>
    <n v="1769.47"/>
    <s v="EUR"/>
  </r>
  <r>
    <s v=".1~163"/>
    <n v="163"/>
    <s v="D2"/>
    <x v="2"/>
    <s v="09"/>
    <x v="24"/>
    <n v="6"/>
    <n v="29"/>
    <s v="1444"/>
    <s v="3"/>
    <x v="1"/>
    <s v="South"/>
    <s v="16"/>
    <x v="4"/>
    <x v="4"/>
    <n v="26"/>
    <n v="26"/>
    <s v="ST"/>
    <n v="68.44"/>
    <n v="1779.44"/>
    <n v="1587.56"/>
    <s v="EUR"/>
  </r>
  <r>
    <s v=".1~164"/>
    <n v="164"/>
    <s v="D2"/>
    <x v="2"/>
    <s v="09"/>
    <x v="24"/>
    <n v="6"/>
    <n v="29"/>
    <s v="1444"/>
    <s v="5"/>
    <x v="1"/>
    <s v="South"/>
    <s v="16"/>
    <x v="4"/>
    <x v="4"/>
    <n v="30"/>
    <n v="30"/>
    <s v="ST"/>
    <n v="68.44"/>
    <n v="2053.1999999999998"/>
    <n v="1831.8"/>
    <s v="EUR"/>
  </r>
  <r>
    <s v=".1~165"/>
    <n v="165"/>
    <s v="D2"/>
    <x v="2"/>
    <s v="09"/>
    <x v="24"/>
    <n v="6"/>
    <n v="29"/>
    <s v="1436"/>
    <s v="1"/>
    <x v="2"/>
    <s v="West"/>
    <s v="16"/>
    <x v="2"/>
    <x v="2"/>
    <n v="22"/>
    <n v="22"/>
    <s v="ST"/>
    <n v="96.4"/>
    <n v="2120.8000000000002"/>
    <n v="1855.26"/>
    <s v="EUR"/>
  </r>
  <r>
    <s v=".1~166"/>
    <n v="166"/>
    <s v="D2"/>
    <x v="2"/>
    <s v="10"/>
    <x v="25"/>
    <n v="6"/>
    <n v="30"/>
    <s v="1452"/>
    <s v="3"/>
    <x v="0"/>
    <s v="North"/>
    <s v="16"/>
    <x v="0"/>
    <x v="0"/>
    <n v="78"/>
    <n v="78"/>
    <s v="ST"/>
    <n v="29.35"/>
    <n v="2289.3000000000002"/>
    <n v="1832.22"/>
    <s v="EUR"/>
  </r>
  <r>
    <s v=".1~167"/>
    <n v="167"/>
    <s v="D2"/>
    <x v="2"/>
    <s v="10"/>
    <x v="25"/>
    <n v="6"/>
    <n v="30"/>
    <s v="1452"/>
    <s v="4"/>
    <x v="0"/>
    <s v="North"/>
    <s v="16"/>
    <x v="0"/>
    <x v="0"/>
    <n v="63"/>
    <n v="63"/>
    <s v="ST"/>
    <n v="29.35"/>
    <n v="1849.05"/>
    <n v="1479.87"/>
    <s v="EUR"/>
  </r>
  <r>
    <s v=".1~168"/>
    <n v="168"/>
    <s v="D2"/>
    <x v="2"/>
    <s v="10"/>
    <x v="25"/>
    <n v="6"/>
    <n v="30"/>
    <s v="1452"/>
    <s v="5"/>
    <x v="0"/>
    <s v="North"/>
    <s v="16"/>
    <x v="3"/>
    <x v="3"/>
    <n v="23"/>
    <n v="23"/>
    <s v="ST"/>
    <n v="80.680000000000007"/>
    <n v="1855.64"/>
    <n v="1684.98"/>
    <s v="EUR"/>
  </r>
  <r>
    <s v=".1~169"/>
    <n v="169"/>
    <s v="D2"/>
    <x v="2"/>
    <s v="10"/>
    <x v="25"/>
    <n v="6"/>
    <n v="30"/>
    <s v="1452"/>
    <s v="1"/>
    <x v="0"/>
    <s v="North"/>
    <s v="16"/>
    <x v="5"/>
    <x v="5"/>
    <n v="41"/>
    <n v="41"/>
    <s v="ST"/>
    <n v="50"/>
    <n v="2050"/>
    <n v="1805.23"/>
    <s v="EUR"/>
  </r>
  <r>
    <s v=".1~170"/>
    <n v="170"/>
    <s v="D2"/>
    <x v="2"/>
    <s v="10"/>
    <x v="25"/>
    <n v="6"/>
    <n v="30"/>
    <s v="1460"/>
    <s v="1"/>
    <x v="1"/>
    <s v="South"/>
    <s v="16"/>
    <x v="1"/>
    <x v="1"/>
    <n v="52"/>
    <n v="52"/>
    <s v="ST"/>
    <n v="32.76"/>
    <n v="1703.52"/>
    <n v="1373.32"/>
    <s v="EUR"/>
  </r>
  <r>
    <s v=".1~171"/>
    <n v="171"/>
    <s v="D2"/>
    <x v="2"/>
    <s v="10"/>
    <x v="25"/>
    <n v="6"/>
    <n v="30"/>
    <s v="1463"/>
    <s v="1"/>
    <x v="1"/>
    <s v="South"/>
    <s v="16"/>
    <x v="4"/>
    <x v="4"/>
    <n v="14"/>
    <n v="14"/>
    <s v="ST"/>
    <n v="68.44"/>
    <n v="958.16"/>
    <n v="854.84"/>
    <s v="EUR"/>
  </r>
  <r>
    <s v=".1~172"/>
    <n v="172"/>
    <s v="D2"/>
    <x v="2"/>
    <s v="10"/>
    <x v="25"/>
    <n v="6"/>
    <n v="30"/>
    <s v="1456"/>
    <s v="2"/>
    <x v="2"/>
    <s v="West"/>
    <s v="16"/>
    <x v="2"/>
    <x v="2"/>
    <n v="18"/>
    <n v="18"/>
    <s v="ST"/>
    <n v="96.4"/>
    <n v="1735.2"/>
    <n v="1517.94"/>
    <s v="EUR"/>
  </r>
  <r>
    <s v=".1~173"/>
    <n v="173"/>
    <s v="D2"/>
    <x v="2"/>
    <s v="10"/>
    <x v="25"/>
    <n v="6"/>
    <n v="30"/>
    <s v="1456"/>
    <s v="1"/>
    <x v="2"/>
    <s v="West"/>
    <s v="16"/>
    <x v="5"/>
    <x v="5"/>
    <n v="30"/>
    <n v="30"/>
    <s v="ST"/>
    <n v="50"/>
    <n v="1500"/>
    <n v="1320.9"/>
    <s v="EUR"/>
  </r>
  <r>
    <s v=".1~174"/>
    <n v="174"/>
    <s v="D2"/>
    <x v="3"/>
    <s v="01"/>
    <x v="26"/>
    <n v="7"/>
    <n v="31"/>
    <s v="1479"/>
    <s v="1"/>
    <x v="0"/>
    <s v="North"/>
    <s v="16"/>
    <x v="0"/>
    <x v="0"/>
    <n v="18"/>
    <n v="18"/>
    <s v="ST"/>
    <n v="28.47"/>
    <n v="512.46"/>
    <n v="422.82"/>
    <s v="EUR"/>
  </r>
  <r>
    <s v=".1~175"/>
    <n v="175"/>
    <s v="D2"/>
    <x v="3"/>
    <s v="01"/>
    <x v="26"/>
    <n v="7"/>
    <n v="31"/>
    <s v="1486"/>
    <s v="1"/>
    <x v="0"/>
    <s v="North"/>
    <s v="16"/>
    <x v="1"/>
    <x v="1"/>
    <n v="65"/>
    <n v="65"/>
    <s v="ST"/>
    <n v="31.78"/>
    <n v="2065.6999999999998"/>
    <n v="1716.65"/>
    <s v="EUR"/>
  </r>
  <r>
    <s v=".1~176"/>
    <n v="176"/>
    <s v="D2"/>
    <x v="3"/>
    <s v="01"/>
    <x v="26"/>
    <n v="7"/>
    <n v="31"/>
    <s v="1479"/>
    <s v="3"/>
    <x v="0"/>
    <s v="North"/>
    <s v="16"/>
    <x v="1"/>
    <x v="1"/>
    <n v="65"/>
    <n v="65"/>
    <s v="ST"/>
    <n v="31.78"/>
    <n v="2065.6999999999998"/>
    <n v="1716.65"/>
    <s v="EUR"/>
  </r>
  <r>
    <s v=".1~177"/>
    <n v="177"/>
    <s v="D2"/>
    <x v="3"/>
    <s v="01"/>
    <x v="26"/>
    <n v="7"/>
    <n v="31"/>
    <s v="1479"/>
    <s v="2"/>
    <x v="0"/>
    <s v="North"/>
    <s v="16"/>
    <x v="5"/>
    <x v="5"/>
    <n v="19"/>
    <n v="19"/>
    <s v="ST"/>
    <n v="48.5"/>
    <n v="921.5"/>
    <n v="836.57"/>
    <s v="EUR"/>
  </r>
  <r>
    <s v=".1~178"/>
    <n v="178"/>
    <s v="D2"/>
    <x v="3"/>
    <s v="01"/>
    <x v="26"/>
    <n v="7"/>
    <n v="31"/>
    <s v="1483"/>
    <s v="5"/>
    <x v="1"/>
    <s v="South"/>
    <s v="16"/>
    <x v="0"/>
    <x v="0"/>
    <n v="57"/>
    <n v="57"/>
    <s v="ST"/>
    <n v="28.47"/>
    <n v="1622.79"/>
    <n v="1338.93"/>
    <s v="EUR"/>
  </r>
  <r>
    <s v=".1~179"/>
    <n v="179"/>
    <s v="D2"/>
    <x v="3"/>
    <s v="01"/>
    <x v="26"/>
    <n v="7"/>
    <n v="31"/>
    <s v="1483"/>
    <s v="4"/>
    <x v="1"/>
    <s v="South"/>
    <s v="16"/>
    <x v="3"/>
    <x v="3"/>
    <n v="20"/>
    <n v="20"/>
    <s v="ST"/>
    <n v="79.87"/>
    <n v="1597.4"/>
    <n v="1465.2"/>
    <s v="EUR"/>
  </r>
  <r>
    <s v=".1~180"/>
    <n v="180"/>
    <s v="D2"/>
    <x v="3"/>
    <s v="01"/>
    <x v="26"/>
    <n v="7"/>
    <n v="31"/>
    <s v="1485"/>
    <s v="1"/>
    <x v="1"/>
    <s v="South"/>
    <s v="16"/>
    <x v="1"/>
    <x v="1"/>
    <n v="54"/>
    <n v="54"/>
    <s v="ST"/>
    <n v="31.78"/>
    <n v="1716.12"/>
    <n v="1426.14"/>
    <s v="EUR"/>
  </r>
  <r>
    <s v=".1~181"/>
    <n v="181"/>
    <s v="D2"/>
    <x v="3"/>
    <s v="01"/>
    <x v="26"/>
    <n v="7"/>
    <n v="31"/>
    <s v="1483"/>
    <s v="3"/>
    <x v="1"/>
    <s v="South"/>
    <s v="16"/>
    <x v="1"/>
    <x v="1"/>
    <n v="69"/>
    <n v="69"/>
    <s v="ST"/>
    <n v="31.78"/>
    <n v="2192.8200000000002"/>
    <n v="1822.29"/>
    <s v="EUR"/>
  </r>
  <r>
    <s v=".1~182"/>
    <n v="182"/>
    <s v="D2"/>
    <x v="3"/>
    <s v="01"/>
    <x v="26"/>
    <n v="7"/>
    <n v="31"/>
    <s v="1483"/>
    <s v="2"/>
    <x v="1"/>
    <s v="South"/>
    <s v="16"/>
    <x v="4"/>
    <x v="4"/>
    <n v="24"/>
    <n v="24"/>
    <s v="ST"/>
    <n v="67.069999999999993"/>
    <n v="1609.68"/>
    <n v="1465.44"/>
    <s v="EUR"/>
  </r>
  <r>
    <s v=".1~183"/>
    <n v="183"/>
    <s v="D2"/>
    <x v="3"/>
    <s v="01"/>
    <x v="26"/>
    <n v="7"/>
    <n v="31"/>
    <s v="1483"/>
    <s v="1"/>
    <x v="1"/>
    <s v="South"/>
    <s v="16"/>
    <x v="4"/>
    <x v="4"/>
    <n v="32"/>
    <n v="32"/>
    <s v="ST"/>
    <n v="67.069999999999993"/>
    <n v="2146.2399999999998"/>
    <n v="1953.92"/>
    <s v="EUR"/>
  </r>
  <r>
    <s v=".1~184"/>
    <n v="184"/>
    <s v="D2"/>
    <x v="3"/>
    <s v="01"/>
    <x v="26"/>
    <n v="7"/>
    <n v="31"/>
    <s v="1471"/>
    <s v="1"/>
    <x v="2"/>
    <s v="West"/>
    <s v="16"/>
    <x v="0"/>
    <x v="0"/>
    <n v="53"/>
    <n v="53"/>
    <s v="ST"/>
    <n v="28.47"/>
    <n v="1508.91"/>
    <n v="1244.97"/>
    <s v="EUR"/>
  </r>
  <r>
    <s v=".1~185"/>
    <n v="185"/>
    <s v="D2"/>
    <x v="3"/>
    <s v="01"/>
    <x v="26"/>
    <n v="7"/>
    <n v="31"/>
    <s v="1471"/>
    <s v="2"/>
    <x v="2"/>
    <s v="West"/>
    <s v="16"/>
    <x v="1"/>
    <x v="1"/>
    <n v="66"/>
    <n v="66"/>
    <s v="ST"/>
    <n v="31.78"/>
    <n v="2097.48"/>
    <n v="1743.06"/>
    <s v="EUR"/>
  </r>
  <r>
    <s v=".1~186"/>
    <n v="186"/>
    <s v="D2"/>
    <x v="3"/>
    <s v="01"/>
    <x v="26"/>
    <n v="7"/>
    <n v="31"/>
    <s v="1475"/>
    <s v="2"/>
    <x v="2"/>
    <s v="West"/>
    <s v="16"/>
    <x v="1"/>
    <x v="1"/>
    <n v="9"/>
    <n v="9"/>
    <s v="ST"/>
    <n v="31.78"/>
    <n v="286.02"/>
    <n v="237.69"/>
    <s v="EUR"/>
  </r>
  <r>
    <s v=".1~187"/>
    <n v="187"/>
    <s v="D2"/>
    <x v="3"/>
    <s v="01"/>
    <x v="26"/>
    <n v="7"/>
    <n v="31"/>
    <s v="1475"/>
    <s v="3"/>
    <x v="2"/>
    <s v="West"/>
    <s v="16"/>
    <x v="2"/>
    <x v="2"/>
    <n v="23"/>
    <n v="23"/>
    <s v="ST"/>
    <n v="91.58"/>
    <n v="2106.34"/>
    <n v="1939.59"/>
    <s v="EUR"/>
  </r>
  <r>
    <s v=".1~188"/>
    <n v="188"/>
    <s v="D2"/>
    <x v="3"/>
    <s v="01"/>
    <x v="26"/>
    <n v="7"/>
    <n v="31"/>
    <s v="1475"/>
    <s v="1"/>
    <x v="2"/>
    <s v="West"/>
    <s v="16"/>
    <x v="2"/>
    <x v="2"/>
    <n v="24"/>
    <n v="24"/>
    <s v="ST"/>
    <n v="91.58"/>
    <n v="2197.92"/>
    <n v="2023.92"/>
    <s v="EUR"/>
  </r>
  <r>
    <s v=".1~189"/>
    <n v="189"/>
    <s v="D2"/>
    <x v="3"/>
    <s v="01"/>
    <x v="26"/>
    <n v="7"/>
    <n v="31"/>
    <s v="1475"/>
    <s v="4"/>
    <x v="2"/>
    <s v="West"/>
    <s v="16"/>
    <x v="4"/>
    <x v="4"/>
    <n v="26"/>
    <n v="26"/>
    <s v="ST"/>
    <n v="67.069999999999993"/>
    <n v="1743.82"/>
    <n v="1587.56"/>
    <s v="EUR"/>
  </r>
  <r>
    <s v=".1~190"/>
    <n v="190"/>
    <s v="D2"/>
    <x v="3"/>
    <s v="01"/>
    <x v="26"/>
    <n v="7"/>
    <n v="31"/>
    <s v="1475"/>
    <s v="5"/>
    <x v="2"/>
    <s v="West"/>
    <s v="16"/>
    <x v="4"/>
    <x v="4"/>
    <n v="14"/>
    <n v="14"/>
    <s v="ST"/>
    <n v="67.069999999999993"/>
    <n v="938.98"/>
    <n v="854.84"/>
    <s v="EUR"/>
  </r>
  <r>
    <s v=".1~191"/>
    <n v="191"/>
    <s v="D2"/>
    <x v="3"/>
    <s v="02"/>
    <x v="27"/>
    <n v="7"/>
    <n v="32"/>
    <s v="1494"/>
    <s v="1"/>
    <x v="0"/>
    <s v="North"/>
    <s v="16"/>
    <x v="0"/>
    <x v="0"/>
    <n v="66"/>
    <n v="66"/>
    <s v="ST"/>
    <n v="28.47"/>
    <n v="1879.02"/>
    <n v="1550.34"/>
    <s v="EUR"/>
  </r>
  <r>
    <s v=".1~192"/>
    <n v="192"/>
    <s v="D2"/>
    <x v="3"/>
    <s v="02"/>
    <x v="27"/>
    <n v="7"/>
    <n v="32"/>
    <s v="1494"/>
    <s v="3"/>
    <x v="0"/>
    <s v="North"/>
    <s v="16"/>
    <x v="0"/>
    <x v="0"/>
    <n v="56"/>
    <n v="56"/>
    <s v="ST"/>
    <n v="28.47"/>
    <n v="1594.32"/>
    <n v="1315.44"/>
    <s v="EUR"/>
  </r>
  <r>
    <s v=".1~193"/>
    <n v="193"/>
    <s v="D2"/>
    <x v="3"/>
    <s v="02"/>
    <x v="27"/>
    <n v="7"/>
    <n v="32"/>
    <s v="1498"/>
    <s v="1"/>
    <x v="0"/>
    <s v="North"/>
    <s v="16"/>
    <x v="1"/>
    <x v="1"/>
    <n v="20"/>
    <n v="20"/>
    <s v="ST"/>
    <n v="31.78"/>
    <n v="635.6"/>
    <n v="528.20000000000005"/>
    <s v="EUR"/>
  </r>
  <r>
    <s v=".1~194"/>
    <n v="194"/>
    <s v="D2"/>
    <x v="3"/>
    <s v="02"/>
    <x v="27"/>
    <n v="7"/>
    <n v="32"/>
    <s v="1494"/>
    <s v="2"/>
    <x v="0"/>
    <s v="North"/>
    <s v="16"/>
    <x v="4"/>
    <x v="4"/>
    <n v="32"/>
    <n v="32"/>
    <s v="ST"/>
    <n v="67.069999999999993"/>
    <n v="2146.2399999999998"/>
    <n v="1953.92"/>
    <s v="EUR"/>
  </r>
  <r>
    <s v=".1~195"/>
    <n v="195"/>
    <s v="D2"/>
    <x v="3"/>
    <s v="02"/>
    <x v="27"/>
    <n v="7"/>
    <n v="32"/>
    <s v="1490"/>
    <s v="2"/>
    <x v="1"/>
    <s v="South"/>
    <s v="16"/>
    <x v="3"/>
    <x v="3"/>
    <n v="6"/>
    <n v="6"/>
    <s v="ST"/>
    <n v="79.87"/>
    <n v="479.22"/>
    <n v="439.56"/>
    <s v="EUR"/>
  </r>
  <r>
    <s v=".1~196"/>
    <n v="196"/>
    <s v="D2"/>
    <x v="3"/>
    <s v="02"/>
    <x v="27"/>
    <n v="7"/>
    <n v="32"/>
    <s v="1490"/>
    <s v="1"/>
    <x v="1"/>
    <s v="South"/>
    <s v="16"/>
    <x v="1"/>
    <x v="1"/>
    <n v="37"/>
    <n v="37"/>
    <s v="ST"/>
    <n v="31.78"/>
    <n v="1175.8599999999999"/>
    <n v="977.17"/>
    <s v="EUR"/>
  </r>
  <r>
    <s v=".1~197"/>
    <n v="197"/>
    <s v="D2"/>
    <x v="3"/>
    <s v="02"/>
    <x v="27"/>
    <n v="7"/>
    <n v="32"/>
    <s v="1487"/>
    <s v="2"/>
    <x v="2"/>
    <s v="West"/>
    <s v="16"/>
    <x v="0"/>
    <x v="0"/>
    <n v="47"/>
    <n v="47"/>
    <s v="ST"/>
    <n v="28.47"/>
    <n v="1338.09"/>
    <n v="1104.03"/>
    <s v="EUR"/>
  </r>
  <r>
    <s v=".1~198"/>
    <n v="198"/>
    <s v="D2"/>
    <x v="3"/>
    <s v="02"/>
    <x v="27"/>
    <n v="7"/>
    <n v="32"/>
    <s v="1487"/>
    <s v="1"/>
    <x v="2"/>
    <s v="West"/>
    <s v="16"/>
    <x v="2"/>
    <x v="2"/>
    <n v="17"/>
    <n v="17"/>
    <s v="ST"/>
    <n v="91.58"/>
    <n v="1556.86"/>
    <n v="1433.61"/>
    <s v="EUR"/>
  </r>
  <r>
    <s v=".1~199"/>
    <n v="199"/>
    <s v="D2"/>
    <x v="3"/>
    <s v="02"/>
    <x v="27"/>
    <n v="7"/>
    <n v="32"/>
    <s v="1487"/>
    <s v="3"/>
    <x v="2"/>
    <s v="West"/>
    <s v="16"/>
    <x v="2"/>
    <x v="2"/>
    <n v="18"/>
    <n v="18"/>
    <s v="ST"/>
    <n v="91.58"/>
    <n v="1648.44"/>
    <n v="1517.94"/>
    <s v="EUR"/>
  </r>
  <r>
    <s v=".1~200"/>
    <n v="200"/>
    <s v="D2"/>
    <x v="3"/>
    <s v="03"/>
    <x v="28"/>
    <n v="7"/>
    <n v="33"/>
    <s v="1508"/>
    <s v="5"/>
    <x v="0"/>
    <s v="North"/>
    <s v="16"/>
    <x v="0"/>
    <x v="0"/>
    <n v="17"/>
    <n v="17"/>
    <s v="ST"/>
    <n v="28.47"/>
    <n v="483.99"/>
    <n v="399.16"/>
    <s v="EUR"/>
  </r>
  <r>
    <s v=".1~201"/>
    <n v="201"/>
    <s v="D2"/>
    <x v="3"/>
    <s v="03"/>
    <x v="28"/>
    <n v="7"/>
    <n v="33"/>
    <s v="1508"/>
    <s v="2"/>
    <x v="0"/>
    <s v="North"/>
    <s v="16"/>
    <x v="0"/>
    <x v="0"/>
    <n v="65"/>
    <n v="65"/>
    <s v="ST"/>
    <n v="28.47"/>
    <n v="1850.55"/>
    <n v="1526.2"/>
    <s v="EUR"/>
  </r>
  <r>
    <s v=".1~202"/>
    <n v="202"/>
    <s v="D2"/>
    <x v="3"/>
    <s v="03"/>
    <x v="28"/>
    <n v="7"/>
    <n v="33"/>
    <s v="1508"/>
    <s v="1"/>
    <x v="0"/>
    <s v="North"/>
    <s v="16"/>
    <x v="1"/>
    <x v="1"/>
    <n v="70"/>
    <n v="70"/>
    <s v="ST"/>
    <n v="31.78"/>
    <n v="2224.6"/>
    <n v="1850.8"/>
    <s v="EUR"/>
  </r>
  <r>
    <s v=".1~203"/>
    <n v="203"/>
    <s v="D2"/>
    <x v="3"/>
    <s v="03"/>
    <x v="28"/>
    <n v="7"/>
    <n v="33"/>
    <s v="1512"/>
    <s v="4"/>
    <x v="1"/>
    <s v="South"/>
    <s v="16"/>
    <x v="1"/>
    <x v="1"/>
    <n v="46"/>
    <n v="46"/>
    <s v="ST"/>
    <n v="31.78"/>
    <n v="1461.88"/>
    <n v="1216.24"/>
    <s v="EUR"/>
  </r>
  <r>
    <s v=".1~204"/>
    <n v="204"/>
    <s v="D2"/>
    <x v="3"/>
    <s v="03"/>
    <x v="28"/>
    <n v="7"/>
    <n v="33"/>
    <s v="1512"/>
    <s v="2"/>
    <x v="1"/>
    <s v="South"/>
    <s v="16"/>
    <x v="1"/>
    <x v="1"/>
    <n v="58"/>
    <n v="58"/>
    <s v="ST"/>
    <n v="31.78"/>
    <n v="1843.24"/>
    <n v="1533.52"/>
    <s v="EUR"/>
  </r>
  <r>
    <s v=".1~205"/>
    <n v="205"/>
    <s v="D2"/>
    <x v="3"/>
    <s v="03"/>
    <x v="28"/>
    <n v="7"/>
    <n v="33"/>
    <s v="1512"/>
    <s v="1"/>
    <x v="1"/>
    <s v="South"/>
    <s v="16"/>
    <x v="1"/>
    <x v="1"/>
    <n v="56"/>
    <n v="56"/>
    <s v="ST"/>
    <n v="31.78"/>
    <n v="1779.68"/>
    <n v="1480.64"/>
    <s v="EUR"/>
  </r>
  <r>
    <s v=".1~206"/>
    <n v="206"/>
    <s v="D2"/>
    <x v="3"/>
    <s v="03"/>
    <x v="28"/>
    <n v="7"/>
    <n v="33"/>
    <s v="1512"/>
    <s v="5"/>
    <x v="1"/>
    <s v="South"/>
    <s v="16"/>
    <x v="4"/>
    <x v="4"/>
    <n v="14"/>
    <n v="14"/>
    <s v="ST"/>
    <n v="67.069999999999993"/>
    <n v="938.98"/>
    <n v="856.38"/>
    <s v="EUR"/>
  </r>
  <r>
    <s v=".1~207"/>
    <n v="207"/>
    <s v="D2"/>
    <x v="3"/>
    <s v="03"/>
    <x v="28"/>
    <n v="7"/>
    <n v="33"/>
    <s v="1512"/>
    <s v="3"/>
    <x v="1"/>
    <s v="South"/>
    <s v="16"/>
    <x v="4"/>
    <x v="4"/>
    <n v="37"/>
    <n v="37"/>
    <s v="ST"/>
    <n v="67.069999999999993"/>
    <n v="2481.59"/>
    <n v="2263.29"/>
    <s v="EUR"/>
  </r>
  <r>
    <s v=".1~208"/>
    <n v="208"/>
    <s v="D2"/>
    <x v="3"/>
    <s v="03"/>
    <x v="28"/>
    <n v="7"/>
    <n v="33"/>
    <s v="1512"/>
    <s v="6"/>
    <x v="1"/>
    <s v="South"/>
    <s v="16"/>
    <x v="5"/>
    <x v="5"/>
    <n v="40"/>
    <n v="40"/>
    <s v="ST"/>
    <n v="48.5"/>
    <n v="1940"/>
    <n v="1761.2"/>
    <s v="EUR"/>
  </r>
  <r>
    <s v=".1~209"/>
    <n v="209"/>
    <s v="D2"/>
    <x v="3"/>
    <s v="03"/>
    <x v="28"/>
    <n v="7"/>
    <n v="33"/>
    <s v="1504"/>
    <s v="3"/>
    <x v="2"/>
    <s v="West"/>
    <s v="16"/>
    <x v="0"/>
    <x v="0"/>
    <n v="20"/>
    <n v="20"/>
    <s v="ST"/>
    <n v="28.47"/>
    <n v="569.4"/>
    <n v="469.6"/>
    <s v="EUR"/>
  </r>
  <r>
    <s v=".1~210"/>
    <n v="210"/>
    <s v="D2"/>
    <x v="3"/>
    <s v="03"/>
    <x v="28"/>
    <n v="7"/>
    <n v="33"/>
    <s v="1504"/>
    <s v="1"/>
    <x v="2"/>
    <s v="West"/>
    <s v="16"/>
    <x v="3"/>
    <x v="3"/>
    <n v="28"/>
    <n v="28"/>
    <s v="ST"/>
    <n v="79.87"/>
    <n v="2236.36"/>
    <n v="2051.2800000000002"/>
    <s v="EUR"/>
  </r>
  <r>
    <s v=".1~211"/>
    <n v="211"/>
    <s v="D2"/>
    <x v="3"/>
    <s v="04"/>
    <x v="29"/>
    <n v="7"/>
    <n v="34"/>
    <s v="1521"/>
    <s v="1"/>
    <x v="0"/>
    <s v="North"/>
    <s v="16"/>
    <x v="5"/>
    <x v="5"/>
    <n v="11"/>
    <n v="11"/>
    <s v="ST"/>
    <n v="48.5"/>
    <n v="533.5"/>
    <n v="484.33"/>
    <s v="EUR"/>
  </r>
  <r>
    <s v=".1~212"/>
    <n v="212"/>
    <s v="D2"/>
    <x v="3"/>
    <s v="04"/>
    <x v="29"/>
    <n v="7"/>
    <n v="34"/>
    <s v="1528"/>
    <s v="1"/>
    <x v="1"/>
    <s v="South"/>
    <s v="16"/>
    <x v="0"/>
    <x v="0"/>
    <n v="65"/>
    <n v="65"/>
    <s v="ST"/>
    <n v="28.47"/>
    <n v="1850.55"/>
    <n v="1526.2"/>
    <s v="EUR"/>
  </r>
  <r>
    <s v=".1~213"/>
    <n v="213"/>
    <s v="D2"/>
    <x v="3"/>
    <s v="04"/>
    <x v="29"/>
    <n v="7"/>
    <n v="34"/>
    <s v="1528"/>
    <s v="2"/>
    <x v="1"/>
    <s v="South"/>
    <s v="16"/>
    <x v="2"/>
    <x v="2"/>
    <n v="23"/>
    <n v="23"/>
    <s v="ST"/>
    <n v="91.58"/>
    <n v="2106.34"/>
    <n v="1939.59"/>
    <s v="EUR"/>
  </r>
  <r>
    <s v=".1~214"/>
    <n v="214"/>
    <s v="D2"/>
    <x v="3"/>
    <s v="04"/>
    <x v="29"/>
    <n v="7"/>
    <n v="34"/>
    <s v="1517"/>
    <s v="2"/>
    <x v="2"/>
    <s v="West"/>
    <s v="16"/>
    <x v="2"/>
    <x v="2"/>
    <n v="22"/>
    <n v="22"/>
    <s v="ST"/>
    <n v="91.58"/>
    <n v="2014.76"/>
    <n v="1855.26"/>
    <s v="EUR"/>
  </r>
  <r>
    <s v=".1~215"/>
    <n v="215"/>
    <s v="D2"/>
    <x v="3"/>
    <s v="04"/>
    <x v="29"/>
    <n v="7"/>
    <n v="34"/>
    <s v="1524"/>
    <s v="2"/>
    <x v="2"/>
    <s v="West"/>
    <s v="16"/>
    <x v="2"/>
    <x v="2"/>
    <n v="22"/>
    <n v="22"/>
    <s v="ST"/>
    <n v="91.58"/>
    <n v="2014.76"/>
    <n v="1855.26"/>
    <s v="EUR"/>
  </r>
  <r>
    <s v=".1~216"/>
    <n v="216"/>
    <s v="D2"/>
    <x v="3"/>
    <s v="04"/>
    <x v="29"/>
    <n v="7"/>
    <n v="34"/>
    <s v="1524"/>
    <s v="3"/>
    <x v="2"/>
    <s v="West"/>
    <s v="16"/>
    <x v="2"/>
    <x v="2"/>
    <n v="16"/>
    <n v="16"/>
    <s v="ST"/>
    <n v="91.58"/>
    <n v="1465.28"/>
    <n v="1349.28"/>
    <s v="EUR"/>
  </r>
  <r>
    <s v=".1~217"/>
    <n v="217"/>
    <s v="D2"/>
    <x v="3"/>
    <s v="04"/>
    <x v="29"/>
    <n v="7"/>
    <n v="34"/>
    <s v="1524"/>
    <s v="1"/>
    <x v="2"/>
    <s v="West"/>
    <s v="16"/>
    <x v="4"/>
    <x v="4"/>
    <n v="30"/>
    <n v="30"/>
    <s v="ST"/>
    <n v="67.069999999999993"/>
    <n v="2012.1"/>
    <n v="1835.1"/>
    <s v="EUR"/>
  </r>
  <r>
    <s v=".1~218"/>
    <n v="218"/>
    <s v="D2"/>
    <x v="3"/>
    <s v="04"/>
    <x v="29"/>
    <n v="7"/>
    <n v="34"/>
    <s v="1517"/>
    <s v="1"/>
    <x v="2"/>
    <s v="West"/>
    <s v="16"/>
    <x v="5"/>
    <x v="5"/>
    <n v="30"/>
    <n v="30"/>
    <s v="ST"/>
    <n v="48.5"/>
    <n v="1455"/>
    <n v="1320.9"/>
    <s v="EUR"/>
  </r>
  <r>
    <s v=".1~219"/>
    <n v="219"/>
    <s v="D2"/>
    <x v="3"/>
    <s v="05"/>
    <x v="30"/>
    <n v="7"/>
    <n v="35"/>
    <s v="1536"/>
    <s v="1"/>
    <x v="0"/>
    <s v="North"/>
    <s v="16"/>
    <x v="0"/>
    <x v="0"/>
    <n v="72"/>
    <n v="72"/>
    <s v="ST"/>
    <n v="28.47"/>
    <n v="2049.84"/>
    <n v="1690.56"/>
    <s v="EUR"/>
  </r>
  <r>
    <s v=".1~220"/>
    <n v="220"/>
    <s v="D2"/>
    <x v="3"/>
    <s v="05"/>
    <x v="30"/>
    <n v="7"/>
    <n v="35"/>
    <s v="1544"/>
    <s v="2"/>
    <x v="0"/>
    <s v="North"/>
    <s v="16"/>
    <x v="0"/>
    <x v="0"/>
    <n v="72"/>
    <n v="72"/>
    <s v="ST"/>
    <n v="28.47"/>
    <n v="2049.84"/>
    <n v="1690.56"/>
    <s v="EUR"/>
  </r>
  <r>
    <s v=".1~221"/>
    <n v="221"/>
    <s v="D2"/>
    <x v="3"/>
    <s v="05"/>
    <x v="30"/>
    <n v="7"/>
    <n v="35"/>
    <s v="1536"/>
    <s v="2"/>
    <x v="0"/>
    <s v="North"/>
    <s v="16"/>
    <x v="0"/>
    <x v="0"/>
    <n v="58"/>
    <n v="58"/>
    <s v="ST"/>
    <n v="28.47"/>
    <n v="1651.26"/>
    <n v="1361.84"/>
    <s v="EUR"/>
  </r>
  <r>
    <s v=".1~222"/>
    <n v="222"/>
    <s v="D2"/>
    <x v="3"/>
    <s v="05"/>
    <x v="30"/>
    <n v="7"/>
    <n v="35"/>
    <s v="1544"/>
    <s v="1"/>
    <x v="0"/>
    <s v="North"/>
    <s v="16"/>
    <x v="2"/>
    <x v="2"/>
    <n v="19"/>
    <n v="19"/>
    <s v="ST"/>
    <n v="91.58"/>
    <n v="1740.02"/>
    <n v="1602.27"/>
    <s v="EUR"/>
  </r>
  <r>
    <s v=".1~223"/>
    <n v="223"/>
    <s v="D2"/>
    <x v="3"/>
    <s v="05"/>
    <x v="30"/>
    <n v="7"/>
    <n v="35"/>
    <s v="1547"/>
    <s v="3"/>
    <x v="1"/>
    <s v="South"/>
    <s v="16"/>
    <x v="1"/>
    <x v="1"/>
    <n v="15"/>
    <n v="15"/>
    <s v="ST"/>
    <n v="31.78"/>
    <n v="476.7"/>
    <n v="396.6"/>
    <s v="EUR"/>
  </r>
  <r>
    <s v=".1~224"/>
    <n v="224"/>
    <s v="D2"/>
    <x v="3"/>
    <s v="05"/>
    <x v="30"/>
    <n v="7"/>
    <n v="35"/>
    <s v="1547"/>
    <s v="1"/>
    <x v="1"/>
    <s v="South"/>
    <s v="16"/>
    <x v="1"/>
    <x v="1"/>
    <n v="51"/>
    <n v="51"/>
    <s v="ST"/>
    <n v="31.78"/>
    <n v="1620.78"/>
    <n v="1348.44"/>
    <s v="EUR"/>
  </r>
  <r>
    <s v=".1~225"/>
    <n v="225"/>
    <s v="D2"/>
    <x v="3"/>
    <s v="05"/>
    <x v="30"/>
    <n v="7"/>
    <n v="35"/>
    <s v="1546"/>
    <s v="1"/>
    <x v="1"/>
    <s v="South"/>
    <s v="16"/>
    <x v="1"/>
    <x v="1"/>
    <n v="68"/>
    <n v="68"/>
    <s v="ST"/>
    <n v="31.78"/>
    <n v="2161.04"/>
    <n v="1797.92"/>
    <s v="EUR"/>
  </r>
  <r>
    <s v=".1~226"/>
    <n v="226"/>
    <s v="D2"/>
    <x v="3"/>
    <s v="05"/>
    <x v="30"/>
    <n v="7"/>
    <n v="35"/>
    <s v="1547"/>
    <s v="2"/>
    <x v="1"/>
    <s v="South"/>
    <s v="16"/>
    <x v="4"/>
    <x v="4"/>
    <n v="25"/>
    <n v="25"/>
    <s v="ST"/>
    <n v="67.069999999999993"/>
    <n v="1676.75"/>
    <n v="1529.25"/>
    <s v="EUR"/>
  </r>
  <r>
    <s v=".1~227"/>
    <n v="227"/>
    <s v="D2"/>
    <x v="3"/>
    <s v="05"/>
    <x v="30"/>
    <n v="7"/>
    <n v="35"/>
    <s v="1540"/>
    <s v="1"/>
    <x v="2"/>
    <s v="West"/>
    <s v="16"/>
    <x v="1"/>
    <x v="1"/>
    <n v="50"/>
    <n v="50"/>
    <s v="ST"/>
    <n v="31.78"/>
    <n v="1589"/>
    <n v="1322"/>
    <s v="EUR"/>
  </r>
  <r>
    <s v=".1~228"/>
    <n v="228"/>
    <s v="D2"/>
    <x v="3"/>
    <s v="06"/>
    <x v="31"/>
    <n v="8"/>
    <n v="36"/>
    <s v="1555"/>
    <s v="2"/>
    <x v="0"/>
    <s v="North"/>
    <s v="16"/>
    <x v="0"/>
    <x v="0"/>
    <n v="68"/>
    <n v="68"/>
    <s v="ST"/>
    <n v="28.47"/>
    <n v="1935.96"/>
    <n v="1596.64"/>
    <s v="EUR"/>
  </r>
  <r>
    <s v=".1~229"/>
    <n v="229"/>
    <s v="D2"/>
    <x v="3"/>
    <s v="06"/>
    <x v="31"/>
    <n v="8"/>
    <n v="36"/>
    <s v="1551"/>
    <s v="1"/>
    <x v="0"/>
    <s v="North"/>
    <s v="16"/>
    <x v="3"/>
    <x v="3"/>
    <n v="25"/>
    <n v="25"/>
    <s v="ST"/>
    <n v="79.87"/>
    <n v="1996.75"/>
    <n v="1831.5"/>
    <s v="EUR"/>
  </r>
  <r>
    <s v=".1~230"/>
    <n v="230"/>
    <s v="D2"/>
    <x v="3"/>
    <s v="06"/>
    <x v="31"/>
    <n v="8"/>
    <n v="36"/>
    <s v="1551"/>
    <s v="3"/>
    <x v="0"/>
    <s v="North"/>
    <s v="16"/>
    <x v="2"/>
    <x v="2"/>
    <n v="20"/>
    <n v="20"/>
    <s v="ST"/>
    <n v="91.58"/>
    <n v="1831.6"/>
    <n v="1686.6"/>
    <s v="EUR"/>
  </r>
  <r>
    <s v=".1~231"/>
    <n v="231"/>
    <s v="D2"/>
    <x v="3"/>
    <s v="06"/>
    <x v="31"/>
    <n v="8"/>
    <n v="36"/>
    <s v="1551"/>
    <s v="2"/>
    <x v="0"/>
    <s v="North"/>
    <s v="16"/>
    <x v="4"/>
    <x v="4"/>
    <n v="35"/>
    <n v="35"/>
    <s v="ST"/>
    <n v="67.069999999999993"/>
    <n v="2347.4499999999998"/>
    <n v="2140.9499999999998"/>
    <s v="EUR"/>
  </r>
  <r>
    <s v=".1~232"/>
    <n v="232"/>
    <s v="D2"/>
    <x v="3"/>
    <s v="06"/>
    <x v="31"/>
    <n v="8"/>
    <n v="36"/>
    <s v="1555"/>
    <s v="1"/>
    <x v="0"/>
    <s v="North"/>
    <s v="16"/>
    <x v="5"/>
    <x v="5"/>
    <n v="41"/>
    <n v="41"/>
    <s v="ST"/>
    <n v="48.5"/>
    <n v="1988.5"/>
    <n v="1805.23"/>
    <s v="EUR"/>
  </r>
  <r>
    <s v=".1~233"/>
    <n v="233"/>
    <s v="D2"/>
    <x v="3"/>
    <s v="06"/>
    <x v="31"/>
    <n v="8"/>
    <n v="36"/>
    <s v="1555"/>
    <s v="3"/>
    <x v="0"/>
    <s v="North"/>
    <s v="16"/>
    <x v="5"/>
    <x v="5"/>
    <n v="9"/>
    <n v="9"/>
    <s v="ST"/>
    <n v="48.5"/>
    <n v="436.5"/>
    <n v="396.27"/>
    <s v="EUR"/>
  </r>
  <r>
    <s v=".1~234"/>
    <n v="234"/>
    <s v="D2"/>
    <x v="3"/>
    <s v="06"/>
    <x v="31"/>
    <n v="8"/>
    <n v="36"/>
    <s v="1560"/>
    <s v="1"/>
    <x v="1"/>
    <s v="South"/>
    <s v="16"/>
    <x v="0"/>
    <x v="0"/>
    <n v="74"/>
    <n v="74"/>
    <s v="ST"/>
    <n v="28.47"/>
    <n v="2106.7800000000002"/>
    <n v="1737.52"/>
    <s v="EUR"/>
  </r>
  <r>
    <s v=".1~235"/>
    <n v="235"/>
    <s v="D2"/>
    <x v="3"/>
    <s v="06"/>
    <x v="31"/>
    <n v="8"/>
    <n v="36"/>
    <s v="1560"/>
    <s v="3"/>
    <x v="1"/>
    <s v="South"/>
    <s v="16"/>
    <x v="0"/>
    <x v="0"/>
    <n v="26"/>
    <n v="26"/>
    <s v="ST"/>
    <n v="28.47"/>
    <n v="740.22"/>
    <n v="610.48"/>
    <s v="EUR"/>
  </r>
  <r>
    <s v=".1~236"/>
    <n v="236"/>
    <s v="D2"/>
    <x v="3"/>
    <s v="06"/>
    <x v="31"/>
    <n v="8"/>
    <n v="36"/>
    <s v="1560"/>
    <s v="2"/>
    <x v="1"/>
    <s v="South"/>
    <s v="16"/>
    <x v="3"/>
    <x v="3"/>
    <n v="27"/>
    <n v="27"/>
    <s v="ST"/>
    <n v="79.87"/>
    <n v="2156.4899999999998"/>
    <n v="1978.02"/>
    <s v="EUR"/>
  </r>
  <r>
    <s v=".1~237"/>
    <n v="237"/>
    <s v="D2"/>
    <x v="3"/>
    <s v="06"/>
    <x v="31"/>
    <n v="8"/>
    <n v="36"/>
    <s v="1560"/>
    <s v="4"/>
    <x v="1"/>
    <s v="South"/>
    <s v="16"/>
    <x v="2"/>
    <x v="2"/>
    <n v="2"/>
    <n v="2"/>
    <s v="ST"/>
    <n v="91.58"/>
    <n v="183.16"/>
    <n v="168.66"/>
    <s v="EUR"/>
  </r>
  <r>
    <s v=".1~238"/>
    <n v="238"/>
    <s v="D2"/>
    <x v="3"/>
    <s v="06"/>
    <x v="31"/>
    <n v="8"/>
    <n v="36"/>
    <s v="1558"/>
    <s v="1"/>
    <x v="2"/>
    <s v="West"/>
    <s v="16"/>
    <x v="2"/>
    <x v="2"/>
    <n v="22"/>
    <n v="22"/>
    <s v="ST"/>
    <n v="91.58"/>
    <n v="2014.76"/>
    <n v="1855.26"/>
    <s v="EUR"/>
  </r>
  <r>
    <s v=".1~239"/>
    <n v="239"/>
    <s v="D2"/>
    <x v="3"/>
    <s v="07"/>
    <x v="32"/>
    <n v="8"/>
    <n v="37"/>
    <s v="1568"/>
    <s v="1"/>
    <x v="0"/>
    <s v="North"/>
    <s v="16"/>
    <x v="0"/>
    <x v="0"/>
    <n v="74"/>
    <n v="74"/>
    <s v="ST"/>
    <n v="28.47"/>
    <n v="2106.7800000000002"/>
    <n v="1737.52"/>
    <s v="EUR"/>
  </r>
  <r>
    <s v=".1~240"/>
    <n v="240"/>
    <s v="D2"/>
    <x v="3"/>
    <s v="07"/>
    <x v="32"/>
    <n v="8"/>
    <n v="37"/>
    <s v="1563"/>
    <s v="4"/>
    <x v="0"/>
    <s v="North"/>
    <s v="16"/>
    <x v="0"/>
    <x v="0"/>
    <n v="85"/>
    <n v="85"/>
    <s v="ST"/>
    <n v="28.47"/>
    <n v="2419.9499999999998"/>
    <n v="1995.8"/>
    <s v="EUR"/>
  </r>
  <r>
    <s v=".1~241"/>
    <n v="241"/>
    <s v="D2"/>
    <x v="3"/>
    <s v="07"/>
    <x v="32"/>
    <n v="8"/>
    <n v="37"/>
    <s v="1568"/>
    <s v="2"/>
    <x v="0"/>
    <s v="North"/>
    <s v="16"/>
    <x v="0"/>
    <x v="0"/>
    <n v="43"/>
    <n v="43"/>
    <s v="ST"/>
    <n v="28.47"/>
    <n v="1224.21"/>
    <n v="1009.64"/>
    <s v="EUR"/>
  </r>
  <r>
    <s v=".1~242"/>
    <n v="242"/>
    <s v="D2"/>
    <x v="3"/>
    <s v="07"/>
    <x v="32"/>
    <n v="8"/>
    <n v="37"/>
    <s v="1563"/>
    <s v="2"/>
    <x v="0"/>
    <s v="North"/>
    <s v="16"/>
    <x v="1"/>
    <x v="1"/>
    <n v="74"/>
    <n v="74"/>
    <s v="ST"/>
    <n v="31.78"/>
    <n v="2351.7199999999998"/>
    <n v="1956.56"/>
    <s v="EUR"/>
  </r>
  <r>
    <s v=".1~243"/>
    <n v="243"/>
    <s v="D2"/>
    <x v="3"/>
    <s v="07"/>
    <x v="32"/>
    <n v="8"/>
    <n v="37"/>
    <s v="1563"/>
    <s v="3"/>
    <x v="0"/>
    <s v="North"/>
    <s v="16"/>
    <x v="2"/>
    <x v="2"/>
    <n v="2"/>
    <n v="2"/>
    <s v="ST"/>
    <n v="91.58"/>
    <n v="183.16"/>
    <n v="168.66"/>
    <s v="EUR"/>
  </r>
  <r>
    <s v=".1~244"/>
    <n v="244"/>
    <s v="D2"/>
    <x v="3"/>
    <s v="07"/>
    <x v="32"/>
    <n v="8"/>
    <n v="37"/>
    <s v="1563"/>
    <s v="1"/>
    <x v="0"/>
    <s v="North"/>
    <s v="16"/>
    <x v="4"/>
    <x v="4"/>
    <n v="15"/>
    <n v="15"/>
    <s v="ST"/>
    <n v="67.069999999999993"/>
    <n v="1006.05"/>
    <n v="917.55"/>
    <s v="EUR"/>
  </r>
  <r>
    <s v=".1~245"/>
    <n v="245"/>
    <s v="D2"/>
    <x v="3"/>
    <s v="07"/>
    <x v="32"/>
    <n v="8"/>
    <n v="37"/>
    <s v="1576"/>
    <s v="1"/>
    <x v="1"/>
    <s v="South"/>
    <s v="16"/>
    <x v="1"/>
    <x v="1"/>
    <n v="54"/>
    <n v="54"/>
    <s v="ST"/>
    <n v="31.78"/>
    <n v="1716.12"/>
    <n v="1427.76"/>
    <s v="EUR"/>
  </r>
  <r>
    <s v=".1~246"/>
    <n v="246"/>
    <s v="D2"/>
    <x v="3"/>
    <s v="07"/>
    <x v="32"/>
    <n v="8"/>
    <n v="37"/>
    <s v="1576"/>
    <s v="3"/>
    <x v="1"/>
    <s v="South"/>
    <s v="16"/>
    <x v="4"/>
    <x v="4"/>
    <n v="34"/>
    <n v="34"/>
    <s v="ST"/>
    <n v="67.069999999999993"/>
    <n v="2280.38"/>
    <n v="2079.7800000000002"/>
    <s v="EUR"/>
  </r>
  <r>
    <s v=".1~247"/>
    <n v="247"/>
    <s v="D2"/>
    <x v="3"/>
    <s v="07"/>
    <x v="32"/>
    <n v="8"/>
    <n v="37"/>
    <s v="1574"/>
    <s v="2"/>
    <x v="2"/>
    <s v="West"/>
    <s v="16"/>
    <x v="0"/>
    <x v="0"/>
    <n v="62"/>
    <n v="62"/>
    <s v="ST"/>
    <n v="28.47"/>
    <n v="1765.14"/>
    <n v="1455.76"/>
    <s v="EUR"/>
  </r>
  <r>
    <s v=".1~248"/>
    <n v="248"/>
    <s v="D2"/>
    <x v="3"/>
    <s v="07"/>
    <x v="32"/>
    <n v="8"/>
    <n v="37"/>
    <s v="1574"/>
    <s v="1"/>
    <x v="2"/>
    <s v="West"/>
    <s v="16"/>
    <x v="2"/>
    <x v="2"/>
    <n v="14"/>
    <n v="14"/>
    <s v="ST"/>
    <n v="91.58"/>
    <n v="1282.1199999999999"/>
    <n v="1180.6199999999999"/>
    <s v="EUR"/>
  </r>
  <r>
    <s v=".1~249"/>
    <n v="249"/>
    <s v="D2"/>
    <x v="3"/>
    <s v="07"/>
    <x v="32"/>
    <n v="8"/>
    <n v="37"/>
    <s v="1572"/>
    <s v="1"/>
    <x v="2"/>
    <s v="West"/>
    <s v="16"/>
    <x v="5"/>
    <x v="5"/>
    <n v="30"/>
    <n v="30"/>
    <s v="ST"/>
    <n v="48.5"/>
    <n v="1455"/>
    <n v="1320.9"/>
    <s v="EUR"/>
  </r>
  <r>
    <s v=".1~250"/>
    <n v="250"/>
    <s v="D2"/>
    <x v="3"/>
    <s v="08"/>
    <x v="33"/>
    <n v="8"/>
    <n v="38"/>
    <s v="1579"/>
    <s v="1"/>
    <x v="0"/>
    <s v="North"/>
    <s v="16"/>
    <x v="0"/>
    <x v="0"/>
    <n v="68"/>
    <n v="68"/>
    <s v="ST"/>
    <n v="28.47"/>
    <n v="1935.96"/>
    <n v="1596.64"/>
    <s v="EUR"/>
  </r>
  <r>
    <s v=".1~251"/>
    <n v="251"/>
    <s v="D2"/>
    <x v="3"/>
    <s v="08"/>
    <x v="33"/>
    <n v="8"/>
    <n v="38"/>
    <s v="1579"/>
    <s v="2"/>
    <x v="0"/>
    <s v="North"/>
    <s v="16"/>
    <x v="1"/>
    <x v="1"/>
    <n v="77"/>
    <n v="77"/>
    <s v="ST"/>
    <n v="31.78"/>
    <n v="2447.06"/>
    <n v="2035.88"/>
    <s v="EUR"/>
  </r>
  <r>
    <s v=".1~252"/>
    <n v="252"/>
    <s v="D2"/>
    <x v="3"/>
    <s v="08"/>
    <x v="33"/>
    <n v="8"/>
    <n v="38"/>
    <s v="1579"/>
    <s v="3"/>
    <x v="0"/>
    <s v="North"/>
    <s v="16"/>
    <x v="5"/>
    <x v="5"/>
    <n v="48"/>
    <n v="48"/>
    <s v="ST"/>
    <n v="48.5"/>
    <n v="2328"/>
    <n v="2113.44"/>
    <s v="EUR"/>
  </r>
  <r>
    <s v=".1~253"/>
    <n v="253"/>
    <s v="D2"/>
    <x v="3"/>
    <s v="08"/>
    <x v="33"/>
    <n v="8"/>
    <n v="38"/>
    <s v="1590"/>
    <s v="2"/>
    <x v="1"/>
    <s v="South"/>
    <s v="16"/>
    <x v="0"/>
    <x v="0"/>
    <n v="75"/>
    <n v="75"/>
    <s v="ST"/>
    <n v="28.47"/>
    <n v="2135.25"/>
    <n v="1761"/>
    <s v="EUR"/>
  </r>
  <r>
    <s v=".1~254"/>
    <n v="254"/>
    <s v="D2"/>
    <x v="3"/>
    <s v="08"/>
    <x v="33"/>
    <n v="8"/>
    <n v="38"/>
    <s v="1590"/>
    <s v="1"/>
    <x v="1"/>
    <s v="South"/>
    <s v="16"/>
    <x v="3"/>
    <x v="3"/>
    <n v="22"/>
    <n v="22"/>
    <s v="ST"/>
    <n v="79.87"/>
    <n v="1757.14"/>
    <n v="1611.72"/>
    <s v="EUR"/>
  </r>
  <r>
    <s v=".1~255"/>
    <n v="255"/>
    <s v="D2"/>
    <x v="3"/>
    <s v="08"/>
    <x v="33"/>
    <n v="8"/>
    <n v="38"/>
    <s v="1586"/>
    <s v="2"/>
    <x v="1"/>
    <s v="South"/>
    <s v="16"/>
    <x v="1"/>
    <x v="1"/>
    <n v="57"/>
    <n v="57"/>
    <s v="ST"/>
    <n v="31.78"/>
    <n v="1811.46"/>
    <n v="1507.08"/>
    <s v="EUR"/>
  </r>
  <r>
    <s v=".1~256"/>
    <n v="256"/>
    <s v="D2"/>
    <x v="3"/>
    <s v="08"/>
    <x v="33"/>
    <n v="8"/>
    <n v="38"/>
    <s v="1586"/>
    <s v="1"/>
    <x v="1"/>
    <s v="South"/>
    <s v="16"/>
    <x v="4"/>
    <x v="4"/>
    <n v="31"/>
    <n v="31"/>
    <s v="ST"/>
    <n v="67.069999999999993"/>
    <n v="2079.17"/>
    <n v="1896.27"/>
    <s v="EUR"/>
  </r>
  <r>
    <s v=".1~257"/>
    <n v="257"/>
    <s v="D2"/>
    <x v="3"/>
    <s v="08"/>
    <x v="33"/>
    <n v="8"/>
    <n v="38"/>
    <s v="1590"/>
    <s v="3"/>
    <x v="1"/>
    <s v="South"/>
    <s v="16"/>
    <x v="4"/>
    <x v="4"/>
    <n v="10"/>
    <n v="10"/>
    <s v="ST"/>
    <n v="67.069999999999993"/>
    <n v="670.7"/>
    <n v="611.70000000000005"/>
    <s v="EUR"/>
  </r>
  <r>
    <s v=".1~258"/>
    <n v="258"/>
    <s v="D2"/>
    <x v="3"/>
    <s v="08"/>
    <x v="33"/>
    <n v="8"/>
    <n v="38"/>
    <s v="1582"/>
    <s v="1"/>
    <x v="2"/>
    <s v="West"/>
    <s v="16"/>
    <x v="0"/>
    <x v="0"/>
    <n v="38"/>
    <n v="38"/>
    <s v="ST"/>
    <n v="28.47"/>
    <n v="1081.8599999999999"/>
    <n v="892.24"/>
    <s v="EUR"/>
  </r>
  <r>
    <s v=".1~259"/>
    <n v="259"/>
    <s v="D2"/>
    <x v="3"/>
    <s v="09"/>
    <x v="34"/>
    <n v="8"/>
    <n v="39"/>
    <s v="1600"/>
    <s v="1"/>
    <x v="0"/>
    <s v="North"/>
    <s v="16"/>
    <x v="0"/>
    <x v="0"/>
    <n v="74"/>
    <n v="74"/>
    <s v="ST"/>
    <n v="28.47"/>
    <n v="2106.7800000000002"/>
    <n v="1713.84"/>
    <s v="EUR"/>
  </r>
  <r>
    <s v=".1~260"/>
    <n v="260"/>
    <s v="D2"/>
    <x v="3"/>
    <s v="09"/>
    <x v="34"/>
    <n v="8"/>
    <n v="39"/>
    <s v="1601"/>
    <s v="1"/>
    <x v="0"/>
    <s v="North"/>
    <s v="16"/>
    <x v="5"/>
    <x v="5"/>
    <n v="2"/>
    <n v="2"/>
    <s v="ST"/>
    <n v="48.5"/>
    <n v="97"/>
    <n v="87.3"/>
    <s v="EUR"/>
  </r>
  <r>
    <s v=".1~261"/>
    <n v="261"/>
    <s v="D2"/>
    <x v="3"/>
    <s v="09"/>
    <x v="34"/>
    <n v="8"/>
    <n v="39"/>
    <s v="1602"/>
    <s v="3"/>
    <x v="1"/>
    <s v="South"/>
    <s v="16"/>
    <x v="1"/>
    <x v="1"/>
    <n v="51"/>
    <n v="51"/>
    <s v="ST"/>
    <n v="31.78"/>
    <n v="1620.78"/>
    <n v="1330.59"/>
    <s v="EUR"/>
  </r>
  <r>
    <s v=".1~262"/>
    <n v="262"/>
    <s v="D2"/>
    <x v="3"/>
    <s v="09"/>
    <x v="34"/>
    <n v="8"/>
    <n v="39"/>
    <s v="1602"/>
    <s v="1"/>
    <x v="1"/>
    <s v="South"/>
    <s v="16"/>
    <x v="1"/>
    <x v="1"/>
    <n v="35"/>
    <n v="35"/>
    <s v="ST"/>
    <n v="31.78"/>
    <n v="1112.3"/>
    <n v="913.15"/>
    <s v="EUR"/>
  </r>
  <r>
    <s v=".1~263"/>
    <n v="263"/>
    <s v="D2"/>
    <x v="3"/>
    <s v="09"/>
    <x v="34"/>
    <n v="8"/>
    <n v="39"/>
    <s v="1598"/>
    <s v="1"/>
    <x v="2"/>
    <s v="West"/>
    <s v="16"/>
    <x v="3"/>
    <x v="3"/>
    <n v="26"/>
    <n v="26"/>
    <s v="ST"/>
    <n v="79.87"/>
    <n v="2076.62"/>
    <n v="1899.3"/>
    <s v="EUR"/>
  </r>
  <r>
    <s v=".1~264"/>
    <n v="264"/>
    <s v="D2"/>
    <x v="3"/>
    <s v="10"/>
    <x v="35"/>
    <n v="8"/>
    <n v="40"/>
    <s v="1611"/>
    <s v="2"/>
    <x v="0"/>
    <s v="North"/>
    <s v="16"/>
    <x v="4"/>
    <x v="4"/>
    <n v="20"/>
    <n v="20"/>
    <s v="ST"/>
    <n v="67.069999999999993"/>
    <n v="1341.4"/>
    <n v="1209.5999999999999"/>
    <s v="EUR"/>
  </r>
  <r>
    <s v=".1~265"/>
    <n v="265"/>
    <s v="D2"/>
    <x v="3"/>
    <s v="10"/>
    <x v="35"/>
    <n v="8"/>
    <n v="40"/>
    <s v="1611"/>
    <s v="1"/>
    <x v="0"/>
    <s v="North"/>
    <s v="16"/>
    <x v="4"/>
    <x v="4"/>
    <n v="23"/>
    <n v="23"/>
    <s v="ST"/>
    <n v="67.069999999999993"/>
    <n v="1542.61"/>
    <n v="1391.04"/>
    <s v="EUR"/>
  </r>
  <r>
    <s v=".1~266"/>
    <n v="266"/>
    <s v="D2"/>
    <x v="3"/>
    <s v="10"/>
    <x v="35"/>
    <n v="8"/>
    <n v="40"/>
    <s v="1611"/>
    <s v="3"/>
    <x v="0"/>
    <s v="North"/>
    <s v="16"/>
    <x v="5"/>
    <x v="5"/>
    <n v="45"/>
    <n v="45"/>
    <s v="ST"/>
    <n v="48.5"/>
    <n v="2182.5"/>
    <n v="1964.25"/>
    <s v="EUR"/>
  </r>
  <r>
    <s v=".1~267"/>
    <n v="267"/>
    <s v="D2"/>
    <x v="3"/>
    <s v="10"/>
    <x v="35"/>
    <n v="8"/>
    <n v="40"/>
    <s v="1605"/>
    <s v="1"/>
    <x v="1"/>
    <s v="South"/>
    <s v="16"/>
    <x v="1"/>
    <x v="1"/>
    <n v="6"/>
    <n v="6"/>
    <s v="ST"/>
    <n v="31.78"/>
    <n v="190.68"/>
    <n v="156.54"/>
    <s v="EUR"/>
  </r>
  <r>
    <s v=".1~268"/>
    <n v="268"/>
    <s v="D2"/>
    <x v="3"/>
    <s v="10"/>
    <x v="35"/>
    <n v="8"/>
    <n v="40"/>
    <s v="1608"/>
    <s v="2"/>
    <x v="1"/>
    <s v="South"/>
    <s v="16"/>
    <x v="2"/>
    <x v="2"/>
    <n v="18"/>
    <n v="18"/>
    <s v="ST"/>
    <n v="91.58"/>
    <n v="1648.44"/>
    <n v="1501.2"/>
    <s v="EUR"/>
  </r>
  <r>
    <s v=".1~269"/>
    <n v="269"/>
    <s v="D2"/>
    <x v="3"/>
    <s v="10"/>
    <x v="35"/>
    <n v="8"/>
    <n v="40"/>
    <s v="1608"/>
    <s v="1"/>
    <x v="1"/>
    <s v="South"/>
    <s v="16"/>
    <x v="4"/>
    <x v="4"/>
    <n v="18"/>
    <n v="18"/>
    <s v="ST"/>
    <n v="67.069999999999993"/>
    <n v="1207.26"/>
    <n v="1088.6400000000001"/>
    <s v="EUR"/>
  </r>
  <r>
    <s v=".1~270"/>
    <n v="270"/>
    <s v="D2"/>
    <x v="4"/>
    <s v="01"/>
    <x v="36"/>
    <n v="9"/>
    <n v="41"/>
    <s v="1630"/>
    <s v="1"/>
    <x v="0"/>
    <s v="North"/>
    <s v="16"/>
    <x v="0"/>
    <x v="0"/>
    <n v="81"/>
    <n v="81"/>
    <s v="ST"/>
    <n v="28.18"/>
    <n v="2282.58"/>
    <n v="1875.96"/>
    <s v="EUR"/>
  </r>
  <r>
    <s v=".1~271"/>
    <n v="271"/>
    <s v="D2"/>
    <x v="4"/>
    <s v="01"/>
    <x v="36"/>
    <n v="9"/>
    <n v="41"/>
    <s v="1619"/>
    <s v="1"/>
    <x v="0"/>
    <s v="North"/>
    <s v="16"/>
    <x v="1"/>
    <x v="1"/>
    <n v="77"/>
    <n v="77"/>
    <s v="ST"/>
    <n v="31.45"/>
    <n v="2421.65"/>
    <n v="2008.93"/>
    <s v="EUR"/>
  </r>
  <r>
    <s v=".1~272"/>
    <n v="272"/>
    <s v="D2"/>
    <x v="4"/>
    <s v="01"/>
    <x v="36"/>
    <n v="9"/>
    <n v="41"/>
    <s v="1630"/>
    <s v="2"/>
    <x v="0"/>
    <s v="North"/>
    <s v="16"/>
    <x v="2"/>
    <x v="2"/>
    <n v="20"/>
    <n v="20"/>
    <s v="ST"/>
    <n v="91.58"/>
    <n v="1831.6"/>
    <n v="1668"/>
    <s v="EUR"/>
  </r>
  <r>
    <s v=".1~273"/>
    <n v="273"/>
    <s v="D2"/>
    <x v="4"/>
    <s v="01"/>
    <x v="36"/>
    <n v="9"/>
    <n v="41"/>
    <s v="1630"/>
    <s v="3"/>
    <x v="0"/>
    <s v="North"/>
    <s v="16"/>
    <x v="2"/>
    <x v="2"/>
    <n v="10"/>
    <n v="10"/>
    <s v="ST"/>
    <n v="91.58"/>
    <n v="915.8"/>
    <n v="834"/>
    <s v="EUR"/>
  </r>
  <r>
    <s v=".1~274"/>
    <n v="274"/>
    <s v="D2"/>
    <x v="4"/>
    <s v="01"/>
    <x v="36"/>
    <n v="9"/>
    <n v="41"/>
    <s v="1622"/>
    <s v="3"/>
    <x v="1"/>
    <s v="South"/>
    <s v="16"/>
    <x v="1"/>
    <x v="1"/>
    <n v="67"/>
    <n v="67"/>
    <s v="ST"/>
    <n v="31.45"/>
    <n v="2107.15"/>
    <n v="1748.03"/>
    <s v="EUR"/>
  </r>
  <r>
    <s v=".1~275"/>
    <n v="275"/>
    <s v="D2"/>
    <x v="4"/>
    <s v="01"/>
    <x v="36"/>
    <n v="9"/>
    <n v="41"/>
    <s v="1626"/>
    <s v="1"/>
    <x v="1"/>
    <s v="South"/>
    <s v="16"/>
    <x v="1"/>
    <x v="1"/>
    <n v="53"/>
    <n v="53"/>
    <s v="ST"/>
    <n v="31.45"/>
    <n v="1666.85"/>
    <n v="1382.77"/>
    <s v="EUR"/>
  </r>
  <r>
    <s v=".1~276"/>
    <n v="276"/>
    <s v="D2"/>
    <x v="4"/>
    <s v="01"/>
    <x v="36"/>
    <n v="9"/>
    <n v="41"/>
    <s v="1622"/>
    <s v="2"/>
    <x v="1"/>
    <s v="South"/>
    <s v="16"/>
    <x v="1"/>
    <x v="1"/>
    <n v="66"/>
    <n v="66"/>
    <s v="ST"/>
    <n v="31.45"/>
    <n v="2075.6999999999998"/>
    <n v="1721.94"/>
    <s v="EUR"/>
  </r>
  <r>
    <s v=".1~277"/>
    <n v="277"/>
    <s v="D2"/>
    <x v="4"/>
    <s v="01"/>
    <x v="36"/>
    <n v="9"/>
    <n v="41"/>
    <s v="1622"/>
    <s v="1"/>
    <x v="1"/>
    <s v="South"/>
    <s v="16"/>
    <x v="4"/>
    <x v="4"/>
    <n v="24"/>
    <n v="24"/>
    <s v="ST"/>
    <n v="67.069999999999993"/>
    <n v="1609.68"/>
    <n v="1451.52"/>
    <s v="EUR"/>
  </r>
  <r>
    <s v=".1~278"/>
    <n v="278"/>
    <s v="D2"/>
    <x v="4"/>
    <s v="02"/>
    <x v="37"/>
    <n v="9"/>
    <n v="42"/>
    <s v="1640"/>
    <s v="3"/>
    <x v="0"/>
    <s v="North"/>
    <s v="16"/>
    <x v="0"/>
    <x v="0"/>
    <n v="79"/>
    <n v="79"/>
    <s v="ST"/>
    <n v="28.18"/>
    <n v="2226.2199999999998"/>
    <n v="1829.64"/>
    <s v="EUR"/>
  </r>
  <r>
    <s v=".1~279"/>
    <n v="279"/>
    <s v="D2"/>
    <x v="4"/>
    <s v="02"/>
    <x v="37"/>
    <n v="9"/>
    <n v="42"/>
    <s v="1643"/>
    <s v="2"/>
    <x v="0"/>
    <s v="North"/>
    <s v="16"/>
    <x v="0"/>
    <x v="0"/>
    <n v="55"/>
    <n v="55"/>
    <s v="ST"/>
    <n v="28.18"/>
    <n v="1549.9"/>
    <n v="1273.8"/>
    <s v="EUR"/>
  </r>
  <r>
    <s v=".1~280"/>
    <n v="280"/>
    <s v="D2"/>
    <x v="4"/>
    <s v="02"/>
    <x v="37"/>
    <n v="9"/>
    <n v="42"/>
    <s v="1640"/>
    <s v="2"/>
    <x v="0"/>
    <s v="North"/>
    <s v="16"/>
    <x v="1"/>
    <x v="1"/>
    <n v="55"/>
    <n v="55"/>
    <s v="ST"/>
    <n v="31.45"/>
    <n v="1729.75"/>
    <n v="1434.95"/>
    <s v="EUR"/>
  </r>
  <r>
    <s v=".1~281"/>
    <n v="281"/>
    <s v="D2"/>
    <x v="4"/>
    <s v="02"/>
    <x v="37"/>
    <n v="9"/>
    <n v="42"/>
    <s v="1643"/>
    <s v="1"/>
    <x v="0"/>
    <s v="North"/>
    <s v="16"/>
    <x v="1"/>
    <x v="1"/>
    <n v="18"/>
    <n v="18"/>
    <s v="ST"/>
    <n v="31.45"/>
    <n v="566.1"/>
    <n v="469.62"/>
    <s v="EUR"/>
  </r>
  <r>
    <s v=".1~282"/>
    <n v="282"/>
    <s v="D2"/>
    <x v="4"/>
    <s v="02"/>
    <x v="37"/>
    <n v="9"/>
    <n v="42"/>
    <s v="1640"/>
    <s v="1"/>
    <x v="0"/>
    <s v="North"/>
    <s v="16"/>
    <x v="4"/>
    <x v="4"/>
    <n v="28"/>
    <n v="28"/>
    <s v="ST"/>
    <n v="67.069999999999993"/>
    <n v="1877.96"/>
    <n v="1693.44"/>
    <s v="EUR"/>
  </r>
  <r>
    <s v=".1~283"/>
    <n v="283"/>
    <s v="D2"/>
    <x v="4"/>
    <s v="02"/>
    <x v="37"/>
    <n v="9"/>
    <n v="42"/>
    <s v="1637"/>
    <s v="2"/>
    <x v="1"/>
    <s v="South"/>
    <s v="16"/>
    <x v="3"/>
    <x v="3"/>
    <n v="29"/>
    <n v="29"/>
    <s v="ST"/>
    <n v="79.87"/>
    <n v="2316.23"/>
    <n v="2118.4499999999998"/>
    <s v="EUR"/>
  </r>
  <r>
    <s v=".1~284"/>
    <n v="284"/>
    <s v="D2"/>
    <x v="4"/>
    <s v="02"/>
    <x v="37"/>
    <n v="9"/>
    <n v="42"/>
    <s v="1637"/>
    <s v="3"/>
    <x v="1"/>
    <s v="South"/>
    <s v="16"/>
    <x v="3"/>
    <x v="3"/>
    <n v="21"/>
    <n v="21"/>
    <s v="ST"/>
    <n v="79.87"/>
    <n v="1677.27"/>
    <n v="1534.05"/>
    <s v="EUR"/>
  </r>
  <r>
    <s v=".1~285"/>
    <n v="285"/>
    <s v="D2"/>
    <x v="4"/>
    <s v="02"/>
    <x v="37"/>
    <n v="9"/>
    <n v="42"/>
    <s v="1637"/>
    <s v="1"/>
    <x v="1"/>
    <s v="South"/>
    <s v="16"/>
    <x v="1"/>
    <x v="1"/>
    <n v="24"/>
    <n v="24"/>
    <s v="ST"/>
    <n v="31.45"/>
    <n v="754.8"/>
    <n v="626.16"/>
    <s v="EUR"/>
  </r>
  <r>
    <s v=".1~286"/>
    <n v="286"/>
    <s v="D2"/>
    <x v="4"/>
    <s v="02"/>
    <x v="37"/>
    <n v="9"/>
    <n v="42"/>
    <s v="1633"/>
    <s v="1"/>
    <x v="2"/>
    <s v="West"/>
    <s v="16"/>
    <x v="0"/>
    <x v="0"/>
    <n v="85"/>
    <n v="85"/>
    <s v="ST"/>
    <n v="28.18"/>
    <n v="2395.3000000000002"/>
    <n v="1968.6"/>
    <s v="EUR"/>
  </r>
  <r>
    <s v=".1~287"/>
    <n v="287"/>
    <s v="D2"/>
    <x v="4"/>
    <s v="02"/>
    <x v="37"/>
    <n v="9"/>
    <n v="42"/>
    <s v="1633"/>
    <s v="3"/>
    <x v="2"/>
    <s v="West"/>
    <s v="16"/>
    <x v="2"/>
    <x v="2"/>
    <n v="1"/>
    <n v="1"/>
    <s v="ST"/>
    <n v="91.58"/>
    <n v="91.58"/>
    <n v="83.4"/>
    <s v="EUR"/>
  </r>
  <r>
    <s v=".1~288"/>
    <n v="288"/>
    <s v="D2"/>
    <x v="4"/>
    <s v="02"/>
    <x v="37"/>
    <n v="9"/>
    <n v="42"/>
    <s v="1633"/>
    <s v="2"/>
    <x v="2"/>
    <s v="West"/>
    <s v="16"/>
    <x v="2"/>
    <x v="2"/>
    <n v="22"/>
    <n v="22"/>
    <s v="ST"/>
    <n v="91.58"/>
    <n v="2014.76"/>
    <n v="1834.8"/>
    <s v="EUR"/>
  </r>
  <r>
    <s v=".1~289"/>
    <n v="289"/>
    <s v="D2"/>
    <x v="4"/>
    <s v="03"/>
    <x v="38"/>
    <n v="9"/>
    <n v="43"/>
    <s v="1651"/>
    <s v="2"/>
    <x v="0"/>
    <s v="North"/>
    <s v="16"/>
    <x v="0"/>
    <x v="0"/>
    <n v="72"/>
    <n v="72"/>
    <s v="ST"/>
    <n v="28.18"/>
    <n v="2028.96"/>
    <n v="1667.52"/>
    <s v="EUR"/>
  </r>
  <r>
    <s v=".1~290"/>
    <n v="290"/>
    <s v="D2"/>
    <x v="4"/>
    <s v="03"/>
    <x v="38"/>
    <n v="9"/>
    <n v="43"/>
    <s v="1651"/>
    <s v="3"/>
    <x v="0"/>
    <s v="North"/>
    <s v="16"/>
    <x v="3"/>
    <x v="3"/>
    <n v="23"/>
    <n v="23"/>
    <s v="ST"/>
    <n v="79.87"/>
    <n v="1837.01"/>
    <n v="1680.15"/>
    <s v="EUR"/>
  </r>
  <r>
    <s v=".1~291"/>
    <n v="291"/>
    <s v="D2"/>
    <x v="4"/>
    <s v="03"/>
    <x v="38"/>
    <n v="9"/>
    <n v="43"/>
    <s v="1651"/>
    <s v="1"/>
    <x v="0"/>
    <s v="North"/>
    <s v="16"/>
    <x v="1"/>
    <x v="1"/>
    <n v="53"/>
    <n v="53"/>
    <s v="ST"/>
    <n v="31.45"/>
    <n v="1666.85"/>
    <n v="1382.77"/>
    <s v="EUR"/>
  </r>
  <r>
    <s v=".1~292"/>
    <n v="292"/>
    <s v="D2"/>
    <x v="4"/>
    <s v="03"/>
    <x v="38"/>
    <n v="9"/>
    <n v="43"/>
    <s v="1651"/>
    <s v="8"/>
    <x v="0"/>
    <s v="North"/>
    <s v="16"/>
    <x v="1"/>
    <x v="1"/>
    <n v="24"/>
    <n v="24"/>
    <s v="ST"/>
    <n v="31.45"/>
    <n v="754.8"/>
    <n v="626.16"/>
    <s v="EUR"/>
  </r>
  <r>
    <s v=".1~293"/>
    <n v="293"/>
    <s v="D2"/>
    <x v="4"/>
    <s v="03"/>
    <x v="38"/>
    <n v="9"/>
    <n v="43"/>
    <s v="1651"/>
    <s v="9"/>
    <x v="0"/>
    <s v="North"/>
    <s v="16"/>
    <x v="5"/>
    <x v="5"/>
    <n v="3"/>
    <n v="3"/>
    <s v="ST"/>
    <n v="48.5"/>
    <n v="145.5"/>
    <n v="130.94999999999999"/>
    <s v="EUR"/>
  </r>
  <r>
    <s v=".1~294"/>
    <n v="294"/>
    <s v="D2"/>
    <x v="4"/>
    <s v="03"/>
    <x v="38"/>
    <n v="9"/>
    <n v="43"/>
    <s v="1651"/>
    <s v="7"/>
    <x v="0"/>
    <s v="North"/>
    <s v="16"/>
    <x v="5"/>
    <x v="5"/>
    <n v="47"/>
    <n v="47"/>
    <s v="ST"/>
    <n v="48.5"/>
    <n v="2279.5"/>
    <n v="2051.5500000000002"/>
    <s v="EUR"/>
  </r>
  <r>
    <s v=".1~295"/>
    <n v="295"/>
    <s v="D2"/>
    <x v="4"/>
    <s v="03"/>
    <x v="38"/>
    <n v="9"/>
    <n v="43"/>
    <s v="1659"/>
    <s v="2"/>
    <x v="1"/>
    <s v="South"/>
    <s v="16"/>
    <x v="0"/>
    <x v="0"/>
    <n v="54"/>
    <n v="54"/>
    <s v="ST"/>
    <n v="28.18"/>
    <n v="1521.72"/>
    <n v="1250.6400000000001"/>
    <s v="EUR"/>
  </r>
  <r>
    <s v=".1~296"/>
    <n v="296"/>
    <s v="D2"/>
    <x v="4"/>
    <s v="03"/>
    <x v="38"/>
    <n v="9"/>
    <n v="43"/>
    <s v="1657"/>
    <s v="1"/>
    <x v="1"/>
    <s v="South"/>
    <s v="16"/>
    <x v="4"/>
    <x v="4"/>
    <n v="34"/>
    <n v="34"/>
    <s v="ST"/>
    <n v="67.069999999999993"/>
    <n v="2280.38"/>
    <n v="2056.3200000000002"/>
    <s v="EUR"/>
  </r>
  <r>
    <s v=".1~297"/>
    <n v="297"/>
    <s v="D2"/>
    <x v="4"/>
    <s v="03"/>
    <x v="38"/>
    <n v="9"/>
    <n v="43"/>
    <s v="1659"/>
    <s v="1"/>
    <x v="1"/>
    <s v="South"/>
    <s v="16"/>
    <x v="4"/>
    <x v="4"/>
    <n v="33"/>
    <n v="33"/>
    <s v="ST"/>
    <n v="67.069999999999993"/>
    <n v="2213.31"/>
    <n v="1995.84"/>
    <s v="EUR"/>
  </r>
  <r>
    <s v=".1~298"/>
    <n v="298"/>
    <s v="D2"/>
    <x v="4"/>
    <s v="03"/>
    <x v="38"/>
    <n v="9"/>
    <n v="43"/>
    <s v="1654"/>
    <s v="1"/>
    <x v="2"/>
    <s v="West"/>
    <s v="16"/>
    <x v="0"/>
    <x v="0"/>
    <n v="15"/>
    <n v="15"/>
    <s v="ST"/>
    <n v="28.18"/>
    <n v="422.7"/>
    <n v="347.4"/>
    <s v="EUR"/>
  </r>
  <r>
    <s v=".1~299"/>
    <n v="299"/>
    <s v="D2"/>
    <x v="4"/>
    <s v="04"/>
    <x v="39"/>
    <n v="9"/>
    <n v="44"/>
    <s v="1670"/>
    <s v="3"/>
    <x v="0"/>
    <s v="North"/>
    <s v="16"/>
    <x v="0"/>
    <x v="0"/>
    <n v="54"/>
    <n v="54"/>
    <s v="ST"/>
    <n v="28.18"/>
    <n v="1521.72"/>
    <n v="1250.6400000000001"/>
    <s v="EUR"/>
  </r>
  <r>
    <s v=".1~300"/>
    <n v="300"/>
    <s v="D2"/>
    <x v="4"/>
    <s v="04"/>
    <x v="39"/>
    <n v="9"/>
    <n v="44"/>
    <s v="1666"/>
    <s v="1"/>
    <x v="0"/>
    <s v="North"/>
    <s v="16"/>
    <x v="0"/>
    <x v="0"/>
    <n v="80"/>
    <n v="80"/>
    <s v="ST"/>
    <n v="28.18"/>
    <n v="2254.4"/>
    <n v="1852.8"/>
    <s v="EUR"/>
  </r>
  <r>
    <s v=".1~301"/>
    <n v="301"/>
    <s v="D2"/>
    <x v="4"/>
    <s v="04"/>
    <x v="39"/>
    <n v="9"/>
    <n v="44"/>
    <s v="1670"/>
    <s v="1"/>
    <x v="0"/>
    <s v="North"/>
    <s v="16"/>
    <x v="4"/>
    <x v="4"/>
    <n v="23"/>
    <n v="23"/>
    <s v="ST"/>
    <n v="67.069999999999993"/>
    <n v="1542.61"/>
    <n v="1391.04"/>
    <s v="EUR"/>
  </r>
  <r>
    <s v=".1~302"/>
    <n v="302"/>
    <s v="D2"/>
    <x v="4"/>
    <s v="04"/>
    <x v="39"/>
    <n v="9"/>
    <n v="44"/>
    <s v="1670"/>
    <s v="2"/>
    <x v="0"/>
    <s v="North"/>
    <s v="16"/>
    <x v="4"/>
    <x v="4"/>
    <n v="23"/>
    <n v="23"/>
    <s v="ST"/>
    <n v="67.069999999999993"/>
    <n v="1542.61"/>
    <n v="1391.04"/>
    <s v="EUR"/>
  </r>
  <r>
    <s v=".1~303"/>
    <n v="303"/>
    <s v="D2"/>
    <x v="4"/>
    <s v="04"/>
    <x v="39"/>
    <n v="9"/>
    <n v="44"/>
    <s v="1663"/>
    <s v="1"/>
    <x v="2"/>
    <s v="West"/>
    <s v="16"/>
    <x v="0"/>
    <x v="0"/>
    <n v="20"/>
    <n v="20"/>
    <s v="ST"/>
    <n v="28.18"/>
    <n v="563.6"/>
    <n v="463.2"/>
    <s v="EUR"/>
  </r>
  <r>
    <s v=".1~304"/>
    <n v="304"/>
    <s v="D2"/>
    <x v="4"/>
    <s v="04"/>
    <x v="39"/>
    <n v="9"/>
    <n v="44"/>
    <s v="1673"/>
    <s v="3"/>
    <x v="2"/>
    <s v="West"/>
    <s v="16"/>
    <x v="3"/>
    <x v="3"/>
    <n v="23"/>
    <n v="23"/>
    <s v="ST"/>
    <n v="79.87"/>
    <n v="1837.01"/>
    <n v="1680.15"/>
    <s v="EUR"/>
  </r>
  <r>
    <s v=".1~305"/>
    <n v="305"/>
    <s v="D2"/>
    <x v="4"/>
    <s v="04"/>
    <x v="39"/>
    <n v="9"/>
    <n v="44"/>
    <s v="1673"/>
    <s v="2"/>
    <x v="2"/>
    <s v="West"/>
    <s v="16"/>
    <x v="2"/>
    <x v="2"/>
    <n v="21"/>
    <n v="21"/>
    <s v="ST"/>
    <n v="91.58"/>
    <n v="1923.18"/>
    <n v="1751.4"/>
    <s v="EUR"/>
  </r>
  <r>
    <s v=".1~306"/>
    <n v="306"/>
    <s v="D2"/>
    <x v="4"/>
    <s v="04"/>
    <x v="39"/>
    <n v="9"/>
    <n v="44"/>
    <s v="1663"/>
    <s v="2"/>
    <x v="2"/>
    <s v="West"/>
    <s v="16"/>
    <x v="2"/>
    <x v="2"/>
    <n v="21"/>
    <n v="21"/>
    <s v="ST"/>
    <n v="91.58"/>
    <n v="1923.18"/>
    <n v="1751.4"/>
    <s v="EUR"/>
  </r>
  <r>
    <s v=".1~307"/>
    <n v="307"/>
    <s v="D2"/>
    <x v="4"/>
    <s v="04"/>
    <x v="39"/>
    <n v="9"/>
    <n v="44"/>
    <s v="1673"/>
    <s v="1"/>
    <x v="2"/>
    <s v="West"/>
    <s v="16"/>
    <x v="4"/>
    <x v="4"/>
    <n v="29"/>
    <n v="29"/>
    <s v="ST"/>
    <n v="67.069999999999993"/>
    <n v="1945.03"/>
    <n v="1753.92"/>
    <s v="EUR"/>
  </r>
  <r>
    <s v=".1~308"/>
    <n v="308"/>
    <s v="D2"/>
    <x v="4"/>
    <s v="05"/>
    <x v="40"/>
    <n v="9"/>
    <n v="45"/>
    <s v="1683"/>
    <s v="2"/>
    <x v="0"/>
    <s v="North"/>
    <s v="16"/>
    <x v="0"/>
    <x v="0"/>
    <n v="8"/>
    <n v="8"/>
    <s v="ST"/>
    <n v="28.18"/>
    <n v="225.44"/>
    <n v="185.28"/>
    <s v="EUR"/>
  </r>
  <r>
    <s v=".1~309"/>
    <n v="309"/>
    <s v="D2"/>
    <x v="4"/>
    <s v="05"/>
    <x v="40"/>
    <n v="9"/>
    <n v="45"/>
    <s v="1683"/>
    <s v="1"/>
    <x v="0"/>
    <s v="North"/>
    <s v="16"/>
    <x v="0"/>
    <x v="0"/>
    <n v="71"/>
    <n v="71"/>
    <s v="ST"/>
    <n v="28.18"/>
    <n v="2000.78"/>
    <n v="1644.36"/>
    <s v="EUR"/>
  </r>
  <r>
    <s v=".1~310"/>
    <n v="310"/>
    <s v="D2"/>
    <x v="4"/>
    <s v="05"/>
    <x v="40"/>
    <n v="9"/>
    <n v="45"/>
    <s v="1675"/>
    <s v="2"/>
    <x v="0"/>
    <s v="North"/>
    <s v="16"/>
    <x v="3"/>
    <x v="3"/>
    <n v="27"/>
    <n v="27"/>
    <s v="ST"/>
    <n v="79.87"/>
    <n v="2156.4899999999998"/>
    <n v="1972.35"/>
    <s v="EUR"/>
  </r>
  <r>
    <s v=".1~311"/>
    <n v="311"/>
    <s v="D2"/>
    <x v="4"/>
    <s v="05"/>
    <x v="40"/>
    <n v="9"/>
    <n v="45"/>
    <s v="1675"/>
    <s v="1"/>
    <x v="0"/>
    <s v="North"/>
    <s v="16"/>
    <x v="1"/>
    <x v="1"/>
    <n v="71"/>
    <n v="71"/>
    <s v="ST"/>
    <n v="31.45"/>
    <n v="2232.9499999999998"/>
    <n v="1852.39"/>
    <s v="EUR"/>
  </r>
  <r>
    <s v=".1~312"/>
    <n v="312"/>
    <s v="D2"/>
    <x v="4"/>
    <s v="05"/>
    <x v="40"/>
    <n v="9"/>
    <n v="45"/>
    <s v="1686"/>
    <s v="2"/>
    <x v="1"/>
    <s v="South"/>
    <s v="16"/>
    <x v="1"/>
    <x v="1"/>
    <n v="75"/>
    <n v="75"/>
    <s v="ST"/>
    <n v="31.45"/>
    <n v="2358.75"/>
    <n v="1956.75"/>
    <s v="EUR"/>
  </r>
  <r>
    <s v=".1~313"/>
    <n v="313"/>
    <s v="D2"/>
    <x v="4"/>
    <s v="05"/>
    <x v="40"/>
    <n v="9"/>
    <n v="45"/>
    <s v="1686"/>
    <s v="1"/>
    <x v="1"/>
    <s v="South"/>
    <s v="16"/>
    <x v="1"/>
    <x v="1"/>
    <n v="55"/>
    <n v="55"/>
    <s v="ST"/>
    <n v="31.45"/>
    <n v="1729.75"/>
    <n v="1434.95"/>
    <s v="EUR"/>
  </r>
  <r>
    <s v=".1~314"/>
    <n v="314"/>
    <s v="D2"/>
    <x v="4"/>
    <s v="05"/>
    <x v="40"/>
    <n v="9"/>
    <n v="45"/>
    <s v="1678"/>
    <s v="1"/>
    <x v="2"/>
    <s v="West"/>
    <s v="16"/>
    <x v="1"/>
    <x v="1"/>
    <n v="71"/>
    <n v="71"/>
    <s v="ST"/>
    <n v="31.45"/>
    <n v="2232.9499999999998"/>
    <n v="1852.39"/>
    <s v="EUR"/>
  </r>
  <r>
    <s v=".1~315"/>
    <n v="315"/>
    <s v="D2"/>
    <x v="4"/>
    <s v="05"/>
    <x v="40"/>
    <n v="9"/>
    <n v="45"/>
    <s v="1678"/>
    <s v="2"/>
    <x v="2"/>
    <s v="West"/>
    <s v="16"/>
    <x v="2"/>
    <x v="2"/>
    <n v="18"/>
    <n v="18"/>
    <s v="ST"/>
    <n v="91.58"/>
    <n v="1648.44"/>
    <n v="1501.2"/>
    <s v="EUR"/>
  </r>
  <r>
    <s v=".1~316"/>
    <n v="316"/>
    <s v="D2"/>
    <x v="4"/>
    <s v="06"/>
    <x v="41"/>
    <n v="10"/>
    <n v="46"/>
    <s v="1694"/>
    <s v="1"/>
    <x v="0"/>
    <s v="North"/>
    <s v="16"/>
    <x v="0"/>
    <x v="0"/>
    <n v="35"/>
    <n v="35"/>
    <s v="ST"/>
    <n v="28.18"/>
    <n v="986.3"/>
    <n v="810.6"/>
    <s v="EUR"/>
  </r>
  <r>
    <s v=".1~317"/>
    <n v="317"/>
    <s v="D2"/>
    <x v="4"/>
    <s v="06"/>
    <x v="41"/>
    <n v="10"/>
    <n v="46"/>
    <s v="1690"/>
    <s v="1"/>
    <x v="0"/>
    <s v="North"/>
    <s v="16"/>
    <x v="0"/>
    <x v="0"/>
    <n v="77"/>
    <n v="77"/>
    <s v="ST"/>
    <n v="28.18"/>
    <n v="2169.86"/>
    <n v="1783.32"/>
    <s v="EUR"/>
  </r>
  <r>
    <s v=".1~318"/>
    <n v="318"/>
    <s v="D2"/>
    <x v="4"/>
    <s v="06"/>
    <x v="41"/>
    <n v="10"/>
    <n v="46"/>
    <s v="1690"/>
    <s v="4"/>
    <x v="0"/>
    <s v="North"/>
    <s v="16"/>
    <x v="0"/>
    <x v="0"/>
    <n v="79"/>
    <n v="79"/>
    <s v="ST"/>
    <n v="28.18"/>
    <n v="2226.2199999999998"/>
    <n v="1829.64"/>
    <s v="EUR"/>
  </r>
  <r>
    <s v=".1~319"/>
    <n v="319"/>
    <s v="D2"/>
    <x v="4"/>
    <s v="06"/>
    <x v="41"/>
    <n v="10"/>
    <n v="46"/>
    <s v="1690"/>
    <s v="3"/>
    <x v="0"/>
    <s v="North"/>
    <s v="16"/>
    <x v="1"/>
    <x v="1"/>
    <n v="70"/>
    <n v="70"/>
    <s v="ST"/>
    <n v="31.45"/>
    <n v="2201.5"/>
    <n v="1826.3"/>
    <s v="EUR"/>
  </r>
  <r>
    <s v=".1~320"/>
    <n v="320"/>
    <s v="D2"/>
    <x v="4"/>
    <s v="06"/>
    <x v="41"/>
    <n v="10"/>
    <n v="46"/>
    <s v="1690"/>
    <s v="5"/>
    <x v="0"/>
    <s v="North"/>
    <s v="16"/>
    <x v="1"/>
    <x v="1"/>
    <n v="9"/>
    <n v="9"/>
    <s v="ST"/>
    <n v="31.45"/>
    <n v="283.05"/>
    <n v="234.81"/>
    <s v="EUR"/>
  </r>
  <r>
    <s v=".1~321"/>
    <n v="321"/>
    <s v="D2"/>
    <x v="4"/>
    <s v="06"/>
    <x v="41"/>
    <n v="10"/>
    <n v="46"/>
    <s v="1690"/>
    <s v="2"/>
    <x v="0"/>
    <s v="North"/>
    <s v="16"/>
    <x v="5"/>
    <x v="5"/>
    <n v="50"/>
    <n v="50"/>
    <s v="ST"/>
    <n v="48.5"/>
    <n v="2425"/>
    <n v="2182.5"/>
    <s v="EUR"/>
  </r>
  <r>
    <s v=".1~322"/>
    <n v="322"/>
    <s v="D2"/>
    <x v="4"/>
    <s v="06"/>
    <x v="41"/>
    <n v="10"/>
    <n v="46"/>
    <s v="1700"/>
    <s v="1"/>
    <x v="1"/>
    <s v="South"/>
    <s v="16"/>
    <x v="5"/>
    <x v="5"/>
    <n v="30"/>
    <n v="30"/>
    <s v="ST"/>
    <n v="48.5"/>
    <n v="1455"/>
    <n v="1309.5"/>
    <s v="EUR"/>
  </r>
  <r>
    <s v=".1~323"/>
    <n v="323"/>
    <s v="D2"/>
    <x v="4"/>
    <s v="06"/>
    <x v="41"/>
    <n v="10"/>
    <n v="46"/>
    <s v="1697"/>
    <s v="1"/>
    <x v="2"/>
    <s v="West"/>
    <s v="16"/>
    <x v="4"/>
    <x v="4"/>
    <n v="32"/>
    <n v="32"/>
    <s v="ST"/>
    <n v="67.069999999999993"/>
    <n v="2146.2399999999998"/>
    <n v="1935.36"/>
    <s v="EUR"/>
  </r>
  <r>
    <s v=".1~324"/>
    <n v="324"/>
    <s v="D2"/>
    <x v="4"/>
    <s v="07"/>
    <x v="42"/>
    <n v="10"/>
    <n v="47"/>
    <s v="1704"/>
    <s v="2"/>
    <x v="0"/>
    <s v="North"/>
    <s v="16"/>
    <x v="0"/>
    <x v="0"/>
    <n v="6"/>
    <n v="6"/>
    <s v="ST"/>
    <n v="28.18"/>
    <n v="169.08"/>
    <n v="139.80000000000001"/>
    <s v="EUR"/>
  </r>
  <r>
    <s v=".1~325"/>
    <n v="325"/>
    <s v="D2"/>
    <x v="4"/>
    <s v="07"/>
    <x v="42"/>
    <n v="10"/>
    <n v="47"/>
    <s v="1704"/>
    <s v="1"/>
    <x v="0"/>
    <s v="North"/>
    <s v="16"/>
    <x v="0"/>
    <x v="0"/>
    <n v="73"/>
    <n v="73"/>
    <s v="ST"/>
    <n v="28.18"/>
    <n v="2057.14"/>
    <n v="1700.9"/>
    <s v="EUR"/>
  </r>
  <r>
    <s v=".1~326"/>
    <n v="326"/>
    <s v="D2"/>
    <x v="4"/>
    <s v="07"/>
    <x v="42"/>
    <n v="10"/>
    <n v="47"/>
    <s v="1712"/>
    <s v="1"/>
    <x v="1"/>
    <s v="South"/>
    <s v="16"/>
    <x v="4"/>
    <x v="4"/>
    <n v="31"/>
    <n v="31"/>
    <s v="ST"/>
    <n v="67.069999999999993"/>
    <n v="2079.17"/>
    <n v="1883.87"/>
    <s v="EUR"/>
  </r>
  <r>
    <s v=".1~327"/>
    <n v="327"/>
    <s v="D2"/>
    <x v="4"/>
    <s v="07"/>
    <x v="42"/>
    <n v="10"/>
    <n v="47"/>
    <s v="1708"/>
    <s v="1"/>
    <x v="2"/>
    <s v="West"/>
    <s v="16"/>
    <x v="2"/>
    <x v="2"/>
    <n v="17"/>
    <n v="17"/>
    <s v="ST"/>
    <n v="91.58"/>
    <n v="1556.86"/>
    <n v="1427.15"/>
    <s v="EUR"/>
  </r>
  <r>
    <s v=".1~328"/>
    <n v="328"/>
    <s v="D2"/>
    <x v="4"/>
    <s v="08"/>
    <x v="43"/>
    <n v="10"/>
    <n v="48"/>
    <s v="1720"/>
    <s v="1"/>
    <x v="0"/>
    <s v="North"/>
    <s v="16"/>
    <x v="0"/>
    <x v="0"/>
    <n v="57"/>
    <n v="57"/>
    <s v="ST"/>
    <n v="28.18"/>
    <n v="1606.26"/>
    <n v="1328.1"/>
    <s v="EUR"/>
  </r>
  <r>
    <s v=".1~329"/>
    <n v="329"/>
    <s v="D2"/>
    <x v="4"/>
    <s v="08"/>
    <x v="43"/>
    <n v="10"/>
    <n v="48"/>
    <s v="1718"/>
    <s v="1"/>
    <x v="0"/>
    <s v="North"/>
    <s v="16"/>
    <x v="0"/>
    <x v="0"/>
    <n v="66"/>
    <n v="66"/>
    <s v="ST"/>
    <n v="28.18"/>
    <n v="1859.88"/>
    <n v="1537.8"/>
    <s v="EUR"/>
  </r>
  <r>
    <s v=".1~330"/>
    <n v="330"/>
    <s v="D2"/>
    <x v="4"/>
    <s v="08"/>
    <x v="43"/>
    <n v="10"/>
    <n v="48"/>
    <s v="1720"/>
    <s v="2"/>
    <x v="0"/>
    <s v="North"/>
    <s v="16"/>
    <x v="3"/>
    <x v="3"/>
    <n v="21"/>
    <n v="21"/>
    <s v="ST"/>
    <n v="79.87"/>
    <n v="1677.27"/>
    <n v="1534.05"/>
    <s v="EUR"/>
  </r>
  <r>
    <s v=".1~331"/>
    <n v="331"/>
    <s v="D2"/>
    <x v="4"/>
    <s v="08"/>
    <x v="43"/>
    <n v="10"/>
    <n v="48"/>
    <s v="1718"/>
    <s v="2"/>
    <x v="0"/>
    <s v="North"/>
    <s v="16"/>
    <x v="1"/>
    <x v="1"/>
    <n v="48"/>
    <n v="48"/>
    <s v="ST"/>
    <n v="31.45"/>
    <n v="1509.6"/>
    <n v="1259.52"/>
    <s v="EUR"/>
  </r>
  <r>
    <s v=".1~332"/>
    <n v="332"/>
    <s v="D2"/>
    <x v="4"/>
    <s v="08"/>
    <x v="43"/>
    <n v="10"/>
    <n v="48"/>
    <s v="1733"/>
    <s v="1"/>
    <x v="1"/>
    <s v="South"/>
    <s v="16"/>
    <x v="3"/>
    <x v="3"/>
    <n v="29"/>
    <n v="29"/>
    <s v="ST"/>
    <n v="79.87"/>
    <n v="2316.23"/>
    <n v="2118.4499999999998"/>
    <s v="EUR"/>
  </r>
  <r>
    <s v=".1~333"/>
    <n v="333"/>
    <s v="D2"/>
    <x v="4"/>
    <s v="08"/>
    <x v="43"/>
    <n v="10"/>
    <n v="48"/>
    <s v="1730"/>
    <s v="1"/>
    <x v="1"/>
    <s v="South"/>
    <s v="16"/>
    <x v="1"/>
    <x v="1"/>
    <n v="20"/>
    <n v="20"/>
    <s v="ST"/>
    <n v="31.45"/>
    <n v="629"/>
    <n v="524.79999999999995"/>
    <s v="EUR"/>
  </r>
  <r>
    <s v=".1~334"/>
    <n v="334"/>
    <s v="D2"/>
    <x v="4"/>
    <s v="08"/>
    <x v="43"/>
    <n v="10"/>
    <n v="48"/>
    <s v="1733"/>
    <s v="3"/>
    <x v="1"/>
    <s v="South"/>
    <s v="16"/>
    <x v="1"/>
    <x v="1"/>
    <n v="69"/>
    <n v="69"/>
    <s v="ST"/>
    <n v="31.45"/>
    <n v="2170.0500000000002"/>
    <n v="1810.56"/>
    <s v="EUR"/>
  </r>
  <r>
    <s v=".1~335"/>
    <n v="335"/>
    <s v="D2"/>
    <x v="4"/>
    <s v="08"/>
    <x v="43"/>
    <n v="10"/>
    <n v="48"/>
    <s v="1733"/>
    <s v="4"/>
    <x v="1"/>
    <s v="South"/>
    <s v="16"/>
    <x v="4"/>
    <x v="4"/>
    <n v="31"/>
    <n v="31"/>
    <s v="ST"/>
    <n v="67.069999999999993"/>
    <n v="2079.17"/>
    <n v="1883.87"/>
    <s v="EUR"/>
  </r>
  <r>
    <s v=".1~336"/>
    <n v="336"/>
    <s v="D2"/>
    <x v="4"/>
    <s v="08"/>
    <x v="43"/>
    <n v="10"/>
    <n v="48"/>
    <s v="1733"/>
    <s v="2"/>
    <x v="1"/>
    <s v="South"/>
    <s v="16"/>
    <x v="5"/>
    <x v="5"/>
    <n v="30"/>
    <n v="30"/>
    <s v="ST"/>
    <n v="48.5"/>
    <n v="1455"/>
    <n v="1311.3"/>
    <s v="EUR"/>
  </r>
  <r>
    <s v=".1~337"/>
    <n v="337"/>
    <s v="D2"/>
    <x v="4"/>
    <s v="08"/>
    <x v="43"/>
    <n v="10"/>
    <n v="48"/>
    <s v="1723"/>
    <s v="5"/>
    <x v="2"/>
    <s v="West"/>
    <s v="16"/>
    <x v="0"/>
    <x v="0"/>
    <n v="71"/>
    <n v="71"/>
    <s v="ST"/>
    <n v="28.18"/>
    <n v="2000.78"/>
    <n v="1654.3"/>
    <s v="EUR"/>
  </r>
  <r>
    <s v=".1~338"/>
    <n v="338"/>
    <s v="D2"/>
    <x v="4"/>
    <s v="08"/>
    <x v="43"/>
    <n v="10"/>
    <n v="48"/>
    <s v="1727"/>
    <s v="1"/>
    <x v="2"/>
    <s v="West"/>
    <s v="16"/>
    <x v="1"/>
    <x v="1"/>
    <n v="43"/>
    <n v="43"/>
    <s v="ST"/>
    <n v="31.45"/>
    <n v="1352.35"/>
    <n v="1128.32"/>
    <s v="EUR"/>
  </r>
  <r>
    <s v=".1~339"/>
    <n v="339"/>
    <s v="D2"/>
    <x v="4"/>
    <s v="08"/>
    <x v="43"/>
    <n v="10"/>
    <n v="48"/>
    <s v="1723"/>
    <s v="4"/>
    <x v="2"/>
    <s v="West"/>
    <s v="16"/>
    <x v="1"/>
    <x v="1"/>
    <n v="57"/>
    <n v="57"/>
    <s v="ST"/>
    <n v="31.45"/>
    <n v="1792.65"/>
    <n v="1495.68"/>
    <s v="EUR"/>
  </r>
  <r>
    <s v=".1~340"/>
    <n v="340"/>
    <s v="D2"/>
    <x v="4"/>
    <s v="08"/>
    <x v="43"/>
    <n v="10"/>
    <n v="48"/>
    <s v="1723"/>
    <s v="3"/>
    <x v="2"/>
    <s v="West"/>
    <s v="16"/>
    <x v="2"/>
    <x v="2"/>
    <n v="18"/>
    <n v="18"/>
    <s v="ST"/>
    <n v="91.58"/>
    <n v="1648.44"/>
    <n v="1511.1"/>
    <s v="EUR"/>
  </r>
  <r>
    <s v=".1~341"/>
    <n v="341"/>
    <s v="D2"/>
    <x v="4"/>
    <s v="08"/>
    <x v="43"/>
    <n v="10"/>
    <n v="48"/>
    <s v="1723"/>
    <s v="2"/>
    <x v="2"/>
    <s v="West"/>
    <s v="16"/>
    <x v="2"/>
    <x v="2"/>
    <n v="20"/>
    <n v="20"/>
    <s v="ST"/>
    <n v="91.58"/>
    <n v="1831.6"/>
    <n v="1679"/>
    <s v="EUR"/>
  </r>
  <r>
    <s v=".1~342"/>
    <n v="342"/>
    <s v="D2"/>
    <x v="4"/>
    <s v="08"/>
    <x v="43"/>
    <n v="10"/>
    <n v="48"/>
    <s v="1723"/>
    <s v="1"/>
    <x v="2"/>
    <s v="West"/>
    <s v="16"/>
    <x v="4"/>
    <x v="4"/>
    <n v="35"/>
    <n v="35"/>
    <s v="ST"/>
    <n v="67.069999999999993"/>
    <n v="2347.4499999999998"/>
    <n v="2126.9499999999998"/>
    <s v="EUR"/>
  </r>
  <r>
    <s v=".1~343"/>
    <n v="343"/>
    <s v="D2"/>
    <x v="4"/>
    <s v="08"/>
    <x v="43"/>
    <n v="10"/>
    <n v="48"/>
    <s v="1727"/>
    <s v="2"/>
    <x v="2"/>
    <s v="West"/>
    <s v="16"/>
    <x v="5"/>
    <x v="5"/>
    <n v="30"/>
    <n v="30"/>
    <s v="ST"/>
    <n v="48.5"/>
    <n v="1455"/>
    <n v="1311.3"/>
    <s v="EUR"/>
  </r>
  <r>
    <s v=".1~344"/>
    <n v="344"/>
    <s v="D2"/>
    <x v="4"/>
    <s v="09"/>
    <x v="44"/>
    <n v="10"/>
    <n v="49"/>
    <s v="1745"/>
    <s v="2"/>
    <x v="0"/>
    <s v="North"/>
    <s v="16"/>
    <x v="0"/>
    <x v="0"/>
    <n v="82"/>
    <n v="82"/>
    <s v="ST"/>
    <n v="28.18"/>
    <n v="2310.7600000000002"/>
    <n v="1910.6"/>
    <s v="EUR"/>
  </r>
  <r>
    <s v=".1~345"/>
    <n v="345"/>
    <s v="D2"/>
    <x v="4"/>
    <s v="09"/>
    <x v="44"/>
    <n v="10"/>
    <n v="49"/>
    <s v="1745"/>
    <s v="1"/>
    <x v="0"/>
    <s v="North"/>
    <s v="16"/>
    <x v="4"/>
    <x v="4"/>
    <n v="30"/>
    <n v="30"/>
    <s v="ST"/>
    <n v="67.069999999999993"/>
    <n v="2012.1"/>
    <n v="1823.1"/>
    <s v="EUR"/>
  </r>
  <r>
    <s v=".1~346"/>
    <n v="346"/>
    <s v="D2"/>
    <x v="4"/>
    <s v="09"/>
    <x v="44"/>
    <n v="10"/>
    <n v="49"/>
    <s v="1741"/>
    <s v="1"/>
    <x v="0"/>
    <s v="North"/>
    <s v="16"/>
    <x v="5"/>
    <x v="5"/>
    <n v="42"/>
    <n v="42"/>
    <s v="ST"/>
    <n v="48.5"/>
    <n v="2037"/>
    <n v="1835.82"/>
    <s v="EUR"/>
  </r>
  <r>
    <s v=".1~347"/>
    <n v="347"/>
    <s v="D2"/>
    <x v="4"/>
    <s v="09"/>
    <x v="44"/>
    <n v="10"/>
    <n v="49"/>
    <s v="1750"/>
    <s v="4"/>
    <x v="1"/>
    <s v="South"/>
    <s v="16"/>
    <x v="0"/>
    <x v="0"/>
    <n v="76"/>
    <n v="76"/>
    <s v="ST"/>
    <n v="28.18"/>
    <n v="2141.6799999999998"/>
    <n v="1770.8"/>
    <s v="EUR"/>
  </r>
  <r>
    <s v=".1~348"/>
    <n v="348"/>
    <s v="D2"/>
    <x v="4"/>
    <s v="09"/>
    <x v="44"/>
    <n v="10"/>
    <n v="49"/>
    <s v="1750"/>
    <s v="2"/>
    <x v="1"/>
    <s v="South"/>
    <s v="16"/>
    <x v="3"/>
    <x v="3"/>
    <n v="21"/>
    <n v="21"/>
    <s v="ST"/>
    <n v="79.87"/>
    <n v="1677.27"/>
    <n v="1534.05"/>
    <s v="EUR"/>
  </r>
  <r>
    <s v=".1~349"/>
    <n v="349"/>
    <s v="D2"/>
    <x v="4"/>
    <s v="09"/>
    <x v="44"/>
    <n v="10"/>
    <n v="49"/>
    <s v="1750"/>
    <s v="1"/>
    <x v="1"/>
    <s v="South"/>
    <s v="16"/>
    <x v="1"/>
    <x v="1"/>
    <n v="66"/>
    <n v="66"/>
    <s v="ST"/>
    <n v="31.45"/>
    <n v="2075.6999999999998"/>
    <n v="1731.84"/>
    <s v="EUR"/>
  </r>
  <r>
    <s v=".1~350"/>
    <n v="350"/>
    <s v="D2"/>
    <x v="4"/>
    <s v="09"/>
    <x v="44"/>
    <n v="10"/>
    <n v="49"/>
    <s v="1750"/>
    <s v="3"/>
    <x v="1"/>
    <s v="South"/>
    <s v="16"/>
    <x v="1"/>
    <x v="1"/>
    <n v="48"/>
    <n v="48"/>
    <s v="ST"/>
    <n v="31.45"/>
    <n v="1509.6"/>
    <n v="1259.52"/>
    <s v="EUR"/>
  </r>
  <r>
    <s v=".1~351"/>
    <n v="351"/>
    <s v="D2"/>
    <x v="4"/>
    <s v="09"/>
    <x v="44"/>
    <n v="10"/>
    <n v="49"/>
    <s v="1737"/>
    <s v="2"/>
    <x v="2"/>
    <s v="West"/>
    <s v="16"/>
    <x v="2"/>
    <x v="2"/>
    <n v="4"/>
    <n v="4"/>
    <s v="ST"/>
    <n v="91.58"/>
    <n v="366.32"/>
    <n v="335.8"/>
    <s v="EUR"/>
  </r>
  <r>
    <s v=".1~352"/>
    <n v="352"/>
    <s v="D2"/>
    <x v="4"/>
    <s v="09"/>
    <x v="44"/>
    <n v="10"/>
    <n v="49"/>
    <s v="1737"/>
    <s v="1"/>
    <x v="2"/>
    <s v="West"/>
    <s v="16"/>
    <x v="2"/>
    <x v="2"/>
    <n v="18"/>
    <n v="18"/>
    <s v="ST"/>
    <n v="91.58"/>
    <n v="1648.44"/>
    <n v="1511.1"/>
    <s v="EUR"/>
  </r>
  <r>
    <s v=".1~353"/>
    <n v="353"/>
    <s v="D2"/>
    <x v="4"/>
    <s v="10"/>
    <x v="45"/>
    <n v="10"/>
    <n v="50"/>
    <s v="1759"/>
    <s v="1"/>
    <x v="0"/>
    <s v="North"/>
    <s v="16"/>
    <x v="0"/>
    <x v="0"/>
    <n v="77"/>
    <n v="77"/>
    <s v="ST"/>
    <n v="28.18"/>
    <n v="2169.86"/>
    <n v="1794.1"/>
    <s v="EUR"/>
  </r>
  <r>
    <s v=".1~354"/>
    <n v="354"/>
    <s v="D2"/>
    <x v="4"/>
    <s v="10"/>
    <x v="45"/>
    <n v="10"/>
    <n v="50"/>
    <s v="1759"/>
    <s v="2"/>
    <x v="0"/>
    <s v="North"/>
    <s v="16"/>
    <x v="2"/>
    <x v="2"/>
    <n v="22"/>
    <n v="22"/>
    <s v="ST"/>
    <n v="91.58"/>
    <n v="2014.76"/>
    <n v="1846.9"/>
    <s v="EUR"/>
  </r>
  <r>
    <s v=".1~355"/>
    <n v="355"/>
    <s v="D2"/>
    <x v="4"/>
    <s v="10"/>
    <x v="45"/>
    <n v="10"/>
    <n v="50"/>
    <s v="1759"/>
    <s v="3"/>
    <x v="0"/>
    <s v="North"/>
    <s v="16"/>
    <x v="4"/>
    <x v="4"/>
    <n v="20"/>
    <n v="20"/>
    <s v="ST"/>
    <n v="67.069999999999993"/>
    <n v="1341.4"/>
    <n v="1215.4000000000001"/>
    <s v="EUR"/>
  </r>
  <r>
    <s v=".1~356"/>
    <n v="356"/>
    <s v="D2"/>
    <x v="4"/>
    <s v="10"/>
    <x v="45"/>
    <n v="10"/>
    <n v="50"/>
    <s v="1759"/>
    <s v="4"/>
    <x v="0"/>
    <s v="North"/>
    <s v="16"/>
    <x v="5"/>
    <x v="5"/>
    <n v="8"/>
    <n v="8"/>
    <s v="ST"/>
    <n v="48.5"/>
    <n v="388"/>
    <n v="349.68"/>
    <s v="EUR"/>
  </r>
  <r>
    <s v=".1~357"/>
    <n v="357"/>
    <s v="D2"/>
    <x v="4"/>
    <s v="10"/>
    <x v="45"/>
    <n v="10"/>
    <n v="50"/>
    <s v="1764"/>
    <s v="2"/>
    <x v="1"/>
    <s v="South"/>
    <s v="16"/>
    <x v="3"/>
    <x v="3"/>
    <n v="24"/>
    <n v="24"/>
    <s v="ST"/>
    <n v="79.87"/>
    <n v="1916.88"/>
    <n v="1753.2"/>
    <s v="EUR"/>
  </r>
  <r>
    <s v=".1~358"/>
    <n v="358"/>
    <s v="D2"/>
    <x v="4"/>
    <s v="10"/>
    <x v="45"/>
    <n v="10"/>
    <n v="50"/>
    <s v="1764"/>
    <s v="4"/>
    <x v="1"/>
    <s v="South"/>
    <s v="16"/>
    <x v="1"/>
    <x v="1"/>
    <n v="69"/>
    <n v="69"/>
    <s v="ST"/>
    <n v="31.45"/>
    <n v="2170.0500000000002"/>
    <n v="1810.56"/>
    <s v="EUR"/>
  </r>
  <r>
    <s v=".1~359"/>
    <n v="359"/>
    <s v="D2"/>
    <x v="4"/>
    <s v="10"/>
    <x v="45"/>
    <n v="10"/>
    <n v="50"/>
    <s v="1766"/>
    <s v="2"/>
    <x v="1"/>
    <s v="South"/>
    <s v="16"/>
    <x v="2"/>
    <x v="2"/>
    <n v="21"/>
    <n v="21"/>
    <s v="ST"/>
    <n v="91.58"/>
    <n v="1923.18"/>
    <n v="1762.95"/>
    <s v="EUR"/>
  </r>
  <r>
    <s v=".1~360"/>
    <n v="360"/>
    <s v="D2"/>
    <x v="4"/>
    <s v="10"/>
    <x v="45"/>
    <n v="10"/>
    <n v="50"/>
    <s v="1764"/>
    <s v="1"/>
    <x v="1"/>
    <s v="South"/>
    <s v="16"/>
    <x v="4"/>
    <x v="4"/>
    <n v="29"/>
    <n v="29"/>
    <s v="ST"/>
    <n v="67.069999999999993"/>
    <n v="1945.03"/>
    <n v="1762.33"/>
    <s v="EUR"/>
  </r>
  <r>
    <s v=".1~361"/>
    <n v="361"/>
    <s v="D2"/>
    <x v="4"/>
    <s v="10"/>
    <x v="45"/>
    <n v="10"/>
    <n v="50"/>
    <s v="1766"/>
    <s v="1"/>
    <x v="1"/>
    <s v="South"/>
    <s v="16"/>
    <x v="4"/>
    <x v="4"/>
    <n v="12"/>
    <n v="12"/>
    <s v="ST"/>
    <n v="67.069999999999993"/>
    <n v="804.84"/>
    <n v="729.24"/>
    <s v="EUR"/>
  </r>
  <r>
    <s v=".1~362"/>
    <n v="362"/>
    <s v="D2"/>
    <x v="4"/>
    <s v="10"/>
    <x v="45"/>
    <n v="10"/>
    <n v="50"/>
    <s v="1764"/>
    <s v="3"/>
    <x v="1"/>
    <s v="South"/>
    <s v="16"/>
    <x v="4"/>
    <x v="4"/>
    <n v="34"/>
    <n v="34"/>
    <s v="ST"/>
    <n v="67.069999999999993"/>
    <n v="2280.38"/>
    <n v="2066.1799999999998"/>
    <s v="EUR"/>
  </r>
  <r>
    <s v=".1~363"/>
    <n v="363"/>
    <s v="D2"/>
    <x v="4"/>
    <s v="10"/>
    <x v="45"/>
    <n v="10"/>
    <n v="50"/>
    <s v="1755"/>
    <s v="4"/>
    <x v="2"/>
    <s v="West"/>
    <s v="16"/>
    <x v="0"/>
    <x v="0"/>
    <n v="68"/>
    <n v="68"/>
    <s v="ST"/>
    <n v="28.18"/>
    <n v="1916.24"/>
    <n v="1584.4"/>
    <s v="EUR"/>
  </r>
  <r>
    <s v=".1~364"/>
    <n v="364"/>
    <s v="D2"/>
    <x v="4"/>
    <s v="10"/>
    <x v="45"/>
    <n v="10"/>
    <n v="50"/>
    <s v="1755"/>
    <s v="1"/>
    <x v="2"/>
    <s v="West"/>
    <s v="16"/>
    <x v="3"/>
    <x v="3"/>
    <n v="25"/>
    <n v="25"/>
    <s v="ST"/>
    <n v="79.87"/>
    <n v="1996.75"/>
    <n v="1826.25"/>
    <s v="EUR"/>
  </r>
  <r>
    <s v=".1~365"/>
    <n v="365"/>
    <s v="D2"/>
    <x v="4"/>
    <s v="10"/>
    <x v="45"/>
    <n v="10"/>
    <n v="50"/>
    <s v="1755"/>
    <s v="2"/>
    <x v="2"/>
    <s v="West"/>
    <s v="16"/>
    <x v="2"/>
    <x v="2"/>
    <n v="17"/>
    <n v="17"/>
    <s v="ST"/>
    <n v="91.58"/>
    <n v="1556.86"/>
    <n v="1427.15"/>
    <s v="EUR"/>
  </r>
  <r>
    <s v=".1~366"/>
    <n v="366"/>
    <s v="D2"/>
    <x v="4"/>
    <s v="10"/>
    <x v="45"/>
    <n v="10"/>
    <n v="50"/>
    <s v="1755"/>
    <s v="3"/>
    <x v="2"/>
    <s v="West"/>
    <s v="16"/>
    <x v="4"/>
    <x v="4"/>
    <n v="37"/>
    <n v="37"/>
    <s v="ST"/>
    <n v="67.069999999999993"/>
    <n v="2481.59"/>
    <n v="2248.4899999999998"/>
    <s v="EUR"/>
  </r>
  <r>
    <s v=".1~367"/>
    <n v="367"/>
    <s v="D2"/>
    <x v="5"/>
    <s v="01"/>
    <x v="46"/>
    <n v="11"/>
    <n v="51"/>
    <s v="1780"/>
    <s v="2"/>
    <x v="0"/>
    <s v="North"/>
    <s v="16"/>
    <x v="0"/>
    <x v="0"/>
    <n v="67"/>
    <n v="67"/>
    <s v="ST"/>
    <n v="28.18"/>
    <n v="1888.06"/>
    <n v="1561.1"/>
    <s v="EUR"/>
  </r>
  <r>
    <s v=".1~368"/>
    <n v="368"/>
    <s v="D2"/>
    <x v="5"/>
    <s v="01"/>
    <x v="46"/>
    <n v="11"/>
    <n v="51"/>
    <s v="1770"/>
    <s v="2"/>
    <x v="0"/>
    <s v="North"/>
    <s v="16"/>
    <x v="0"/>
    <x v="0"/>
    <n v="55"/>
    <n v="55"/>
    <s v="ST"/>
    <n v="28.18"/>
    <n v="1549.9"/>
    <n v="1281.5"/>
    <s v="EUR"/>
  </r>
  <r>
    <s v=".1~369"/>
    <n v="369"/>
    <s v="D2"/>
    <x v="5"/>
    <s v="01"/>
    <x v="46"/>
    <n v="11"/>
    <n v="51"/>
    <s v="1780"/>
    <s v="1"/>
    <x v="0"/>
    <s v="North"/>
    <s v="16"/>
    <x v="1"/>
    <x v="1"/>
    <n v="68"/>
    <n v="68"/>
    <s v="ST"/>
    <n v="31.45"/>
    <n v="2138.6"/>
    <n v="1784.32"/>
    <s v="EUR"/>
  </r>
  <r>
    <s v=".1~370"/>
    <n v="370"/>
    <s v="D2"/>
    <x v="5"/>
    <s v="01"/>
    <x v="46"/>
    <n v="11"/>
    <n v="51"/>
    <s v="1770"/>
    <s v="3"/>
    <x v="0"/>
    <s v="North"/>
    <s v="16"/>
    <x v="1"/>
    <x v="1"/>
    <n v="70"/>
    <n v="70"/>
    <s v="ST"/>
    <n v="31.45"/>
    <n v="2201.5"/>
    <n v="1836.8"/>
    <s v="EUR"/>
  </r>
  <r>
    <s v=".1~371"/>
    <n v="371"/>
    <s v="D2"/>
    <x v="5"/>
    <s v="01"/>
    <x v="46"/>
    <n v="11"/>
    <n v="51"/>
    <s v="1780"/>
    <s v="3"/>
    <x v="0"/>
    <s v="North"/>
    <s v="16"/>
    <x v="2"/>
    <x v="2"/>
    <n v="8"/>
    <n v="8"/>
    <s v="ST"/>
    <n v="91.58"/>
    <n v="732.64"/>
    <n v="671.6"/>
    <s v="EUR"/>
  </r>
  <r>
    <s v=".1~372"/>
    <n v="372"/>
    <s v="D2"/>
    <x v="5"/>
    <s v="01"/>
    <x v="46"/>
    <n v="11"/>
    <n v="51"/>
    <s v="1770"/>
    <s v="1"/>
    <x v="0"/>
    <s v="North"/>
    <s v="16"/>
    <x v="4"/>
    <x v="4"/>
    <n v="30"/>
    <n v="30"/>
    <s v="ST"/>
    <n v="67.069999999999993"/>
    <n v="2012.1"/>
    <n v="1823.1"/>
    <s v="EUR"/>
  </r>
  <r>
    <s v=".1~373"/>
    <n v="373"/>
    <s v="D2"/>
    <x v="5"/>
    <s v="01"/>
    <x v="46"/>
    <n v="11"/>
    <n v="51"/>
    <s v="1770"/>
    <s v="4"/>
    <x v="0"/>
    <s v="North"/>
    <s v="16"/>
    <x v="5"/>
    <x v="5"/>
    <n v="4"/>
    <n v="4"/>
    <s v="ST"/>
    <n v="48.5"/>
    <n v="194"/>
    <n v="174.84"/>
    <s v="EUR"/>
  </r>
  <r>
    <s v=".1~374"/>
    <n v="374"/>
    <s v="D2"/>
    <x v="5"/>
    <s v="01"/>
    <x v="46"/>
    <n v="11"/>
    <n v="51"/>
    <s v="1777"/>
    <s v="1"/>
    <x v="1"/>
    <s v="South"/>
    <s v="16"/>
    <x v="1"/>
    <x v="1"/>
    <n v="13"/>
    <n v="13"/>
    <s v="ST"/>
    <n v="31.45"/>
    <n v="408.85"/>
    <n v="341.12"/>
    <s v="EUR"/>
  </r>
  <r>
    <s v=".1~375"/>
    <n v="375"/>
    <s v="D2"/>
    <x v="5"/>
    <s v="01"/>
    <x v="46"/>
    <n v="11"/>
    <n v="51"/>
    <s v="1774"/>
    <s v="1"/>
    <x v="1"/>
    <s v="South"/>
    <s v="16"/>
    <x v="1"/>
    <x v="1"/>
    <n v="56"/>
    <n v="56"/>
    <s v="ST"/>
    <n v="31.45"/>
    <n v="1761.2"/>
    <n v="1469.44"/>
    <s v="EUR"/>
  </r>
  <r>
    <s v=".1~376"/>
    <n v="376"/>
    <s v="D2"/>
    <x v="5"/>
    <s v="01"/>
    <x v="46"/>
    <n v="11"/>
    <n v="51"/>
    <s v="1774"/>
    <s v="2"/>
    <x v="1"/>
    <s v="South"/>
    <s v="16"/>
    <x v="1"/>
    <x v="1"/>
    <n v="72"/>
    <n v="72"/>
    <s v="ST"/>
    <n v="31.45"/>
    <n v="2264.4"/>
    <n v="1889.28"/>
    <s v="EUR"/>
  </r>
  <r>
    <s v=".1~377"/>
    <n v="377"/>
    <s v="D2"/>
    <x v="5"/>
    <s v="02"/>
    <x v="47"/>
    <n v="11"/>
    <n v="52"/>
    <s v="1793"/>
    <s v="3"/>
    <x v="0"/>
    <s v="North"/>
    <s v="16"/>
    <x v="0"/>
    <x v="0"/>
    <n v="74"/>
    <n v="74"/>
    <s v="ST"/>
    <n v="28.18"/>
    <n v="2085.3200000000002"/>
    <n v="1725.68"/>
    <s v="EUR"/>
  </r>
  <r>
    <s v=".1~378"/>
    <n v="378"/>
    <s v="D2"/>
    <x v="5"/>
    <s v="02"/>
    <x v="47"/>
    <n v="11"/>
    <n v="52"/>
    <s v="1793"/>
    <s v="1"/>
    <x v="0"/>
    <s v="North"/>
    <s v="16"/>
    <x v="0"/>
    <x v="0"/>
    <n v="82"/>
    <n v="82"/>
    <s v="ST"/>
    <n v="28.18"/>
    <n v="2310.7600000000002"/>
    <n v="1912.24"/>
    <s v="EUR"/>
  </r>
  <r>
    <s v=".1~379"/>
    <n v="379"/>
    <s v="D2"/>
    <x v="5"/>
    <s v="02"/>
    <x v="47"/>
    <n v="11"/>
    <n v="52"/>
    <s v="1798"/>
    <s v="3"/>
    <x v="0"/>
    <s v="North"/>
    <s v="16"/>
    <x v="0"/>
    <x v="0"/>
    <n v="80"/>
    <n v="80"/>
    <s v="ST"/>
    <n v="28.18"/>
    <n v="2254.4"/>
    <n v="1865.6"/>
    <s v="EUR"/>
  </r>
  <r>
    <s v=".1~380"/>
    <n v="380"/>
    <s v="D2"/>
    <x v="5"/>
    <s v="02"/>
    <x v="47"/>
    <n v="11"/>
    <n v="52"/>
    <s v="1798"/>
    <s v="1"/>
    <x v="0"/>
    <s v="North"/>
    <s v="16"/>
    <x v="1"/>
    <x v="1"/>
    <n v="23"/>
    <n v="23"/>
    <s v="ST"/>
    <n v="31.45"/>
    <n v="723.35"/>
    <n v="604.21"/>
    <s v="EUR"/>
  </r>
  <r>
    <s v=".1~381"/>
    <n v="381"/>
    <s v="D2"/>
    <x v="5"/>
    <s v="02"/>
    <x v="47"/>
    <n v="11"/>
    <n v="52"/>
    <s v="1793"/>
    <s v="2"/>
    <x v="0"/>
    <s v="North"/>
    <s v="16"/>
    <x v="2"/>
    <x v="2"/>
    <n v="26"/>
    <n v="26"/>
    <s v="ST"/>
    <n v="91.58"/>
    <n v="2381.08"/>
    <n v="2183.7399999999998"/>
    <s v="EUR"/>
  </r>
  <r>
    <s v=".1~382"/>
    <n v="382"/>
    <s v="D2"/>
    <x v="5"/>
    <s v="02"/>
    <x v="47"/>
    <n v="11"/>
    <n v="52"/>
    <s v="1798"/>
    <s v="2"/>
    <x v="0"/>
    <s v="North"/>
    <s v="16"/>
    <x v="4"/>
    <x v="4"/>
    <n v="29"/>
    <n v="29"/>
    <s v="ST"/>
    <n v="67.069999999999993"/>
    <n v="1945.03"/>
    <n v="1763.78"/>
    <s v="EUR"/>
  </r>
  <r>
    <s v=".1~383"/>
    <n v="383"/>
    <s v="D2"/>
    <x v="5"/>
    <s v="02"/>
    <x v="47"/>
    <n v="11"/>
    <n v="52"/>
    <s v="1791"/>
    <s v="1"/>
    <x v="1"/>
    <s v="South"/>
    <s v="16"/>
    <x v="1"/>
    <x v="1"/>
    <n v="27"/>
    <n v="27"/>
    <s v="ST"/>
    <n v="31.45"/>
    <n v="849.15"/>
    <n v="709.29"/>
    <s v="EUR"/>
  </r>
  <r>
    <s v=".1~384"/>
    <n v="384"/>
    <s v="D2"/>
    <x v="5"/>
    <s v="02"/>
    <x v="47"/>
    <n v="11"/>
    <n v="52"/>
    <s v="1796"/>
    <s v="1"/>
    <x v="1"/>
    <s v="South"/>
    <s v="16"/>
    <x v="4"/>
    <x v="4"/>
    <n v="28"/>
    <n v="28"/>
    <s v="ST"/>
    <n v="67.069999999999993"/>
    <n v="1877.96"/>
    <n v="1702.96"/>
    <s v="EUR"/>
  </r>
  <r>
    <s v=".1~385"/>
    <n v="385"/>
    <s v="D2"/>
    <x v="5"/>
    <s v="02"/>
    <x v="47"/>
    <n v="11"/>
    <n v="52"/>
    <s v="1787"/>
    <s v="1"/>
    <x v="2"/>
    <s v="West"/>
    <s v="16"/>
    <x v="2"/>
    <x v="2"/>
    <n v="26"/>
    <n v="26"/>
    <s v="ST"/>
    <n v="91.58"/>
    <n v="2381.08"/>
    <n v="2183.7399999999998"/>
    <s v="EUR"/>
  </r>
  <r>
    <s v=".1~386"/>
    <n v="386"/>
    <s v="D2"/>
    <x v="5"/>
    <s v="03"/>
    <x v="48"/>
    <n v="11"/>
    <n v="53"/>
    <s v="1805"/>
    <s v="1"/>
    <x v="0"/>
    <s v="North"/>
    <s v="16"/>
    <x v="0"/>
    <x v="0"/>
    <n v="18"/>
    <n v="18"/>
    <s v="ST"/>
    <n v="28.18"/>
    <n v="507.24"/>
    <n v="419.76"/>
    <s v="EUR"/>
  </r>
  <r>
    <s v=".1~387"/>
    <n v="387"/>
    <s v="D2"/>
    <x v="5"/>
    <s v="03"/>
    <x v="48"/>
    <n v="11"/>
    <n v="53"/>
    <s v="1805"/>
    <s v="3"/>
    <x v="0"/>
    <s v="North"/>
    <s v="16"/>
    <x v="3"/>
    <x v="3"/>
    <n v="25"/>
    <n v="25"/>
    <s v="ST"/>
    <n v="79.87"/>
    <n v="1996.75"/>
    <n v="1828"/>
    <s v="EUR"/>
  </r>
  <r>
    <s v=".1~388"/>
    <n v="388"/>
    <s v="D2"/>
    <x v="5"/>
    <s v="03"/>
    <x v="48"/>
    <n v="11"/>
    <n v="53"/>
    <s v="1808"/>
    <s v="1"/>
    <x v="1"/>
    <s v="South"/>
    <s v="16"/>
    <x v="4"/>
    <x v="4"/>
    <n v="23"/>
    <n v="23"/>
    <s v="ST"/>
    <n v="67.069999999999993"/>
    <n v="1542.61"/>
    <n v="1398.86"/>
    <s v="EUR"/>
  </r>
  <r>
    <s v=".1~389"/>
    <n v="389"/>
    <s v="D2"/>
    <x v="5"/>
    <s v="03"/>
    <x v="48"/>
    <n v="11"/>
    <n v="53"/>
    <s v="1808"/>
    <s v="2"/>
    <x v="1"/>
    <s v="South"/>
    <s v="16"/>
    <x v="4"/>
    <x v="4"/>
    <n v="9"/>
    <n v="9"/>
    <s v="ST"/>
    <n v="67.069999999999993"/>
    <n v="603.63"/>
    <n v="547.38"/>
    <s v="EUR"/>
  </r>
  <r>
    <s v=".1~390"/>
    <n v="390"/>
    <s v="D2"/>
    <x v="5"/>
    <s v="03"/>
    <x v="48"/>
    <n v="11"/>
    <n v="53"/>
    <s v="1801"/>
    <s v="4"/>
    <x v="2"/>
    <s v="West"/>
    <s v="16"/>
    <x v="0"/>
    <x v="0"/>
    <n v="78"/>
    <n v="78"/>
    <s v="ST"/>
    <n v="28.18"/>
    <n v="2198.04"/>
    <n v="1818.96"/>
    <s v="EUR"/>
  </r>
  <r>
    <s v=".1~391"/>
    <n v="391"/>
    <s v="D2"/>
    <x v="5"/>
    <s v="03"/>
    <x v="48"/>
    <n v="11"/>
    <n v="53"/>
    <s v="1801"/>
    <s v="1"/>
    <x v="2"/>
    <s v="West"/>
    <s v="16"/>
    <x v="2"/>
    <x v="2"/>
    <n v="20"/>
    <n v="20"/>
    <s v="ST"/>
    <n v="91.58"/>
    <n v="1831.6"/>
    <n v="1679.8"/>
    <s v="EUR"/>
  </r>
  <r>
    <s v=".1~392"/>
    <n v="392"/>
    <s v="D2"/>
    <x v="5"/>
    <s v="03"/>
    <x v="48"/>
    <n v="11"/>
    <n v="53"/>
    <s v="1801"/>
    <s v="3"/>
    <x v="2"/>
    <s v="West"/>
    <s v="16"/>
    <x v="5"/>
    <x v="5"/>
    <n v="31"/>
    <n v="31"/>
    <s v="ST"/>
    <n v="48.5"/>
    <n v="1503.5"/>
    <n v="1357.8"/>
    <s v="EUR"/>
  </r>
  <r>
    <s v=".1~393"/>
    <n v="393"/>
    <s v="D2"/>
    <x v="5"/>
    <s v="04"/>
    <x v="49"/>
    <n v="11"/>
    <n v="54"/>
    <s v="1819"/>
    <s v="2"/>
    <x v="0"/>
    <s v="North"/>
    <s v="16"/>
    <x v="0"/>
    <x v="0"/>
    <n v="53"/>
    <n v="53"/>
    <s v="ST"/>
    <n v="28.18"/>
    <n v="1493.54"/>
    <n v="1235.96"/>
    <s v="EUR"/>
  </r>
  <r>
    <s v=".1~394"/>
    <n v="394"/>
    <s v="D2"/>
    <x v="5"/>
    <s v="04"/>
    <x v="49"/>
    <n v="11"/>
    <n v="54"/>
    <s v="1819"/>
    <s v="4"/>
    <x v="0"/>
    <s v="North"/>
    <s v="16"/>
    <x v="0"/>
    <x v="0"/>
    <n v="56"/>
    <n v="56"/>
    <s v="ST"/>
    <n v="28.18"/>
    <n v="1578.08"/>
    <n v="1305.92"/>
    <s v="EUR"/>
  </r>
  <r>
    <s v=".1~395"/>
    <n v="395"/>
    <s v="D2"/>
    <x v="5"/>
    <s v="04"/>
    <x v="49"/>
    <n v="11"/>
    <n v="54"/>
    <s v="1819"/>
    <s v="1"/>
    <x v="0"/>
    <s v="North"/>
    <s v="16"/>
    <x v="3"/>
    <x v="3"/>
    <n v="6"/>
    <n v="6"/>
    <s v="ST"/>
    <n v="79.87"/>
    <n v="479.22"/>
    <n v="438.72"/>
    <s v="EUR"/>
  </r>
  <r>
    <s v=".1~396"/>
    <n v="396"/>
    <s v="D2"/>
    <x v="5"/>
    <s v="04"/>
    <x v="49"/>
    <n v="11"/>
    <n v="54"/>
    <s v="1819"/>
    <s v="3"/>
    <x v="0"/>
    <s v="North"/>
    <s v="16"/>
    <x v="1"/>
    <x v="1"/>
    <n v="75"/>
    <n v="75"/>
    <s v="ST"/>
    <n v="31.45"/>
    <n v="2358.75"/>
    <n v="1970.25"/>
    <s v="EUR"/>
  </r>
  <r>
    <s v=".1~397"/>
    <n v="397"/>
    <s v="D2"/>
    <x v="5"/>
    <s v="04"/>
    <x v="49"/>
    <n v="11"/>
    <n v="54"/>
    <s v="1819"/>
    <s v="5"/>
    <x v="0"/>
    <s v="North"/>
    <s v="16"/>
    <x v="5"/>
    <x v="5"/>
    <n v="45"/>
    <n v="45"/>
    <s v="ST"/>
    <n v="48.5"/>
    <n v="2182.5"/>
    <n v="1971"/>
    <s v="EUR"/>
  </r>
  <r>
    <s v=".1~398"/>
    <n v="398"/>
    <s v="D2"/>
    <x v="5"/>
    <s v="04"/>
    <x v="49"/>
    <n v="11"/>
    <n v="54"/>
    <s v="1815"/>
    <s v="1"/>
    <x v="0"/>
    <s v="North"/>
    <s v="16"/>
    <x v="5"/>
    <x v="5"/>
    <n v="32"/>
    <n v="32"/>
    <s v="ST"/>
    <n v="48.5"/>
    <n v="1552"/>
    <n v="1401.6"/>
    <s v="EUR"/>
  </r>
  <r>
    <s v=".1~399"/>
    <n v="399"/>
    <s v="D2"/>
    <x v="5"/>
    <s v="04"/>
    <x v="49"/>
    <n v="11"/>
    <n v="54"/>
    <s v="1828"/>
    <s v="3"/>
    <x v="1"/>
    <s v="South"/>
    <s v="16"/>
    <x v="1"/>
    <x v="1"/>
    <n v="56"/>
    <n v="56"/>
    <s v="ST"/>
    <n v="31.45"/>
    <n v="1761.2"/>
    <n v="1471.12"/>
    <s v="EUR"/>
  </r>
  <r>
    <s v=".1~400"/>
    <n v="400"/>
    <s v="D2"/>
    <x v="5"/>
    <s v="04"/>
    <x v="49"/>
    <n v="11"/>
    <n v="54"/>
    <s v="1828"/>
    <s v="1"/>
    <x v="1"/>
    <s v="South"/>
    <s v="16"/>
    <x v="1"/>
    <x v="1"/>
    <n v="64"/>
    <n v="64"/>
    <s v="ST"/>
    <n v="31.45"/>
    <n v="2012.8"/>
    <n v="1681.28"/>
    <s v="EUR"/>
  </r>
  <r>
    <s v=".1~401"/>
    <n v="401"/>
    <s v="D2"/>
    <x v="5"/>
    <s v="04"/>
    <x v="49"/>
    <n v="11"/>
    <n v="54"/>
    <s v="1828"/>
    <s v="2"/>
    <x v="1"/>
    <s v="South"/>
    <s v="16"/>
    <x v="4"/>
    <x v="4"/>
    <n v="36"/>
    <n v="36"/>
    <s v="ST"/>
    <n v="67.069999999999993"/>
    <n v="2414.52"/>
    <n v="2189.52"/>
    <s v="EUR"/>
  </r>
  <r>
    <s v=".1~402"/>
    <n v="402"/>
    <s v="D2"/>
    <x v="5"/>
    <s v="04"/>
    <x v="49"/>
    <n v="11"/>
    <n v="54"/>
    <s v="1811"/>
    <s v="2"/>
    <x v="2"/>
    <s v="West"/>
    <s v="16"/>
    <x v="2"/>
    <x v="2"/>
    <n v="8"/>
    <n v="8"/>
    <s v="ST"/>
    <n v="91.58"/>
    <n v="732.64"/>
    <n v="671.92"/>
    <s v="EUR"/>
  </r>
  <r>
    <s v=".1~403"/>
    <n v="403"/>
    <s v="D2"/>
    <x v="5"/>
    <s v="04"/>
    <x v="49"/>
    <n v="11"/>
    <n v="54"/>
    <s v="1811"/>
    <s v="1"/>
    <x v="2"/>
    <s v="West"/>
    <s v="16"/>
    <x v="2"/>
    <x v="2"/>
    <n v="18"/>
    <n v="18"/>
    <s v="ST"/>
    <n v="91.58"/>
    <n v="1648.44"/>
    <n v="1511.82"/>
    <s v="EUR"/>
  </r>
  <r>
    <s v=".1~404"/>
    <n v="404"/>
    <s v="D2"/>
    <x v="5"/>
    <s v="04"/>
    <x v="49"/>
    <n v="11"/>
    <n v="54"/>
    <s v="1824"/>
    <s v="1"/>
    <x v="2"/>
    <s v="West"/>
    <s v="16"/>
    <x v="4"/>
    <x v="4"/>
    <n v="23"/>
    <n v="23"/>
    <s v="ST"/>
    <n v="67.069999999999993"/>
    <n v="1542.61"/>
    <n v="1398.86"/>
    <s v="EUR"/>
  </r>
  <r>
    <s v=".1~405"/>
    <n v="405"/>
    <s v="D2"/>
    <x v="5"/>
    <s v="05"/>
    <x v="50"/>
    <n v="11"/>
    <n v="55"/>
    <s v="1829"/>
    <s v="1"/>
    <x v="0"/>
    <s v="North"/>
    <s v="16"/>
    <x v="0"/>
    <x v="0"/>
    <n v="77"/>
    <n v="77"/>
    <s v="ST"/>
    <n v="28.18"/>
    <n v="2169.86"/>
    <n v="1795.64"/>
    <s v="EUR"/>
  </r>
  <r>
    <s v=".1~406"/>
    <n v="406"/>
    <s v="D2"/>
    <x v="5"/>
    <s v="05"/>
    <x v="50"/>
    <n v="11"/>
    <n v="55"/>
    <s v="1838"/>
    <s v="1"/>
    <x v="0"/>
    <s v="North"/>
    <s v="16"/>
    <x v="0"/>
    <x v="0"/>
    <n v="78"/>
    <n v="78"/>
    <s v="ST"/>
    <n v="28.18"/>
    <n v="2198.04"/>
    <n v="1818.96"/>
    <s v="EUR"/>
  </r>
  <r>
    <s v=".1~407"/>
    <n v="407"/>
    <s v="D2"/>
    <x v="5"/>
    <s v="05"/>
    <x v="50"/>
    <n v="11"/>
    <n v="55"/>
    <s v="1829"/>
    <s v="2"/>
    <x v="0"/>
    <s v="North"/>
    <s v="16"/>
    <x v="4"/>
    <x v="4"/>
    <n v="26"/>
    <n v="26"/>
    <s v="ST"/>
    <n v="67.069999999999993"/>
    <n v="1743.82"/>
    <n v="1581.32"/>
    <s v="EUR"/>
  </r>
  <r>
    <s v=".1~408"/>
    <n v="408"/>
    <s v="D2"/>
    <x v="5"/>
    <s v="05"/>
    <x v="50"/>
    <n v="11"/>
    <n v="55"/>
    <s v="1846"/>
    <s v="1"/>
    <x v="1"/>
    <s v="South"/>
    <s v="16"/>
    <x v="1"/>
    <x v="1"/>
    <n v="67"/>
    <n v="67"/>
    <s v="ST"/>
    <n v="31.45"/>
    <n v="2107.15"/>
    <n v="1760.09"/>
    <s v="EUR"/>
  </r>
  <r>
    <s v=".1~409"/>
    <n v="409"/>
    <s v="D2"/>
    <x v="5"/>
    <s v="05"/>
    <x v="50"/>
    <n v="11"/>
    <n v="55"/>
    <s v="1842"/>
    <s v="2"/>
    <x v="1"/>
    <s v="South"/>
    <s v="16"/>
    <x v="1"/>
    <x v="1"/>
    <n v="47"/>
    <n v="47"/>
    <s v="ST"/>
    <n v="31.45"/>
    <n v="1478.15"/>
    <n v="1234.69"/>
    <s v="EUR"/>
  </r>
  <r>
    <s v=".1~410"/>
    <n v="410"/>
    <s v="D2"/>
    <x v="5"/>
    <s v="05"/>
    <x v="50"/>
    <n v="11"/>
    <n v="55"/>
    <s v="1842"/>
    <s v="1"/>
    <x v="1"/>
    <s v="South"/>
    <s v="16"/>
    <x v="1"/>
    <x v="1"/>
    <n v="53"/>
    <n v="53"/>
    <s v="ST"/>
    <n v="31.45"/>
    <n v="1666.85"/>
    <n v="1392.31"/>
    <s v="EUR"/>
  </r>
  <r>
    <s v=".1~411"/>
    <n v="411"/>
    <s v="D2"/>
    <x v="5"/>
    <s v="05"/>
    <x v="50"/>
    <n v="11"/>
    <n v="55"/>
    <s v="1833"/>
    <s v="3"/>
    <x v="2"/>
    <s v="West"/>
    <s v="16"/>
    <x v="2"/>
    <x v="2"/>
    <n v="4"/>
    <n v="4"/>
    <s v="ST"/>
    <n v="91.58"/>
    <n v="366.32"/>
    <n v="335.96"/>
    <s v="EUR"/>
  </r>
  <r>
    <s v=".1~412"/>
    <n v="412"/>
    <s v="D2"/>
    <x v="5"/>
    <s v="05"/>
    <x v="50"/>
    <n v="11"/>
    <n v="55"/>
    <s v="1833"/>
    <s v="1"/>
    <x v="2"/>
    <s v="West"/>
    <s v="16"/>
    <x v="2"/>
    <x v="2"/>
    <n v="19"/>
    <n v="19"/>
    <s v="ST"/>
    <n v="91.58"/>
    <n v="1740.02"/>
    <n v="1595.81"/>
    <s v="EUR"/>
  </r>
  <r>
    <s v=".1~413"/>
    <n v="413"/>
    <s v="D2"/>
    <x v="5"/>
    <s v="05"/>
    <x v="50"/>
    <n v="11"/>
    <n v="55"/>
    <s v="1833"/>
    <s v="2"/>
    <x v="2"/>
    <s v="West"/>
    <s v="16"/>
    <x v="5"/>
    <x v="5"/>
    <n v="19"/>
    <n v="19"/>
    <s v="ST"/>
    <n v="48.5"/>
    <n v="921.5"/>
    <n v="832.2"/>
    <s v="EUR"/>
  </r>
  <r>
    <s v=".1~414"/>
    <n v="414"/>
    <s v="D2"/>
    <x v="5"/>
    <s v="06"/>
    <x v="51"/>
    <n v="12"/>
    <n v="56"/>
    <s v="1854"/>
    <s v="1"/>
    <x v="0"/>
    <s v="North"/>
    <s v="16"/>
    <x v="0"/>
    <x v="0"/>
    <n v="64"/>
    <n v="64"/>
    <s v="ST"/>
    <n v="28.18"/>
    <n v="1803.52"/>
    <n v="1489.92"/>
    <s v="EUR"/>
  </r>
  <r>
    <s v=".1~415"/>
    <n v="415"/>
    <s v="D2"/>
    <x v="5"/>
    <s v="06"/>
    <x v="51"/>
    <n v="12"/>
    <n v="56"/>
    <s v="1858"/>
    <s v="2"/>
    <x v="0"/>
    <s v="North"/>
    <s v="16"/>
    <x v="4"/>
    <x v="4"/>
    <n v="28"/>
    <n v="28"/>
    <s v="ST"/>
    <n v="67.069999999999993"/>
    <n v="1877.96"/>
    <n v="1700.16"/>
    <s v="EUR"/>
  </r>
  <r>
    <s v=".1~416"/>
    <n v="416"/>
    <s v="D2"/>
    <x v="5"/>
    <s v="06"/>
    <x v="51"/>
    <n v="12"/>
    <n v="56"/>
    <s v="1858"/>
    <s v="1"/>
    <x v="0"/>
    <s v="North"/>
    <s v="16"/>
    <x v="5"/>
    <x v="5"/>
    <n v="23"/>
    <n v="23"/>
    <s v="ST"/>
    <n v="48.5"/>
    <n v="1115.5"/>
    <n v="1007.17"/>
    <s v="EUR"/>
  </r>
  <r>
    <s v=".1~417"/>
    <n v="417"/>
    <s v="D2"/>
    <x v="5"/>
    <s v="06"/>
    <x v="51"/>
    <n v="12"/>
    <n v="56"/>
    <s v="1866"/>
    <s v="8"/>
    <x v="1"/>
    <s v="South"/>
    <s v="16"/>
    <x v="1"/>
    <x v="1"/>
    <n v="43"/>
    <n v="43"/>
    <s v="ST"/>
    <n v="31.45"/>
    <n v="1352.35"/>
    <n v="1127.8900000000001"/>
    <s v="EUR"/>
  </r>
  <r>
    <s v=".1~418"/>
    <n v="418"/>
    <s v="D2"/>
    <x v="5"/>
    <s v="06"/>
    <x v="51"/>
    <n v="12"/>
    <n v="56"/>
    <s v="1866"/>
    <s v="7"/>
    <x v="1"/>
    <s v="South"/>
    <s v="16"/>
    <x v="1"/>
    <x v="1"/>
    <n v="70"/>
    <n v="70"/>
    <s v="ST"/>
    <n v="31.45"/>
    <n v="2201.5"/>
    <n v="1836.1"/>
    <s v="EUR"/>
  </r>
  <r>
    <s v=".1~419"/>
    <n v="419"/>
    <s v="D2"/>
    <x v="5"/>
    <s v="06"/>
    <x v="51"/>
    <n v="12"/>
    <n v="56"/>
    <s v="1866"/>
    <s v="3"/>
    <x v="1"/>
    <s v="South"/>
    <s v="16"/>
    <x v="2"/>
    <x v="2"/>
    <n v="19"/>
    <n v="19"/>
    <s v="ST"/>
    <n v="91.58"/>
    <n v="1740.02"/>
    <n v="1593.53"/>
    <s v="EUR"/>
  </r>
  <r>
    <s v=".1~420"/>
    <n v="420"/>
    <s v="D2"/>
    <x v="5"/>
    <s v="06"/>
    <x v="51"/>
    <n v="12"/>
    <n v="56"/>
    <s v="1866"/>
    <s v="1"/>
    <x v="1"/>
    <s v="South"/>
    <s v="16"/>
    <x v="4"/>
    <x v="4"/>
    <n v="30"/>
    <n v="30"/>
    <s v="ST"/>
    <n v="67.069999999999993"/>
    <n v="2012.1"/>
    <n v="1821.6"/>
    <s v="EUR"/>
  </r>
  <r>
    <s v=".1~421"/>
    <n v="421"/>
    <s v="D2"/>
    <x v="5"/>
    <s v="06"/>
    <x v="51"/>
    <n v="12"/>
    <n v="56"/>
    <s v="1866"/>
    <s v="9"/>
    <x v="1"/>
    <s v="South"/>
    <s v="16"/>
    <x v="5"/>
    <x v="5"/>
    <n v="3"/>
    <n v="3"/>
    <s v="ST"/>
    <n v="48.5"/>
    <n v="145.5"/>
    <n v="131.37"/>
    <s v="EUR"/>
  </r>
  <r>
    <s v=".1~422"/>
    <n v="422"/>
    <s v="D2"/>
    <x v="5"/>
    <s v="06"/>
    <x v="51"/>
    <n v="12"/>
    <n v="56"/>
    <s v="1866"/>
    <s v="2"/>
    <x v="1"/>
    <s v="South"/>
    <s v="16"/>
    <x v="5"/>
    <x v="5"/>
    <n v="47"/>
    <n v="47"/>
    <s v="ST"/>
    <n v="48.5"/>
    <n v="2279.5"/>
    <n v="2058.13"/>
    <s v="EUR"/>
  </r>
  <r>
    <s v=".1~423"/>
    <n v="423"/>
    <s v="D2"/>
    <x v="5"/>
    <s v="06"/>
    <x v="51"/>
    <n v="12"/>
    <n v="56"/>
    <s v="1862"/>
    <s v="1"/>
    <x v="2"/>
    <s v="West"/>
    <s v="16"/>
    <x v="1"/>
    <x v="1"/>
    <n v="49"/>
    <n v="49"/>
    <s v="ST"/>
    <n v="31.45"/>
    <n v="1541.05"/>
    <n v="1285.27"/>
    <s v="EUR"/>
  </r>
  <r>
    <s v=".1~424"/>
    <n v="424"/>
    <s v="D2"/>
    <x v="5"/>
    <s v="06"/>
    <x v="51"/>
    <n v="12"/>
    <n v="56"/>
    <s v="1865"/>
    <s v="1"/>
    <x v="2"/>
    <s v="West"/>
    <s v="16"/>
    <x v="2"/>
    <x v="2"/>
    <n v="21"/>
    <n v="21"/>
    <s v="ST"/>
    <n v="91.58"/>
    <n v="1923.18"/>
    <n v="1761.27"/>
    <s v="EUR"/>
  </r>
  <r>
    <s v=".1~425"/>
    <n v="425"/>
    <s v="D2"/>
    <x v="5"/>
    <s v="07"/>
    <x v="52"/>
    <n v="12"/>
    <n v="57"/>
    <s v="1872"/>
    <s v="2"/>
    <x v="0"/>
    <s v="North"/>
    <s v="16"/>
    <x v="0"/>
    <x v="0"/>
    <n v="60"/>
    <n v="60"/>
    <s v="ST"/>
    <n v="28.18"/>
    <n v="1690.8"/>
    <n v="1396.8"/>
    <s v="EUR"/>
  </r>
  <r>
    <s v=".1~426"/>
    <n v="426"/>
    <s v="D2"/>
    <x v="5"/>
    <s v="07"/>
    <x v="52"/>
    <n v="12"/>
    <n v="57"/>
    <s v="1869"/>
    <s v="1"/>
    <x v="0"/>
    <s v="North"/>
    <s v="16"/>
    <x v="1"/>
    <x v="1"/>
    <n v="57"/>
    <n v="57"/>
    <s v="ST"/>
    <n v="31.45"/>
    <n v="1792.65"/>
    <n v="1495.11"/>
    <s v="EUR"/>
  </r>
  <r>
    <s v=".1~427"/>
    <n v="427"/>
    <s v="D2"/>
    <x v="5"/>
    <s v="07"/>
    <x v="52"/>
    <n v="12"/>
    <n v="57"/>
    <s v="1872"/>
    <s v="1"/>
    <x v="0"/>
    <s v="North"/>
    <s v="16"/>
    <x v="5"/>
    <x v="5"/>
    <n v="47"/>
    <n v="47"/>
    <s v="ST"/>
    <n v="48.5"/>
    <n v="2279.5"/>
    <n v="2058.13"/>
    <s v="EUR"/>
  </r>
  <r>
    <s v=".1~428"/>
    <n v="428"/>
    <s v="D2"/>
    <x v="5"/>
    <s v="07"/>
    <x v="52"/>
    <n v="12"/>
    <n v="57"/>
    <s v="1880"/>
    <s v="1"/>
    <x v="1"/>
    <s v="South"/>
    <s v="16"/>
    <x v="1"/>
    <x v="1"/>
    <n v="41"/>
    <n v="41"/>
    <s v="ST"/>
    <n v="31.45"/>
    <n v="1289.45"/>
    <n v="1075.43"/>
    <s v="EUR"/>
  </r>
  <r>
    <s v=".1~429"/>
    <n v="429"/>
    <s v="D2"/>
    <x v="5"/>
    <s v="07"/>
    <x v="52"/>
    <n v="12"/>
    <n v="57"/>
    <s v="1880"/>
    <s v="2"/>
    <x v="1"/>
    <s v="South"/>
    <s v="16"/>
    <x v="4"/>
    <x v="4"/>
    <n v="7"/>
    <n v="7"/>
    <s v="ST"/>
    <n v="67.069999999999993"/>
    <n v="469.49"/>
    <n v="425.04"/>
    <s v="EUR"/>
  </r>
  <r>
    <s v=".1~430"/>
    <n v="430"/>
    <s v="D2"/>
    <x v="5"/>
    <s v="07"/>
    <x v="52"/>
    <n v="12"/>
    <n v="57"/>
    <s v="1876"/>
    <s v="1"/>
    <x v="2"/>
    <s v="West"/>
    <s v="16"/>
    <x v="0"/>
    <x v="0"/>
    <n v="64"/>
    <n v="64"/>
    <s v="ST"/>
    <n v="28.18"/>
    <n v="1803.52"/>
    <n v="1489.92"/>
    <s v="EUR"/>
  </r>
  <r>
    <s v=".1~431"/>
    <n v="431"/>
    <s v="D2"/>
    <x v="5"/>
    <s v="07"/>
    <x v="52"/>
    <n v="12"/>
    <n v="57"/>
    <s v="1878"/>
    <s v="1"/>
    <x v="2"/>
    <s v="West"/>
    <s v="16"/>
    <x v="2"/>
    <x v="2"/>
    <n v="1"/>
    <n v="1"/>
    <s v="ST"/>
    <n v="91.58"/>
    <n v="91.58"/>
    <n v="83.87"/>
    <s v="EUR"/>
  </r>
  <r>
    <s v=".1~432"/>
    <n v="432"/>
    <s v="D2"/>
    <x v="5"/>
    <s v="08"/>
    <x v="53"/>
    <n v="12"/>
    <n v="58"/>
    <s v="1886"/>
    <s v="1"/>
    <x v="0"/>
    <s v="North"/>
    <s v="16"/>
    <x v="0"/>
    <x v="0"/>
    <n v="73"/>
    <n v="73"/>
    <s v="ST"/>
    <n v="28.18"/>
    <n v="2057.14"/>
    <n v="1699.44"/>
    <s v="EUR"/>
  </r>
  <r>
    <s v=".1~433"/>
    <n v="433"/>
    <s v="D2"/>
    <x v="5"/>
    <s v="08"/>
    <x v="53"/>
    <n v="12"/>
    <n v="58"/>
    <s v="1886"/>
    <s v="2"/>
    <x v="0"/>
    <s v="North"/>
    <s v="16"/>
    <x v="3"/>
    <x v="3"/>
    <n v="30"/>
    <n v="30"/>
    <s v="ST"/>
    <n v="79.87"/>
    <n v="2396.1"/>
    <n v="2191.1999999999998"/>
    <s v="EUR"/>
  </r>
  <r>
    <s v=".1~434"/>
    <n v="434"/>
    <s v="D2"/>
    <x v="5"/>
    <s v="08"/>
    <x v="53"/>
    <n v="12"/>
    <n v="58"/>
    <s v="1882"/>
    <s v="2"/>
    <x v="0"/>
    <s v="North"/>
    <s v="16"/>
    <x v="1"/>
    <x v="1"/>
    <n v="61"/>
    <n v="61"/>
    <s v="ST"/>
    <n v="31.45"/>
    <n v="1918.45"/>
    <n v="1600.03"/>
    <s v="EUR"/>
  </r>
  <r>
    <s v=".1~435"/>
    <n v="435"/>
    <s v="D2"/>
    <x v="5"/>
    <s v="08"/>
    <x v="53"/>
    <n v="12"/>
    <n v="58"/>
    <s v="1882"/>
    <s v="1"/>
    <x v="0"/>
    <s v="North"/>
    <s v="16"/>
    <x v="1"/>
    <x v="1"/>
    <n v="72"/>
    <n v="72"/>
    <s v="ST"/>
    <n v="31.45"/>
    <n v="2264.4"/>
    <n v="1888.56"/>
    <s v="EUR"/>
  </r>
  <r>
    <s v=".1~436"/>
    <n v="436"/>
    <s v="D2"/>
    <x v="5"/>
    <s v="08"/>
    <x v="53"/>
    <n v="12"/>
    <n v="58"/>
    <s v="1895"/>
    <s v="1"/>
    <x v="1"/>
    <s v="South"/>
    <s v="16"/>
    <x v="2"/>
    <x v="2"/>
    <n v="24"/>
    <n v="24"/>
    <s v="ST"/>
    <n v="91.58"/>
    <n v="2197.92"/>
    <n v="2012.88"/>
    <s v="EUR"/>
  </r>
  <r>
    <s v=".1~437"/>
    <n v="437"/>
    <s v="D2"/>
    <x v="5"/>
    <s v="08"/>
    <x v="53"/>
    <n v="12"/>
    <n v="58"/>
    <s v="1890"/>
    <s v="2"/>
    <x v="2"/>
    <s v="West"/>
    <s v="16"/>
    <x v="0"/>
    <x v="0"/>
    <n v="73"/>
    <n v="73"/>
    <s v="ST"/>
    <n v="28.18"/>
    <n v="2057.14"/>
    <n v="1699.44"/>
    <s v="EUR"/>
  </r>
  <r>
    <s v=".1~438"/>
    <n v="438"/>
    <s v="D2"/>
    <x v="5"/>
    <s v="08"/>
    <x v="53"/>
    <n v="12"/>
    <n v="58"/>
    <s v="1890"/>
    <s v="4"/>
    <x v="2"/>
    <s v="West"/>
    <s v="16"/>
    <x v="0"/>
    <x v="0"/>
    <n v="13"/>
    <n v="13"/>
    <s v="ST"/>
    <n v="28.18"/>
    <n v="366.34"/>
    <n v="302.64"/>
    <s v="EUR"/>
  </r>
  <r>
    <s v=".1~439"/>
    <n v="439"/>
    <s v="D2"/>
    <x v="5"/>
    <s v="08"/>
    <x v="53"/>
    <n v="12"/>
    <n v="58"/>
    <s v="1890"/>
    <s v="3"/>
    <x v="2"/>
    <s v="West"/>
    <s v="16"/>
    <x v="1"/>
    <x v="1"/>
    <n v="44"/>
    <n v="44"/>
    <s v="ST"/>
    <n v="31.45"/>
    <n v="1383.8"/>
    <n v="1154.1199999999999"/>
    <s v="EUR"/>
  </r>
  <r>
    <s v=".1~440"/>
    <n v="440"/>
    <s v="D2"/>
    <x v="5"/>
    <s v="08"/>
    <x v="53"/>
    <n v="12"/>
    <n v="58"/>
    <s v="1890"/>
    <s v="1"/>
    <x v="2"/>
    <s v="West"/>
    <s v="16"/>
    <x v="5"/>
    <x v="5"/>
    <n v="40"/>
    <n v="40"/>
    <s v="ST"/>
    <n v="48.5"/>
    <n v="1940"/>
    <n v="1751.6"/>
    <s v="EUR"/>
  </r>
  <r>
    <s v=".1~441"/>
    <n v="441"/>
    <s v="D2"/>
    <x v="5"/>
    <s v="09"/>
    <x v="54"/>
    <n v="12"/>
    <n v="59"/>
    <s v="1900"/>
    <s v="1"/>
    <x v="0"/>
    <s v="North"/>
    <s v="16"/>
    <x v="0"/>
    <x v="0"/>
    <n v="59"/>
    <n v="59"/>
    <s v="ST"/>
    <n v="28.18"/>
    <n v="1662.62"/>
    <n v="1373.52"/>
    <s v="EUR"/>
  </r>
  <r>
    <s v=".1~442"/>
    <n v="442"/>
    <s v="D2"/>
    <x v="5"/>
    <s v="09"/>
    <x v="54"/>
    <n v="12"/>
    <n v="59"/>
    <s v="1904"/>
    <s v="1"/>
    <x v="0"/>
    <s v="North"/>
    <s v="16"/>
    <x v="0"/>
    <x v="0"/>
    <n v="55"/>
    <n v="55"/>
    <s v="ST"/>
    <n v="28.18"/>
    <n v="1549.9"/>
    <n v="1280.4000000000001"/>
    <s v="EUR"/>
  </r>
  <r>
    <s v=".1~443"/>
    <n v="443"/>
    <s v="D2"/>
    <x v="5"/>
    <s v="09"/>
    <x v="54"/>
    <n v="12"/>
    <n v="59"/>
    <s v="1900"/>
    <s v="3"/>
    <x v="0"/>
    <s v="North"/>
    <s v="16"/>
    <x v="1"/>
    <x v="1"/>
    <n v="57"/>
    <n v="57"/>
    <s v="ST"/>
    <n v="31.45"/>
    <n v="1792.65"/>
    <n v="1495.11"/>
    <s v="EUR"/>
  </r>
  <r>
    <s v=".1~444"/>
    <n v="444"/>
    <s v="D2"/>
    <x v="5"/>
    <s v="09"/>
    <x v="54"/>
    <n v="12"/>
    <n v="59"/>
    <s v="1900"/>
    <s v="2"/>
    <x v="0"/>
    <s v="North"/>
    <s v="16"/>
    <x v="4"/>
    <x v="4"/>
    <n v="34"/>
    <n v="34"/>
    <s v="ST"/>
    <n v="67.069999999999993"/>
    <n v="2280.38"/>
    <n v="2064.48"/>
    <s v="EUR"/>
  </r>
  <r>
    <s v=".1~445"/>
    <n v="445"/>
    <s v="D2"/>
    <x v="5"/>
    <s v="09"/>
    <x v="54"/>
    <n v="12"/>
    <n v="59"/>
    <s v="1907"/>
    <s v="5"/>
    <x v="1"/>
    <s v="South"/>
    <s v="16"/>
    <x v="0"/>
    <x v="0"/>
    <n v="76"/>
    <n v="76"/>
    <s v="ST"/>
    <n v="28.18"/>
    <n v="2141.6799999999998"/>
    <n v="1769.28"/>
    <s v="EUR"/>
  </r>
  <r>
    <s v=".1~446"/>
    <n v="446"/>
    <s v="D2"/>
    <x v="5"/>
    <s v="09"/>
    <x v="54"/>
    <n v="12"/>
    <n v="59"/>
    <s v="1907"/>
    <s v="1"/>
    <x v="1"/>
    <s v="South"/>
    <s v="16"/>
    <x v="1"/>
    <x v="1"/>
    <n v="57"/>
    <n v="57"/>
    <s v="ST"/>
    <n v="31.45"/>
    <n v="1792.65"/>
    <n v="1495.11"/>
    <s v="EUR"/>
  </r>
  <r>
    <s v=".1~447"/>
    <n v="447"/>
    <s v="D2"/>
    <x v="5"/>
    <s v="09"/>
    <x v="54"/>
    <n v="12"/>
    <n v="59"/>
    <s v="1907"/>
    <s v="4"/>
    <x v="1"/>
    <s v="South"/>
    <s v="16"/>
    <x v="2"/>
    <x v="2"/>
    <n v="20"/>
    <n v="20"/>
    <s v="ST"/>
    <n v="91.58"/>
    <n v="1831.6"/>
    <n v="1677.4"/>
    <s v="EUR"/>
  </r>
  <r>
    <s v=".1~448"/>
    <n v="448"/>
    <s v="D2"/>
    <x v="5"/>
    <s v="09"/>
    <x v="54"/>
    <n v="12"/>
    <n v="59"/>
    <s v="1907"/>
    <s v="3"/>
    <x v="1"/>
    <s v="South"/>
    <s v="16"/>
    <x v="4"/>
    <x v="4"/>
    <n v="32"/>
    <n v="32"/>
    <s v="ST"/>
    <n v="67.069999999999993"/>
    <n v="2146.2399999999998"/>
    <n v="1943.04"/>
    <s v="EUR"/>
  </r>
  <r>
    <s v=".1~449"/>
    <n v="449"/>
    <s v="D2"/>
    <x v="5"/>
    <s v="09"/>
    <x v="54"/>
    <n v="12"/>
    <n v="59"/>
    <s v="1896"/>
    <s v="1"/>
    <x v="2"/>
    <s v="West"/>
    <s v="16"/>
    <x v="2"/>
    <x v="2"/>
    <n v="26"/>
    <n v="26"/>
    <s v="ST"/>
    <n v="91.58"/>
    <n v="2381.08"/>
    <n v="2180.62"/>
    <s v="EUR"/>
  </r>
  <r>
    <s v=".1~450"/>
    <n v="450"/>
    <s v="D2"/>
    <x v="5"/>
    <s v="10"/>
    <x v="55"/>
    <n v="12"/>
    <n v="60"/>
    <s v="1916"/>
    <s v="9"/>
    <x v="0"/>
    <s v="North"/>
    <s v="16"/>
    <x v="0"/>
    <x v="0"/>
    <n v="70"/>
    <n v="70"/>
    <s v="ST"/>
    <n v="28.18"/>
    <n v="1972.6"/>
    <n v="1632.4"/>
    <s v="EUR"/>
  </r>
  <r>
    <s v=".1~451"/>
    <n v="451"/>
    <s v="D2"/>
    <x v="5"/>
    <s v="10"/>
    <x v="55"/>
    <n v="12"/>
    <n v="60"/>
    <s v="1916"/>
    <s v="1"/>
    <x v="0"/>
    <s v="North"/>
    <s v="16"/>
    <x v="0"/>
    <x v="0"/>
    <n v="77"/>
    <n v="77"/>
    <s v="ST"/>
    <n v="28.18"/>
    <n v="2169.86"/>
    <n v="1795.64"/>
    <s v="EUR"/>
  </r>
  <r>
    <s v=".1~452"/>
    <n v="452"/>
    <s v="D2"/>
    <x v="5"/>
    <s v="10"/>
    <x v="55"/>
    <n v="12"/>
    <n v="60"/>
    <s v="1916"/>
    <s v="2"/>
    <x v="0"/>
    <s v="North"/>
    <s v="16"/>
    <x v="2"/>
    <x v="2"/>
    <n v="27"/>
    <n v="27"/>
    <s v="ST"/>
    <n v="91.58"/>
    <n v="2472.66"/>
    <n v="2268.54"/>
    <s v="EUR"/>
  </r>
  <r>
    <s v=".1~453"/>
    <n v="453"/>
    <s v="D2"/>
    <x v="5"/>
    <s v="10"/>
    <x v="55"/>
    <n v="12"/>
    <n v="60"/>
    <s v="1916"/>
    <s v="4"/>
    <x v="0"/>
    <s v="North"/>
    <s v="16"/>
    <x v="2"/>
    <x v="2"/>
    <n v="17"/>
    <n v="17"/>
    <s v="ST"/>
    <n v="91.58"/>
    <n v="1556.86"/>
    <n v="1428.34"/>
    <s v="EUR"/>
  </r>
  <r>
    <s v=".1~454"/>
    <n v="454"/>
    <s v="D2"/>
    <x v="5"/>
    <s v="10"/>
    <x v="55"/>
    <n v="12"/>
    <n v="60"/>
    <s v="1916"/>
    <s v="3"/>
    <x v="0"/>
    <s v="North"/>
    <s v="16"/>
    <x v="4"/>
    <x v="4"/>
    <n v="34"/>
    <n v="34"/>
    <s v="ST"/>
    <n v="67.069999999999993"/>
    <n v="2280.38"/>
    <n v="2067.88"/>
    <s v="EUR"/>
  </r>
  <r>
    <s v=".1~455"/>
    <n v="455"/>
    <s v="D2"/>
    <x v="5"/>
    <s v="10"/>
    <x v="55"/>
    <n v="12"/>
    <n v="60"/>
    <s v="1916"/>
    <s v="0"/>
    <x v="0"/>
    <s v="North"/>
    <s v="16"/>
    <x v="4"/>
    <x v="4"/>
    <n v="10"/>
    <n v="10"/>
    <s v="ST"/>
    <n v="67.069999999999993"/>
    <n v="670.7"/>
    <n v="608.20000000000005"/>
    <s v="EUR"/>
  </r>
  <r>
    <s v=".1~456"/>
    <n v="456"/>
    <s v="D2"/>
    <x v="5"/>
    <s v="10"/>
    <x v="55"/>
    <n v="12"/>
    <n v="60"/>
    <s v="1923"/>
    <s v="2"/>
    <x v="1"/>
    <s v="South"/>
    <s v="16"/>
    <x v="3"/>
    <x v="3"/>
    <n v="23"/>
    <n v="23"/>
    <s v="ST"/>
    <n v="79.87"/>
    <n v="1837.01"/>
    <n v="1680.15"/>
    <s v="EUR"/>
  </r>
  <r>
    <s v=".1~457"/>
    <n v="457"/>
    <s v="D2"/>
    <x v="5"/>
    <s v="10"/>
    <x v="55"/>
    <n v="12"/>
    <n v="60"/>
    <s v="1923"/>
    <s v="4"/>
    <x v="1"/>
    <s v="South"/>
    <s v="16"/>
    <x v="2"/>
    <x v="2"/>
    <n v="6"/>
    <n v="6"/>
    <s v="ST"/>
    <n v="91.58"/>
    <n v="549.48"/>
    <n v="504.12"/>
    <s v="EUR"/>
  </r>
  <r>
    <s v=".1~458"/>
    <n v="458"/>
    <s v="D2"/>
    <x v="5"/>
    <s v="10"/>
    <x v="55"/>
    <n v="12"/>
    <n v="60"/>
    <s v="1923"/>
    <s v="3"/>
    <x v="1"/>
    <s v="South"/>
    <s v="16"/>
    <x v="4"/>
    <x v="4"/>
    <n v="34"/>
    <n v="34"/>
    <s v="ST"/>
    <n v="67.069999999999993"/>
    <n v="2280.38"/>
    <n v="2067.88"/>
    <s v="EUR"/>
  </r>
  <r>
    <s v=".1~459"/>
    <n v="459"/>
    <s v="D2"/>
    <x v="5"/>
    <s v="10"/>
    <x v="55"/>
    <n v="12"/>
    <n v="60"/>
    <s v="1923"/>
    <s v="1"/>
    <x v="1"/>
    <s v="South"/>
    <s v="16"/>
    <x v="4"/>
    <x v="4"/>
    <n v="28"/>
    <n v="28"/>
    <s v="ST"/>
    <n v="67.069999999999993"/>
    <n v="1877.96"/>
    <n v="1702.96"/>
    <s v="EUR"/>
  </r>
  <r>
    <s v=".1~460"/>
    <n v="460"/>
    <s v="D2"/>
    <x v="5"/>
    <s v="10"/>
    <x v="55"/>
    <n v="12"/>
    <n v="60"/>
    <s v="1920"/>
    <s v="1"/>
    <x v="2"/>
    <s v="West"/>
    <s v="16"/>
    <x v="2"/>
    <x v="2"/>
    <n v="23"/>
    <n v="23"/>
    <s v="ST"/>
    <n v="91.58"/>
    <n v="2106.34"/>
    <n v="1932.46"/>
    <s v="EUR"/>
  </r>
  <r>
    <s v=".1~461"/>
    <n v="461"/>
    <s v="D2"/>
    <x v="5"/>
    <s v="10"/>
    <x v="55"/>
    <n v="12"/>
    <n v="60"/>
    <s v="1913"/>
    <s v="1"/>
    <x v="2"/>
    <s v="West"/>
    <s v="16"/>
    <x v="4"/>
    <x v="4"/>
    <n v="33"/>
    <n v="33"/>
    <s v="ST"/>
    <n v="67.069999999999993"/>
    <n v="2213.31"/>
    <n v="2007.06"/>
    <s v="EUR"/>
  </r>
  <r>
    <s v=".1~462"/>
    <n v="462"/>
    <s v="D2"/>
    <x v="6"/>
    <s v="01"/>
    <x v="56"/>
    <n v="13"/>
    <n v="61"/>
    <s v="1940"/>
    <s v="2"/>
    <x v="0"/>
    <s v="North"/>
    <s v="16"/>
    <x v="0"/>
    <x v="0"/>
    <n v="63"/>
    <n v="63"/>
    <s v="ST"/>
    <n v="28.18"/>
    <n v="1775.34"/>
    <n v="1469.16"/>
    <s v="EUR"/>
  </r>
  <r>
    <s v=".1~463"/>
    <n v="463"/>
    <s v="D2"/>
    <x v="6"/>
    <s v="01"/>
    <x v="56"/>
    <n v="13"/>
    <n v="61"/>
    <s v="1934"/>
    <s v="1"/>
    <x v="0"/>
    <s v="North"/>
    <s v="16"/>
    <x v="0"/>
    <x v="0"/>
    <n v="72"/>
    <n v="72"/>
    <s v="ST"/>
    <n v="28.18"/>
    <n v="2028.96"/>
    <n v="1679.04"/>
    <s v="EUR"/>
  </r>
  <r>
    <s v=".1~464"/>
    <n v="464"/>
    <s v="D2"/>
    <x v="6"/>
    <s v="01"/>
    <x v="56"/>
    <n v="13"/>
    <n v="61"/>
    <s v="1940"/>
    <s v="1"/>
    <x v="0"/>
    <s v="North"/>
    <s v="16"/>
    <x v="4"/>
    <x v="4"/>
    <n v="25"/>
    <n v="25"/>
    <s v="ST"/>
    <n v="67.069999999999993"/>
    <n v="1676.75"/>
    <n v="1520.5"/>
    <s v="EUR"/>
  </r>
  <r>
    <s v=".1~465"/>
    <n v="465"/>
    <s v="D2"/>
    <x v="6"/>
    <s v="01"/>
    <x v="56"/>
    <n v="13"/>
    <n v="61"/>
    <s v="1937"/>
    <s v="2"/>
    <x v="1"/>
    <s v="South"/>
    <s v="16"/>
    <x v="1"/>
    <x v="1"/>
    <n v="48"/>
    <n v="48"/>
    <s v="ST"/>
    <n v="31.45"/>
    <n v="1509.6"/>
    <n v="1262.4000000000001"/>
    <s v="EUR"/>
  </r>
  <r>
    <s v=".1~466"/>
    <n v="466"/>
    <s v="D2"/>
    <x v="6"/>
    <s v="01"/>
    <x v="56"/>
    <n v="13"/>
    <n v="61"/>
    <s v="1937"/>
    <s v="1"/>
    <x v="1"/>
    <s v="South"/>
    <s v="16"/>
    <x v="4"/>
    <x v="4"/>
    <n v="32"/>
    <n v="32"/>
    <s v="ST"/>
    <n v="67.069999999999993"/>
    <n v="2146.2399999999998"/>
    <n v="1946.24"/>
    <s v="EUR"/>
  </r>
  <r>
    <s v=".1~467"/>
    <n v="467"/>
    <s v="D2"/>
    <x v="6"/>
    <s v="01"/>
    <x v="56"/>
    <n v="13"/>
    <n v="61"/>
    <s v="1926"/>
    <s v="2"/>
    <x v="2"/>
    <s v="West"/>
    <s v="16"/>
    <x v="1"/>
    <x v="1"/>
    <n v="53"/>
    <n v="53"/>
    <s v="ST"/>
    <n v="31.45"/>
    <n v="1666.85"/>
    <n v="1393.9"/>
    <s v="EUR"/>
  </r>
  <r>
    <s v=".1~468"/>
    <n v="468"/>
    <s v="D2"/>
    <x v="6"/>
    <s v="01"/>
    <x v="56"/>
    <n v="13"/>
    <n v="61"/>
    <s v="1926"/>
    <s v="1"/>
    <x v="2"/>
    <s v="West"/>
    <s v="16"/>
    <x v="2"/>
    <x v="2"/>
    <n v="17"/>
    <n v="17"/>
    <s v="ST"/>
    <n v="91.58"/>
    <n v="1556.86"/>
    <n v="1428.34"/>
    <s v="EUR"/>
  </r>
  <r>
    <s v=".1~469"/>
    <n v="469"/>
    <s v="D2"/>
    <x v="6"/>
    <s v="01"/>
    <x v="56"/>
    <n v="13"/>
    <n v="61"/>
    <s v="1930"/>
    <s v="1"/>
    <x v="2"/>
    <s v="West"/>
    <s v="16"/>
    <x v="2"/>
    <x v="2"/>
    <n v="21"/>
    <n v="21"/>
    <s v="ST"/>
    <n v="91.58"/>
    <n v="1923.18"/>
    <n v="1764.42"/>
    <s v="EUR"/>
  </r>
  <r>
    <s v=".1~470"/>
    <n v="470"/>
    <s v="D2"/>
    <x v="6"/>
    <s v="02"/>
    <x v="57"/>
    <n v="13"/>
    <n v="62"/>
    <s v="1962"/>
    <s v="3"/>
    <x v="0"/>
    <s v="North"/>
    <s v="16"/>
    <x v="0"/>
    <x v="0"/>
    <n v="74"/>
    <n v="74"/>
    <s v="ST"/>
    <n v="28.18"/>
    <n v="2085.3200000000002"/>
    <n v="1725.68"/>
    <s v="EUR"/>
  </r>
  <r>
    <s v=".1~471"/>
    <n v="471"/>
    <s v="D2"/>
    <x v="6"/>
    <s v="02"/>
    <x v="57"/>
    <n v="13"/>
    <n v="62"/>
    <s v="1955"/>
    <s v="1"/>
    <x v="0"/>
    <s v="North"/>
    <s v="16"/>
    <x v="0"/>
    <x v="0"/>
    <n v="67"/>
    <n v="67"/>
    <s v="ST"/>
    <n v="28.18"/>
    <n v="1888.06"/>
    <n v="1562.44"/>
    <s v="EUR"/>
  </r>
  <r>
    <s v=".1~472"/>
    <n v="472"/>
    <s v="D2"/>
    <x v="6"/>
    <s v="02"/>
    <x v="57"/>
    <n v="13"/>
    <n v="62"/>
    <s v="1962"/>
    <s v="2"/>
    <x v="0"/>
    <s v="North"/>
    <s v="16"/>
    <x v="0"/>
    <x v="0"/>
    <n v="78"/>
    <n v="78"/>
    <s v="ST"/>
    <n v="28.18"/>
    <n v="2198.04"/>
    <n v="1818.96"/>
    <s v="EUR"/>
  </r>
  <r>
    <s v=".1~473"/>
    <n v="473"/>
    <s v="D2"/>
    <x v="6"/>
    <s v="02"/>
    <x v="57"/>
    <n v="13"/>
    <n v="62"/>
    <s v="1962"/>
    <s v="1"/>
    <x v="0"/>
    <s v="North"/>
    <s v="16"/>
    <x v="1"/>
    <x v="1"/>
    <n v="73"/>
    <n v="73"/>
    <s v="ST"/>
    <n v="31.45"/>
    <n v="2295.85"/>
    <n v="1919.9"/>
    <s v="EUR"/>
  </r>
  <r>
    <s v=".1~474"/>
    <n v="474"/>
    <s v="D2"/>
    <x v="6"/>
    <s v="02"/>
    <x v="57"/>
    <n v="13"/>
    <n v="62"/>
    <s v="1962"/>
    <s v="4"/>
    <x v="0"/>
    <s v="North"/>
    <s v="16"/>
    <x v="2"/>
    <x v="2"/>
    <n v="17"/>
    <n v="17"/>
    <s v="ST"/>
    <n v="91.58"/>
    <n v="1556.86"/>
    <n v="1428.34"/>
    <s v="EUR"/>
  </r>
  <r>
    <s v=".1~475"/>
    <n v="475"/>
    <s v="D2"/>
    <x v="6"/>
    <s v="02"/>
    <x v="57"/>
    <n v="13"/>
    <n v="62"/>
    <s v="1955"/>
    <s v="2"/>
    <x v="0"/>
    <s v="North"/>
    <s v="16"/>
    <x v="2"/>
    <x v="2"/>
    <n v="20"/>
    <n v="20"/>
    <s v="ST"/>
    <n v="91.58"/>
    <n v="1831.6"/>
    <n v="1680.4"/>
    <s v="EUR"/>
  </r>
  <r>
    <s v=".1~476"/>
    <n v="476"/>
    <s v="D2"/>
    <x v="6"/>
    <s v="02"/>
    <x v="57"/>
    <n v="13"/>
    <n v="62"/>
    <s v="1959"/>
    <s v="1"/>
    <x v="1"/>
    <s v="South"/>
    <s v="16"/>
    <x v="3"/>
    <x v="3"/>
    <n v="24"/>
    <n v="24"/>
    <s v="ST"/>
    <n v="79.87"/>
    <n v="1916.88"/>
    <n v="1753.2"/>
    <s v="EUR"/>
  </r>
  <r>
    <s v=".1~477"/>
    <n v="477"/>
    <s v="D2"/>
    <x v="6"/>
    <s v="02"/>
    <x v="57"/>
    <n v="13"/>
    <n v="62"/>
    <s v="1952"/>
    <s v="2"/>
    <x v="1"/>
    <s v="South"/>
    <s v="16"/>
    <x v="3"/>
    <x v="3"/>
    <n v="25"/>
    <n v="25"/>
    <s v="ST"/>
    <n v="79.87"/>
    <n v="1996.75"/>
    <n v="1826.25"/>
    <s v="EUR"/>
  </r>
  <r>
    <s v=".1~478"/>
    <n v="478"/>
    <s v="D2"/>
    <x v="6"/>
    <s v="02"/>
    <x v="57"/>
    <n v="13"/>
    <n v="62"/>
    <s v="1959"/>
    <s v="2"/>
    <x v="1"/>
    <s v="South"/>
    <s v="16"/>
    <x v="1"/>
    <x v="1"/>
    <n v="63"/>
    <n v="63"/>
    <s v="ST"/>
    <n v="31.45"/>
    <n v="1981.35"/>
    <n v="1656.9"/>
    <s v="EUR"/>
  </r>
  <r>
    <s v=".1~479"/>
    <n v="479"/>
    <s v="D2"/>
    <x v="6"/>
    <s v="02"/>
    <x v="57"/>
    <n v="13"/>
    <n v="62"/>
    <s v="1952"/>
    <s v="1"/>
    <x v="1"/>
    <s v="South"/>
    <s v="16"/>
    <x v="1"/>
    <x v="1"/>
    <n v="75"/>
    <n v="75"/>
    <s v="ST"/>
    <n v="31.45"/>
    <n v="2358.75"/>
    <n v="1972.5"/>
    <s v="EUR"/>
  </r>
  <r>
    <s v=".1~480"/>
    <n v="480"/>
    <s v="D2"/>
    <x v="6"/>
    <s v="02"/>
    <x v="57"/>
    <n v="13"/>
    <n v="62"/>
    <s v="1944"/>
    <s v="1"/>
    <x v="2"/>
    <s v="West"/>
    <s v="16"/>
    <x v="2"/>
    <x v="2"/>
    <n v="17"/>
    <n v="17"/>
    <s v="ST"/>
    <n v="91.58"/>
    <n v="1556.86"/>
    <n v="1428.34"/>
    <s v="EUR"/>
  </r>
  <r>
    <s v=".1~481"/>
    <n v="481"/>
    <s v="D2"/>
    <x v="6"/>
    <s v="02"/>
    <x v="57"/>
    <n v="13"/>
    <n v="62"/>
    <s v="1948"/>
    <s v="1"/>
    <x v="2"/>
    <s v="West"/>
    <s v="16"/>
    <x v="5"/>
    <x v="5"/>
    <n v="43"/>
    <n v="43"/>
    <s v="ST"/>
    <n v="48.5"/>
    <n v="2085.5"/>
    <n v="1889.42"/>
    <s v="EUR"/>
  </r>
  <r>
    <s v=".1~482"/>
    <n v="482"/>
    <s v="D2"/>
    <x v="6"/>
    <s v="03"/>
    <x v="58"/>
    <n v="13"/>
    <n v="63"/>
    <s v="1967"/>
    <s v="1"/>
    <x v="0"/>
    <s v="North"/>
    <s v="16"/>
    <x v="0"/>
    <x v="0"/>
    <n v="85"/>
    <n v="85"/>
    <s v="ST"/>
    <n v="28.18"/>
    <n v="2395.3000000000002"/>
    <n v="1982.2"/>
    <s v="EUR"/>
  </r>
  <r>
    <s v=".1~483"/>
    <n v="483"/>
    <s v="D2"/>
    <x v="6"/>
    <s v="03"/>
    <x v="58"/>
    <n v="13"/>
    <n v="63"/>
    <s v="1967"/>
    <s v="5"/>
    <x v="0"/>
    <s v="North"/>
    <s v="16"/>
    <x v="3"/>
    <x v="3"/>
    <n v="22"/>
    <n v="22"/>
    <s v="ST"/>
    <n v="79.87"/>
    <n v="1757.14"/>
    <n v="1607.1"/>
    <s v="EUR"/>
  </r>
  <r>
    <s v=".1~484"/>
    <n v="484"/>
    <s v="D2"/>
    <x v="6"/>
    <s v="03"/>
    <x v="58"/>
    <n v="13"/>
    <n v="63"/>
    <s v="1967"/>
    <s v="2"/>
    <x v="0"/>
    <s v="North"/>
    <s v="16"/>
    <x v="1"/>
    <x v="1"/>
    <n v="72"/>
    <n v="72"/>
    <s v="ST"/>
    <n v="31.45"/>
    <n v="2264.4"/>
    <n v="1893.6"/>
    <s v="EUR"/>
  </r>
  <r>
    <s v=".1~485"/>
    <n v="485"/>
    <s v="D2"/>
    <x v="6"/>
    <s v="03"/>
    <x v="58"/>
    <n v="13"/>
    <n v="63"/>
    <s v="1967"/>
    <s v="6"/>
    <x v="0"/>
    <s v="North"/>
    <s v="16"/>
    <x v="1"/>
    <x v="1"/>
    <n v="47"/>
    <n v="47"/>
    <s v="ST"/>
    <n v="31.45"/>
    <n v="1478.15"/>
    <n v="1236.0999999999999"/>
    <s v="EUR"/>
  </r>
  <r>
    <s v=".1~486"/>
    <n v="486"/>
    <s v="D2"/>
    <x v="6"/>
    <s v="03"/>
    <x v="58"/>
    <n v="13"/>
    <n v="63"/>
    <s v="1973"/>
    <s v="1"/>
    <x v="1"/>
    <s v="South"/>
    <s v="16"/>
    <x v="0"/>
    <x v="0"/>
    <n v="80"/>
    <n v="80"/>
    <s v="ST"/>
    <n v="28.18"/>
    <n v="2254.4"/>
    <n v="1865.6"/>
    <s v="EUR"/>
  </r>
  <r>
    <s v=".1~487"/>
    <n v="487"/>
    <s v="D2"/>
    <x v="6"/>
    <s v="03"/>
    <x v="58"/>
    <n v="13"/>
    <n v="63"/>
    <s v="1965"/>
    <s v="3"/>
    <x v="2"/>
    <s v="West"/>
    <s v="16"/>
    <x v="0"/>
    <x v="0"/>
    <n v="74"/>
    <n v="74"/>
    <s v="ST"/>
    <n v="28.18"/>
    <n v="2085.3200000000002"/>
    <n v="1725.68"/>
    <s v="EUR"/>
  </r>
  <r>
    <s v=".1~488"/>
    <n v="488"/>
    <s v="D2"/>
    <x v="6"/>
    <s v="03"/>
    <x v="58"/>
    <n v="13"/>
    <n v="63"/>
    <s v="1965"/>
    <s v="1"/>
    <x v="2"/>
    <s v="West"/>
    <s v="16"/>
    <x v="2"/>
    <x v="2"/>
    <n v="10"/>
    <n v="10"/>
    <s v="ST"/>
    <n v="91.58"/>
    <n v="915.8"/>
    <n v="840.2"/>
    <s v="EUR"/>
  </r>
  <r>
    <s v=".1~489"/>
    <n v="489"/>
    <s v="D2"/>
    <x v="6"/>
    <s v="04"/>
    <x v="59"/>
    <n v="13"/>
    <n v="64"/>
    <s v="1983"/>
    <s v="1"/>
    <x v="0"/>
    <s v="North"/>
    <s v="16"/>
    <x v="4"/>
    <x v="4"/>
    <n v="31"/>
    <n v="31"/>
    <s v="ST"/>
    <n v="67.069999999999993"/>
    <n v="2079.17"/>
    <n v="1881.39"/>
    <s v="EUR"/>
  </r>
  <r>
    <s v=".1~490"/>
    <n v="490"/>
    <s v="D2"/>
    <x v="6"/>
    <s v="04"/>
    <x v="59"/>
    <n v="13"/>
    <n v="64"/>
    <s v="1979"/>
    <s v="1"/>
    <x v="0"/>
    <s v="North"/>
    <s v="16"/>
    <x v="4"/>
    <x v="4"/>
    <n v="37"/>
    <n v="37"/>
    <s v="ST"/>
    <n v="67.069999999999993"/>
    <n v="2481.59"/>
    <n v="2245.5300000000002"/>
    <s v="EUR"/>
  </r>
  <r>
    <s v=".1~491"/>
    <n v="491"/>
    <s v="D2"/>
    <x v="6"/>
    <s v="04"/>
    <x v="59"/>
    <n v="13"/>
    <n v="64"/>
    <s v="1979"/>
    <s v="2"/>
    <x v="0"/>
    <s v="North"/>
    <s v="16"/>
    <x v="5"/>
    <x v="5"/>
    <n v="31"/>
    <n v="31"/>
    <s v="ST"/>
    <n v="48.5"/>
    <n v="1503.5"/>
    <n v="1359.66"/>
    <s v="EUR"/>
  </r>
  <r>
    <s v=".1~492"/>
    <n v="492"/>
    <s v="D2"/>
    <x v="6"/>
    <s v="04"/>
    <x v="59"/>
    <n v="13"/>
    <n v="64"/>
    <s v="1990"/>
    <s v="2"/>
    <x v="1"/>
    <s v="South"/>
    <s v="16"/>
    <x v="1"/>
    <x v="1"/>
    <n v="73"/>
    <n v="73"/>
    <s v="ST"/>
    <n v="31.45"/>
    <n v="2295.85"/>
    <n v="1914.79"/>
    <s v="EUR"/>
  </r>
  <r>
    <s v=".1~493"/>
    <n v="493"/>
    <s v="D2"/>
    <x v="6"/>
    <s v="04"/>
    <x v="59"/>
    <n v="13"/>
    <n v="64"/>
    <s v="1990"/>
    <s v="1"/>
    <x v="1"/>
    <s v="South"/>
    <s v="16"/>
    <x v="4"/>
    <x v="4"/>
    <n v="34"/>
    <n v="34"/>
    <s v="ST"/>
    <n v="67.069999999999993"/>
    <n v="2280.38"/>
    <n v="2063.46"/>
    <s v="EUR"/>
  </r>
  <r>
    <s v=".1~494"/>
    <n v="494"/>
    <s v="D2"/>
    <x v="6"/>
    <s v="04"/>
    <x v="59"/>
    <n v="13"/>
    <n v="64"/>
    <s v="1994"/>
    <s v="1"/>
    <x v="1"/>
    <s v="South"/>
    <s v="16"/>
    <x v="4"/>
    <x v="4"/>
    <n v="23"/>
    <n v="23"/>
    <s v="ST"/>
    <n v="67.069999999999993"/>
    <n v="1542.61"/>
    <n v="1395.87"/>
    <s v="EUR"/>
  </r>
  <r>
    <s v=".1~495"/>
    <n v="495"/>
    <s v="D2"/>
    <x v="6"/>
    <s v="04"/>
    <x v="59"/>
    <n v="13"/>
    <n v="64"/>
    <s v="1986"/>
    <s v="2"/>
    <x v="2"/>
    <s v="West"/>
    <s v="16"/>
    <x v="4"/>
    <x v="4"/>
    <n v="31"/>
    <n v="31"/>
    <s v="ST"/>
    <n v="67.069999999999993"/>
    <n v="2079.17"/>
    <n v="1881.39"/>
    <s v="EUR"/>
  </r>
  <r>
    <s v=".1~496"/>
    <n v="496"/>
    <s v="D2"/>
    <x v="6"/>
    <s v="04"/>
    <x v="59"/>
    <n v="13"/>
    <n v="64"/>
    <s v="1986"/>
    <s v="1"/>
    <x v="2"/>
    <s v="West"/>
    <s v="16"/>
    <x v="5"/>
    <x v="5"/>
    <n v="7"/>
    <n v="7"/>
    <s v="ST"/>
    <n v="48.5"/>
    <n v="339.5"/>
    <n v="307.02"/>
    <s v="EUR"/>
  </r>
  <r>
    <s v=".1~497"/>
    <n v="497"/>
    <s v="D2"/>
    <x v="6"/>
    <s v="05"/>
    <x v="60"/>
    <n v="13"/>
    <n v="65"/>
    <s v="2003"/>
    <s v="2"/>
    <x v="0"/>
    <s v="North"/>
    <s v="16"/>
    <x v="0"/>
    <x v="0"/>
    <n v="80"/>
    <n v="80"/>
    <s v="ST"/>
    <n v="28.18"/>
    <n v="2254.4"/>
    <n v="1860.8"/>
    <s v="EUR"/>
  </r>
  <r>
    <s v=".1~498"/>
    <n v="498"/>
    <s v="D2"/>
    <x v="6"/>
    <s v="05"/>
    <x v="60"/>
    <n v="13"/>
    <n v="65"/>
    <s v="1997"/>
    <s v="2"/>
    <x v="0"/>
    <s v="North"/>
    <s v="16"/>
    <x v="0"/>
    <x v="0"/>
    <n v="85"/>
    <n v="85"/>
    <s v="ST"/>
    <n v="28.18"/>
    <n v="2395.3000000000002"/>
    <n v="1977.1"/>
    <s v="EUR"/>
  </r>
  <r>
    <s v=".1~499"/>
    <n v="499"/>
    <s v="D2"/>
    <x v="6"/>
    <s v="05"/>
    <x v="60"/>
    <n v="13"/>
    <n v="65"/>
    <s v="1997"/>
    <s v="4"/>
    <x v="0"/>
    <s v="North"/>
    <s v="16"/>
    <x v="3"/>
    <x v="3"/>
    <n v="26"/>
    <n v="26"/>
    <s v="ST"/>
    <n v="79.87"/>
    <n v="2076.62"/>
    <n v="1898"/>
    <s v="EUR"/>
  </r>
  <r>
    <s v=".1~500"/>
    <n v="500"/>
    <s v="D2"/>
    <x v="6"/>
    <s v="05"/>
    <x v="60"/>
    <n v="13"/>
    <n v="65"/>
    <s v="1997"/>
    <s v="3"/>
    <x v="0"/>
    <s v="North"/>
    <s v="16"/>
    <x v="1"/>
    <x v="1"/>
    <n v="66"/>
    <n v="66"/>
    <s v="ST"/>
    <n v="31.45"/>
    <n v="2075.6999999999998"/>
    <n v="1731.18"/>
    <s v="EUR"/>
  </r>
  <r>
    <s v=".1~501"/>
    <n v="501"/>
    <s v="D2"/>
    <x v="6"/>
    <s v="05"/>
    <x v="60"/>
    <n v="13"/>
    <n v="65"/>
    <s v="1997"/>
    <s v="1"/>
    <x v="0"/>
    <s v="North"/>
    <s v="16"/>
    <x v="1"/>
    <x v="1"/>
    <n v="57"/>
    <n v="57"/>
    <s v="ST"/>
    <n v="31.45"/>
    <n v="1792.65"/>
    <n v="1495.11"/>
    <s v="EUR"/>
  </r>
  <r>
    <s v=".1~502"/>
    <n v="502"/>
    <s v="D2"/>
    <x v="6"/>
    <s v="05"/>
    <x v="60"/>
    <n v="13"/>
    <n v="65"/>
    <s v="2003"/>
    <s v="1"/>
    <x v="0"/>
    <s v="North"/>
    <s v="16"/>
    <x v="5"/>
    <x v="5"/>
    <n v="43"/>
    <n v="43"/>
    <s v="ST"/>
    <n v="48.5"/>
    <n v="2085.5"/>
    <n v="1885.98"/>
    <s v="EUR"/>
  </r>
  <r>
    <s v=".1~503"/>
    <n v="503"/>
    <s v="D2"/>
    <x v="6"/>
    <s v="05"/>
    <x v="60"/>
    <n v="13"/>
    <n v="65"/>
    <s v="2010"/>
    <s v="3"/>
    <x v="1"/>
    <s v="South"/>
    <s v="16"/>
    <x v="3"/>
    <x v="3"/>
    <n v="21"/>
    <n v="21"/>
    <s v="ST"/>
    <n v="79.87"/>
    <n v="1677.27"/>
    <n v="1533"/>
    <s v="EUR"/>
  </r>
  <r>
    <s v=".1~504"/>
    <n v="504"/>
    <s v="D2"/>
    <x v="6"/>
    <s v="05"/>
    <x v="60"/>
    <n v="13"/>
    <n v="65"/>
    <s v="2010"/>
    <s v="1"/>
    <x v="1"/>
    <s v="South"/>
    <s v="16"/>
    <x v="3"/>
    <x v="3"/>
    <n v="20"/>
    <n v="20"/>
    <s v="ST"/>
    <n v="79.87"/>
    <n v="1597.4"/>
    <n v="1460"/>
    <s v="EUR"/>
  </r>
  <r>
    <s v=".1~505"/>
    <n v="505"/>
    <s v="D2"/>
    <x v="6"/>
    <s v="05"/>
    <x v="60"/>
    <n v="13"/>
    <n v="65"/>
    <s v="2010"/>
    <s v="4"/>
    <x v="1"/>
    <s v="South"/>
    <s v="16"/>
    <x v="1"/>
    <x v="1"/>
    <n v="50"/>
    <n v="50"/>
    <s v="ST"/>
    <n v="31.45"/>
    <n v="1572.5"/>
    <n v="1311.5"/>
    <s v="EUR"/>
  </r>
  <r>
    <s v=".1~506"/>
    <n v="506"/>
    <s v="D2"/>
    <x v="6"/>
    <s v="05"/>
    <x v="60"/>
    <n v="13"/>
    <n v="65"/>
    <s v="2010"/>
    <s v="2"/>
    <x v="1"/>
    <s v="South"/>
    <s v="16"/>
    <x v="1"/>
    <x v="1"/>
    <n v="62"/>
    <n v="62"/>
    <s v="ST"/>
    <n v="31.45"/>
    <n v="1949.9"/>
    <n v="1626.26"/>
    <s v="EUR"/>
  </r>
  <r>
    <s v=".1~507"/>
    <n v="507"/>
    <s v="D2"/>
    <x v="6"/>
    <s v="05"/>
    <x v="60"/>
    <n v="13"/>
    <n v="65"/>
    <s v="2008"/>
    <s v="1"/>
    <x v="1"/>
    <s v="South"/>
    <s v="16"/>
    <x v="4"/>
    <x v="4"/>
    <n v="28"/>
    <n v="28"/>
    <s v="ST"/>
    <n v="67.069999999999993"/>
    <n v="1877.96"/>
    <n v="1699.32"/>
    <s v="EUR"/>
  </r>
  <r>
    <s v=".1~508"/>
    <n v="508"/>
    <s v="D2"/>
    <x v="6"/>
    <s v="05"/>
    <x v="60"/>
    <n v="13"/>
    <n v="65"/>
    <s v="2005"/>
    <s v="1"/>
    <x v="2"/>
    <s v="West"/>
    <s v="16"/>
    <x v="2"/>
    <x v="2"/>
    <n v="17"/>
    <n v="17"/>
    <s v="ST"/>
    <n v="91.58"/>
    <n v="1556.86"/>
    <n v="1423.58"/>
    <s v="EUR"/>
  </r>
  <r>
    <s v=".1~509"/>
    <n v="509"/>
    <s v="D2"/>
    <x v="6"/>
    <s v="06"/>
    <x v="61"/>
    <n v="14"/>
    <n v="66"/>
    <s v="2013"/>
    <s v="1"/>
    <x v="0"/>
    <s v="North"/>
    <s v="16"/>
    <x v="5"/>
    <x v="5"/>
    <n v="14"/>
    <n v="14"/>
    <s v="ST"/>
    <n v="48.5"/>
    <n v="679"/>
    <n v="614.04"/>
    <s v="EUR"/>
  </r>
  <r>
    <s v=".1~510"/>
    <n v="510"/>
    <s v="D2"/>
    <x v="6"/>
    <s v="06"/>
    <x v="61"/>
    <n v="14"/>
    <n v="66"/>
    <s v="2025"/>
    <s v="2"/>
    <x v="1"/>
    <s v="South"/>
    <s v="16"/>
    <x v="0"/>
    <x v="0"/>
    <n v="76"/>
    <n v="76"/>
    <s v="ST"/>
    <n v="28.18"/>
    <n v="2141.6799999999998"/>
    <n v="1767.76"/>
    <s v="EUR"/>
  </r>
  <r>
    <s v=".1~511"/>
    <n v="511"/>
    <s v="D2"/>
    <x v="6"/>
    <s v="06"/>
    <x v="61"/>
    <n v="14"/>
    <n v="66"/>
    <s v="2025"/>
    <s v="3"/>
    <x v="1"/>
    <s v="South"/>
    <s v="16"/>
    <x v="2"/>
    <x v="2"/>
    <n v="17"/>
    <n v="17"/>
    <s v="ST"/>
    <n v="91.58"/>
    <n v="1556.86"/>
    <n v="1423.58"/>
    <s v="EUR"/>
  </r>
  <r>
    <s v=".1~512"/>
    <n v="512"/>
    <s v="D2"/>
    <x v="6"/>
    <s v="06"/>
    <x v="61"/>
    <n v="14"/>
    <n v="66"/>
    <s v="2025"/>
    <s v="1"/>
    <x v="1"/>
    <s v="South"/>
    <s v="16"/>
    <x v="5"/>
    <x v="5"/>
    <n v="37"/>
    <n v="37"/>
    <s v="ST"/>
    <n v="48.5"/>
    <n v="1794.5"/>
    <n v="1622.82"/>
    <s v="EUR"/>
  </r>
  <r>
    <s v=".1~513"/>
    <n v="513"/>
    <s v="D2"/>
    <x v="6"/>
    <s v="06"/>
    <x v="61"/>
    <n v="14"/>
    <n v="66"/>
    <s v="2021"/>
    <s v="6"/>
    <x v="2"/>
    <s v="West"/>
    <s v="16"/>
    <x v="3"/>
    <x v="3"/>
    <n v="21"/>
    <n v="21"/>
    <s v="ST"/>
    <n v="79.87"/>
    <n v="1677.27"/>
    <n v="1533"/>
    <s v="EUR"/>
  </r>
  <r>
    <s v=".1~514"/>
    <n v="514"/>
    <s v="D2"/>
    <x v="6"/>
    <s v="06"/>
    <x v="61"/>
    <n v="14"/>
    <n v="66"/>
    <s v="2021"/>
    <s v="3"/>
    <x v="2"/>
    <s v="West"/>
    <s v="16"/>
    <x v="1"/>
    <x v="1"/>
    <n v="69"/>
    <n v="69"/>
    <s v="ST"/>
    <n v="31.45"/>
    <n v="2170.0500000000002"/>
    <n v="1809.87"/>
    <s v="EUR"/>
  </r>
  <r>
    <s v=".1~515"/>
    <n v="515"/>
    <s v="D2"/>
    <x v="6"/>
    <s v="06"/>
    <x v="61"/>
    <n v="14"/>
    <n v="66"/>
    <s v="2021"/>
    <s v="2"/>
    <x v="2"/>
    <s v="West"/>
    <s v="16"/>
    <x v="2"/>
    <x v="2"/>
    <n v="22"/>
    <n v="22"/>
    <s v="ST"/>
    <n v="91.58"/>
    <n v="2014.76"/>
    <n v="1842.28"/>
    <s v="EUR"/>
  </r>
  <r>
    <s v=".1~516"/>
    <n v="516"/>
    <s v="D2"/>
    <x v="6"/>
    <s v="06"/>
    <x v="61"/>
    <n v="14"/>
    <n v="66"/>
    <s v="2021"/>
    <s v="4"/>
    <x v="2"/>
    <s v="West"/>
    <s v="16"/>
    <x v="2"/>
    <x v="2"/>
    <n v="23"/>
    <n v="23"/>
    <s v="ST"/>
    <n v="91.58"/>
    <n v="2106.34"/>
    <n v="1926.02"/>
    <s v="EUR"/>
  </r>
  <r>
    <s v=".1~517"/>
    <n v="517"/>
    <s v="D2"/>
    <x v="6"/>
    <s v="06"/>
    <x v="61"/>
    <n v="14"/>
    <n v="66"/>
    <s v="2021"/>
    <s v="5"/>
    <x v="2"/>
    <s v="West"/>
    <s v="16"/>
    <x v="2"/>
    <x v="2"/>
    <n v="18"/>
    <n v="18"/>
    <s v="ST"/>
    <n v="91.58"/>
    <n v="1648.44"/>
    <n v="1507.32"/>
    <s v="EUR"/>
  </r>
  <r>
    <s v=".1~518"/>
    <n v="518"/>
    <s v="D2"/>
    <x v="6"/>
    <s v="06"/>
    <x v="61"/>
    <n v="14"/>
    <n v="66"/>
    <s v="2017"/>
    <s v="2"/>
    <x v="2"/>
    <s v="West"/>
    <s v="16"/>
    <x v="2"/>
    <x v="2"/>
    <n v="20"/>
    <n v="20"/>
    <s v="ST"/>
    <n v="91.58"/>
    <n v="1831.6"/>
    <n v="1674.8"/>
    <s v="EUR"/>
  </r>
  <r>
    <s v=".1~519"/>
    <n v="519"/>
    <s v="D2"/>
    <x v="6"/>
    <s v="06"/>
    <x v="61"/>
    <n v="14"/>
    <n v="66"/>
    <s v="2017"/>
    <s v="1"/>
    <x v="2"/>
    <s v="West"/>
    <s v="16"/>
    <x v="4"/>
    <x v="4"/>
    <n v="25"/>
    <n v="25"/>
    <s v="ST"/>
    <n v="67.069999999999993"/>
    <n v="1676.75"/>
    <n v="1517.25"/>
    <s v="EUR"/>
  </r>
  <r>
    <s v=".1~520"/>
    <n v="520"/>
    <s v="D2"/>
    <x v="6"/>
    <s v="06"/>
    <x v="61"/>
    <n v="14"/>
    <n v="66"/>
    <s v="2021"/>
    <s v="1"/>
    <x v="2"/>
    <s v="West"/>
    <s v="16"/>
    <x v="5"/>
    <x v="5"/>
    <n v="45"/>
    <n v="45"/>
    <s v="ST"/>
    <n v="48.5"/>
    <n v="2182.5"/>
    <n v="1973.7"/>
    <s v="EUR"/>
  </r>
  <r>
    <s v=".1~521"/>
    <n v="521"/>
    <s v="D2"/>
    <x v="6"/>
    <s v="07"/>
    <x v="62"/>
    <n v="14"/>
    <n v="67"/>
    <s v="2031"/>
    <s v="1"/>
    <x v="0"/>
    <s v="North"/>
    <s v="16"/>
    <x v="0"/>
    <x v="0"/>
    <n v="65"/>
    <n v="65"/>
    <s v="ST"/>
    <n v="28.18"/>
    <n v="1831.7"/>
    <n v="1513.2"/>
    <s v="EUR"/>
  </r>
  <r>
    <s v=".1~522"/>
    <n v="522"/>
    <s v="D2"/>
    <x v="6"/>
    <s v="07"/>
    <x v="62"/>
    <n v="14"/>
    <n v="67"/>
    <s v="2031"/>
    <s v="2"/>
    <x v="0"/>
    <s v="North"/>
    <s v="16"/>
    <x v="3"/>
    <x v="3"/>
    <n v="24"/>
    <n v="24"/>
    <s v="ST"/>
    <n v="79.87"/>
    <n v="1916.88"/>
    <n v="1754.4"/>
    <s v="EUR"/>
  </r>
  <r>
    <s v=".1~523"/>
    <n v="523"/>
    <s v="D2"/>
    <x v="6"/>
    <s v="07"/>
    <x v="62"/>
    <n v="14"/>
    <n v="67"/>
    <s v="2041"/>
    <s v="5"/>
    <x v="1"/>
    <s v="South"/>
    <s v="16"/>
    <x v="1"/>
    <x v="1"/>
    <n v="11"/>
    <n v="11"/>
    <s v="ST"/>
    <n v="31.45"/>
    <n v="345.95"/>
    <n v="288.64"/>
    <s v="EUR"/>
  </r>
  <r>
    <s v=".1~524"/>
    <n v="524"/>
    <s v="D2"/>
    <x v="6"/>
    <s v="07"/>
    <x v="62"/>
    <n v="14"/>
    <n v="67"/>
    <s v="2041"/>
    <s v="1"/>
    <x v="1"/>
    <s v="South"/>
    <s v="16"/>
    <x v="1"/>
    <x v="1"/>
    <n v="71"/>
    <n v="71"/>
    <s v="ST"/>
    <n v="31.45"/>
    <n v="2232.9499999999998"/>
    <n v="1863.04"/>
    <s v="EUR"/>
  </r>
  <r>
    <s v=".1~525"/>
    <n v="525"/>
    <s v="D2"/>
    <x v="6"/>
    <s v="07"/>
    <x v="62"/>
    <n v="14"/>
    <n v="67"/>
    <s v="2041"/>
    <s v="3"/>
    <x v="1"/>
    <s v="South"/>
    <s v="16"/>
    <x v="1"/>
    <x v="1"/>
    <n v="78"/>
    <n v="78"/>
    <s v="ST"/>
    <n v="31.45"/>
    <n v="2453.1"/>
    <n v="2046.72"/>
    <s v="EUR"/>
  </r>
  <r>
    <s v=".1~526"/>
    <n v="526"/>
    <s v="D2"/>
    <x v="6"/>
    <s v="07"/>
    <x v="62"/>
    <n v="14"/>
    <n v="67"/>
    <s v="2041"/>
    <s v="4"/>
    <x v="1"/>
    <s v="South"/>
    <s v="16"/>
    <x v="4"/>
    <x v="4"/>
    <n v="26"/>
    <n v="26"/>
    <s v="ST"/>
    <n v="67.069999999999993"/>
    <n v="1743.82"/>
    <n v="1579.24"/>
    <s v="EUR"/>
  </r>
  <r>
    <s v=".1~527"/>
    <n v="527"/>
    <s v="D2"/>
    <x v="6"/>
    <s v="07"/>
    <x v="62"/>
    <n v="14"/>
    <n v="67"/>
    <s v="2038"/>
    <s v="1"/>
    <x v="2"/>
    <s v="West"/>
    <s v="16"/>
    <x v="0"/>
    <x v="0"/>
    <n v="73"/>
    <n v="73"/>
    <s v="ST"/>
    <n v="28.18"/>
    <n v="2057.14"/>
    <n v="1699.44"/>
    <s v="EUR"/>
  </r>
  <r>
    <s v=".1~528"/>
    <n v="528"/>
    <s v="D2"/>
    <x v="6"/>
    <s v="07"/>
    <x v="62"/>
    <n v="14"/>
    <n v="67"/>
    <s v="2034"/>
    <s v="1"/>
    <x v="2"/>
    <s v="West"/>
    <s v="16"/>
    <x v="4"/>
    <x v="4"/>
    <n v="22"/>
    <n v="22"/>
    <s v="ST"/>
    <n v="67.069999999999993"/>
    <n v="1475.54"/>
    <n v="1336.28"/>
    <s v="EUR"/>
  </r>
  <r>
    <s v=".1~529"/>
    <n v="529"/>
    <s v="D2"/>
    <x v="6"/>
    <s v="08"/>
    <x v="63"/>
    <n v="14"/>
    <n v="68"/>
    <s v="2043"/>
    <s v="4"/>
    <x v="0"/>
    <s v="North"/>
    <s v="16"/>
    <x v="0"/>
    <x v="0"/>
    <n v="69"/>
    <n v="69"/>
    <s v="ST"/>
    <n v="28.18"/>
    <n v="1944.42"/>
    <n v="1606.32"/>
    <s v="EUR"/>
  </r>
  <r>
    <s v=".1~530"/>
    <n v="530"/>
    <s v="D2"/>
    <x v="6"/>
    <s v="08"/>
    <x v="63"/>
    <n v="14"/>
    <n v="68"/>
    <s v="2043"/>
    <s v="1"/>
    <x v="0"/>
    <s v="North"/>
    <s v="16"/>
    <x v="0"/>
    <x v="0"/>
    <n v="54"/>
    <n v="54"/>
    <s v="ST"/>
    <n v="28.18"/>
    <n v="1521.72"/>
    <n v="1257.1199999999999"/>
    <s v="EUR"/>
  </r>
  <r>
    <s v=".1~531"/>
    <n v="531"/>
    <s v="D2"/>
    <x v="6"/>
    <s v="08"/>
    <x v="63"/>
    <n v="14"/>
    <n v="68"/>
    <s v="2048"/>
    <s v="2"/>
    <x v="0"/>
    <s v="North"/>
    <s v="16"/>
    <x v="0"/>
    <x v="0"/>
    <n v="57"/>
    <n v="57"/>
    <s v="ST"/>
    <n v="28.18"/>
    <n v="1606.26"/>
    <n v="1326.96"/>
    <s v="EUR"/>
  </r>
  <r>
    <s v=".1~532"/>
    <n v="532"/>
    <s v="D2"/>
    <x v="6"/>
    <s v="08"/>
    <x v="63"/>
    <n v="14"/>
    <n v="68"/>
    <s v="2043"/>
    <s v="2"/>
    <x v="0"/>
    <s v="North"/>
    <s v="16"/>
    <x v="1"/>
    <x v="1"/>
    <n v="52"/>
    <n v="52"/>
    <s v="ST"/>
    <n v="31.45"/>
    <n v="1635.4"/>
    <n v="1364.48"/>
    <s v="EUR"/>
  </r>
  <r>
    <s v=".1~533"/>
    <n v="533"/>
    <s v="D2"/>
    <x v="6"/>
    <s v="08"/>
    <x v="63"/>
    <n v="14"/>
    <n v="68"/>
    <s v="2048"/>
    <s v="1"/>
    <x v="0"/>
    <s v="North"/>
    <s v="16"/>
    <x v="1"/>
    <x v="1"/>
    <n v="69"/>
    <n v="69"/>
    <s v="ST"/>
    <n v="31.45"/>
    <n v="2170.0500000000002"/>
    <n v="1810.56"/>
    <s v="EUR"/>
  </r>
  <r>
    <s v=".1~534"/>
    <n v="534"/>
    <s v="D2"/>
    <x v="6"/>
    <s v="08"/>
    <x v="63"/>
    <n v="14"/>
    <n v="68"/>
    <s v="2043"/>
    <s v="5"/>
    <x v="0"/>
    <s v="North"/>
    <s v="16"/>
    <x v="2"/>
    <x v="2"/>
    <n v="26"/>
    <n v="26"/>
    <s v="ST"/>
    <n v="91.58"/>
    <n v="2381.08"/>
    <n v="2179.3200000000002"/>
    <s v="EUR"/>
  </r>
  <r>
    <s v=".1~535"/>
    <n v="535"/>
    <s v="D2"/>
    <x v="6"/>
    <s v="08"/>
    <x v="63"/>
    <n v="14"/>
    <n v="68"/>
    <s v="2043"/>
    <s v="3"/>
    <x v="0"/>
    <s v="North"/>
    <s v="16"/>
    <x v="5"/>
    <x v="5"/>
    <n v="43"/>
    <n v="43"/>
    <s v="ST"/>
    <n v="48.5"/>
    <n v="2085.5"/>
    <n v="1885.12"/>
    <s v="EUR"/>
  </r>
  <r>
    <s v=".1~536"/>
    <n v="536"/>
    <s v="D2"/>
    <x v="6"/>
    <s v="08"/>
    <x v="63"/>
    <n v="14"/>
    <n v="68"/>
    <s v="2061"/>
    <s v="3"/>
    <x v="1"/>
    <s v="South"/>
    <s v="16"/>
    <x v="0"/>
    <x v="0"/>
    <n v="71"/>
    <n v="71"/>
    <s v="ST"/>
    <n v="28.18"/>
    <n v="2000.78"/>
    <n v="1652.88"/>
    <s v="EUR"/>
  </r>
  <r>
    <s v=".1~537"/>
    <n v="537"/>
    <s v="D2"/>
    <x v="6"/>
    <s v="08"/>
    <x v="63"/>
    <n v="14"/>
    <n v="68"/>
    <s v="2061"/>
    <s v="1"/>
    <x v="1"/>
    <s v="South"/>
    <s v="16"/>
    <x v="3"/>
    <x v="3"/>
    <n v="25"/>
    <n v="25"/>
    <s v="ST"/>
    <n v="79.87"/>
    <n v="1996.75"/>
    <n v="1827.5"/>
    <s v="EUR"/>
  </r>
  <r>
    <s v=".1~538"/>
    <n v="538"/>
    <s v="D2"/>
    <x v="6"/>
    <s v="08"/>
    <x v="63"/>
    <n v="14"/>
    <n v="68"/>
    <s v="2060"/>
    <s v="2"/>
    <x v="1"/>
    <s v="South"/>
    <s v="16"/>
    <x v="1"/>
    <x v="1"/>
    <n v="47"/>
    <n v="47"/>
    <s v="ST"/>
    <n v="31.45"/>
    <n v="1478.15"/>
    <n v="1233.28"/>
    <s v="EUR"/>
  </r>
  <r>
    <s v=".1~539"/>
    <n v="539"/>
    <s v="D2"/>
    <x v="6"/>
    <s v="08"/>
    <x v="63"/>
    <n v="14"/>
    <n v="68"/>
    <s v="2061"/>
    <s v="4"/>
    <x v="1"/>
    <s v="South"/>
    <s v="16"/>
    <x v="2"/>
    <x v="2"/>
    <n v="26"/>
    <n v="26"/>
    <s v="ST"/>
    <n v="91.58"/>
    <n v="2381.08"/>
    <n v="2179.3200000000002"/>
    <s v="EUR"/>
  </r>
  <r>
    <s v=".1~540"/>
    <n v="540"/>
    <s v="D2"/>
    <x v="6"/>
    <s v="08"/>
    <x v="63"/>
    <n v="14"/>
    <n v="68"/>
    <s v="2060"/>
    <s v="1"/>
    <x v="1"/>
    <s v="South"/>
    <s v="16"/>
    <x v="4"/>
    <x v="4"/>
    <n v="26"/>
    <n v="26"/>
    <s v="ST"/>
    <n v="67.069999999999993"/>
    <n v="1743.82"/>
    <n v="1579.24"/>
    <s v="EUR"/>
  </r>
  <r>
    <s v=".1~541"/>
    <n v="541"/>
    <s v="D2"/>
    <x v="6"/>
    <s v="08"/>
    <x v="63"/>
    <n v="14"/>
    <n v="68"/>
    <s v="2061"/>
    <s v="2"/>
    <x v="1"/>
    <s v="South"/>
    <s v="16"/>
    <x v="5"/>
    <x v="5"/>
    <n v="31"/>
    <n v="31"/>
    <s v="ST"/>
    <n v="48.5"/>
    <n v="1503.5"/>
    <n v="1359.04"/>
    <s v="EUR"/>
  </r>
  <r>
    <s v=".1~542"/>
    <n v="542"/>
    <s v="D2"/>
    <x v="6"/>
    <s v="08"/>
    <x v="63"/>
    <n v="14"/>
    <n v="68"/>
    <s v="2052"/>
    <s v="5"/>
    <x v="2"/>
    <s v="West"/>
    <s v="16"/>
    <x v="0"/>
    <x v="0"/>
    <n v="61"/>
    <n v="61"/>
    <s v="ST"/>
    <n v="28.18"/>
    <n v="1718.98"/>
    <n v="1420.08"/>
    <s v="EUR"/>
  </r>
  <r>
    <s v=".1~543"/>
    <n v="543"/>
    <s v="D2"/>
    <x v="6"/>
    <s v="08"/>
    <x v="63"/>
    <n v="14"/>
    <n v="68"/>
    <s v="2058"/>
    <s v="3"/>
    <x v="2"/>
    <s v="West"/>
    <s v="16"/>
    <x v="0"/>
    <x v="0"/>
    <n v="16"/>
    <n v="16"/>
    <s v="ST"/>
    <n v="28.18"/>
    <n v="450.88"/>
    <n v="372.48"/>
    <s v="EUR"/>
  </r>
  <r>
    <s v=".1~544"/>
    <n v="544"/>
    <s v="D2"/>
    <x v="6"/>
    <s v="08"/>
    <x v="63"/>
    <n v="14"/>
    <n v="68"/>
    <s v="2052"/>
    <s v="4"/>
    <x v="2"/>
    <s v="West"/>
    <s v="16"/>
    <x v="1"/>
    <x v="1"/>
    <n v="60"/>
    <n v="60"/>
    <s v="ST"/>
    <n v="31.45"/>
    <n v="1887"/>
    <n v="1574.4"/>
    <s v="EUR"/>
  </r>
  <r>
    <s v=".1~545"/>
    <n v="545"/>
    <s v="D2"/>
    <x v="6"/>
    <s v="08"/>
    <x v="63"/>
    <n v="14"/>
    <n v="68"/>
    <s v="2058"/>
    <s v="1"/>
    <x v="2"/>
    <s v="West"/>
    <s v="16"/>
    <x v="1"/>
    <x v="1"/>
    <n v="27"/>
    <n v="27"/>
    <s v="ST"/>
    <n v="31.45"/>
    <n v="849.15"/>
    <n v="708.48"/>
    <s v="EUR"/>
  </r>
  <r>
    <s v=".1~546"/>
    <n v="546"/>
    <s v="D2"/>
    <x v="6"/>
    <s v="08"/>
    <x v="63"/>
    <n v="14"/>
    <n v="68"/>
    <s v="2052"/>
    <s v="6"/>
    <x v="2"/>
    <s v="West"/>
    <s v="16"/>
    <x v="2"/>
    <x v="2"/>
    <n v="5"/>
    <n v="5"/>
    <s v="ST"/>
    <n v="91.58"/>
    <n v="457.9"/>
    <n v="419.1"/>
    <s v="EUR"/>
  </r>
  <r>
    <s v=".1~547"/>
    <n v="547"/>
    <s v="D2"/>
    <x v="6"/>
    <s v="08"/>
    <x v="63"/>
    <n v="14"/>
    <n v="68"/>
    <s v="2052"/>
    <s v="3"/>
    <x v="2"/>
    <s v="West"/>
    <s v="16"/>
    <x v="2"/>
    <x v="2"/>
    <n v="26"/>
    <n v="26"/>
    <s v="ST"/>
    <n v="91.58"/>
    <n v="2381.08"/>
    <n v="2179.3200000000002"/>
    <s v="EUR"/>
  </r>
  <r>
    <s v=".1~548"/>
    <n v="548"/>
    <s v="D2"/>
    <x v="6"/>
    <s v="08"/>
    <x v="63"/>
    <n v="14"/>
    <n v="68"/>
    <s v="2052"/>
    <s v="2"/>
    <x v="2"/>
    <s v="West"/>
    <s v="16"/>
    <x v="2"/>
    <x v="2"/>
    <n v="20"/>
    <n v="20"/>
    <s v="ST"/>
    <n v="91.58"/>
    <n v="1831.6"/>
    <n v="1676.4"/>
    <s v="EUR"/>
  </r>
  <r>
    <s v=".1~549"/>
    <n v="549"/>
    <s v="D2"/>
    <x v="6"/>
    <s v="08"/>
    <x v="63"/>
    <n v="14"/>
    <n v="68"/>
    <s v="2058"/>
    <s v="2"/>
    <x v="2"/>
    <s v="West"/>
    <s v="16"/>
    <x v="2"/>
    <x v="2"/>
    <n v="22"/>
    <n v="22"/>
    <s v="ST"/>
    <n v="91.58"/>
    <n v="2014.76"/>
    <n v="1844.04"/>
    <s v="EUR"/>
  </r>
  <r>
    <s v=".1~550"/>
    <n v="550"/>
    <s v="D2"/>
    <x v="6"/>
    <s v="08"/>
    <x v="63"/>
    <n v="14"/>
    <n v="68"/>
    <s v="2052"/>
    <s v="1"/>
    <x v="2"/>
    <s v="West"/>
    <s v="16"/>
    <x v="4"/>
    <x v="4"/>
    <n v="35"/>
    <n v="35"/>
    <s v="ST"/>
    <n v="67.069999999999993"/>
    <n v="2347.4499999999998"/>
    <n v="2125.9"/>
    <s v="EUR"/>
  </r>
  <r>
    <s v=".1~551"/>
    <n v="551"/>
    <s v="D2"/>
    <x v="6"/>
    <s v="09"/>
    <x v="64"/>
    <n v="14"/>
    <n v="69"/>
    <s v="2068"/>
    <s v="1"/>
    <x v="0"/>
    <s v="North"/>
    <s v="16"/>
    <x v="1"/>
    <x v="1"/>
    <n v="54"/>
    <n v="54"/>
    <s v="ST"/>
    <n v="31.45"/>
    <n v="1698.3"/>
    <n v="1416.96"/>
    <s v="EUR"/>
  </r>
  <r>
    <s v=".1~552"/>
    <n v="552"/>
    <s v="D2"/>
    <x v="6"/>
    <s v="09"/>
    <x v="64"/>
    <n v="14"/>
    <n v="69"/>
    <s v="2072"/>
    <s v="1"/>
    <x v="0"/>
    <s v="North"/>
    <s v="16"/>
    <x v="4"/>
    <x v="4"/>
    <n v="23"/>
    <n v="23"/>
    <s v="ST"/>
    <n v="67.069999999999993"/>
    <n v="1542.61"/>
    <n v="1397.02"/>
    <s v="EUR"/>
  </r>
  <r>
    <s v=".1~553"/>
    <n v="553"/>
    <s v="D2"/>
    <x v="6"/>
    <s v="09"/>
    <x v="64"/>
    <n v="14"/>
    <n v="69"/>
    <s v="2075"/>
    <s v="6"/>
    <x v="1"/>
    <s v="South"/>
    <s v="16"/>
    <x v="3"/>
    <x v="3"/>
    <n v="29"/>
    <n v="29"/>
    <s v="ST"/>
    <n v="79.87"/>
    <n v="2316.23"/>
    <n v="2119.9"/>
    <s v="EUR"/>
  </r>
  <r>
    <s v=".1~554"/>
    <n v="554"/>
    <s v="D2"/>
    <x v="6"/>
    <s v="09"/>
    <x v="64"/>
    <n v="14"/>
    <n v="69"/>
    <s v="2075"/>
    <s v="1"/>
    <x v="1"/>
    <s v="South"/>
    <s v="16"/>
    <x v="1"/>
    <x v="1"/>
    <n v="52"/>
    <n v="52"/>
    <s v="ST"/>
    <n v="31.45"/>
    <n v="1635.4"/>
    <n v="1364.48"/>
    <s v="EUR"/>
  </r>
  <r>
    <s v=".1~555"/>
    <n v="555"/>
    <s v="D2"/>
    <x v="6"/>
    <s v="09"/>
    <x v="64"/>
    <n v="14"/>
    <n v="69"/>
    <s v="2075"/>
    <s v="5"/>
    <x v="1"/>
    <s v="South"/>
    <s v="16"/>
    <x v="1"/>
    <x v="1"/>
    <n v="70"/>
    <n v="70"/>
    <s v="ST"/>
    <n v="31.45"/>
    <n v="2201.5"/>
    <n v="1836.8"/>
    <s v="EUR"/>
  </r>
  <r>
    <s v=".1~556"/>
    <n v="556"/>
    <s v="D2"/>
    <x v="6"/>
    <s v="09"/>
    <x v="64"/>
    <n v="14"/>
    <n v="69"/>
    <s v="2075"/>
    <s v="4"/>
    <x v="1"/>
    <s v="South"/>
    <s v="16"/>
    <x v="2"/>
    <x v="2"/>
    <n v="19"/>
    <n v="19"/>
    <s v="ST"/>
    <n v="91.58"/>
    <n v="1740.02"/>
    <n v="1592.58"/>
    <s v="EUR"/>
  </r>
  <r>
    <s v=".1~557"/>
    <n v="557"/>
    <s v="D2"/>
    <x v="6"/>
    <s v="09"/>
    <x v="64"/>
    <n v="14"/>
    <n v="69"/>
    <s v="2075"/>
    <s v="3"/>
    <x v="1"/>
    <s v="South"/>
    <s v="16"/>
    <x v="4"/>
    <x v="4"/>
    <n v="27"/>
    <n v="27"/>
    <s v="ST"/>
    <n v="67.069999999999993"/>
    <n v="1810.89"/>
    <n v="1639.98"/>
    <s v="EUR"/>
  </r>
  <r>
    <s v=".1~558"/>
    <n v="558"/>
    <s v="D2"/>
    <x v="6"/>
    <s v="09"/>
    <x v="64"/>
    <n v="14"/>
    <n v="69"/>
    <s v="2065"/>
    <s v="1"/>
    <x v="2"/>
    <s v="West"/>
    <s v="16"/>
    <x v="3"/>
    <x v="3"/>
    <n v="23"/>
    <n v="23"/>
    <s v="ST"/>
    <n v="79.87"/>
    <n v="1837.01"/>
    <n v="1681.3"/>
    <s v="EUR"/>
  </r>
  <r>
    <s v=".1~559"/>
    <n v="559"/>
    <s v="D2"/>
    <x v="6"/>
    <s v="10"/>
    <x v="65"/>
    <n v="14"/>
    <n v="70"/>
    <s v="2081"/>
    <s v="1"/>
    <x v="0"/>
    <s v="North"/>
    <s v="16"/>
    <x v="0"/>
    <x v="0"/>
    <n v="80"/>
    <n v="80"/>
    <s v="ST"/>
    <n v="28.18"/>
    <n v="2254.4"/>
    <n v="1862.4"/>
    <s v="EUR"/>
  </r>
  <r>
    <s v=".1~560"/>
    <n v="560"/>
    <s v="D2"/>
    <x v="6"/>
    <s v="10"/>
    <x v="65"/>
    <n v="14"/>
    <n v="70"/>
    <s v="2081"/>
    <s v="0"/>
    <x v="0"/>
    <s v="North"/>
    <s v="16"/>
    <x v="0"/>
    <x v="0"/>
    <n v="82"/>
    <n v="82"/>
    <s v="ST"/>
    <n v="28.18"/>
    <n v="2310.7600000000002"/>
    <n v="1908.96"/>
    <s v="EUR"/>
  </r>
  <r>
    <s v=".1~561"/>
    <n v="561"/>
    <s v="D2"/>
    <x v="6"/>
    <s v="10"/>
    <x v="65"/>
    <n v="14"/>
    <n v="70"/>
    <s v="2081"/>
    <s v="9"/>
    <x v="0"/>
    <s v="North"/>
    <s v="16"/>
    <x v="0"/>
    <x v="0"/>
    <n v="56"/>
    <n v="56"/>
    <s v="ST"/>
    <n v="28.18"/>
    <n v="1578.08"/>
    <n v="1303.68"/>
    <s v="EUR"/>
  </r>
  <r>
    <s v=".1~562"/>
    <n v="562"/>
    <s v="D2"/>
    <x v="6"/>
    <s v="10"/>
    <x v="65"/>
    <n v="14"/>
    <n v="70"/>
    <s v="2081"/>
    <s v="3"/>
    <x v="0"/>
    <s v="North"/>
    <s v="16"/>
    <x v="0"/>
    <x v="0"/>
    <n v="56"/>
    <n v="56"/>
    <s v="ST"/>
    <n v="28.18"/>
    <n v="1578.08"/>
    <n v="1303.68"/>
    <s v="EUR"/>
  </r>
  <r>
    <s v=".1~563"/>
    <n v="563"/>
    <s v="D2"/>
    <x v="6"/>
    <s v="10"/>
    <x v="65"/>
    <n v="14"/>
    <n v="70"/>
    <s v="2081"/>
    <s v="2"/>
    <x v="0"/>
    <s v="North"/>
    <s v="16"/>
    <x v="2"/>
    <x v="2"/>
    <n v="16"/>
    <n v="16"/>
    <s v="ST"/>
    <n v="91.58"/>
    <n v="1465.28"/>
    <n v="1341.12"/>
    <s v="EUR"/>
  </r>
  <r>
    <s v=".1~564"/>
    <n v="564"/>
    <s v="D2"/>
    <x v="6"/>
    <s v="10"/>
    <x v="65"/>
    <n v="14"/>
    <n v="70"/>
    <s v="2081"/>
    <s v="4"/>
    <x v="0"/>
    <s v="North"/>
    <s v="16"/>
    <x v="4"/>
    <x v="4"/>
    <n v="24"/>
    <n v="24"/>
    <s v="ST"/>
    <n v="67.069999999999993"/>
    <n v="1609.68"/>
    <n v="1457.76"/>
    <s v="EUR"/>
  </r>
  <r>
    <s v=".1~565"/>
    <n v="565"/>
    <s v="D2"/>
    <x v="6"/>
    <s v="10"/>
    <x v="65"/>
    <n v="14"/>
    <n v="70"/>
    <s v="2081"/>
    <s v="1"/>
    <x v="0"/>
    <s v="North"/>
    <s v="16"/>
    <x v="5"/>
    <x v="5"/>
    <n v="38"/>
    <n v="38"/>
    <s v="ST"/>
    <n v="48.5"/>
    <n v="1843"/>
    <n v="1665.92"/>
    <s v="EUR"/>
  </r>
  <r>
    <s v=".1~566"/>
    <n v="566"/>
    <s v="D2"/>
    <x v="6"/>
    <s v="10"/>
    <x v="65"/>
    <n v="14"/>
    <n v="70"/>
    <s v="2090"/>
    <s v="2"/>
    <x v="1"/>
    <s v="South"/>
    <s v="16"/>
    <x v="3"/>
    <x v="3"/>
    <n v="25"/>
    <n v="25"/>
    <s v="ST"/>
    <n v="79.87"/>
    <n v="1996.75"/>
    <n v="1827.5"/>
    <s v="EUR"/>
  </r>
  <r>
    <s v=".1~567"/>
    <n v="567"/>
    <s v="D2"/>
    <x v="6"/>
    <s v="10"/>
    <x v="65"/>
    <n v="14"/>
    <n v="70"/>
    <s v="2090"/>
    <s v="3"/>
    <x v="1"/>
    <s v="South"/>
    <s v="16"/>
    <x v="1"/>
    <x v="1"/>
    <n v="52"/>
    <n v="52"/>
    <s v="ST"/>
    <n v="31.45"/>
    <n v="1635.4"/>
    <n v="1364.48"/>
    <s v="EUR"/>
  </r>
  <r>
    <s v=".1~568"/>
    <n v="568"/>
    <s v="D2"/>
    <x v="6"/>
    <s v="10"/>
    <x v="65"/>
    <n v="14"/>
    <n v="70"/>
    <s v="2093"/>
    <s v="1"/>
    <x v="1"/>
    <s v="South"/>
    <s v="16"/>
    <x v="4"/>
    <x v="4"/>
    <n v="32"/>
    <n v="32"/>
    <s v="ST"/>
    <n v="67.069999999999993"/>
    <n v="2146.2399999999998"/>
    <n v="1943.68"/>
    <s v="EUR"/>
  </r>
  <r>
    <s v=".1~569"/>
    <n v="569"/>
    <s v="D2"/>
    <x v="6"/>
    <s v="10"/>
    <x v="65"/>
    <n v="14"/>
    <n v="70"/>
    <s v="2090"/>
    <s v="1"/>
    <x v="1"/>
    <s v="South"/>
    <s v="16"/>
    <x v="4"/>
    <x v="4"/>
    <n v="30"/>
    <n v="30"/>
    <s v="ST"/>
    <n v="67.069999999999993"/>
    <n v="2012.1"/>
    <n v="1822.2"/>
    <s v="EUR"/>
  </r>
  <r>
    <s v=".1~570"/>
    <n v="570"/>
    <s v="D2"/>
    <x v="6"/>
    <s v="10"/>
    <x v="65"/>
    <n v="14"/>
    <n v="70"/>
    <s v="2077"/>
    <s v="1"/>
    <x v="2"/>
    <s v="West"/>
    <s v="16"/>
    <x v="0"/>
    <x v="0"/>
    <n v="75"/>
    <n v="75"/>
    <s v="ST"/>
    <n v="28.18"/>
    <n v="2113.5"/>
    <n v="1746"/>
    <s v="EUR"/>
  </r>
  <r>
    <s v=".1~571"/>
    <n v="571"/>
    <s v="D2"/>
    <x v="6"/>
    <s v="10"/>
    <x v="65"/>
    <n v="14"/>
    <n v="70"/>
    <s v="2086"/>
    <s v="1"/>
    <x v="2"/>
    <s v="West"/>
    <s v="16"/>
    <x v="1"/>
    <x v="1"/>
    <n v="60"/>
    <n v="60"/>
    <s v="ST"/>
    <n v="31.45"/>
    <n v="1887"/>
    <n v="1574.4"/>
    <s v="EUR"/>
  </r>
  <r>
    <s v=".1~572"/>
    <n v="572"/>
    <s v="D2"/>
    <x v="6"/>
    <s v="10"/>
    <x v="65"/>
    <n v="14"/>
    <n v="70"/>
    <s v="2086"/>
    <s v="2"/>
    <x v="2"/>
    <s v="West"/>
    <s v="16"/>
    <x v="2"/>
    <x v="2"/>
    <n v="14"/>
    <n v="14"/>
    <s v="ST"/>
    <n v="91.58"/>
    <n v="1282.1199999999999"/>
    <n v="1173.48"/>
    <s v="EUR"/>
  </r>
  <r>
    <s v=".1~573"/>
    <n v="573"/>
    <s v="D2"/>
    <x v="6"/>
    <s v="10"/>
    <x v="65"/>
    <n v="14"/>
    <n v="70"/>
    <s v="2086"/>
    <s v="3"/>
    <x v="2"/>
    <s v="West"/>
    <s v="16"/>
    <x v="5"/>
    <x v="5"/>
    <n v="41"/>
    <n v="41"/>
    <s v="ST"/>
    <n v="48.5"/>
    <n v="1988.5"/>
    <n v="1797.44"/>
    <s v="EUR"/>
  </r>
  <r>
    <s v=".1~574"/>
    <n v="574"/>
    <s v="D2"/>
    <x v="7"/>
    <s v="01"/>
    <x v="66"/>
    <n v="15"/>
    <n v="71"/>
    <s v="2109"/>
    <s v="1"/>
    <x v="0"/>
    <s v="North"/>
    <s v="16"/>
    <x v="0"/>
    <x v="0"/>
    <n v="59"/>
    <n v="59"/>
    <s v="ST"/>
    <n v="28.18"/>
    <n v="1662.62"/>
    <n v="1372.34"/>
    <s v="EUR"/>
  </r>
  <r>
    <s v=".1~575"/>
    <n v="575"/>
    <s v="D2"/>
    <x v="7"/>
    <s v="01"/>
    <x v="66"/>
    <n v="15"/>
    <n v="71"/>
    <s v="2105"/>
    <s v="1"/>
    <x v="0"/>
    <s v="North"/>
    <s v="16"/>
    <x v="0"/>
    <x v="0"/>
    <n v="82"/>
    <n v="82"/>
    <s v="ST"/>
    <n v="28.18"/>
    <n v="2310.7600000000002"/>
    <n v="1907.32"/>
    <s v="EUR"/>
  </r>
  <r>
    <s v=".1~576"/>
    <n v="576"/>
    <s v="D2"/>
    <x v="7"/>
    <s v="01"/>
    <x v="66"/>
    <n v="15"/>
    <n v="71"/>
    <s v="2109"/>
    <s v="2"/>
    <x v="0"/>
    <s v="North"/>
    <s v="16"/>
    <x v="2"/>
    <x v="2"/>
    <n v="19"/>
    <n v="19"/>
    <s v="ST"/>
    <n v="91.58"/>
    <n v="1740.02"/>
    <n v="1590.87"/>
    <s v="EUR"/>
  </r>
  <r>
    <s v=".1~577"/>
    <n v="577"/>
    <s v="D2"/>
    <x v="7"/>
    <s v="01"/>
    <x v="66"/>
    <n v="15"/>
    <n v="71"/>
    <s v="2105"/>
    <s v="2"/>
    <x v="0"/>
    <s v="North"/>
    <s v="16"/>
    <x v="5"/>
    <x v="5"/>
    <n v="18"/>
    <n v="18"/>
    <s v="ST"/>
    <n v="48.5"/>
    <n v="873"/>
    <n v="787.32"/>
    <s v="EUR"/>
  </r>
  <r>
    <s v=".1~578"/>
    <n v="578"/>
    <s v="D2"/>
    <x v="7"/>
    <s v="01"/>
    <x v="66"/>
    <n v="15"/>
    <n v="71"/>
    <s v="2101"/>
    <s v="1"/>
    <x v="2"/>
    <s v="West"/>
    <s v="16"/>
    <x v="2"/>
    <x v="2"/>
    <n v="5"/>
    <n v="5"/>
    <s v="ST"/>
    <n v="91.58"/>
    <n v="457.9"/>
    <n v="418.65"/>
    <s v="EUR"/>
  </r>
  <r>
    <s v=".1~579"/>
    <n v="579"/>
    <s v="D2"/>
    <x v="7"/>
    <s v="01"/>
    <x v="66"/>
    <n v="15"/>
    <n v="71"/>
    <s v="2098"/>
    <s v="1"/>
    <x v="2"/>
    <s v="West"/>
    <s v="16"/>
    <x v="2"/>
    <x v="2"/>
    <n v="23"/>
    <n v="23"/>
    <s v="ST"/>
    <n v="91.58"/>
    <n v="2106.34"/>
    <n v="1925.79"/>
    <s v="EUR"/>
  </r>
  <r>
    <s v=".1~580"/>
    <n v="580"/>
    <s v="D2"/>
    <x v="7"/>
    <s v="01"/>
    <x v="66"/>
    <n v="15"/>
    <n v="71"/>
    <s v="2101"/>
    <s v="2"/>
    <x v="2"/>
    <s v="West"/>
    <s v="16"/>
    <x v="4"/>
    <x v="4"/>
    <n v="23"/>
    <n v="23"/>
    <s v="ST"/>
    <n v="67.069999999999993"/>
    <n v="1542.61"/>
    <n v="1395.87"/>
    <s v="EUR"/>
  </r>
  <r>
    <s v=".1~581"/>
    <n v="581"/>
    <s v="D2"/>
    <x v="7"/>
    <s v="01"/>
    <x v="66"/>
    <n v="15"/>
    <n v="71"/>
    <s v="2098"/>
    <s v="2"/>
    <x v="2"/>
    <s v="West"/>
    <s v="16"/>
    <x v="4"/>
    <x v="4"/>
    <n v="28"/>
    <n v="28"/>
    <s v="ST"/>
    <n v="67.069999999999993"/>
    <n v="1877.96"/>
    <n v="1699.32"/>
    <s v="EUR"/>
  </r>
  <r>
    <s v=".1~582"/>
    <n v="582"/>
    <s v="D2"/>
    <x v="7"/>
    <s v="02"/>
    <x v="67"/>
    <n v="15"/>
    <n v="72"/>
    <s v="2124"/>
    <s v="2"/>
    <x v="0"/>
    <s v="North"/>
    <s v="16"/>
    <x v="0"/>
    <x v="0"/>
    <n v="60"/>
    <n v="60"/>
    <s v="ST"/>
    <n v="28.18"/>
    <n v="1690.8"/>
    <n v="1395.6"/>
    <s v="EUR"/>
  </r>
  <r>
    <s v=".1~583"/>
    <n v="583"/>
    <s v="D2"/>
    <x v="7"/>
    <s v="02"/>
    <x v="67"/>
    <n v="15"/>
    <n v="72"/>
    <s v="2124"/>
    <s v="1"/>
    <x v="0"/>
    <s v="North"/>
    <s v="16"/>
    <x v="1"/>
    <x v="1"/>
    <n v="73"/>
    <n v="73"/>
    <s v="ST"/>
    <n v="31.45"/>
    <n v="2295.85"/>
    <n v="1913.33"/>
    <s v="EUR"/>
  </r>
  <r>
    <s v=".1~584"/>
    <n v="584"/>
    <s v="D2"/>
    <x v="7"/>
    <s v="02"/>
    <x v="67"/>
    <n v="15"/>
    <n v="72"/>
    <s v="2118"/>
    <s v="1"/>
    <x v="0"/>
    <s v="North"/>
    <s v="16"/>
    <x v="4"/>
    <x v="4"/>
    <n v="25"/>
    <n v="25"/>
    <s v="ST"/>
    <n v="67.069999999999993"/>
    <n v="1676.75"/>
    <n v="1517.25"/>
    <s v="EUR"/>
  </r>
  <r>
    <s v=".1~585"/>
    <n v="585"/>
    <s v="D2"/>
    <x v="7"/>
    <s v="02"/>
    <x v="67"/>
    <n v="15"/>
    <n v="72"/>
    <s v="2114"/>
    <s v="2"/>
    <x v="1"/>
    <s v="South"/>
    <s v="16"/>
    <x v="3"/>
    <x v="3"/>
    <n v="18"/>
    <n v="18"/>
    <s v="ST"/>
    <n v="79.87"/>
    <n v="1437.66"/>
    <n v="1314.72"/>
    <s v="EUR"/>
  </r>
  <r>
    <s v=".1~586"/>
    <n v="586"/>
    <s v="D2"/>
    <x v="7"/>
    <s v="02"/>
    <x v="67"/>
    <n v="15"/>
    <n v="72"/>
    <s v="2121"/>
    <s v="2"/>
    <x v="1"/>
    <s v="South"/>
    <s v="16"/>
    <x v="3"/>
    <x v="3"/>
    <n v="21"/>
    <n v="21"/>
    <s v="ST"/>
    <n v="79.87"/>
    <n v="1677.27"/>
    <n v="1533.84"/>
    <s v="EUR"/>
  </r>
  <r>
    <s v=".1~587"/>
    <n v="587"/>
    <s v="D2"/>
    <x v="7"/>
    <s v="02"/>
    <x v="67"/>
    <n v="15"/>
    <n v="72"/>
    <s v="2114"/>
    <s v="1"/>
    <x v="1"/>
    <s v="South"/>
    <s v="16"/>
    <x v="1"/>
    <x v="1"/>
    <n v="58"/>
    <n v="58"/>
    <s v="ST"/>
    <n v="31.45"/>
    <n v="1824.1"/>
    <n v="1520.18"/>
    <s v="EUR"/>
  </r>
  <r>
    <s v=".1~588"/>
    <n v="588"/>
    <s v="D2"/>
    <x v="7"/>
    <s v="02"/>
    <x v="67"/>
    <n v="15"/>
    <n v="72"/>
    <s v="2121"/>
    <s v="3"/>
    <x v="1"/>
    <s v="South"/>
    <s v="16"/>
    <x v="1"/>
    <x v="1"/>
    <n v="34"/>
    <n v="34"/>
    <s v="ST"/>
    <n v="31.45"/>
    <n v="1069.3"/>
    <n v="891.14"/>
    <s v="EUR"/>
  </r>
  <r>
    <s v=".1~589"/>
    <n v="589"/>
    <s v="D2"/>
    <x v="7"/>
    <s v="02"/>
    <x v="67"/>
    <n v="15"/>
    <n v="72"/>
    <s v="2121"/>
    <s v="1"/>
    <x v="1"/>
    <s v="South"/>
    <s v="16"/>
    <x v="1"/>
    <x v="1"/>
    <n v="68"/>
    <n v="68"/>
    <s v="ST"/>
    <n v="31.45"/>
    <n v="2138.6"/>
    <n v="1782.28"/>
    <s v="EUR"/>
  </r>
  <r>
    <s v=".1~590"/>
    <n v="590"/>
    <s v="D2"/>
    <x v="7"/>
    <s v="02"/>
    <x v="67"/>
    <n v="15"/>
    <n v="72"/>
    <s v="2114"/>
    <s v="3"/>
    <x v="1"/>
    <s v="South"/>
    <s v="16"/>
    <x v="4"/>
    <x v="4"/>
    <n v="27"/>
    <n v="27"/>
    <s v="ST"/>
    <n v="67.069999999999993"/>
    <n v="1810.89"/>
    <n v="1638.63"/>
    <s v="EUR"/>
  </r>
  <r>
    <s v=".1~591"/>
    <n v="591"/>
    <s v="D2"/>
    <x v="7"/>
    <s v="03"/>
    <x v="68"/>
    <n v="15"/>
    <n v="73"/>
    <s v="2133"/>
    <s v="2"/>
    <x v="0"/>
    <s v="North"/>
    <s v="16"/>
    <x v="0"/>
    <x v="0"/>
    <n v="66"/>
    <n v="66"/>
    <s v="ST"/>
    <n v="28.18"/>
    <n v="1859.88"/>
    <n v="1535.16"/>
    <s v="EUR"/>
  </r>
  <r>
    <s v=".1~592"/>
    <n v="592"/>
    <s v="D2"/>
    <x v="7"/>
    <s v="03"/>
    <x v="68"/>
    <n v="15"/>
    <n v="73"/>
    <s v="2133"/>
    <s v="8"/>
    <x v="0"/>
    <s v="North"/>
    <s v="16"/>
    <x v="0"/>
    <x v="0"/>
    <n v="83"/>
    <n v="83"/>
    <s v="ST"/>
    <n v="28.18"/>
    <n v="2338.94"/>
    <n v="1930.58"/>
    <s v="EUR"/>
  </r>
  <r>
    <s v=".1~593"/>
    <n v="593"/>
    <s v="D2"/>
    <x v="7"/>
    <s v="03"/>
    <x v="68"/>
    <n v="15"/>
    <n v="73"/>
    <s v="2133"/>
    <s v="1"/>
    <x v="0"/>
    <s v="North"/>
    <s v="16"/>
    <x v="1"/>
    <x v="1"/>
    <n v="74"/>
    <n v="74"/>
    <s v="ST"/>
    <n v="31.45"/>
    <n v="2327.3000000000002"/>
    <n v="1939.54"/>
    <s v="EUR"/>
  </r>
  <r>
    <s v=".1~594"/>
    <n v="594"/>
    <s v="D2"/>
    <x v="7"/>
    <s v="03"/>
    <x v="68"/>
    <n v="15"/>
    <n v="73"/>
    <s v="2133"/>
    <s v="7"/>
    <x v="0"/>
    <s v="North"/>
    <s v="16"/>
    <x v="4"/>
    <x v="4"/>
    <n v="27"/>
    <n v="27"/>
    <s v="ST"/>
    <n v="67.069999999999993"/>
    <n v="1810.89"/>
    <n v="1638.63"/>
    <s v="EUR"/>
  </r>
  <r>
    <s v=".1~595"/>
    <n v="595"/>
    <s v="D2"/>
    <x v="7"/>
    <s v="03"/>
    <x v="68"/>
    <n v="15"/>
    <n v="73"/>
    <s v="2133"/>
    <s v="3"/>
    <x v="0"/>
    <s v="North"/>
    <s v="16"/>
    <x v="5"/>
    <x v="5"/>
    <n v="35"/>
    <n v="35"/>
    <s v="ST"/>
    <n v="48.5"/>
    <n v="1697.5"/>
    <n v="1530.9"/>
    <s v="EUR"/>
  </r>
  <r>
    <s v=".1~596"/>
    <n v="596"/>
    <s v="D2"/>
    <x v="7"/>
    <s v="03"/>
    <x v="68"/>
    <n v="15"/>
    <n v="73"/>
    <s v="2136"/>
    <s v="2"/>
    <x v="1"/>
    <s v="South"/>
    <s v="16"/>
    <x v="0"/>
    <x v="0"/>
    <n v="63"/>
    <n v="63"/>
    <s v="ST"/>
    <n v="28.18"/>
    <n v="1775.34"/>
    <n v="1465.38"/>
    <s v="EUR"/>
  </r>
  <r>
    <s v=".1~597"/>
    <n v="597"/>
    <s v="D2"/>
    <x v="7"/>
    <s v="03"/>
    <x v="68"/>
    <n v="15"/>
    <n v="73"/>
    <s v="2135"/>
    <s v="1"/>
    <x v="1"/>
    <s v="South"/>
    <s v="16"/>
    <x v="3"/>
    <x v="3"/>
    <n v="20"/>
    <n v="20"/>
    <s v="ST"/>
    <n v="79.87"/>
    <n v="1597.4"/>
    <n v="1460.8"/>
    <s v="EUR"/>
  </r>
  <r>
    <s v=".1~598"/>
    <n v="598"/>
    <s v="D2"/>
    <x v="7"/>
    <s v="03"/>
    <x v="68"/>
    <n v="15"/>
    <n v="73"/>
    <s v="2136"/>
    <s v="1"/>
    <x v="1"/>
    <s v="South"/>
    <s v="16"/>
    <x v="1"/>
    <x v="1"/>
    <n v="67"/>
    <n v="67"/>
    <s v="ST"/>
    <n v="31.45"/>
    <n v="2107.15"/>
    <n v="1756.07"/>
    <s v="EUR"/>
  </r>
  <r>
    <s v=".1~599"/>
    <n v="599"/>
    <s v="D2"/>
    <x v="7"/>
    <s v="03"/>
    <x v="68"/>
    <n v="15"/>
    <n v="73"/>
    <s v="2135"/>
    <s v="2"/>
    <x v="1"/>
    <s v="South"/>
    <s v="16"/>
    <x v="4"/>
    <x v="4"/>
    <n v="26"/>
    <n v="26"/>
    <s v="ST"/>
    <n v="67.069999999999993"/>
    <n v="1743.82"/>
    <n v="1577.94"/>
    <s v="EUR"/>
  </r>
  <r>
    <s v=".1~600"/>
    <n v="600"/>
    <s v="D2"/>
    <x v="7"/>
    <s v="03"/>
    <x v="68"/>
    <n v="15"/>
    <n v="73"/>
    <s v="2135"/>
    <s v="3"/>
    <x v="1"/>
    <s v="South"/>
    <s v="16"/>
    <x v="4"/>
    <x v="4"/>
    <n v="26"/>
    <n v="26"/>
    <s v="ST"/>
    <n v="67.069999999999993"/>
    <n v="1743.82"/>
    <n v="1577.94"/>
    <s v="EUR"/>
  </r>
  <r>
    <s v=".1~601"/>
    <n v="601"/>
    <s v="D2"/>
    <x v="7"/>
    <s v="03"/>
    <x v="68"/>
    <n v="15"/>
    <n v="73"/>
    <s v="2129"/>
    <s v="2"/>
    <x v="2"/>
    <s v="West"/>
    <s v="16"/>
    <x v="1"/>
    <x v="1"/>
    <n v="65"/>
    <n v="65"/>
    <s v="ST"/>
    <n v="31.45"/>
    <n v="2044.25"/>
    <n v="1703.65"/>
    <s v="EUR"/>
  </r>
  <r>
    <s v=".1~602"/>
    <n v="602"/>
    <s v="D2"/>
    <x v="7"/>
    <s v="03"/>
    <x v="68"/>
    <n v="15"/>
    <n v="73"/>
    <s v="2129"/>
    <s v="1"/>
    <x v="2"/>
    <s v="West"/>
    <s v="16"/>
    <x v="2"/>
    <x v="2"/>
    <n v="16"/>
    <n v="16"/>
    <s v="ST"/>
    <n v="91.58"/>
    <n v="1465.28"/>
    <n v="1339.68"/>
    <s v="EUR"/>
  </r>
  <r>
    <s v=".1~603"/>
    <n v="603"/>
    <s v="D2"/>
    <x v="7"/>
    <s v="04"/>
    <x v="69"/>
    <n v="15"/>
    <n v="74"/>
    <s v="2140"/>
    <s v="1"/>
    <x v="0"/>
    <s v="North"/>
    <s v="16"/>
    <x v="5"/>
    <x v="5"/>
    <n v="35"/>
    <n v="35"/>
    <s v="ST"/>
    <n v="48.5"/>
    <n v="1697.5"/>
    <n v="1530.9"/>
    <s v="EUR"/>
  </r>
  <r>
    <s v=".1~604"/>
    <n v="604"/>
    <s v="D2"/>
    <x v="7"/>
    <s v="04"/>
    <x v="69"/>
    <n v="15"/>
    <n v="74"/>
    <s v="2150"/>
    <s v="1"/>
    <x v="1"/>
    <s v="South"/>
    <s v="16"/>
    <x v="1"/>
    <x v="1"/>
    <n v="68"/>
    <n v="68"/>
    <s v="ST"/>
    <n v="31.45"/>
    <n v="2138.6"/>
    <n v="1782.28"/>
    <s v="EUR"/>
  </r>
  <r>
    <s v=".1~605"/>
    <n v="605"/>
    <s v="D2"/>
    <x v="7"/>
    <s v="04"/>
    <x v="69"/>
    <n v="15"/>
    <n v="74"/>
    <s v="2150"/>
    <s v="3"/>
    <x v="1"/>
    <s v="South"/>
    <s v="16"/>
    <x v="1"/>
    <x v="1"/>
    <n v="70"/>
    <n v="70"/>
    <s v="ST"/>
    <n v="31.45"/>
    <n v="2201.5"/>
    <n v="1834.7"/>
    <s v="EUR"/>
  </r>
  <r>
    <s v=".1~606"/>
    <n v="606"/>
    <s v="D2"/>
    <x v="7"/>
    <s v="04"/>
    <x v="69"/>
    <n v="15"/>
    <n v="74"/>
    <s v="2150"/>
    <s v="4"/>
    <x v="1"/>
    <s v="South"/>
    <s v="16"/>
    <x v="2"/>
    <x v="2"/>
    <n v="20"/>
    <n v="20"/>
    <s v="ST"/>
    <n v="91.58"/>
    <n v="1831.6"/>
    <n v="1674.6"/>
    <s v="EUR"/>
  </r>
  <r>
    <s v=".1~607"/>
    <n v="607"/>
    <s v="D2"/>
    <x v="7"/>
    <s v="04"/>
    <x v="69"/>
    <n v="15"/>
    <n v="74"/>
    <s v="2147"/>
    <s v="1"/>
    <x v="1"/>
    <s v="South"/>
    <s v="16"/>
    <x v="4"/>
    <x v="4"/>
    <n v="27"/>
    <n v="27"/>
    <s v="ST"/>
    <n v="67.069999999999993"/>
    <n v="1810.89"/>
    <n v="1638.63"/>
    <s v="EUR"/>
  </r>
  <r>
    <s v=".1~608"/>
    <n v="608"/>
    <s v="D2"/>
    <x v="7"/>
    <s v="04"/>
    <x v="69"/>
    <n v="15"/>
    <n v="74"/>
    <s v="2150"/>
    <s v="2"/>
    <x v="1"/>
    <s v="South"/>
    <s v="16"/>
    <x v="4"/>
    <x v="4"/>
    <n v="8"/>
    <n v="8"/>
    <s v="ST"/>
    <n v="67.069999999999993"/>
    <n v="536.55999999999995"/>
    <n v="485.52"/>
    <s v="EUR"/>
  </r>
  <r>
    <s v=".1~609"/>
    <n v="609"/>
    <s v="D2"/>
    <x v="7"/>
    <s v="04"/>
    <x v="69"/>
    <n v="15"/>
    <n v="74"/>
    <s v="2137"/>
    <s v="1"/>
    <x v="2"/>
    <s v="West"/>
    <s v="16"/>
    <x v="0"/>
    <x v="0"/>
    <n v="71"/>
    <n v="71"/>
    <s v="ST"/>
    <n v="28.18"/>
    <n v="2000.78"/>
    <n v="1651.46"/>
    <s v="EUR"/>
  </r>
  <r>
    <s v=".1~610"/>
    <n v="610"/>
    <s v="D2"/>
    <x v="7"/>
    <s v="04"/>
    <x v="69"/>
    <n v="15"/>
    <n v="74"/>
    <s v="2137"/>
    <s v="2"/>
    <x v="2"/>
    <s v="West"/>
    <s v="16"/>
    <x v="2"/>
    <x v="2"/>
    <n v="22"/>
    <n v="22"/>
    <s v="ST"/>
    <n v="91.58"/>
    <n v="2014.76"/>
    <n v="1842.06"/>
    <s v="EUR"/>
  </r>
  <r>
    <s v=".1~611"/>
    <n v="611"/>
    <s v="D2"/>
    <x v="7"/>
    <s v="04"/>
    <x v="69"/>
    <n v="15"/>
    <n v="74"/>
    <s v="2143"/>
    <s v="1"/>
    <x v="2"/>
    <s v="West"/>
    <s v="16"/>
    <x v="2"/>
    <x v="2"/>
    <n v="19"/>
    <n v="19"/>
    <s v="ST"/>
    <n v="91.58"/>
    <n v="1740.02"/>
    <n v="1590.87"/>
    <s v="EUR"/>
  </r>
  <r>
    <s v=".1~612"/>
    <n v="612"/>
    <s v="D2"/>
    <x v="7"/>
    <s v="05"/>
    <x v="70"/>
    <n v="15"/>
    <n v="75"/>
    <s v="2155"/>
    <s v="2"/>
    <x v="0"/>
    <s v="North"/>
    <s v="16"/>
    <x v="0"/>
    <x v="0"/>
    <n v="84"/>
    <n v="84"/>
    <s v="ST"/>
    <n v="28.18"/>
    <n v="2367.12"/>
    <n v="1953.84"/>
    <s v="EUR"/>
  </r>
  <r>
    <s v=".1~613"/>
    <n v="613"/>
    <s v="D2"/>
    <x v="7"/>
    <s v="05"/>
    <x v="70"/>
    <n v="15"/>
    <n v="75"/>
    <s v="2155"/>
    <s v="4"/>
    <x v="0"/>
    <s v="North"/>
    <s v="16"/>
    <x v="0"/>
    <x v="0"/>
    <n v="82"/>
    <n v="82"/>
    <s v="ST"/>
    <n v="28.18"/>
    <n v="2310.7600000000002"/>
    <n v="1907.32"/>
    <s v="EUR"/>
  </r>
  <r>
    <s v=".1~614"/>
    <n v="614"/>
    <s v="D2"/>
    <x v="7"/>
    <s v="05"/>
    <x v="70"/>
    <n v="15"/>
    <n v="75"/>
    <s v="2163"/>
    <s v="2"/>
    <x v="0"/>
    <s v="North"/>
    <s v="16"/>
    <x v="0"/>
    <x v="0"/>
    <n v="80"/>
    <n v="80"/>
    <s v="ST"/>
    <n v="28.18"/>
    <n v="2254.4"/>
    <n v="1860.8"/>
    <s v="EUR"/>
  </r>
  <r>
    <s v=".1~615"/>
    <n v="615"/>
    <s v="D2"/>
    <x v="7"/>
    <s v="05"/>
    <x v="70"/>
    <n v="15"/>
    <n v="75"/>
    <s v="2163"/>
    <s v="3"/>
    <x v="0"/>
    <s v="North"/>
    <s v="16"/>
    <x v="0"/>
    <x v="0"/>
    <n v="61"/>
    <n v="61"/>
    <s v="ST"/>
    <n v="28.18"/>
    <n v="1718.98"/>
    <n v="1418.86"/>
    <s v="EUR"/>
  </r>
  <r>
    <s v=".1~616"/>
    <n v="616"/>
    <s v="D2"/>
    <x v="7"/>
    <s v="05"/>
    <x v="70"/>
    <n v="15"/>
    <n v="75"/>
    <s v="2155"/>
    <s v="3"/>
    <x v="0"/>
    <s v="North"/>
    <s v="16"/>
    <x v="2"/>
    <x v="2"/>
    <n v="18"/>
    <n v="18"/>
    <s v="ST"/>
    <n v="91.58"/>
    <n v="1648.44"/>
    <n v="1507.14"/>
    <s v="EUR"/>
  </r>
  <r>
    <s v=".1~617"/>
    <n v="617"/>
    <s v="D2"/>
    <x v="7"/>
    <s v="05"/>
    <x v="70"/>
    <n v="15"/>
    <n v="75"/>
    <s v="2163"/>
    <s v="1"/>
    <x v="0"/>
    <s v="North"/>
    <s v="16"/>
    <x v="4"/>
    <x v="4"/>
    <n v="27"/>
    <n v="27"/>
    <s v="ST"/>
    <n v="67.069999999999993"/>
    <n v="1810.89"/>
    <n v="1638.63"/>
    <s v="EUR"/>
  </r>
  <r>
    <s v=".1~618"/>
    <n v="618"/>
    <s v="D2"/>
    <x v="7"/>
    <s v="05"/>
    <x v="70"/>
    <n v="15"/>
    <n v="75"/>
    <s v="2155"/>
    <s v="1"/>
    <x v="0"/>
    <s v="North"/>
    <s v="16"/>
    <x v="5"/>
    <x v="5"/>
    <n v="30"/>
    <n v="30"/>
    <s v="ST"/>
    <n v="48.5"/>
    <n v="1455"/>
    <n v="1312.2"/>
    <s v="EUR"/>
  </r>
  <r>
    <s v=".1~619"/>
    <n v="619"/>
    <s v="D2"/>
    <x v="7"/>
    <s v="05"/>
    <x v="70"/>
    <n v="15"/>
    <n v="75"/>
    <s v="2167"/>
    <s v="3"/>
    <x v="1"/>
    <s v="South"/>
    <s v="16"/>
    <x v="0"/>
    <x v="0"/>
    <n v="37"/>
    <n v="37"/>
    <s v="ST"/>
    <n v="28.18"/>
    <n v="1042.6600000000001"/>
    <n v="860.62"/>
    <s v="EUR"/>
  </r>
  <r>
    <s v=".1~620"/>
    <n v="620"/>
    <s v="D2"/>
    <x v="7"/>
    <s v="05"/>
    <x v="70"/>
    <n v="15"/>
    <n v="75"/>
    <s v="2167"/>
    <s v="1"/>
    <x v="1"/>
    <s v="South"/>
    <s v="16"/>
    <x v="1"/>
    <x v="1"/>
    <n v="65"/>
    <n v="65"/>
    <s v="ST"/>
    <n v="31.45"/>
    <n v="2044.25"/>
    <n v="1703.65"/>
    <s v="EUR"/>
  </r>
  <r>
    <s v=".1~621"/>
    <n v="621"/>
    <s v="D2"/>
    <x v="7"/>
    <s v="05"/>
    <x v="70"/>
    <n v="15"/>
    <n v="75"/>
    <s v="2167"/>
    <s v="2"/>
    <x v="1"/>
    <s v="South"/>
    <s v="16"/>
    <x v="4"/>
    <x v="4"/>
    <n v="22"/>
    <n v="22"/>
    <s v="ST"/>
    <n v="67.069999999999993"/>
    <n v="1475.54"/>
    <n v="1335.18"/>
    <s v="EUR"/>
  </r>
  <r>
    <s v=".1~622"/>
    <n v="622"/>
    <s v="D2"/>
    <x v="7"/>
    <s v="05"/>
    <x v="70"/>
    <n v="15"/>
    <n v="75"/>
    <s v="2169"/>
    <s v="1"/>
    <x v="1"/>
    <s v="South"/>
    <s v="16"/>
    <x v="4"/>
    <x v="4"/>
    <n v="11"/>
    <n v="11"/>
    <s v="ST"/>
    <n v="67.069999999999993"/>
    <n v="737.77"/>
    <n v="667.59"/>
    <s v="EUR"/>
  </r>
  <r>
    <s v=".1~623"/>
    <n v="623"/>
    <s v="D2"/>
    <x v="7"/>
    <s v="05"/>
    <x v="70"/>
    <n v="15"/>
    <n v="75"/>
    <s v="2167"/>
    <s v="4"/>
    <x v="1"/>
    <s v="South"/>
    <s v="16"/>
    <x v="5"/>
    <x v="5"/>
    <n v="31"/>
    <n v="31"/>
    <s v="ST"/>
    <n v="48.5"/>
    <n v="1503.5"/>
    <n v="1355.94"/>
    <s v="EUR"/>
  </r>
  <r>
    <s v=".1~624"/>
    <n v="624"/>
    <s v="D2"/>
    <x v="7"/>
    <s v="05"/>
    <x v="70"/>
    <n v="15"/>
    <n v="75"/>
    <s v="2160"/>
    <s v="2"/>
    <x v="2"/>
    <s v="West"/>
    <s v="16"/>
    <x v="3"/>
    <x v="3"/>
    <n v="31"/>
    <n v="31"/>
    <s v="ST"/>
    <n v="79.87"/>
    <n v="2475.9699999999998"/>
    <n v="2264.2399999999998"/>
    <s v="EUR"/>
  </r>
  <r>
    <s v=".1~625"/>
    <n v="625"/>
    <s v="D2"/>
    <x v="7"/>
    <s v="05"/>
    <x v="70"/>
    <n v="15"/>
    <n v="75"/>
    <s v="2165"/>
    <s v="1"/>
    <x v="2"/>
    <s v="West"/>
    <s v="16"/>
    <x v="2"/>
    <x v="2"/>
    <n v="24"/>
    <n v="24"/>
    <s v="ST"/>
    <n v="91.58"/>
    <n v="2197.92"/>
    <n v="2009.52"/>
    <s v="EUR"/>
  </r>
  <r>
    <s v=".1~626"/>
    <n v="626"/>
    <s v="D2"/>
    <x v="7"/>
    <s v="05"/>
    <x v="70"/>
    <n v="15"/>
    <n v="75"/>
    <s v="2160"/>
    <s v="1"/>
    <x v="2"/>
    <s v="West"/>
    <s v="16"/>
    <x v="5"/>
    <x v="5"/>
    <n v="33"/>
    <n v="33"/>
    <s v="ST"/>
    <n v="48.5"/>
    <n v="1600.5"/>
    <n v="1443.42"/>
    <s v="EUR"/>
  </r>
  <r>
    <s v=".1~627"/>
    <n v="627"/>
    <s v="D2"/>
    <x v="7"/>
    <s v="06"/>
    <x v="71"/>
    <n v="16"/>
    <n v="76"/>
    <s v="2174"/>
    <s v="1"/>
    <x v="0"/>
    <s v="North"/>
    <s v="16"/>
    <x v="5"/>
    <x v="5"/>
    <n v="8"/>
    <n v="8"/>
    <s v="ST"/>
    <n v="48.5"/>
    <n v="388"/>
    <n v="349.92"/>
    <s v="EUR"/>
  </r>
  <r>
    <s v=".1~628"/>
    <n v="628"/>
    <s v="D2"/>
    <x v="7"/>
    <s v="06"/>
    <x v="71"/>
    <n v="16"/>
    <n v="76"/>
    <s v="2186"/>
    <s v="1"/>
    <x v="1"/>
    <s v="South"/>
    <s v="16"/>
    <x v="0"/>
    <x v="0"/>
    <n v="44"/>
    <n v="44"/>
    <s v="ST"/>
    <n v="28.18"/>
    <n v="1239.92"/>
    <n v="1023.44"/>
    <s v="EUR"/>
  </r>
  <r>
    <s v=".1~629"/>
    <n v="629"/>
    <s v="D2"/>
    <x v="7"/>
    <s v="06"/>
    <x v="71"/>
    <n v="16"/>
    <n v="76"/>
    <s v="2186"/>
    <s v="2"/>
    <x v="1"/>
    <s v="South"/>
    <s v="16"/>
    <x v="3"/>
    <x v="3"/>
    <n v="27"/>
    <n v="27"/>
    <s v="ST"/>
    <n v="79.87"/>
    <n v="2156.4899999999998"/>
    <n v="1972.08"/>
    <s v="EUR"/>
  </r>
  <r>
    <s v=".1~630"/>
    <n v="630"/>
    <s v="D2"/>
    <x v="7"/>
    <s v="06"/>
    <x v="71"/>
    <n v="16"/>
    <n v="76"/>
    <s v="2186"/>
    <s v="1"/>
    <x v="1"/>
    <s v="South"/>
    <s v="16"/>
    <x v="1"/>
    <x v="1"/>
    <n v="69"/>
    <n v="69"/>
    <s v="ST"/>
    <n v="31.45"/>
    <n v="2170.0500000000002"/>
    <n v="1808.49"/>
    <s v="EUR"/>
  </r>
  <r>
    <s v=".1~631"/>
    <n v="631"/>
    <s v="D2"/>
    <x v="7"/>
    <s v="06"/>
    <x v="71"/>
    <n v="16"/>
    <n v="76"/>
    <s v="2186"/>
    <s v="4"/>
    <x v="1"/>
    <s v="South"/>
    <s v="16"/>
    <x v="2"/>
    <x v="2"/>
    <n v="16"/>
    <n v="16"/>
    <s v="ST"/>
    <n v="91.58"/>
    <n v="1465.28"/>
    <n v="1339.68"/>
    <s v="EUR"/>
  </r>
  <r>
    <s v=".1~632"/>
    <n v="632"/>
    <s v="D2"/>
    <x v="7"/>
    <s v="06"/>
    <x v="71"/>
    <n v="16"/>
    <n v="76"/>
    <s v="2186"/>
    <s v="5"/>
    <x v="1"/>
    <s v="South"/>
    <s v="16"/>
    <x v="2"/>
    <x v="2"/>
    <n v="21"/>
    <n v="21"/>
    <s v="ST"/>
    <n v="91.58"/>
    <n v="1923.18"/>
    <n v="1758.33"/>
    <s v="EUR"/>
  </r>
  <r>
    <s v=".1~633"/>
    <n v="633"/>
    <s v="D2"/>
    <x v="7"/>
    <s v="06"/>
    <x v="71"/>
    <n v="16"/>
    <n v="76"/>
    <s v="2186"/>
    <s v="3"/>
    <x v="1"/>
    <s v="South"/>
    <s v="16"/>
    <x v="4"/>
    <x v="4"/>
    <n v="26"/>
    <n v="26"/>
    <s v="ST"/>
    <n v="67.069999999999993"/>
    <n v="1743.82"/>
    <n v="1577.94"/>
    <s v="EUR"/>
  </r>
  <r>
    <s v=".1~634"/>
    <n v="634"/>
    <s v="D2"/>
    <x v="7"/>
    <s v="06"/>
    <x v="71"/>
    <n v="16"/>
    <n v="76"/>
    <s v="2182"/>
    <s v="3"/>
    <x v="2"/>
    <s v="West"/>
    <s v="16"/>
    <x v="0"/>
    <x v="0"/>
    <n v="77"/>
    <n v="77"/>
    <s v="ST"/>
    <n v="28.18"/>
    <n v="2169.86"/>
    <n v="1791.02"/>
    <s v="EUR"/>
  </r>
  <r>
    <s v=".1~635"/>
    <n v="635"/>
    <s v="D2"/>
    <x v="7"/>
    <s v="06"/>
    <x v="71"/>
    <n v="16"/>
    <n v="76"/>
    <s v="2182"/>
    <s v="2"/>
    <x v="2"/>
    <s v="West"/>
    <s v="16"/>
    <x v="3"/>
    <x v="3"/>
    <n v="19"/>
    <n v="19"/>
    <s v="ST"/>
    <n v="79.87"/>
    <n v="1517.53"/>
    <n v="1387.76"/>
    <s v="EUR"/>
  </r>
  <r>
    <s v=".1~636"/>
    <n v="636"/>
    <s v="D2"/>
    <x v="7"/>
    <s v="06"/>
    <x v="71"/>
    <n v="16"/>
    <n v="76"/>
    <s v="2182"/>
    <s v="4"/>
    <x v="2"/>
    <s v="West"/>
    <s v="16"/>
    <x v="1"/>
    <x v="1"/>
    <n v="57"/>
    <n v="57"/>
    <s v="ST"/>
    <n v="31.45"/>
    <n v="1792.65"/>
    <n v="1493.97"/>
    <s v="EUR"/>
  </r>
  <r>
    <s v=".1~637"/>
    <n v="637"/>
    <s v="D2"/>
    <x v="7"/>
    <s v="06"/>
    <x v="71"/>
    <n v="16"/>
    <n v="76"/>
    <s v="2177"/>
    <s v="2"/>
    <x v="2"/>
    <s v="West"/>
    <s v="16"/>
    <x v="2"/>
    <x v="2"/>
    <n v="20"/>
    <n v="20"/>
    <s v="ST"/>
    <n v="91.58"/>
    <n v="1831.6"/>
    <n v="1674.6"/>
    <s v="EUR"/>
  </r>
  <r>
    <s v=".1~638"/>
    <n v="638"/>
    <s v="D2"/>
    <x v="7"/>
    <s v="06"/>
    <x v="71"/>
    <n v="16"/>
    <n v="76"/>
    <s v="2177"/>
    <s v="3"/>
    <x v="2"/>
    <s v="West"/>
    <s v="16"/>
    <x v="2"/>
    <x v="2"/>
    <n v="18"/>
    <n v="18"/>
    <s v="ST"/>
    <n v="91.58"/>
    <n v="1648.44"/>
    <n v="1507.14"/>
    <s v="EUR"/>
  </r>
  <r>
    <s v=".1~639"/>
    <n v="639"/>
    <s v="D2"/>
    <x v="7"/>
    <s v="06"/>
    <x v="71"/>
    <n v="16"/>
    <n v="76"/>
    <s v="2177"/>
    <s v="4"/>
    <x v="2"/>
    <s v="West"/>
    <s v="16"/>
    <x v="2"/>
    <x v="2"/>
    <n v="11"/>
    <n v="11"/>
    <s v="ST"/>
    <n v="91.58"/>
    <n v="1007.38"/>
    <n v="921.03"/>
    <s v="EUR"/>
  </r>
  <r>
    <s v=".1~640"/>
    <n v="640"/>
    <s v="D2"/>
    <x v="7"/>
    <s v="06"/>
    <x v="71"/>
    <n v="16"/>
    <n v="76"/>
    <s v="2182"/>
    <s v="5"/>
    <x v="2"/>
    <s v="West"/>
    <s v="16"/>
    <x v="2"/>
    <x v="2"/>
    <n v="26"/>
    <n v="26"/>
    <s v="ST"/>
    <n v="91.58"/>
    <n v="2381.08"/>
    <n v="2176.98"/>
    <s v="EUR"/>
  </r>
  <r>
    <s v=".1~641"/>
    <n v="641"/>
    <s v="D2"/>
    <x v="7"/>
    <s v="06"/>
    <x v="71"/>
    <n v="16"/>
    <n v="76"/>
    <s v="2182"/>
    <s v="1"/>
    <x v="2"/>
    <s v="West"/>
    <s v="16"/>
    <x v="2"/>
    <x v="2"/>
    <n v="24"/>
    <n v="24"/>
    <s v="ST"/>
    <n v="91.58"/>
    <n v="2197.92"/>
    <n v="2009.52"/>
    <s v="EUR"/>
  </r>
  <r>
    <s v=".1~642"/>
    <n v="642"/>
    <s v="D2"/>
    <x v="7"/>
    <s v="06"/>
    <x v="71"/>
    <n v="16"/>
    <n v="76"/>
    <s v="2177"/>
    <s v="1"/>
    <x v="2"/>
    <s v="West"/>
    <s v="16"/>
    <x v="4"/>
    <x v="4"/>
    <n v="30"/>
    <n v="30"/>
    <s v="ST"/>
    <n v="67.069999999999993"/>
    <n v="2012.1"/>
    <n v="1820.7"/>
    <s v="EUR"/>
  </r>
  <r>
    <s v=".1~643"/>
    <n v="643"/>
    <s v="D2"/>
    <x v="7"/>
    <s v="07"/>
    <x v="72"/>
    <n v="16"/>
    <n v="77"/>
    <s v="2191"/>
    <s v="2"/>
    <x v="0"/>
    <s v="North"/>
    <s v="16"/>
    <x v="0"/>
    <x v="0"/>
    <n v="77"/>
    <n v="77"/>
    <s v="ST"/>
    <n v="28.18"/>
    <n v="2169.86"/>
    <n v="1789.48"/>
    <s v="EUR"/>
  </r>
  <r>
    <s v=".1~644"/>
    <n v="644"/>
    <s v="D2"/>
    <x v="7"/>
    <s v="07"/>
    <x v="72"/>
    <n v="16"/>
    <n v="77"/>
    <s v="2191"/>
    <s v="3"/>
    <x v="0"/>
    <s v="North"/>
    <s v="16"/>
    <x v="1"/>
    <x v="1"/>
    <n v="49"/>
    <n v="49"/>
    <s v="ST"/>
    <n v="31.45"/>
    <n v="1541.05"/>
    <n v="1283.31"/>
    <s v="EUR"/>
  </r>
  <r>
    <s v=".1~645"/>
    <n v="645"/>
    <s v="D2"/>
    <x v="7"/>
    <s v="07"/>
    <x v="72"/>
    <n v="16"/>
    <n v="77"/>
    <s v="2191"/>
    <s v="1"/>
    <x v="0"/>
    <s v="North"/>
    <s v="16"/>
    <x v="5"/>
    <x v="5"/>
    <n v="45"/>
    <n v="45"/>
    <s v="ST"/>
    <n v="48.5"/>
    <n v="2182.5"/>
    <n v="1966.5"/>
    <s v="EUR"/>
  </r>
  <r>
    <s v=".1~646"/>
    <n v="646"/>
    <s v="D2"/>
    <x v="7"/>
    <s v="07"/>
    <x v="72"/>
    <n v="16"/>
    <n v="77"/>
    <s v="2196"/>
    <s v="1"/>
    <x v="1"/>
    <s v="South"/>
    <s v="16"/>
    <x v="1"/>
    <x v="1"/>
    <n v="71"/>
    <n v="71"/>
    <s v="ST"/>
    <n v="31.45"/>
    <n v="2232.9499999999998"/>
    <n v="1859.49"/>
    <s v="EUR"/>
  </r>
  <r>
    <s v=".1~647"/>
    <n v="647"/>
    <s v="D2"/>
    <x v="7"/>
    <s v="07"/>
    <x v="72"/>
    <n v="16"/>
    <n v="77"/>
    <s v="2196"/>
    <s v="3"/>
    <x v="1"/>
    <s v="South"/>
    <s v="16"/>
    <x v="1"/>
    <x v="1"/>
    <n v="53"/>
    <n v="53"/>
    <s v="ST"/>
    <n v="31.45"/>
    <n v="1666.85"/>
    <n v="1388.07"/>
    <s v="EUR"/>
  </r>
  <r>
    <s v=".1~648"/>
    <n v="648"/>
    <s v="D2"/>
    <x v="7"/>
    <s v="07"/>
    <x v="72"/>
    <n v="16"/>
    <n v="77"/>
    <s v="2196"/>
    <s v="2"/>
    <x v="1"/>
    <s v="South"/>
    <s v="16"/>
    <x v="4"/>
    <x v="4"/>
    <n v="28"/>
    <n v="28"/>
    <s v="ST"/>
    <n v="67.069999999999993"/>
    <n v="1877.96"/>
    <n v="1697.92"/>
    <s v="EUR"/>
  </r>
  <r>
    <s v=".1~649"/>
    <n v="649"/>
    <s v="D2"/>
    <x v="7"/>
    <s v="08"/>
    <x v="73"/>
    <n v="16"/>
    <n v="78"/>
    <s v="2207"/>
    <s v="5"/>
    <x v="0"/>
    <s v="North"/>
    <s v="16"/>
    <x v="0"/>
    <x v="0"/>
    <n v="65"/>
    <n v="65"/>
    <s v="ST"/>
    <n v="28.18"/>
    <n v="1831.7"/>
    <n v="1510.6"/>
    <s v="EUR"/>
  </r>
  <r>
    <s v=".1~650"/>
    <n v="650"/>
    <s v="D2"/>
    <x v="7"/>
    <s v="08"/>
    <x v="73"/>
    <n v="16"/>
    <n v="78"/>
    <s v="2207"/>
    <s v="1"/>
    <x v="0"/>
    <s v="North"/>
    <s v="16"/>
    <x v="0"/>
    <x v="0"/>
    <n v="79"/>
    <n v="79"/>
    <s v="ST"/>
    <n v="28.18"/>
    <n v="2226.2199999999998"/>
    <n v="1835.96"/>
    <s v="EUR"/>
  </r>
  <r>
    <s v=".1~651"/>
    <n v="651"/>
    <s v="D2"/>
    <x v="7"/>
    <s v="08"/>
    <x v="73"/>
    <n v="16"/>
    <n v="78"/>
    <s v="2204"/>
    <s v="1"/>
    <x v="0"/>
    <s v="North"/>
    <s v="16"/>
    <x v="0"/>
    <x v="0"/>
    <n v="79"/>
    <n v="79"/>
    <s v="ST"/>
    <n v="28.18"/>
    <n v="2226.2199999999998"/>
    <n v="1835.96"/>
    <s v="EUR"/>
  </r>
  <r>
    <s v=".1~652"/>
    <n v="652"/>
    <s v="D2"/>
    <x v="7"/>
    <s v="08"/>
    <x v="73"/>
    <n v="16"/>
    <n v="78"/>
    <s v="2207"/>
    <s v="4"/>
    <x v="0"/>
    <s v="North"/>
    <s v="16"/>
    <x v="1"/>
    <x v="1"/>
    <n v="67"/>
    <n v="67"/>
    <s v="ST"/>
    <n v="31.45"/>
    <n v="2107.15"/>
    <n v="1754.73"/>
    <s v="EUR"/>
  </r>
  <r>
    <s v=".1~653"/>
    <n v="653"/>
    <s v="D2"/>
    <x v="7"/>
    <s v="08"/>
    <x v="73"/>
    <n v="16"/>
    <n v="78"/>
    <s v="2207"/>
    <s v="2"/>
    <x v="0"/>
    <s v="North"/>
    <s v="16"/>
    <x v="1"/>
    <x v="1"/>
    <n v="52"/>
    <n v="52"/>
    <s v="ST"/>
    <n v="31.45"/>
    <n v="1635.4"/>
    <n v="1361.88"/>
    <s v="EUR"/>
  </r>
  <r>
    <s v=".1~654"/>
    <n v="654"/>
    <s v="D2"/>
    <x v="7"/>
    <s v="08"/>
    <x v="73"/>
    <n v="16"/>
    <n v="78"/>
    <s v="2207"/>
    <s v="3"/>
    <x v="0"/>
    <s v="North"/>
    <s v="16"/>
    <x v="4"/>
    <x v="4"/>
    <n v="25"/>
    <n v="25"/>
    <s v="ST"/>
    <n v="67.069999999999993"/>
    <n v="1676.75"/>
    <n v="1516"/>
    <s v="EUR"/>
  </r>
  <r>
    <s v=".1~655"/>
    <n v="655"/>
    <s v="D2"/>
    <x v="7"/>
    <s v="08"/>
    <x v="73"/>
    <n v="16"/>
    <n v="78"/>
    <s v="2218"/>
    <s v="1"/>
    <x v="1"/>
    <s v="South"/>
    <s v="16"/>
    <x v="3"/>
    <x v="3"/>
    <n v="29"/>
    <n v="29"/>
    <s v="ST"/>
    <n v="79.87"/>
    <n v="2316.23"/>
    <n v="2117.29"/>
    <s v="EUR"/>
  </r>
  <r>
    <s v=".1~656"/>
    <n v="656"/>
    <s v="D2"/>
    <x v="7"/>
    <s v="08"/>
    <x v="73"/>
    <n v="16"/>
    <n v="78"/>
    <s v="2216"/>
    <s v="1"/>
    <x v="1"/>
    <s v="South"/>
    <s v="16"/>
    <x v="1"/>
    <x v="1"/>
    <n v="67"/>
    <n v="67"/>
    <s v="ST"/>
    <n v="31.45"/>
    <n v="2107.15"/>
    <n v="1754.73"/>
    <s v="EUR"/>
  </r>
  <r>
    <s v=".1~657"/>
    <n v="657"/>
    <s v="D2"/>
    <x v="7"/>
    <s v="08"/>
    <x v="73"/>
    <n v="16"/>
    <n v="78"/>
    <s v="2218"/>
    <s v="2"/>
    <x v="1"/>
    <s v="South"/>
    <s v="16"/>
    <x v="5"/>
    <x v="5"/>
    <n v="19"/>
    <n v="19"/>
    <s v="ST"/>
    <n v="48.5"/>
    <n v="921.5"/>
    <n v="830.3"/>
    <s v="EUR"/>
  </r>
  <r>
    <s v=".1~658"/>
    <n v="658"/>
    <s v="D2"/>
    <x v="7"/>
    <s v="08"/>
    <x v="73"/>
    <n v="16"/>
    <n v="78"/>
    <s v="2211"/>
    <s v="2"/>
    <x v="2"/>
    <s v="West"/>
    <s v="16"/>
    <x v="0"/>
    <x v="0"/>
    <n v="52"/>
    <n v="52"/>
    <s v="ST"/>
    <n v="28.18"/>
    <n v="1465.36"/>
    <n v="1208.48"/>
    <s v="EUR"/>
  </r>
  <r>
    <s v=".1~659"/>
    <n v="659"/>
    <s v="D2"/>
    <x v="7"/>
    <s v="08"/>
    <x v="73"/>
    <n v="16"/>
    <n v="78"/>
    <s v="2211"/>
    <s v="1"/>
    <x v="2"/>
    <s v="West"/>
    <s v="16"/>
    <x v="1"/>
    <x v="1"/>
    <n v="35"/>
    <n v="35"/>
    <s v="ST"/>
    <n v="31.45"/>
    <n v="1100.75"/>
    <n v="916.65"/>
    <s v="EUR"/>
  </r>
  <r>
    <s v=".1~660"/>
    <n v="660"/>
    <s v="D2"/>
    <x v="7"/>
    <s v="08"/>
    <x v="73"/>
    <n v="16"/>
    <n v="78"/>
    <s v="2214"/>
    <s v="1"/>
    <x v="2"/>
    <s v="West"/>
    <s v="16"/>
    <x v="5"/>
    <x v="5"/>
    <n v="17"/>
    <n v="17"/>
    <s v="ST"/>
    <n v="48.5"/>
    <n v="824.5"/>
    <n v="742.9"/>
    <s v="EUR"/>
  </r>
  <r>
    <m/>
    <m/>
    <m/>
    <x v="8"/>
    <m/>
    <x v="74"/>
    <m/>
    <m/>
    <m/>
    <m/>
    <x v="3"/>
    <m/>
    <m/>
    <x v="6"/>
    <x v="6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7">
  <r>
    <s v=".1~1"/>
    <n v="1"/>
    <s v="D2"/>
    <s v="01"/>
    <s v="01"/>
    <x v="0"/>
    <n v="1"/>
    <n v="1"/>
    <x v="0"/>
    <x v="0"/>
    <x v="0"/>
    <n v="0"/>
    <s v="ST"/>
  </r>
  <r>
    <s v=".1~2"/>
    <n v="2"/>
    <s v="D2"/>
    <s v="01"/>
    <s v="01"/>
    <x v="0"/>
    <n v="1"/>
    <n v="1"/>
    <x v="0"/>
    <x v="1"/>
    <x v="1"/>
    <n v="0"/>
    <s v="ST"/>
  </r>
  <r>
    <s v=".1~3"/>
    <n v="3"/>
    <s v="D2"/>
    <s v="01"/>
    <s v="01"/>
    <x v="0"/>
    <n v="1"/>
    <n v="1"/>
    <x v="0"/>
    <x v="2"/>
    <x v="2"/>
    <n v="0"/>
    <s v="ST"/>
  </r>
  <r>
    <s v=".1~4"/>
    <n v="4"/>
    <s v="D2"/>
    <s v="01"/>
    <s v="01"/>
    <x v="0"/>
    <n v="1"/>
    <n v="1"/>
    <x v="0"/>
    <x v="3"/>
    <x v="3"/>
    <n v="0"/>
    <s v="ST"/>
  </r>
  <r>
    <s v=".1~5"/>
    <n v="5"/>
    <s v="D2"/>
    <s v="01"/>
    <s v="01"/>
    <x v="0"/>
    <n v="1"/>
    <n v="1"/>
    <x v="0"/>
    <x v="4"/>
    <x v="4"/>
    <n v="0"/>
    <s v="ST"/>
  </r>
  <r>
    <s v=".1~6"/>
    <n v="6"/>
    <s v="D2"/>
    <s v="01"/>
    <s v="01"/>
    <x v="0"/>
    <n v="1"/>
    <n v="1"/>
    <x v="0"/>
    <x v="5"/>
    <x v="5"/>
    <n v="0"/>
    <s v="ST"/>
  </r>
  <r>
    <s v=".1~7"/>
    <n v="7"/>
    <s v="D2"/>
    <s v="01"/>
    <s v="01"/>
    <x v="0"/>
    <n v="1"/>
    <n v="1"/>
    <x v="1"/>
    <x v="0"/>
    <x v="0"/>
    <n v="0"/>
    <s v="ST"/>
  </r>
  <r>
    <s v=".1~8"/>
    <n v="8"/>
    <s v="D2"/>
    <s v="01"/>
    <s v="01"/>
    <x v="0"/>
    <n v="1"/>
    <n v="1"/>
    <x v="1"/>
    <x v="1"/>
    <x v="1"/>
    <n v="0"/>
    <s v="ST"/>
  </r>
  <r>
    <s v=".1~9"/>
    <n v="9"/>
    <s v="D2"/>
    <s v="01"/>
    <s v="01"/>
    <x v="0"/>
    <n v="1"/>
    <n v="1"/>
    <x v="1"/>
    <x v="2"/>
    <x v="2"/>
    <n v="0"/>
    <s v="ST"/>
  </r>
  <r>
    <s v=".1~10"/>
    <n v="10"/>
    <s v="D2"/>
    <s v="01"/>
    <s v="01"/>
    <x v="0"/>
    <n v="1"/>
    <n v="1"/>
    <x v="1"/>
    <x v="3"/>
    <x v="3"/>
    <n v="0"/>
    <s v="ST"/>
  </r>
  <r>
    <s v=".1~11"/>
    <n v="11"/>
    <s v="D2"/>
    <s v="01"/>
    <s v="01"/>
    <x v="0"/>
    <n v="1"/>
    <n v="1"/>
    <x v="1"/>
    <x v="4"/>
    <x v="4"/>
    <n v="0"/>
    <s v="ST"/>
  </r>
  <r>
    <s v=".1~12"/>
    <n v="12"/>
    <s v="D2"/>
    <s v="01"/>
    <s v="01"/>
    <x v="0"/>
    <n v="1"/>
    <n v="1"/>
    <x v="1"/>
    <x v="5"/>
    <x v="5"/>
    <n v="0"/>
    <s v="ST"/>
  </r>
  <r>
    <s v=".1~13"/>
    <n v="13"/>
    <s v="D2"/>
    <s v="01"/>
    <s v="01"/>
    <x v="0"/>
    <n v="1"/>
    <n v="1"/>
    <x v="2"/>
    <x v="0"/>
    <x v="0"/>
    <n v="0"/>
    <s v="ST"/>
  </r>
  <r>
    <s v=".1~14"/>
    <n v="14"/>
    <s v="D2"/>
    <s v="01"/>
    <s v="01"/>
    <x v="0"/>
    <n v="1"/>
    <n v="1"/>
    <x v="2"/>
    <x v="1"/>
    <x v="1"/>
    <n v="0"/>
    <s v="ST"/>
  </r>
  <r>
    <s v=".1~15"/>
    <n v="15"/>
    <s v="D2"/>
    <s v="01"/>
    <s v="01"/>
    <x v="0"/>
    <n v="1"/>
    <n v="1"/>
    <x v="2"/>
    <x v="2"/>
    <x v="2"/>
    <n v="0"/>
    <s v="ST"/>
  </r>
  <r>
    <s v=".1~16"/>
    <n v="16"/>
    <s v="D2"/>
    <s v="01"/>
    <s v="01"/>
    <x v="0"/>
    <n v="1"/>
    <n v="1"/>
    <x v="2"/>
    <x v="3"/>
    <x v="3"/>
    <n v="0"/>
    <s v="ST"/>
  </r>
  <r>
    <s v=".1~17"/>
    <n v="17"/>
    <s v="D2"/>
    <s v="01"/>
    <s v="01"/>
    <x v="0"/>
    <n v="1"/>
    <n v="1"/>
    <x v="2"/>
    <x v="4"/>
    <x v="4"/>
    <n v="0"/>
    <s v="ST"/>
  </r>
  <r>
    <s v=".1~18"/>
    <n v="18"/>
    <s v="D2"/>
    <s v="01"/>
    <s v="01"/>
    <x v="0"/>
    <n v="1"/>
    <n v="1"/>
    <x v="2"/>
    <x v="5"/>
    <x v="5"/>
    <n v="0"/>
    <s v="ST"/>
  </r>
  <r>
    <s v=".1~19"/>
    <n v="19"/>
    <s v="D2"/>
    <s v="01"/>
    <s v="01"/>
    <x v="0"/>
    <n v="1"/>
    <n v="1"/>
    <x v="3"/>
    <x v="0"/>
    <x v="0"/>
    <n v="0"/>
    <s v="ST"/>
  </r>
  <r>
    <s v=".1~20"/>
    <n v="20"/>
    <s v="D2"/>
    <s v="01"/>
    <s v="01"/>
    <x v="0"/>
    <n v="1"/>
    <n v="1"/>
    <x v="3"/>
    <x v="1"/>
    <x v="1"/>
    <n v="0"/>
    <s v="ST"/>
  </r>
  <r>
    <s v=".1~21"/>
    <n v="21"/>
    <s v="D2"/>
    <s v="01"/>
    <s v="01"/>
    <x v="0"/>
    <n v="1"/>
    <n v="1"/>
    <x v="3"/>
    <x v="2"/>
    <x v="2"/>
    <n v="0"/>
    <s v="ST"/>
  </r>
  <r>
    <s v=".1~22"/>
    <n v="22"/>
    <s v="D2"/>
    <s v="01"/>
    <s v="01"/>
    <x v="0"/>
    <n v="1"/>
    <n v="1"/>
    <x v="3"/>
    <x v="3"/>
    <x v="3"/>
    <n v="0"/>
    <s v="ST"/>
  </r>
  <r>
    <s v=".1~23"/>
    <n v="23"/>
    <s v="D2"/>
    <s v="01"/>
    <s v="01"/>
    <x v="0"/>
    <n v="1"/>
    <n v="1"/>
    <x v="3"/>
    <x v="4"/>
    <x v="4"/>
    <n v="0"/>
    <s v="ST"/>
  </r>
  <r>
    <s v=".1~24"/>
    <n v="24"/>
    <s v="D2"/>
    <s v="01"/>
    <s v="01"/>
    <x v="0"/>
    <n v="1"/>
    <n v="1"/>
    <x v="3"/>
    <x v="5"/>
    <x v="5"/>
    <n v="0"/>
    <s v="ST"/>
  </r>
  <r>
    <s v=".1~25"/>
    <n v="25"/>
    <s v="D2"/>
    <s v="01"/>
    <s v="02"/>
    <x v="1"/>
    <n v="1"/>
    <n v="2"/>
    <x v="0"/>
    <x v="0"/>
    <x v="0"/>
    <n v="0"/>
    <s v="ST"/>
  </r>
  <r>
    <s v=".1~26"/>
    <n v="26"/>
    <s v="D2"/>
    <s v="01"/>
    <s v="02"/>
    <x v="1"/>
    <n v="1"/>
    <n v="2"/>
    <x v="0"/>
    <x v="1"/>
    <x v="1"/>
    <n v="0"/>
    <s v="ST"/>
  </r>
  <r>
    <s v=".1~27"/>
    <n v="27"/>
    <s v="D2"/>
    <s v="01"/>
    <s v="02"/>
    <x v="1"/>
    <n v="1"/>
    <n v="2"/>
    <x v="0"/>
    <x v="2"/>
    <x v="2"/>
    <n v="0"/>
    <s v="ST"/>
  </r>
  <r>
    <s v=".1~28"/>
    <n v="28"/>
    <s v="D2"/>
    <s v="01"/>
    <s v="02"/>
    <x v="1"/>
    <n v="1"/>
    <n v="2"/>
    <x v="0"/>
    <x v="3"/>
    <x v="3"/>
    <n v="0"/>
    <s v="ST"/>
  </r>
  <r>
    <s v=".1~29"/>
    <n v="29"/>
    <s v="D2"/>
    <s v="01"/>
    <s v="02"/>
    <x v="1"/>
    <n v="1"/>
    <n v="2"/>
    <x v="0"/>
    <x v="4"/>
    <x v="4"/>
    <n v="0"/>
    <s v="ST"/>
  </r>
  <r>
    <s v=".1~30"/>
    <n v="30"/>
    <s v="D2"/>
    <s v="01"/>
    <s v="02"/>
    <x v="1"/>
    <n v="1"/>
    <n v="2"/>
    <x v="0"/>
    <x v="5"/>
    <x v="5"/>
    <n v="0"/>
    <s v="ST"/>
  </r>
  <r>
    <s v=".1~31"/>
    <n v="31"/>
    <s v="D2"/>
    <s v="01"/>
    <s v="02"/>
    <x v="1"/>
    <n v="1"/>
    <n v="2"/>
    <x v="1"/>
    <x v="0"/>
    <x v="0"/>
    <n v="0"/>
    <s v="ST"/>
  </r>
  <r>
    <s v=".1~32"/>
    <n v="32"/>
    <s v="D2"/>
    <s v="01"/>
    <s v="02"/>
    <x v="1"/>
    <n v="1"/>
    <n v="2"/>
    <x v="1"/>
    <x v="1"/>
    <x v="1"/>
    <n v="0"/>
    <s v="ST"/>
  </r>
  <r>
    <s v=".1~33"/>
    <n v="33"/>
    <s v="D2"/>
    <s v="01"/>
    <s v="02"/>
    <x v="1"/>
    <n v="1"/>
    <n v="2"/>
    <x v="1"/>
    <x v="2"/>
    <x v="2"/>
    <n v="0"/>
    <s v="ST"/>
  </r>
  <r>
    <s v=".1~34"/>
    <n v="34"/>
    <s v="D2"/>
    <s v="01"/>
    <s v="02"/>
    <x v="1"/>
    <n v="1"/>
    <n v="2"/>
    <x v="1"/>
    <x v="3"/>
    <x v="3"/>
    <n v="0"/>
    <s v="ST"/>
  </r>
  <r>
    <s v=".1~35"/>
    <n v="35"/>
    <s v="D2"/>
    <s v="01"/>
    <s v="02"/>
    <x v="1"/>
    <n v="1"/>
    <n v="2"/>
    <x v="1"/>
    <x v="4"/>
    <x v="4"/>
    <n v="0"/>
    <s v="ST"/>
  </r>
  <r>
    <s v=".1~36"/>
    <n v="36"/>
    <s v="D2"/>
    <s v="01"/>
    <s v="02"/>
    <x v="1"/>
    <n v="1"/>
    <n v="2"/>
    <x v="1"/>
    <x v="5"/>
    <x v="5"/>
    <n v="0"/>
    <s v="ST"/>
  </r>
  <r>
    <s v=".1~37"/>
    <n v="37"/>
    <s v="D2"/>
    <s v="01"/>
    <s v="02"/>
    <x v="1"/>
    <n v="1"/>
    <n v="2"/>
    <x v="2"/>
    <x v="0"/>
    <x v="0"/>
    <n v="0"/>
    <s v="ST"/>
  </r>
  <r>
    <s v=".1~38"/>
    <n v="38"/>
    <s v="D2"/>
    <s v="01"/>
    <s v="02"/>
    <x v="1"/>
    <n v="1"/>
    <n v="2"/>
    <x v="2"/>
    <x v="1"/>
    <x v="1"/>
    <n v="0"/>
    <s v="ST"/>
  </r>
  <r>
    <s v=".1~39"/>
    <n v="39"/>
    <s v="D2"/>
    <s v="01"/>
    <s v="02"/>
    <x v="1"/>
    <n v="1"/>
    <n v="2"/>
    <x v="2"/>
    <x v="2"/>
    <x v="2"/>
    <n v="0"/>
    <s v="ST"/>
  </r>
  <r>
    <s v=".1~40"/>
    <n v="40"/>
    <s v="D2"/>
    <s v="01"/>
    <s v="02"/>
    <x v="1"/>
    <n v="1"/>
    <n v="2"/>
    <x v="2"/>
    <x v="3"/>
    <x v="3"/>
    <n v="0"/>
    <s v="ST"/>
  </r>
  <r>
    <s v=".1~41"/>
    <n v="41"/>
    <s v="D2"/>
    <s v="01"/>
    <s v="02"/>
    <x v="1"/>
    <n v="1"/>
    <n v="2"/>
    <x v="2"/>
    <x v="4"/>
    <x v="4"/>
    <n v="0"/>
    <s v="ST"/>
  </r>
  <r>
    <s v=".1~42"/>
    <n v="42"/>
    <s v="D2"/>
    <s v="01"/>
    <s v="02"/>
    <x v="1"/>
    <n v="1"/>
    <n v="2"/>
    <x v="2"/>
    <x v="5"/>
    <x v="5"/>
    <n v="0"/>
    <s v="ST"/>
  </r>
  <r>
    <s v=".1~43"/>
    <n v="43"/>
    <s v="D2"/>
    <s v="01"/>
    <s v="02"/>
    <x v="1"/>
    <n v="1"/>
    <n v="2"/>
    <x v="3"/>
    <x v="0"/>
    <x v="0"/>
    <n v="0"/>
    <s v="ST"/>
  </r>
  <r>
    <s v=".1~44"/>
    <n v="44"/>
    <s v="D2"/>
    <s v="01"/>
    <s v="02"/>
    <x v="1"/>
    <n v="1"/>
    <n v="2"/>
    <x v="3"/>
    <x v="1"/>
    <x v="1"/>
    <n v="0"/>
    <s v="ST"/>
  </r>
  <r>
    <s v=".1~45"/>
    <n v="45"/>
    <s v="D2"/>
    <s v="01"/>
    <s v="02"/>
    <x v="1"/>
    <n v="1"/>
    <n v="2"/>
    <x v="3"/>
    <x v="2"/>
    <x v="2"/>
    <n v="0"/>
    <s v="ST"/>
  </r>
  <r>
    <s v=".1~46"/>
    <n v="46"/>
    <s v="D2"/>
    <s v="01"/>
    <s v="02"/>
    <x v="1"/>
    <n v="1"/>
    <n v="2"/>
    <x v="3"/>
    <x v="3"/>
    <x v="3"/>
    <n v="0"/>
    <s v="ST"/>
  </r>
  <r>
    <s v=".1~47"/>
    <n v="47"/>
    <s v="D2"/>
    <s v="01"/>
    <s v="02"/>
    <x v="1"/>
    <n v="1"/>
    <n v="2"/>
    <x v="3"/>
    <x v="4"/>
    <x v="4"/>
    <n v="0"/>
    <s v="ST"/>
  </r>
  <r>
    <s v=".1~48"/>
    <n v="48"/>
    <s v="D2"/>
    <s v="01"/>
    <s v="02"/>
    <x v="1"/>
    <n v="1"/>
    <n v="2"/>
    <x v="3"/>
    <x v="5"/>
    <x v="5"/>
    <n v="0"/>
    <s v="ST"/>
  </r>
  <r>
    <s v=".1~49"/>
    <n v="49"/>
    <s v="D2"/>
    <s v="01"/>
    <s v="03"/>
    <x v="2"/>
    <n v="1"/>
    <n v="3"/>
    <x v="0"/>
    <x v="0"/>
    <x v="0"/>
    <n v="0"/>
    <s v="ST"/>
  </r>
  <r>
    <s v=".1~50"/>
    <n v="50"/>
    <s v="D2"/>
    <s v="01"/>
    <s v="03"/>
    <x v="2"/>
    <n v="1"/>
    <n v="3"/>
    <x v="0"/>
    <x v="1"/>
    <x v="1"/>
    <n v="0"/>
    <s v="ST"/>
  </r>
  <r>
    <s v=".1~51"/>
    <n v="51"/>
    <s v="D2"/>
    <s v="01"/>
    <s v="03"/>
    <x v="2"/>
    <n v="1"/>
    <n v="3"/>
    <x v="0"/>
    <x v="2"/>
    <x v="2"/>
    <n v="0"/>
    <s v="ST"/>
  </r>
  <r>
    <s v=".1~52"/>
    <n v="52"/>
    <s v="D2"/>
    <s v="01"/>
    <s v="03"/>
    <x v="2"/>
    <n v="1"/>
    <n v="3"/>
    <x v="0"/>
    <x v="3"/>
    <x v="3"/>
    <n v="0"/>
    <s v="ST"/>
  </r>
  <r>
    <s v=".1~53"/>
    <n v="53"/>
    <s v="D2"/>
    <s v="01"/>
    <s v="03"/>
    <x v="2"/>
    <n v="1"/>
    <n v="3"/>
    <x v="0"/>
    <x v="4"/>
    <x v="4"/>
    <n v="0"/>
    <s v="ST"/>
  </r>
  <r>
    <s v=".1~54"/>
    <n v="54"/>
    <s v="D2"/>
    <s v="01"/>
    <s v="03"/>
    <x v="2"/>
    <n v="1"/>
    <n v="3"/>
    <x v="0"/>
    <x v="5"/>
    <x v="5"/>
    <n v="0"/>
    <s v="ST"/>
  </r>
  <r>
    <s v=".1~55"/>
    <n v="55"/>
    <s v="D2"/>
    <s v="01"/>
    <s v="03"/>
    <x v="2"/>
    <n v="1"/>
    <n v="3"/>
    <x v="1"/>
    <x v="0"/>
    <x v="0"/>
    <n v="0"/>
    <s v="ST"/>
  </r>
  <r>
    <s v=".1~56"/>
    <n v="56"/>
    <s v="D2"/>
    <s v="01"/>
    <s v="03"/>
    <x v="2"/>
    <n v="1"/>
    <n v="3"/>
    <x v="1"/>
    <x v="1"/>
    <x v="1"/>
    <n v="0"/>
    <s v="ST"/>
  </r>
  <r>
    <s v=".1~57"/>
    <n v="57"/>
    <s v="D2"/>
    <s v="01"/>
    <s v="03"/>
    <x v="2"/>
    <n v="1"/>
    <n v="3"/>
    <x v="1"/>
    <x v="2"/>
    <x v="2"/>
    <n v="0"/>
    <s v="ST"/>
  </r>
  <r>
    <s v=".1~58"/>
    <n v="58"/>
    <s v="D2"/>
    <s v="01"/>
    <s v="03"/>
    <x v="2"/>
    <n v="1"/>
    <n v="3"/>
    <x v="1"/>
    <x v="3"/>
    <x v="3"/>
    <n v="0"/>
    <s v="ST"/>
  </r>
  <r>
    <s v=".1~59"/>
    <n v="59"/>
    <s v="D2"/>
    <s v="01"/>
    <s v="03"/>
    <x v="2"/>
    <n v="1"/>
    <n v="3"/>
    <x v="1"/>
    <x v="4"/>
    <x v="4"/>
    <n v="0"/>
    <s v="ST"/>
  </r>
  <r>
    <s v=".1~60"/>
    <n v="60"/>
    <s v="D2"/>
    <s v="01"/>
    <s v="03"/>
    <x v="2"/>
    <n v="1"/>
    <n v="3"/>
    <x v="1"/>
    <x v="5"/>
    <x v="5"/>
    <n v="0"/>
    <s v="ST"/>
  </r>
  <r>
    <s v=".1~61"/>
    <n v="61"/>
    <s v="D2"/>
    <s v="01"/>
    <s v="03"/>
    <x v="2"/>
    <n v="1"/>
    <n v="3"/>
    <x v="2"/>
    <x v="0"/>
    <x v="0"/>
    <n v="0"/>
    <s v="ST"/>
  </r>
  <r>
    <s v=".1~62"/>
    <n v="62"/>
    <s v="D2"/>
    <s v="01"/>
    <s v="03"/>
    <x v="2"/>
    <n v="1"/>
    <n v="3"/>
    <x v="2"/>
    <x v="1"/>
    <x v="1"/>
    <n v="0"/>
    <s v="ST"/>
  </r>
  <r>
    <s v=".1~63"/>
    <n v="63"/>
    <s v="D2"/>
    <s v="01"/>
    <s v="03"/>
    <x v="2"/>
    <n v="1"/>
    <n v="3"/>
    <x v="2"/>
    <x v="2"/>
    <x v="2"/>
    <n v="0"/>
    <s v="ST"/>
  </r>
  <r>
    <s v=".1~64"/>
    <n v="64"/>
    <s v="D2"/>
    <s v="01"/>
    <s v="03"/>
    <x v="2"/>
    <n v="1"/>
    <n v="3"/>
    <x v="2"/>
    <x v="3"/>
    <x v="3"/>
    <n v="0"/>
    <s v="ST"/>
  </r>
  <r>
    <s v=".1~65"/>
    <n v="65"/>
    <s v="D2"/>
    <s v="01"/>
    <s v="03"/>
    <x v="2"/>
    <n v="1"/>
    <n v="3"/>
    <x v="2"/>
    <x v="4"/>
    <x v="4"/>
    <n v="0"/>
    <s v="ST"/>
  </r>
  <r>
    <s v=".1~66"/>
    <n v="66"/>
    <s v="D2"/>
    <s v="01"/>
    <s v="03"/>
    <x v="2"/>
    <n v="1"/>
    <n v="3"/>
    <x v="2"/>
    <x v="5"/>
    <x v="5"/>
    <n v="0"/>
    <s v="ST"/>
  </r>
  <r>
    <s v=".1~67"/>
    <n v="67"/>
    <s v="D2"/>
    <s v="01"/>
    <s v="03"/>
    <x v="2"/>
    <n v="1"/>
    <n v="3"/>
    <x v="3"/>
    <x v="0"/>
    <x v="0"/>
    <n v="0"/>
    <s v="ST"/>
  </r>
  <r>
    <s v=".1~68"/>
    <n v="68"/>
    <s v="D2"/>
    <s v="01"/>
    <s v="03"/>
    <x v="2"/>
    <n v="1"/>
    <n v="3"/>
    <x v="3"/>
    <x v="1"/>
    <x v="1"/>
    <n v="0"/>
    <s v="ST"/>
  </r>
  <r>
    <s v=".1~69"/>
    <n v="69"/>
    <s v="D2"/>
    <s v="01"/>
    <s v="03"/>
    <x v="2"/>
    <n v="1"/>
    <n v="3"/>
    <x v="3"/>
    <x v="2"/>
    <x v="2"/>
    <n v="0"/>
    <s v="ST"/>
  </r>
  <r>
    <s v=".1~70"/>
    <n v="70"/>
    <s v="D2"/>
    <s v="01"/>
    <s v="03"/>
    <x v="2"/>
    <n v="1"/>
    <n v="3"/>
    <x v="3"/>
    <x v="3"/>
    <x v="3"/>
    <n v="0"/>
    <s v="ST"/>
  </r>
  <r>
    <s v=".1~71"/>
    <n v="71"/>
    <s v="D2"/>
    <s v="01"/>
    <s v="03"/>
    <x v="2"/>
    <n v="1"/>
    <n v="3"/>
    <x v="3"/>
    <x v="4"/>
    <x v="4"/>
    <n v="0"/>
    <s v="ST"/>
  </r>
  <r>
    <s v=".1~72"/>
    <n v="72"/>
    <s v="D2"/>
    <s v="01"/>
    <s v="03"/>
    <x v="2"/>
    <n v="1"/>
    <n v="3"/>
    <x v="3"/>
    <x v="5"/>
    <x v="5"/>
    <n v="0"/>
    <s v="ST"/>
  </r>
  <r>
    <s v=".1~73"/>
    <n v="73"/>
    <s v="D2"/>
    <s v="01"/>
    <s v="04"/>
    <x v="3"/>
    <n v="1"/>
    <n v="4"/>
    <x v="0"/>
    <x v="0"/>
    <x v="0"/>
    <n v="1161"/>
    <s v="ST"/>
  </r>
  <r>
    <s v=".1~74"/>
    <n v="74"/>
    <s v="D2"/>
    <s v="01"/>
    <s v="04"/>
    <x v="3"/>
    <n v="1"/>
    <n v="4"/>
    <x v="0"/>
    <x v="1"/>
    <x v="1"/>
    <n v="452"/>
    <s v="ST"/>
  </r>
  <r>
    <s v=".1~75"/>
    <n v="75"/>
    <s v="D2"/>
    <s v="01"/>
    <s v="04"/>
    <x v="3"/>
    <n v="1"/>
    <n v="4"/>
    <x v="0"/>
    <x v="2"/>
    <x v="2"/>
    <n v="1023"/>
    <s v="ST"/>
  </r>
  <r>
    <s v=".1~76"/>
    <n v="76"/>
    <s v="D2"/>
    <s v="01"/>
    <s v="04"/>
    <x v="3"/>
    <n v="1"/>
    <n v="4"/>
    <x v="0"/>
    <x v="3"/>
    <x v="3"/>
    <n v="391"/>
    <s v="ST"/>
  </r>
  <r>
    <s v=".1~77"/>
    <n v="77"/>
    <s v="D2"/>
    <s v="01"/>
    <s v="04"/>
    <x v="3"/>
    <n v="1"/>
    <n v="4"/>
    <x v="0"/>
    <x v="4"/>
    <x v="4"/>
    <n v="497"/>
    <s v="ST"/>
  </r>
  <r>
    <s v=".1~78"/>
    <n v="78"/>
    <s v="D2"/>
    <s v="01"/>
    <s v="04"/>
    <x v="3"/>
    <n v="1"/>
    <n v="4"/>
    <x v="0"/>
    <x v="5"/>
    <x v="5"/>
    <n v="386"/>
    <s v="ST"/>
  </r>
  <r>
    <s v=".1~79"/>
    <n v="79"/>
    <s v="D2"/>
    <s v="01"/>
    <s v="04"/>
    <x v="3"/>
    <n v="1"/>
    <n v="4"/>
    <x v="1"/>
    <x v="0"/>
    <x v="0"/>
    <n v="0"/>
    <s v="ST"/>
  </r>
  <r>
    <s v=".1~80"/>
    <n v="80"/>
    <s v="D2"/>
    <s v="01"/>
    <s v="04"/>
    <x v="3"/>
    <n v="1"/>
    <n v="4"/>
    <x v="1"/>
    <x v="1"/>
    <x v="1"/>
    <n v="0"/>
    <s v="ST"/>
  </r>
  <r>
    <s v=".1~81"/>
    <n v="81"/>
    <s v="D2"/>
    <s v="01"/>
    <s v="04"/>
    <x v="3"/>
    <n v="1"/>
    <n v="4"/>
    <x v="1"/>
    <x v="2"/>
    <x v="2"/>
    <n v="0"/>
    <s v="ST"/>
  </r>
  <r>
    <s v=".1~82"/>
    <n v="82"/>
    <s v="D2"/>
    <s v="01"/>
    <s v="04"/>
    <x v="3"/>
    <n v="1"/>
    <n v="4"/>
    <x v="1"/>
    <x v="3"/>
    <x v="3"/>
    <n v="0"/>
    <s v="ST"/>
  </r>
  <r>
    <s v=".1~83"/>
    <n v="83"/>
    <s v="D2"/>
    <s v="01"/>
    <s v="04"/>
    <x v="3"/>
    <n v="1"/>
    <n v="4"/>
    <x v="1"/>
    <x v="4"/>
    <x v="4"/>
    <n v="0"/>
    <s v="ST"/>
  </r>
  <r>
    <s v=".1~84"/>
    <n v="84"/>
    <s v="D2"/>
    <s v="01"/>
    <s v="04"/>
    <x v="3"/>
    <n v="1"/>
    <n v="4"/>
    <x v="1"/>
    <x v="5"/>
    <x v="5"/>
    <n v="0"/>
    <s v="ST"/>
  </r>
  <r>
    <s v=".1~85"/>
    <n v="85"/>
    <s v="D2"/>
    <s v="01"/>
    <s v="04"/>
    <x v="3"/>
    <n v="1"/>
    <n v="4"/>
    <x v="2"/>
    <x v="0"/>
    <x v="0"/>
    <n v="0"/>
    <s v="ST"/>
  </r>
  <r>
    <s v=".1~86"/>
    <n v="86"/>
    <s v="D2"/>
    <s v="01"/>
    <s v="04"/>
    <x v="3"/>
    <n v="1"/>
    <n v="4"/>
    <x v="2"/>
    <x v="1"/>
    <x v="1"/>
    <n v="0"/>
    <s v="ST"/>
  </r>
  <r>
    <s v=".1~87"/>
    <n v="87"/>
    <s v="D2"/>
    <s v="01"/>
    <s v="04"/>
    <x v="3"/>
    <n v="1"/>
    <n v="4"/>
    <x v="2"/>
    <x v="2"/>
    <x v="2"/>
    <n v="0"/>
    <s v="ST"/>
  </r>
  <r>
    <s v=".1~88"/>
    <n v="88"/>
    <s v="D2"/>
    <s v="01"/>
    <s v="04"/>
    <x v="3"/>
    <n v="1"/>
    <n v="4"/>
    <x v="2"/>
    <x v="3"/>
    <x v="3"/>
    <n v="0"/>
    <s v="ST"/>
  </r>
  <r>
    <s v=".1~89"/>
    <n v="89"/>
    <s v="D2"/>
    <s v="01"/>
    <s v="04"/>
    <x v="3"/>
    <n v="1"/>
    <n v="4"/>
    <x v="2"/>
    <x v="4"/>
    <x v="4"/>
    <n v="0"/>
    <s v="ST"/>
  </r>
  <r>
    <s v=".1~90"/>
    <n v="90"/>
    <s v="D2"/>
    <s v="01"/>
    <s v="04"/>
    <x v="3"/>
    <n v="1"/>
    <n v="4"/>
    <x v="2"/>
    <x v="5"/>
    <x v="5"/>
    <n v="0"/>
    <s v="ST"/>
  </r>
  <r>
    <s v=".1~91"/>
    <n v="91"/>
    <s v="D2"/>
    <s v="01"/>
    <s v="04"/>
    <x v="3"/>
    <n v="1"/>
    <n v="4"/>
    <x v="3"/>
    <x v="0"/>
    <x v="0"/>
    <n v="0"/>
    <s v="ST"/>
  </r>
  <r>
    <s v=".1~92"/>
    <n v="92"/>
    <s v="D2"/>
    <s v="01"/>
    <s v="04"/>
    <x v="3"/>
    <n v="1"/>
    <n v="4"/>
    <x v="3"/>
    <x v="1"/>
    <x v="1"/>
    <n v="0"/>
    <s v="ST"/>
  </r>
  <r>
    <s v=".1~93"/>
    <n v="93"/>
    <s v="D2"/>
    <s v="01"/>
    <s v="04"/>
    <x v="3"/>
    <n v="1"/>
    <n v="4"/>
    <x v="3"/>
    <x v="2"/>
    <x v="2"/>
    <n v="0"/>
    <s v="ST"/>
  </r>
  <r>
    <s v=".1~94"/>
    <n v="94"/>
    <s v="D2"/>
    <s v="01"/>
    <s v="04"/>
    <x v="3"/>
    <n v="1"/>
    <n v="4"/>
    <x v="3"/>
    <x v="3"/>
    <x v="3"/>
    <n v="0"/>
    <s v="ST"/>
  </r>
  <r>
    <s v=".1~95"/>
    <n v="95"/>
    <s v="D2"/>
    <s v="01"/>
    <s v="04"/>
    <x v="3"/>
    <n v="1"/>
    <n v="4"/>
    <x v="3"/>
    <x v="4"/>
    <x v="4"/>
    <n v="0"/>
    <s v="ST"/>
  </r>
  <r>
    <s v=".1~96"/>
    <n v="96"/>
    <s v="D2"/>
    <s v="01"/>
    <s v="04"/>
    <x v="3"/>
    <n v="1"/>
    <n v="4"/>
    <x v="3"/>
    <x v="5"/>
    <x v="5"/>
    <n v="0"/>
    <s v="ST"/>
  </r>
  <r>
    <s v=".1~97"/>
    <n v="97"/>
    <s v="D2"/>
    <s v="01"/>
    <s v="05"/>
    <x v="4"/>
    <n v="1"/>
    <n v="5"/>
    <x v="0"/>
    <x v="0"/>
    <x v="0"/>
    <n v="806"/>
    <s v="ST"/>
  </r>
  <r>
    <s v=".1~98"/>
    <n v="98"/>
    <s v="D2"/>
    <s v="01"/>
    <s v="05"/>
    <x v="4"/>
    <n v="1"/>
    <n v="5"/>
    <x v="0"/>
    <x v="1"/>
    <x v="1"/>
    <n v="312"/>
    <s v="ST"/>
  </r>
  <r>
    <s v=".1~99"/>
    <n v="99"/>
    <s v="D2"/>
    <s v="01"/>
    <s v="05"/>
    <x v="4"/>
    <n v="1"/>
    <n v="5"/>
    <x v="0"/>
    <x v="2"/>
    <x v="2"/>
    <n v="713"/>
    <s v="ST"/>
  </r>
  <r>
    <s v=".1~100"/>
    <n v="100"/>
    <s v="D2"/>
    <s v="01"/>
    <s v="05"/>
    <x v="4"/>
    <n v="1"/>
    <n v="5"/>
    <x v="0"/>
    <x v="3"/>
    <x v="3"/>
    <n v="256"/>
    <s v="ST"/>
  </r>
  <r>
    <s v=".1~101"/>
    <n v="101"/>
    <s v="D2"/>
    <s v="01"/>
    <s v="05"/>
    <x v="4"/>
    <n v="1"/>
    <n v="5"/>
    <x v="0"/>
    <x v="4"/>
    <x v="4"/>
    <n v="337"/>
    <s v="ST"/>
  </r>
  <r>
    <s v=".1~102"/>
    <n v="102"/>
    <s v="D2"/>
    <s v="01"/>
    <s v="05"/>
    <x v="4"/>
    <n v="1"/>
    <n v="5"/>
    <x v="0"/>
    <x v="5"/>
    <x v="5"/>
    <n v="261"/>
    <s v="ST"/>
  </r>
  <r>
    <s v=".1~103"/>
    <n v="103"/>
    <s v="D2"/>
    <s v="01"/>
    <s v="05"/>
    <x v="4"/>
    <n v="1"/>
    <n v="5"/>
    <x v="1"/>
    <x v="0"/>
    <x v="0"/>
    <n v="230"/>
    <s v="ST"/>
  </r>
  <r>
    <s v=".1~104"/>
    <n v="104"/>
    <s v="D2"/>
    <s v="01"/>
    <s v="05"/>
    <x v="4"/>
    <n v="1"/>
    <n v="5"/>
    <x v="1"/>
    <x v="1"/>
    <x v="1"/>
    <n v="60"/>
    <s v="ST"/>
  </r>
  <r>
    <s v=".1~105"/>
    <n v="105"/>
    <s v="D2"/>
    <s v="01"/>
    <s v="05"/>
    <x v="4"/>
    <n v="1"/>
    <n v="5"/>
    <x v="1"/>
    <x v="2"/>
    <x v="2"/>
    <n v="115"/>
    <s v="ST"/>
  </r>
  <r>
    <s v=".1~106"/>
    <n v="106"/>
    <s v="D2"/>
    <s v="01"/>
    <s v="05"/>
    <x v="4"/>
    <n v="1"/>
    <n v="5"/>
    <x v="1"/>
    <x v="3"/>
    <x v="3"/>
    <n v="35"/>
    <s v="ST"/>
  </r>
  <r>
    <s v=".1~107"/>
    <n v="107"/>
    <s v="D2"/>
    <s v="01"/>
    <s v="05"/>
    <x v="4"/>
    <n v="1"/>
    <n v="5"/>
    <x v="1"/>
    <x v="4"/>
    <x v="4"/>
    <n v="60"/>
    <s v="ST"/>
  </r>
  <r>
    <s v=".1~108"/>
    <n v="108"/>
    <s v="D2"/>
    <s v="01"/>
    <s v="05"/>
    <x v="4"/>
    <n v="1"/>
    <n v="5"/>
    <x v="1"/>
    <x v="5"/>
    <x v="5"/>
    <n v="70"/>
    <s v="ST"/>
  </r>
  <r>
    <s v=".1~109"/>
    <n v="109"/>
    <s v="D2"/>
    <s v="01"/>
    <s v="05"/>
    <x v="4"/>
    <n v="1"/>
    <n v="5"/>
    <x v="2"/>
    <x v="0"/>
    <x v="0"/>
    <n v="60"/>
    <s v="ST"/>
  </r>
  <r>
    <s v=".1~110"/>
    <n v="110"/>
    <s v="D2"/>
    <s v="01"/>
    <s v="05"/>
    <x v="4"/>
    <n v="1"/>
    <n v="5"/>
    <x v="2"/>
    <x v="1"/>
    <x v="1"/>
    <n v="60"/>
    <s v="ST"/>
  </r>
  <r>
    <s v=".1~111"/>
    <n v="111"/>
    <s v="D2"/>
    <s v="01"/>
    <s v="05"/>
    <x v="4"/>
    <n v="1"/>
    <n v="5"/>
    <x v="2"/>
    <x v="2"/>
    <x v="2"/>
    <n v="110"/>
    <s v="ST"/>
  </r>
  <r>
    <s v=".1~112"/>
    <n v="112"/>
    <s v="D2"/>
    <s v="01"/>
    <s v="05"/>
    <x v="4"/>
    <n v="1"/>
    <n v="5"/>
    <x v="2"/>
    <x v="3"/>
    <x v="3"/>
    <n v="15"/>
    <s v="ST"/>
  </r>
  <r>
    <s v=".1~113"/>
    <n v="113"/>
    <s v="D2"/>
    <s v="01"/>
    <s v="05"/>
    <x v="4"/>
    <n v="1"/>
    <n v="5"/>
    <x v="2"/>
    <x v="4"/>
    <x v="4"/>
    <n v="70"/>
    <s v="ST"/>
  </r>
  <r>
    <s v=".1~114"/>
    <n v="114"/>
    <s v="D2"/>
    <s v="01"/>
    <s v="05"/>
    <x v="4"/>
    <n v="1"/>
    <n v="5"/>
    <x v="2"/>
    <x v="5"/>
    <x v="5"/>
    <n v="25"/>
    <s v="ST"/>
  </r>
  <r>
    <s v=".1~115"/>
    <n v="115"/>
    <s v="D2"/>
    <s v="01"/>
    <s v="05"/>
    <x v="4"/>
    <n v="1"/>
    <n v="5"/>
    <x v="3"/>
    <x v="0"/>
    <x v="0"/>
    <n v="65"/>
    <s v="ST"/>
  </r>
  <r>
    <s v=".1~116"/>
    <n v="116"/>
    <s v="D2"/>
    <s v="01"/>
    <s v="05"/>
    <x v="4"/>
    <n v="1"/>
    <n v="5"/>
    <x v="3"/>
    <x v="1"/>
    <x v="1"/>
    <n v="20"/>
    <s v="ST"/>
  </r>
  <r>
    <s v=".1~117"/>
    <n v="117"/>
    <s v="D2"/>
    <s v="01"/>
    <s v="05"/>
    <x v="4"/>
    <n v="1"/>
    <n v="5"/>
    <x v="3"/>
    <x v="2"/>
    <x v="2"/>
    <n v="85"/>
    <s v="ST"/>
  </r>
  <r>
    <s v=".1~118"/>
    <n v="118"/>
    <s v="D2"/>
    <s v="01"/>
    <s v="05"/>
    <x v="4"/>
    <n v="1"/>
    <n v="5"/>
    <x v="3"/>
    <x v="3"/>
    <x v="3"/>
    <n v="85"/>
    <s v="ST"/>
  </r>
  <r>
    <s v=".1~119"/>
    <n v="119"/>
    <s v="D2"/>
    <s v="01"/>
    <s v="05"/>
    <x v="4"/>
    <n v="1"/>
    <n v="5"/>
    <x v="3"/>
    <x v="4"/>
    <x v="4"/>
    <n v="30"/>
    <s v="ST"/>
  </r>
  <r>
    <s v=".1~120"/>
    <n v="120"/>
    <s v="D2"/>
    <s v="01"/>
    <s v="05"/>
    <x v="4"/>
    <n v="1"/>
    <n v="5"/>
    <x v="3"/>
    <x v="5"/>
    <x v="5"/>
    <n v="30"/>
    <s v="ST"/>
  </r>
  <r>
    <s v=".1~121"/>
    <n v="121"/>
    <s v="D2"/>
    <s v="01"/>
    <s v="06"/>
    <x v="5"/>
    <n v="2"/>
    <n v="6"/>
    <x v="0"/>
    <x v="0"/>
    <x v="0"/>
    <n v="806"/>
    <s v="ST"/>
  </r>
  <r>
    <s v=".1~122"/>
    <n v="122"/>
    <s v="D2"/>
    <s v="01"/>
    <s v="06"/>
    <x v="5"/>
    <n v="2"/>
    <n v="6"/>
    <x v="0"/>
    <x v="1"/>
    <x v="1"/>
    <n v="312"/>
    <s v="ST"/>
  </r>
  <r>
    <s v=".1~123"/>
    <n v="123"/>
    <s v="D2"/>
    <s v="01"/>
    <s v="06"/>
    <x v="5"/>
    <n v="2"/>
    <n v="6"/>
    <x v="0"/>
    <x v="2"/>
    <x v="2"/>
    <n v="713"/>
    <s v="ST"/>
  </r>
  <r>
    <s v=".1~124"/>
    <n v="124"/>
    <s v="D2"/>
    <s v="01"/>
    <s v="06"/>
    <x v="5"/>
    <n v="2"/>
    <n v="6"/>
    <x v="0"/>
    <x v="3"/>
    <x v="3"/>
    <n v="256"/>
    <s v="ST"/>
  </r>
  <r>
    <s v=".1~125"/>
    <n v="125"/>
    <s v="D2"/>
    <s v="01"/>
    <s v="06"/>
    <x v="5"/>
    <n v="2"/>
    <n v="6"/>
    <x v="0"/>
    <x v="4"/>
    <x v="4"/>
    <n v="337"/>
    <s v="ST"/>
  </r>
  <r>
    <s v=".1~126"/>
    <n v="126"/>
    <s v="D2"/>
    <s v="01"/>
    <s v="06"/>
    <x v="5"/>
    <n v="2"/>
    <n v="6"/>
    <x v="0"/>
    <x v="5"/>
    <x v="5"/>
    <n v="261"/>
    <s v="ST"/>
  </r>
  <r>
    <s v=".1~127"/>
    <n v="127"/>
    <s v="D2"/>
    <s v="01"/>
    <s v="06"/>
    <x v="5"/>
    <n v="2"/>
    <n v="6"/>
    <x v="1"/>
    <x v="0"/>
    <x v="0"/>
    <n v="149"/>
    <s v="ST"/>
  </r>
  <r>
    <s v=".1~128"/>
    <n v="128"/>
    <s v="D2"/>
    <s v="01"/>
    <s v="06"/>
    <x v="5"/>
    <n v="2"/>
    <n v="6"/>
    <x v="1"/>
    <x v="1"/>
    <x v="1"/>
    <n v="60"/>
    <s v="ST"/>
  </r>
  <r>
    <s v=".1~129"/>
    <n v="129"/>
    <s v="D2"/>
    <s v="01"/>
    <s v="06"/>
    <x v="5"/>
    <n v="2"/>
    <n v="6"/>
    <x v="1"/>
    <x v="2"/>
    <x v="2"/>
    <n v="115"/>
    <s v="ST"/>
  </r>
  <r>
    <s v=".1~130"/>
    <n v="130"/>
    <s v="D2"/>
    <s v="01"/>
    <s v="06"/>
    <x v="5"/>
    <n v="2"/>
    <n v="6"/>
    <x v="1"/>
    <x v="3"/>
    <x v="3"/>
    <n v="35"/>
    <s v="ST"/>
  </r>
  <r>
    <s v=".1~131"/>
    <n v="131"/>
    <s v="D2"/>
    <s v="01"/>
    <s v="06"/>
    <x v="5"/>
    <n v="2"/>
    <n v="6"/>
    <x v="1"/>
    <x v="4"/>
    <x v="4"/>
    <n v="60"/>
    <s v="ST"/>
  </r>
  <r>
    <s v=".1~132"/>
    <n v="132"/>
    <s v="D2"/>
    <s v="01"/>
    <s v="06"/>
    <x v="5"/>
    <n v="2"/>
    <n v="6"/>
    <x v="1"/>
    <x v="5"/>
    <x v="5"/>
    <n v="70"/>
    <s v="ST"/>
  </r>
  <r>
    <s v=".1~133"/>
    <n v="133"/>
    <s v="D2"/>
    <s v="01"/>
    <s v="06"/>
    <x v="5"/>
    <n v="2"/>
    <n v="6"/>
    <x v="2"/>
    <x v="0"/>
    <x v="0"/>
    <n v="0"/>
    <s v="ST"/>
  </r>
  <r>
    <s v=".1~134"/>
    <n v="134"/>
    <s v="D2"/>
    <s v="01"/>
    <s v="06"/>
    <x v="5"/>
    <n v="2"/>
    <n v="6"/>
    <x v="2"/>
    <x v="1"/>
    <x v="1"/>
    <n v="60"/>
    <s v="ST"/>
  </r>
  <r>
    <s v=".1~135"/>
    <n v="135"/>
    <s v="D2"/>
    <s v="01"/>
    <s v="06"/>
    <x v="5"/>
    <n v="2"/>
    <n v="6"/>
    <x v="2"/>
    <x v="2"/>
    <x v="2"/>
    <n v="44"/>
    <s v="ST"/>
  </r>
  <r>
    <s v=".1~136"/>
    <n v="136"/>
    <s v="D2"/>
    <s v="01"/>
    <s v="06"/>
    <x v="5"/>
    <n v="2"/>
    <n v="6"/>
    <x v="2"/>
    <x v="3"/>
    <x v="3"/>
    <n v="15"/>
    <s v="ST"/>
  </r>
  <r>
    <s v=".1~137"/>
    <n v="137"/>
    <s v="D2"/>
    <s v="01"/>
    <s v="06"/>
    <x v="5"/>
    <n v="2"/>
    <n v="6"/>
    <x v="2"/>
    <x v="4"/>
    <x v="4"/>
    <n v="70"/>
    <s v="ST"/>
  </r>
  <r>
    <s v=".1~138"/>
    <n v="138"/>
    <s v="D2"/>
    <s v="01"/>
    <s v="06"/>
    <x v="5"/>
    <n v="2"/>
    <n v="6"/>
    <x v="2"/>
    <x v="5"/>
    <x v="5"/>
    <n v="25"/>
    <s v="ST"/>
  </r>
  <r>
    <s v=".1~139"/>
    <n v="139"/>
    <s v="D2"/>
    <s v="01"/>
    <s v="06"/>
    <x v="5"/>
    <n v="2"/>
    <n v="6"/>
    <x v="3"/>
    <x v="0"/>
    <x v="0"/>
    <n v="65"/>
    <s v="ST"/>
  </r>
  <r>
    <s v=".1~140"/>
    <n v="140"/>
    <s v="D2"/>
    <s v="01"/>
    <s v="06"/>
    <x v="5"/>
    <n v="2"/>
    <n v="6"/>
    <x v="3"/>
    <x v="1"/>
    <x v="1"/>
    <n v="20"/>
    <s v="ST"/>
  </r>
  <r>
    <s v=".1~141"/>
    <n v="141"/>
    <s v="D2"/>
    <s v="01"/>
    <s v="06"/>
    <x v="5"/>
    <n v="2"/>
    <n v="6"/>
    <x v="3"/>
    <x v="2"/>
    <x v="2"/>
    <n v="85"/>
    <s v="ST"/>
  </r>
  <r>
    <s v=".1~142"/>
    <n v="142"/>
    <s v="D2"/>
    <s v="01"/>
    <s v="06"/>
    <x v="5"/>
    <n v="2"/>
    <n v="6"/>
    <x v="3"/>
    <x v="3"/>
    <x v="3"/>
    <n v="70"/>
    <s v="ST"/>
  </r>
  <r>
    <s v=".1~143"/>
    <n v="143"/>
    <s v="D2"/>
    <s v="01"/>
    <s v="06"/>
    <x v="5"/>
    <n v="2"/>
    <n v="6"/>
    <x v="3"/>
    <x v="4"/>
    <x v="4"/>
    <n v="30"/>
    <s v="ST"/>
  </r>
  <r>
    <s v=".1~144"/>
    <n v="144"/>
    <s v="D2"/>
    <s v="01"/>
    <s v="06"/>
    <x v="5"/>
    <n v="2"/>
    <n v="6"/>
    <x v="3"/>
    <x v="5"/>
    <x v="5"/>
    <n v="30"/>
    <s v="ST"/>
  </r>
  <r>
    <s v=".1~145"/>
    <n v="145"/>
    <s v="D2"/>
    <s v="01"/>
    <s v="07"/>
    <x v="6"/>
    <n v="2"/>
    <n v="7"/>
    <x v="0"/>
    <x v="0"/>
    <x v="0"/>
    <n v="666"/>
    <s v="ST"/>
  </r>
  <r>
    <s v=".1~146"/>
    <n v="146"/>
    <s v="D2"/>
    <s v="01"/>
    <s v="07"/>
    <x v="6"/>
    <n v="2"/>
    <n v="7"/>
    <x v="0"/>
    <x v="1"/>
    <x v="1"/>
    <n v="313"/>
    <s v="ST"/>
  </r>
  <r>
    <s v=".1~147"/>
    <n v="147"/>
    <s v="D2"/>
    <s v="01"/>
    <s v="07"/>
    <x v="6"/>
    <n v="2"/>
    <n v="7"/>
    <x v="0"/>
    <x v="2"/>
    <x v="2"/>
    <n v="648"/>
    <s v="ST"/>
  </r>
  <r>
    <s v=".1~148"/>
    <n v="148"/>
    <s v="D2"/>
    <s v="01"/>
    <s v="07"/>
    <x v="6"/>
    <n v="2"/>
    <n v="7"/>
    <x v="0"/>
    <x v="3"/>
    <x v="3"/>
    <n v="242"/>
    <s v="ST"/>
  </r>
  <r>
    <s v=".1~149"/>
    <n v="149"/>
    <s v="D2"/>
    <s v="01"/>
    <s v="07"/>
    <x v="6"/>
    <n v="2"/>
    <n v="7"/>
    <x v="0"/>
    <x v="4"/>
    <x v="4"/>
    <n v="338"/>
    <s v="ST"/>
  </r>
  <r>
    <s v=".1~150"/>
    <n v="150"/>
    <s v="D2"/>
    <s v="01"/>
    <s v="07"/>
    <x v="6"/>
    <n v="2"/>
    <n v="7"/>
    <x v="0"/>
    <x v="5"/>
    <x v="5"/>
    <n v="262"/>
    <s v="ST"/>
  </r>
  <r>
    <s v=".1~151"/>
    <n v="151"/>
    <s v="D2"/>
    <s v="01"/>
    <s v="07"/>
    <x v="6"/>
    <n v="2"/>
    <n v="7"/>
    <x v="1"/>
    <x v="0"/>
    <x v="0"/>
    <n v="157"/>
    <s v="ST"/>
  </r>
  <r>
    <s v=".1~152"/>
    <n v="152"/>
    <s v="D2"/>
    <s v="01"/>
    <s v="07"/>
    <x v="6"/>
    <n v="2"/>
    <n v="7"/>
    <x v="1"/>
    <x v="1"/>
    <x v="1"/>
    <n v="60"/>
    <s v="ST"/>
  </r>
  <r>
    <s v=".1~153"/>
    <n v="153"/>
    <s v="D2"/>
    <s v="01"/>
    <s v="07"/>
    <x v="6"/>
    <n v="2"/>
    <n v="7"/>
    <x v="1"/>
    <x v="2"/>
    <x v="2"/>
    <n v="71"/>
    <s v="ST"/>
  </r>
  <r>
    <s v=".1~154"/>
    <n v="154"/>
    <s v="D2"/>
    <s v="01"/>
    <s v="07"/>
    <x v="6"/>
    <n v="2"/>
    <n v="7"/>
    <x v="1"/>
    <x v="3"/>
    <x v="3"/>
    <n v="35"/>
    <s v="ST"/>
  </r>
  <r>
    <s v=".1~155"/>
    <n v="155"/>
    <s v="D2"/>
    <s v="01"/>
    <s v="07"/>
    <x v="6"/>
    <n v="2"/>
    <n v="7"/>
    <x v="1"/>
    <x v="4"/>
    <x v="4"/>
    <n v="60"/>
    <s v="ST"/>
  </r>
  <r>
    <s v=".1~156"/>
    <n v="156"/>
    <s v="D2"/>
    <s v="01"/>
    <s v="07"/>
    <x v="6"/>
    <n v="2"/>
    <n v="7"/>
    <x v="1"/>
    <x v="5"/>
    <x v="5"/>
    <n v="70"/>
    <s v="ST"/>
  </r>
  <r>
    <s v=".1~157"/>
    <n v="157"/>
    <s v="D2"/>
    <s v="01"/>
    <s v="07"/>
    <x v="6"/>
    <n v="2"/>
    <n v="7"/>
    <x v="2"/>
    <x v="0"/>
    <x v="0"/>
    <n v="60"/>
    <s v="ST"/>
  </r>
  <r>
    <s v=".1~158"/>
    <n v="158"/>
    <s v="D2"/>
    <s v="01"/>
    <s v="07"/>
    <x v="6"/>
    <n v="2"/>
    <n v="7"/>
    <x v="2"/>
    <x v="1"/>
    <x v="1"/>
    <n v="60"/>
    <s v="ST"/>
  </r>
  <r>
    <s v=".1~159"/>
    <n v="159"/>
    <s v="D2"/>
    <s v="01"/>
    <s v="07"/>
    <x v="6"/>
    <n v="2"/>
    <n v="7"/>
    <x v="2"/>
    <x v="2"/>
    <x v="2"/>
    <n v="66"/>
    <s v="ST"/>
  </r>
  <r>
    <s v=".1~160"/>
    <n v="160"/>
    <s v="D2"/>
    <s v="01"/>
    <s v="07"/>
    <x v="6"/>
    <n v="2"/>
    <n v="7"/>
    <x v="2"/>
    <x v="3"/>
    <x v="3"/>
    <n v="0"/>
    <s v="ST"/>
  </r>
  <r>
    <s v=".1~161"/>
    <n v="161"/>
    <s v="D2"/>
    <s v="01"/>
    <s v="07"/>
    <x v="6"/>
    <n v="2"/>
    <n v="7"/>
    <x v="2"/>
    <x v="4"/>
    <x v="4"/>
    <n v="70"/>
    <s v="ST"/>
  </r>
  <r>
    <s v=".1~162"/>
    <n v="162"/>
    <s v="D2"/>
    <s v="01"/>
    <s v="07"/>
    <x v="6"/>
    <n v="2"/>
    <n v="7"/>
    <x v="2"/>
    <x v="5"/>
    <x v="5"/>
    <n v="25"/>
    <s v="ST"/>
  </r>
  <r>
    <s v=".1~163"/>
    <n v="163"/>
    <s v="D2"/>
    <s v="01"/>
    <s v="07"/>
    <x v="6"/>
    <n v="2"/>
    <n v="7"/>
    <x v="3"/>
    <x v="0"/>
    <x v="0"/>
    <n v="65"/>
    <s v="ST"/>
  </r>
  <r>
    <s v=".1~164"/>
    <n v="164"/>
    <s v="D2"/>
    <s v="01"/>
    <s v="07"/>
    <x v="6"/>
    <n v="2"/>
    <n v="7"/>
    <x v="3"/>
    <x v="1"/>
    <x v="1"/>
    <n v="20"/>
    <s v="ST"/>
  </r>
  <r>
    <s v=".1~165"/>
    <n v="165"/>
    <s v="D2"/>
    <s v="01"/>
    <s v="07"/>
    <x v="6"/>
    <n v="2"/>
    <n v="7"/>
    <x v="3"/>
    <x v="2"/>
    <x v="2"/>
    <n v="85"/>
    <s v="ST"/>
  </r>
  <r>
    <s v=".1~166"/>
    <n v="166"/>
    <s v="D2"/>
    <s v="01"/>
    <s v="07"/>
    <x v="6"/>
    <n v="2"/>
    <n v="7"/>
    <x v="3"/>
    <x v="3"/>
    <x v="3"/>
    <n v="79"/>
    <s v="ST"/>
  </r>
  <r>
    <s v=".1~167"/>
    <n v="167"/>
    <s v="D2"/>
    <s v="01"/>
    <s v="07"/>
    <x v="6"/>
    <n v="2"/>
    <n v="7"/>
    <x v="3"/>
    <x v="4"/>
    <x v="4"/>
    <n v="30"/>
    <s v="ST"/>
  </r>
  <r>
    <s v=".1~168"/>
    <n v="168"/>
    <s v="D2"/>
    <s v="01"/>
    <s v="07"/>
    <x v="6"/>
    <n v="2"/>
    <n v="7"/>
    <x v="3"/>
    <x v="5"/>
    <x v="5"/>
    <n v="30"/>
    <s v="ST"/>
  </r>
  <r>
    <s v=".1~169"/>
    <n v="169"/>
    <s v="D2"/>
    <s v="01"/>
    <s v="08"/>
    <x v="7"/>
    <n v="2"/>
    <n v="8"/>
    <x v="0"/>
    <x v="0"/>
    <x v="0"/>
    <n v="734"/>
    <s v="ST"/>
  </r>
  <r>
    <s v=".1~170"/>
    <n v="170"/>
    <s v="D2"/>
    <s v="01"/>
    <s v="08"/>
    <x v="7"/>
    <n v="2"/>
    <n v="8"/>
    <x v="0"/>
    <x v="1"/>
    <x v="1"/>
    <n v="313"/>
    <s v="ST"/>
  </r>
  <r>
    <s v=".1~171"/>
    <n v="171"/>
    <s v="D2"/>
    <s v="01"/>
    <s v="08"/>
    <x v="7"/>
    <n v="2"/>
    <n v="8"/>
    <x v="0"/>
    <x v="2"/>
    <x v="2"/>
    <n v="626"/>
    <s v="ST"/>
  </r>
  <r>
    <s v=".1~172"/>
    <n v="172"/>
    <s v="D2"/>
    <s v="01"/>
    <s v="08"/>
    <x v="7"/>
    <n v="2"/>
    <n v="8"/>
    <x v="0"/>
    <x v="3"/>
    <x v="3"/>
    <n v="236"/>
    <s v="ST"/>
  </r>
  <r>
    <s v=".1~173"/>
    <n v="173"/>
    <s v="D2"/>
    <s v="01"/>
    <s v="08"/>
    <x v="7"/>
    <n v="2"/>
    <n v="8"/>
    <x v="0"/>
    <x v="4"/>
    <x v="4"/>
    <n v="338"/>
    <s v="ST"/>
  </r>
  <r>
    <s v=".1~174"/>
    <n v="174"/>
    <s v="D2"/>
    <s v="01"/>
    <s v="08"/>
    <x v="7"/>
    <n v="2"/>
    <n v="8"/>
    <x v="0"/>
    <x v="5"/>
    <x v="5"/>
    <n v="262"/>
    <s v="ST"/>
  </r>
  <r>
    <s v=".1~175"/>
    <n v="175"/>
    <s v="D2"/>
    <s v="01"/>
    <s v="08"/>
    <x v="7"/>
    <n v="2"/>
    <n v="8"/>
    <x v="1"/>
    <x v="0"/>
    <x v="0"/>
    <n v="176"/>
    <s v="ST"/>
  </r>
  <r>
    <s v=".1~176"/>
    <n v="176"/>
    <s v="D2"/>
    <s v="01"/>
    <s v="08"/>
    <x v="7"/>
    <n v="2"/>
    <n v="8"/>
    <x v="1"/>
    <x v="1"/>
    <x v="1"/>
    <n v="40"/>
    <s v="ST"/>
  </r>
  <r>
    <s v=".1~177"/>
    <n v="177"/>
    <s v="D2"/>
    <s v="01"/>
    <s v="08"/>
    <x v="7"/>
    <n v="2"/>
    <n v="8"/>
    <x v="1"/>
    <x v="2"/>
    <x v="2"/>
    <n v="44"/>
    <s v="ST"/>
  </r>
  <r>
    <s v=".1~178"/>
    <n v="178"/>
    <s v="D2"/>
    <s v="01"/>
    <s v="08"/>
    <x v="7"/>
    <n v="2"/>
    <n v="8"/>
    <x v="1"/>
    <x v="3"/>
    <x v="3"/>
    <n v="35"/>
    <s v="ST"/>
  </r>
  <r>
    <s v=".1~179"/>
    <n v="179"/>
    <s v="D2"/>
    <s v="01"/>
    <s v="08"/>
    <x v="7"/>
    <n v="2"/>
    <n v="8"/>
    <x v="1"/>
    <x v="4"/>
    <x v="4"/>
    <n v="60"/>
    <s v="ST"/>
  </r>
  <r>
    <s v=".1~180"/>
    <n v="180"/>
    <s v="D2"/>
    <s v="01"/>
    <s v="08"/>
    <x v="7"/>
    <n v="2"/>
    <n v="8"/>
    <x v="1"/>
    <x v="5"/>
    <x v="5"/>
    <n v="70"/>
    <s v="ST"/>
  </r>
  <r>
    <s v=".1~181"/>
    <n v="181"/>
    <s v="D2"/>
    <s v="01"/>
    <s v="08"/>
    <x v="7"/>
    <n v="2"/>
    <n v="8"/>
    <x v="2"/>
    <x v="0"/>
    <x v="0"/>
    <n v="60"/>
    <s v="ST"/>
  </r>
  <r>
    <s v=".1~182"/>
    <n v="182"/>
    <s v="D2"/>
    <s v="01"/>
    <s v="08"/>
    <x v="7"/>
    <n v="2"/>
    <n v="8"/>
    <x v="2"/>
    <x v="1"/>
    <x v="1"/>
    <n v="60"/>
    <s v="ST"/>
  </r>
  <r>
    <s v=".1~183"/>
    <n v="183"/>
    <s v="D2"/>
    <s v="01"/>
    <s v="08"/>
    <x v="7"/>
    <n v="2"/>
    <n v="8"/>
    <x v="2"/>
    <x v="2"/>
    <x v="2"/>
    <n v="45"/>
    <s v="ST"/>
  </r>
  <r>
    <s v=".1~184"/>
    <n v="184"/>
    <s v="D2"/>
    <s v="01"/>
    <s v="08"/>
    <x v="7"/>
    <n v="2"/>
    <n v="8"/>
    <x v="2"/>
    <x v="3"/>
    <x v="3"/>
    <n v="15"/>
    <s v="ST"/>
  </r>
  <r>
    <s v=".1~185"/>
    <n v="185"/>
    <s v="D2"/>
    <s v="01"/>
    <s v="08"/>
    <x v="7"/>
    <n v="2"/>
    <n v="8"/>
    <x v="2"/>
    <x v="4"/>
    <x v="4"/>
    <n v="70"/>
    <s v="ST"/>
  </r>
  <r>
    <s v=".1~186"/>
    <n v="186"/>
    <s v="D2"/>
    <s v="01"/>
    <s v="08"/>
    <x v="7"/>
    <n v="2"/>
    <n v="8"/>
    <x v="2"/>
    <x v="5"/>
    <x v="5"/>
    <n v="25"/>
    <s v="ST"/>
  </r>
  <r>
    <s v=".1~187"/>
    <n v="187"/>
    <s v="D2"/>
    <s v="01"/>
    <s v="08"/>
    <x v="7"/>
    <n v="2"/>
    <n v="8"/>
    <x v="3"/>
    <x v="0"/>
    <x v="0"/>
    <n v="65"/>
    <s v="ST"/>
  </r>
  <r>
    <s v=".1~188"/>
    <n v="188"/>
    <s v="D2"/>
    <s v="01"/>
    <s v="08"/>
    <x v="7"/>
    <n v="2"/>
    <n v="8"/>
    <x v="3"/>
    <x v="1"/>
    <x v="1"/>
    <n v="20"/>
    <s v="ST"/>
  </r>
  <r>
    <s v=".1~189"/>
    <n v="189"/>
    <s v="D2"/>
    <s v="01"/>
    <s v="08"/>
    <x v="7"/>
    <n v="2"/>
    <n v="8"/>
    <x v="3"/>
    <x v="2"/>
    <x v="2"/>
    <n v="85"/>
    <s v="ST"/>
  </r>
  <r>
    <s v=".1~190"/>
    <n v="190"/>
    <s v="D2"/>
    <s v="01"/>
    <s v="08"/>
    <x v="7"/>
    <n v="2"/>
    <n v="8"/>
    <x v="3"/>
    <x v="3"/>
    <x v="3"/>
    <n v="68"/>
    <s v="ST"/>
  </r>
  <r>
    <s v=".1~191"/>
    <n v="191"/>
    <s v="D2"/>
    <s v="01"/>
    <s v="08"/>
    <x v="7"/>
    <n v="2"/>
    <n v="8"/>
    <x v="3"/>
    <x v="4"/>
    <x v="4"/>
    <n v="30"/>
    <s v="ST"/>
  </r>
  <r>
    <s v=".1~192"/>
    <n v="192"/>
    <s v="D2"/>
    <s v="01"/>
    <s v="08"/>
    <x v="7"/>
    <n v="2"/>
    <n v="8"/>
    <x v="3"/>
    <x v="5"/>
    <x v="5"/>
    <n v="30"/>
    <s v="ST"/>
  </r>
  <r>
    <s v=".1~193"/>
    <n v="193"/>
    <s v="D2"/>
    <s v="01"/>
    <s v="09"/>
    <x v="8"/>
    <n v="2"/>
    <n v="9"/>
    <x v="0"/>
    <x v="0"/>
    <x v="0"/>
    <n v="680"/>
    <s v="ST"/>
  </r>
  <r>
    <s v=".1~194"/>
    <n v="194"/>
    <s v="D2"/>
    <s v="01"/>
    <s v="09"/>
    <x v="8"/>
    <n v="2"/>
    <n v="9"/>
    <x v="0"/>
    <x v="1"/>
    <x v="1"/>
    <n v="293"/>
    <s v="ST"/>
  </r>
  <r>
    <s v=".1~195"/>
    <n v="195"/>
    <s v="D2"/>
    <s v="01"/>
    <s v="09"/>
    <x v="8"/>
    <n v="2"/>
    <n v="9"/>
    <x v="0"/>
    <x v="2"/>
    <x v="2"/>
    <n v="490"/>
    <s v="ST"/>
  </r>
  <r>
    <s v=".1~196"/>
    <n v="196"/>
    <s v="D2"/>
    <s v="01"/>
    <s v="09"/>
    <x v="8"/>
    <n v="2"/>
    <n v="9"/>
    <x v="0"/>
    <x v="3"/>
    <x v="3"/>
    <n v="219"/>
    <s v="ST"/>
  </r>
  <r>
    <s v=".1~197"/>
    <n v="197"/>
    <s v="D2"/>
    <s v="01"/>
    <s v="09"/>
    <x v="8"/>
    <n v="2"/>
    <n v="9"/>
    <x v="0"/>
    <x v="4"/>
    <x v="4"/>
    <n v="338"/>
    <s v="ST"/>
  </r>
  <r>
    <s v=".1~198"/>
    <n v="198"/>
    <s v="D2"/>
    <s v="01"/>
    <s v="09"/>
    <x v="8"/>
    <n v="2"/>
    <n v="9"/>
    <x v="0"/>
    <x v="5"/>
    <x v="5"/>
    <n v="262"/>
    <s v="ST"/>
  </r>
  <r>
    <s v=".1~199"/>
    <n v="199"/>
    <s v="D2"/>
    <s v="01"/>
    <s v="09"/>
    <x v="8"/>
    <n v="2"/>
    <n v="9"/>
    <x v="1"/>
    <x v="0"/>
    <x v="0"/>
    <n v="54"/>
    <s v="ST"/>
  </r>
  <r>
    <s v=".1~200"/>
    <n v="200"/>
    <s v="D2"/>
    <s v="01"/>
    <s v="09"/>
    <x v="8"/>
    <n v="2"/>
    <n v="9"/>
    <x v="1"/>
    <x v="1"/>
    <x v="1"/>
    <n v="60"/>
    <s v="ST"/>
  </r>
  <r>
    <s v=".1~201"/>
    <n v="201"/>
    <s v="D2"/>
    <s v="01"/>
    <s v="09"/>
    <x v="8"/>
    <n v="2"/>
    <n v="9"/>
    <x v="1"/>
    <x v="2"/>
    <x v="2"/>
    <n v="71"/>
    <s v="ST"/>
  </r>
  <r>
    <s v=".1~202"/>
    <n v="202"/>
    <s v="D2"/>
    <s v="01"/>
    <s v="09"/>
    <x v="8"/>
    <n v="2"/>
    <n v="9"/>
    <x v="1"/>
    <x v="3"/>
    <x v="3"/>
    <n v="35"/>
    <s v="ST"/>
  </r>
  <r>
    <s v=".1~203"/>
    <n v="203"/>
    <s v="D2"/>
    <s v="01"/>
    <s v="09"/>
    <x v="8"/>
    <n v="2"/>
    <n v="9"/>
    <x v="1"/>
    <x v="4"/>
    <x v="4"/>
    <n v="60"/>
    <s v="ST"/>
  </r>
  <r>
    <s v=".1~204"/>
    <n v="204"/>
    <s v="D2"/>
    <s v="01"/>
    <s v="09"/>
    <x v="8"/>
    <n v="2"/>
    <n v="9"/>
    <x v="1"/>
    <x v="5"/>
    <x v="5"/>
    <n v="70"/>
    <s v="ST"/>
  </r>
  <r>
    <s v=".1~205"/>
    <n v="205"/>
    <s v="D2"/>
    <s v="01"/>
    <s v="09"/>
    <x v="8"/>
    <n v="2"/>
    <n v="9"/>
    <x v="2"/>
    <x v="0"/>
    <x v="0"/>
    <n v="0"/>
    <s v="ST"/>
  </r>
  <r>
    <s v=".1~206"/>
    <n v="206"/>
    <s v="D2"/>
    <s v="01"/>
    <s v="09"/>
    <x v="8"/>
    <n v="2"/>
    <n v="9"/>
    <x v="2"/>
    <x v="1"/>
    <x v="1"/>
    <n v="60"/>
    <s v="ST"/>
  </r>
  <r>
    <s v=".1~207"/>
    <n v="207"/>
    <s v="D2"/>
    <s v="01"/>
    <s v="09"/>
    <x v="8"/>
    <n v="2"/>
    <n v="9"/>
    <x v="2"/>
    <x v="2"/>
    <x v="2"/>
    <n v="110"/>
    <s v="ST"/>
  </r>
  <r>
    <s v=".1~208"/>
    <n v="208"/>
    <s v="D2"/>
    <s v="01"/>
    <s v="09"/>
    <x v="8"/>
    <n v="2"/>
    <n v="9"/>
    <x v="2"/>
    <x v="3"/>
    <x v="3"/>
    <n v="15"/>
    <s v="ST"/>
  </r>
  <r>
    <s v=".1~209"/>
    <n v="209"/>
    <s v="D2"/>
    <s v="01"/>
    <s v="09"/>
    <x v="8"/>
    <n v="2"/>
    <n v="9"/>
    <x v="2"/>
    <x v="4"/>
    <x v="4"/>
    <n v="70"/>
    <s v="ST"/>
  </r>
  <r>
    <s v=".1~210"/>
    <n v="210"/>
    <s v="D2"/>
    <s v="01"/>
    <s v="09"/>
    <x v="8"/>
    <n v="2"/>
    <n v="9"/>
    <x v="2"/>
    <x v="5"/>
    <x v="5"/>
    <n v="25"/>
    <s v="ST"/>
  </r>
  <r>
    <s v=".1~211"/>
    <n v="211"/>
    <s v="D2"/>
    <s v="01"/>
    <s v="09"/>
    <x v="8"/>
    <n v="2"/>
    <n v="9"/>
    <x v="3"/>
    <x v="0"/>
    <x v="0"/>
    <n v="65"/>
    <s v="ST"/>
  </r>
  <r>
    <s v=".1~212"/>
    <n v="212"/>
    <s v="D2"/>
    <s v="01"/>
    <s v="09"/>
    <x v="8"/>
    <n v="2"/>
    <n v="9"/>
    <x v="3"/>
    <x v="1"/>
    <x v="1"/>
    <n v="20"/>
    <s v="ST"/>
  </r>
  <r>
    <s v=".1~213"/>
    <n v="213"/>
    <s v="D2"/>
    <s v="01"/>
    <s v="09"/>
    <x v="8"/>
    <n v="2"/>
    <n v="9"/>
    <x v="3"/>
    <x v="2"/>
    <x v="2"/>
    <n v="41"/>
    <s v="ST"/>
  </r>
  <r>
    <s v=".1~214"/>
    <n v="214"/>
    <s v="D2"/>
    <s v="01"/>
    <s v="09"/>
    <x v="8"/>
    <n v="2"/>
    <n v="9"/>
    <x v="3"/>
    <x v="3"/>
    <x v="3"/>
    <n v="49"/>
    <s v="ST"/>
  </r>
  <r>
    <s v=".1~215"/>
    <n v="215"/>
    <s v="D2"/>
    <s v="01"/>
    <s v="09"/>
    <x v="8"/>
    <n v="2"/>
    <n v="9"/>
    <x v="3"/>
    <x v="4"/>
    <x v="4"/>
    <n v="30"/>
    <s v="ST"/>
  </r>
  <r>
    <s v=".1~216"/>
    <n v="216"/>
    <s v="D2"/>
    <s v="01"/>
    <s v="09"/>
    <x v="8"/>
    <n v="2"/>
    <n v="9"/>
    <x v="3"/>
    <x v="5"/>
    <x v="5"/>
    <n v="30"/>
    <s v="ST"/>
  </r>
  <r>
    <s v=".1~217"/>
    <n v="217"/>
    <s v="D2"/>
    <s v="01"/>
    <s v="10"/>
    <x v="9"/>
    <n v="2"/>
    <n v="10"/>
    <x v="0"/>
    <x v="0"/>
    <x v="0"/>
    <n v="444"/>
    <s v="ST"/>
  </r>
  <r>
    <s v=".1~218"/>
    <n v="218"/>
    <s v="D2"/>
    <s v="01"/>
    <s v="10"/>
    <x v="9"/>
    <n v="2"/>
    <n v="10"/>
    <x v="0"/>
    <x v="1"/>
    <x v="1"/>
    <n v="293"/>
    <s v="ST"/>
  </r>
  <r>
    <s v=".1~219"/>
    <n v="219"/>
    <s v="D2"/>
    <s v="01"/>
    <s v="10"/>
    <x v="9"/>
    <n v="2"/>
    <n v="10"/>
    <x v="0"/>
    <x v="2"/>
    <x v="2"/>
    <n v="402"/>
    <s v="ST"/>
  </r>
  <r>
    <s v=".1~220"/>
    <n v="220"/>
    <s v="D2"/>
    <s v="01"/>
    <s v="10"/>
    <x v="9"/>
    <n v="2"/>
    <n v="10"/>
    <x v="0"/>
    <x v="3"/>
    <x v="3"/>
    <n v="183"/>
    <s v="ST"/>
  </r>
  <r>
    <s v=".1~221"/>
    <n v="221"/>
    <s v="D2"/>
    <s v="01"/>
    <s v="10"/>
    <x v="9"/>
    <n v="2"/>
    <n v="10"/>
    <x v="0"/>
    <x v="4"/>
    <x v="4"/>
    <n v="338"/>
    <s v="ST"/>
  </r>
  <r>
    <s v=".1~222"/>
    <n v="222"/>
    <s v="D2"/>
    <s v="01"/>
    <s v="10"/>
    <x v="9"/>
    <n v="2"/>
    <n v="10"/>
    <x v="0"/>
    <x v="5"/>
    <x v="5"/>
    <n v="262"/>
    <s v="ST"/>
  </r>
  <r>
    <s v=".1~223"/>
    <n v="223"/>
    <s v="D2"/>
    <s v="01"/>
    <s v="10"/>
    <x v="9"/>
    <n v="2"/>
    <n v="10"/>
    <x v="1"/>
    <x v="0"/>
    <x v="0"/>
    <n v="176"/>
    <s v="ST"/>
  </r>
  <r>
    <s v=".1~224"/>
    <n v="224"/>
    <s v="D2"/>
    <s v="01"/>
    <s v="10"/>
    <x v="9"/>
    <n v="2"/>
    <n v="10"/>
    <x v="1"/>
    <x v="1"/>
    <x v="1"/>
    <n v="60"/>
    <s v="ST"/>
  </r>
  <r>
    <s v=".1~225"/>
    <n v="225"/>
    <s v="D2"/>
    <s v="01"/>
    <s v="10"/>
    <x v="9"/>
    <n v="2"/>
    <n v="10"/>
    <x v="1"/>
    <x v="2"/>
    <x v="2"/>
    <n v="58"/>
    <s v="ST"/>
  </r>
  <r>
    <s v=".1~226"/>
    <n v="226"/>
    <s v="D2"/>
    <s v="01"/>
    <s v="10"/>
    <x v="9"/>
    <n v="2"/>
    <n v="10"/>
    <x v="1"/>
    <x v="3"/>
    <x v="3"/>
    <n v="35"/>
    <s v="ST"/>
  </r>
  <r>
    <s v=".1~227"/>
    <n v="227"/>
    <s v="D2"/>
    <s v="01"/>
    <s v="10"/>
    <x v="9"/>
    <n v="2"/>
    <n v="10"/>
    <x v="1"/>
    <x v="4"/>
    <x v="4"/>
    <n v="34"/>
    <s v="ST"/>
  </r>
  <r>
    <s v=".1~228"/>
    <n v="228"/>
    <s v="D2"/>
    <s v="01"/>
    <s v="10"/>
    <x v="9"/>
    <n v="2"/>
    <n v="10"/>
    <x v="1"/>
    <x v="5"/>
    <x v="5"/>
    <n v="70"/>
    <s v="ST"/>
  </r>
  <r>
    <s v=".1~229"/>
    <n v="229"/>
    <s v="D2"/>
    <s v="01"/>
    <s v="10"/>
    <x v="9"/>
    <n v="2"/>
    <n v="10"/>
    <x v="2"/>
    <x v="0"/>
    <x v="0"/>
    <n v="60"/>
    <s v="ST"/>
  </r>
  <r>
    <s v=".1~230"/>
    <n v="230"/>
    <s v="D2"/>
    <s v="01"/>
    <s v="10"/>
    <x v="9"/>
    <n v="2"/>
    <n v="10"/>
    <x v="2"/>
    <x v="1"/>
    <x v="1"/>
    <n v="60"/>
    <s v="ST"/>
  </r>
  <r>
    <s v=".1~231"/>
    <n v="231"/>
    <s v="D2"/>
    <s v="01"/>
    <s v="10"/>
    <x v="9"/>
    <n v="2"/>
    <n v="10"/>
    <x v="2"/>
    <x v="2"/>
    <x v="2"/>
    <n v="0"/>
    <s v="ST"/>
  </r>
  <r>
    <s v=".1~232"/>
    <n v="232"/>
    <s v="D2"/>
    <s v="01"/>
    <s v="10"/>
    <x v="9"/>
    <n v="2"/>
    <n v="10"/>
    <x v="2"/>
    <x v="3"/>
    <x v="3"/>
    <n v="15"/>
    <s v="ST"/>
  </r>
  <r>
    <s v=".1~233"/>
    <n v="233"/>
    <s v="D2"/>
    <s v="01"/>
    <s v="10"/>
    <x v="9"/>
    <n v="2"/>
    <n v="10"/>
    <x v="2"/>
    <x v="4"/>
    <x v="4"/>
    <n v="39"/>
    <s v="ST"/>
  </r>
  <r>
    <s v=".1~234"/>
    <n v="234"/>
    <s v="D2"/>
    <s v="01"/>
    <s v="10"/>
    <x v="9"/>
    <n v="2"/>
    <n v="10"/>
    <x v="2"/>
    <x v="5"/>
    <x v="5"/>
    <n v="25"/>
    <s v="ST"/>
  </r>
  <r>
    <s v=".1~235"/>
    <n v="235"/>
    <s v="D2"/>
    <s v="01"/>
    <s v="10"/>
    <x v="9"/>
    <n v="2"/>
    <n v="10"/>
    <x v="3"/>
    <x v="0"/>
    <x v="0"/>
    <n v="65"/>
    <s v="ST"/>
  </r>
  <r>
    <s v=".1~236"/>
    <n v="236"/>
    <s v="D2"/>
    <s v="01"/>
    <s v="10"/>
    <x v="9"/>
    <n v="2"/>
    <n v="10"/>
    <x v="3"/>
    <x v="1"/>
    <x v="1"/>
    <n v="20"/>
    <s v="ST"/>
  </r>
  <r>
    <s v=".1~237"/>
    <n v="237"/>
    <s v="D2"/>
    <s v="01"/>
    <s v="10"/>
    <x v="9"/>
    <n v="2"/>
    <n v="10"/>
    <x v="3"/>
    <x v="2"/>
    <x v="2"/>
    <n v="85"/>
    <s v="ST"/>
  </r>
  <r>
    <s v=".1~238"/>
    <n v="238"/>
    <s v="D2"/>
    <s v="01"/>
    <s v="10"/>
    <x v="9"/>
    <n v="2"/>
    <n v="10"/>
    <x v="3"/>
    <x v="3"/>
    <x v="3"/>
    <n v="62"/>
    <s v="ST"/>
  </r>
  <r>
    <s v=".1~239"/>
    <n v="239"/>
    <s v="D2"/>
    <s v="01"/>
    <s v="10"/>
    <x v="9"/>
    <n v="2"/>
    <n v="10"/>
    <x v="3"/>
    <x v="4"/>
    <x v="4"/>
    <n v="30"/>
    <s v="ST"/>
  </r>
  <r>
    <s v=".1~240"/>
    <n v="240"/>
    <s v="D2"/>
    <s v="01"/>
    <s v="10"/>
    <x v="9"/>
    <n v="2"/>
    <n v="10"/>
    <x v="3"/>
    <x v="5"/>
    <x v="5"/>
    <n v="30"/>
    <s v="ST"/>
  </r>
  <r>
    <s v=".1~241"/>
    <n v="241"/>
    <s v="D2"/>
    <s v="02"/>
    <s v="01"/>
    <x v="10"/>
    <n v="3"/>
    <n v="11"/>
    <x v="0"/>
    <x v="0"/>
    <x v="0"/>
    <n v="390"/>
    <s v="ST"/>
  </r>
  <r>
    <s v=".1~242"/>
    <n v="242"/>
    <s v="D2"/>
    <s v="02"/>
    <s v="01"/>
    <x v="10"/>
    <n v="3"/>
    <n v="11"/>
    <x v="0"/>
    <x v="1"/>
    <x v="1"/>
    <n v="293"/>
    <s v="ST"/>
  </r>
  <r>
    <s v=".1~243"/>
    <n v="243"/>
    <s v="D2"/>
    <s v="02"/>
    <s v="01"/>
    <x v="10"/>
    <n v="3"/>
    <n v="11"/>
    <x v="0"/>
    <x v="2"/>
    <x v="2"/>
    <n v="235"/>
    <s v="ST"/>
  </r>
  <r>
    <s v=".1~244"/>
    <n v="244"/>
    <s v="D2"/>
    <s v="02"/>
    <s v="01"/>
    <x v="10"/>
    <n v="3"/>
    <n v="11"/>
    <x v="0"/>
    <x v="3"/>
    <x v="3"/>
    <n v="160"/>
    <s v="ST"/>
  </r>
  <r>
    <s v=".1~245"/>
    <n v="245"/>
    <s v="D2"/>
    <s v="02"/>
    <s v="01"/>
    <x v="10"/>
    <n v="3"/>
    <n v="11"/>
    <x v="0"/>
    <x v="4"/>
    <x v="4"/>
    <n v="281"/>
    <s v="ST"/>
  </r>
  <r>
    <s v=".1~246"/>
    <n v="246"/>
    <s v="D2"/>
    <s v="02"/>
    <s v="01"/>
    <x v="10"/>
    <n v="3"/>
    <n v="11"/>
    <x v="0"/>
    <x v="5"/>
    <x v="5"/>
    <n v="262"/>
    <s v="ST"/>
  </r>
  <r>
    <s v=".1~247"/>
    <n v="247"/>
    <s v="D2"/>
    <s v="02"/>
    <s v="01"/>
    <x v="10"/>
    <n v="3"/>
    <n v="11"/>
    <x v="1"/>
    <x v="0"/>
    <x v="0"/>
    <n v="230"/>
    <s v="ST"/>
  </r>
  <r>
    <s v=".1~248"/>
    <n v="248"/>
    <s v="D2"/>
    <s v="02"/>
    <s v="01"/>
    <x v="10"/>
    <n v="3"/>
    <n v="11"/>
    <x v="1"/>
    <x v="1"/>
    <x v="1"/>
    <n v="41"/>
    <s v="ST"/>
  </r>
  <r>
    <s v=".1~249"/>
    <n v="249"/>
    <s v="D2"/>
    <s v="02"/>
    <s v="01"/>
    <x v="10"/>
    <n v="3"/>
    <n v="11"/>
    <x v="1"/>
    <x v="2"/>
    <x v="2"/>
    <n v="115"/>
    <s v="ST"/>
  </r>
  <r>
    <s v=".1~250"/>
    <n v="250"/>
    <s v="D2"/>
    <s v="02"/>
    <s v="01"/>
    <x v="10"/>
    <n v="3"/>
    <n v="11"/>
    <x v="1"/>
    <x v="3"/>
    <x v="3"/>
    <n v="35"/>
    <s v="ST"/>
  </r>
  <r>
    <s v=".1~251"/>
    <n v="251"/>
    <s v="D2"/>
    <s v="02"/>
    <s v="01"/>
    <x v="10"/>
    <n v="3"/>
    <n v="11"/>
    <x v="1"/>
    <x v="4"/>
    <x v="4"/>
    <n v="54"/>
    <s v="ST"/>
  </r>
  <r>
    <s v=".1~252"/>
    <n v="252"/>
    <s v="D2"/>
    <s v="02"/>
    <s v="01"/>
    <x v="10"/>
    <n v="3"/>
    <n v="11"/>
    <x v="1"/>
    <x v="5"/>
    <x v="5"/>
    <n v="70"/>
    <s v="ST"/>
  </r>
  <r>
    <s v=".1~253"/>
    <n v="253"/>
    <s v="D2"/>
    <s v="02"/>
    <s v="01"/>
    <x v="10"/>
    <n v="3"/>
    <n v="11"/>
    <x v="2"/>
    <x v="0"/>
    <x v="0"/>
    <n v="60"/>
    <s v="ST"/>
  </r>
  <r>
    <s v=".1~254"/>
    <n v="254"/>
    <s v="D2"/>
    <s v="02"/>
    <s v="01"/>
    <x v="10"/>
    <n v="3"/>
    <n v="11"/>
    <x v="2"/>
    <x v="1"/>
    <x v="1"/>
    <n v="60"/>
    <s v="ST"/>
  </r>
  <r>
    <s v=".1~255"/>
    <n v="255"/>
    <s v="D2"/>
    <s v="02"/>
    <s v="01"/>
    <x v="10"/>
    <n v="3"/>
    <n v="11"/>
    <x v="2"/>
    <x v="2"/>
    <x v="2"/>
    <n v="110"/>
    <s v="ST"/>
  </r>
  <r>
    <s v=".1~256"/>
    <n v="256"/>
    <s v="D2"/>
    <s v="02"/>
    <s v="01"/>
    <x v="10"/>
    <n v="3"/>
    <n v="11"/>
    <x v="2"/>
    <x v="3"/>
    <x v="3"/>
    <n v="15"/>
    <s v="ST"/>
  </r>
  <r>
    <s v=".1~257"/>
    <n v="257"/>
    <s v="D2"/>
    <s v="02"/>
    <s v="01"/>
    <x v="10"/>
    <n v="3"/>
    <n v="11"/>
    <x v="2"/>
    <x v="4"/>
    <x v="4"/>
    <n v="70"/>
    <s v="ST"/>
  </r>
  <r>
    <s v=".1~258"/>
    <n v="258"/>
    <s v="D2"/>
    <s v="02"/>
    <s v="01"/>
    <x v="10"/>
    <n v="3"/>
    <n v="11"/>
    <x v="2"/>
    <x v="5"/>
    <x v="5"/>
    <n v="25"/>
    <s v="ST"/>
  </r>
  <r>
    <s v=".1~259"/>
    <n v="259"/>
    <s v="D2"/>
    <s v="02"/>
    <s v="01"/>
    <x v="10"/>
    <n v="3"/>
    <n v="11"/>
    <x v="3"/>
    <x v="0"/>
    <x v="0"/>
    <n v="65"/>
    <s v="ST"/>
  </r>
  <r>
    <s v=".1~260"/>
    <n v="260"/>
    <s v="D2"/>
    <s v="02"/>
    <s v="01"/>
    <x v="10"/>
    <n v="3"/>
    <n v="11"/>
    <x v="3"/>
    <x v="1"/>
    <x v="1"/>
    <n v="20"/>
    <s v="ST"/>
  </r>
  <r>
    <s v=".1~261"/>
    <n v="261"/>
    <s v="D2"/>
    <s v="02"/>
    <s v="01"/>
    <x v="10"/>
    <n v="3"/>
    <n v="11"/>
    <x v="3"/>
    <x v="2"/>
    <x v="2"/>
    <n v="85"/>
    <s v="ST"/>
  </r>
  <r>
    <s v=".1~262"/>
    <n v="262"/>
    <s v="D2"/>
    <s v="02"/>
    <s v="01"/>
    <x v="10"/>
    <n v="3"/>
    <n v="11"/>
    <x v="3"/>
    <x v="3"/>
    <x v="3"/>
    <n v="85"/>
    <s v="ST"/>
  </r>
  <r>
    <s v=".1~263"/>
    <n v="263"/>
    <s v="D2"/>
    <s v="02"/>
    <s v="01"/>
    <x v="10"/>
    <n v="3"/>
    <n v="11"/>
    <x v="3"/>
    <x v="4"/>
    <x v="4"/>
    <n v="30"/>
    <s v="ST"/>
  </r>
  <r>
    <s v=".1~264"/>
    <n v="264"/>
    <s v="D2"/>
    <s v="02"/>
    <s v="01"/>
    <x v="10"/>
    <n v="3"/>
    <n v="11"/>
    <x v="3"/>
    <x v="5"/>
    <x v="5"/>
    <n v="30"/>
    <s v="ST"/>
  </r>
  <r>
    <s v=".1~265"/>
    <n v="265"/>
    <s v="D2"/>
    <s v="02"/>
    <s v="02"/>
    <x v="11"/>
    <n v="3"/>
    <n v="12"/>
    <x v="0"/>
    <x v="0"/>
    <x v="0"/>
    <n v="350"/>
    <s v="ST"/>
  </r>
  <r>
    <s v=".1~266"/>
    <n v="266"/>
    <s v="D2"/>
    <s v="02"/>
    <s v="02"/>
    <x v="11"/>
    <n v="3"/>
    <n v="12"/>
    <x v="0"/>
    <x v="1"/>
    <x v="1"/>
    <n v="264"/>
    <s v="ST"/>
  </r>
  <r>
    <s v=".1~267"/>
    <n v="267"/>
    <s v="D2"/>
    <s v="02"/>
    <s v="02"/>
    <x v="11"/>
    <n v="3"/>
    <n v="12"/>
    <x v="0"/>
    <x v="2"/>
    <x v="2"/>
    <n v="190"/>
    <s v="ST"/>
  </r>
  <r>
    <s v=".1~268"/>
    <n v="268"/>
    <s v="D2"/>
    <s v="02"/>
    <s v="02"/>
    <x v="11"/>
    <n v="3"/>
    <n v="12"/>
    <x v="0"/>
    <x v="3"/>
    <x v="3"/>
    <n v="115"/>
    <s v="ST"/>
  </r>
  <r>
    <s v=".1~269"/>
    <n v="269"/>
    <s v="D2"/>
    <s v="02"/>
    <s v="02"/>
    <x v="11"/>
    <n v="3"/>
    <n v="12"/>
    <x v="0"/>
    <x v="4"/>
    <x v="4"/>
    <n v="265"/>
    <s v="ST"/>
  </r>
  <r>
    <s v=".1~270"/>
    <n v="270"/>
    <s v="D2"/>
    <s v="02"/>
    <s v="02"/>
    <x v="11"/>
    <n v="3"/>
    <n v="12"/>
    <x v="0"/>
    <x v="5"/>
    <x v="5"/>
    <n v="237"/>
    <s v="ST"/>
  </r>
  <r>
    <s v=".1~271"/>
    <n v="271"/>
    <s v="D2"/>
    <s v="02"/>
    <s v="02"/>
    <x v="11"/>
    <n v="3"/>
    <n v="12"/>
    <x v="1"/>
    <x v="0"/>
    <x v="0"/>
    <n v="88"/>
    <s v="ST"/>
  </r>
  <r>
    <s v=".1~272"/>
    <n v="272"/>
    <s v="D2"/>
    <s v="02"/>
    <s v="02"/>
    <x v="11"/>
    <n v="3"/>
    <n v="12"/>
    <x v="1"/>
    <x v="1"/>
    <x v="1"/>
    <n v="50"/>
    <s v="ST"/>
  </r>
  <r>
    <s v=".1~273"/>
    <n v="273"/>
    <s v="D2"/>
    <s v="02"/>
    <s v="02"/>
    <x v="11"/>
    <n v="3"/>
    <n v="12"/>
    <x v="1"/>
    <x v="2"/>
    <x v="2"/>
    <n v="120"/>
    <s v="ST"/>
  </r>
  <r>
    <s v=".1~274"/>
    <n v="274"/>
    <s v="D2"/>
    <s v="02"/>
    <s v="02"/>
    <x v="11"/>
    <n v="3"/>
    <n v="12"/>
    <x v="1"/>
    <x v="3"/>
    <x v="3"/>
    <n v="40"/>
    <s v="ST"/>
  </r>
  <r>
    <s v=".1~275"/>
    <n v="275"/>
    <s v="D2"/>
    <s v="02"/>
    <s v="02"/>
    <x v="11"/>
    <n v="3"/>
    <n v="12"/>
    <x v="1"/>
    <x v="4"/>
    <x v="4"/>
    <n v="38"/>
    <s v="ST"/>
  </r>
  <r>
    <s v=".1~276"/>
    <n v="276"/>
    <s v="D2"/>
    <s v="02"/>
    <s v="02"/>
    <x v="11"/>
    <n v="3"/>
    <n v="12"/>
    <x v="1"/>
    <x v="5"/>
    <x v="5"/>
    <n v="70"/>
    <s v="ST"/>
  </r>
  <r>
    <s v=".1~277"/>
    <n v="277"/>
    <s v="D2"/>
    <s v="02"/>
    <s v="02"/>
    <x v="11"/>
    <n v="3"/>
    <n v="12"/>
    <x v="2"/>
    <x v="0"/>
    <x v="0"/>
    <n v="43"/>
    <s v="ST"/>
  </r>
  <r>
    <s v=".1~278"/>
    <n v="278"/>
    <s v="D2"/>
    <s v="02"/>
    <s v="02"/>
    <x v="11"/>
    <n v="3"/>
    <n v="12"/>
    <x v="2"/>
    <x v="1"/>
    <x v="1"/>
    <n v="60"/>
    <s v="ST"/>
  </r>
  <r>
    <s v=".1~279"/>
    <n v="279"/>
    <s v="D2"/>
    <s v="02"/>
    <s v="02"/>
    <x v="11"/>
    <n v="3"/>
    <n v="12"/>
    <x v="2"/>
    <x v="2"/>
    <x v="2"/>
    <n v="150"/>
    <s v="ST"/>
  </r>
  <r>
    <s v=".1~280"/>
    <n v="280"/>
    <s v="D2"/>
    <s v="02"/>
    <s v="02"/>
    <x v="11"/>
    <n v="3"/>
    <n v="12"/>
    <x v="2"/>
    <x v="3"/>
    <x v="3"/>
    <n v="40"/>
    <s v="ST"/>
  </r>
  <r>
    <s v=".1~281"/>
    <n v="281"/>
    <s v="D2"/>
    <s v="02"/>
    <s v="02"/>
    <x v="11"/>
    <n v="3"/>
    <n v="12"/>
    <x v="2"/>
    <x v="4"/>
    <x v="4"/>
    <n v="70"/>
    <s v="ST"/>
  </r>
  <r>
    <s v=".1~282"/>
    <n v="282"/>
    <s v="D2"/>
    <s v="02"/>
    <s v="02"/>
    <x v="11"/>
    <n v="3"/>
    <n v="12"/>
    <x v="2"/>
    <x v="5"/>
    <x v="5"/>
    <n v="40"/>
    <s v="ST"/>
  </r>
  <r>
    <s v=".1~283"/>
    <n v="283"/>
    <s v="D2"/>
    <s v="02"/>
    <s v="02"/>
    <x v="11"/>
    <n v="3"/>
    <n v="12"/>
    <x v="3"/>
    <x v="0"/>
    <x v="0"/>
    <n v="14"/>
    <s v="ST"/>
  </r>
  <r>
    <s v=".1~284"/>
    <n v="284"/>
    <s v="D2"/>
    <s v="02"/>
    <s v="02"/>
    <x v="11"/>
    <n v="3"/>
    <n v="12"/>
    <x v="3"/>
    <x v="1"/>
    <x v="1"/>
    <n v="40"/>
    <s v="ST"/>
  </r>
  <r>
    <s v=".1~285"/>
    <n v="285"/>
    <s v="D2"/>
    <s v="02"/>
    <s v="02"/>
    <x v="11"/>
    <n v="3"/>
    <n v="12"/>
    <x v="3"/>
    <x v="2"/>
    <x v="2"/>
    <n v="85"/>
    <s v="ST"/>
  </r>
  <r>
    <s v=".1~286"/>
    <n v="286"/>
    <s v="D2"/>
    <s v="02"/>
    <s v="02"/>
    <x v="11"/>
    <n v="3"/>
    <n v="12"/>
    <x v="3"/>
    <x v="3"/>
    <x v="3"/>
    <n v="100"/>
    <s v="ST"/>
  </r>
  <r>
    <s v=".1~287"/>
    <n v="287"/>
    <s v="D2"/>
    <s v="02"/>
    <s v="02"/>
    <x v="11"/>
    <n v="3"/>
    <n v="12"/>
    <x v="3"/>
    <x v="4"/>
    <x v="4"/>
    <n v="40"/>
    <s v="ST"/>
  </r>
  <r>
    <s v=".1~288"/>
    <n v="288"/>
    <s v="D2"/>
    <s v="02"/>
    <s v="02"/>
    <x v="11"/>
    <n v="3"/>
    <n v="12"/>
    <x v="3"/>
    <x v="5"/>
    <x v="5"/>
    <n v="40"/>
    <s v="ST"/>
  </r>
  <r>
    <s v=".1~289"/>
    <n v="289"/>
    <s v="D2"/>
    <s v="02"/>
    <s v="03"/>
    <x v="12"/>
    <n v="3"/>
    <n v="13"/>
    <x v="0"/>
    <x v="0"/>
    <x v="0"/>
    <n v="542"/>
    <s v="ST"/>
  </r>
  <r>
    <s v=".1~290"/>
    <n v="290"/>
    <s v="D2"/>
    <s v="02"/>
    <s v="03"/>
    <x v="12"/>
    <n v="3"/>
    <n v="13"/>
    <x v="0"/>
    <x v="1"/>
    <x v="1"/>
    <n v="303"/>
    <s v="ST"/>
  </r>
  <r>
    <s v=".1~291"/>
    <n v="291"/>
    <s v="D2"/>
    <s v="02"/>
    <s v="03"/>
    <x v="12"/>
    <n v="3"/>
    <n v="13"/>
    <x v="0"/>
    <x v="2"/>
    <x v="2"/>
    <n v="669"/>
    <s v="ST"/>
  </r>
  <r>
    <s v=".1~292"/>
    <n v="292"/>
    <s v="D2"/>
    <s v="02"/>
    <s v="03"/>
    <x v="12"/>
    <n v="3"/>
    <n v="13"/>
    <x v="0"/>
    <x v="3"/>
    <x v="3"/>
    <n v="212"/>
    <s v="ST"/>
  </r>
  <r>
    <s v=".1~293"/>
    <n v="293"/>
    <s v="D2"/>
    <s v="02"/>
    <s v="03"/>
    <x v="12"/>
    <n v="3"/>
    <n v="13"/>
    <x v="0"/>
    <x v="4"/>
    <x v="4"/>
    <n v="306"/>
    <s v="ST"/>
  </r>
  <r>
    <s v=".1~294"/>
    <n v="294"/>
    <s v="D2"/>
    <s v="02"/>
    <s v="03"/>
    <x v="12"/>
    <n v="3"/>
    <n v="13"/>
    <x v="0"/>
    <x v="5"/>
    <x v="5"/>
    <n v="237"/>
    <s v="ST"/>
  </r>
  <r>
    <s v=".1~295"/>
    <n v="295"/>
    <s v="D2"/>
    <s v="02"/>
    <s v="03"/>
    <x v="12"/>
    <n v="3"/>
    <n v="13"/>
    <x v="1"/>
    <x v="0"/>
    <x v="0"/>
    <n v="220"/>
    <s v="ST"/>
  </r>
  <r>
    <s v=".1~296"/>
    <n v="296"/>
    <s v="D2"/>
    <s v="02"/>
    <s v="03"/>
    <x v="12"/>
    <n v="3"/>
    <n v="13"/>
    <x v="1"/>
    <x v="1"/>
    <x v="1"/>
    <n v="50"/>
    <s v="ST"/>
  </r>
  <r>
    <s v=".1~297"/>
    <n v="297"/>
    <s v="D2"/>
    <s v="02"/>
    <s v="03"/>
    <x v="12"/>
    <n v="3"/>
    <n v="13"/>
    <x v="1"/>
    <x v="2"/>
    <x v="2"/>
    <n v="120"/>
    <s v="ST"/>
  </r>
  <r>
    <s v=".1~298"/>
    <n v="298"/>
    <s v="D2"/>
    <s v="02"/>
    <s v="03"/>
    <x v="12"/>
    <n v="3"/>
    <n v="13"/>
    <x v="1"/>
    <x v="3"/>
    <x v="3"/>
    <n v="40"/>
    <s v="ST"/>
  </r>
  <r>
    <s v=".1~299"/>
    <n v="299"/>
    <s v="D2"/>
    <s v="02"/>
    <s v="03"/>
    <x v="12"/>
    <n v="3"/>
    <n v="13"/>
    <x v="1"/>
    <x v="4"/>
    <x v="4"/>
    <n v="57"/>
    <s v="ST"/>
  </r>
  <r>
    <s v=".1~300"/>
    <n v="300"/>
    <s v="D2"/>
    <s v="02"/>
    <s v="03"/>
    <x v="12"/>
    <n v="3"/>
    <n v="13"/>
    <x v="1"/>
    <x v="5"/>
    <x v="5"/>
    <n v="70"/>
    <s v="ST"/>
  </r>
  <r>
    <s v=".1~301"/>
    <n v="301"/>
    <s v="D2"/>
    <s v="02"/>
    <s v="03"/>
    <x v="12"/>
    <n v="3"/>
    <n v="13"/>
    <x v="2"/>
    <x v="0"/>
    <x v="0"/>
    <n v="100"/>
    <s v="ST"/>
  </r>
  <r>
    <s v=".1~302"/>
    <n v="302"/>
    <s v="D2"/>
    <s v="02"/>
    <s v="03"/>
    <x v="12"/>
    <n v="3"/>
    <n v="13"/>
    <x v="2"/>
    <x v="1"/>
    <x v="1"/>
    <n v="5"/>
    <s v="ST"/>
  </r>
  <r>
    <s v=".1~303"/>
    <n v="303"/>
    <s v="D2"/>
    <s v="02"/>
    <s v="03"/>
    <x v="12"/>
    <n v="3"/>
    <n v="13"/>
    <x v="2"/>
    <x v="2"/>
    <x v="2"/>
    <n v="65"/>
    <s v="ST"/>
  </r>
  <r>
    <s v=".1~304"/>
    <n v="304"/>
    <s v="D2"/>
    <s v="02"/>
    <s v="03"/>
    <x v="12"/>
    <n v="3"/>
    <n v="13"/>
    <x v="2"/>
    <x v="3"/>
    <x v="3"/>
    <n v="40"/>
    <s v="ST"/>
  </r>
  <r>
    <s v=".1~305"/>
    <n v="305"/>
    <s v="D2"/>
    <s v="02"/>
    <s v="03"/>
    <x v="12"/>
    <n v="3"/>
    <n v="13"/>
    <x v="2"/>
    <x v="4"/>
    <x v="4"/>
    <n v="70"/>
    <s v="ST"/>
  </r>
  <r>
    <s v=".1~306"/>
    <n v="306"/>
    <s v="D2"/>
    <s v="02"/>
    <s v="03"/>
    <x v="12"/>
    <n v="3"/>
    <n v="13"/>
    <x v="2"/>
    <x v="5"/>
    <x v="5"/>
    <n v="40"/>
    <s v="ST"/>
  </r>
  <r>
    <s v=".1~307"/>
    <n v="307"/>
    <s v="D2"/>
    <s v="02"/>
    <s v="03"/>
    <x v="12"/>
    <n v="3"/>
    <n v="13"/>
    <x v="3"/>
    <x v="0"/>
    <x v="0"/>
    <n v="50"/>
    <s v="ST"/>
  </r>
  <r>
    <s v=".1~308"/>
    <n v="308"/>
    <s v="D2"/>
    <s v="02"/>
    <s v="03"/>
    <x v="12"/>
    <n v="3"/>
    <n v="13"/>
    <x v="3"/>
    <x v="1"/>
    <x v="1"/>
    <n v="40"/>
    <s v="ST"/>
  </r>
  <r>
    <s v=".1~309"/>
    <n v="309"/>
    <s v="D2"/>
    <s v="02"/>
    <s v="03"/>
    <x v="12"/>
    <n v="3"/>
    <n v="13"/>
    <x v="3"/>
    <x v="2"/>
    <x v="2"/>
    <n v="85"/>
    <s v="ST"/>
  </r>
  <r>
    <s v=".1~310"/>
    <n v="310"/>
    <s v="D2"/>
    <s v="02"/>
    <s v="03"/>
    <x v="12"/>
    <n v="3"/>
    <n v="13"/>
    <x v="3"/>
    <x v="3"/>
    <x v="3"/>
    <n v="100"/>
    <s v="ST"/>
  </r>
  <r>
    <s v=".1~311"/>
    <n v="311"/>
    <s v="D2"/>
    <s v="02"/>
    <s v="03"/>
    <x v="12"/>
    <n v="3"/>
    <n v="13"/>
    <x v="3"/>
    <x v="4"/>
    <x v="4"/>
    <n v="40"/>
    <s v="ST"/>
  </r>
  <r>
    <s v=".1~312"/>
    <n v="312"/>
    <s v="D2"/>
    <s v="02"/>
    <s v="03"/>
    <x v="12"/>
    <n v="3"/>
    <n v="13"/>
    <x v="3"/>
    <x v="5"/>
    <x v="5"/>
    <n v="40"/>
    <s v="ST"/>
  </r>
  <r>
    <s v=".1~313"/>
    <n v="313"/>
    <s v="D2"/>
    <s v="02"/>
    <s v="04"/>
    <x v="13"/>
    <n v="3"/>
    <n v="14"/>
    <x v="0"/>
    <x v="0"/>
    <x v="0"/>
    <n v="542"/>
    <s v="ST"/>
  </r>
  <r>
    <s v=".1~314"/>
    <n v="314"/>
    <s v="D2"/>
    <s v="02"/>
    <s v="04"/>
    <x v="13"/>
    <n v="3"/>
    <n v="14"/>
    <x v="0"/>
    <x v="1"/>
    <x v="1"/>
    <n v="268"/>
    <s v="ST"/>
  </r>
  <r>
    <s v=".1~315"/>
    <n v="315"/>
    <s v="D2"/>
    <s v="02"/>
    <s v="04"/>
    <x v="13"/>
    <n v="3"/>
    <n v="14"/>
    <x v="0"/>
    <x v="2"/>
    <x v="2"/>
    <n v="584"/>
    <s v="ST"/>
  </r>
  <r>
    <s v=".1~316"/>
    <n v="316"/>
    <s v="D2"/>
    <s v="02"/>
    <s v="04"/>
    <x v="13"/>
    <n v="3"/>
    <n v="14"/>
    <x v="0"/>
    <x v="3"/>
    <x v="3"/>
    <n v="212"/>
    <s v="ST"/>
  </r>
  <r>
    <s v=".1~317"/>
    <n v="317"/>
    <s v="D2"/>
    <s v="02"/>
    <s v="04"/>
    <x v="13"/>
    <n v="3"/>
    <n v="14"/>
    <x v="0"/>
    <x v="4"/>
    <x v="4"/>
    <n v="303"/>
    <s v="ST"/>
  </r>
  <r>
    <s v=".1~318"/>
    <n v="318"/>
    <s v="D2"/>
    <s v="02"/>
    <s v="04"/>
    <x v="13"/>
    <n v="3"/>
    <n v="14"/>
    <x v="0"/>
    <x v="5"/>
    <x v="5"/>
    <n v="237"/>
    <s v="ST"/>
  </r>
  <r>
    <s v=".1~319"/>
    <n v="319"/>
    <s v="D2"/>
    <s v="02"/>
    <s v="04"/>
    <x v="13"/>
    <n v="3"/>
    <n v="14"/>
    <x v="1"/>
    <x v="0"/>
    <x v="0"/>
    <n v="18"/>
    <s v="ST"/>
  </r>
  <r>
    <s v=".1~320"/>
    <n v="320"/>
    <s v="D2"/>
    <s v="02"/>
    <s v="04"/>
    <x v="13"/>
    <n v="3"/>
    <n v="14"/>
    <x v="1"/>
    <x v="1"/>
    <x v="1"/>
    <n v="50"/>
    <s v="ST"/>
  </r>
  <r>
    <s v=".1~321"/>
    <n v="321"/>
    <s v="D2"/>
    <s v="02"/>
    <s v="04"/>
    <x v="13"/>
    <n v="3"/>
    <n v="14"/>
    <x v="1"/>
    <x v="2"/>
    <x v="2"/>
    <n v="58"/>
    <s v="ST"/>
  </r>
  <r>
    <s v=".1~322"/>
    <n v="322"/>
    <s v="D2"/>
    <s v="02"/>
    <s v="04"/>
    <x v="13"/>
    <n v="3"/>
    <n v="14"/>
    <x v="1"/>
    <x v="3"/>
    <x v="3"/>
    <n v="40"/>
    <s v="ST"/>
  </r>
  <r>
    <s v=".1~323"/>
    <n v="323"/>
    <s v="D2"/>
    <s v="02"/>
    <s v="04"/>
    <x v="13"/>
    <n v="3"/>
    <n v="14"/>
    <x v="1"/>
    <x v="4"/>
    <x v="4"/>
    <n v="37"/>
    <s v="ST"/>
  </r>
  <r>
    <s v=".1~324"/>
    <n v="324"/>
    <s v="D2"/>
    <s v="02"/>
    <s v="04"/>
    <x v="13"/>
    <n v="3"/>
    <n v="14"/>
    <x v="1"/>
    <x v="5"/>
    <x v="5"/>
    <n v="70"/>
    <s v="ST"/>
  </r>
  <r>
    <s v=".1~325"/>
    <n v="325"/>
    <s v="D2"/>
    <s v="02"/>
    <s v="04"/>
    <x v="13"/>
    <n v="3"/>
    <n v="14"/>
    <x v="2"/>
    <x v="0"/>
    <x v="0"/>
    <n v="32"/>
    <s v="ST"/>
  </r>
  <r>
    <s v=".1~326"/>
    <n v="326"/>
    <s v="D2"/>
    <s v="02"/>
    <s v="04"/>
    <x v="13"/>
    <n v="3"/>
    <n v="14"/>
    <x v="2"/>
    <x v="1"/>
    <x v="1"/>
    <n v="40"/>
    <s v="ST"/>
  </r>
  <r>
    <s v=".1~327"/>
    <n v="327"/>
    <s v="D2"/>
    <s v="02"/>
    <s v="04"/>
    <x v="13"/>
    <n v="3"/>
    <n v="14"/>
    <x v="2"/>
    <x v="2"/>
    <x v="2"/>
    <n v="85"/>
    <s v="ST"/>
  </r>
  <r>
    <s v=".1~328"/>
    <n v="328"/>
    <s v="D2"/>
    <s v="02"/>
    <s v="04"/>
    <x v="13"/>
    <n v="3"/>
    <n v="14"/>
    <x v="2"/>
    <x v="3"/>
    <x v="3"/>
    <n v="40"/>
    <s v="ST"/>
  </r>
  <r>
    <s v=".1~329"/>
    <n v="329"/>
    <s v="D2"/>
    <s v="02"/>
    <s v="04"/>
    <x v="13"/>
    <n v="3"/>
    <n v="14"/>
    <x v="2"/>
    <x v="4"/>
    <x v="4"/>
    <n v="34"/>
    <s v="ST"/>
  </r>
  <r>
    <s v=".1~330"/>
    <n v="330"/>
    <s v="D2"/>
    <s v="02"/>
    <s v="04"/>
    <x v="13"/>
    <n v="3"/>
    <n v="14"/>
    <x v="2"/>
    <x v="5"/>
    <x v="5"/>
    <n v="40"/>
    <s v="ST"/>
  </r>
  <r>
    <s v=".1~331"/>
    <n v="331"/>
    <s v="D2"/>
    <s v="02"/>
    <s v="04"/>
    <x v="13"/>
    <n v="3"/>
    <n v="14"/>
    <x v="3"/>
    <x v="0"/>
    <x v="0"/>
    <n v="0"/>
    <s v="ST"/>
  </r>
  <r>
    <s v=".1~332"/>
    <n v="332"/>
    <s v="D2"/>
    <s v="02"/>
    <s v="04"/>
    <x v="13"/>
    <n v="3"/>
    <n v="14"/>
    <x v="3"/>
    <x v="1"/>
    <x v="1"/>
    <n v="40"/>
    <s v="ST"/>
  </r>
  <r>
    <s v=".1~333"/>
    <n v="333"/>
    <s v="D2"/>
    <s v="02"/>
    <s v="04"/>
    <x v="13"/>
    <n v="3"/>
    <n v="14"/>
    <x v="3"/>
    <x v="2"/>
    <x v="2"/>
    <n v="85"/>
    <s v="ST"/>
  </r>
  <r>
    <s v=".1~334"/>
    <n v="334"/>
    <s v="D2"/>
    <s v="02"/>
    <s v="04"/>
    <x v="13"/>
    <n v="3"/>
    <n v="14"/>
    <x v="3"/>
    <x v="3"/>
    <x v="3"/>
    <n v="100"/>
    <s v="ST"/>
  </r>
  <r>
    <s v=".1~335"/>
    <n v="335"/>
    <s v="D2"/>
    <s v="02"/>
    <s v="04"/>
    <x v="13"/>
    <n v="3"/>
    <n v="14"/>
    <x v="3"/>
    <x v="4"/>
    <x v="4"/>
    <n v="40"/>
    <s v="ST"/>
  </r>
  <r>
    <s v=".1~336"/>
    <n v="336"/>
    <s v="D2"/>
    <s v="02"/>
    <s v="04"/>
    <x v="13"/>
    <n v="3"/>
    <n v="14"/>
    <x v="3"/>
    <x v="5"/>
    <x v="5"/>
    <n v="40"/>
    <s v="ST"/>
  </r>
  <r>
    <s v=".1~337"/>
    <n v="337"/>
    <s v="D2"/>
    <s v="02"/>
    <s v="05"/>
    <x v="14"/>
    <n v="3"/>
    <n v="15"/>
    <x v="0"/>
    <x v="0"/>
    <x v="0"/>
    <n v="222"/>
    <s v="ST"/>
  </r>
  <r>
    <s v=".1~338"/>
    <n v="338"/>
    <s v="D2"/>
    <s v="02"/>
    <s v="05"/>
    <x v="14"/>
    <n v="3"/>
    <n v="15"/>
    <x v="0"/>
    <x v="1"/>
    <x v="1"/>
    <n v="268"/>
    <s v="ST"/>
  </r>
  <r>
    <s v=".1~339"/>
    <n v="339"/>
    <s v="D2"/>
    <s v="02"/>
    <s v="05"/>
    <x v="14"/>
    <n v="3"/>
    <n v="15"/>
    <x v="0"/>
    <x v="2"/>
    <x v="2"/>
    <n v="457"/>
    <s v="ST"/>
  </r>
  <r>
    <s v=".1~340"/>
    <n v="340"/>
    <s v="D2"/>
    <s v="02"/>
    <s v="05"/>
    <x v="14"/>
    <n v="3"/>
    <n v="15"/>
    <x v="0"/>
    <x v="3"/>
    <x v="3"/>
    <n v="212"/>
    <s v="ST"/>
  </r>
  <r>
    <s v=".1~341"/>
    <n v="341"/>
    <s v="D2"/>
    <s v="02"/>
    <s v="05"/>
    <x v="14"/>
    <n v="3"/>
    <n v="15"/>
    <x v="0"/>
    <x v="4"/>
    <x v="4"/>
    <n v="244"/>
    <s v="ST"/>
  </r>
  <r>
    <s v=".1~342"/>
    <n v="342"/>
    <s v="D2"/>
    <s v="02"/>
    <s v="05"/>
    <x v="14"/>
    <n v="3"/>
    <n v="15"/>
    <x v="0"/>
    <x v="5"/>
    <x v="5"/>
    <n v="237"/>
    <s v="ST"/>
  </r>
  <r>
    <s v=".1~343"/>
    <n v="343"/>
    <s v="D2"/>
    <s v="02"/>
    <s v="05"/>
    <x v="14"/>
    <n v="3"/>
    <n v="15"/>
    <x v="1"/>
    <x v="0"/>
    <x v="0"/>
    <n v="202"/>
    <s v="ST"/>
  </r>
  <r>
    <s v=".1~344"/>
    <n v="344"/>
    <s v="D2"/>
    <s v="02"/>
    <s v="05"/>
    <x v="14"/>
    <n v="3"/>
    <n v="15"/>
    <x v="1"/>
    <x v="1"/>
    <x v="1"/>
    <n v="21"/>
    <s v="ST"/>
  </r>
  <r>
    <s v=".1~345"/>
    <n v="345"/>
    <s v="D2"/>
    <s v="02"/>
    <s v="05"/>
    <x v="14"/>
    <n v="3"/>
    <n v="15"/>
    <x v="1"/>
    <x v="2"/>
    <x v="2"/>
    <n v="69"/>
    <s v="ST"/>
  </r>
  <r>
    <s v=".1~346"/>
    <n v="346"/>
    <s v="D2"/>
    <s v="02"/>
    <s v="05"/>
    <x v="14"/>
    <n v="3"/>
    <n v="15"/>
    <x v="1"/>
    <x v="3"/>
    <x v="3"/>
    <n v="40"/>
    <s v="ST"/>
  </r>
  <r>
    <s v=".1~347"/>
    <n v="347"/>
    <s v="D2"/>
    <s v="02"/>
    <s v="05"/>
    <x v="14"/>
    <n v="3"/>
    <n v="15"/>
    <x v="1"/>
    <x v="4"/>
    <x v="4"/>
    <n v="23"/>
    <s v="ST"/>
  </r>
  <r>
    <s v=".1~348"/>
    <n v="348"/>
    <s v="D2"/>
    <s v="02"/>
    <s v="05"/>
    <x v="14"/>
    <n v="3"/>
    <n v="15"/>
    <x v="1"/>
    <x v="5"/>
    <x v="5"/>
    <n v="70"/>
    <s v="ST"/>
  </r>
  <r>
    <s v=".1~349"/>
    <n v="349"/>
    <s v="D2"/>
    <s v="02"/>
    <s v="05"/>
    <x v="14"/>
    <n v="3"/>
    <n v="15"/>
    <x v="2"/>
    <x v="0"/>
    <x v="0"/>
    <n v="100"/>
    <s v="ST"/>
  </r>
  <r>
    <s v=".1~350"/>
    <n v="350"/>
    <s v="D2"/>
    <s v="02"/>
    <s v="05"/>
    <x v="14"/>
    <n v="3"/>
    <n v="15"/>
    <x v="2"/>
    <x v="1"/>
    <x v="1"/>
    <n v="40"/>
    <s v="ST"/>
  </r>
  <r>
    <s v=".1~351"/>
    <n v="351"/>
    <s v="D2"/>
    <s v="02"/>
    <s v="05"/>
    <x v="14"/>
    <n v="3"/>
    <n v="15"/>
    <x v="2"/>
    <x v="2"/>
    <x v="2"/>
    <n v="88"/>
    <s v="ST"/>
  </r>
  <r>
    <s v=".1~352"/>
    <n v="352"/>
    <s v="D2"/>
    <s v="02"/>
    <s v="05"/>
    <x v="14"/>
    <n v="3"/>
    <n v="15"/>
    <x v="2"/>
    <x v="3"/>
    <x v="3"/>
    <n v="40"/>
    <s v="ST"/>
  </r>
  <r>
    <s v=".1~353"/>
    <n v="353"/>
    <s v="D2"/>
    <s v="02"/>
    <s v="05"/>
    <x v="14"/>
    <n v="3"/>
    <n v="15"/>
    <x v="2"/>
    <x v="4"/>
    <x v="4"/>
    <n v="36"/>
    <s v="ST"/>
  </r>
  <r>
    <s v=".1~354"/>
    <n v="354"/>
    <s v="D2"/>
    <s v="02"/>
    <s v="05"/>
    <x v="14"/>
    <n v="3"/>
    <n v="15"/>
    <x v="2"/>
    <x v="5"/>
    <x v="5"/>
    <n v="40"/>
    <s v="ST"/>
  </r>
  <r>
    <s v=".1~355"/>
    <n v="355"/>
    <s v="D2"/>
    <s v="02"/>
    <s v="05"/>
    <x v="14"/>
    <n v="3"/>
    <n v="15"/>
    <x v="3"/>
    <x v="0"/>
    <x v="0"/>
    <n v="50"/>
    <s v="ST"/>
  </r>
  <r>
    <s v=".1~356"/>
    <n v="356"/>
    <s v="D2"/>
    <s v="02"/>
    <s v="05"/>
    <x v="14"/>
    <n v="3"/>
    <n v="15"/>
    <x v="3"/>
    <x v="1"/>
    <x v="1"/>
    <n v="40"/>
    <s v="ST"/>
  </r>
  <r>
    <s v=".1~357"/>
    <n v="357"/>
    <s v="D2"/>
    <s v="02"/>
    <s v="05"/>
    <x v="14"/>
    <n v="3"/>
    <n v="15"/>
    <x v="3"/>
    <x v="2"/>
    <x v="2"/>
    <n v="85"/>
    <s v="ST"/>
  </r>
  <r>
    <s v=".1~358"/>
    <n v="358"/>
    <s v="D2"/>
    <s v="02"/>
    <s v="05"/>
    <x v="14"/>
    <n v="3"/>
    <n v="15"/>
    <x v="3"/>
    <x v="3"/>
    <x v="3"/>
    <n v="66"/>
    <s v="ST"/>
  </r>
  <r>
    <s v=".1~359"/>
    <n v="359"/>
    <s v="D2"/>
    <s v="02"/>
    <s v="05"/>
    <x v="14"/>
    <n v="3"/>
    <n v="15"/>
    <x v="3"/>
    <x v="4"/>
    <x v="4"/>
    <n v="40"/>
    <s v="ST"/>
  </r>
  <r>
    <s v=".1~360"/>
    <n v="360"/>
    <s v="D2"/>
    <s v="02"/>
    <s v="05"/>
    <x v="14"/>
    <n v="3"/>
    <n v="15"/>
    <x v="3"/>
    <x v="5"/>
    <x v="5"/>
    <n v="40"/>
    <s v="ST"/>
  </r>
  <r>
    <s v=".1~361"/>
    <n v="361"/>
    <s v="D2"/>
    <s v="02"/>
    <s v="06"/>
    <x v="15"/>
    <n v="4"/>
    <n v="16"/>
    <x v="0"/>
    <x v="0"/>
    <x v="0"/>
    <n v="204"/>
    <s v="ST"/>
  </r>
  <r>
    <s v=".1~362"/>
    <n v="362"/>
    <s v="D2"/>
    <s v="02"/>
    <s v="06"/>
    <x v="15"/>
    <n v="4"/>
    <n v="16"/>
    <x v="0"/>
    <x v="1"/>
    <x v="1"/>
    <n v="239"/>
    <s v="ST"/>
  </r>
  <r>
    <s v=".1~363"/>
    <n v="363"/>
    <s v="D2"/>
    <s v="02"/>
    <s v="06"/>
    <x v="15"/>
    <n v="4"/>
    <n v="16"/>
    <x v="0"/>
    <x v="2"/>
    <x v="2"/>
    <n v="344"/>
    <s v="ST"/>
  </r>
  <r>
    <s v=".1~364"/>
    <n v="364"/>
    <s v="D2"/>
    <s v="02"/>
    <s v="06"/>
    <x v="15"/>
    <n v="4"/>
    <n v="16"/>
    <x v="0"/>
    <x v="3"/>
    <x v="3"/>
    <n v="178"/>
    <s v="ST"/>
  </r>
  <r>
    <s v=".1~365"/>
    <n v="365"/>
    <s v="D2"/>
    <s v="02"/>
    <s v="06"/>
    <x v="15"/>
    <n v="4"/>
    <n v="16"/>
    <x v="0"/>
    <x v="4"/>
    <x v="4"/>
    <n v="173"/>
    <s v="ST"/>
  </r>
  <r>
    <s v=".1~366"/>
    <n v="366"/>
    <s v="D2"/>
    <s v="02"/>
    <s v="06"/>
    <x v="15"/>
    <n v="4"/>
    <n v="16"/>
    <x v="0"/>
    <x v="5"/>
    <x v="5"/>
    <n v="237"/>
    <s v="ST"/>
  </r>
  <r>
    <s v=".1~367"/>
    <n v="367"/>
    <s v="D2"/>
    <s v="02"/>
    <s v="06"/>
    <x v="15"/>
    <n v="4"/>
    <n v="16"/>
    <x v="1"/>
    <x v="0"/>
    <x v="0"/>
    <n v="156"/>
    <s v="ST"/>
  </r>
  <r>
    <s v=".1~368"/>
    <n v="368"/>
    <s v="D2"/>
    <s v="02"/>
    <s v="06"/>
    <x v="15"/>
    <n v="4"/>
    <n v="16"/>
    <x v="1"/>
    <x v="1"/>
    <x v="1"/>
    <n v="50"/>
    <s v="ST"/>
  </r>
  <r>
    <s v=".1~369"/>
    <n v="369"/>
    <s v="D2"/>
    <s v="02"/>
    <s v="06"/>
    <x v="15"/>
    <n v="4"/>
    <n v="16"/>
    <x v="1"/>
    <x v="2"/>
    <x v="2"/>
    <n v="60"/>
    <s v="ST"/>
  </r>
  <r>
    <s v=".1~370"/>
    <n v="370"/>
    <s v="D2"/>
    <s v="02"/>
    <s v="06"/>
    <x v="15"/>
    <n v="4"/>
    <n v="16"/>
    <x v="1"/>
    <x v="3"/>
    <x v="3"/>
    <n v="19"/>
    <s v="ST"/>
  </r>
  <r>
    <s v=".1~371"/>
    <n v="371"/>
    <s v="D2"/>
    <s v="02"/>
    <s v="06"/>
    <x v="15"/>
    <n v="4"/>
    <n v="16"/>
    <x v="1"/>
    <x v="4"/>
    <x v="4"/>
    <n v="60"/>
    <s v="ST"/>
  </r>
  <r>
    <s v=".1~372"/>
    <n v="372"/>
    <s v="D2"/>
    <s v="02"/>
    <s v="06"/>
    <x v="15"/>
    <n v="4"/>
    <n v="16"/>
    <x v="1"/>
    <x v="5"/>
    <x v="5"/>
    <n v="70"/>
    <s v="ST"/>
  </r>
  <r>
    <s v=".1~373"/>
    <n v="373"/>
    <s v="D2"/>
    <s v="02"/>
    <s v="06"/>
    <x v="15"/>
    <n v="4"/>
    <n v="16"/>
    <x v="2"/>
    <x v="0"/>
    <x v="0"/>
    <n v="100"/>
    <s v="ST"/>
  </r>
  <r>
    <s v=".1~374"/>
    <n v="374"/>
    <s v="D2"/>
    <s v="02"/>
    <s v="06"/>
    <x v="15"/>
    <n v="4"/>
    <n v="16"/>
    <x v="2"/>
    <x v="1"/>
    <x v="1"/>
    <n v="40"/>
    <s v="ST"/>
  </r>
  <r>
    <s v=".1~375"/>
    <n v="375"/>
    <s v="D2"/>
    <s v="02"/>
    <s v="06"/>
    <x v="15"/>
    <n v="4"/>
    <n v="16"/>
    <x v="2"/>
    <x v="2"/>
    <x v="2"/>
    <n v="97"/>
    <s v="ST"/>
  </r>
  <r>
    <s v=".1~376"/>
    <n v="376"/>
    <s v="D2"/>
    <s v="02"/>
    <s v="06"/>
    <x v="15"/>
    <n v="4"/>
    <n v="16"/>
    <x v="2"/>
    <x v="3"/>
    <x v="3"/>
    <n v="17"/>
    <s v="ST"/>
  </r>
  <r>
    <s v=".1~377"/>
    <n v="377"/>
    <s v="D2"/>
    <s v="02"/>
    <s v="06"/>
    <x v="15"/>
    <n v="4"/>
    <n v="16"/>
    <x v="2"/>
    <x v="4"/>
    <x v="4"/>
    <n v="34"/>
    <s v="ST"/>
  </r>
  <r>
    <s v=".1~378"/>
    <n v="378"/>
    <s v="D2"/>
    <s v="02"/>
    <s v="06"/>
    <x v="15"/>
    <n v="4"/>
    <n v="16"/>
    <x v="2"/>
    <x v="5"/>
    <x v="5"/>
    <n v="40"/>
    <s v="ST"/>
  </r>
  <r>
    <s v=".1~379"/>
    <n v="379"/>
    <s v="D2"/>
    <s v="02"/>
    <s v="06"/>
    <x v="15"/>
    <n v="4"/>
    <n v="16"/>
    <x v="3"/>
    <x v="0"/>
    <x v="0"/>
    <n v="50"/>
    <s v="ST"/>
  </r>
  <r>
    <s v=".1~380"/>
    <n v="380"/>
    <s v="D2"/>
    <s v="02"/>
    <s v="06"/>
    <x v="15"/>
    <n v="4"/>
    <n v="16"/>
    <x v="3"/>
    <x v="1"/>
    <x v="1"/>
    <n v="40"/>
    <s v="ST"/>
  </r>
  <r>
    <s v=".1~381"/>
    <n v="381"/>
    <s v="D2"/>
    <s v="02"/>
    <s v="06"/>
    <x v="15"/>
    <n v="4"/>
    <n v="16"/>
    <x v="3"/>
    <x v="2"/>
    <x v="2"/>
    <n v="85"/>
    <s v="ST"/>
  </r>
  <r>
    <s v=".1~382"/>
    <n v="382"/>
    <s v="D2"/>
    <s v="02"/>
    <s v="06"/>
    <x v="15"/>
    <n v="4"/>
    <n v="16"/>
    <x v="3"/>
    <x v="3"/>
    <x v="3"/>
    <n v="51"/>
    <s v="ST"/>
  </r>
  <r>
    <s v=".1~383"/>
    <n v="383"/>
    <s v="D2"/>
    <s v="02"/>
    <s v="06"/>
    <x v="15"/>
    <n v="4"/>
    <n v="16"/>
    <x v="3"/>
    <x v="4"/>
    <x v="4"/>
    <n v="40"/>
    <s v="ST"/>
  </r>
  <r>
    <s v=".1~384"/>
    <n v="384"/>
    <s v="D2"/>
    <s v="02"/>
    <s v="06"/>
    <x v="15"/>
    <n v="4"/>
    <n v="16"/>
    <x v="3"/>
    <x v="5"/>
    <x v="5"/>
    <n v="40"/>
    <s v="ST"/>
  </r>
  <r>
    <s v=".1~385"/>
    <n v="385"/>
    <s v="D2"/>
    <s v="02"/>
    <s v="07"/>
    <x v="16"/>
    <n v="4"/>
    <n v="17"/>
    <x v="0"/>
    <x v="0"/>
    <x v="0"/>
    <n v="728"/>
    <s v="ST"/>
  </r>
  <r>
    <s v=".1~386"/>
    <n v="386"/>
    <s v="D2"/>
    <s v="02"/>
    <s v="07"/>
    <x v="16"/>
    <n v="4"/>
    <n v="17"/>
    <x v="0"/>
    <x v="1"/>
    <x v="1"/>
    <n v="323"/>
    <s v="ST"/>
  </r>
  <r>
    <s v=".1~387"/>
    <n v="387"/>
    <s v="D2"/>
    <s v="02"/>
    <s v="07"/>
    <x v="16"/>
    <n v="4"/>
    <n v="17"/>
    <x v="0"/>
    <x v="2"/>
    <x v="2"/>
    <n v="556"/>
    <s v="ST"/>
  </r>
  <r>
    <s v=".1~388"/>
    <n v="388"/>
    <s v="D2"/>
    <s v="02"/>
    <s v="07"/>
    <x v="16"/>
    <n v="4"/>
    <n v="17"/>
    <x v="0"/>
    <x v="3"/>
    <x v="3"/>
    <n v="119"/>
    <s v="ST"/>
  </r>
  <r>
    <s v=".1~389"/>
    <n v="389"/>
    <s v="D2"/>
    <s v="02"/>
    <s v="07"/>
    <x v="16"/>
    <n v="4"/>
    <n v="17"/>
    <x v="0"/>
    <x v="4"/>
    <x v="4"/>
    <n v="292"/>
    <s v="ST"/>
  </r>
  <r>
    <s v=".1~390"/>
    <n v="390"/>
    <s v="D2"/>
    <s v="02"/>
    <s v="07"/>
    <x v="16"/>
    <n v="4"/>
    <n v="17"/>
    <x v="0"/>
    <x v="5"/>
    <x v="5"/>
    <n v="237"/>
    <s v="ST"/>
  </r>
  <r>
    <s v=".1~391"/>
    <n v="391"/>
    <s v="D2"/>
    <s v="02"/>
    <s v="07"/>
    <x v="16"/>
    <n v="4"/>
    <n v="17"/>
    <x v="1"/>
    <x v="0"/>
    <x v="0"/>
    <n v="64"/>
    <s v="ST"/>
  </r>
  <r>
    <s v=".1~392"/>
    <n v="392"/>
    <s v="D2"/>
    <s v="02"/>
    <s v="07"/>
    <x v="16"/>
    <n v="4"/>
    <n v="17"/>
    <x v="1"/>
    <x v="1"/>
    <x v="1"/>
    <n v="50"/>
    <s v="ST"/>
  </r>
  <r>
    <s v=".1~393"/>
    <n v="393"/>
    <s v="D2"/>
    <s v="02"/>
    <s v="07"/>
    <x v="16"/>
    <n v="4"/>
    <n v="17"/>
    <x v="1"/>
    <x v="2"/>
    <x v="2"/>
    <n v="60"/>
    <s v="ST"/>
  </r>
  <r>
    <s v=".1~394"/>
    <n v="394"/>
    <s v="D2"/>
    <s v="02"/>
    <s v="07"/>
    <x v="16"/>
    <n v="4"/>
    <n v="17"/>
    <x v="1"/>
    <x v="3"/>
    <x v="3"/>
    <n v="40"/>
    <s v="ST"/>
  </r>
  <r>
    <s v=".1~395"/>
    <n v="395"/>
    <s v="D2"/>
    <s v="02"/>
    <s v="07"/>
    <x v="16"/>
    <n v="4"/>
    <n v="17"/>
    <x v="1"/>
    <x v="4"/>
    <x v="4"/>
    <n v="29"/>
    <s v="ST"/>
  </r>
  <r>
    <s v=".1~396"/>
    <n v="396"/>
    <s v="D2"/>
    <s v="02"/>
    <s v="07"/>
    <x v="16"/>
    <n v="4"/>
    <n v="17"/>
    <x v="1"/>
    <x v="5"/>
    <x v="5"/>
    <n v="0"/>
    <s v="ST"/>
  </r>
  <r>
    <s v=".1~397"/>
    <n v="397"/>
    <s v="D2"/>
    <s v="02"/>
    <s v="07"/>
    <x v="16"/>
    <n v="4"/>
    <n v="17"/>
    <x v="2"/>
    <x v="0"/>
    <x v="0"/>
    <n v="100"/>
    <s v="ST"/>
  </r>
  <r>
    <s v=".1~398"/>
    <n v="398"/>
    <s v="D2"/>
    <s v="02"/>
    <s v="07"/>
    <x v="16"/>
    <n v="4"/>
    <n v="17"/>
    <x v="2"/>
    <x v="1"/>
    <x v="1"/>
    <n v="21"/>
    <s v="ST"/>
  </r>
  <r>
    <s v=".1~399"/>
    <n v="399"/>
    <s v="D2"/>
    <s v="02"/>
    <s v="07"/>
    <x v="16"/>
    <n v="4"/>
    <n v="17"/>
    <x v="2"/>
    <x v="2"/>
    <x v="2"/>
    <n v="102"/>
    <s v="ST"/>
  </r>
  <r>
    <s v=".1~400"/>
    <n v="400"/>
    <s v="D2"/>
    <s v="02"/>
    <s v="07"/>
    <x v="16"/>
    <n v="4"/>
    <n v="17"/>
    <x v="2"/>
    <x v="3"/>
    <x v="3"/>
    <n v="40"/>
    <s v="ST"/>
  </r>
  <r>
    <s v=".1~401"/>
    <n v="401"/>
    <s v="D2"/>
    <s v="02"/>
    <s v="07"/>
    <x v="16"/>
    <n v="4"/>
    <n v="17"/>
    <x v="2"/>
    <x v="4"/>
    <x v="4"/>
    <n v="70"/>
    <s v="ST"/>
  </r>
  <r>
    <s v=".1~402"/>
    <n v="402"/>
    <s v="D2"/>
    <s v="02"/>
    <s v="07"/>
    <x v="16"/>
    <n v="4"/>
    <n v="17"/>
    <x v="2"/>
    <x v="5"/>
    <x v="5"/>
    <n v="5"/>
    <s v="ST"/>
  </r>
  <r>
    <s v=".1~403"/>
    <n v="403"/>
    <s v="D2"/>
    <s v="02"/>
    <s v="07"/>
    <x v="16"/>
    <n v="4"/>
    <n v="17"/>
    <x v="3"/>
    <x v="0"/>
    <x v="0"/>
    <n v="50"/>
    <s v="ST"/>
  </r>
  <r>
    <s v=".1~404"/>
    <n v="404"/>
    <s v="D2"/>
    <s v="02"/>
    <s v="07"/>
    <x v="16"/>
    <n v="4"/>
    <n v="17"/>
    <x v="3"/>
    <x v="1"/>
    <x v="1"/>
    <n v="40"/>
    <s v="ST"/>
  </r>
  <r>
    <s v=".1~405"/>
    <n v="405"/>
    <s v="D2"/>
    <s v="02"/>
    <s v="07"/>
    <x v="16"/>
    <n v="4"/>
    <n v="17"/>
    <x v="3"/>
    <x v="2"/>
    <x v="2"/>
    <n v="85"/>
    <s v="ST"/>
  </r>
  <r>
    <s v=".1~406"/>
    <n v="406"/>
    <s v="D2"/>
    <s v="02"/>
    <s v="07"/>
    <x v="16"/>
    <n v="4"/>
    <n v="17"/>
    <x v="3"/>
    <x v="3"/>
    <x v="3"/>
    <n v="100"/>
    <s v="ST"/>
  </r>
  <r>
    <s v=".1~407"/>
    <n v="407"/>
    <s v="D2"/>
    <s v="02"/>
    <s v="07"/>
    <x v="16"/>
    <n v="4"/>
    <n v="17"/>
    <x v="3"/>
    <x v="4"/>
    <x v="4"/>
    <n v="40"/>
    <s v="ST"/>
  </r>
  <r>
    <s v=".1~408"/>
    <n v="408"/>
    <s v="D2"/>
    <s v="02"/>
    <s v="07"/>
    <x v="16"/>
    <n v="4"/>
    <n v="17"/>
    <x v="3"/>
    <x v="5"/>
    <x v="5"/>
    <n v="40"/>
    <s v="ST"/>
  </r>
  <r>
    <s v=".1~409"/>
    <n v="409"/>
    <s v="D2"/>
    <s v="02"/>
    <s v="08"/>
    <x v="17"/>
    <n v="4"/>
    <n v="18"/>
    <x v="0"/>
    <x v="0"/>
    <x v="0"/>
    <n v="572"/>
    <s v="ST"/>
  </r>
  <r>
    <s v=".1~410"/>
    <n v="410"/>
    <s v="D2"/>
    <s v="02"/>
    <s v="08"/>
    <x v="17"/>
    <n v="4"/>
    <n v="18"/>
    <x v="0"/>
    <x v="1"/>
    <x v="1"/>
    <n v="304"/>
    <s v="ST"/>
  </r>
  <r>
    <s v=".1~411"/>
    <n v="411"/>
    <s v="D2"/>
    <s v="02"/>
    <s v="08"/>
    <x v="17"/>
    <n v="4"/>
    <n v="18"/>
    <x v="0"/>
    <x v="2"/>
    <x v="2"/>
    <n v="448"/>
    <s v="ST"/>
  </r>
  <r>
    <s v=".1~412"/>
    <n v="412"/>
    <s v="D2"/>
    <s v="02"/>
    <s v="08"/>
    <x v="17"/>
    <n v="4"/>
    <n v="18"/>
    <x v="0"/>
    <x v="3"/>
    <x v="3"/>
    <n v="119"/>
    <s v="ST"/>
  </r>
  <r>
    <s v=".1~413"/>
    <n v="413"/>
    <s v="D2"/>
    <s v="02"/>
    <s v="08"/>
    <x v="17"/>
    <n v="4"/>
    <n v="18"/>
    <x v="0"/>
    <x v="4"/>
    <x v="4"/>
    <n v="261"/>
    <s v="ST"/>
  </r>
  <r>
    <s v=".1~414"/>
    <n v="414"/>
    <s v="D2"/>
    <s v="02"/>
    <s v="08"/>
    <x v="17"/>
    <n v="4"/>
    <n v="18"/>
    <x v="0"/>
    <x v="5"/>
    <x v="5"/>
    <n v="142"/>
    <s v="ST"/>
  </r>
  <r>
    <s v=".1~415"/>
    <n v="415"/>
    <s v="D2"/>
    <s v="02"/>
    <s v="08"/>
    <x v="17"/>
    <n v="4"/>
    <n v="18"/>
    <x v="1"/>
    <x v="0"/>
    <x v="0"/>
    <n v="220"/>
    <s v="ST"/>
  </r>
  <r>
    <s v=".1~416"/>
    <n v="416"/>
    <s v="D2"/>
    <s v="02"/>
    <s v="08"/>
    <x v="17"/>
    <n v="4"/>
    <n v="18"/>
    <x v="1"/>
    <x v="1"/>
    <x v="1"/>
    <n v="50"/>
    <s v="ST"/>
  </r>
  <r>
    <s v=".1~417"/>
    <n v="417"/>
    <s v="D2"/>
    <s v="02"/>
    <s v="08"/>
    <x v="17"/>
    <n v="4"/>
    <n v="18"/>
    <x v="1"/>
    <x v="2"/>
    <x v="2"/>
    <n v="120"/>
    <s v="ST"/>
  </r>
  <r>
    <s v=".1~418"/>
    <n v="418"/>
    <s v="D2"/>
    <s v="02"/>
    <s v="08"/>
    <x v="17"/>
    <n v="4"/>
    <n v="18"/>
    <x v="1"/>
    <x v="3"/>
    <x v="3"/>
    <n v="40"/>
    <s v="ST"/>
  </r>
  <r>
    <s v=".1~419"/>
    <n v="419"/>
    <s v="D2"/>
    <s v="02"/>
    <s v="08"/>
    <x v="17"/>
    <n v="4"/>
    <n v="18"/>
    <x v="1"/>
    <x v="4"/>
    <x v="4"/>
    <n v="60"/>
    <s v="ST"/>
  </r>
  <r>
    <s v=".1~420"/>
    <n v="420"/>
    <s v="D2"/>
    <s v="02"/>
    <s v="08"/>
    <x v="17"/>
    <n v="4"/>
    <n v="18"/>
    <x v="1"/>
    <x v="5"/>
    <x v="5"/>
    <n v="60"/>
    <s v="ST"/>
  </r>
  <r>
    <s v=".1~421"/>
    <n v="421"/>
    <s v="D2"/>
    <s v="02"/>
    <s v="08"/>
    <x v="17"/>
    <n v="4"/>
    <n v="18"/>
    <x v="2"/>
    <x v="0"/>
    <x v="0"/>
    <n v="100"/>
    <s v="ST"/>
  </r>
  <r>
    <s v=".1~422"/>
    <n v="422"/>
    <s v="D2"/>
    <s v="02"/>
    <s v="08"/>
    <x v="17"/>
    <n v="4"/>
    <n v="18"/>
    <x v="2"/>
    <x v="1"/>
    <x v="1"/>
    <n v="40"/>
    <s v="ST"/>
  </r>
  <r>
    <s v=".1~423"/>
    <n v="423"/>
    <s v="D2"/>
    <s v="02"/>
    <s v="08"/>
    <x v="17"/>
    <n v="4"/>
    <n v="18"/>
    <x v="2"/>
    <x v="2"/>
    <x v="2"/>
    <n v="82"/>
    <s v="ST"/>
  </r>
  <r>
    <s v=".1~424"/>
    <n v="424"/>
    <s v="D2"/>
    <s v="02"/>
    <s v="08"/>
    <x v="17"/>
    <n v="4"/>
    <n v="18"/>
    <x v="2"/>
    <x v="3"/>
    <x v="3"/>
    <n v="40"/>
    <s v="ST"/>
  </r>
  <r>
    <s v=".1~425"/>
    <n v="425"/>
    <s v="D2"/>
    <s v="02"/>
    <s v="08"/>
    <x v="17"/>
    <n v="4"/>
    <n v="18"/>
    <x v="2"/>
    <x v="4"/>
    <x v="4"/>
    <n v="42"/>
    <s v="ST"/>
  </r>
  <r>
    <s v=".1~426"/>
    <n v="426"/>
    <s v="D2"/>
    <s v="02"/>
    <s v="08"/>
    <x v="17"/>
    <n v="4"/>
    <n v="18"/>
    <x v="2"/>
    <x v="5"/>
    <x v="5"/>
    <n v="40"/>
    <s v="ST"/>
  </r>
  <r>
    <s v=".1~427"/>
    <n v="427"/>
    <s v="D2"/>
    <s v="02"/>
    <s v="08"/>
    <x v="17"/>
    <n v="4"/>
    <n v="18"/>
    <x v="3"/>
    <x v="0"/>
    <x v="0"/>
    <n v="50"/>
    <s v="ST"/>
  </r>
  <r>
    <s v=".1~428"/>
    <n v="428"/>
    <s v="D2"/>
    <s v="02"/>
    <s v="08"/>
    <x v="17"/>
    <n v="4"/>
    <n v="18"/>
    <x v="3"/>
    <x v="1"/>
    <x v="1"/>
    <n v="40"/>
    <s v="ST"/>
  </r>
  <r>
    <s v=".1~429"/>
    <n v="429"/>
    <s v="D2"/>
    <s v="02"/>
    <s v="08"/>
    <x v="17"/>
    <n v="4"/>
    <n v="18"/>
    <x v="3"/>
    <x v="2"/>
    <x v="2"/>
    <n v="85"/>
    <s v="ST"/>
  </r>
  <r>
    <s v=".1~430"/>
    <n v="430"/>
    <s v="D2"/>
    <s v="02"/>
    <s v="08"/>
    <x v="17"/>
    <n v="4"/>
    <n v="18"/>
    <x v="3"/>
    <x v="3"/>
    <x v="3"/>
    <n v="77"/>
    <s v="ST"/>
  </r>
  <r>
    <s v=".1~431"/>
    <n v="431"/>
    <s v="D2"/>
    <s v="02"/>
    <s v="08"/>
    <x v="17"/>
    <n v="4"/>
    <n v="18"/>
    <x v="3"/>
    <x v="4"/>
    <x v="4"/>
    <n v="40"/>
    <s v="ST"/>
  </r>
  <r>
    <s v=".1~432"/>
    <n v="432"/>
    <s v="D2"/>
    <s v="02"/>
    <s v="08"/>
    <x v="17"/>
    <n v="4"/>
    <n v="18"/>
    <x v="3"/>
    <x v="5"/>
    <x v="5"/>
    <n v="7"/>
    <s v="ST"/>
  </r>
  <r>
    <s v=".1~433"/>
    <n v="433"/>
    <s v="D2"/>
    <s v="02"/>
    <s v="09"/>
    <x v="18"/>
    <n v="4"/>
    <n v="19"/>
    <x v="0"/>
    <x v="0"/>
    <x v="0"/>
    <n v="572"/>
    <s v="ST"/>
  </r>
  <r>
    <s v=".1~434"/>
    <n v="434"/>
    <s v="D2"/>
    <s v="02"/>
    <s v="09"/>
    <x v="18"/>
    <n v="4"/>
    <n v="19"/>
    <x v="0"/>
    <x v="1"/>
    <x v="1"/>
    <n v="304"/>
    <s v="ST"/>
  </r>
  <r>
    <s v=".1~435"/>
    <n v="435"/>
    <s v="D2"/>
    <s v="02"/>
    <s v="09"/>
    <x v="18"/>
    <n v="4"/>
    <n v="19"/>
    <x v="0"/>
    <x v="2"/>
    <x v="2"/>
    <n v="380"/>
    <s v="ST"/>
  </r>
  <r>
    <s v=".1~436"/>
    <n v="436"/>
    <s v="D2"/>
    <s v="02"/>
    <s v="09"/>
    <x v="18"/>
    <n v="4"/>
    <n v="19"/>
    <x v="0"/>
    <x v="3"/>
    <x v="3"/>
    <n v="96"/>
    <s v="ST"/>
  </r>
  <r>
    <s v=".1~437"/>
    <n v="437"/>
    <s v="D2"/>
    <s v="02"/>
    <s v="09"/>
    <x v="18"/>
    <n v="4"/>
    <n v="19"/>
    <x v="0"/>
    <x v="4"/>
    <x v="4"/>
    <n v="233"/>
    <s v="ST"/>
  </r>
  <r>
    <s v=".1~438"/>
    <n v="438"/>
    <s v="D2"/>
    <s v="02"/>
    <s v="09"/>
    <x v="18"/>
    <n v="4"/>
    <n v="19"/>
    <x v="0"/>
    <x v="5"/>
    <x v="5"/>
    <n v="109"/>
    <s v="ST"/>
  </r>
  <r>
    <s v=".1~439"/>
    <n v="439"/>
    <s v="D2"/>
    <s v="02"/>
    <s v="09"/>
    <x v="18"/>
    <n v="4"/>
    <n v="19"/>
    <x v="1"/>
    <x v="0"/>
    <x v="0"/>
    <n v="87"/>
    <s v="ST"/>
  </r>
  <r>
    <s v=".1~440"/>
    <n v="440"/>
    <s v="D2"/>
    <s v="02"/>
    <s v="09"/>
    <x v="18"/>
    <n v="4"/>
    <n v="19"/>
    <x v="1"/>
    <x v="1"/>
    <x v="1"/>
    <n v="32"/>
    <s v="ST"/>
  </r>
  <r>
    <s v=".1~441"/>
    <n v="441"/>
    <s v="D2"/>
    <s v="02"/>
    <s v="09"/>
    <x v="18"/>
    <n v="4"/>
    <n v="19"/>
    <x v="1"/>
    <x v="2"/>
    <x v="2"/>
    <n v="55"/>
    <s v="ST"/>
  </r>
  <r>
    <s v=".1~442"/>
    <n v="442"/>
    <s v="D2"/>
    <s v="02"/>
    <s v="09"/>
    <x v="18"/>
    <n v="4"/>
    <n v="19"/>
    <x v="1"/>
    <x v="3"/>
    <x v="3"/>
    <n v="40"/>
    <s v="ST"/>
  </r>
  <r>
    <s v=".1~443"/>
    <n v="443"/>
    <s v="D2"/>
    <s v="02"/>
    <s v="09"/>
    <x v="18"/>
    <n v="4"/>
    <n v="19"/>
    <x v="1"/>
    <x v="4"/>
    <x v="4"/>
    <n v="60"/>
    <s v="ST"/>
  </r>
  <r>
    <s v=".1~444"/>
    <n v="444"/>
    <s v="D2"/>
    <s v="02"/>
    <s v="09"/>
    <x v="18"/>
    <n v="4"/>
    <n v="19"/>
    <x v="1"/>
    <x v="5"/>
    <x v="5"/>
    <n v="19"/>
    <s v="ST"/>
  </r>
  <r>
    <s v=".1~445"/>
    <n v="445"/>
    <s v="D2"/>
    <s v="02"/>
    <s v="09"/>
    <x v="18"/>
    <n v="4"/>
    <n v="19"/>
    <x v="2"/>
    <x v="0"/>
    <x v="0"/>
    <n v="100"/>
    <s v="ST"/>
  </r>
  <r>
    <s v=".1~446"/>
    <n v="446"/>
    <s v="D2"/>
    <s v="02"/>
    <s v="09"/>
    <x v="18"/>
    <n v="4"/>
    <n v="19"/>
    <x v="2"/>
    <x v="1"/>
    <x v="1"/>
    <n v="40"/>
    <s v="ST"/>
  </r>
  <r>
    <s v=".1~447"/>
    <n v="447"/>
    <s v="D2"/>
    <s v="02"/>
    <s v="09"/>
    <x v="18"/>
    <n v="4"/>
    <n v="19"/>
    <x v="2"/>
    <x v="2"/>
    <x v="2"/>
    <n v="123"/>
    <s v="ST"/>
  </r>
  <r>
    <s v=".1~448"/>
    <n v="448"/>
    <s v="D2"/>
    <s v="02"/>
    <s v="09"/>
    <x v="18"/>
    <n v="4"/>
    <n v="19"/>
    <x v="2"/>
    <x v="3"/>
    <x v="3"/>
    <n v="40"/>
    <s v="ST"/>
  </r>
  <r>
    <s v=".1~449"/>
    <n v="449"/>
    <s v="D2"/>
    <s v="02"/>
    <s v="09"/>
    <x v="18"/>
    <n v="4"/>
    <n v="19"/>
    <x v="2"/>
    <x v="4"/>
    <x v="4"/>
    <n v="42"/>
    <s v="ST"/>
  </r>
  <r>
    <s v=".1~450"/>
    <n v="450"/>
    <s v="D2"/>
    <s v="02"/>
    <s v="09"/>
    <x v="18"/>
    <n v="4"/>
    <n v="19"/>
    <x v="2"/>
    <x v="5"/>
    <x v="5"/>
    <n v="40"/>
    <s v="ST"/>
  </r>
  <r>
    <s v=".1~451"/>
    <n v="451"/>
    <s v="D2"/>
    <s v="02"/>
    <s v="09"/>
    <x v="18"/>
    <n v="4"/>
    <n v="19"/>
    <x v="3"/>
    <x v="0"/>
    <x v="0"/>
    <n v="0"/>
    <s v="ST"/>
  </r>
  <r>
    <s v=".1~452"/>
    <n v="452"/>
    <s v="D2"/>
    <s v="02"/>
    <s v="09"/>
    <x v="18"/>
    <n v="4"/>
    <n v="19"/>
    <x v="3"/>
    <x v="1"/>
    <x v="1"/>
    <n v="40"/>
    <s v="ST"/>
  </r>
  <r>
    <s v=".1~453"/>
    <n v="453"/>
    <s v="D2"/>
    <s v="02"/>
    <s v="09"/>
    <x v="18"/>
    <n v="4"/>
    <n v="19"/>
    <x v="3"/>
    <x v="2"/>
    <x v="2"/>
    <n v="30"/>
    <s v="ST"/>
  </r>
  <r>
    <s v=".1~454"/>
    <n v="454"/>
    <s v="D2"/>
    <s v="02"/>
    <s v="09"/>
    <x v="18"/>
    <n v="4"/>
    <n v="19"/>
    <x v="3"/>
    <x v="3"/>
    <x v="3"/>
    <n v="76"/>
    <s v="ST"/>
  </r>
  <r>
    <s v=".1~455"/>
    <n v="455"/>
    <s v="D2"/>
    <s v="02"/>
    <s v="09"/>
    <x v="18"/>
    <n v="4"/>
    <n v="19"/>
    <x v="3"/>
    <x v="4"/>
    <x v="4"/>
    <n v="40"/>
    <s v="ST"/>
  </r>
  <r>
    <s v=".1~456"/>
    <n v="456"/>
    <s v="D2"/>
    <s v="02"/>
    <s v="09"/>
    <x v="18"/>
    <n v="4"/>
    <n v="19"/>
    <x v="3"/>
    <x v="5"/>
    <x v="5"/>
    <n v="40"/>
    <s v="ST"/>
  </r>
  <r>
    <s v=".1~457"/>
    <n v="457"/>
    <s v="D2"/>
    <s v="02"/>
    <s v="10"/>
    <x v="19"/>
    <n v="4"/>
    <n v="20"/>
    <x v="0"/>
    <x v="0"/>
    <x v="0"/>
    <n v="389"/>
    <s v="ST"/>
  </r>
  <r>
    <s v=".1~458"/>
    <n v="458"/>
    <s v="D2"/>
    <s v="02"/>
    <s v="10"/>
    <x v="19"/>
    <n v="4"/>
    <n v="20"/>
    <x v="0"/>
    <x v="1"/>
    <x v="1"/>
    <n v="286"/>
    <s v="ST"/>
  </r>
  <r>
    <s v=".1~459"/>
    <n v="459"/>
    <s v="D2"/>
    <s v="02"/>
    <s v="10"/>
    <x v="19"/>
    <n v="4"/>
    <n v="20"/>
    <x v="0"/>
    <x v="2"/>
    <x v="2"/>
    <n v="268"/>
    <s v="ST"/>
  </r>
  <r>
    <s v=".1~460"/>
    <n v="460"/>
    <s v="D2"/>
    <s v="02"/>
    <s v="10"/>
    <x v="19"/>
    <n v="4"/>
    <n v="20"/>
    <x v="0"/>
    <x v="3"/>
    <x v="3"/>
    <n v="72"/>
    <s v="ST"/>
  </r>
  <r>
    <s v=".1~461"/>
    <n v="461"/>
    <s v="D2"/>
    <s v="02"/>
    <s v="10"/>
    <x v="19"/>
    <n v="4"/>
    <n v="20"/>
    <x v="0"/>
    <x v="4"/>
    <x v="4"/>
    <n v="205"/>
    <s v="ST"/>
  </r>
  <r>
    <s v=".1~462"/>
    <n v="462"/>
    <s v="D2"/>
    <s v="02"/>
    <s v="10"/>
    <x v="19"/>
    <n v="4"/>
    <n v="20"/>
    <x v="0"/>
    <x v="5"/>
    <x v="5"/>
    <n v="68"/>
    <s v="ST"/>
  </r>
  <r>
    <s v=".1~463"/>
    <n v="463"/>
    <s v="D2"/>
    <s v="02"/>
    <s v="10"/>
    <x v="19"/>
    <n v="4"/>
    <n v="20"/>
    <x v="1"/>
    <x v="0"/>
    <x v="0"/>
    <n v="207"/>
    <s v="ST"/>
  </r>
  <r>
    <s v=".1~464"/>
    <n v="464"/>
    <s v="D2"/>
    <s v="02"/>
    <s v="10"/>
    <x v="19"/>
    <n v="4"/>
    <n v="20"/>
    <x v="1"/>
    <x v="1"/>
    <x v="1"/>
    <n v="50"/>
    <s v="ST"/>
  </r>
  <r>
    <s v=".1~465"/>
    <n v="465"/>
    <s v="D2"/>
    <s v="02"/>
    <s v="10"/>
    <x v="19"/>
    <n v="4"/>
    <n v="20"/>
    <x v="1"/>
    <x v="2"/>
    <x v="2"/>
    <n v="120"/>
    <s v="ST"/>
  </r>
  <r>
    <s v=".1~466"/>
    <n v="466"/>
    <s v="D2"/>
    <s v="02"/>
    <s v="10"/>
    <x v="19"/>
    <n v="4"/>
    <n v="20"/>
    <x v="1"/>
    <x v="3"/>
    <x v="3"/>
    <n v="40"/>
    <s v="ST"/>
  </r>
  <r>
    <s v=".1~467"/>
    <n v="467"/>
    <s v="D2"/>
    <s v="02"/>
    <s v="10"/>
    <x v="19"/>
    <n v="4"/>
    <n v="20"/>
    <x v="1"/>
    <x v="4"/>
    <x v="4"/>
    <n v="60"/>
    <s v="ST"/>
  </r>
  <r>
    <s v=".1~468"/>
    <n v="468"/>
    <s v="D2"/>
    <s v="02"/>
    <s v="10"/>
    <x v="19"/>
    <n v="4"/>
    <n v="20"/>
    <x v="1"/>
    <x v="5"/>
    <x v="5"/>
    <n v="41"/>
    <s v="ST"/>
  </r>
  <r>
    <s v=".1~469"/>
    <n v="469"/>
    <s v="D2"/>
    <s v="02"/>
    <s v="10"/>
    <x v="19"/>
    <n v="4"/>
    <n v="20"/>
    <x v="2"/>
    <x v="0"/>
    <x v="0"/>
    <n v="100"/>
    <s v="ST"/>
  </r>
  <r>
    <s v=".1~470"/>
    <n v="470"/>
    <s v="D2"/>
    <s v="02"/>
    <s v="10"/>
    <x v="19"/>
    <n v="4"/>
    <n v="20"/>
    <x v="2"/>
    <x v="1"/>
    <x v="1"/>
    <n v="15"/>
    <s v="ST"/>
  </r>
  <r>
    <s v=".1~471"/>
    <n v="471"/>
    <s v="D2"/>
    <s v="02"/>
    <s v="10"/>
    <x v="19"/>
    <n v="4"/>
    <n v="20"/>
    <x v="2"/>
    <x v="2"/>
    <x v="2"/>
    <n v="27"/>
    <s v="ST"/>
  </r>
  <r>
    <s v=".1~472"/>
    <n v="472"/>
    <s v="D2"/>
    <s v="02"/>
    <s v="10"/>
    <x v="19"/>
    <n v="4"/>
    <n v="20"/>
    <x v="2"/>
    <x v="3"/>
    <x v="3"/>
    <n v="40"/>
    <s v="ST"/>
  </r>
  <r>
    <s v=".1~473"/>
    <n v="473"/>
    <s v="D2"/>
    <s v="02"/>
    <s v="10"/>
    <x v="19"/>
    <n v="4"/>
    <n v="20"/>
    <x v="2"/>
    <x v="4"/>
    <x v="4"/>
    <n v="70"/>
    <s v="ST"/>
  </r>
  <r>
    <s v=".1~474"/>
    <n v="474"/>
    <s v="D2"/>
    <s v="02"/>
    <s v="10"/>
    <x v="19"/>
    <n v="4"/>
    <n v="20"/>
    <x v="2"/>
    <x v="5"/>
    <x v="5"/>
    <n v="40"/>
    <s v="ST"/>
  </r>
  <r>
    <s v=".1~475"/>
    <n v="475"/>
    <s v="D2"/>
    <s v="02"/>
    <s v="10"/>
    <x v="19"/>
    <n v="4"/>
    <n v="20"/>
    <x v="3"/>
    <x v="0"/>
    <x v="0"/>
    <n v="50"/>
    <s v="ST"/>
  </r>
  <r>
    <s v=".1~476"/>
    <n v="476"/>
    <s v="D2"/>
    <s v="02"/>
    <s v="10"/>
    <x v="19"/>
    <n v="4"/>
    <n v="20"/>
    <x v="3"/>
    <x v="1"/>
    <x v="1"/>
    <n v="40"/>
    <s v="ST"/>
  </r>
  <r>
    <s v=".1~477"/>
    <n v="477"/>
    <s v="D2"/>
    <s v="02"/>
    <s v="10"/>
    <x v="19"/>
    <n v="4"/>
    <n v="20"/>
    <x v="3"/>
    <x v="2"/>
    <x v="2"/>
    <n v="50"/>
    <s v="ST"/>
  </r>
  <r>
    <s v=".1~478"/>
    <n v="478"/>
    <s v="D2"/>
    <s v="02"/>
    <s v="10"/>
    <x v="19"/>
    <n v="4"/>
    <n v="20"/>
    <x v="3"/>
    <x v="3"/>
    <x v="3"/>
    <n v="75"/>
    <s v="ST"/>
  </r>
  <r>
    <s v=".1~479"/>
    <n v="479"/>
    <s v="D2"/>
    <s v="02"/>
    <s v="10"/>
    <x v="19"/>
    <n v="4"/>
    <n v="20"/>
    <x v="3"/>
    <x v="4"/>
    <x v="4"/>
    <n v="5"/>
    <s v="ST"/>
  </r>
  <r>
    <s v=".1~480"/>
    <n v="480"/>
    <s v="D2"/>
    <s v="02"/>
    <s v="10"/>
    <x v="19"/>
    <n v="4"/>
    <n v="20"/>
    <x v="3"/>
    <x v="5"/>
    <x v="5"/>
    <n v="40"/>
    <s v="ST"/>
  </r>
  <r>
    <s v=".1~481"/>
    <n v="481"/>
    <s v="D2"/>
    <s v="03"/>
    <s v="01"/>
    <x v="20"/>
    <n v="5"/>
    <n v="21"/>
    <x v="0"/>
    <x v="0"/>
    <x v="0"/>
    <n v="376"/>
    <s v="ST"/>
  </r>
  <r>
    <s v=".1~482"/>
    <n v="482"/>
    <s v="D2"/>
    <s v="03"/>
    <s v="01"/>
    <x v="20"/>
    <n v="5"/>
    <n v="21"/>
    <x v="0"/>
    <x v="1"/>
    <x v="1"/>
    <n v="261"/>
    <s v="ST"/>
  </r>
  <r>
    <s v=".1~483"/>
    <n v="483"/>
    <s v="D2"/>
    <s v="03"/>
    <s v="01"/>
    <x v="20"/>
    <n v="5"/>
    <n v="21"/>
    <x v="0"/>
    <x v="2"/>
    <x v="2"/>
    <n v="145"/>
    <s v="ST"/>
  </r>
  <r>
    <s v=".1~484"/>
    <n v="484"/>
    <s v="D2"/>
    <s v="03"/>
    <s v="01"/>
    <x v="20"/>
    <n v="5"/>
    <n v="21"/>
    <x v="0"/>
    <x v="3"/>
    <x v="3"/>
    <n v="47"/>
    <s v="ST"/>
  </r>
  <r>
    <s v=".1~485"/>
    <n v="485"/>
    <s v="D2"/>
    <s v="03"/>
    <s v="01"/>
    <x v="20"/>
    <n v="5"/>
    <n v="21"/>
    <x v="0"/>
    <x v="4"/>
    <x v="4"/>
    <n v="170"/>
    <s v="ST"/>
  </r>
  <r>
    <s v=".1~486"/>
    <n v="486"/>
    <s v="D2"/>
    <s v="03"/>
    <s v="01"/>
    <x v="20"/>
    <n v="5"/>
    <n v="21"/>
    <x v="0"/>
    <x v="5"/>
    <x v="5"/>
    <n v="49"/>
    <s v="ST"/>
  </r>
  <r>
    <s v=".1~487"/>
    <n v="487"/>
    <s v="D2"/>
    <s v="03"/>
    <s v="01"/>
    <x v="20"/>
    <n v="5"/>
    <n v="21"/>
    <x v="1"/>
    <x v="0"/>
    <x v="0"/>
    <n v="220"/>
    <s v="ST"/>
  </r>
  <r>
    <s v=".1~488"/>
    <n v="488"/>
    <s v="D2"/>
    <s v="03"/>
    <s v="01"/>
    <x v="20"/>
    <n v="5"/>
    <n v="21"/>
    <x v="1"/>
    <x v="1"/>
    <x v="1"/>
    <n v="50"/>
    <s v="ST"/>
  </r>
  <r>
    <s v=".1~489"/>
    <n v="489"/>
    <s v="D2"/>
    <s v="03"/>
    <s v="01"/>
    <x v="20"/>
    <n v="5"/>
    <n v="21"/>
    <x v="1"/>
    <x v="2"/>
    <x v="2"/>
    <n v="120"/>
    <s v="ST"/>
  </r>
  <r>
    <s v=".1~490"/>
    <n v="490"/>
    <s v="D2"/>
    <s v="03"/>
    <s v="01"/>
    <x v="20"/>
    <n v="5"/>
    <n v="21"/>
    <x v="1"/>
    <x v="3"/>
    <x v="3"/>
    <n v="40"/>
    <s v="ST"/>
  </r>
  <r>
    <s v=".1~491"/>
    <n v="491"/>
    <s v="D2"/>
    <s v="03"/>
    <s v="01"/>
    <x v="20"/>
    <n v="5"/>
    <n v="21"/>
    <x v="1"/>
    <x v="4"/>
    <x v="4"/>
    <n v="60"/>
    <s v="ST"/>
  </r>
  <r>
    <s v=".1~492"/>
    <n v="492"/>
    <s v="D2"/>
    <s v="03"/>
    <s v="01"/>
    <x v="20"/>
    <n v="5"/>
    <n v="21"/>
    <x v="1"/>
    <x v="5"/>
    <x v="5"/>
    <n v="60"/>
    <s v="ST"/>
  </r>
  <r>
    <s v=".1~493"/>
    <n v="493"/>
    <s v="D2"/>
    <s v="03"/>
    <s v="01"/>
    <x v="20"/>
    <n v="5"/>
    <n v="21"/>
    <x v="2"/>
    <x v="0"/>
    <x v="0"/>
    <n v="100"/>
    <s v="ST"/>
  </r>
  <r>
    <s v=".1~494"/>
    <n v="494"/>
    <s v="D2"/>
    <s v="03"/>
    <s v="01"/>
    <x v="20"/>
    <n v="5"/>
    <n v="21"/>
    <x v="2"/>
    <x v="1"/>
    <x v="1"/>
    <n v="40"/>
    <s v="ST"/>
  </r>
  <r>
    <s v=".1~495"/>
    <n v="495"/>
    <s v="D2"/>
    <s v="03"/>
    <s v="01"/>
    <x v="20"/>
    <n v="5"/>
    <n v="21"/>
    <x v="2"/>
    <x v="2"/>
    <x v="2"/>
    <n v="123"/>
    <s v="ST"/>
  </r>
  <r>
    <s v=".1~496"/>
    <n v="496"/>
    <s v="D2"/>
    <s v="03"/>
    <s v="01"/>
    <x v="20"/>
    <n v="5"/>
    <n v="21"/>
    <x v="2"/>
    <x v="3"/>
    <x v="3"/>
    <n v="40"/>
    <s v="ST"/>
  </r>
  <r>
    <s v=".1~497"/>
    <n v="497"/>
    <s v="D2"/>
    <s v="03"/>
    <s v="01"/>
    <x v="20"/>
    <n v="5"/>
    <n v="21"/>
    <x v="2"/>
    <x v="4"/>
    <x v="4"/>
    <n v="70"/>
    <s v="ST"/>
  </r>
  <r>
    <s v=".1~498"/>
    <n v="498"/>
    <s v="D2"/>
    <s v="03"/>
    <s v="01"/>
    <x v="20"/>
    <n v="5"/>
    <n v="21"/>
    <x v="2"/>
    <x v="5"/>
    <x v="5"/>
    <n v="40"/>
    <s v="ST"/>
  </r>
  <r>
    <s v=".1~499"/>
    <n v="499"/>
    <s v="D2"/>
    <s v="03"/>
    <s v="01"/>
    <x v="20"/>
    <n v="5"/>
    <n v="21"/>
    <x v="3"/>
    <x v="0"/>
    <x v="0"/>
    <n v="0"/>
    <s v="ST"/>
  </r>
  <r>
    <s v=".1~500"/>
    <n v="500"/>
    <s v="D2"/>
    <s v="03"/>
    <s v="01"/>
    <x v="20"/>
    <n v="5"/>
    <n v="21"/>
    <x v="3"/>
    <x v="1"/>
    <x v="1"/>
    <n v="40"/>
    <s v="ST"/>
  </r>
  <r>
    <s v=".1~501"/>
    <n v="501"/>
    <s v="D2"/>
    <s v="03"/>
    <s v="01"/>
    <x v="20"/>
    <n v="5"/>
    <n v="21"/>
    <x v="3"/>
    <x v="2"/>
    <x v="2"/>
    <n v="50"/>
    <s v="ST"/>
  </r>
  <r>
    <s v=".1~502"/>
    <n v="502"/>
    <s v="D2"/>
    <s v="03"/>
    <s v="01"/>
    <x v="20"/>
    <n v="5"/>
    <n v="21"/>
    <x v="3"/>
    <x v="3"/>
    <x v="3"/>
    <n v="100"/>
    <s v="ST"/>
  </r>
  <r>
    <s v=".1~503"/>
    <n v="503"/>
    <s v="D2"/>
    <s v="03"/>
    <s v="01"/>
    <x v="20"/>
    <n v="5"/>
    <n v="21"/>
    <x v="3"/>
    <x v="4"/>
    <x v="4"/>
    <n v="40"/>
    <s v="ST"/>
  </r>
  <r>
    <s v=".1~504"/>
    <n v="504"/>
    <s v="D2"/>
    <s v="03"/>
    <s v="01"/>
    <x v="20"/>
    <n v="5"/>
    <n v="21"/>
    <x v="3"/>
    <x v="5"/>
    <x v="5"/>
    <n v="40"/>
    <s v="ST"/>
  </r>
  <r>
    <s v=".1~505"/>
    <n v="505"/>
    <s v="D2"/>
    <s v="03"/>
    <s v="02"/>
    <x v="21"/>
    <n v="5"/>
    <n v="22"/>
    <x v="0"/>
    <x v="0"/>
    <x v="0"/>
    <n v="301"/>
    <s v="ST"/>
  </r>
  <r>
    <s v=".1~506"/>
    <n v="506"/>
    <s v="D2"/>
    <s v="03"/>
    <s v="02"/>
    <x v="21"/>
    <n v="5"/>
    <n v="22"/>
    <x v="0"/>
    <x v="1"/>
    <x v="1"/>
    <n v="261"/>
    <s v="ST"/>
  </r>
  <r>
    <s v=".1~507"/>
    <n v="507"/>
    <s v="D2"/>
    <s v="03"/>
    <s v="02"/>
    <x v="21"/>
    <n v="5"/>
    <n v="22"/>
    <x v="0"/>
    <x v="2"/>
    <x v="2"/>
    <n v="38"/>
    <s v="ST"/>
  </r>
  <r>
    <s v=".1~508"/>
    <n v="508"/>
    <s v="D2"/>
    <s v="03"/>
    <s v="02"/>
    <x v="21"/>
    <n v="5"/>
    <n v="22"/>
    <x v="0"/>
    <x v="3"/>
    <x v="3"/>
    <n v="47"/>
    <s v="ST"/>
  </r>
  <r>
    <s v=".1~509"/>
    <n v="509"/>
    <s v="D2"/>
    <s v="03"/>
    <s v="02"/>
    <x v="21"/>
    <n v="5"/>
    <n v="22"/>
    <x v="0"/>
    <x v="4"/>
    <x v="4"/>
    <n v="170"/>
    <s v="ST"/>
  </r>
  <r>
    <s v=".1~510"/>
    <n v="510"/>
    <s v="D2"/>
    <s v="03"/>
    <s v="02"/>
    <x v="21"/>
    <n v="5"/>
    <n v="22"/>
    <x v="0"/>
    <x v="5"/>
    <x v="5"/>
    <n v="49"/>
    <s v="ST"/>
  </r>
  <r>
    <s v=".1~511"/>
    <n v="511"/>
    <s v="D2"/>
    <s v="03"/>
    <s v="02"/>
    <x v="21"/>
    <n v="5"/>
    <n v="22"/>
    <x v="1"/>
    <x v="0"/>
    <x v="0"/>
    <n v="220"/>
    <s v="ST"/>
  </r>
  <r>
    <s v=".1~512"/>
    <n v="512"/>
    <s v="D2"/>
    <s v="03"/>
    <s v="02"/>
    <x v="21"/>
    <n v="5"/>
    <n v="22"/>
    <x v="1"/>
    <x v="1"/>
    <x v="1"/>
    <n v="50"/>
    <s v="ST"/>
  </r>
  <r>
    <s v=".1~513"/>
    <n v="513"/>
    <s v="D2"/>
    <s v="03"/>
    <s v="02"/>
    <x v="21"/>
    <n v="5"/>
    <n v="22"/>
    <x v="1"/>
    <x v="2"/>
    <x v="2"/>
    <n v="150"/>
    <s v="ST"/>
  </r>
  <r>
    <s v=".1~514"/>
    <n v="514"/>
    <s v="D2"/>
    <s v="03"/>
    <s v="02"/>
    <x v="21"/>
    <n v="5"/>
    <n v="22"/>
    <x v="1"/>
    <x v="3"/>
    <x v="3"/>
    <n v="40"/>
    <s v="ST"/>
  </r>
  <r>
    <s v=".1~515"/>
    <n v="515"/>
    <s v="D2"/>
    <s v="03"/>
    <s v="02"/>
    <x v="21"/>
    <n v="5"/>
    <n v="22"/>
    <x v="1"/>
    <x v="4"/>
    <x v="4"/>
    <n v="60"/>
    <s v="ST"/>
  </r>
  <r>
    <s v=".1~516"/>
    <n v="516"/>
    <s v="D2"/>
    <s v="03"/>
    <s v="02"/>
    <x v="21"/>
    <n v="5"/>
    <n v="22"/>
    <x v="1"/>
    <x v="5"/>
    <x v="5"/>
    <n v="60"/>
    <s v="ST"/>
  </r>
  <r>
    <s v=".1~517"/>
    <n v="517"/>
    <s v="D2"/>
    <s v="03"/>
    <s v="02"/>
    <x v="21"/>
    <n v="5"/>
    <n v="22"/>
    <x v="2"/>
    <x v="0"/>
    <x v="0"/>
    <n v="100"/>
    <s v="ST"/>
  </r>
  <r>
    <s v=".1~518"/>
    <n v="518"/>
    <s v="D2"/>
    <s v="03"/>
    <s v="02"/>
    <x v="21"/>
    <n v="5"/>
    <n v="22"/>
    <x v="2"/>
    <x v="1"/>
    <x v="1"/>
    <n v="40"/>
    <s v="ST"/>
  </r>
  <r>
    <s v=".1~519"/>
    <n v="519"/>
    <s v="D2"/>
    <s v="03"/>
    <s v="02"/>
    <x v="21"/>
    <n v="5"/>
    <n v="22"/>
    <x v="2"/>
    <x v="2"/>
    <x v="2"/>
    <n v="175"/>
    <s v="ST"/>
  </r>
  <r>
    <s v=".1~520"/>
    <n v="520"/>
    <s v="D2"/>
    <s v="03"/>
    <s v="02"/>
    <x v="21"/>
    <n v="5"/>
    <n v="22"/>
    <x v="2"/>
    <x v="3"/>
    <x v="3"/>
    <n v="40"/>
    <s v="ST"/>
  </r>
  <r>
    <s v=".1~521"/>
    <n v="521"/>
    <s v="D2"/>
    <s v="03"/>
    <s v="02"/>
    <x v="21"/>
    <n v="5"/>
    <n v="22"/>
    <x v="2"/>
    <x v="4"/>
    <x v="4"/>
    <n v="37"/>
    <s v="ST"/>
  </r>
  <r>
    <s v=".1~522"/>
    <n v="522"/>
    <s v="D2"/>
    <s v="03"/>
    <s v="02"/>
    <x v="21"/>
    <n v="5"/>
    <n v="22"/>
    <x v="2"/>
    <x v="5"/>
    <x v="5"/>
    <n v="40"/>
    <s v="ST"/>
  </r>
  <r>
    <s v=".1~523"/>
    <n v="523"/>
    <s v="D2"/>
    <s v="03"/>
    <s v="02"/>
    <x v="21"/>
    <n v="5"/>
    <n v="22"/>
    <x v="3"/>
    <x v="0"/>
    <x v="0"/>
    <n v="75"/>
    <s v="ST"/>
  </r>
  <r>
    <s v=".1~524"/>
    <n v="524"/>
    <s v="D2"/>
    <s v="03"/>
    <s v="02"/>
    <x v="21"/>
    <n v="5"/>
    <n v="22"/>
    <x v="3"/>
    <x v="1"/>
    <x v="1"/>
    <n v="40"/>
    <s v="ST"/>
  </r>
  <r>
    <s v=".1~525"/>
    <n v="525"/>
    <s v="D2"/>
    <s v="03"/>
    <s v="02"/>
    <x v="21"/>
    <n v="5"/>
    <n v="22"/>
    <x v="3"/>
    <x v="2"/>
    <x v="2"/>
    <n v="75"/>
    <s v="ST"/>
  </r>
  <r>
    <s v=".1~526"/>
    <n v="526"/>
    <s v="D2"/>
    <s v="03"/>
    <s v="02"/>
    <x v="21"/>
    <n v="5"/>
    <n v="22"/>
    <x v="3"/>
    <x v="3"/>
    <x v="3"/>
    <n v="77"/>
    <s v="ST"/>
  </r>
  <r>
    <s v=".1~527"/>
    <n v="527"/>
    <s v="D2"/>
    <s v="03"/>
    <s v="02"/>
    <x v="21"/>
    <n v="5"/>
    <n v="22"/>
    <x v="3"/>
    <x v="4"/>
    <x v="4"/>
    <n v="40"/>
    <s v="ST"/>
  </r>
  <r>
    <s v=".1~528"/>
    <n v="528"/>
    <s v="D2"/>
    <s v="03"/>
    <s v="02"/>
    <x v="21"/>
    <n v="5"/>
    <n v="22"/>
    <x v="3"/>
    <x v="5"/>
    <x v="5"/>
    <n v="40"/>
    <s v="ST"/>
  </r>
  <r>
    <s v=".1~529"/>
    <n v="529"/>
    <s v="D2"/>
    <s v="03"/>
    <s v="03"/>
    <x v="22"/>
    <n v="5"/>
    <n v="23"/>
    <x v="0"/>
    <x v="0"/>
    <x v="0"/>
    <n v="717"/>
    <s v="ST"/>
  </r>
  <r>
    <s v=".1~530"/>
    <n v="530"/>
    <s v="D2"/>
    <s v="03"/>
    <s v="03"/>
    <x v="22"/>
    <n v="5"/>
    <n v="23"/>
    <x v="0"/>
    <x v="1"/>
    <x v="1"/>
    <n v="323"/>
    <s v="ST"/>
  </r>
  <r>
    <s v=".1~531"/>
    <n v="531"/>
    <s v="D2"/>
    <s v="03"/>
    <s v="03"/>
    <x v="22"/>
    <n v="5"/>
    <n v="23"/>
    <x v="0"/>
    <x v="2"/>
    <x v="2"/>
    <n v="597"/>
    <s v="ST"/>
  </r>
  <r>
    <s v=".1~532"/>
    <n v="532"/>
    <s v="D2"/>
    <s v="03"/>
    <s v="03"/>
    <x v="22"/>
    <n v="5"/>
    <n v="23"/>
    <x v="0"/>
    <x v="3"/>
    <x v="3"/>
    <n v="189"/>
    <s v="ST"/>
  </r>
  <r>
    <s v=".1~533"/>
    <n v="533"/>
    <s v="D2"/>
    <s v="03"/>
    <s v="03"/>
    <x v="22"/>
    <n v="5"/>
    <n v="23"/>
    <x v="0"/>
    <x v="4"/>
    <x v="4"/>
    <n v="295"/>
    <s v="ST"/>
  </r>
  <r>
    <s v=".1~534"/>
    <n v="534"/>
    <s v="D2"/>
    <s v="03"/>
    <s v="03"/>
    <x v="22"/>
    <n v="5"/>
    <n v="23"/>
    <x v="0"/>
    <x v="5"/>
    <x v="5"/>
    <n v="247"/>
    <s v="ST"/>
  </r>
  <r>
    <s v=".1~535"/>
    <n v="535"/>
    <s v="D2"/>
    <s v="03"/>
    <s v="03"/>
    <x v="22"/>
    <n v="5"/>
    <n v="23"/>
    <x v="1"/>
    <x v="0"/>
    <x v="0"/>
    <n v="219"/>
    <s v="ST"/>
  </r>
  <r>
    <s v=".1~536"/>
    <n v="536"/>
    <s v="D2"/>
    <s v="03"/>
    <s v="03"/>
    <x v="22"/>
    <n v="5"/>
    <n v="23"/>
    <x v="1"/>
    <x v="1"/>
    <x v="1"/>
    <n v="50"/>
    <s v="ST"/>
  </r>
  <r>
    <s v=".1~537"/>
    <n v="537"/>
    <s v="D2"/>
    <s v="03"/>
    <s v="03"/>
    <x v="22"/>
    <n v="5"/>
    <n v="23"/>
    <x v="1"/>
    <x v="2"/>
    <x v="2"/>
    <n v="150"/>
    <s v="ST"/>
  </r>
  <r>
    <s v=".1~538"/>
    <n v="538"/>
    <s v="D2"/>
    <s v="03"/>
    <s v="03"/>
    <x v="22"/>
    <n v="5"/>
    <n v="23"/>
    <x v="1"/>
    <x v="3"/>
    <x v="3"/>
    <n v="40"/>
    <s v="ST"/>
  </r>
  <r>
    <s v=".1~539"/>
    <n v="539"/>
    <s v="D2"/>
    <s v="03"/>
    <s v="03"/>
    <x v="22"/>
    <n v="5"/>
    <n v="23"/>
    <x v="1"/>
    <x v="4"/>
    <x v="4"/>
    <n v="60"/>
    <s v="ST"/>
  </r>
  <r>
    <s v=".1~540"/>
    <n v="540"/>
    <s v="D2"/>
    <s v="03"/>
    <s v="03"/>
    <x v="22"/>
    <n v="5"/>
    <n v="23"/>
    <x v="1"/>
    <x v="5"/>
    <x v="5"/>
    <n v="60"/>
    <s v="ST"/>
  </r>
  <r>
    <s v=".1~541"/>
    <n v="541"/>
    <s v="D2"/>
    <s v="03"/>
    <s v="03"/>
    <x v="22"/>
    <n v="5"/>
    <n v="23"/>
    <x v="2"/>
    <x v="0"/>
    <x v="0"/>
    <n v="100"/>
    <s v="ST"/>
  </r>
  <r>
    <s v=".1~542"/>
    <n v="542"/>
    <s v="D2"/>
    <s v="03"/>
    <s v="03"/>
    <x v="22"/>
    <n v="5"/>
    <n v="23"/>
    <x v="2"/>
    <x v="1"/>
    <x v="1"/>
    <n v="19"/>
    <s v="ST"/>
  </r>
  <r>
    <s v=".1~543"/>
    <n v="543"/>
    <s v="D2"/>
    <s v="03"/>
    <s v="03"/>
    <x v="22"/>
    <n v="5"/>
    <n v="23"/>
    <x v="2"/>
    <x v="2"/>
    <x v="2"/>
    <n v="119"/>
    <s v="ST"/>
  </r>
  <r>
    <s v=".1~544"/>
    <n v="544"/>
    <s v="D2"/>
    <s v="03"/>
    <s v="03"/>
    <x v="22"/>
    <n v="5"/>
    <n v="23"/>
    <x v="2"/>
    <x v="3"/>
    <x v="3"/>
    <n v="40"/>
    <s v="ST"/>
  </r>
  <r>
    <s v=".1~545"/>
    <n v="545"/>
    <s v="D2"/>
    <s v="03"/>
    <s v="03"/>
    <x v="22"/>
    <n v="5"/>
    <n v="23"/>
    <x v="2"/>
    <x v="4"/>
    <x v="4"/>
    <n v="40"/>
    <s v="ST"/>
  </r>
  <r>
    <s v=".1~546"/>
    <n v="546"/>
    <s v="D2"/>
    <s v="03"/>
    <s v="03"/>
    <x v="22"/>
    <n v="5"/>
    <n v="23"/>
    <x v="2"/>
    <x v="5"/>
    <x v="5"/>
    <n v="40"/>
    <s v="ST"/>
  </r>
  <r>
    <s v=".1~547"/>
    <n v="547"/>
    <s v="D2"/>
    <s v="03"/>
    <s v="03"/>
    <x v="22"/>
    <n v="5"/>
    <n v="23"/>
    <x v="3"/>
    <x v="0"/>
    <x v="0"/>
    <n v="75"/>
    <s v="ST"/>
  </r>
  <r>
    <s v=".1~548"/>
    <n v="548"/>
    <s v="D2"/>
    <s v="03"/>
    <s v="03"/>
    <x v="22"/>
    <n v="5"/>
    <n v="23"/>
    <x v="3"/>
    <x v="1"/>
    <x v="1"/>
    <n v="40"/>
    <s v="ST"/>
  </r>
  <r>
    <s v=".1~549"/>
    <n v="549"/>
    <s v="D2"/>
    <s v="03"/>
    <s v="03"/>
    <x v="22"/>
    <n v="5"/>
    <n v="23"/>
    <x v="3"/>
    <x v="2"/>
    <x v="2"/>
    <n v="75"/>
    <s v="ST"/>
  </r>
  <r>
    <s v=".1~550"/>
    <n v="550"/>
    <s v="D2"/>
    <s v="03"/>
    <s v="03"/>
    <x v="22"/>
    <n v="5"/>
    <n v="23"/>
    <x v="3"/>
    <x v="3"/>
    <x v="3"/>
    <n v="100"/>
    <s v="ST"/>
  </r>
  <r>
    <s v=".1~551"/>
    <n v="551"/>
    <s v="D2"/>
    <s v="03"/>
    <s v="03"/>
    <x v="22"/>
    <n v="5"/>
    <n v="23"/>
    <x v="3"/>
    <x v="4"/>
    <x v="4"/>
    <n v="40"/>
    <s v="ST"/>
  </r>
  <r>
    <s v=".1~552"/>
    <n v="552"/>
    <s v="D2"/>
    <s v="03"/>
    <s v="03"/>
    <x v="22"/>
    <n v="5"/>
    <n v="23"/>
    <x v="3"/>
    <x v="5"/>
    <x v="5"/>
    <n v="40"/>
    <s v="ST"/>
  </r>
  <r>
    <s v=".1~553"/>
    <n v="553"/>
    <s v="D2"/>
    <s v="03"/>
    <s v="04"/>
    <x v="23"/>
    <n v="5"/>
    <n v="24"/>
    <x v="0"/>
    <x v="0"/>
    <x v="0"/>
    <n v="716"/>
    <s v="ST"/>
  </r>
  <r>
    <s v=".1~554"/>
    <n v="554"/>
    <s v="D2"/>
    <s v="03"/>
    <s v="04"/>
    <x v="23"/>
    <n v="5"/>
    <n v="24"/>
    <x v="0"/>
    <x v="1"/>
    <x v="1"/>
    <n v="302"/>
    <s v="ST"/>
  </r>
  <r>
    <s v=".1~555"/>
    <n v="555"/>
    <s v="D2"/>
    <s v="03"/>
    <s v="04"/>
    <x v="23"/>
    <n v="5"/>
    <n v="24"/>
    <x v="0"/>
    <x v="2"/>
    <x v="2"/>
    <n v="541"/>
    <s v="ST"/>
  </r>
  <r>
    <s v=".1~556"/>
    <n v="556"/>
    <s v="D2"/>
    <s v="03"/>
    <s v="04"/>
    <x v="23"/>
    <n v="5"/>
    <n v="24"/>
    <x v="0"/>
    <x v="3"/>
    <x v="3"/>
    <n v="189"/>
    <s v="ST"/>
  </r>
  <r>
    <s v=".1~557"/>
    <n v="557"/>
    <s v="D2"/>
    <s v="03"/>
    <s v="04"/>
    <x v="23"/>
    <n v="5"/>
    <n v="24"/>
    <x v="0"/>
    <x v="4"/>
    <x v="4"/>
    <n v="265"/>
    <s v="ST"/>
  </r>
  <r>
    <s v=".1~558"/>
    <n v="558"/>
    <s v="D2"/>
    <s v="03"/>
    <s v="04"/>
    <x v="23"/>
    <n v="5"/>
    <n v="24"/>
    <x v="0"/>
    <x v="5"/>
    <x v="5"/>
    <n v="247"/>
    <s v="ST"/>
  </r>
  <r>
    <s v=".1~559"/>
    <n v="559"/>
    <s v="D2"/>
    <s v="03"/>
    <s v="04"/>
    <x v="23"/>
    <n v="5"/>
    <n v="24"/>
    <x v="1"/>
    <x v="0"/>
    <x v="0"/>
    <n v="72"/>
    <s v="ST"/>
  </r>
  <r>
    <s v=".1~560"/>
    <n v="560"/>
    <s v="D2"/>
    <s v="03"/>
    <s v="04"/>
    <x v="23"/>
    <n v="5"/>
    <n v="24"/>
    <x v="1"/>
    <x v="1"/>
    <x v="1"/>
    <n v="50"/>
    <s v="ST"/>
  </r>
  <r>
    <s v=".1~561"/>
    <n v="561"/>
    <s v="D2"/>
    <s v="03"/>
    <s v="04"/>
    <x v="23"/>
    <n v="5"/>
    <n v="24"/>
    <x v="1"/>
    <x v="2"/>
    <x v="2"/>
    <n v="92"/>
    <s v="ST"/>
  </r>
  <r>
    <s v=".1~562"/>
    <n v="562"/>
    <s v="D2"/>
    <s v="03"/>
    <s v="04"/>
    <x v="23"/>
    <n v="5"/>
    <n v="24"/>
    <x v="1"/>
    <x v="3"/>
    <x v="3"/>
    <n v="40"/>
    <s v="ST"/>
  </r>
  <r>
    <s v=".1~563"/>
    <n v="563"/>
    <s v="D2"/>
    <s v="03"/>
    <s v="04"/>
    <x v="23"/>
    <n v="5"/>
    <n v="24"/>
    <x v="1"/>
    <x v="4"/>
    <x v="4"/>
    <n v="60"/>
    <s v="ST"/>
  </r>
  <r>
    <s v=".1~564"/>
    <n v="564"/>
    <s v="D2"/>
    <s v="03"/>
    <s v="04"/>
    <x v="23"/>
    <n v="5"/>
    <n v="24"/>
    <x v="1"/>
    <x v="5"/>
    <x v="5"/>
    <n v="0"/>
    <s v="ST"/>
  </r>
  <r>
    <s v=".1~565"/>
    <n v="565"/>
    <s v="D2"/>
    <s v="03"/>
    <s v="04"/>
    <x v="23"/>
    <n v="5"/>
    <n v="24"/>
    <x v="2"/>
    <x v="0"/>
    <x v="0"/>
    <n v="100"/>
    <s v="ST"/>
  </r>
  <r>
    <s v=".1~566"/>
    <n v="566"/>
    <s v="D2"/>
    <s v="03"/>
    <s v="04"/>
    <x v="23"/>
    <n v="5"/>
    <n v="24"/>
    <x v="2"/>
    <x v="1"/>
    <x v="1"/>
    <n v="40"/>
    <s v="ST"/>
  </r>
  <r>
    <s v=".1~567"/>
    <n v="567"/>
    <s v="D2"/>
    <s v="03"/>
    <s v="04"/>
    <x v="23"/>
    <n v="5"/>
    <n v="24"/>
    <x v="2"/>
    <x v="2"/>
    <x v="2"/>
    <n v="114"/>
    <s v="ST"/>
  </r>
  <r>
    <s v=".1~568"/>
    <n v="568"/>
    <s v="D2"/>
    <s v="03"/>
    <s v="04"/>
    <x v="23"/>
    <n v="5"/>
    <n v="24"/>
    <x v="2"/>
    <x v="3"/>
    <x v="3"/>
    <n v="40"/>
    <s v="ST"/>
  </r>
  <r>
    <s v=".1~569"/>
    <n v="569"/>
    <s v="D2"/>
    <s v="03"/>
    <s v="04"/>
    <x v="23"/>
    <n v="5"/>
    <n v="24"/>
    <x v="2"/>
    <x v="4"/>
    <x v="4"/>
    <n v="70"/>
    <s v="ST"/>
  </r>
  <r>
    <s v=".1~570"/>
    <n v="570"/>
    <s v="D2"/>
    <s v="03"/>
    <s v="04"/>
    <x v="23"/>
    <n v="5"/>
    <n v="24"/>
    <x v="2"/>
    <x v="5"/>
    <x v="5"/>
    <n v="40"/>
    <s v="ST"/>
  </r>
  <r>
    <s v=".1~571"/>
    <n v="571"/>
    <s v="D2"/>
    <s v="03"/>
    <s v="04"/>
    <x v="23"/>
    <n v="5"/>
    <n v="24"/>
    <x v="3"/>
    <x v="0"/>
    <x v="0"/>
    <n v="75"/>
    <s v="ST"/>
  </r>
  <r>
    <s v=".1~572"/>
    <n v="572"/>
    <s v="D2"/>
    <s v="03"/>
    <s v="04"/>
    <x v="23"/>
    <n v="5"/>
    <n v="24"/>
    <x v="3"/>
    <x v="1"/>
    <x v="1"/>
    <n v="40"/>
    <s v="ST"/>
  </r>
  <r>
    <s v=".1~573"/>
    <n v="573"/>
    <s v="D2"/>
    <s v="03"/>
    <s v="04"/>
    <x v="23"/>
    <n v="5"/>
    <n v="24"/>
    <x v="3"/>
    <x v="2"/>
    <x v="2"/>
    <n v="75"/>
    <s v="ST"/>
  </r>
  <r>
    <s v=".1~574"/>
    <n v="574"/>
    <s v="D2"/>
    <s v="03"/>
    <s v="04"/>
    <x v="23"/>
    <n v="5"/>
    <n v="24"/>
    <x v="3"/>
    <x v="3"/>
    <x v="3"/>
    <n v="100"/>
    <s v="ST"/>
  </r>
  <r>
    <s v=".1~575"/>
    <n v="575"/>
    <s v="D2"/>
    <s v="03"/>
    <s v="04"/>
    <x v="23"/>
    <n v="5"/>
    <n v="24"/>
    <x v="3"/>
    <x v="4"/>
    <x v="4"/>
    <n v="40"/>
    <s v="ST"/>
  </r>
  <r>
    <s v=".1~576"/>
    <n v="576"/>
    <s v="D2"/>
    <s v="03"/>
    <s v="04"/>
    <x v="23"/>
    <n v="5"/>
    <n v="24"/>
    <x v="3"/>
    <x v="5"/>
    <x v="5"/>
    <n v="40"/>
    <s v="ST"/>
  </r>
  <r>
    <s v=".1~577"/>
    <n v="577"/>
    <s v="D2"/>
    <s v="03"/>
    <s v="05"/>
    <x v="24"/>
    <n v="5"/>
    <n v="25"/>
    <x v="0"/>
    <x v="0"/>
    <x v="0"/>
    <n v="568"/>
    <s v="ST"/>
  </r>
  <r>
    <s v=".1~578"/>
    <n v="578"/>
    <s v="D2"/>
    <s v="03"/>
    <s v="05"/>
    <x v="24"/>
    <n v="5"/>
    <n v="25"/>
    <x v="0"/>
    <x v="1"/>
    <x v="1"/>
    <n v="302"/>
    <s v="ST"/>
  </r>
  <r>
    <s v=".1~579"/>
    <n v="579"/>
    <s v="D2"/>
    <s v="03"/>
    <s v="05"/>
    <x v="24"/>
    <n v="5"/>
    <n v="25"/>
    <x v="0"/>
    <x v="2"/>
    <x v="2"/>
    <n v="422"/>
    <s v="ST"/>
  </r>
  <r>
    <s v=".1~580"/>
    <n v="580"/>
    <s v="D2"/>
    <s v="03"/>
    <s v="05"/>
    <x v="24"/>
    <n v="5"/>
    <n v="25"/>
    <x v="0"/>
    <x v="3"/>
    <x v="3"/>
    <n v="189"/>
    <s v="ST"/>
  </r>
  <r>
    <s v=".1~581"/>
    <n v="581"/>
    <s v="D2"/>
    <s v="03"/>
    <s v="05"/>
    <x v="24"/>
    <n v="5"/>
    <n v="25"/>
    <x v="0"/>
    <x v="4"/>
    <x v="4"/>
    <n v="265"/>
    <s v="ST"/>
  </r>
  <r>
    <s v=".1~582"/>
    <n v="582"/>
    <s v="D2"/>
    <s v="03"/>
    <s v="05"/>
    <x v="24"/>
    <n v="5"/>
    <n v="25"/>
    <x v="0"/>
    <x v="5"/>
    <x v="5"/>
    <n v="187"/>
    <s v="ST"/>
  </r>
  <r>
    <s v=".1~583"/>
    <n v="583"/>
    <s v="D2"/>
    <s v="03"/>
    <s v="05"/>
    <x v="24"/>
    <n v="5"/>
    <n v="25"/>
    <x v="1"/>
    <x v="0"/>
    <x v="0"/>
    <n v="148"/>
    <s v="ST"/>
  </r>
  <r>
    <s v=".1~584"/>
    <n v="584"/>
    <s v="D2"/>
    <s v="03"/>
    <s v="05"/>
    <x v="24"/>
    <n v="5"/>
    <n v="25"/>
    <x v="1"/>
    <x v="1"/>
    <x v="1"/>
    <n v="50"/>
    <s v="ST"/>
  </r>
  <r>
    <s v=".1~585"/>
    <n v="585"/>
    <s v="D2"/>
    <s v="03"/>
    <s v="05"/>
    <x v="24"/>
    <n v="5"/>
    <n v="25"/>
    <x v="1"/>
    <x v="2"/>
    <x v="2"/>
    <n v="150"/>
    <s v="ST"/>
  </r>
  <r>
    <s v=".1~586"/>
    <n v="586"/>
    <s v="D2"/>
    <s v="03"/>
    <s v="05"/>
    <x v="24"/>
    <n v="5"/>
    <n v="25"/>
    <x v="1"/>
    <x v="3"/>
    <x v="3"/>
    <n v="40"/>
    <s v="ST"/>
  </r>
  <r>
    <s v=".1~587"/>
    <n v="587"/>
    <s v="D2"/>
    <s v="03"/>
    <s v="05"/>
    <x v="24"/>
    <n v="5"/>
    <n v="25"/>
    <x v="1"/>
    <x v="4"/>
    <x v="4"/>
    <n v="13"/>
    <s v="ST"/>
  </r>
  <r>
    <s v=".1~588"/>
    <n v="588"/>
    <s v="D2"/>
    <s v="03"/>
    <s v="05"/>
    <x v="24"/>
    <n v="5"/>
    <n v="25"/>
    <x v="1"/>
    <x v="5"/>
    <x v="5"/>
    <n v="60"/>
    <s v="ST"/>
  </r>
  <r>
    <s v=".1~589"/>
    <n v="589"/>
    <s v="D2"/>
    <s v="03"/>
    <s v="05"/>
    <x v="24"/>
    <n v="5"/>
    <n v="25"/>
    <x v="2"/>
    <x v="0"/>
    <x v="0"/>
    <n v="100"/>
    <s v="ST"/>
  </r>
  <r>
    <s v=".1~590"/>
    <n v="590"/>
    <s v="D2"/>
    <s v="03"/>
    <s v="05"/>
    <x v="24"/>
    <n v="5"/>
    <n v="25"/>
    <x v="2"/>
    <x v="1"/>
    <x v="1"/>
    <n v="40"/>
    <s v="ST"/>
  </r>
  <r>
    <s v=".1~591"/>
    <n v="591"/>
    <s v="D2"/>
    <s v="03"/>
    <s v="05"/>
    <x v="24"/>
    <n v="5"/>
    <n v="25"/>
    <x v="2"/>
    <x v="2"/>
    <x v="2"/>
    <n v="71"/>
    <s v="ST"/>
  </r>
  <r>
    <s v=".1~592"/>
    <n v="592"/>
    <s v="D2"/>
    <s v="03"/>
    <s v="05"/>
    <x v="24"/>
    <n v="5"/>
    <n v="25"/>
    <x v="2"/>
    <x v="3"/>
    <x v="3"/>
    <n v="18"/>
    <s v="ST"/>
  </r>
  <r>
    <s v=".1~593"/>
    <n v="593"/>
    <s v="D2"/>
    <s v="03"/>
    <s v="05"/>
    <x v="24"/>
    <n v="5"/>
    <n v="25"/>
    <x v="2"/>
    <x v="4"/>
    <x v="4"/>
    <n v="46"/>
    <s v="ST"/>
  </r>
  <r>
    <s v=".1~594"/>
    <n v="594"/>
    <s v="D2"/>
    <s v="03"/>
    <s v="05"/>
    <x v="24"/>
    <n v="5"/>
    <n v="25"/>
    <x v="2"/>
    <x v="5"/>
    <x v="5"/>
    <n v="40"/>
    <s v="ST"/>
  </r>
  <r>
    <s v=".1~595"/>
    <n v="595"/>
    <s v="D2"/>
    <s v="03"/>
    <s v="05"/>
    <x v="24"/>
    <n v="5"/>
    <n v="25"/>
    <x v="3"/>
    <x v="0"/>
    <x v="0"/>
    <n v="0"/>
    <s v="ST"/>
  </r>
  <r>
    <s v=".1~596"/>
    <n v="596"/>
    <s v="D2"/>
    <s v="03"/>
    <s v="05"/>
    <x v="24"/>
    <n v="5"/>
    <n v="25"/>
    <x v="3"/>
    <x v="1"/>
    <x v="1"/>
    <n v="40"/>
    <s v="ST"/>
  </r>
  <r>
    <s v=".1~597"/>
    <n v="597"/>
    <s v="D2"/>
    <s v="03"/>
    <s v="05"/>
    <x v="24"/>
    <n v="5"/>
    <n v="25"/>
    <x v="3"/>
    <x v="2"/>
    <x v="2"/>
    <n v="75"/>
    <s v="ST"/>
  </r>
  <r>
    <s v=".1~598"/>
    <n v="598"/>
    <s v="D2"/>
    <s v="03"/>
    <s v="05"/>
    <x v="24"/>
    <n v="5"/>
    <n v="25"/>
    <x v="3"/>
    <x v="3"/>
    <x v="3"/>
    <n v="78"/>
    <s v="ST"/>
  </r>
  <r>
    <s v=".1~599"/>
    <n v="599"/>
    <s v="D2"/>
    <s v="03"/>
    <s v="05"/>
    <x v="24"/>
    <n v="5"/>
    <n v="25"/>
    <x v="3"/>
    <x v="4"/>
    <x v="4"/>
    <n v="40"/>
    <s v="ST"/>
  </r>
  <r>
    <s v=".1~600"/>
    <n v="600"/>
    <s v="D2"/>
    <s v="03"/>
    <s v="05"/>
    <x v="24"/>
    <n v="5"/>
    <n v="25"/>
    <x v="3"/>
    <x v="5"/>
    <x v="5"/>
    <n v="5"/>
    <s v="ST"/>
  </r>
  <r>
    <s v=".1~601"/>
    <n v="601"/>
    <s v="D2"/>
    <s v="03"/>
    <s v="06"/>
    <x v="25"/>
    <n v="6"/>
    <n v="26"/>
    <x v="0"/>
    <x v="0"/>
    <x v="0"/>
    <n v="421"/>
    <s v="ST"/>
  </r>
  <r>
    <s v=".1~602"/>
    <n v="602"/>
    <s v="D2"/>
    <s v="03"/>
    <s v="06"/>
    <x v="25"/>
    <n v="6"/>
    <n v="26"/>
    <x v="0"/>
    <x v="1"/>
    <x v="1"/>
    <n v="302"/>
    <s v="ST"/>
  </r>
  <r>
    <s v=".1~603"/>
    <n v="603"/>
    <s v="D2"/>
    <s v="03"/>
    <s v="06"/>
    <x v="25"/>
    <n v="6"/>
    <n v="26"/>
    <x v="0"/>
    <x v="2"/>
    <x v="2"/>
    <n v="318"/>
    <s v="ST"/>
  </r>
  <r>
    <s v=".1~604"/>
    <n v="604"/>
    <s v="D2"/>
    <s v="03"/>
    <s v="06"/>
    <x v="25"/>
    <n v="6"/>
    <n v="26"/>
    <x v="0"/>
    <x v="3"/>
    <x v="3"/>
    <n v="145"/>
    <s v="ST"/>
  </r>
  <r>
    <s v=".1~605"/>
    <n v="605"/>
    <s v="D2"/>
    <s v="03"/>
    <s v="06"/>
    <x v="25"/>
    <n v="6"/>
    <n v="26"/>
    <x v="0"/>
    <x v="4"/>
    <x v="4"/>
    <n v="194"/>
    <s v="ST"/>
  </r>
  <r>
    <s v=".1~606"/>
    <n v="606"/>
    <s v="D2"/>
    <s v="03"/>
    <s v="06"/>
    <x v="25"/>
    <n v="6"/>
    <n v="26"/>
    <x v="0"/>
    <x v="5"/>
    <x v="5"/>
    <n v="152"/>
    <s v="ST"/>
  </r>
  <r>
    <s v=".1~607"/>
    <n v="607"/>
    <s v="D2"/>
    <s v="03"/>
    <s v="06"/>
    <x v="25"/>
    <n v="6"/>
    <n v="26"/>
    <x v="1"/>
    <x v="0"/>
    <x v="0"/>
    <n v="209"/>
    <s v="ST"/>
  </r>
  <r>
    <s v=".1~608"/>
    <n v="608"/>
    <s v="D2"/>
    <s v="03"/>
    <s v="06"/>
    <x v="25"/>
    <n v="6"/>
    <n v="26"/>
    <x v="1"/>
    <x v="1"/>
    <x v="1"/>
    <n v="21"/>
    <s v="ST"/>
  </r>
  <r>
    <s v=".1~609"/>
    <n v="609"/>
    <s v="D2"/>
    <s v="03"/>
    <s v="06"/>
    <x v="25"/>
    <n v="6"/>
    <n v="26"/>
    <x v="1"/>
    <x v="2"/>
    <x v="2"/>
    <n v="150"/>
    <s v="ST"/>
  </r>
  <r>
    <s v=".1~610"/>
    <n v="610"/>
    <s v="D2"/>
    <s v="03"/>
    <s v="06"/>
    <x v="25"/>
    <n v="6"/>
    <n v="26"/>
    <x v="1"/>
    <x v="3"/>
    <x v="3"/>
    <n v="40"/>
    <s v="ST"/>
  </r>
  <r>
    <s v=".1~611"/>
    <n v="611"/>
    <s v="D2"/>
    <s v="03"/>
    <s v="06"/>
    <x v="25"/>
    <n v="6"/>
    <n v="26"/>
    <x v="1"/>
    <x v="4"/>
    <x v="4"/>
    <n v="47"/>
    <s v="ST"/>
  </r>
  <r>
    <s v=".1~612"/>
    <n v="612"/>
    <s v="D2"/>
    <s v="03"/>
    <s v="06"/>
    <x v="25"/>
    <n v="6"/>
    <n v="26"/>
    <x v="1"/>
    <x v="5"/>
    <x v="5"/>
    <n v="60"/>
    <s v="ST"/>
  </r>
  <r>
    <s v=".1~613"/>
    <n v="613"/>
    <s v="D2"/>
    <s v="03"/>
    <s v="06"/>
    <x v="25"/>
    <n v="6"/>
    <n v="26"/>
    <x v="2"/>
    <x v="0"/>
    <x v="0"/>
    <n v="100"/>
    <s v="ST"/>
  </r>
  <r>
    <s v=".1~614"/>
    <n v="614"/>
    <s v="D2"/>
    <s v="03"/>
    <s v="06"/>
    <x v="25"/>
    <n v="6"/>
    <n v="26"/>
    <x v="2"/>
    <x v="1"/>
    <x v="1"/>
    <n v="40"/>
    <s v="ST"/>
  </r>
  <r>
    <s v=".1~615"/>
    <n v="615"/>
    <s v="D2"/>
    <s v="03"/>
    <s v="06"/>
    <x v="25"/>
    <n v="6"/>
    <n v="26"/>
    <x v="2"/>
    <x v="2"/>
    <x v="2"/>
    <n v="175"/>
    <s v="ST"/>
  </r>
  <r>
    <s v=".1~616"/>
    <n v="616"/>
    <s v="D2"/>
    <s v="03"/>
    <s v="06"/>
    <x v="25"/>
    <n v="6"/>
    <n v="26"/>
    <x v="2"/>
    <x v="3"/>
    <x v="3"/>
    <n v="40"/>
    <s v="ST"/>
  </r>
  <r>
    <s v=".1~617"/>
    <n v="617"/>
    <s v="D2"/>
    <s v="03"/>
    <s v="06"/>
    <x v="25"/>
    <n v="6"/>
    <n v="26"/>
    <x v="2"/>
    <x v="4"/>
    <x v="4"/>
    <n v="24"/>
    <s v="ST"/>
  </r>
  <r>
    <s v=".1~618"/>
    <n v="618"/>
    <s v="D2"/>
    <s v="03"/>
    <s v="06"/>
    <x v="25"/>
    <n v="6"/>
    <n v="26"/>
    <x v="2"/>
    <x v="5"/>
    <x v="5"/>
    <n v="1"/>
    <s v="ST"/>
  </r>
  <r>
    <s v=".1~619"/>
    <n v="619"/>
    <s v="D2"/>
    <s v="03"/>
    <s v="06"/>
    <x v="25"/>
    <n v="6"/>
    <n v="26"/>
    <x v="3"/>
    <x v="0"/>
    <x v="0"/>
    <n v="75"/>
    <s v="ST"/>
  </r>
  <r>
    <s v=".1~620"/>
    <n v="620"/>
    <s v="D2"/>
    <s v="03"/>
    <s v="06"/>
    <x v="25"/>
    <n v="6"/>
    <n v="26"/>
    <x v="3"/>
    <x v="1"/>
    <x v="1"/>
    <n v="40"/>
    <s v="ST"/>
  </r>
  <r>
    <s v=".1~621"/>
    <n v="621"/>
    <s v="D2"/>
    <s v="03"/>
    <s v="06"/>
    <x v="25"/>
    <n v="6"/>
    <n v="26"/>
    <x v="3"/>
    <x v="2"/>
    <x v="2"/>
    <n v="75"/>
    <s v="ST"/>
  </r>
  <r>
    <s v=".1~622"/>
    <n v="622"/>
    <s v="D2"/>
    <s v="03"/>
    <s v="06"/>
    <x v="25"/>
    <n v="6"/>
    <n v="26"/>
    <x v="3"/>
    <x v="3"/>
    <x v="3"/>
    <n v="100"/>
    <s v="ST"/>
  </r>
  <r>
    <s v=".1~623"/>
    <n v="623"/>
    <s v="D2"/>
    <s v="03"/>
    <s v="06"/>
    <x v="25"/>
    <n v="6"/>
    <n v="26"/>
    <x v="3"/>
    <x v="4"/>
    <x v="4"/>
    <n v="40"/>
    <s v="ST"/>
  </r>
  <r>
    <s v=".1~624"/>
    <n v="624"/>
    <s v="D2"/>
    <s v="03"/>
    <s v="06"/>
    <x v="25"/>
    <n v="6"/>
    <n v="26"/>
    <x v="3"/>
    <x v="5"/>
    <x v="5"/>
    <n v="35"/>
    <s v="ST"/>
  </r>
  <r>
    <s v=".1~625"/>
    <n v="625"/>
    <s v="D2"/>
    <s v="03"/>
    <s v="07"/>
    <x v="26"/>
    <n v="6"/>
    <n v="27"/>
    <x v="0"/>
    <x v="0"/>
    <x v="0"/>
    <n v="410"/>
    <s v="ST"/>
  </r>
  <r>
    <s v=".1~626"/>
    <n v="626"/>
    <s v="D2"/>
    <s v="03"/>
    <s v="07"/>
    <x v="26"/>
    <n v="6"/>
    <n v="27"/>
    <x v="0"/>
    <x v="1"/>
    <x v="1"/>
    <n v="273"/>
    <s v="ST"/>
  </r>
  <r>
    <s v=".1~627"/>
    <n v="627"/>
    <s v="D2"/>
    <s v="03"/>
    <s v="07"/>
    <x v="26"/>
    <n v="6"/>
    <n v="27"/>
    <x v="0"/>
    <x v="2"/>
    <x v="2"/>
    <n v="318"/>
    <s v="ST"/>
  </r>
  <r>
    <s v=".1~628"/>
    <n v="628"/>
    <s v="D2"/>
    <s v="03"/>
    <s v="07"/>
    <x v="26"/>
    <n v="6"/>
    <n v="27"/>
    <x v="0"/>
    <x v="3"/>
    <x v="3"/>
    <n v="145"/>
    <s v="ST"/>
  </r>
  <r>
    <s v=".1~629"/>
    <n v="629"/>
    <s v="D2"/>
    <s v="03"/>
    <s v="07"/>
    <x v="26"/>
    <n v="6"/>
    <n v="27"/>
    <x v="0"/>
    <x v="4"/>
    <x v="4"/>
    <n v="135"/>
    <s v="ST"/>
  </r>
  <r>
    <s v=".1~630"/>
    <n v="630"/>
    <s v="D2"/>
    <s v="03"/>
    <s v="07"/>
    <x v="26"/>
    <n v="6"/>
    <n v="27"/>
    <x v="0"/>
    <x v="5"/>
    <x v="5"/>
    <n v="108"/>
    <s v="ST"/>
  </r>
  <r>
    <s v=".1~631"/>
    <n v="631"/>
    <s v="D2"/>
    <s v="03"/>
    <s v="07"/>
    <x v="26"/>
    <n v="6"/>
    <n v="27"/>
    <x v="1"/>
    <x v="0"/>
    <x v="0"/>
    <n v="150"/>
    <s v="ST"/>
  </r>
  <r>
    <s v=".1~632"/>
    <n v="632"/>
    <s v="D2"/>
    <s v="03"/>
    <s v="07"/>
    <x v="26"/>
    <n v="6"/>
    <n v="27"/>
    <x v="1"/>
    <x v="1"/>
    <x v="1"/>
    <n v="50"/>
    <s v="ST"/>
  </r>
  <r>
    <s v=".1~633"/>
    <n v="633"/>
    <s v="D2"/>
    <s v="03"/>
    <s v="07"/>
    <x v="26"/>
    <n v="6"/>
    <n v="27"/>
    <x v="1"/>
    <x v="2"/>
    <x v="2"/>
    <n v="98"/>
    <s v="ST"/>
  </r>
  <r>
    <s v=".1~634"/>
    <n v="634"/>
    <s v="D2"/>
    <s v="03"/>
    <s v="07"/>
    <x v="26"/>
    <n v="6"/>
    <n v="27"/>
    <x v="1"/>
    <x v="3"/>
    <x v="3"/>
    <n v="40"/>
    <s v="ST"/>
  </r>
  <r>
    <s v=".1~635"/>
    <n v="635"/>
    <s v="D2"/>
    <s v="03"/>
    <s v="07"/>
    <x v="26"/>
    <n v="6"/>
    <n v="27"/>
    <x v="1"/>
    <x v="4"/>
    <x v="4"/>
    <n v="60"/>
    <s v="ST"/>
  </r>
  <r>
    <s v=".1~636"/>
    <n v="636"/>
    <s v="D2"/>
    <s v="03"/>
    <s v="07"/>
    <x v="26"/>
    <n v="6"/>
    <n v="27"/>
    <x v="1"/>
    <x v="5"/>
    <x v="5"/>
    <n v="14"/>
    <s v="ST"/>
  </r>
  <r>
    <s v=".1~637"/>
    <n v="637"/>
    <s v="D2"/>
    <s v="03"/>
    <s v="07"/>
    <x v="26"/>
    <n v="6"/>
    <n v="27"/>
    <x v="2"/>
    <x v="0"/>
    <x v="0"/>
    <n v="73"/>
    <s v="ST"/>
  </r>
  <r>
    <s v=".1~638"/>
    <n v="638"/>
    <s v="D2"/>
    <s v="03"/>
    <s v="07"/>
    <x v="26"/>
    <n v="6"/>
    <n v="27"/>
    <x v="2"/>
    <x v="1"/>
    <x v="1"/>
    <n v="40"/>
    <s v="ST"/>
  </r>
  <r>
    <s v=".1~639"/>
    <n v="639"/>
    <s v="D2"/>
    <s v="03"/>
    <s v="07"/>
    <x v="26"/>
    <n v="6"/>
    <n v="27"/>
    <x v="2"/>
    <x v="2"/>
    <x v="2"/>
    <n v="175"/>
    <s v="ST"/>
  </r>
  <r>
    <s v=".1~640"/>
    <n v="640"/>
    <s v="D2"/>
    <s v="03"/>
    <s v="07"/>
    <x v="26"/>
    <n v="6"/>
    <n v="27"/>
    <x v="2"/>
    <x v="3"/>
    <x v="3"/>
    <n v="40"/>
    <s v="ST"/>
  </r>
  <r>
    <s v=".1~641"/>
    <n v="641"/>
    <s v="D2"/>
    <s v="03"/>
    <s v="07"/>
    <x v="26"/>
    <n v="6"/>
    <n v="27"/>
    <x v="2"/>
    <x v="4"/>
    <x v="4"/>
    <n v="70"/>
    <s v="ST"/>
  </r>
  <r>
    <s v=".1~642"/>
    <n v="642"/>
    <s v="D2"/>
    <s v="03"/>
    <s v="07"/>
    <x v="26"/>
    <n v="6"/>
    <n v="27"/>
    <x v="2"/>
    <x v="5"/>
    <x v="5"/>
    <n v="40"/>
    <s v="ST"/>
  </r>
  <r>
    <s v=".1~643"/>
    <n v="643"/>
    <s v="D2"/>
    <s v="03"/>
    <s v="07"/>
    <x v="26"/>
    <n v="6"/>
    <n v="27"/>
    <x v="3"/>
    <x v="0"/>
    <x v="0"/>
    <n v="75"/>
    <s v="ST"/>
  </r>
  <r>
    <s v=".1~644"/>
    <n v="644"/>
    <s v="D2"/>
    <s v="03"/>
    <s v="07"/>
    <x v="26"/>
    <n v="6"/>
    <n v="27"/>
    <x v="3"/>
    <x v="1"/>
    <x v="1"/>
    <n v="40"/>
    <s v="ST"/>
  </r>
  <r>
    <s v=".1~645"/>
    <n v="645"/>
    <s v="D2"/>
    <s v="03"/>
    <s v="07"/>
    <x v="26"/>
    <n v="6"/>
    <n v="27"/>
    <x v="3"/>
    <x v="2"/>
    <x v="2"/>
    <n v="75"/>
    <s v="ST"/>
  </r>
  <r>
    <s v=".1~646"/>
    <n v="646"/>
    <s v="D2"/>
    <s v="03"/>
    <s v="07"/>
    <x v="26"/>
    <n v="6"/>
    <n v="27"/>
    <x v="3"/>
    <x v="3"/>
    <x v="3"/>
    <n v="100"/>
    <s v="ST"/>
  </r>
  <r>
    <s v=".1~647"/>
    <n v="647"/>
    <s v="D2"/>
    <s v="03"/>
    <s v="07"/>
    <x v="26"/>
    <n v="6"/>
    <n v="27"/>
    <x v="3"/>
    <x v="4"/>
    <x v="4"/>
    <n v="40"/>
    <s v="ST"/>
  </r>
  <r>
    <s v=".1~648"/>
    <n v="648"/>
    <s v="D2"/>
    <s v="03"/>
    <s v="07"/>
    <x v="26"/>
    <n v="6"/>
    <n v="27"/>
    <x v="3"/>
    <x v="5"/>
    <x v="5"/>
    <n v="40"/>
    <s v="ST"/>
  </r>
  <r>
    <s v=".1~649"/>
    <n v="649"/>
    <s v="D2"/>
    <s v="03"/>
    <s v="08"/>
    <x v="27"/>
    <n v="6"/>
    <n v="28"/>
    <x v="0"/>
    <x v="0"/>
    <x v="0"/>
    <n v="708"/>
    <s v="ST"/>
  </r>
  <r>
    <s v=".1~650"/>
    <n v="650"/>
    <s v="D2"/>
    <s v="03"/>
    <s v="08"/>
    <x v="27"/>
    <n v="6"/>
    <n v="28"/>
    <x v="0"/>
    <x v="1"/>
    <x v="1"/>
    <n v="273"/>
    <s v="ST"/>
  </r>
  <r>
    <s v=".1~651"/>
    <n v="651"/>
    <s v="D2"/>
    <s v="03"/>
    <s v="08"/>
    <x v="27"/>
    <n v="6"/>
    <n v="28"/>
    <x v="0"/>
    <x v="2"/>
    <x v="2"/>
    <n v="748"/>
    <s v="ST"/>
  </r>
  <r>
    <s v=".1~652"/>
    <n v="652"/>
    <s v="D2"/>
    <s v="03"/>
    <s v="08"/>
    <x v="27"/>
    <n v="6"/>
    <n v="28"/>
    <x v="0"/>
    <x v="3"/>
    <x v="3"/>
    <n v="145"/>
    <s v="ST"/>
  </r>
  <r>
    <s v=".1~653"/>
    <n v="653"/>
    <s v="D2"/>
    <s v="03"/>
    <s v="08"/>
    <x v="27"/>
    <n v="6"/>
    <n v="28"/>
    <x v="0"/>
    <x v="4"/>
    <x v="4"/>
    <n v="280"/>
    <s v="ST"/>
  </r>
  <r>
    <s v=".1~654"/>
    <n v="654"/>
    <s v="D2"/>
    <s v="03"/>
    <s v="08"/>
    <x v="27"/>
    <n v="6"/>
    <n v="28"/>
    <x v="0"/>
    <x v="5"/>
    <x v="5"/>
    <n v="314"/>
    <s v="ST"/>
  </r>
  <r>
    <s v=".1~655"/>
    <n v="655"/>
    <s v="D2"/>
    <s v="03"/>
    <s v="08"/>
    <x v="27"/>
    <n v="6"/>
    <n v="28"/>
    <x v="1"/>
    <x v="0"/>
    <x v="0"/>
    <n v="79"/>
    <s v="ST"/>
  </r>
  <r>
    <s v=".1~656"/>
    <n v="656"/>
    <s v="D2"/>
    <s v="03"/>
    <s v="08"/>
    <x v="27"/>
    <n v="6"/>
    <n v="28"/>
    <x v="1"/>
    <x v="1"/>
    <x v="1"/>
    <n v="29"/>
    <s v="ST"/>
  </r>
  <r>
    <s v=".1~657"/>
    <n v="657"/>
    <s v="D2"/>
    <s v="03"/>
    <s v="08"/>
    <x v="27"/>
    <n v="6"/>
    <n v="28"/>
    <x v="1"/>
    <x v="2"/>
    <x v="2"/>
    <n v="96"/>
    <s v="ST"/>
  </r>
  <r>
    <s v=".1~658"/>
    <n v="658"/>
    <s v="D2"/>
    <s v="03"/>
    <s v="08"/>
    <x v="27"/>
    <n v="6"/>
    <n v="28"/>
    <x v="1"/>
    <x v="3"/>
    <x v="3"/>
    <n v="40"/>
    <s v="ST"/>
  </r>
  <r>
    <s v=".1~659"/>
    <n v="659"/>
    <s v="D2"/>
    <s v="03"/>
    <s v="08"/>
    <x v="27"/>
    <n v="6"/>
    <n v="28"/>
    <x v="1"/>
    <x v="4"/>
    <x v="4"/>
    <n v="60"/>
    <s v="ST"/>
  </r>
  <r>
    <s v=".1~660"/>
    <n v="660"/>
    <s v="D2"/>
    <s v="03"/>
    <s v="08"/>
    <x v="27"/>
    <n v="6"/>
    <n v="28"/>
    <x v="1"/>
    <x v="5"/>
    <x v="5"/>
    <n v="60"/>
    <s v="ST"/>
  </r>
  <r>
    <s v=".1~661"/>
    <n v="661"/>
    <s v="D2"/>
    <s v="03"/>
    <s v="08"/>
    <x v="27"/>
    <n v="6"/>
    <n v="28"/>
    <x v="2"/>
    <x v="0"/>
    <x v="0"/>
    <n v="100"/>
    <s v="ST"/>
  </r>
  <r>
    <s v=".1~662"/>
    <n v="662"/>
    <s v="D2"/>
    <s v="03"/>
    <s v="08"/>
    <x v="27"/>
    <n v="6"/>
    <n v="28"/>
    <x v="2"/>
    <x v="1"/>
    <x v="1"/>
    <n v="40"/>
    <s v="ST"/>
  </r>
  <r>
    <s v=".1~663"/>
    <n v="663"/>
    <s v="D2"/>
    <s v="03"/>
    <s v="08"/>
    <x v="27"/>
    <n v="6"/>
    <n v="28"/>
    <x v="2"/>
    <x v="2"/>
    <x v="2"/>
    <n v="66"/>
    <s v="ST"/>
  </r>
  <r>
    <s v=".1~664"/>
    <n v="664"/>
    <s v="D2"/>
    <s v="03"/>
    <s v="08"/>
    <x v="27"/>
    <n v="6"/>
    <n v="28"/>
    <x v="2"/>
    <x v="3"/>
    <x v="3"/>
    <n v="40"/>
    <s v="ST"/>
  </r>
  <r>
    <s v=".1~665"/>
    <n v="665"/>
    <s v="D2"/>
    <s v="03"/>
    <s v="08"/>
    <x v="27"/>
    <n v="6"/>
    <n v="28"/>
    <x v="2"/>
    <x v="4"/>
    <x v="4"/>
    <n v="14"/>
    <s v="ST"/>
  </r>
  <r>
    <s v=".1~666"/>
    <n v="666"/>
    <s v="D2"/>
    <s v="03"/>
    <s v="08"/>
    <x v="27"/>
    <n v="6"/>
    <n v="28"/>
    <x v="2"/>
    <x v="5"/>
    <x v="5"/>
    <n v="40"/>
    <s v="ST"/>
  </r>
  <r>
    <s v=".1~667"/>
    <n v="667"/>
    <s v="D2"/>
    <s v="03"/>
    <s v="08"/>
    <x v="27"/>
    <n v="6"/>
    <n v="28"/>
    <x v="3"/>
    <x v="0"/>
    <x v="0"/>
    <n v="75"/>
    <s v="ST"/>
  </r>
  <r>
    <s v=".1~668"/>
    <n v="668"/>
    <s v="D2"/>
    <s v="03"/>
    <s v="08"/>
    <x v="27"/>
    <n v="6"/>
    <n v="28"/>
    <x v="3"/>
    <x v="1"/>
    <x v="1"/>
    <n v="40"/>
    <s v="ST"/>
  </r>
  <r>
    <s v=".1~669"/>
    <n v="669"/>
    <s v="D2"/>
    <s v="03"/>
    <s v="08"/>
    <x v="27"/>
    <n v="6"/>
    <n v="28"/>
    <x v="3"/>
    <x v="2"/>
    <x v="2"/>
    <n v="75"/>
    <s v="ST"/>
  </r>
  <r>
    <s v=".1~670"/>
    <n v="670"/>
    <s v="D2"/>
    <s v="03"/>
    <s v="08"/>
    <x v="27"/>
    <n v="6"/>
    <n v="28"/>
    <x v="3"/>
    <x v="3"/>
    <x v="3"/>
    <n v="100"/>
    <s v="ST"/>
  </r>
  <r>
    <s v=".1~671"/>
    <n v="671"/>
    <s v="D2"/>
    <s v="03"/>
    <s v="08"/>
    <x v="27"/>
    <n v="6"/>
    <n v="28"/>
    <x v="3"/>
    <x v="4"/>
    <x v="4"/>
    <n v="40"/>
    <s v="ST"/>
  </r>
  <r>
    <s v=".1~672"/>
    <n v="672"/>
    <s v="D2"/>
    <s v="03"/>
    <s v="08"/>
    <x v="27"/>
    <n v="6"/>
    <n v="28"/>
    <x v="3"/>
    <x v="5"/>
    <x v="5"/>
    <n v="40"/>
    <s v="ST"/>
  </r>
  <r>
    <s v=".1~673"/>
    <n v="673"/>
    <s v="D2"/>
    <s v="03"/>
    <s v="09"/>
    <x v="28"/>
    <n v="6"/>
    <n v="29"/>
    <x v="0"/>
    <x v="0"/>
    <x v="0"/>
    <n v="567"/>
    <s v="ST"/>
  </r>
  <r>
    <s v=".1~674"/>
    <n v="674"/>
    <s v="D2"/>
    <s v="03"/>
    <s v="09"/>
    <x v="28"/>
    <n v="6"/>
    <n v="29"/>
    <x v="0"/>
    <x v="1"/>
    <x v="1"/>
    <n v="252"/>
    <s v="ST"/>
  </r>
  <r>
    <s v=".1~675"/>
    <n v="675"/>
    <s v="D2"/>
    <s v="03"/>
    <s v="09"/>
    <x v="28"/>
    <n v="6"/>
    <n v="29"/>
    <x v="0"/>
    <x v="2"/>
    <x v="2"/>
    <n v="585"/>
    <s v="ST"/>
  </r>
  <r>
    <s v=".1~676"/>
    <n v="676"/>
    <s v="D2"/>
    <s v="03"/>
    <s v="09"/>
    <x v="28"/>
    <n v="6"/>
    <n v="29"/>
    <x v="0"/>
    <x v="3"/>
    <x v="3"/>
    <n v="145"/>
    <s v="ST"/>
  </r>
  <r>
    <s v=".1~677"/>
    <n v="677"/>
    <s v="D2"/>
    <s v="03"/>
    <s v="09"/>
    <x v="28"/>
    <n v="6"/>
    <n v="29"/>
    <x v="0"/>
    <x v="4"/>
    <x v="4"/>
    <n v="224"/>
    <s v="ST"/>
  </r>
  <r>
    <s v=".1~678"/>
    <n v="678"/>
    <s v="D2"/>
    <s v="03"/>
    <s v="09"/>
    <x v="28"/>
    <n v="6"/>
    <n v="29"/>
    <x v="0"/>
    <x v="5"/>
    <x v="5"/>
    <n v="314"/>
    <s v="ST"/>
  </r>
  <r>
    <s v=".1~679"/>
    <n v="679"/>
    <s v="D2"/>
    <s v="03"/>
    <s v="09"/>
    <x v="28"/>
    <n v="6"/>
    <n v="29"/>
    <x v="1"/>
    <x v="0"/>
    <x v="0"/>
    <n v="149"/>
    <s v="ST"/>
  </r>
  <r>
    <s v=".1~680"/>
    <n v="680"/>
    <s v="D2"/>
    <s v="03"/>
    <s v="09"/>
    <x v="28"/>
    <n v="6"/>
    <n v="29"/>
    <x v="1"/>
    <x v="1"/>
    <x v="1"/>
    <n v="50"/>
    <s v="ST"/>
  </r>
  <r>
    <s v=".1~681"/>
    <n v="681"/>
    <s v="D2"/>
    <s v="03"/>
    <s v="09"/>
    <x v="28"/>
    <n v="6"/>
    <n v="29"/>
    <x v="1"/>
    <x v="2"/>
    <x v="2"/>
    <n v="150"/>
    <s v="ST"/>
  </r>
  <r>
    <s v=".1~682"/>
    <n v="682"/>
    <s v="D2"/>
    <s v="03"/>
    <s v="09"/>
    <x v="28"/>
    <n v="6"/>
    <n v="29"/>
    <x v="1"/>
    <x v="3"/>
    <x v="3"/>
    <n v="40"/>
    <s v="ST"/>
  </r>
  <r>
    <s v=".1~683"/>
    <n v="683"/>
    <s v="D2"/>
    <s v="03"/>
    <s v="09"/>
    <x v="28"/>
    <n v="6"/>
    <n v="29"/>
    <x v="1"/>
    <x v="4"/>
    <x v="4"/>
    <n v="60"/>
    <s v="ST"/>
  </r>
  <r>
    <s v=".1~684"/>
    <n v="684"/>
    <s v="D2"/>
    <s v="03"/>
    <s v="09"/>
    <x v="28"/>
    <n v="6"/>
    <n v="29"/>
    <x v="1"/>
    <x v="5"/>
    <x v="5"/>
    <n v="60"/>
    <s v="ST"/>
  </r>
  <r>
    <s v=".1~685"/>
    <n v="685"/>
    <s v="D2"/>
    <s v="03"/>
    <s v="09"/>
    <x v="28"/>
    <n v="6"/>
    <n v="29"/>
    <x v="2"/>
    <x v="0"/>
    <x v="0"/>
    <n v="39"/>
    <s v="ST"/>
  </r>
  <r>
    <s v=".1~686"/>
    <n v="686"/>
    <s v="D2"/>
    <s v="03"/>
    <s v="09"/>
    <x v="28"/>
    <n v="6"/>
    <n v="29"/>
    <x v="2"/>
    <x v="1"/>
    <x v="1"/>
    <n v="11"/>
    <s v="ST"/>
  </r>
  <r>
    <s v=".1~687"/>
    <n v="687"/>
    <s v="D2"/>
    <s v="03"/>
    <s v="09"/>
    <x v="28"/>
    <n v="6"/>
    <n v="29"/>
    <x v="2"/>
    <x v="2"/>
    <x v="2"/>
    <n v="109"/>
    <s v="ST"/>
  </r>
  <r>
    <s v=".1~688"/>
    <n v="688"/>
    <s v="D2"/>
    <s v="03"/>
    <s v="09"/>
    <x v="28"/>
    <n v="6"/>
    <n v="29"/>
    <x v="2"/>
    <x v="3"/>
    <x v="3"/>
    <n v="40"/>
    <s v="ST"/>
  </r>
  <r>
    <s v=".1~689"/>
    <n v="689"/>
    <s v="D2"/>
    <s v="03"/>
    <s v="09"/>
    <x v="28"/>
    <n v="6"/>
    <n v="29"/>
    <x v="2"/>
    <x v="4"/>
    <x v="4"/>
    <n v="56"/>
    <s v="ST"/>
  </r>
  <r>
    <s v=".1~690"/>
    <n v="690"/>
    <s v="D2"/>
    <s v="03"/>
    <s v="09"/>
    <x v="28"/>
    <n v="6"/>
    <n v="29"/>
    <x v="2"/>
    <x v="5"/>
    <x v="5"/>
    <n v="0"/>
    <s v="ST"/>
  </r>
  <r>
    <s v=".1~691"/>
    <n v="691"/>
    <s v="D2"/>
    <s v="03"/>
    <s v="09"/>
    <x v="28"/>
    <n v="6"/>
    <n v="29"/>
    <x v="3"/>
    <x v="0"/>
    <x v="0"/>
    <n v="19"/>
    <s v="ST"/>
  </r>
  <r>
    <s v=".1~692"/>
    <n v="692"/>
    <s v="D2"/>
    <s v="03"/>
    <s v="09"/>
    <x v="28"/>
    <n v="6"/>
    <n v="29"/>
    <x v="3"/>
    <x v="1"/>
    <x v="1"/>
    <n v="40"/>
    <s v="ST"/>
  </r>
  <r>
    <s v=".1~693"/>
    <n v="693"/>
    <s v="D2"/>
    <s v="03"/>
    <s v="09"/>
    <x v="28"/>
    <n v="6"/>
    <n v="29"/>
    <x v="3"/>
    <x v="2"/>
    <x v="2"/>
    <n v="75"/>
    <s v="ST"/>
  </r>
  <r>
    <s v=".1~694"/>
    <n v="694"/>
    <s v="D2"/>
    <s v="03"/>
    <s v="09"/>
    <x v="28"/>
    <n v="6"/>
    <n v="29"/>
    <x v="3"/>
    <x v="3"/>
    <x v="3"/>
    <n v="100"/>
    <s v="ST"/>
  </r>
  <r>
    <s v=".1~695"/>
    <n v="695"/>
    <s v="D2"/>
    <s v="03"/>
    <s v="09"/>
    <x v="28"/>
    <n v="6"/>
    <n v="29"/>
    <x v="3"/>
    <x v="4"/>
    <x v="4"/>
    <n v="40"/>
    <s v="ST"/>
  </r>
  <r>
    <s v=".1~696"/>
    <n v="696"/>
    <s v="D2"/>
    <s v="03"/>
    <s v="09"/>
    <x v="28"/>
    <n v="6"/>
    <n v="29"/>
    <x v="3"/>
    <x v="5"/>
    <x v="5"/>
    <n v="40"/>
    <s v="ST"/>
  </r>
  <r>
    <s v=".1~697"/>
    <n v="697"/>
    <s v="D2"/>
    <s v="03"/>
    <s v="10"/>
    <x v="29"/>
    <n v="6"/>
    <n v="30"/>
    <x v="0"/>
    <x v="0"/>
    <x v="0"/>
    <n v="379"/>
    <s v="ST"/>
  </r>
  <r>
    <s v=".1~698"/>
    <n v="698"/>
    <s v="D2"/>
    <s v="03"/>
    <s v="10"/>
    <x v="29"/>
    <n v="6"/>
    <n v="30"/>
    <x v="0"/>
    <x v="1"/>
    <x v="1"/>
    <n v="223"/>
    <s v="ST"/>
  </r>
  <r>
    <s v=".1~699"/>
    <n v="699"/>
    <s v="D2"/>
    <s v="03"/>
    <s v="10"/>
    <x v="29"/>
    <n v="6"/>
    <n v="30"/>
    <x v="0"/>
    <x v="2"/>
    <x v="2"/>
    <n v="519"/>
    <s v="ST"/>
  </r>
  <r>
    <s v=".1~700"/>
    <n v="700"/>
    <s v="D2"/>
    <s v="03"/>
    <s v="10"/>
    <x v="29"/>
    <n v="6"/>
    <n v="30"/>
    <x v="0"/>
    <x v="3"/>
    <x v="3"/>
    <n v="145"/>
    <s v="ST"/>
  </r>
  <r>
    <s v=".1~701"/>
    <n v="701"/>
    <s v="D2"/>
    <s v="03"/>
    <s v="10"/>
    <x v="29"/>
    <n v="6"/>
    <n v="30"/>
    <x v="0"/>
    <x v="4"/>
    <x v="4"/>
    <n v="210"/>
    <s v="ST"/>
  </r>
  <r>
    <s v=".1~702"/>
    <n v="702"/>
    <s v="D2"/>
    <s v="03"/>
    <s v="10"/>
    <x v="29"/>
    <n v="6"/>
    <n v="30"/>
    <x v="0"/>
    <x v="5"/>
    <x v="5"/>
    <n v="274"/>
    <s v="ST"/>
  </r>
  <r>
    <s v=".1~703"/>
    <n v="703"/>
    <s v="D2"/>
    <s v="03"/>
    <s v="10"/>
    <x v="29"/>
    <n v="6"/>
    <n v="30"/>
    <x v="1"/>
    <x v="0"/>
    <x v="0"/>
    <n v="145"/>
    <s v="ST"/>
  </r>
  <r>
    <s v=".1~704"/>
    <n v="704"/>
    <s v="D2"/>
    <s v="03"/>
    <s v="10"/>
    <x v="29"/>
    <n v="6"/>
    <n v="30"/>
    <x v="1"/>
    <x v="1"/>
    <x v="1"/>
    <n v="50"/>
    <s v="ST"/>
  </r>
  <r>
    <s v=".1~705"/>
    <n v="705"/>
    <s v="D2"/>
    <s v="03"/>
    <s v="10"/>
    <x v="29"/>
    <n v="6"/>
    <n v="30"/>
    <x v="1"/>
    <x v="2"/>
    <x v="2"/>
    <n v="100"/>
    <s v="ST"/>
  </r>
  <r>
    <s v=".1~706"/>
    <n v="706"/>
    <s v="D2"/>
    <s v="03"/>
    <s v="10"/>
    <x v="29"/>
    <n v="6"/>
    <n v="30"/>
    <x v="1"/>
    <x v="3"/>
    <x v="3"/>
    <n v="22"/>
    <s v="ST"/>
  </r>
  <r>
    <s v=".1~707"/>
    <n v="707"/>
    <s v="D2"/>
    <s v="03"/>
    <s v="10"/>
    <x v="29"/>
    <n v="6"/>
    <n v="30"/>
    <x v="1"/>
    <x v="4"/>
    <x v="4"/>
    <n v="31"/>
    <s v="ST"/>
  </r>
  <r>
    <s v=".1~708"/>
    <n v="708"/>
    <s v="D2"/>
    <s v="03"/>
    <s v="10"/>
    <x v="29"/>
    <n v="6"/>
    <n v="30"/>
    <x v="1"/>
    <x v="5"/>
    <x v="5"/>
    <n v="60"/>
    <s v="ST"/>
  </r>
  <r>
    <s v=".1~709"/>
    <n v="709"/>
    <s v="D2"/>
    <s v="03"/>
    <s v="10"/>
    <x v="29"/>
    <n v="6"/>
    <n v="30"/>
    <x v="2"/>
    <x v="0"/>
    <x v="0"/>
    <n v="61"/>
    <s v="ST"/>
  </r>
  <r>
    <s v=".1~710"/>
    <n v="710"/>
    <s v="D2"/>
    <s v="03"/>
    <s v="10"/>
    <x v="29"/>
    <n v="6"/>
    <n v="30"/>
    <x v="2"/>
    <x v="1"/>
    <x v="1"/>
    <n v="40"/>
    <s v="ST"/>
  </r>
  <r>
    <s v=".1~711"/>
    <n v="711"/>
    <s v="D2"/>
    <s v="03"/>
    <s v="10"/>
    <x v="29"/>
    <n v="6"/>
    <n v="30"/>
    <x v="2"/>
    <x v="2"/>
    <x v="2"/>
    <n v="66"/>
    <s v="ST"/>
  </r>
  <r>
    <s v=".1~712"/>
    <n v="712"/>
    <s v="D2"/>
    <s v="03"/>
    <s v="10"/>
    <x v="29"/>
    <n v="6"/>
    <n v="30"/>
    <x v="2"/>
    <x v="3"/>
    <x v="3"/>
    <n v="40"/>
    <s v="ST"/>
  </r>
  <r>
    <s v=".1~713"/>
    <n v="713"/>
    <s v="D2"/>
    <s v="03"/>
    <s v="10"/>
    <x v="29"/>
    <n v="6"/>
    <n v="30"/>
    <x v="2"/>
    <x v="4"/>
    <x v="4"/>
    <n v="14"/>
    <s v="ST"/>
  </r>
  <r>
    <s v=".1~714"/>
    <n v="714"/>
    <s v="D2"/>
    <s v="03"/>
    <s v="10"/>
    <x v="29"/>
    <n v="6"/>
    <n v="30"/>
    <x v="2"/>
    <x v="5"/>
    <x v="5"/>
    <n v="40"/>
    <s v="ST"/>
  </r>
  <r>
    <s v=".1~715"/>
    <n v="715"/>
    <s v="D2"/>
    <s v="03"/>
    <s v="10"/>
    <x v="29"/>
    <n v="6"/>
    <n v="30"/>
    <x v="3"/>
    <x v="0"/>
    <x v="0"/>
    <n v="75"/>
    <s v="ST"/>
  </r>
  <r>
    <s v=".1~716"/>
    <n v="716"/>
    <s v="D2"/>
    <s v="03"/>
    <s v="10"/>
    <x v="29"/>
    <n v="6"/>
    <n v="30"/>
    <x v="3"/>
    <x v="1"/>
    <x v="1"/>
    <n v="40"/>
    <s v="ST"/>
  </r>
  <r>
    <s v=".1~717"/>
    <n v="717"/>
    <s v="D2"/>
    <s v="03"/>
    <s v="10"/>
    <x v="29"/>
    <n v="6"/>
    <n v="30"/>
    <x v="3"/>
    <x v="2"/>
    <x v="2"/>
    <n v="75"/>
    <s v="ST"/>
  </r>
  <r>
    <s v=".1~718"/>
    <n v="718"/>
    <s v="D2"/>
    <s v="03"/>
    <s v="10"/>
    <x v="29"/>
    <n v="6"/>
    <n v="30"/>
    <x v="3"/>
    <x v="3"/>
    <x v="3"/>
    <n v="78"/>
    <s v="ST"/>
  </r>
  <r>
    <s v=".1~719"/>
    <n v="719"/>
    <s v="D2"/>
    <s v="03"/>
    <s v="10"/>
    <x v="29"/>
    <n v="6"/>
    <n v="30"/>
    <x v="3"/>
    <x v="4"/>
    <x v="4"/>
    <n v="40"/>
    <s v="ST"/>
  </r>
  <r>
    <s v=".1~720"/>
    <n v="720"/>
    <s v="D2"/>
    <s v="03"/>
    <s v="10"/>
    <x v="29"/>
    <n v="6"/>
    <n v="30"/>
    <x v="3"/>
    <x v="5"/>
    <x v="5"/>
    <n v="40"/>
    <s v="ST"/>
  </r>
  <r>
    <s v=".1~721"/>
    <n v="721"/>
    <s v="D2"/>
    <s v="04"/>
    <s v="01"/>
    <x v="30"/>
    <n v="7"/>
    <n v="31"/>
    <x v="0"/>
    <x v="0"/>
    <x v="0"/>
    <n v="265"/>
    <s v="ST"/>
  </r>
  <r>
    <s v=".1~722"/>
    <n v="722"/>
    <s v="D2"/>
    <s v="04"/>
    <s v="01"/>
    <x v="30"/>
    <n v="7"/>
    <n v="31"/>
    <x v="0"/>
    <x v="1"/>
    <x v="1"/>
    <n v="223"/>
    <s v="ST"/>
  </r>
  <r>
    <s v=".1~723"/>
    <n v="723"/>
    <s v="D2"/>
    <s v="04"/>
    <s v="01"/>
    <x v="30"/>
    <n v="7"/>
    <n v="31"/>
    <x v="0"/>
    <x v="2"/>
    <x v="2"/>
    <n v="360"/>
    <s v="ST"/>
  </r>
  <r>
    <s v=".1~724"/>
    <n v="724"/>
    <s v="D2"/>
    <s v="04"/>
    <s v="01"/>
    <x v="30"/>
    <n v="7"/>
    <n v="31"/>
    <x v="0"/>
    <x v="3"/>
    <x v="3"/>
    <n v="105"/>
    <s v="ST"/>
  </r>
  <r>
    <s v=".1~725"/>
    <n v="725"/>
    <s v="D2"/>
    <s v="04"/>
    <s v="01"/>
    <x v="30"/>
    <n v="7"/>
    <n v="31"/>
    <x v="0"/>
    <x v="4"/>
    <x v="4"/>
    <n v="125"/>
    <s v="ST"/>
  </r>
  <r>
    <s v=".1~726"/>
    <n v="726"/>
    <s v="D2"/>
    <s v="04"/>
    <s v="01"/>
    <x v="30"/>
    <n v="7"/>
    <n v="31"/>
    <x v="0"/>
    <x v="5"/>
    <x v="5"/>
    <n v="274"/>
    <s v="ST"/>
  </r>
  <r>
    <s v=".1~727"/>
    <n v="727"/>
    <s v="D2"/>
    <s v="04"/>
    <s v="01"/>
    <x v="30"/>
    <n v="7"/>
    <n v="31"/>
    <x v="1"/>
    <x v="0"/>
    <x v="0"/>
    <n v="79"/>
    <s v="ST"/>
  </r>
  <r>
    <s v=".1~728"/>
    <n v="728"/>
    <s v="D2"/>
    <s v="04"/>
    <s v="01"/>
    <x v="30"/>
    <n v="7"/>
    <n v="31"/>
    <x v="1"/>
    <x v="1"/>
    <x v="1"/>
    <n v="27"/>
    <s v="ST"/>
  </r>
  <r>
    <s v=".1~729"/>
    <n v="729"/>
    <s v="D2"/>
    <s v="04"/>
    <s v="01"/>
    <x v="30"/>
    <n v="7"/>
    <n v="31"/>
    <x v="1"/>
    <x v="2"/>
    <x v="2"/>
    <n v="150"/>
    <s v="ST"/>
  </r>
  <r>
    <s v=".1~730"/>
    <n v="730"/>
    <s v="D2"/>
    <s v="04"/>
    <s v="01"/>
    <x v="30"/>
    <n v="7"/>
    <n v="31"/>
    <x v="1"/>
    <x v="3"/>
    <x v="3"/>
    <n v="40"/>
    <s v="ST"/>
  </r>
  <r>
    <s v=".1~731"/>
    <n v="731"/>
    <s v="D2"/>
    <s v="04"/>
    <s v="01"/>
    <x v="30"/>
    <n v="7"/>
    <n v="31"/>
    <x v="1"/>
    <x v="4"/>
    <x v="4"/>
    <n v="60"/>
    <s v="ST"/>
  </r>
  <r>
    <s v=".1~732"/>
    <n v="732"/>
    <s v="D2"/>
    <s v="04"/>
    <s v="01"/>
    <x v="30"/>
    <n v="7"/>
    <n v="31"/>
    <x v="1"/>
    <x v="5"/>
    <x v="5"/>
    <n v="19"/>
    <s v="ST"/>
  </r>
  <r>
    <s v=".1~733"/>
    <n v="733"/>
    <s v="D2"/>
    <s v="04"/>
    <s v="01"/>
    <x v="30"/>
    <n v="7"/>
    <n v="31"/>
    <x v="2"/>
    <x v="0"/>
    <x v="0"/>
    <n v="100"/>
    <s v="ST"/>
  </r>
  <r>
    <s v=".1~734"/>
    <n v="734"/>
    <s v="D2"/>
    <s v="04"/>
    <s v="01"/>
    <x v="30"/>
    <n v="7"/>
    <n v="31"/>
    <x v="2"/>
    <x v="1"/>
    <x v="1"/>
    <n v="40"/>
    <s v="ST"/>
  </r>
  <r>
    <s v=".1~735"/>
    <n v="735"/>
    <s v="D2"/>
    <s v="04"/>
    <s v="01"/>
    <x v="30"/>
    <n v="7"/>
    <n v="31"/>
    <x v="2"/>
    <x v="2"/>
    <x v="2"/>
    <n v="123"/>
    <s v="ST"/>
  </r>
  <r>
    <s v=".1~736"/>
    <n v="736"/>
    <s v="D2"/>
    <s v="04"/>
    <s v="01"/>
    <x v="30"/>
    <n v="7"/>
    <n v="31"/>
    <x v="2"/>
    <x v="3"/>
    <x v="3"/>
    <n v="40"/>
    <s v="ST"/>
  </r>
  <r>
    <s v=".1~737"/>
    <n v="737"/>
    <s v="D2"/>
    <s v="04"/>
    <s v="01"/>
    <x v="30"/>
    <n v="7"/>
    <n v="31"/>
    <x v="2"/>
    <x v="4"/>
    <x v="4"/>
    <n v="56"/>
    <s v="ST"/>
  </r>
  <r>
    <s v=".1~738"/>
    <n v="738"/>
    <s v="D2"/>
    <s v="04"/>
    <s v="01"/>
    <x v="30"/>
    <n v="7"/>
    <n v="31"/>
    <x v="2"/>
    <x v="5"/>
    <x v="5"/>
    <n v="40"/>
    <s v="ST"/>
  </r>
  <r>
    <s v=".1~739"/>
    <n v="739"/>
    <s v="D2"/>
    <s v="04"/>
    <s v="01"/>
    <x v="30"/>
    <n v="7"/>
    <n v="31"/>
    <x v="3"/>
    <x v="0"/>
    <x v="0"/>
    <n v="75"/>
    <s v="ST"/>
  </r>
  <r>
    <s v=".1~740"/>
    <n v="740"/>
    <s v="D2"/>
    <s v="04"/>
    <s v="01"/>
    <x v="30"/>
    <n v="7"/>
    <n v="31"/>
    <x v="3"/>
    <x v="1"/>
    <x v="1"/>
    <n v="40"/>
    <s v="ST"/>
  </r>
  <r>
    <s v=".1~741"/>
    <n v="741"/>
    <s v="D2"/>
    <s v="04"/>
    <s v="01"/>
    <x v="30"/>
    <n v="7"/>
    <n v="31"/>
    <x v="3"/>
    <x v="2"/>
    <x v="2"/>
    <n v="75"/>
    <s v="ST"/>
  </r>
  <r>
    <s v=".1~742"/>
    <n v="742"/>
    <s v="D2"/>
    <s v="04"/>
    <s v="01"/>
    <x v="30"/>
    <n v="7"/>
    <n v="31"/>
    <x v="3"/>
    <x v="3"/>
    <x v="3"/>
    <n v="82"/>
    <s v="ST"/>
  </r>
  <r>
    <s v=".1~743"/>
    <n v="743"/>
    <s v="D2"/>
    <s v="04"/>
    <s v="01"/>
    <x v="30"/>
    <n v="7"/>
    <n v="31"/>
    <x v="3"/>
    <x v="4"/>
    <x v="4"/>
    <n v="40"/>
    <s v="ST"/>
  </r>
  <r>
    <s v=".1~744"/>
    <n v="744"/>
    <s v="D2"/>
    <s v="04"/>
    <s v="01"/>
    <x v="30"/>
    <n v="7"/>
    <n v="31"/>
    <x v="3"/>
    <x v="5"/>
    <x v="5"/>
    <n v="10"/>
    <s v="ST"/>
  </r>
  <r>
    <s v=".1~745"/>
    <n v="745"/>
    <s v="D2"/>
    <s v="04"/>
    <s v="02"/>
    <x v="31"/>
    <n v="7"/>
    <n v="32"/>
    <x v="0"/>
    <x v="0"/>
    <x v="0"/>
    <n v="49"/>
    <s v="ST"/>
  </r>
  <r>
    <s v=".1~746"/>
    <n v="746"/>
    <s v="D2"/>
    <s v="04"/>
    <s v="02"/>
    <x v="31"/>
    <n v="7"/>
    <n v="32"/>
    <x v="0"/>
    <x v="1"/>
    <x v="1"/>
    <n v="210"/>
    <s v="ST"/>
  </r>
  <r>
    <s v=".1~747"/>
    <n v="747"/>
    <s v="D2"/>
    <s v="04"/>
    <s v="02"/>
    <x v="31"/>
    <n v="7"/>
    <n v="32"/>
    <x v="0"/>
    <x v="2"/>
    <x v="2"/>
    <n v="273"/>
    <s v="ST"/>
  </r>
  <r>
    <s v=".1~748"/>
    <n v="748"/>
    <s v="D2"/>
    <s v="04"/>
    <s v="02"/>
    <x v="31"/>
    <n v="7"/>
    <n v="32"/>
    <x v="0"/>
    <x v="3"/>
    <x v="3"/>
    <n v="105"/>
    <s v="ST"/>
  </r>
  <r>
    <s v=".1~749"/>
    <n v="749"/>
    <s v="D2"/>
    <s v="04"/>
    <s v="02"/>
    <x v="31"/>
    <n v="7"/>
    <n v="32"/>
    <x v="0"/>
    <x v="4"/>
    <x v="4"/>
    <n v="106"/>
    <s v="ST"/>
  </r>
  <r>
    <s v=".1~750"/>
    <n v="750"/>
    <s v="D2"/>
    <s v="04"/>
    <s v="02"/>
    <x v="31"/>
    <n v="7"/>
    <n v="32"/>
    <x v="0"/>
    <x v="5"/>
    <x v="5"/>
    <n v="223"/>
    <s v="ST"/>
  </r>
  <r>
    <s v=".1~751"/>
    <n v="751"/>
    <s v="D2"/>
    <s v="04"/>
    <s v="02"/>
    <x v="31"/>
    <n v="7"/>
    <n v="32"/>
    <x v="1"/>
    <x v="0"/>
    <x v="0"/>
    <n v="252"/>
    <s v="ST"/>
  </r>
  <r>
    <s v=".1~752"/>
    <n v="752"/>
    <s v="D2"/>
    <s v="04"/>
    <s v="02"/>
    <x v="31"/>
    <n v="7"/>
    <n v="32"/>
    <x v="1"/>
    <x v="1"/>
    <x v="1"/>
    <n v="30"/>
    <s v="ST"/>
  </r>
  <r>
    <s v=".1~753"/>
    <n v="753"/>
    <s v="D2"/>
    <s v="04"/>
    <s v="02"/>
    <x v="31"/>
    <n v="7"/>
    <n v="32"/>
    <x v="1"/>
    <x v="2"/>
    <x v="2"/>
    <n v="20"/>
    <s v="ST"/>
  </r>
  <r>
    <s v=".1~754"/>
    <n v="754"/>
    <s v="D2"/>
    <s v="04"/>
    <s v="02"/>
    <x v="31"/>
    <n v="7"/>
    <n v="32"/>
    <x v="1"/>
    <x v="3"/>
    <x v="3"/>
    <n v="40"/>
    <s v="ST"/>
  </r>
  <r>
    <s v=".1~755"/>
    <n v="755"/>
    <s v="D2"/>
    <s v="04"/>
    <s v="02"/>
    <x v="31"/>
    <n v="7"/>
    <n v="32"/>
    <x v="1"/>
    <x v="4"/>
    <x v="4"/>
    <n v="60"/>
    <s v="ST"/>
  </r>
  <r>
    <s v=".1~756"/>
    <n v="756"/>
    <s v="D2"/>
    <s v="04"/>
    <s v="02"/>
    <x v="31"/>
    <n v="7"/>
    <n v="32"/>
    <x v="1"/>
    <x v="5"/>
    <x v="5"/>
    <n v="31"/>
    <s v="ST"/>
  </r>
  <r>
    <s v=".1~757"/>
    <n v="757"/>
    <s v="D2"/>
    <s v="04"/>
    <s v="02"/>
    <x v="31"/>
    <n v="7"/>
    <n v="32"/>
    <x v="2"/>
    <x v="0"/>
    <x v="0"/>
    <n v="43"/>
    <s v="ST"/>
  </r>
  <r>
    <s v=".1~758"/>
    <n v="758"/>
    <s v="D2"/>
    <s v="04"/>
    <s v="02"/>
    <x v="31"/>
    <n v="7"/>
    <n v="32"/>
    <x v="2"/>
    <x v="1"/>
    <x v="1"/>
    <n v="30"/>
    <s v="ST"/>
  </r>
  <r>
    <s v=".1~759"/>
    <n v="759"/>
    <s v="D2"/>
    <s v="04"/>
    <s v="02"/>
    <x v="31"/>
    <n v="7"/>
    <n v="32"/>
    <x v="2"/>
    <x v="2"/>
    <x v="2"/>
    <n v="87"/>
    <s v="ST"/>
  </r>
  <r>
    <s v=".1~760"/>
    <n v="760"/>
    <s v="D2"/>
    <s v="04"/>
    <s v="02"/>
    <x v="31"/>
    <n v="7"/>
    <n v="32"/>
    <x v="2"/>
    <x v="3"/>
    <x v="3"/>
    <n v="40"/>
    <s v="ST"/>
  </r>
  <r>
    <s v=".1~761"/>
    <n v="761"/>
    <s v="D2"/>
    <s v="04"/>
    <s v="02"/>
    <x v="31"/>
    <n v="7"/>
    <n v="32"/>
    <x v="2"/>
    <x v="4"/>
    <x v="4"/>
    <n v="19"/>
    <s v="ST"/>
  </r>
  <r>
    <s v=".1~762"/>
    <n v="762"/>
    <s v="D2"/>
    <s v="04"/>
    <s v="02"/>
    <x v="31"/>
    <n v="7"/>
    <n v="32"/>
    <x v="2"/>
    <x v="5"/>
    <x v="5"/>
    <n v="40"/>
    <s v="ST"/>
  </r>
  <r>
    <s v=".1~763"/>
    <n v="763"/>
    <s v="D2"/>
    <s v="04"/>
    <s v="02"/>
    <x v="31"/>
    <n v="7"/>
    <n v="32"/>
    <x v="3"/>
    <x v="0"/>
    <x v="0"/>
    <n v="47"/>
    <s v="ST"/>
  </r>
  <r>
    <s v=".1~764"/>
    <n v="764"/>
    <s v="D2"/>
    <s v="04"/>
    <s v="02"/>
    <x v="31"/>
    <n v="7"/>
    <n v="32"/>
    <x v="3"/>
    <x v="1"/>
    <x v="1"/>
    <n v="40"/>
    <s v="ST"/>
  </r>
  <r>
    <s v=".1~765"/>
    <n v="765"/>
    <s v="D2"/>
    <s v="04"/>
    <s v="02"/>
    <x v="31"/>
    <n v="7"/>
    <n v="32"/>
    <x v="3"/>
    <x v="2"/>
    <x v="2"/>
    <n v="0"/>
    <s v="ST"/>
  </r>
  <r>
    <s v=".1~766"/>
    <n v="766"/>
    <s v="D2"/>
    <s v="04"/>
    <s v="02"/>
    <x v="31"/>
    <n v="7"/>
    <n v="32"/>
    <x v="3"/>
    <x v="3"/>
    <x v="3"/>
    <n v="35"/>
    <s v="ST"/>
  </r>
  <r>
    <s v=".1~767"/>
    <n v="767"/>
    <s v="D2"/>
    <s v="04"/>
    <s v="02"/>
    <x v="31"/>
    <n v="7"/>
    <n v="32"/>
    <x v="3"/>
    <x v="4"/>
    <x v="4"/>
    <n v="0"/>
    <s v="ST"/>
  </r>
  <r>
    <s v=".1~768"/>
    <n v="768"/>
    <s v="D2"/>
    <s v="04"/>
    <s v="02"/>
    <x v="31"/>
    <n v="7"/>
    <n v="32"/>
    <x v="3"/>
    <x v="5"/>
    <x v="5"/>
    <n v="30"/>
    <s v="ST"/>
  </r>
  <r>
    <s v=".1~769"/>
    <n v="769"/>
    <s v="D2"/>
    <s v="04"/>
    <s v="03"/>
    <x v="32"/>
    <n v="7"/>
    <n v="33"/>
    <x v="0"/>
    <x v="0"/>
    <x v="0"/>
    <n v="0"/>
    <s v="ST"/>
  </r>
  <r>
    <s v=".1~770"/>
    <n v="770"/>
    <s v="D2"/>
    <s v="04"/>
    <s v="03"/>
    <x v="32"/>
    <n v="7"/>
    <n v="33"/>
    <x v="0"/>
    <x v="1"/>
    <x v="1"/>
    <n v="190"/>
    <s v="ST"/>
  </r>
  <r>
    <s v=".1~771"/>
    <n v="771"/>
    <s v="D2"/>
    <s v="04"/>
    <s v="03"/>
    <x v="32"/>
    <n v="7"/>
    <n v="33"/>
    <x v="0"/>
    <x v="2"/>
    <x v="2"/>
    <n v="0"/>
    <s v="ST"/>
  </r>
  <r>
    <s v=".1~772"/>
    <n v="772"/>
    <s v="D2"/>
    <s v="04"/>
    <s v="03"/>
    <x v="32"/>
    <n v="7"/>
    <n v="33"/>
    <x v="0"/>
    <x v="3"/>
    <x v="3"/>
    <n v="80"/>
    <s v="ST"/>
  </r>
  <r>
    <s v=".1~773"/>
    <n v="773"/>
    <s v="D2"/>
    <s v="04"/>
    <s v="03"/>
    <x v="32"/>
    <n v="7"/>
    <n v="33"/>
    <x v="0"/>
    <x v="4"/>
    <x v="4"/>
    <n v="20"/>
    <s v="ST"/>
  </r>
  <r>
    <s v=".1~774"/>
    <n v="774"/>
    <s v="D2"/>
    <s v="04"/>
    <s v="03"/>
    <x v="32"/>
    <n v="7"/>
    <n v="33"/>
    <x v="0"/>
    <x v="5"/>
    <x v="5"/>
    <n v="204"/>
    <s v="ST"/>
  </r>
  <r>
    <s v=".1~775"/>
    <n v="775"/>
    <s v="D2"/>
    <s v="04"/>
    <s v="03"/>
    <x v="32"/>
    <n v="7"/>
    <n v="33"/>
    <x v="1"/>
    <x v="0"/>
    <x v="0"/>
    <n v="137"/>
    <s v="ST"/>
  </r>
  <r>
    <s v=".1~776"/>
    <n v="776"/>
    <s v="D2"/>
    <s v="04"/>
    <s v="03"/>
    <x v="32"/>
    <n v="7"/>
    <n v="33"/>
    <x v="1"/>
    <x v="1"/>
    <x v="1"/>
    <n v="30"/>
    <s v="ST"/>
  </r>
  <r>
    <s v=".1~777"/>
    <n v="777"/>
    <s v="D2"/>
    <s v="04"/>
    <s v="03"/>
    <x v="32"/>
    <n v="7"/>
    <n v="33"/>
    <x v="1"/>
    <x v="2"/>
    <x v="2"/>
    <n v="118"/>
    <s v="ST"/>
  </r>
  <r>
    <s v=".1~778"/>
    <n v="778"/>
    <s v="D2"/>
    <s v="04"/>
    <s v="03"/>
    <x v="32"/>
    <n v="7"/>
    <n v="33"/>
    <x v="1"/>
    <x v="3"/>
    <x v="3"/>
    <n v="40"/>
    <s v="ST"/>
  </r>
  <r>
    <s v=".1~779"/>
    <n v="779"/>
    <s v="D2"/>
    <s v="04"/>
    <s v="03"/>
    <x v="32"/>
    <n v="7"/>
    <n v="33"/>
    <x v="1"/>
    <x v="4"/>
    <x v="4"/>
    <n v="28"/>
    <s v="ST"/>
  </r>
  <r>
    <s v=".1~780"/>
    <n v="780"/>
    <s v="D2"/>
    <s v="04"/>
    <s v="03"/>
    <x v="32"/>
    <n v="7"/>
    <n v="33"/>
    <x v="1"/>
    <x v="5"/>
    <x v="5"/>
    <n v="50"/>
    <s v="ST"/>
  </r>
  <r>
    <s v=".1~781"/>
    <n v="781"/>
    <s v="D2"/>
    <s v="04"/>
    <s v="03"/>
    <x v="32"/>
    <n v="7"/>
    <n v="33"/>
    <x v="2"/>
    <x v="0"/>
    <x v="0"/>
    <n v="65"/>
    <s v="ST"/>
  </r>
  <r>
    <s v=".1~782"/>
    <n v="782"/>
    <s v="D2"/>
    <s v="04"/>
    <s v="03"/>
    <x v="32"/>
    <n v="7"/>
    <n v="33"/>
    <x v="2"/>
    <x v="1"/>
    <x v="1"/>
    <n v="44"/>
    <s v="ST"/>
  </r>
  <r>
    <s v=".1~783"/>
    <n v="783"/>
    <s v="D2"/>
    <s v="04"/>
    <s v="03"/>
    <x v="32"/>
    <n v="7"/>
    <n v="33"/>
    <x v="2"/>
    <x v="2"/>
    <x v="2"/>
    <n v="160"/>
    <s v="ST"/>
  </r>
  <r>
    <s v=".1~784"/>
    <n v="784"/>
    <s v="D2"/>
    <s v="04"/>
    <s v="03"/>
    <x v="32"/>
    <n v="7"/>
    <n v="33"/>
    <x v="2"/>
    <x v="3"/>
    <x v="3"/>
    <n v="40"/>
    <s v="ST"/>
  </r>
  <r>
    <s v=".1~785"/>
    <n v="785"/>
    <s v="D2"/>
    <s v="04"/>
    <s v="03"/>
    <x v="32"/>
    <n v="7"/>
    <n v="33"/>
    <x v="2"/>
    <x v="4"/>
    <x v="4"/>
    <n v="75"/>
    <s v="ST"/>
  </r>
  <r>
    <s v=".1~786"/>
    <n v="786"/>
    <s v="D2"/>
    <s v="04"/>
    <s v="03"/>
    <x v="32"/>
    <n v="7"/>
    <n v="33"/>
    <x v="2"/>
    <x v="5"/>
    <x v="5"/>
    <n v="40"/>
    <s v="ST"/>
  </r>
  <r>
    <s v=".1~787"/>
    <n v="787"/>
    <s v="D2"/>
    <s v="04"/>
    <s v="03"/>
    <x v="32"/>
    <n v="7"/>
    <n v="33"/>
    <x v="3"/>
    <x v="0"/>
    <x v="0"/>
    <n v="20"/>
    <s v="ST"/>
  </r>
  <r>
    <s v=".1~788"/>
    <n v="788"/>
    <s v="D2"/>
    <s v="04"/>
    <s v="03"/>
    <x v="32"/>
    <n v="7"/>
    <n v="33"/>
    <x v="3"/>
    <x v="1"/>
    <x v="1"/>
    <n v="40"/>
    <s v="ST"/>
  </r>
  <r>
    <s v=".1~789"/>
    <n v="789"/>
    <s v="D2"/>
    <s v="04"/>
    <s v="03"/>
    <x v="32"/>
    <n v="7"/>
    <n v="33"/>
    <x v="3"/>
    <x v="2"/>
    <x v="2"/>
    <n v="45"/>
    <s v="ST"/>
  </r>
  <r>
    <s v=".1~790"/>
    <n v="790"/>
    <s v="D2"/>
    <s v="04"/>
    <s v="03"/>
    <x v="32"/>
    <n v="7"/>
    <n v="33"/>
    <x v="3"/>
    <x v="3"/>
    <x v="3"/>
    <n v="25"/>
    <s v="ST"/>
  </r>
  <r>
    <s v=".1~791"/>
    <n v="791"/>
    <s v="D2"/>
    <s v="04"/>
    <s v="03"/>
    <x v="32"/>
    <n v="7"/>
    <n v="33"/>
    <x v="3"/>
    <x v="4"/>
    <x v="4"/>
    <n v="30"/>
    <s v="ST"/>
  </r>
  <r>
    <s v=".1~792"/>
    <n v="792"/>
    <s v="D2"/>
    <s v="04"/>
    <s v="03"/>
    <x v="32"/>
    <n v="7"/>
    <n v="33"/>
    <x v="3"/>
    <x v="5"/>
    <x v="5"/>
    <n v="30"/>
    <s v="ST"/>
  </r>
  <r>
    <s v=".1~793"/>
    <n v="793"/>
    <s v="D2"/>
    <s v="04"/>
    <s v="04"/>
    <x v="33"/>
    <n v="7"/>
    <n v="34"/>
    <x v="0"/>
    <x v="0"/>
    <x v="0"/>
    <n v="881"/>
    <s v="ST"/>
  </r>
  <r>
    <s v=".1~794"/>
    <n v="794"/>
    <s v="D2"/>
    <s v="04"/>
    <s v="04"/>
    <x v="33"/>
    <n v="7"/>
    <n v="34"/>
    <x v="0"/>
    <x v="1"/>
    <x v="1"/>
    <n v="184"/>
    <s v="ST"/>
  </r>
  <r>
    <s v=".1~795"/>
    <n v="795"/>
    <s v="D2"/>
    <s v="04"/>
    <s v="04"/>
    <x v="33"/>
    <n v="7"/>
    <n v="34"/>
    <x v="0"/>
    <x v="2"/>
    <x v="2"/>
    <n v="492"/>
    <s v="ST"/>
  </r>
  <r>
    <s v=".1~796"/>
    <n v="796"/>
    <s v="D2"/>
    <s v="04"/>
    <s v="04"/>
    <x v="33"/>
    <n v="7"/>
    <n v="34"/>
    <x v="0"/>
    <x v="3"/>
    <x v="3"/>
    <n v="45"/>
    <s v="ST"/>
  </r>
  <r>
    <s v=".1~797"/>
    <n v="797"/>
    <s v="D2"/>
    <s v="04"/>
    <s v="04"/>
    <x v="33"/>
    <n v="7"/>
    <n v="34"/>
    <x v="0"/>
    <x v="4"/>
    <x v="4"/>
    <n v="169"/>
    <s v="ST"/>
  </r>
  <r>
    <s v=".1~798"/>
    <n v="798"/>
    <s v="D2"/>
    <s v="04"/>
    <s v="04"/>
    <x v="33"/>
    <n v="7"/>
    <n v="34"/>
    <x v="0"/>
    <x v="5"/>
    <x v="5"/>
    <n v="204"/>
    <s v="ST"/>
  </r>
  <r>
    <s v=".1~799"/>
    <n v="799"/>
    <s v="D2"/>
    <s v="04"/>
    <s v="04"/>
    <x v="33"/>
    <n v="7"/>
    <n v="34"/>
    <x v="1"/>
    <x v="0"/>
    <x v="0"/>
    <n v="55"/>
    <s v="ST"/>
  </r>
  <r>
    <s v=".1~800"/>
    <n v="800"/>
    <s v="D2"/>
    <s v="04"/>
    <s v="04"/>
    <x v="33"/>
    <n v="7"/>
    <n v="34"/>
    <x v="1"/>
    <x v="1"/>
    <x v="1"/>
    <n v="30"/>
    <s v="ST"/>
  </r>
  <r>
    <s v=".1~801"/>
    <n v="801"/>
    <s v="D2"/>
    <s v="04"/>
    <s v="04"/>
    <x v="33"/>
    <n v="7"/>
    <n v="34"/>
    <x v="1"/>
    <x v="2"/>
    <x v="2"/>
    <n v="48"/>
    <s v="ST"/>
  </r>
  <r>
    <s v=".1~802"/>
    <n v="802"/>
    <s v="D2"/>
    <s v="04"/>
    <s v="04"/>
    <x v="33"/>
    <n v="7"/>
    <n v="34"/>
    <x v="1"/>
    <x v="3"/>
    <x v="3"/>
    <n v="40"/>
    <s v="ST"/>
  </r>
  <r>
    <s v=".1~803"/>
    <n v="803"/>
    <s v="D2"/>
    <s v="04"/>
    <s v="04"/>
    <x v="33"/>
    <n v="7"/>
    <n v="34"/>
    <x v="1"/>
    <x v="4"/>
    <x v="4"/>
    <n v="48"/>
    <s v="ST"/>
  </r>
  <r>
    <s v=".1~804"/>
    <n v="804"/>
    <s v="D2"/>
    <s v="04"/>
    <s v="04"/>
    <x v="33"/>
    <n v="7"/>
    <n v="34"/>
    <x v="1"/>
    <x v="5"/>
    <x v="5"/>
    <n v="50"/>
    <s v="ST"/>
  </r>
  <r>
    <s v=".1~805"/>
    <n v="805"/>
    <s v="D2"/>
    <s v="04"/>
    <s v="04"/>
    <x v="33"/>
    <n v="7"/>
    <n v="34"/>
    <x v="2"/>
    <x v="0"/>
    <x v="0"/>
    <n v="65"/>
    <s v="ST"/>
  </r>
  <r>
    <s v=".1~806"/>
    <n v="806"/>
    <s v="D2"/>
    <s v="04"/>
    <s v="04"/>
    <x v="33"/>
    <n v="7"/>
    <n v="34"/>
    <x v="2"/>
    <x v="1"/>
    <x v="1"/>
    <n v="50"/>
    <s v="ST"/>
  </r>
  <r>
    <s v=".1~807"/>
    <n v="807"/>
    <s v="D2"/>
    <s v="04"/>
    <s v="04"/>
    <x v="33"/>
    <n v="7"/>
    <n v="34"/>
    <x v="2"/>
    <x v="2"/>
    <x v="2"/>
    <n v="0"/>
    <s v="ST"/>
  </r>
  <r>
    <s v=".1~808"/>
    <n v="808"/>
    <s v="D2"/>
    <s v="04"/>
    <s v="04"/>
    <x v="33"/>
    <n v="7"/>
    <n v="34"/>
    <x v="2"/>
    <x v="3"/>
    <x v="3"/>
    <n v="40"/>
    <s v="ST"/>
  </r>
  <r>
    <s v=".1~809"/>
    <n v="809"/>
    <s v="D2"/>
    <s v="04"/>
    <s v="04"/>
    <x v="33"/>
    <n v="7"/>
    <n v="34"/>
    <x v="2"/>
    <x v="4"/>
    <x v="4"/>
    <n v="24"/>
    <s v="ST"/>
  </r>
  <r>
    <s v=".1~810"/>
    <n v="810"/>
    <s v="D2"/>
    <s v="04"/>
    <s v="04"/>
    <x v="33"/>
    <n v="7"/>
    <n v="34"/>
    <x v="2"/>
    <x v="5"/>
    <x v="5"/>
    <n v="0"/>
    <s v="ST"/>
  </r>
  <r>
    <s v=".1~811"/>
    <n v="811"/>
    <s v="D2"/>
    <s v="04"/>
    <s v="04"/>
    <x v="33"/>
    <n v="7"/>
    <n v="34"/>
    <x v="3"/>
    <x v="0"/>
    <x v="0"/>
    <n v="0"/>
    <s v="ST"/>
  </r>
  <r>
    <s v=".1~812"/>
    <n v="812"/>
    <s v="D2"/>
    <s v="04"/>
    <s v="04"/>
    <x v="33"/>
    <n v="7"/>
    <n v="34"/>
    <x v="3"/>
    <x v="1"/>
    <x v="1"/>
    <n v="12"/>
    <s v="ST"/>
  </r>
  <r>
    <s v=".1~813"/>
    <n v="813"/>
    <s v="D2"/>
    <s v="04"/>
    <s v="04"/>
    <x v="33"/>
    <n v="7"/>
    <n v="34"/>
    <x v="3"/>
    <x v="2"/>
    <x v="2"/>
    <n v="45"/>
    <s v="ST"/>
  </r>
  <r>
    <s v=".1~814"/>
    <n v="814"/>
    <s v="D2"/>
    <s v="04"/>
    <s v="04"/>
    <x v="33"/>
    <n v="7"/>
    <n v="34"/>
    <x v="3"/>
    <x v="3"/>
    <x v="3"/>
    <n v="60"/>
    <s v="ST"/>
  </r>
  <r>
    <s v=".1~815"/>
    <n v="815"/>
    <s v="D2"/>
    <s v="04"/>
    <s v="04"/>
    <x v="33"/>
    <n v="7"/>
    <n v="34"/>
    <x v="3"/>
    <x v="4"/>
    <x v="4"/>
    <n v="30"/>
    <s v="ST"/>
  </r>
  <r>
    <s v=".1~816"/>
    <n v="816"/>
    <s v="D2"/>
    <s v="04"/>
    <s v="04"/>
    <x v="33"/>
    <n v="7"/>
    <n v="34"/>
    <x v="3"/>
    <x v="5"/>
    <x v="5"/>
    <n v="30"/>
    <s v="ST"/>
  </r>
  <r>
    <s v=".1~817"/>
    <n v="817"/>
    <s v="D2"/>
    <s v="04"/>
    <s v="05"/>
    <x v="34"/>
    <n v="7"/>
    <n v="35"/>
    <x v="0"/>
    <x v="0"/>
    <x v="0"/>
    <n v="531"/>
    <s v="ST"/>
  </r>
  <r>
    <s v=".1~818"/>
    <n v="818"/>
    <s v="D2"/>
    <s v="04"/>
    <s v="05"/>
    <x v="34"/>
    <n v="7"/>
    <n v="35"/>
    <x v="0"/>
    <x v="1"/>
    <x v="1"/>
    <n v="166"/>
    <s v="ST"/>
  </r>
  <r>
    <s v=".1~819"/>
    <n v="819"/>
    <s v="D2"/>
    <s v="04"/>
    <s v="05"/>
    <x v="34"/>
    <n v="7"/>
    <n v="35"/>
    <x v="0"/>
    <x v="2"/>
    <x v="2"/>
    <n v="175"/>
    <s v="ST"/>
  </r>
  <r>
    <s v=".1~820"/>
    <n v="820"/>
    <s v="D2"/>
    <s v="04"/>
    <s v="05"/>
    <x v="34"/>
    <n v="7"/>
    <n v="35"/>
    <x v="0"/>
    <x v="3"/>
    <x v="3"/>
    <n v="45"/>
    <s v="ST"/>
  </r>
  <r>
    <s v=".1~821"/>
    <n v="821"/>
    <s v="D2"/>
    <s v="04"/>
    <s v="05"/>
    <x v="34"/>
    <n v="7"/>
    <n v="35"/>
    <x v="0"/>
    <x v="4"/>
    <x v="4"/>
    <n v="116"/>
    <s v="ST"/>
  </r>
  <r>
    <s v=".1~822"/>
    <n v="822"/>
    <s v="D2"/>
    <s v="04"/>
    <s v="05"/>
    <x v="34"/>
    <n v="7"/>
    <n v="35"/>
    <x v="0"/>
    <x v="5"/>
    <x v="5"/>
    <n v="174"/>
    <s v="ST"/>
  </r>
  <r>
    <s v=".1~823"/>
    <n v="823"/>
    <s v="D2"/>
    <s v="04"/>
    <s v="05"/>
    <x v="34"/>
    <n v="7"/>
    <n v="35"/>
    <x v="1"/>
    <x v="0"/>
    <x v="0"/>
    <n v="270"/>
    <s v="ST"/>
  </r>
  <r>
    <s v=".1~824"/>
    <n v="824"/>
    <s v="D2"/>
    <s v="04"/>
    <s v="05"/>
    <x v="34"/>
    <n v="7"/>
    <n v="35"/>
    <x v="1"/>
    <x v="1"/>
    <x v="1"/>
    <n v="30"/>
    <s v="ST"/>
  </r>
  <r>
    <s v=".1~825"/>
    <n v="825"/>
    <s v="D2"/>
    <s v="04"/>
    <s v="05"/>
    <x v="34"/>
    <n v="7"/>
    <n v="35"/>
    <x v="1"/>
    <x v="2"/>
    <x v="2"/>
    <n v="150"/>
    <s v="ST"/>
  </r>
  <r>
    <s v=".1~826"/>
    <n v="826"/>
    <s v="D2"/>
    <s v="04"/>
    <s v="05"/>
    <x v="34"/>
    <n v="7"/>
    <n v="35"/>
    <x v="1"/>
    <x v="3"/>
    <x v="3"/>
    <n v="40"/>
    <s v="ST"/>
  </r>
  <r>
    <s v=".1~827"/>
    <n v="827"/>
    <s v="D2"/>
    <s v="04"/>
    <s v="05"/>
    <x v="34"/>
    <n v="7"/>
    <n v="35"/>
    <x v="1"/>
    <x v="4"/>
    <x v="4"/>
    <n v="50"/>
    <s v="ST"/>
  </r>
  <r>
    <s v=".1~828"/>
    <n v="828"/>
    <s v="D2"/>
    <s v="04"/>
    <s v="05"/>
    <x v="34"/>
    <n v="7"/>
    <n v="35"/>
    <x v="1"/>
    <x v="5"/>
    <x v="5"/>
    <n v="39"/>
    <s v="ST"/>
  </r>
  <r>
    <s v=".1~829"/>
    <n v="829"/>
    <s v="D2"/>
    <s v="04"/>
    <s v="05"/>
    <x v="34"/>
    <n v="7"/>
    <n v="35"/>
    <x v="2"/>
    <x v="0"/>
    <x v="0"/>
    <n v="35"/>
    <s v="ST"/>
  </r>
  <r>
    <s v=".1~830"/>
    <n v="830"/>
    <s v="D2"/>
    <s v="04"/>
    <s v="05"/>
    <x v="34"/>
    <n v="7"/>
    <n v="35"/>
    <x v="2"/>
    <x v="1"/>
    <x v="1"/>
    <n v="50"/>
    <s v="ST"/>
  </r>
  <r>
    <s v=".1~831"/>
    <n v="831"/>
    <s v="D2"/>
    <s v="04"/>
    <s v="05"/>
    <x v="34"/>
    <n v="7"/>
    <n v="35"/>
    <x v="2"/>
    <x v="2"/>
    <x v="2"/>
    <n v="210"/>
    <s v="ST"/>
  </r>
  <r>
    <s v=".1~832"/>
    <n v="832"/>
    <s v="D2"/>
    <s v="04"/>
    <s v="05"/>
    <x v="34"/>
    <n v="7"/>
    <n v="35"/>
    <x v="2"/>
    <x v="3"/>
    <x v="3"/>
    <n v="17"/>
    <s v="ST"/>
  </r>
  <r>
    <s v=".1~833"/>
    <n v="833"/>
    <s v="D2"/>
    <s v="04"/>
    <s v="05"/>
    <x v="34"/>
    <n v="7"/>
    <n v="35"/>
    <x v="2"/>
    <x v="4"/>
    <x v="4"/>
    <n v="75"/>
    <s v="ST"/>
  </r>
  <r>
    <s v=".1~834"/>
    <n v="834"/>
    <s v="D2"/>
    <s v="04"/>
    <s v="05"/>
    <x v="34"/>
    <n v="7"/>
    <n v="35"/>
    <x v="2"/>
    <x v="5"/>
    <x v="5"/>
    <n v="30"/>
    <s v="ST"/>
  </r>
  <r>
    <s v=".1~835"/>
    <n v="835"/>
    <s v="D2"/>
    <s v="04"/>
    <s v="05"/>
    <x v="34"/>
    <n v="7"/>
    <n v="35"/>
    <x v="3"/>
    <x v="0"/>
    <x v="0"/>
    <n v="100"/>
    <s v="ST"/>
  </r>
  <r>
    <s v=".1~836"/>
    <n v="836"/>
    <s v="D2"/>
    <s v="04"/>
    <s v="05"/>
    <x v="34"/>
    <n v="7"/>
    <n v="35"/>
    <x v="3"/>
    <x v="1"/>
    <x v="1"/>
    <n v="30"/>
    <s v="ST"/>
  </r>
  <r>
    <s v=".1~837"/>
    <n v="837"/>
    <s v="D2"/>
    <s v="04"/>
    <s v="05"/>
    <x v="34"/>
    <n v="7"/>
    <n v="35"/>
    <x v="3"/>
    <x v="2"/>
    <x v="2"/>
    <n v="50"/>
    <s v="ST"/>
  </r>
  <r>
    <s v=".1~838"/>
    <n v="838"/>
    <s v="D2"/>
    <s v="04"/>
    <s v="05"/>
    <x v="34"/>
    <n v="7"/>
    <n v="35"/>
    <x v="3"/>
    <x v="3"/>
    <x v="3"/>
    <n v="0"/>
    <s v="ST"/>
  </r>
  <r>
    <s v=".1~839"/>
    <n v="839"/>
    <s v="D2"/>
    <s v="04"/>
    <s v="05"/>
    <x v="34"/>
    <n v="7"/>
    <n v="35"/>
    <x v="3"/>
    <x v="4"/>
    <x v="4"/>
    <n v="0"/>
    <s v="ST"/>
  </r>
  <r>
    <s v=".1~840"/>
    <n v="840"/>
    <s v="D2"/>
    <s v="04"/>
    <s v="05"/>
    <x v="34"/>
    <n v="7"/>
    <n v="35"/>
    <x v="3"/>
    <x v="5"/>
    <x v="5"/>
    <n v="0"/>
    <s v="ST"/>
  </r>
  <r>
    <s v=".1~841"/>
    <n v="841"/>
    <s v="D2"/>
    <s v="04"/>
    <s v="06"/>
    <x v="35"/>
    <n v="8"/>
    <n v="36"/>
    <x v="0"/>
    <x v="0"/>
    <x v="0"/>
    <n v="466"/>
    <s v="ST"/>
  </r>
  <r>
    <s v=".1~842"/>
    <n v="842"/>
    <s v="D2"/>
    <s v="04"/>
    <s v="06"/>
    <x v="35"/>
    <n v="8"/>
    <n v="36"/>
    <x v="0"/>
    <x v="1"/>
    <x v="1"/>
    <n v="166"/>
    <s v="ST"/>
  </r>
  <r>
    <s v=".1~843"/>
    <n v="843"/>
    <s v="D2"/>
    <s v="04"/>
    <s v="06"/>
    <x v="35"/>
    <n v="8"/>
    <n v="36"/>
    <x v="0"/>
    <x v="2"/>
    <x v="2"/>
    <n v="175"/>
    <s v="ST"/>
  </r>
  <r>
    <s v=".1~844"/>
    <n v="844"/>
    <s v="D2"/>
    <s v="04"/>
    <s v="06"/>
    <x v="35"/>
    <n v="8"/>
    <n v="36"/>
    <x v="0"/>
    <x v="3"/>
    <x v="3"/>
    <n v="0"/>
    <s v="ST"/>
  </r>
  <r>
    <s v=".1~845"/>
    <n v="845"/>
    <s v="D2"/>
    <s v="04"/>
    <s v="06"/>
    <x v="35"/>
    <n v="8"/>
    <n v="36"/>
    <x v="0"/>
    <x v="4"/>
    <x v="4"/>
    <n v="86"/>
    <s v="ST"/>
  </r>
  <r>
    <s v=".1~846"/>
    <n v="846"/>
    <s v="D2"/>
    <s v="04"/>
    <s v="06"/>
    <x v="35"/>
    <n v="8"/>
    <n v="36"/>
    <x v="0"/>
    <x v="5"/>
    <x v="5"/>
    <n v="133"/>
    <s v="ST"/>
  </r>
  <r>
    <s v=".1~847"/>
    <n v="847"/>
    <s v="D2"/>
    <s v="04"/>
    <s v="06"/>
    <x v="35"/>
    <n v="8"/>
    <n v="36"/>
    <x v="1"/>
    <x v="0"/>
    <x v="0"/>
    <n v="68"/>
    <s v="ST"/>
  </r>
  <r>
    <s v=".1~848"/>
    <n v="848"/>
    <s v="D2"/>
    <s v="04"/>
    <s v="06"/>
    <x v="35"/>
    <n v="8"/>
    <n v="36"/>
    <x v="1"/>
    <x v="1"/>
    <x v="1"/>
    <n v="30"/>
    <s v="ST"/>
  </r>
  <r>
    <s v=".1~849"/>
    <n v="849"/>
    <s v="D2"/>
    <s v="04"/>
    <s v="06"/>
    <x v="35"/>
    <n v="8"/>
    <n v="36"/>
    <x v="1"/>
    <x v="2"/>
    <x v="2"/>
    <n v="150"/>
    <s v="ST"/>
  </r>
  <r>
    <s v=".1~850"/>
    <n v="850"/>
    <s v="D2"/>
    <s v="04"/>
    <s v="06"/>
    <x v="35"/>
    <n v="8"/>
    <n v="36"/>
    <x v="1"/>
    <x v="3"/>
    <x v="3"/>
    <n v="22"/>
    <s v="ST"/>
  </r>
  <r>
    <s v=".1~851"/>
    <n v="851"/>
    <s v="D2"/>
    <s v="04"/>
    <s v="06"/>
    <x v="35"/>
    <n v="8"/>
    <n v="36"/>
    <x v="1"/>
    <x v="4"/>
    <x v="4"/>
    <n v="50"/>
    <s v="ST"/>
  </r>
  <r>
    <s v=".1~852"/>
    <n v="852"/>
    <s v="D2"/>
    <s v="04"/>
    <s v="06"/>
    <x v="35"/>
    <n v="8"/>
    <n v="36"/>
    <x v="1"/>
    <x v="5"/>
    <x v="5"/>
    <n v="50"/>
    <s v="ST"/>
  </r>
  <r>
    <s v=".1~853"/>
    <n v="853"/>
    <s v="D2"/>
    <s v="04"/>
    <s v="06"/>
    <x v="35"/>
    <n v="8"/>
    <n v="36"/>
    <x v="2"/>
    <x v="0"/>
    <x v="0"/>
    <n v="100"/>
    <s v="ST"/>
  </r>
  <r>
    <s v=".1~854"/>
    <n v="854"/>
    <s v="D2"/>
    <s v="04"/>
    <s v="06"/>
    <x v="35"/>
    <n v="8"/>
    <n v="36"/>
    <x v="2"/>
    <x v="1"/>
    <x v="1"/>
    <n v="50"/>
    <s v="ST"/>
  </r>
  <r>
    <s v=".1~855"/>
    <n v="855"/>
    <s v="D2"/>
    <s v="04"/>
    <s v="06"/>
    <x v="35"/>
    <n v="8"/>
    <n v="36"/>
    <x v="2"/>
    <x v="2"/>
    <x v="2"/>
    <n v="76"/>
    <s v="ST"/>
  </r>
  <r>
    <s v=".1~856"/>
    <n v="856"/>
    <s v="D2"/>
    <s v="04"/>
    <s v="06"/>
    <x v="35"/>
    <n v="8"/>
    <n v="36"/>
    <x v="2"/>
    <x v="3"/>
    <x v="3"/>
    <n v="25"/>
    <s v="ST"/>
  </r>
  <r>
    <s v=".1~857"/>
    <n v="857"/>
    <s v="D2"/>
    <s v="04"/>
    <s v="06"/>
    <x v="35"/>
    <n v="8"/>
    <n v="36"/>
    <x v="2"/>
    <x v="4"/>
    <x v="4"/>
    <n v="50"/>
    <s v="ST"/>
  </r>
  <r>
    <s v=".1~858"/>
    <n v="858"/>
    <s v="D2"/>
    <s v="04"/>
    <s v="06"/>
    <x v="35"/>
    <n v="8"/>
    <n v="36"/>
    <x v="2"/>
    <x v="5"/>
    <x v="5"/>
    <n v="30"/>
    <s v="ST"/>
  </r>
  <r>
    <s v=".1~859"/>
    <n v="859"/>
    <s v="D2"/>
    <s v="04"/>
    <s v="06"/>
    <x v="35"/>
    <n v="8"/>
    <n v="36"/>
    <x v="3"/>
    <x v="0"/>
    <x v="0"/>
    <n v="100"/>
    <s v="ST"/>
  </r>
  <r>
    <s v=".1~860"/>
    <n v="860"/>
    <s v="D2"/>
    <s v="04"/>
    <s v="06"/>
    <x v="35"/>
    <n v="8"/>
    <n v="36"/>
    <x v="3"/>
    <x v="1"/>
    <x v="1"/>
    <n v="30"/>
    <s v="ST"/>
  </r>
  <r>
    <s v=".1~861"/>
    <n v="861"/>
    <s v="D2"/>
    <s v="04"/>
    <s v="06"/>
    <x v="35"/>
    <n v="8"/>
    <n v="36"/>
    <x v="3"/>
    <x v="2"/>
    <x v="2"/>
    <n v="0"/>
    <s v="ST"/>
  </r>
  <r>
    <s v=".1~862"/>
    <n v="862"/>
    <s v="D2"/>
    <s v="04"/>
    <s v="06"/>
    <x v="35"/>
    <n v="8"/>
    <n v="36"/>
    <x v="3"/>
    <x v="3"/>
    <x v="3"/>
    <n v="36"/>
    <s v="ST"/>
  </r>
  <r>
    <s v=".1~863"/>
    <n v="863"/>
    <s v="D2"/>
    <s v="04"/>
    <s v="06"/>
    <x v="35"/>
    <n v="8"/>
    <n v="36"/>
    <x v="3"/>
    <x v="4"/>
    <x v="4"/>
    <n v="30"/>
    <s v="ST"/>
  </r>
  <r>
    <s v=".1~864"/>
    <n v="864"/>
    <s v="D2"/>
    <s v="04"/>
    <s v="06"/>
    <x v="35"/>
    <n v="8"/>
    <n v="36"/>
    <x v="3"/>
    <x v="5"/>
    <x v="5"/>
    <n v="30"/>
    <s v="ST"/>
  </r>
  <r>
    <s v=".1~865"/>
    <n v="865"/>
    <s v="D2"/>
    <s v="04"/>
    <s v="07"/>
    <x v="36"/>
    <n v="8"/>
    <n v="37"/>
    <x v="0"/>
    <x v="0"/>
    <x v="0"/>
    <n v="264"/>
    <s v="ST"/>
  </r>
  <r>
    <s v=".1~866"/>
    <n v="866"/>
    <s v="D2"/>
    <s v="04"/>
    <s v="07"/>
    <x v="36"/>
    <n v="8"/>
    <n v="37"/>
    <x v="0"/>
    <x v="1"/>
    <x v="1"/>
    <n v="166"/>
    <s v="ST"/>
  </r>
  <r>
    <s v=".1~867"/>
    <n v="867"/>
    <s v="D2"/>
    <s v="04"/>
    <s v="07"/>
    <x v="36"/>
    <n v="8"/>
    <n v="37"/>
    <x v="0"/>
    <x v="2"/>
    <x v="2"/>
    <n v="0"/>
    <s v="ST"/>
  </r>
  <r>
    <s v=".1~868"/>
    <n v="868"/>
    <s v="D2"/>
    <s v="04"/>
    <s v="07"/>
    <x v="36"/>
    <n v="8"/>
    <n v="37"/>
    <x v="0"/>
    <x v="3"/>
    <x v="3"/>
    <n v="0"/>
    <s v="ST"/>
  </r>
  <r>
    <s v=".1~869"/>
    <n v="869"/>
    <s v="D2"/>
    <s v="04"/>
    <s v="07"/>
    <x v="36"/>
    <n v="8"/>
    <n v="37"/>
    <x v="0"/>
    <x v="4"/>
    <x v="4"/>
    <n v="61"/>
    <s v="ST"/>
  </r>
  <r>
    <s v=".1~870"/>
    <n v="870"/>
    <s v="D2"/>
    <s v="04"/>
    <s v="07"/>
    <x v="36"/>
    <n v="8"/>
    <n v="37"/>
    <x v="0"/>
    <x v="5"/>
    <x v="5"/>
    <n v="133"/>
    <s v="ST"/>
  </r>
  <r>
    <s v=".1~871"/>
    <n v="871"/>
    <s v="D2"/>
    <s v="04"/>
    <s v="07"/>
    <x v="36"/>
    <n v="8"/>
    <n v="37"/>
    <x v="1"/>
    <x v="0"/>
    <x v="0"/>
    <n v="202"/>
    <s v="ST"/>
  </r>
  <r>
    <s v=".1~872"/>
    <n v="872"/>
    <s v="D2"/>
    <s v="04"/>
    <s v="07"/>
    <x v="36"/>
    <n v="8"/>
    <n v="37"/>
    <x v="1"/>
    <x v="1"/>
    <x v="1"/>
    <n v="5"/>
    <s v="ST"/>
  </r>
  <r>
    <s v=".1~873"/>
    <n v="873"/>
    <s v="D2"/>
    <s v="04"/>
    <s v="07"/>
    <x v="36"/>
    <n v="8"/>
    <n v="37"/>
    <x v="1"/>
    <x v="2"/>
    <x v="2"/>
    <n v="151"/>
    <s v="ST"/>
  </r>
  <r>
    <s v=".1~874"/>
    <n v="874"/>
    <s v="D2"/>
    <s v="04"/>
    <s v="07"/>
    <x v="36"/>
    <n v="8"/>
    <n v="37"/>
    <x v="1"/>
    <x v="3"/>
    <x v="3"/>
    <n v="2"/>
    <s v="ST"/>
  </r>
  <r>
    <s v=".1~875"/>
    <n v="875"/>
    <s v="D2"/>
    <s v="04"/>
    <s v="07"/>
    <x v="36"/>
    <n v="8"/>
    <n v="37"/>
    <x v="1"/>
    <x v="4"/>
    <x v="4"/>
    <n v="15"/>
    <s v="ST"/>
  </r>
  <r>
    <s v=".1~876"/>
    <n v="876"/>
    <s v="D2"/>
    <s v="04"/>
    <s v="07"/>
    <x v="36"/>
    <n v="8"/>
    <n v="37"/>
    <x v="1"/>
    <x v="5"/>
    <x v="5"/>
    <n v="0"/>
    <s v="ST"/>
  </r>
  <r>
    <s v=".1~877"/>
    <n v="877"/>
    <s v="D2"/>
    <s v="04"/>
    <s v="07"/>
    <x v="36"/>
    <n v="8"/>
    <n v="37"/>
    <x v="2"/>
    <x v="0"/>
    <x v="0"/>
    <n v="0"/>
    <s v="ST"/>
  </r>
  <r>
    <s v=".1~878"/>
    <n v="878"/>
    <s v="D2"/>
    <s v="04"/>
    <s v="07"/>
    <x v="36"/>
    <n v="8"/>
    <n v="37"/>
    <x v="2"/>
    <x v="1"/>
    <x v="1"/>
    <n v="23"/>
    <s v="ST"/>
  </r>
  <r>
    <s v=".1~879"/>
    <n v="879"/>
    <s v="D2"/>
    <s v="04"/>
    <s v="07"/>
    <x v="36"/>
    <n v="8"/>
    <n v="37"/>
    <x v="2"/>
    <x v="2"/>
    <x v="2"/>
    <n v="203"/>
    <s v="ST"/>
  </r>
  <r>
    <s v=".1~880"/>
    <n v="880"/>
    <s v="D2"/>
    <s v="04"/>
    <s v="07"/>
    <x v="36"/>
    <n v="8"/>
    <n v="37"/>
    <x v="2"/>
    <x v="3"/>
    <x v="3"/>
    <n v="23"/>
    <s v="ST"/>
  </r>
  <r>
    <s v=".1~881"/>
    <n v="881"/>
    <s v="D2"/>
    <s v="04"/>
    <s v="07"/>
    <x v="36"/>
    <n v="8"/>
    <n v="37"/>
    <x v="2"/>
    <x v="4"/>
    <x v="4"/>
    <n v="75"/>
    <s v="ST"/>
  </r>
  <r>
    <s v=".1~882"/>
    <n v="882"/>
    <s v="D2"/>
    <s v="04"/>
    <s v="07"/>
    <x v="36"/>
    <n v="8"/>
    <n v="37"/>
    <x v="2"/>
    <x v="5"/>
    <x v="5"/>
    <n v="30"/>
    <s v="ST"/>
  </r>
  <r>
    <s v=".1~883"/>
    <n v="883"/>
    <s v="D2"/>
    <s v="04"/>
    <s v="07"/>
    <x v="36"/>
    <n v="8"/>
    <n v="37"/>
    <x v="3"/>
    <x v="0"/>
    <x v="0"/>
    <n v="100"/>
    <s v="ST"/>
  </r>
  <r>
    <s v=".1~884"/>
    <n v="884"/>
    <s v="D2"/>
    <s v="04"/>
    <s v="07"/>
    <x v="36"/>
    <n v="8"/>
    <n v="37"/>
    <x v="3"/>
    <x v="1"/>
    <x v="1"/>
    <n v="30"/>
    <s v="ST"/>
  </r>
  <r>
    <s v=".1~885"/>
    <n v="885"/>
    <s v="D2"/>
    <s v="04"/>
    <s v="07"/>
    <x v="36"/>
    <n v="8"/>
    <n v="37"/>
    <x v="3"/>
    <x v="2"/>
    <x v="2"/>
    <n v="47"/>
    <s v="ST"/>
  </r>
  <r>
    <s v=".1~886"/>
    <n v="886"/>
    <s v="D2"/>
    <s v="04"/>
    <s v="07"/>
    <x v="36"/>
    <n v="8"/>
    <n v="37"/>
    <x v="3"/>
    <x v="3"/>
    <x v="3"/>
    <n v="14"/>
    <s v="ST"/>
  </r>
  <r>
    <s v=".1~887"/>
    <n v="887"/>
    <s v="D2"/>
    <s v="04"/>
    <s v="07"/>
    <x v="36"/>
    <n v="8"/>
    <n v="37"/>
    <x v="3"/>
    <x v="4"/>
    <x v="4"/>
    <n v="30"/>
    <s v="ST"/>
  </r>
  <r>
    <s v=".1~888"/>
    <n v="888"/>
    <s v="D2"/>
    <s v="04"/>
    <s v="07"/>
    <x v="36"/>
    <n v="8"/>
    <n v="37"/>
    <x v="3"/>
    <x v="5"/>
    <x v="5"/>
    <n v="30"/>
    <s v="ST"/>
  </r>
  <r>
    <s v=".1~889"/>
    <n v="889"/>
    <s v="D2"/>
    <s v="04"/>
    <s v="08"/>
    <x v="37"/>
    <n v="8"/>
    <n v="38"/>
    <x v="0"/>
    <x v="0"/>
    <x v="0"/>
    <n v="96"/>
    <s v="ST"/>
  </r>
  <r>
    <s v=".1~890"/>
    <n v="890"/>
    <s v="D2"/>
    <s v="04"/>
    <s v="08"/>
    <x v="37"/>
    <n v="8"/>
    <n v="38"/>
    <x v="0"/>
    <x v="1"/>
    <x v="1"/>
    <n v="114"/>
    <s v="ST"/>
  </r>
  <r>
    <s v=".1~891"/>
    <n v="891"/>
    <s v="D2"/>
    <s v="04"/>
    <s v="08"/>
    <x v="37"/>
    <n v="8"/>
    <n v="38"/>
    <x v="0"/>
    <x v="2"/>
    <x v="2"/>
    <n v="0"/>
    <s v="ST"/>
  </r>
  <r>
    <s v=".1~892"/>
    <n v="892"/>
    <s v="D2"/>
    <s v="04"/>
    <s v="08"/>
    <x v="37"/>
    <n v="8"/>
    <n v="38"/>
    <x v="0"/>
    <x v="3"/>
    <x v="3"/>
    <n v="0"/>
    <s v="ST"/>
  </r>
  <r>
    <s v=".1~893"/>
    <n v="893"/>
    <s v="D2"/>
    <s v="04"/>
    <s v="08"/>
    <x v="37"/>
    <n v="8"/>
    <n v="38"/>
    <x v="0"/>
    <x v="4"/>
    <x v="4"/>
    <n v="26"/>
    <s v="ST"/>
  </r>
  <r>
    <s v=".1~894"/>
    <n v="894"/>
    <s v="D2"/>
    <s v="04"/>
    <s v="08"/>
    <x v="37"/>
    <n v="8"/>
    <n v="38"/>
    <x v="0"/>
    <x v="5"/>
    <x v="5"/>
    <n v="83"/>
    <s v="ST"/>
  </r>
  <r>
    <s v=".1~895"/>
    <n v="895"/>
    <s v="D2"/>
    <s v="04"/>
    <s v="08"/>
    <x v="37"/>
    <n v="8"/>
    <n v="38"/>
    <x v="1"/>
    <x v="0"/>
    <x v="0"/>
    <n v="68"/>
    <s v="ST"/>
  </r>
  <r>
    <s v=".1~896"/>
    <n v="896"/>
    <s v="D2"/>
    <s v="04"/>
    <s v="08"/>
    <x v="37"/>
    <n v="8"/>
    <n v="38"/>
    <x v="1"/>
    <x v="1"/>
    <x v="1"/>
    <n v="30"/>
    <s v="ST"/>
  </r>
  <r>
    <s v=".1~897"/>
    <n v="897"/>
    <s v="D2"/>
    <s v="04"/>
    <s v="08"/>
    <x v="37"/>
    <n v="8"/>
    <n v="38"/>
    <x v="1"/>
    <x v="2"/>
    <x v="2"/>
    <n v="77"/>
    <s v="ST"/>
  </r>
  <r>
    <s v=".1~898"/>
    <n v="898"/>
    <s v="D2"/>
    <s v="04"/>
    <s v="08"/>
    <x v="37"/>
    <n v="8"/>
    <n v="38"/>
    <x v="1"/>
    <x v="3"/>
    <x v="3"/>
    <n v="0"/>
    <s v="ST"/>
  </r>
  <r>
    <s v=".1~899"/>
    <n v="899"/>
    <s v="D2"/>
    <s v="04"/>
    <s v="08"/>
    <x v="37"/>
    <n v="8"/>
    <n v="38"/>
    <x v="1"/>
    <x v="4"/>
    <x v="4"/>
    <n v="35"/>
    <s v="ST"/>
  </r>
  <r>
    <s v=".1~900"/>
    <n v="900"/>
    <s v="D2"/>
    <s v="04"/>
    <s v="08"/>
    <x v="37"/>
    <n v="8"/>
    <n v="38"/>
    <x v="1"/>
    <x v="5"/>
    <x v="5"/>
    <n v="50"/>
    <s v="ST"/>
  </r>
  <r>
    <s v=".1~901"/>
    <n v="901"/>
    <s v="D2"/>
    <s v="04"/>
    <s v="08"/>
    <x v="37"/>
    <n v="8"/>
    <n v="38"/>
    <x v="2"/>
    <x v="0"/>
    <x v="0"/>
    <n v="100"/>
    <s v="ST"/>
  </r>
  <r>
    <s v=".1~902"/>
    <n v="902"/>
    <s v="D2"/>
    <s v="04"/>
    <s v="08"/>
    <x v="37"/>
    <n v="8"/>
    <n v="38"/>
    <x v="2"/>
    <x v="1"/>
    <x v="1"/>
    <n v="50"/>
    <s v="ST"/>
  </r>
  <r>
    <s v=".1~903"/>
    <n v="903"/>
    <s v="D2"/>
    <s v="04"/>
    <s v="08"/>
    <x v="37"/>
    <n v="8"/>
    <n v="38"/>
    <x v="2"/>
    <x v="2"/>
    <x v="2"/>
    <n v="149"/>
    <s v="ST"/>
  </r>
  <r>
    <s v=".1~904"/>
    <n v="904"/>
    <s v="D2"/>
    <s v="04"/>
    <s v="08"/>
    <x v="37"/>
    <n v="8"/>
    <n v="38"/>
    <x v="2"/>
    <x v="3"/>
    <x v="3"/>
    <n v="23"/>
    <s v="ST"/>
  </r>
  <r>
    <s v=".1~905"/>
    <n v="905"/>
    <s v="D2"/>
    <s v="04"/>
    <s v="08"/>
    <x v="37"/>
    <n v="8"/>
    <n v="38"/>
    <x v="2"/>
    <x v="4"/>
    <x v="4"/>
    <n v="41"/>
    <s v="ST"/>
  </r>
  <r>
    <s v=".1~906"/>
    <n v="906"/>
    <s v="D2"/>
    <s v="04"/>
    <s v="08"/>
    <x v="37"/>
    <n v="8"/>
    <n v="38"/>
    <x v="2"/>
    <x v="5"/>
    <x v="5"/>
    <n v="30"/>
    <s v="ST"/>
  </r>
  <r>
    <s v=".1~907"/>
    <n v="907"/>
    <s v="D2"/>
    <s v="04"/>
    <s v="08"/>
    <x v="37"/>
    <n v="8"/>
    <n v="38"/>
    <x v="3"/>
    <x v="0"/>
    <x v="0"/>
    <n v="38"/>
    <s v="ST"/>
  </r>
  <r>
    <s v=".1~908"/>
    <n v="908"/>
    <s v="D2"/>
    <s v="04"/>
    <s v="08"/>
    <x v="37"/>
    <n v="8"/>
    <n v="38"/>
    <x v="3"/>
    <x v="1"/>
    <x v="1"/>
    <n v="30"/>
    <s v="ST"/>
  </r>
  <r>
    <s v=".1~909"/>
    <n v="909"/>
    <s v="D2"/>
    <s v="04"/>
    <s v="08"/>
    <x v="37"/>
    <n v="8"/>
    <n v="38"/>
    <x v="3"/>
    <x v="2"/>
    <x v="2"/>
    <n v="47"/>
    <s v="ST"/>
  </r>
  <r>
    <s v=".1~910"/>
    <n v="910"/>
    <s v="D2"/>
    <s v="04"/>
    <s v="08"/>
    <x v="37"/>
    <n v="8"/>
    <n v="38"/>
    <x v="3"/>
    <x v="3"/>
    <x v="3"/>
    <n v="0"/>
    <s v="ST"/>
  </r>
  <r>
    <s v=".1~911"/>
    <n v="911"/>
    <s v="D2"/>
    <s v="04"/>
    <s v="08"/>
    <x v="37"/>
    <n v="8"/>
    <n v="38"/>
    <x v="3"/>
    <x v="4"/>
    <x v="4"/>
    <n v="30"/>
    <s v="ST"/>
  </r>
  <r>
    <s v=".1~912"/>
    <n v="912"/>
    <s v="D2"/>
    <s v="04"/>
    <s v="08"/>
    <x v="37"/>
    <n v="8"/>
    <n v="38"/>
    <x v="3"/>
    <x v="5"/>
    <x v="5"/>
    <n v="0"/>
    <s v="ST"/>
  </r>
  <r>
    <s v=".1~913"/>
    <n v="913"/>
    <s v="D2"/>
    <s v="04"/>
    <s v="09"/>
    <x v="38"/>
    <n v="8"/>
    <n v="39"/>
    <x v="0"/>
    <x v="0"/>
    <x v="0"/>
    <n v="0"/>
    <s v="ST"/>
  </r>
  <r>
    <s v=".1~914"/>
    <n v="914"/>
    <s v="D2"/>
    <s v="04"/>
    <s v="09"/>
    <x v="38"/>
    <n v="8"/>
    <n v="39"/>
    <x v="0"/>
    <x v="1"/>
    <x v="1"/>
    <n v="114"/>
    <s v="ST"/>
  </r>
  <r>
    <s v=".1~915"/>
    <n v="915"/>
    <s v="D2"/>
    <s v="04"/>
    <s v="09"/>
    <x v="38"/>
    <n v="8"/>
    <n v="39"/>
    <x v="0"/>
    <x v="2"/>
    <x v="2"/>
    <n v="0"/>
    <s v="ST"/>
  </r>
  <r>
    <s v=".1~916"/>
    <n v="916"/>
    <s v="D2"/>
    <s v="04"/>
    <s v="09"/>
    <x v="38"/>
    <n v="8"/>
    <n v="39"/>
    <x v="0"/>
    <x v="3"/>
    <x v="3"/>
    <n v="0"/>
    <s v="ST"/>
  </r>
  <r>
    <s v=".1~917"/>
    <n v="917"/>
    <s v="D2"/>
    <s v="04"/>
    <s v="09"/>
    <x v="38"/>
    <n v="8"/>
    <n v="39"/>
    <x v="0"/>
    <x v="4"/>
    <x v="4"/>
    <n v="0"/>
    <s v="ST"/>
  </r>
  <r>
    <s v=".1~918"/>
    <n v="918"/>
    <s v="D2"/>
    <s v="04"/>
    <s v="09"/>
    <x v="38"/>
    <n v="8"/>
    <n v="39"/>
    <x v="0"/>
    <x v="5"/>
    <x v="5"/>
    <n v="53"/>
    <s v="ST"/>
  </r>
  <r>
    <s v=".1~919"/>
    <n v="919"/>
    <s v="D2"/>
    <s v="04"/>
    <s v="09"/>
    <x v="38"/>
    <n v="8"/>
    <n v="39"/>
    <x v="1"/>
    <x v="0"/>
    <x v="0"/>
    <n v="74"/>
    <s v="ST"/>
  </r>
  <r>
    <s v=".1~920"/>
    <n v="920"/>
    <s v="D2"/>
    <s v="04"/>
    <s v="09"/>
    <x v="38"/>
    <n v="8"/>
    <n v="39"/>
    <x v="1"/>
    <x v="1"/>
    <x v="1"/>
    <n v="30"/>
    <s v="ST"/>
  </r>
  <r>
    <s v=".1~921"/>
    <n v="921"/>
    <s v="D2"/>
    <s v="04"/>
    <s v="09"/>
    <x v="38"/>
    <n v="8"/>
    <n v="39"/>
    <x v="1"/>
    <x v="2"/>
    <x v="2"/>
    <n v="0"/>
    <s v="ST"/>
  </r>
  <r>
    <s v=".1~922"/>
    <n v="922"/>
    <s v="D2"/>
    <s v="04"/>
    <s v="09"/>
    <x v="38"/>
    <n v="8"/>
    <n v="39"/>
    <x v="1"/>
    <x v="3"/>
    <x v="3"/>
    <n v="0"/>
    <s v="ST"/>
  </r>
  <r>
    <s v=".1~923"/>
    <n v="923"/>
    <s v="D2"/>
    <s v="04"/>
    <s v="09"/>
    <x v="38"/>
    <n v="8"/>
    <n v="39"/>
    <x v="1"/>
    <x v="4"/>
    <x v="4"/>
    <n v="43"/>
    <s v="ST"/>
  </r>
  <r>
    <s v=".1~924"/>
    <n v="924"/>
    <s v="D2"/>
    <s v="04"/>
    <s v="09"/>
    <x v="38"/>
    <n v="8"/>
    <n v="39"/>
    <x v="1"/>
    <x v="5"/>
    <x v="5"/>
    <n v="2"/>
    <s v="ST"/>
  </r>
  <r>
    <s v=".1~925"/>
    <n v="925"/>
    <s v="D2"/>
    <s v="04"/>
    <s v="09"/>
    <x v="38"/>
    <n v="8"/>
    <n v="39"/>
    <x v="2"/>
    <x v="0"/>
    <x v="0"/>
    <n v="25"/>
    <s v="ST"/>
  </r>
  <r>
    <s v=".1~926"/>
    <n v="926"/>
    <s v="D2"/>
    <s v="04"/>
    <s v="09"/>
    <x v="38"/>
    <n v="8"/>
    <n v="39"/>
    <x v="2"/>
    <x v="1"/>
    <x v="1"/>
    <n v="28"/>
    <s v="ST"/>
  </r>
  <r>
    <s v=".1~927"/>
    <n v="927"/>
    <s v="D2"/>
    <s v="04"/>
    <s v="09"/>
    <x v="38"/>
    <n v="8"/>
    <n v="39"/>
    <x v="2"/>
    <x v="2"/>
    <x v="2"/>
    <n v="92"/>
    <s v="ST"/>
  </r>
  <r>
    <s v=".1~928"/>
    <n v="928"/>
    <s v="D2"/>
    <s v="04"/>
    <s v="09"/>
    <x v="38"/>
    <n v="8"/>
    <n v="39"/>
    <x v="2"/>
    <x v="3"/>
    <x v="3"/>
    <n v="23"/>
    <s v="ST"/>
  </r>
  <r>
    <s v=".1~929"/>
    <n v="929"/>
    <s v="D2"/>
    <s v="04"/>
    <s v="09"/>
    <x v="38"/>
    <n v="8"/>
    <n v="39"/>
    <x v="2"/>
    <x v="4"/>
    <x v="4"/>
    <n v="18"/>
    <s v="ST"/>
  </r>
  <r>
    <s v=".1~930"/>
    <n v="930"/>
    <s v="D2"/>
    <s v="04"/>
    <s v="09"/>
    <x v="38"/>
    <n v="8"/>
    <n v="39"/>
    <x v="2"/>
    <x v="5"/>
    <x v="5"/>
    <n v="30"/>
    <s v="ST"/>
  </r>
  <r>
    <s v=".1~931"/>
    <n v="931"/>
    <s v="D2"/>
    <s v="04"/>
    <s v="09"/>
    <x v="38"/>
    <n v="8"/>
    <n v="39"/>
    <x v="3"/>
    <x v="0"/>
    <x v="0"/>
    <n v="22"/>
    <s v="ST"/>
  </r>
  <r>
    <s v=".1~932"/>
    <n v="932"/>
    <s v="D2"/>
    <s v="04"/>
    <s v="09"/>
    <x v="38"/>
    <n v="8"/>
    <n v="39"/>
    <x v="3"/>
    <x v="1"/>
    <x v="1"/>
    <n v="30"/>
    <s v="ST"/>
  </r>
  <r>
    <s v=".1~933"/>
    <n v="933"/>
    <s v="D2"/>
    <s v="04"/>
    <s v="09"/>
    <x v="38"/>
    <n v="8"/>
    <n v="39"/>
    <x v="3"/>
    <x v="2"/>
    <x v="2"/>
    <n v="47"/>
    <s v="ST"/>
  </r>
  <r>
    <s v=".1~934"/>
    <n v="934"/>
    <s v="D2"/>
    <s v="04"/>
    <s v="09"/>
    <x v="38"/>
    <n v="8"/>
    <n v="39"/>
    <x v="3"/>
    <x v="3"/>
    <x v="3"/>
    <n v="0"/>
    <s v="ST"/>
  </r>
  <r>
    <s v=".1~935"/>
    <n v="935"/>
    <s v="D2"/>
    <s v="04"/>
    <s v="09"/>
    <x v="38"/>
    <n v="8"/>
    <n v="39"/>
    <x v="3"/>
    <x v="4"/>
    <x v="4"/>
    <n v="30"/>
    <s v="ST"/>
  </r>
  <r>
    <s v=".1~936"/>
    <n v="936"/>
    <s v="D2"/>
    <s v="04"/>
    <s v="09"/>
    <x v="38"/>
    <n v="8"/>
    <n v="39"/>
    <x v="3"/>
    <x v="5"/>
    <x v="5"/>
    <n v="30"/>
    <s v="ST"/>
  </r>
  <r>
    <s v=".1~937"/>
    <n v="937"/>
    <s v="D2"/>
    <s v="04"/>
    <s v="10"/>
    <x v="39"/>
    <n v="8"/>
    <n v="40"/>
    <x v="0"/>
    <x v="0"/>
    <x v="0"/>
    <n v="1400"/>
    <s v="ST"/>
  </r>
  <r>
    <s v=".1~938"/>
    <n v="938"/>
    <s v="D2"/>
    <s v="04"/>
    <s v="10"/>
    <x v="39"/>
    <n v="8"/>
    <n v="40"/>
    <x v="0"/>
    <x v="1"/>
    <x v="1"/>
    <n v="192"/>
    <s v="ST"/>
  </r>
  <r>
    <s v=".1~939"/>
    <n v="939"/>
    <s v="D2"/>
    <s v="04"/>
    <s v="10"/>
    <x v="39"/>
    <n v="8"/>
    <n v="40"/>
    <x v="0"/>
    <x v="2"/>
    <x v="2"/>
    <n v="1200"/>
    <s v="ST"/>
  </r>
  <r>
    <s v=".1~940"/>
    <n v="940"/>
    <s v="D2"/>
    <s v="04"/>
    <s v="10"/>
    <x v="39"/>
    <n v="8"/>
    <n v="40"/>
    <x v="0"/>
    <x v="3"/>
    <x v="3"/>
    <n v="253"/>
    <s v="ST"/>
  </r>
  <r>
    <s v=".1~941"/>
    <n v="941"/>
    <s v="D2"/>
    <s v="04"/>
    <s v="10"/>
    <x v="39"/>
    <n v="8"/>
    <n v="40"/>
    <x v="0"/>
    <x v="4"/>
    <x v="4"/>
    <n v="450"/>
    <s v="ST"/>
  </r>
  <r>
    <s v=".1~942"/>
    <n v="942"/>
    <s v="D2"/>
    <s v="04"/>
    <s v="10"/>
    <x v="39"/>
    <n v="8"/>
    <n v="40"/>
    <x v="0"/>
    <x v="5"/>
    <x v="5"/>
    <n v="262"/>
    <s v="ST"/>
  </r>
  <r>
    <s v=".1~943"/>
    <n v="943"/>
    <s v="D2"/>
    <s v="04"/>
    <s v="10"/>
    <x v="39"/>
    <n v="8"/>
    <n v="40"/>
    <x v="1"/>
    <x v="0"/>
    <x v="0"/>
    <n v="0"/>
    <s v="ST"/>
  </r>
  <r>
    <s v=".1~944"/>
    <n v="944"/>
    <s v="D2"/>
    <s v="04"/>
    <s v="10"/>
    <x v="39"/>
    <n v="8"/>
    <n v="40"/>
    <x v="1"/>
    <x v="1"/>
    <x v="1"/>
    <n v="30"/>
    <s v="ST"/>
  </r>
  <r>
    <s v=".1~945"/>
    <n v="945"/>
    <s v="D2"/>
    <s v="04"/>
    <s v="10"/>
    <x v="39"/>
    <n v="8"/>
    <n v="40"/>
    <x v="1"/>
    <x v="2"/>
    <x v="2"/>
    <n v="0"/>
    <s v="ST"/>
  </r>
  <r>
    <s v=".1~946"/>
    <n v="946"/>
    <s v="D2"/>
    <s v="04"/>
    <s v="10"/>
    <x v="39"/>
    <n v="8"/>
    <n v="40"/>
    <x v="1"/>
    <x v="3"/>
    <x v="3"/>
    <n v="0"/>
    <s v="ST"/>
  </r>
  <r>
    <s v=".1~947"/>
    <n v="947"/>
    <s v="D2"/>
    <s v="04"/>
    <s v="10"/>
    <x v="39"/>
    <n v="8"/>
    <n v="40"/>
    <x v="1"/>
    <x v="4"/>
    <x v="4"/>
    <n v="43"/>
    <s v="ST"/>
  </r>
  <r>
    <s v=".1~948"/>
    <n v="948"/>
    <s v="D2"/>
    <s v="04"/>
    <s v="10"/>
    <x v="39"/>
    <n v="8"/>
    <n v="40"/>
    <x v="1"/>
    <x v="5"/>
    <x v="5"/>
    <n v="48"/>
    <s v="ST"/>
  </r>
  <r>
    <s v=".1~949"/>
    <n v="949"/>
    <s v="D2"/>
    <s v="04"/>
    <s v="10"/>
    <x v="39"/>
    <n v="8"/>
    <n v="40"/>
    <x v="2"/>
    <x v="0"/>
    <x v="0"/>
    <n v="25"/>
    <s v="ST"/>
  </r>
  <r>
    <s v=".1~950"/>
    <n v="950"/>
    <s v="D2"/>
    <s v="04"/>
    <s v="10"/>
    <x v="39"/>
    <n v="8"/>
    <n v="40"/>
    <x v="2"/>
    <x v="1"/>
    <x v="1"/>
    <n v="50"/>
    <s v="ST"/>
  </r>
  <r>
    <s v=".1~951"/>
    <n v="951"/>
    <s v="D2"/>
    <s v="04"/>
    <s v="10"/>
    <x v="39"/>
    <n v="8"/>
    <n v="40"/>
    <x v="2"/>
    <x v="2"/>
    <x v="2"/>
    <n v="6"/>
    <s v="ST"/>
  </r>
  <r>
    <s v=".1~952"/>
    <n v="952"/>
    <s v="D2"/>
    <s v="04"/>
    <s v="10"/>
    <x v="39"/>
    <n v="8"/>
    <n v="40"/>
    <x v="2"/>
    <x v="3"/>
    <x v="3"/>
    <n v="23"/>
    <s v="ST"/>
  </r>
  <r>
    <s v=".1~953"/>
    <n v="953"/>
    <s v="D2"/>
    <s v="04"/>
    <s v="10"/>
    <x v="39"/>
    <n v="8"/>
    <n v="40"/>
    <x v="2"/>
    <x v="4"/>
    <x v="4"/>
    <n v="18"/>
    <s v="ST"/>
  </r>
  <r>
    <s v=".1~954"/>
    <n v="954"/>
    <s v="D2"/>
    <s v="04"/>
    <s v="10"/>
    <x v="39"/>
    <n v="8"/>
    <n v="40"/>
    <x v="2"/>
    <x v="5"/>
    <x v="5"/>
    <n v="30"/>
    <s v="ST"/>
  </r>
  <r>
    <s v=".1~955"/>
    <n v="955"/>
    <s v="D2"/>
    <s v="04"/>
    <s v="10"/>
    <x v="39"/>
    <n v="8"/>
    <n v="40"/>
    <x v="3"/>
    <x v="0"/>
    <x v="0"/>
    <n v="22"/>
    <s v="ST"/>
  </r>
  <r>
    <s v=".1~956"/>
    <n v="956"/>
    <s v="D2"/>
    <s v="04"/>
    <s v="10"/>
    <x v="39"/>
    <n v="8"/>
    <n v="40"/>
    <x v="3"/>
    <x v="1"/>
    <x v="1"/>
    <n v="4"/>
    <s v="ST"/>
  </r>
  <r>
    <s v=".1~957"/>
    <n v="957"/>
    <s v="D2"/>
    <s v="04"/>
    <s v="10"/>
    <x v="39"/>
    <n v="8"/>
    <n v="40"/>
    <x v="3"/>
    <x v="2"/>
    <x v="2"/>
    <n v="47"/>
    <s v="ST"/>
  </r>
  <r>
    <s v=".1~958"/>
    <n v="958"/>
    <s v="D2"/>
    <s v="04"/>
    <s v="10"/>
    <x v="39"/>
    <n v="8"/>
    <n v="40"/>
    <x v="3"/>
    <x v="3"/>
    <x v="3"/>
    <n v="0"/>
    <s v="ST"/>
  </r>
  <r>
    <s v=".1~959"/>
    <n v="959"/>
    <s v="D2"/>
    <s v="04"/>
    <s v="10"/>
    <x v="39"/>
    <n v="8"/>
    <n v="40"/>
    <x v="3"/>
    <x v="4"/>
    <x v="4"/>
    <n v="30"/>
    <s v="ST"/>
  </r>
  <r>
    <s v=".1~960"/>
    <n v="960"/>
    <s v="D2"/>
    <s v="04"/>
    <s v="10"/>
    <x v="39"/>
    <n v="8"/>
    <n v="40"/>
    <x v="3"/>
    <x v="5"/>
    <x v="5"/>
    <n v="30"/>
    <s v="ST"/>
  </r>
  <r>
    <s v=".1~961"/>
    <n v="961"/>
    <s v="D2"/>
    <s v="05"/>
    <s v="01"/>
    <x v="40"/>
    <n v="9"/>
    <n v="41"/>
    <x v="0"/>
    <x v="0"/>
    <x v="0"/>
    <n v="977"/>
    <s v="ST"/>
  </r>
  <r>
    <s v=".1~962"/>
    <n v="962"/>
    <s v="D2"/>
    <s v="05"/>
    <s v="01"/>
    <x v="40"/>
    <n v="9"/>
    <n v="41"/>
    <x v="0"/>
    <x v="1"/>
    <x v="1"/>
    <n v="166"/>
    <s v="ST"/>
  </r>
  <r>
    <s v=".1~963"/>
    <n v="963"/>
    <s v="D2"/>
    <s v="05"/>
    <s v="01"/>
    <x v="40"/>
    <n v="9"/>
    <n v="41"/>
    <x v="0"/>
    <x v="2"/>
    <x v="2"/>
    <n v="843"/>
    <s v="ST"/>
  </r>
  <r>
    <s v=".1~964"/>
    <n v="964"/>
    <s v="D2"/>
    <s v="05"/>
    <s v="01"/>
    <x v="40"/>
    <n v="9"/>
    <n v="41"/>
    <x v="0"/>
    <x v="3"/>
    <x v="3"/>
    <n v="156"/>
    <s v="ST"/>
  </r>
  <r>
    <s v=".1~965"/>
    <n v="965"/>
    <s v="D2"/>
    <s v="05"/>
    <s v="01"/>
    <x v="40"/>
    <n v="9"/>
    <n v="41"/>
    <x v="0"/>
    <x v="4"/>
    <x v="4"/>
    <n v="386"/>
    <s v="ST"/>
  </r>
  <r>
    <s v=".1~966"/>
    <n v="966"/>
    <s v="D2"/>
    <s v="05"/>
    <s v="01"/>
    <x v="40"/>
    <n v="9"/>
    <n v="41"/>
    <x v="0"/>
    <x v="5"/>
    <x v="5"/>
    <n v="260"/>
    <s v="ST"/>
  </r>
  <r>
    <s v=".1~967"/>
    <n v="967"/>
    <s v="D2"/>
    <s v="05"/>
    <s v="01"/>
    <x v="40"/>
    <n v="9"/>
    <n v="41"/>
    <x v="1"/>
    <x v="0"/>
    <x v="0"/>
    <n v="270"/>
    <s v="ST"/>
  </r>
  <r>
    <s v=".1~968"/>
    <n v="968"/>
    <s v="D2"/>
    <s v="05"/>
    <s v="01"/>
    <x v="40"/>
    <n v="9"/>
    <n v="41"/>
    <x v="1"/>
    <x v="1"/>
    <x v="1"/>
    <n v="30"/>
    <s v="ST"/>
  </r>
  <r>
    <s v=".1~969"/>
    <n v="969"/>
    <s v="D2"/>
    <s v="05"/>
    <s v="01"/>
    <x v="40"/>
    <n v="9"/>
    <n v="41"/>
    <x v="1"/>
    <x v="2"/>
    <x v="2"/>
    <n v="150"/>
    <s v="ST"/>
  </r>
  <r>
    <s v=".1~970"/>
    <n v="970"/>
    <s v="D2"/>
    <s v="05"/>
    <s v="01"/>
    <x v="40"/>
    <n v="9"/>
    <n v="41"/>
    <x v="1"/>
    <x v="3"/>
    <x v="3"/>
    <n v="30"/>
    <s v="ST"/>
  </r>
  <r>
    <s v=".1~971"/>
    <n v="971"/>
    <s v="D2"/>
    <s v="05"/>
    <s v="01"/>
    <x v="40"/>
    <n v="9"/>
    <n v="41"/>
    <x v="1"/>
    <x v="4"/>
    <x v="4"/>
    <n v="7"/>
    <s v="ST"/>
  </r>
  <r>
    <s v=".1~972"/>
    <n v="972"/>
    <s v="D2"/>
    <s v="05"/>
    <s v="01"/>
    <x v="40"/>
    <n v="9"/>
    <n v="41"/>
    <x v="1"/>
    <x v="5"/>
    <x v="5"/>
    <n v="5"/>
    <s v="ST"/>
  </r>
  <r>
    <s v=".1~973"/>
    <n v="973"/>
    <s v="D2"/>
    <s v="05"/>
    <s v="01"/>
    <x v="40"/>
    <n v="9"/>
    <n v="41"/>
    <x v="2"/>
    <x v="0"/>
    <x v="0"/>
    <n v="100"/>
    <s v="ST"/>
  </r>
  <r>
    <s v=".1~974"/>
    <n v="974"/>
    <s v="D2"/>
    <s v="05"/>
    <s v="01"/>
    <x v="40"/>
    <n v="9"/>
    <n v="41"/>
    <x v="2"/>
    <x v="1"/>
    <x v="1"/>
    <n v="50"/>
    <s v="ST"/>
  </r>
  <r>
    <s v=".1~975"/>
    <n v="975"/>
    <s v="D2"/>
    <s v="05"/>
    <s v="01"/>
    <x v="40"/>
    <n v="9"/>
    <n v="41"/>
    <x v="2"/>
    <x v="2"/>
    <x v="2"/>
    <n v="204"/>
    <s v="ST"/>
  </r>
  <r>
    <s v=".1~976"/>
    <n v="976"/>
    <s v="D2"/>
    <s v="05"/>
    <s v="01"/>
    <x v="40"/>
    <n v="9"/>
    <n v="41"/>
    <x v="2"/>
    <x v="3"/>
    <x v="3"/>
    <n v="12"/>
    <s v="ST"/>
  </r>
  <r>
    <s v=".1~977"/>
    <n v="977"/>
    <s v="D2"/>
    <s v="05"/>
    <s v="01"/>
    <x v="40"/>
    <n v="9"/>
    <n v="41"/>
    <x v="2"/>
    <x v="4"/>
    <x v="4"/>
    <n v="57"/>
    <s v="ST"/>
  </r>
  <r>
    <s v=".1~978"/>
    <n v="978"/>
    <s v="D2"/>
    <s v="05"/>
    <s v="01"/>
    <x v="40"/>
    <n v="9"/>
    <n v="41"/>
    <x v="2"/>
    <x v="5"/>
    <x v="5"/>
    <n v="30"/>
    <s v="ST"/>
  </r>
  <r>
    <s v=".1~979"/>
    <n v="979"/>
    <s v="D2"/>
    <s v="05"/>
    <s v="01"/>
    <x v="40"/>
    <n v="9"/>
    <n v="41"/>
    <x v="3"/>
    <x v="0"/>
    <x v="0"/>
    <n v="100"/>
    <s v="ST"/>
  </r>
  <r>
    <s v=".1~980"/>
    <n v="980"/>
    <s v="D2"/>
    <s v="05"/>
    <s v="01"/>
    <x v="40"/>
    <n v="9"/>
    <n v="41"/>
    <x v="3"/>
    <x v="1"/>
    <x v="1"/>
    <n v="30"/>
    <s v="ST"/>
  </r>
  <r>
    <s v=".1~981"/>
    <n v="981"/>
    <s v="D2"/>
    <s v="05"/>
    <s v="01"/>
    <x v="40"/>
    <n v="9"/>
    <n v="41"/>
    <x v="3"/>
    <x v="2"/>
    <x v="2"/>
    <n v="50"/>
    <s v="ST"/>
  </r>
  <r>
    <s v=".1~982"/>
    <n v="982"/>
    <s v="D2"/>
    <s v="05"/>
    <s v="01"/>
    <x v="40"/>
    <n v="9"/>
    <n v="41"/>
    <x v="3"/>
    <x v="3"/>
    <x v="3"/>
    <n v="60"/>
    <s v="ST"/>
  </r>
  <r>
    <s v=".1~983"/>
    <n v="983"/>
    <s v="D2"/>
    <s v="05"/>
    <s v="01"/>
    <x v="40"/>
    <n v="9"/>
    <n v="41"/>
    <x v="3"/>
    <x v="4"/>
    <x v="4"/>
    <n v="30"/>
    <s v="ST"/>
  </r>
  <r>
    <s v=".1~984"/>
    <n v="984"/>
    <s v="D2"/>
    <s v="05"/>
    <s v="01"/>
    <x v="40"/>
    <n v="9"/>
    <n v="41"/>
    <x v="3"/>
    <x v="5"/>
    <x v="5"/>
    <n v="30"/>
    <s v="ST"/>
  </r>
  <r>
    <s v=".1~985"/>
    <n v="985"/>
    <s v="D2"/>
    <s v="05"/>
    <s v="02"/>
    <x v="41"/>
    <n v="9"/>
    <n v="42"/>
    <x v="0"/>
    <x v="0"/>
    <x v="0"/>
    <n v="977"/>
    <s v="ST"/>
  </r>
  <r>
    <s v=".1~986"/>
    <n v="986"/>
    <s v="D2"/>
    <s v="05"/>
    <s v="02"/>
    <x v="41"/>
    <n v="9"/>
    <n v="42"/>
    <x v="0"/>
    <x v="1"/>
    <x v="1"/>
    <n v="166"/>
    <s v="ST"/>
  </r>
  <r>
    <s v=".1~987"/>
    <n v="987"/>
    <s v="D2"/>
    <s v="05"/>
    <s v="02"/>
    <x v="41"/>
    <n v="9"/>
    <n v="42"/>
    <x v="0"/>
    <x v="2"/>
    <x v="2"/>
    <n v="837"/>
    <s v="ST"/>
  </r>
  <r>
    <s v=".1~988"/>
    <n v="988"/>
    <s v="D2"/>
    <s v="05"/>
    <s v="02"/>
    <x v="41"/>
    <n v="9"/>
    <n v="42"/>
    <x v="0"/>
    <x v="3"/>
    <x v="3"/>
    <n v="138"/>
    <s v="ST"/>
  </r>
  <r>
    <s v=".1~989"/>
    <n v="989"/>
    <s v="D2"/>
    <s v="05"/>
    <s v="02"/>
    <x v="41"/>
    <n v="9"/>
    <n v="42"/>
    <x v="0"/>
    <x v="4"/>
    <x v="4"/>
    <n v="325"/>
    <s v="ST"/>
  </r>
  <r>
    <s v=".1~990"/>
    <n v="990"/>
    <s v="D2"/>
    <s v="05"/>
    <s v="02"/>
    <x v="41"/>
    <n v="9"/>
    <n v="42"/>
    <x v="0"/>
    <x v="5"/>
    <x v="5"/>
    <n v="215"/>
    <s v="ST"/>
  </r>
  <r>
    <s v=".1~991"/>
    <n v="991"/>
    <s v="D2"/>
    <s v="05"/>
    <s v="02"/>
    <x v="41"/>
    <n v="9"/>
    <n v="42"/>
    <x v="1"/>
    <x v="0"/>
    <x v="0"/>
    <n v="189"/>
    <s v="ST"/>
  </r>
  <r>
    <s v=".1~992"/>
    <n v="992"/>
    <s v="D2"/>
    <s v="05"/>
    <s v="02"/>
    <x v="41"/>
    <n v="9"/>
    <n v="42"/>
    <x v="1"/>
    <x v="1"/>
    <x v="1"/>
    <n v="30"/>
    <s v="ST"/>
  </r>
  <r>
    <s v=".1~993"/>
    <n v="993"/>
    <s v="D2"/>
    <s v="05"/>
    <s v="02"/>
    <x v="41"/>
    <n v="9"/>
    <n v="42"/>
    <x v="1"/>
    <x v="2"/>
    <x v="2"/>
    <n v="73"/>
    <s v="ST"/>
  </r>
  <r>
    <s v=".1~994"/>
    <n v="994"/>
    <s v="D2"/>
    <s v="05"/>
    <s v="02"/>
    <x v="41"/>
    <n v="9"/>
    <n v="42"/>
    <x v="1"/>
    <x v="3"/>
    <x v="3"/>
    <n v="0"/>
    <s v="ST"/>
  </r>
  <r>
    <s v=".1~995"/>
    <n v="995"/>
    <s v="D2"/>
    <s v="05"/>
    <s v="02"/>
    <x v="41"/>
    <n v="9"/>
    <n v="42"/>
    <x v="1"/>
    <x v="4"/>
    <x v="4"/>
    <n v="50"/>
    <s v="ST"/>
  </r>
  <r>
    <s v=".1~996"/>
    <n v="996"/>
    <s v="D2"/>
    <s v="05"/>
    <s v="02"/>
    <x v="41"/>
    <n v="9"/>
    <n v="42"/>
    <x v="1"/>
    <x v="5"/>
    <x v="5"/>
    <n v="50"/>
    <s v="ST"/>
  </r>
  <r>
    <s v=".1~997"/>
    <n v="997"/>
    <s v="D2"/>
    <s v="05"/>
    <s v="02"/>
    <x v="41"/>
    <n v="9"/>
    <n v="42"/>
    <x v="2"/>
    <x v="0"/>
    <x v="0"/>
    <n v="100"/>
    <s v="ST"/>
  </r>
  <r>
    <s v=".1~998"/>
    <n v="998"/>
    <s v="D2"/>
    <s v="05"/>
    <s v="02"/>
    <x v="41"/>
    <n v="9"/>
    <n v="42"/>
    <x v="2"/>
    <x v="1"/>
    <x v="1"/>
    <n v="50"/>
    <s v="ST"/>
  </r>
  <r>
    <s v=".1~999"/>
    <n v="999"/>
    <s v="D2"/>
    <s v="05"/>
    <s v="02"/>
    <x v="41"/>
    <n v="9"/>
    <n v="42"/>
    <x v="2"/>
    <x v="2"/>
    <x v="2"/>
    <n v="24"/>
    <s v="ST"/>
  </r>
  <r>
    <s v=".1~1000"/>
    <n v="1000"/>
    <s v="D2"/>
    <s v="05"/>
    <s v="02"/>
    <x v="41"/>
    <n v="9"/>
    <n v="42"/>
    <x v="2"/>
    <x v="3"/>
    <x v="3"/>
    <n v="30"/>
    <s v="ST"/>
  </r>
  <r>
    <s v=".1~1001"/>
    <n v="1001"/>
    <s v="D2"/>
    <s v="05"/>
    <s v="02"/>
    <x v="41"/>
    <n v="9"/>
    <n v="42"/>
    <x v="2"/>
    <x v="4"/>
    <x v="4"/>
    <n v="51"/>
    <s v="ST"/>
  </r>
  <r>
    <s v=".1~1002"/>
    <n v="1002"/>
    <s v="D2"/>
    <s v="05"/>
    <s v="02"/>
    <x v="41"/>
    <n v="9"/>
    <n v="42"/>
    <x v="2"/>
    <x v="5"/>
    <x v="5"/>
    <n v="30"/>
    <s v="ST"/>
  </r>
  <r>
    <s v=".1~1003"/>
    <n v="1003"/>
    <s v="D2"/>
    <s v="05"/>
    <s v="02"/>
    <x v="41"/>
    <n v="9"/>
    <n v="42"/>
    <x v="3"/>
    <x v="0"/>
    <x v="0"/>
    <n v="100"/>
    <s v="ST"/>
  </r>
  <r>
    <s v=".1~1004"/>
    <n v="1004"/>
    <s v="D2"/>
    <s v="05"/>
    <s v="02"/>
    <x v="41"/>
    <n v="9"/>
    <n v="42"/>
    <x v="3"/>
    <x v="1"/>
    <x v="1"/>
    <n v="30"/>
    <s v="ST"/>
  </r>
  <r>
    <s v=".1~1005"/>
    <n v="1005"/>
    <s v="D2"/>
    <s v="05"/>
    <s v="02"/>
    <x v="41"/>
    <n v="9"/>
    <n v="42"/>
    <x v="3"/>
    <x v="2"/>
    <x v="2"/>
    <n v="50"/>
    <s v="ST"/>
  </r>
  <r>
    <s v=".1~1006"/>
    <n v="1006"/>
    <s v="D2"/>
    <s v="05"/>
    <s v="02"/>
    <x v="41"/>
    <n v="9"/>
    <n v="42"/>
    <x v="3"/>
    <x v="3"/>
    <x v="3"/>
    <n v="60"/>
    <s v="ST"/>
  </r>
  <r>
    <s v=".1~1007"/>
    <n v="1007"/>
    <s v="D2"/>
    <s v="05"/>
    <s v="02"/>
    <x v="41"/>
    <n v="9"/>
    <n v="42"/>
    <x v="3"/>
    <x v="4"/>
    <x v="4"/>
    <n v="30"/>
    <s v="ST"/>
  </r>
  <r>
    <s v=".1~1008"/>
    <n v="1008"/>
    <s v="D2"/>
    <s v="05"/>
    <s v="02"/>
    <x v="41"/>
    <n v="9"/>
    <n v="42"/>
    <x v="3"/>
    <x v="5"/>
    <x v="5"/>
    <n v="30"/>
    <s v="ST"/>
  </r>
  <r>
    <s v=".1~1009"/>
    <n v="1009"/>
    <s v="D2"/>
    <s v="05"/>
    <s v="03"/>
    <x v="42"/>
    <n v="9"/>
    <n v="43"/>
    <x v="0"/>
    <x v="0"/>
    <x v="0"/>
    <n v="896"/>
    <s v="ST"/>
  </r>
  <r>
    <s v=".1~1010"/>
    <n v="1010"/>
    <s v="D2"/>
    <s v="05"/>
    <s v="03"/>
    <x v="42"/>
    <n v="9"/>
    <n v="43"/>
    <x v="0"/>
    <x v="1"/>
    <x v="1"/>
    <n v="166"/>
    <s v="ST"/>
  </r>
  <r>
    <s v=".1~1011"/>
    <n v="1011"/>
    <s v="D2"/>
    <s v="05"/>
    <s v="03"/>
    <x v="42"/>
    <n v="9"/>
    <n v="43"/>
    <x v="0"/>
    <x v="2"/>
    <x v="2"/>
    <n v="524"/>
    <s v="ST"/>
  </r>
  <r>
    <s v=".1~1012"/>
    <n v="1012"/>
    <s v="D2"/>
    <s v="05"/>
    <s v="03"/>
    <x v="42"/>
    <n v="9"/>
    <n v="43"/>
    <x v="0"/>
    <x v="3"/>
    <x v="3"/>
    <n v="108"/>
    <s v="ST"/>
  </r>
  <r>
    <s v=".1~1013"/>
    <n v="1013"/>
    <s v="D2"/>
    <s v="05"/>
    <s v="03"/>
    <x v="42"/>
    <n v="9"/>
    <n v="43"/>
    <x v="0"/>
    <x v="4"/>
    <x v="4"/>
    <n v="281"/>
    <s v="ST"/>
  </r>
  <r>
    <s v=".1~1014"/>
    <n v="1014"/>
    <s v="D2"/>
    <s v="05"/>
    <s v="03"/>
    <x v="42"/>
    <n v="9"/>
    <n v="43"/>
    <x v="0"/>
    <x v="5"/>
    <x v="5"/>
    <n v="215"/>
    <s v="ST"/>
  </r>
  <r>
    <s v=".1~1015"/>
    <n v="1015"/>
    <s v="D2"/>
    <s v="05"/>
    <s v="03"/>
    <x v="42"/>
    <n v="9"/>
    <n v="43"/>
    <x v="1"/>
    <x v="0"/>
    <x v="0"/>
    <n v="136"/>
    <s v="ST"/>
  </r>
  <r>
    <s v=".1~1016"/>
    <n v="1016"/>
    <s v="D2"/>
    <s v="05"/>
    <s v="03"/>
    <x v="42"/>
    <n v="9"/>
    <n v="43"/>
    <x v="1"/>
    <x v="1"/>
    <x v="1"/>
    <n v="30"/>
    <s v="ST"/>
  </r>
  <r>
    <s v=".1~1017"/>
    <n v="1017"/>
    <s v="D2"/>
    <s v="05"/>
    <s v="03"/>
    <x v="42"/>
    <n v="9"/>
    <n v="43"/>
    <x v="1"/>
    <x v="2"/>
    <x v="2"/>
    <n v="77"/>
    <s v="ST"/>
  </r>
  <r>
    <s v=".1~1018"/>
    <n v="1018"/>
    <s v="D2"/>
    <s v="05"/>
    <s v="03"/>
    <x v="42"/>
    <n v="9"/>
    <n v="43"/>
    <x v="1"/>
    <x v="3"/>
    <x v="3"/>
    <n v="30"/>
    <s v="ST"/>
  </r>
  <r>
    <s v=".1~1019"/>
    <n v="1019"/>
    <s v="D2"/>
    <s v="05"/>
    <s v="03"/>
    <x v="42"/>
    <n v="9"/>
    <n v="43"/>
    <x v="1"/>
    <x v="4"/>
    <x v="4"/>
    <n v="22"/>
    <s v="ST"/>
  </r>
  <r>
    <s v=".1~1020"/>
    <n v="1020"/>
    <s v="D2"/>
    <s v="05"/>
    <s v="03"/>
    <x v="42"/>
    <n v="9"/>
    <n v="43"/>
    <x v="1"/>
    <x v="5"/>
    <x v="5"/>
    <n v="50"/>
    <s v="ST"/>
  </r>
  <r>
    <s v=".1~1021"/>
    <n v="1021"/>
    <s v="D2"/>
    <s v="05"/>
    <s v="03"/>
    <x v="42"/>
    <n v="9"/>
    <n v="43"/>
    <x v="2"/>
    <x v="0"/>
    <x v="0"/>
    <n v="100"/>
    <s v="ST"/>
  </r>
  <r>
    <s v=".1~1022"/>
    <n v="1022"/>
    <s v="D2"/>
    <s v="05"/>
    <s v="03"/>
    <x v="42"/>
    <n v="9"/>
    <n v="43"/>
    <x v="2"/>
    <x v="1"/>
    <x v="1"/>
    <n v="0"/>
    <s v="ST"/>
  </r>
  <r>
    <s v=".1~1023"/>
    <n v="1023"/>
    <s v="D2"/>
    <s v="05"/>
    <s v="03"/>
    <x v="42"/>
    <n v="9"/>
    <n v="43"/>
    <x v="2"/>
    <x v="2"/>
    <x v="2"/>
    <n v="186"/>
    <s v="ST"/>
  </r>
  <r>
    <s v=".1~1024"/>
    <n v="1024"/>
    <s v="D2"/>
    <s v="05"/>
    <s v="03"/>
    <x v="42"/>
    <n v="9"/>
    <n v="43"/>
    <x v="2"/>
    <x v="3"/>
    <x v="3"/>
    <n v="30"/>
    <s v="ST"/>
  </r>
  <r>
    <s v=".1~1025"/>
    <n v="1025"/>
    <s v="D2"/>
    <s v="05"/>
    <s v="03"/>
    <x v="42"/>
    <n v="9"/>
    <n v="43"/>
    <x v="2"/>
    <x v="4"/>
    <x v="4"/>
    <n v="75"/>
    <s v="ST"/>
  </r>
  <r>
    <s v=".1~1026"/>
    <n v="1026"/>
    <s v="D2"/>
    <s v="05"/>
    <s v="03"/>
    <x v="42"/>
    <n v="9"/>
    <n v="43"/>
    <x v="2"/>
    <x v="5"/>
    <x v="5"/>
    <n v="30"/>
    <s v="ST"/>
  </r>
  <r>
    <s v=".1~1027"/>
    <n v="1027"/>
    <s v="D2"/>
    <s v="05"/>
    <s v="03"/>
    <x v="42"/>
    <n v="9"/>
    <n v="43"/>
    <x v="3"/>
    <x v="0"/>
    <x v="0"/>
    <n v="15"/>
    <s v="ST"/>
  </r>
  <r>
    <s v=".1~1028"/>
    <n v="1028"/>
    <s v="D2"/>
    <s v="05"/>
    <s v="03"/>
    <x v="42"/>
    <n v="9"/>
    <n v="43"/>
    <x v="3"/>
    <x v="1"/>
    <x v="1"/>
    <n v="30"/>
    <s v="ST"/>
  </r>
  <r>
    <s v=".1~1029"/>
    <n v="1029"/>
    <s v="D2"/>
    <s v="05"/>
    <s v="03"/>
    <x v="42"/>
    <n v="9"/>
    <n v="43"/>
    <x v="3"/>
    <x v="2"/>
    <x v="2"/>
    <n v="100"/>
    <s v="ST"/>
  </r>
  <r>
    <s v=".1~1030"/>
    <n v="1030"/>
    <s v="D2"/>
    <s v="05"/>
    <s v="03"/>
    <x v="42"/>
    <n v="9"/>
    <n v="43"/>
    <x v="3"/>
    <x v="3"/>
    <x v="3"/>
    <n v="37"/>
    <s v="ST"/>
  </r>
  <r>
    <s v=".1~1031"/>
    <n v="1031"/>
    <s v="D2"/>
    <s v="05"/>
    <s v="03"/>
    <x v="42"/>
    <n v="9"/>
    <n v="43"/>
    <x v="3"/>
    <x v="4"/>
    <x v="4"/>
    <n v="50"/>
    <s v="ST"/>
  </r>
  <r>
    <s v=".1~1032"/>
    <n v="1032"/>
    <s v="D2"/>
    <s v="05"/>
    <s v="03"/>
    <x v="42"/>
    <n v="9"/>
    <n v="43"/>
    <x v="3"/>
    <x v="5"/>
    <x v="5"/>
    <n v="30"/>
    <s v="ST"/>
  </r>
  <r>
    <s v=".1~1033"/>
    <n v="1033"/>
    <s v="D2"/>
    <s v="05"/>
    <s v="04"/>
    <x v="43"/>
    <n v="9"/>
    <n v="44"/>
    <x v="0"/>
    <x v="0"/>
    <x v="0"/>
    <n v="677"/>
    <s v="ST"/>
  </r>
  <r>
    <s v=".1~1034"/>
    <n v="1034"/>
    <s v="D2"/>
    <s v="05"/>
    <s v="04"/>
    <x v="43"/>
    <n v="9"/>
    <n v="44"/>
    <x v="0"/>
    <x v="1"/>
    <x v="1"/>
    <n v="116"/>
    <s v="ST"/>
  </r>
  <r>
    <s v=".1~1035"/>
    <n v="1035"/>
    <s v="D2"/>
    <s v="05"/>
    <s v="04"/>
    <x v="43"/>
    <n v="9"/>
    <n v="44"/>
    <x v="0"/>
    <x v="2"/>
    <x v="2"/>
    <n v="427"/>
    <s v="ST"/>
  </r>
  <r>
    <s v=".1~1036"/>
    <n v="1036"/>
    <s v="D2"/>
    <s v="05"/>
    <s v="04"/>
    <x v="43"/>
    <n v="9"/>
    <n v="44"/>
    <x v="0"/>
    <x v="3"/>
    <x v="3"/>
    <n v="85"/>
    <s v="ST"/>
  </r>
  <r>
    <s v=".1~1037"/>
    <n v="1037"/>
    <s v="D2"/>
    <s v="05"/>
    <s v="04"/>
    <x v="43"/>
    <n v="9"/>
    <n v="44"/>
    <x v="0"/>
    <x v="4"/>
    <x v="4"/>
    <n v="253"/>
    <s v="ST"/>
  </r>
  <r>
    <s v=".1~1038"/>
    <n v="1038"/>
    <s v="D2"/>
    <s v="05"/>
    <s v="04"/>
    <x v="43"/>
    <n v="9"/>
    <n v="44"/>
    <x v="0"/>
    <x v="5"/>
    <x v="5"/>
    <n v="215"/>
    <s v="ST"/>
  </r>
  <r>
    <s v=".1~1039"/>
    <n v="1039"/>
    <s v="D2"/>
    <s v="05"/>
    <s v="04"/>
    <x v="43"/>
    <n v="9"/>
    <n v="44"/>
    <x v="1"/>
    <x v="0"/>
    <x v="0"/>
    <n v="198"/>
    <s v="ST"/>
  </r>
  <r>
    <s v=".1~1040"/>
    <n v="1040"/>
    <s v="D2"/>
    <s v="05"/>
    <s v="04"/>
    <x v="43"/>
    <n v="9"/>
    <n v="44"/>
    <x v="1"/>
    <x v="1"/>
    <x v="1"/>
    <n v="7"/>
    <s v="ST"/>
  </r>
  <r>
    <s v=".1~1041"/>
    <n v="1041"/>
    <s v="D2"/>
    <s v="05"/>
    <s v="04"/>
    <x v="43"/>
    <n v="9"/>
    <n v="44"/>
    <x v="1"/>
    <x v="2"/>
    <x v="2"/>
    <n v="73"/>
    <s v="ST"/>
  </r>
  <r>
    <s v=".1~1042"/>
    <n v="1042"/>
    <s v="D2"/>
    <s v="05"/>
    <s v="04"/>
    <x v="43"/>
    <n v="9"/>
    <n v="44"/>
    <x v="1"/>
    <x v="3"/>
    <x v="3"/>
    <n v="30"/>
    <s v="ST"/>
  </r>
  <r>
    <s v=".1~1043"/>
    <n v="1043"/>
    <s v="D2"/>
    <s v="05"/>
    <s v="04"/>
    <x v="43"/>
    <n v="9"/>
    <n v="44"/>
    <x v="1"/>
    <x v="4"/>
    <x v="4"/>
    <n v="50"/>
    <s v="ST"/>
  </r>
  <r>
    <s v=".1~1044"/>
    <n v="1044"/>
    <s v="D2"/>
    <s v="05"/>
    <s v="04"/>
    <x v="43"/>
    <n v="9"/>
    <n v="44"/>
    <x v="1"/>
    <x v="5"/>
    <x v="5"/>
    <n v="0"/>
    <s v="ST"/>
  </r>
  <r>
    <s v=".1~1045"/>
    <n v="1045"/>
    <s v="D2"/>
    <s v="05"/>
    <s v="04"/>
    <x v="43"/>
    <n v="9"/>
    <n v="44"/>
    <x v="2"/>
    <x v="0"/>
    <x v="0"/>
    <n v="46"/>
    <s v="ST"/>
  </r>
  <r>
    <s v=".1~1046"/>
    <n v="1046"/>
    <s v="D2"/>
    <s v="05"/>
    <s v="04"/>
    <x v="43"/>
    <n v="9"/>
    <n v="44"/>
    <x v="2"/>
    <x v="1"/>
    <x v="1"/>
    <n v="50"/>
    <s v="ST"/>
  </r>
  <r>
    <s v=".1~1047"/>
    <n v="1047"/>
    <s v="D2"/>
    <s v="05"/>
    <s v="04"/>
    <x v="43"/>
    <n v="9"/>
    <n v="44"/>
    <x v="2"/>
    <x v="2"/>
    <x v="2"/>
    <n v="210"/>
    <s v="ST"/>
  </r>
  <r>
    <s v=".1~1048"/>
    <n v="1048"/>
    <s v="D2"/>
    <s v="05"/>
    <s v="04"/>
    <x v="43"/>
    <n v="9"/>
    <n v="44"/>
    <x v="2"/>
    <x v="3"/>
    <x v="3"/>
    <n v="30"/>
    <s v="ST"/>
  </r>
  <r>
    <s v=".1~1049"/>
    <n v="1049"/>
    <s v="D2"/>
    <s v="05"/>
    <s v="04"/>
    <x v="43"/>
    <n v="9"/>
    <n v="44"/>
    <x v="2"/>
    <x v="4"/>
    <x v="4"/>
    <n v="8"/>
    <s v="ST"/>
  </r>
  <r>
    <s v=".1~1050"/>
    <n v="1050"/>
    <s v="D2"/>
    <s v="05"/>
    <s v="04"/>
    <x v="43"/>
    <n v="9"/>
    <n v="44"/>
    <x v="2"/>
    <x v="5"/>
    <x v="5"/>
    <n v="30"/>
    <s v="ST"/>
  </r>
  <r>
    <s v=".1~1051"/>
    <n v="1051"/>
    <s v="D2"/>
    <s v="05"/>
    <s v="04"/>
    <x v="43"/>
    <n v="9"/>
    <n v="44"/>
    <x v="3"/>
    <x v="0"/>
    <x v="0"/>
    <n v="85"/>
    <s v="ST"/>
  </r>
  <r>
    <s v=".1~1052"/>
    <n v="1052"/>
    <s v="D2"/>
    <s v="05"/>
    <s v="04"/>
    <x v="43"/>
    <n v="9"/>
    <n v="44"/>
    <x v="3"/>
    <x v="1"/>
    <x v="1"/>
    <n v="30"/>
    <s v="ST"/>
  </r>
  <r>
    <s v=".1~1053"/>
    <n v="1053"/>
    <s v="D2"/>
    <s v="05"/>
    <s v="04"/>
    <x v="43"/>
    <n v="9"/>
    <n v="44"/>
    <x v="3"/>
    <x v="2"/>
    <x v="2"/>
    <n v="100"/>
    <s v="ST"/>
  </r>
  <r>
    <s v=".1~1054"/>
    <n v="1054"/>
    <s v="D2"/>
    <s v="05"/>
    <s v="04"/>
    <x v="43"/>
    <n v="9"/>
    <n v="44"/>
    <x v="3"/>
    <x v="3"/>
    <x v="3"/>
    <n v="60"/>
    <s v="ST"/>
  </r>
  <r>
    <s v=".1~1055"/>
    <n v="1055"/>
    <s v="D2"/>
    <s v="05"/>
    <s v="04"/>
    <x v="43"/>
    <n v="9"/>
    <n v="44"/>
    <x v="3"/>
    <x v="4"/>
    <x v="4"/>
    <n v="50"/>
    <s v="ST"/>
  </r>
  <r>
    <s v=".1~1056"/>
    <n v="1056"/>
    <s v="D2"/>
    <s v="05"/>
    <s v="04"/>
    <x v="43"/>
    <n v="9"/>
    <n v="44"/>
    <x v="3"/>
    <x v="5"/>
    <x v="5"/>
    <n v="30"/>
    <s v="ST"/>
  </r>
  <r>
    <s v=".1~1057"/>
    <n v="1057"/>
    <s v="D2"/>
    <s v="05"/>
    <s v="05"/>
    <x v="44"/>
    <n v="9"/>
    <n v="45"/>
    <x v="0"/>
    <x v="0"/>
    <x v="0"/>
    <n v="536"/>
    <s v="ST"/>
  </r>
  <r>
    <s v=".1~1058"/>
    <n v="1058"/>
    <s v="D2"/>
    <s v="05"/>
    <s v="05"/>
    <x v="44"/>
    <n v="9"/>
    <n v="45"/>
    <x v="0"/>
    <x v="1"/>
    <x v="1"/>
    <n v="93"/>
    <s v="ST"/>
  </r>
  <r>
    <s v=".1~1059"/>
    <n v="1059"/>
    <s v="D2"/>
    <s v="05"/>
    <s v="05"/>
    <x v="44"/>
    <n v="9"/>
    <n v="45"/>
    <x v="0"/>
    <x v="2"/>
    <x v="2"/>
    <n v="350"/>
    <s v="ST"/>
  </r>
  <r>
    <s v=".1~1060"/>
    <n v="1060"/>
    <s v="D2"/>
    <s v="05"/>
    <s v="05"/>
    <x v="44"/>
    <n v="9"/>
    <n v="45"/>
    <x v="0"/>
    <x v="3"/>
    <x v="3"/>
    <n v="85"/>
    <s v="ST"/>
  </r>
  <r>
    <s v=".1~1061"/>
    <n v="1061"/>
    <s v="D2"/>
    <s v="05"/>
    <s v="05"/>
    <x v="44"/>
    <n v="9"/>
    <n v="45"/>
    <x v="0"/>
    <x v="4"/>
    <x v="4"/>
    <n v="186"/>
    <s v="ST"/>
  </r>
  <r>
    <s v=".1~1062"/>
    <n v="1062"/>
    <s v="D2"/>
    <s v="05"/>
    <s v="05"/>
    <x v="44"/>
    <n v="9"/>
    <n v="45"/>
    <x v="0"/>
    <x v="5"/>
    <x v="5"/>
    <n v="165"/>
    <s v="ST"/>
  </r>
  <r>
    <s v=".1~1063"/>
    <n v="1063"/>
    <s v="D2"/>
    <s v="05"/>
    <s v="05"/>
    <x v="44"/>
    <n v="9"/>
    <n v="45"/>
    <x v="1"/>
    <x v="0"/>
    <x v="0"/>
    <n v="136"/>
    <s v="ST"/>
  </r>
  <r>
    <s v=".1~1064"/>
    <n v="1064"/>
    <s v="D2"/>
    <s v="05"/>
    <s v="05"/>
    <x v="44"/>
    <n v="9"/>
    <n v="45"/>
    <x v="1"/>
    <x v="1"/>
    <x v="1"/>
    <n v="30"/>
    <s v="ST"/>
  </r>
  <r>
    <s v=".1~1065"/>
    <n v="1065"/>
    <s v="D2"/>
    <s v="05"/>
    <s v="05"/>
    <x v="44"/>
    <n v="9"/>
    <n v="45"/>
    <x v="1"/>
    <x v="2"/>
    <x v="2"/>
    <n v="150"/>
    <s v="ST"/>
  </r>
  <r>
    <s v=".1~1066"/>
    <n v="1066"/>
    <s v="D2"/>
    <s v="05"/>
    <s v="05"/>
    <x v="44"/>
    <n v="9"/>
    <n v="45"/>
    <x v="1"/>
    <x v="3"/>
    <x v="3"/>
    <n v="30"/>
    <s v="ST"/>
  </r>
  <r>
    <s v=".1~1067"/>
    <n v="1067"/>
    <s v="D2"/>
    <s v="05"/>
    <s v="05"/>
    <x v="44"/>
    <n v="9"/>
    <n v="45"/>
    <x v="1"/>
    <x v="4"/>
    <x v="4"/>
    <n v="4"/>
    <s v="ST"/>
  </r>
  <r>
    <s v=".1~1068"/>
    <n v="1068"/>
    <s v="D2"/>
    <s v="05"/>
    <s v="05"/>
    <x v="44"/>
    <n v="9"/>
    <n v="45"/>
    <x v="1"/>
    <x v="5"/>
    <x v="5"/>
    <n v="50"/>
    <s v="ST"/>
  </r>
  <r>
    <s v=".1~1069"/>
    <n v="1069"/>
    <s v="D2"/>
    <s v="05"/>
    <s v="05"/>
    <x v="44"/>
    <n v="9"/>
    <n v="45"/>
    <x v="2"/>
    <x v="0"/>
    <x v="0"/>
    <n v="100"/>
    <s v="ST"/>
  </r>
  <r>
    <s v=".1~1070"/>
    <n v="1070"/>
    <s v="D2"/>
    <s v="05"/>
    <s v="05"/>
    <x v="44"/>
    <n v="9"/>
    <n v="45"/>
    <x v="2"/>
    <x v="1"/>
    <x v="1"/>
    <n v="50"/>
    <s v="ST"/>
  </r>
  <r>
    <s v=".1~1071"/>
    <n v="1071"/>
    <s v="D2"/>
    <s v="05"/>
    <s v="05"/>
    <x v="44"/>
    <n v="9"/>
    <n v="45"/>
    <x v="2"/>
    <x v="2"/>
    <x v="2"/>
    <n v="210"/>
    <s v="ST"/>
  </r>
  <r>
    <s v=".1~1072"/>
    <n v="1072"/>
    <s v="D2"/>
    <s v="05"/>
    <s v="05"/>
    <x v="44"/>
    <n v="9"/>
    <n v="45"/>
    <x v="2"/>
    <x v="3"/>
    <x v="3"/>
    <n v="30"/>
    <s v="ST"/>
  </r>
  <r>
    <s v=".1~1073"/>
    <n v="1073"/>
    <s v="D2"/>
    <s v="05"/>
    <s v="05"/>
    <x v="44"/>
    <n v="9"/>
    <n v="45"/>
    <x v="2"/>
    <x v="4"/>
    <x v="4"/>
    <n v="75"/>
    <s v="ST"/>
  </r>
  <r>
    <s v=".1~1074"/>
    <n v="1074"/>
    <s v="D2"/>
    <s v="05"/>
    <s v="05"/>
    <x v="44"/>
    <n v="9"/>
    <n v="45"/>
    <x v="2"/>
    <x v="5"/>
    <x v="5"/>
    <n v="30"/>
    <s v="ST"/>
  </r>
  <r>
    <s v=".1~1075"/>
    <n v="1075"/>
    <s v="D2"/>
    <s v="05"/>
    <s v="05"/>
    <x v="44"/>
    <n v="9"/>
    <n v="45"/>
    <x v="3"/>
    <x v="0"/>
    <x v="0"/>
    <n v="80"/>
    <s v="ST"/>
  </r>
  <r>
    <s v=".1~1076"/>
    <n v="1076"/>
    <s v="D2"/>
    <s v="05"/>
    <s v="05"/>
    <x v="44"/>
    <n v="9"/>
    <n v="45"/>
    <x v="3"/>
    <x v="1"/>
    <x v="1"/>
    <n v="7"/>
    <s v="ST"/>
  </r>
  <r>
    <s v=".1~1077"/>
    <n v="1077"/>
    <s v="D2"/>
    <s v="05"/>
    <s v="05"/>
    <x v="44"/>
    <n v="9"/>
    <n v="45"/>
    <x v="3"/>
    <x v="2"/>
    <x v="2"/>
    <n v="100"/>
    <s v="ST"/>
  </r>
  <r>
    <s v=".1~1078"/>
    <n v="1078"/>
    <s v="D2"/>
    <s v="05"/>
    <s v="05"/>
    <x v="44"/>
    <n v="9"/>
    <n v="45"/>
    <x v="3"/>
    <x v="3"/>
    <x v="3"/>
    <n v="18"/>
    <s v="ST"/>
  </r>
  <r>
    <s v=".1~1079"/>
    <n v="1079"/>
    <s v="D2"/>
    <s v="05"/>
    <s v="05"/>
    <x v="44"/>
    <n v="9"/>
    <n v="45"/>
    <x v="3"/>
    <x v="4"/>
    <x v="4"/>
    <n v="21"/>
    <s v="ST"/>
  </r>
  <r>
    <s v=".1~1080"/>
    <n v="1080"/>
    <s v="D2"/>
    <s v="05"/>
    <s v="05"/>
    <x v="44"/>
    <n v="9"/>
    <n v="45"/>
    <x v="3"/>
    <x v="5"/>
    <x v="5"/>
    <n v="30"/>
    <s v="ST"/>
  </r>
  <r>
    <s v=".1~1081"/>
    <n v="1081"/>
    <s v="D2"/>
    <s v="05"/>
    <s v="06"/>
    <x v="45"/>
    <n v="10"/>
    <n v="46"/>
    <x v="0"/>
    <x v="0"/>
    <x v="0"/>
    <n v="382"/>
    <s v="ST"/>
  </r>
  <r>
    <s v=".1~1082"/>
    <n v="1082"/>
    <s v="D2"/>
    <s v="05"/>
    <s v="06"/>
    <x v="45"/>
    <n v="10"/>
    <n v="46"/>
    <x v="0"/>
    <x v="1"/>
    <x v="1"/>
    <n v="70"/>
    <s v="ST"/>
  </r>
  <r>
    <s v=".1~1083"/>
    <n v="1083"/>
    <s v="D2"/>
    <s v="05"/>
    <s v="06"/>
    <x v="45"/>
    <n v="10"/>
    <n v="46"/>
    <x v="0"/>
    <x v="2"/>
    <x v="2"/>
    <n v="350"/>
    <s v="ST"/>
  </r>
  <r>
    <s v=".1~1084"/>
    <n v="1084"/>
    <s v="D2"/>
    <s v="05"/>
    <s v="06"/>
    <x v="45"/>
    <n v="10"/>
    <n v="46"/>
    <x v="0"/>
    <x v="3"/>
    <x v="3"/>
    <n v="43"/>
    <s v="ST"/>
  </r>
  <r>
    <s v=".1~1085"/>
    <n v="1085"/>
    <s v="D2"/>
    <s v="05"/>
    <s v="06"/>
    <x v="45"/>
    <n v="10"/>
    <n v="46"/>
    <x v="0"/>
    <x v="4"/>
    <x v="4"/>
    <n v="111"/>
    <s v="ST"/>
  </r>
  <r>
    <s v=".1~1086"/>
    <n v="1086"/>
    <s v="D2"/>
    <s v="05"/>
    <s v="06"/>
    <x v="45"/>
    <n v="10"/>
    <n v="46"/>
    <x v="0"/>
    <x v="5"/>
    <x v="5"/>
    <n v="165"/>
    <s v="ST"/>
  </r>
  <r>
    <s v=".1~1087"/>
    <n v="1087"/>
    <s v="D2"/>
    <s v="05"/>
    <s v="06"/>
    <x v="45"/>
    <n v="10"/>
    <n v="46"/>
    <x v="1"/>
    <x v="0"/>
    <x v="0"/>
    <n v="191"/>
    <s v="ST"/>
  </r>
  <r>
    <s v=".1~1088"/>
    <n v="1088"/>
    <s v="D2"/>
    <s v="05"/>
    <s v="06"/>
    <x v="45"/>
    <n v="10"/>
    <n v="46"/>
    <x v="1"/>
    <x v="1"/>
    <x v="1"/>
    <n v="3"/>
    <s v="ST"/>
  </r>
  <r>
    <s v=".1~1089"/>
    <n v="1089"/>
    <s v="D2"/>
    <s v="05"/>
    <s v="06"/>
    <x v="45"/>
    <n v="10"/>
    <n v="46"/>
    <x v="1"/>
    <x v="2"/>
    <x v="2"/>
    <n v="79"/>
    <s v="ST"/>
  </r>
  <r>
    <s v=".1~1090"/>
    <n v="1090"/>
    <s v="D2"/>
    <s v="05"/>
    <s v="06"/>
    <x v="45"/>
    <n v="10"/>
    <n v="46"/>
    <x v="1"/>
    <x v="3"/>
    <x v="3"/>
    <n v="30"/>
    <s v="ST"/>
  </r>
  <r>
    <s v=".1~1091"/>
    <n v="1091"/>
    <s v="D2"/>
    <s v="05"/>
    <s v="06"/>
    <x v="45"/>
    <n v="10"/>
    <n v="46"/>
    <x v="1"/>
    <x v="4"/>
    <x v="4"/>
    <n v="50"/>
    <s v="ST"/>
  </r>
  <r>
    <s v=".1~1092"/>
    <n v="1092"/>
    <s v="D2"/>
    <s v="05"/>
    <s v="06"/>
    <x v="45"/>
    <n v="10"/>
    <n v="46"/>
    <x v="1"/>
    <x v="5"/>
    <x v="5"/>
    <n v="50"/>
    <s v="ST"/>
  </r>
  <r>
    <s v=".1~1093"/>
    <n v="1093"/>
    <s v="D2"/>
    <s v="05"/>
    <s v="06"/>
    <x v="45"/>
    <n v="10"/>
    <n v="46"/>
    <x v="2"/>
    <x v="0"/>
    <x v="0"/>
    <n v="100"/>
    <s v="ST"/>
  </r>
  <r>
    <s v=".1~1094"/>
    <n v="1094"/>
    <s v="D2"/>
    <s v="05"/>
    <s v="06"/>
    <x v="45"/>
    <n v="10"/>
    <n v="46"/>
    <x v="2"/>
    <x v="1"/>
    <x v="1"/>
    <n v="50"/>
    <s v="ST"/>
  </r>
  <r>
    <s v=".1~1095"/>
    <n v="1095"/>
    <s v="D2"/>
    <s v="05"/>
    <s v="06"/>
    <x v="45"/>
    <n v="10"/>
    <n v="46"/>
    <x v="2"/>
    <x v="2"/>
    <x v="2"/>
    <n v="80"/>
    <s v="ST"/>
  </r>
  <r>
    <s v=".1~1096"/>
    <n v="1096"/>
    <s v="D2"/>
    <s v="05"/>
    <s v="06"/>
    <x v="45"/>
    <n v="10"/>
    <n v="46"/>
    <x v="2"/>
    <x v="3"/>
    <x v="3"/>
    <n v="30"/>
    <s v="ST"/>
  </r>
  <r>
    <s v=".1~1097"/>
    <n v="1097"/>
    <s v="D2"/>
    <s v="05"/>
    <s v="06"/>
    <x v="45"/>
    <n v="10"/>
    <n v="46"/>
    <x v="2"/>
    <x v="4"/>
    <x v="4"/>
    <n v="75"/>
    <s v="ST"/>
  </r>
  <r>
    <s v=".1~1098"/>
    <n v="1098"/>
    <s v="D2"/>
    <s v="05"/>
    <s v="06"/>
    <x v="45"/>
    <n v="10"/>
    <n v="46"/>
    <x v="2"/>
    <x v="5"/>
    <x v="5"/>
    <n v="30"/>
    <s v="ST"/>
  </r>
  <r>
    <s v=".1~1099"/>
    <n v="1099"/>
    <s v="D2"/>
    <s v="05"/>
    <s v="06"/>
    <x v="45"/>
    <n v="10"/>
    <n v="46"/>
    <x v="3"/>
    <x v="0"/>
    <x v="0"/>
    <n v="100"/>
    <s v="ST"/>
  </r>
  <r>
    <s v=".1~1100"/>
    <n v="1100"/>
    <s v="D2"/>
    <s v="05"/>
    <s v="06"/>
    <x v="45"/>
    <n v="10"/>
    <n v="46"/>
    <x v="3"/>
    <x v="1"/>
    <x v="1"/>
    <n v="30"/>
    <s v="ST"/>
  </r>
  <r>
    <s v=".1~1101"/>
    <n v="1101"/>
    <s v="D2"/>
    <s v="05"/>
    <s v="06"/>
    <x v="45"/>
    <n v="10"/>
    <n v="46"/>
    <x v="3"/>
    <x v="2"/>
    <x v="2"/>
    <n v="29"/>
    <s v="ST"/>
  </r>
  <r>
    <s v=".1~1102"/>
    <n v="1102"/>
    <s v="D2"/>
    <s v="05"/>
    <s v="06"/>
    <x v="45"/>
    <n v="10"/>
    <n v="46"/>
    <x v="3"/>
    <x v="3"/>
    <x v="3"/>
    <n v="42"/>
    <s v="ST"/>
  </r>
  <r>
    <s v=".1~1103"/>
    <n v="1103"/>
    <s v="D2"/>
    <s v="05"/>
    <s v="06"/>
    <x v="45"/>
    <n v="10"/>
    <n v="46"/>
    <x v="3"/>
    <x v="4"/>
    <x v="4"/>
    <n v="50"/>
    <s v="ST"/>
  </r>
  <r>
    <s v=".1~1104"/>
    <n v="1104"/>
    <s v="D2"/>
    <s v="05"/>
    <s v="06"/>
    <x v="45"/>
    <n v="10"/>
    <n v="46"/>
    <x v="3"/>
    <x v="5"/>
    <x v="5"/>
    <n v="30"/>
    <s v="ST"/>
  </r>
  <r>
    <s v=".1~1105"/>
    <n v="1105"/>
    <s v="D2"/>
    <s v="05"/>
    <s v="07"/>
    <x v="46"/>
    <n v="10"/>
    <n v="47"/>
    <x v="0"/>
    <x v="0"/>
    <x v="0"/>
    <n v="303"/>
    <s v="ST"/>
  </r>
  <r>
    <s v=".1~1106"/>
    <n v="1106"/>
    <s v="D2"/>
    <s v="05"/>
    <s v="07"/>
    <x v="46"/>
    <n v="10"/>
    <n v="47"/>
    <x v="0"/>
    <x v="1"/>
    <x v="1"/>
    <n v="43"/>
    <s v="ST"/>
  </r>
  <r>
    <s v=".1~1107"/>
    <n v="1107"/>
    <s v="D2"/>
    <s v="05"/>
    <s v="07"/>
    <x v="46"/>
    <n v="10"/>
    <n v="47"/>
    <x v="0"/>
    <x v="2"/>
    <x v="2"/>
    <n v="78"/>
    <s v="ST"/>
  </r>
  <r>
    <s v=".1~1108"/>
    <n v="1108"/>
    <s v="D2"/>
    <s v="05"/>
    <s v="07"/>
    <x v="46"/>
    <n v="10"/>
    <n v="47"/>
    <x v="0"/>
    <x v="3"/>
    <x v="3"/>
    <n v="25"/>
    <s v="ST"/>
  </r>
  <r>
    <s v=".1~1109"/>
    <n v="1109"/>
    <s v="D2"/>
    <s v="05"/>
    <s v="07"/>
    <x v="46"/>
    <n v="10"/>
    <n v="47"/>
    <x v="0"/>
    <x v="4"/>
    <x v="4"/>
    <n v="111"/>
    <s v="ST"/>
  </r>
  <r>
    <s v=".1~1110"/>
    <n v="1110"/>
    <s v="D2"/>
    <s v="05"/>
    <s v="07"/>
    <x v="46"/>
    <n v="10"/>
    <n v="47"/>
    <x v="0"/>
    <x v="5"/>
    <x v="5"/>
    <n v="165"/>
    <s v="ST"/>
  </r>
  <r>
    <s v=".1~1111"/>
    <n v="1111"/>
    <s v="D2"/>
    <s v="05"/>
    <s v="07"/>
    <x v="46"/>
    <n v="10"/>
    <n v="47"/>
    <x v="1"/>
    <x v="0"/>
    <x v="0"/>
    <n v="79"/>
    <s v="ST"/>
  </r>
  <r>
    <s v=".1~1112"/>
    <n v="1112"/>
    <s v="D2"/>
    <s v="05"/>
    <s v="07"/>
    <x v="46"/>
    <n v="10"/>
    <n v="47"/>
    <x v="1"/>
    <x v="1"/>
    <x v="1"/>
    <n v="30"/>
    <s v="ST"/>
  </r>
  <r>
    <s v=".1~1113"/>
    <n v="1113"/>
    <s v="D2"/>
    <s v="05"/>
    <s v="07"/>
    <x v="46"/>
    <n v="10"/>
    <n v="47"/>
    <x v="1"/>
    <x v="2"/>
    <x v="2"/>
    <n v="71"/>
    <s v="ST"/>
  </r>
  <r>
    <s v=".1~1114"/>
    <n v="1114"/>
    <s v="D2"/>
    <s v="05"/>
    <s v="07"/>
    <x v="46"/>
    <n v="10"/>
    <n v="47"/>
    <x v="1"/>
    <x v="3"/>
    <x v="3"/>
    <n v="30"/>
    <s v="ST"/>
  </r>
  <r>
    <s v=".1~1115"/>
    <n v="1115"/>
    <s v="D2"/>
    <s v="05"/>
    <s v="07"/>
    <x v="46"/>
    <n v="10"/>
    <n v="47"/>
    <x v="1"/>
    <x v="4"/>
    <x v="4"/>
    <n v="50"/>
    <s v="ST"/>
  </r>
  <r>
    <s v=".1~1116"/>
    <n v="1116"/>
    <s v="D2"/>
    <s v="05"/>
    <s v="07"/>
    <x v="46"/>
    <n v="10"/>
    <n v="47"/>
    <x v="1"/>
    <x v="5"/>
    <x v="5"/>
    <n v="0"/>
    <s v="ST"/>
  </r>
  <r>
    <s v=".1~1117"/>
    <n v="1117"/>
    <s v="D2"/>
    <s v="05"/>
    <s v="07"/>
    <x v="46"/>
    <n v="10"/>
    <n v="47"/>
    <x v="2"/>
    <x v="0"/>
    <x v="0"/>
    <n v="100"/>
    <s v="ST"/>
  </r>
  <r>
    <s v=".1~1118"/>
    <n v="1118"/>
    <s v="D2"/>
    <s v="05"/>
    <s v="07"/>
    <x v="46"/>
    <n v="10"/>
    <n v="47"/>
    <x v="2"/>
    <x v="1"/>
    <x v="1"/>
    <n v="50"/>
    <s v="ST"/>
  </r>
  <r>
    <s v=".1~1119"/>
    <n v="1119"/>
    <s v="D2"/>
    <s v="05"/>
    <s v="07"/>
    <x v="46"/>
    <n v="10"/>
    <n v="47"/>
    <x v="2"/>
    <x v="2"/>
    <x v="2"/>
    <n v="210"/>
    <s v="ST"/>
  </r>
  <r>
    <s v=".1~1120"/>
    <n v="1120"/>
    <s v="D2"/>
    <s v="05"/>
    <s v="07"/>
    <x v="46"/>
    <n v="10"/>
    <n v="47"/>
    <x v="2"/>
    <x v="3"/>
    <x v="3"/>
    <n v="30"/>
    <s v="ST"/>
  </r>
  <r>
    <s v=".1~1121"/>
    <n v="1121"/>
    <s v="D2"/>
    <s v="05"/>
    <s v="07"/>
    <x v="46"/>
    <n v="10"/>
    <n v="47"/>
    <x v="2"/>
    <x v="4"/>
    <x v="4"/>
    <n v="75"/>
    <s v="ST"/>
  </r>
  <r>
    <s v=".1~1122"/>
    <n v="1122"/>
    <s v="D2"/>
    <s v="05"/>
    <s v="07"/>
    <x v="46"/>
    <n v="10"/>
    <n v="47"/>
    <x v="2"/>
    <x v="5"/>
    <x v="5"/>
    <n v="0"/>
    <s v="ST"/>
  </r>
  <r>
    <s v=".1~1123"/>
    <n v="1123"/>
    <s v="D2"/>
    <s v="05"/>
    <s v="07"/>
    <x v="46"/>
    <n v="10"/>
    <n v="47"/>
    <x v="3"/>
    <x v="0"/>
    <x v="0"/>
    <n v="100"/>
    <s v="ST"/>
  </r>
  <r>
    <s v=".1~1124"/>
    <n v="1124"/>
    <s v="D2"/>
    <s v="05"/>
    <s v="07"/>
    <x v="46"/>
    <n v="10"/>
    <n v="47"/>
    <x v="3"/>
    <x v="1"/>
    <x v="1"/>
    <n v="30"/>
    <s v="ST"/>
  </r>
  <r>
    <s v=".1~1125"/>
    <n v="1125"/>
    <s v="D2"/>
    <s v="05"/>
    <s v="07"/>
    <x v="46"/>
    <n v="10"/>
    <n v="47"/>
    <x v="3"/>
    <x v="2"/>
    <x v="2"/>
    <n v="100"/>
    <s v="ST"/>
  </r>
  <r>
    <s v=".1~1126"/>
    <n v="1126"/>
    <s v="D2"/>
    <s v="05"/>
    <s v="07"/>
    <x v="46"/>
    <n v="10"/>
    <n v="47"/>
    <x v="3"/>
    <x v="3"/>
    <x v="3"/>
    <n v="60"/>
    <s v="ST"/>
  </r>
  <r>
    <s v=".1~1127"/>
    <n v="1127"/>
    <s v="D2"/>
    <s v="05"/>
    <s v="07"/>
    <x v="46"/>
    <n v="10"/>
    <n v="47"/>
    <x v="3"/>
    <x v="4"/>
    <x v="4"/>
    <n v="18"/>
    <s v="ST"/>
  </r>
  <r>
    <s v=".1~1128"/>
    <n v="1128"/>
    <s v="D2"/>
    <s v="05"/>
    <s v="07"/>
    <x v="46"/>
    <n v="10"/>
    <n v="47"/>
    <x v="3"/>
    <x v="5"/>
    <x v="5"/>
    <n v="30"/>
    <s v="ST"/>
  </r>
  <r>
    <s v=".1~1129"/>
    <n v="1129"/>
    <s v="D2"/>
    <s v="05"/>
    <s v="08"/>
    <x v="47"/>
    <n v="10"/>
    <n v="48"/>
    <x v="0"/>
    <x v="0"/>
    <x v="0"/>
    <n v="660"/>
    <s v="ST"/>
  </r>
  <r>
    <s v=".1~1130"/>
    <n v="1130"/>
    <s v="D2"/>
    <s v="05"/>
    <s v="08"/>
    <x v="47"/>
    <n v="10"/>
    <n v="48"/>
    <x v="0"/>
    <x v="1"/>
    <x v="1"/>
    <n v="43"/>
    <s v="ST"/>
  </r>
  <r>
    <s v=".1~1131"/>
    <n v="1131"/>
    <s v="D2"/>
    <s v="05"/>
    <s v="08"/>
    <x v="47"/>
    <n v="10"/>
    <n v="48"/>
    <x v="0"/>
    <x v="2"/>
    <x v="2"/>
    <n v="390"/>
    <s v="ST"/>
  </r>
  <r>
    <s v=".1~1132"/>
    <n v="1132"/>
    <s v="D2"/>
    <s v="05"/>
    <s v="08"/>
    <x v="47"/>
    <n v="10"/>
    <n v="48"/>
    <x v="0"/>
    <x v="3"/>
    <x v="3"/>
    <n v="162"/>
    <s v="ST"/>
  </r>
  <r>
    <s v=".1~1133"/>
    <n v="1133"/>
    <s v="D2"/>
    <s v="05"/>
    <s v="08"/>
    <x v="47"/>
    <n v="10"/>
    <n v="48"/>
    <x v="0"/>
    <x v="4"/>
    <x v="4"/>
    <n v="243"/>
    <s v="ST"/>
  </r>
  <r>
    <s v=".1~1134"/>
    <n v="1134"/>
    <s v="D2"/>
    <s v="05"/>
    <s v="08"/>
    <x v="47"/>
    <n v="10"/>
    <n v="48"/>
    <x v="0"/>
    <x v="5"/>
    <x v="5"/>
    <n v="110"/>
    <s v="ST"/>
  </r>
  <r>
    <s v=".1~1135"/>
    <n v="1135"/>
    <s v="D2"/>
    <s v="05"/>
    <s v="08"/>
    <x v="47"/>
    <n v="10"/>
    <n v="48"/>
    <x v="1"/>
    <x v="0"/>
    <x v="0"/>
    <n v="191"/>
    <s v="ST"/>
  </r>
  <r>
    <s v=".1~1136"/>
    <n v="1136"/>
    <s v="D2"/>
    <s v="05"/>
    <s v="08"/>
    <x v="47"/>
    <n v="10"/>
    <n v="48"/>
    <x v="1"/>
    <x v="1"/>
    <x v="1"/>
    <n v="30"/>
    <s v="ST"/>
  </r>
  <r>
    <s v=".1~1137"/>
    <n v="1137"/>
    <s v="D2"/>
    <s v="05"/>
    <s v="08"/>
    <x v="47"/>
    <n v="10"/>
    <n v="48"/>
    <x v="1"/>
    <x v="2"/>
    <x v="2"/>
    <n v="149"/>
    <s v="ST"/>
  </r>
  <r>
    <s v=".1~1138"/>
    <n v="1138"/>
    <s v="D2"/>
    <s v="05"/>
    <s v="08"/>
    <x v="47"/>
    <n v="10"/>
    <n v="48"/>
    <x v="1"/>
    <x v="3"/>
    <x v="3"/>
    <n v="30"/>
    <s v="ST"/>
  </r>
  <r>
    <s v=".1~1139"/>
    <n v="1139"/>
    <s v="D2"/>
    <s v="05"/>
    <s v="08"/>
    <x v="47"/>
    <n v="10"/>
    <n v="48"/>
    <x v="1"/>
    <x v="4"/>
    <x v="4"/>
    <n v="50"/>
    <s v="ST"/>
  </r>
  <r>
    <s v=".1~1140"/>
    <n v="1140"/>
    <s v="D2"/>
    <s v="05"/>
    <s v="08"/>
    <x v="47"/>
    <n v="10"/>
    <n v="48"/>
    <x v="1"/>
    <x v="5"/>
    <x v="5"/>
    <n v="50"/>
    <s v="ST"/>
  </r>
  <r>
    <s v=".1~1141"/>
    <n v="1141"/>
    <s v="D2"/>
    <s v="05"/>
    <s v="08"/>
    <x v="47"/>
    <n v="10"/>
    <n v="48"/>
    <x v="2"/>
    <x v="0"/>
    <x v="0"/>
    <n v="100"/>
    <s v="ST"/>
  </r>
  <r>
    <s v=".1~1142"/>
    <n v="1142"/>
    <s v="D2"/>
    <s v="05"/>
    <s v="08"/>
    <x v="47"/>
    <n v="10"/>
    <n v="48"/>
    <x v="2"/>
    <x v="1"/>
    <x v="1"/>
    <n v="50"/>
    <s v="ST"/>
  </r>
  <r>
    <s v=".1~1143"/>
    <n v="1143"/>
    <s v="D2"/>
    <s v="05"/>
    <s v="08"/>
    <x v="47"/>
    <n v="10"/>
    <n v="48"/>
    <x v="2"/>
    <x v="2"/>
    <x v="2"/>
    <n v="210"/>
    <s v="ST"/>
  </r>
  <r>
    <s v=".1~1144"/>
    <n v="1144"/>
    <s v="D2"/>
    <s v="05"/>
    <s v="08"/>
    <x v="47"/>
    <n v="10"/>
    <n v="48"/>
    <x v="2"/>
    <x v="3"/>
    <x v="3"/>
    <n v="30"/>
    <s v="ST"/>
  </r>
  <r>
    <s v=".1~1145"/>
    <n v="1145"/>
    <s v="D2"/>
    <s v="05"/>
    <s v="08"/>
    <x v="47"/>
    <n v="10"/>
    <n v="48"/>
    <x v="2"/>
    <x v="4"/>
    <x v="4"/>
    <n v="44"/>
    <s v="ST"/>
  </r>
  <r>
    <s v=".1~1146"/>
    <n v="1146"/>
    <s v="D2"/>
    <s v="05"/>
    <s v="08"/>
    <x v="47"/>
    <n v="10"/>
    <n v="48"/>
    <x v="2"/>
    <x v="5"/>
    <x v="5"/>
    <n v="30"/>
    <s v="ST"/>
  </r>
  <r>
    <s v=".1~1147"/>
    <n v="1147"/>
    <s v="D2"/>
    <s v="05"/>
    <s v="08"/>
    <x v="47"/>
    <n v="10"/>
    <n v="48"/>
    <x v="3"/>
    <x v="0"/>
    <x v="0"/>
    <n v="100"/>
    <s v="ST"/>
  </r>
  <r>
    <s v=".1~1148"/>
    <n v="1148"/>
    <s v="D2"/>
    <s v="05"/>
    <s v="08"/>
    <x v="47"/>
    <n v="10"/>
    <n v="48"/>
    <x v="3"/>
    <x v="1"/>
    <x v="1"/>
    <n v="30"/>
    <s v="ST"/>
  </r>
  <r>
    <s v=".1~1149"/>
    <n v="1149"/>
    <s v="D2"/>
    <s v="05"/>
    <s v="08"/>
    <x v="47"/>
    <n v="10"/>
    <n v="48"/>
    <x v="3"/>
    <x v="2"/>
    <x v="2"/>
    <n v="100"/>
    <s v="ST"/>
  </r>
  <r>
    <s v=".1~1150"/>
    <n v="1150"/>
    <s v="D2"/>
    <s v="05"/>
    <s v="08"/>
    <x v="47"/>
    <n v="10"/>
    <n v="48"/>
    <x v="3"/>
    <x v="3"/>
    <x v="3"/>
    <n v="43"/>
    <s v="ST"/>
  </r>
  <r>
    <s v=".1~1151"/>
    <n v="1151"/>
    <s v="D2"/>
    <s v="05"/>
    <s v="08"/>
    <x v="47"/>
    <n v="10"/>
    <n v="48"/>
    <x v="3"/>
    <x v="4"/>
    <x v="4"/>
    <n v="50"/>
    <s v="ST"/>
  </r>
  <r>
    <s v=".1~1152"/>
    <n v="1152"/>
    <s v="D2"/>
    <s v="05"/>
    <s v="08"/>
    <x v="47"/>
    <n v="10"/>
    <n v="48"/>
    <x v="3"/>
    <x v="5"/>
    <x v="5"/>
    <n v="30"/>
    <s v="ST"/>
  </r>
  <r>
    <s v=".1~1153"/>
    <n v="1153"/>
    <s v="D2"/>
    <s v="05"/>
    <s v="09"/>
    <x v="48"/>
    <n v="10"/>
    <n v="49"/>
    <x v="0"/>
    <x v="0"/>
    <x v="0"/>
    <n v="581"/>
    <s v="ST"/>
  </r>
  <r>
    <s v=".1~1154"/>
    <n v="1154"/>
    <s v="D2"/>
    <s v="05"/>
    <s v="09"/>
    <x v="48"/>
    <n v="10"/>
    <n v="49"/>
    <x v="0"/>
    <x v="1"/>
    <x v="1"/>
    <n v="43"/>
    <s v="ST"/>
  </r>
  <r>
    <s v=".1~1155"/>
    <n v="1155"/>
    <s v="D2"/>
    <s v="05"/>
    <s v="09"/>
    <x v="48"/>
    <n v="10"/>
    <n v="49"/>
    <x v="0"/>
    <x v="2"/>
    <x v="2"/>
    <n v="389"/>
    <s v="ST"/>
  </r>
  <r>
    <s v=".1~1156"/>
    <n v="1156"/>
    <s v="D2"/>
    <s v="05"/>
    <s v="09"/>
    <x v="48"/>
    <n v="10"/>
    <n v="49"/>
    <x v="0"/>
    <x v="3"/>
    <x v="3"/>
    <n v="145"/>
    <s v="ST"/>
  </r>
  <r>
    <s v=".1~1157"/>
    <n v="1157"/>
    <s v="D2"/>
    <s v="05"/>
    <s v="09"/>
    <x v="48"/>
    <n v="10"/>
    <n v="49"/>
    <x v="0"/>
    <x v="4"/>
    <x v="4"/>
    <n v="212"/>
    <s v="ST"/>
  </r>
  <r>
    <s v=".1~1158"/>
    <n v="1158"/>
    <s v="D2"/>
    <s v="05"/>
    <s v="09"/>
    <x v="48"/>
    <n v="10"/>
    <n v="49"/>
    <x v="0"/>
    <x v="5"/>
    <x v="5"/>
    <n v="110"/>
    <s v="ST"/>
  </r>
  <r>
    <s v=".1~1159"/>
    <n v="1159"/>
    <s v="D2"/>
    <s v="05"/>
    <s v="09"/>
    <x v="48"/>
    <n v="10"/>
    <n v="49"/>
    <x v="1"/>
    <x v="0"/>
    <x v="0"/>
    <n v="147"/>
    <s v="ST"/>
  </r>
  <r>
    <s v=".1~1160"/>
    <n v="1160"/>
    <s v="D2"/>
    <s v="05"/>
    <s v="09"/>
    <x v="48"/>
    <n v="10"/>
    <n v="49"/>
    <x v="1"/>
    <x v="1"/>
    <x v="1"/>
    <n v="9"/>
    <s v="ST"/>
  </r>
  <r>
    <s v=".1~1161"/>
    <n v="1161"/>
    <s v="D2"/>
    <s v="05"/>
    <s v="09"/>
    <x v="48"/>
    <n v="10"/>
    <n v="49"/>
    <x v="1"/>
    <x v="2"/>
    <x v="2"/>
    <n v="102"/>
    <s v="ST"/>
  </r>
  <r>
    <s v=".1~1162"/>
    <n v="1162"/>
    <s v="D2"/>
    <s v="05"/>
    <s v="09"/>
    <x v="48"/>
    <n v="10"/>
    <n v="49"/>
    <x v="1"/>
    <x v="3"/>
    <x v="3"/>
    <n v="30"/>
    <s v="ST"/>
  </r>
  <r>
    <s v=".1~1163"/>
    <n v="1163"/>
    <s v="D2"/>
    <s v="05"/>
    <s v="09"/>
    <x v="48"/>
    <n v="10"/>
    <n v="49"/>
    <x v="1"/>
    <x v="4"/>
    <x v="4"/>
    <n v="50"/>
    <s v="ST"/>
  </r>
  <r>
    <s v=".1~1164"/>
    <n v="1164"/>
    <s v="D2"/>
    <s v="05"/>
    <s v="09"/>
    <x v="48"/>
    <n v="10"/>
    <n v="49"/>
    <x v="1"/>
    <x v="5"/>
    <x v="5"/>
    <n v="50"/>
    <s v="ST"/>
  </r>
  <r>
    <s v=".1~1165"/>
    <n v="1165"/>
    <s v="D2"/>
    <s v="05"/>
    <s v="09"/>
    <x v="48"/>
    <n v="10"/>
    <n v="49"/>
    <x v="2"/>
    <x v="0"/>
    <x v="0"/>
    <n v="100"/>
    <s v="ST"/>
  </r>
  <r>
    <s v=".1~1166"/>
    <n v="1166"/>
    <s v="D2"/>
    <s v="05"/>
    <s v="09"/>
    <x v="48"/>
    <n v="10"/>
    <n v="49"/>
    <x v="2"/>
    <x v="1"/>
    <x v="1"/>
    <n v="21"/>
    <s v="ST"/>
  </r>
  <r>
    <s v=".1~1167"/>
    <n v="1167"/>
    <s v="D2"/>
    <s v="05"/>
    <s v="09"/>
    <x v="48"/>
    <n v="10"/>
    <n v="49"/>
    <x v="2"/>
    <x v="2"/>
    <x v="2"/>
    <n v="121"/>
    <s v="ST"/>
  </r>
  <r>
    <s v=".1~1168"/>
    <n v="1168"/>
    <s v="D2"/>
    <s v="05"/>
    <s v="09"/>
    <x v="48"/>
    <n v="10"/>
    <n v="49"/>
    <x v="2"/>
    <x v="3"/>
    <x v="3"/>
    <n v="30"/>
    <s v="ST"/>
  </r>
  <r>
    <s v=".1~1169"/>
    <n v="1169"/>
    <s v="D2"/>
    <s v="05"/>
    <s v="09"/>
    <x v="48"/>
    <n v="10"/>
    <n v="49"/>
    <x v="2"/>
    <x v="4"/>
    <x v="4"/>
    <n v="44"/>
    <s v="ST"/>
  </r>
  <r>
    <s v=".1~1170"/>
    <n v="1170"/>
    <s v="D2"/>
    <s v="05"/>
    <s v="09"/>
    <x v="48"/>
    <n v="10"/>
    <n v="49"/>
    <x v="2"/>
    <x v="5"/>
    <x v="5"/>
    <n v="0"/>
    <s v="ST"/>
  </r>
  <r>
    <s v=".1~1171"/>
    <n v="1171"/>
    <s v="D2"/>
    <s v="05"/>
    <s v="09"/>
    <x v="48"/>
    <n v="10"/>
    <n v="49"/>
    <x v="3"/>
    <x v="0"/>
    <x v="0"/>
    <n v="29"/>
    <s v="ST"/>
  </r>
  <r>
    <s v=".1~1172"/>
    <n v="1172"/>
    <s v="D2"/>
    <s v="05"/>
    <s v="09"/>
    <x v="48"/>
    <n v="10"/>
    <n v="49"/>
    <x v="3"/>
    <x v="1"/>
    <x v="1"/>
    <n v="30"/>
    <s v="ST"/>
  </r>
  <r>
    <s v=".1~1173"/>
    <n v="1173"/>
    <s v="D2"/>
    <s v="05"/>
    <s v="09"/>
    <x v="48"/>
    <n v="10"/>
    <n v="49"/>
    <x v="3"/>
    <x v="2"/>
    <x v="2"/>
    <n v="0"/>
    <s v="ST"/>
  </r>
  <r>
    <s v=".1~1174"/>
    <n v="1174"/>
    <s v="D2"/>
    <s v="05"/>
    <s v="09"/>
    <x v="48"/>
    <n v="10"/>
    <n v="49"/>
    <x v="3"/>
    <x v="3"/>
    <x v="3"/>
    <n v="22"/>
    <s v="ST"/>
  </r>
  <r>
    <s v=".1~1175"/>
    <n v="1175"/>
    <s v="D2"/>
    <s v="05"/>
    <s v="09"/>
    <x v="48"/>
    <n v="10"/>
    <n v="49"/>
    <x v="3"/>
    <x v="4"/>
    <x v="4"/>
    <n v="15"/>
    <s v="ST"/>
  </r>
  <r>
    <s v=".1~1176"/>
    <n v="1176"/>
    <s v="D2"/>
    <s v="05"/>
    <s v="09"/>
    <x v="48"/>
    <n v="10"/>
    <n v="49"/>
    <x v="3"/>
    <x v="5"/>
    <x v="5"/>
    <n v="0"/>
    <s v="ST"/>
  </r>
  <r>
    <s v=".1~1177"/>
    <n v="1177"/>
    <s v="D2"/>
    <s v="05"/>
    <s v="10"/>
    <x v="49"/>
    <n v="10"/>
    <n v="50"/>
    <x v="0"/>
    <x v="0"/>
    <x v="0"/>
    <n v="387"/>
    <s v="ST"/>
  </r>
  <r>
    <s v=".1~1178"/>
    <n v="1178"/>
    <s v="D2"/>
    <s v="05"/>
    <s v="10"/>
    <x v="49"/>
    <n v="10"/>
    <n v="50"/>
    <x v="0"/>
    <x v="1"/>
    <x v="1"/>
    <n v="0"/>
    <s v="ST"/>
  </r>
  <r>
    <s v=".1~1179"/>
    <n v="1179"/>
    <s v="D2"/>
    <s v="05"/>
    <s v="10"/>
    <x v="49"/>
    <n v="10"/>
    <n v="50"/>
    <x v="0"/>
    <x v="2"/>
    <x v="2"/>
    <n v="152"/>
    <s v="ST"/>
  </r>
  <r>
    <s v=".1~1180"/>
    <n v="1180"/>
    <s v="D2"/>
    <s v="05"/>
    <s v="10"/>
    <x v="49"/>
    <n v="10"/>
    <n v="50"/>
    <x v="0"/>
    <x v="3"/>
    <x v="3"/>
    <n v="107"/>
    <s v="ST"/>
  </r>
  <r>
    <s v=".1~1181"/>
    <n v="1181"/>
    <s v="D2"/>
    <s v="05"/>
    <s v="10"/>
    <x v="49"/>
    <n v="10"/>
    <n v="50"/>
    <x v="0"/>
    <x v="4"/>
    <x v="4"/>
    <n v="146"/>
    <s v="ST"/>
  </r>
  <r>
    <s v=".1~1182"/>
    <n v="1182"/>
    <s v="D2"/>
    <s v="05"/>
    <s v="10"/>
    <x v="49"/>
    <n v="10"/>
    <n v="50"/>
    <x v="0"/>
    <x v="5"/>
    <x v="5"/>
    <n v="50"/>
    <s v="ST"/>
  </r>
  <r>
    <s v=".1~1183"/>
    <n v="1183"/>
    <s v="D2"/>
    <s v="05"/>
    <s v="10"/>
    <x v="49"/>
    <n v="10"/>
    <n v="50"/>
    <x v="1"/>
    <x v="0"/>
    <x v="0"/>
    <n v="188"/>
    <s v="ST"/>
  </r>
  <r>
    <s v=".1~1184"/>
    <n v="1184"/>
    <s v="D2"/>
    <s v="05"/>
    <s v="10"/>
    <x v="49"/>
    <n v="10"/>
    <n v="50"/>
    <x v="1"/>
    <x v="1"/>
    <x v="1"/>
    <n v="28"/>
    <s v="ST"/>
  </r>
  <r>
    <s v=".1~1185"/>
    <n v="1185"/>
    <s v="D2"/>
    <s v="05"/>
    <s v="10"/>
    <x v="49"/>
    <n v="10"/>
    <n v="50"/>
    <x v="1"/>
    <x v="2"/>
    <x v="2"/>
    <n v="150"/>
    <s v="ST"/>
  </r>
  <r>
    <s v=".1~1186"/>
    <n v="1186"/>
    <s v="D2"/>
    <s v="05"/>
    <s v="10"/>
    <x v="49"/>
    <n v="10"/>
    <n v="50"/>
    <x v="1"/>
    <x v="3"/>
    <x v="3"/>
    <n v="30"/>
    <s v="ST"/>
  </r>
  <r>
    <s v=".1~1187"/>
    <n v="1187"/>
    <s v="D2"/>
    <s v="05"/>
    <s v="10"/>
    <x v="49"/>
    <n v="10"/>
    <n v="50"/>
    <x v="1"/>
    <x v="4"/>
    <x v="4"/>
    <n v="20"/>
    <s v="ST"/>
  </r>
  <r>
    <s v=".1~1188"/>
    <n v="1188"/>
    <s v="D2"/>
    <s v="05"/>
    <s v="10"/>
    <x v="49"/>
    <n v="10"/>
    <n v="50"/>
    <x v="1"/>
    <x v="5"/>
    <x v="5"/>
    <n v="8"/>
    <s v="ST"/>
  </r>
  <r>
    <s v=".1~1189"/>
    <n v="1189"/>
    <s v="D2"/>
    <s v="05"/>
    <s v="10"/>
    <x v="49"/>
    <n v="10"/>
    <n v="50"/>
    <x v="2"/>
    <x v="0"/>
    <x v="0"/>
    <n v="24"/>
    <s v="ST"/>
  </r>
  <r>
    <s v=".1~1190"/>
    <n v="1190"/>
    <s v="D2"/>
    <s v="05"/>
    <s v="10"/>
    <x v="49"/>
    <n v="10"/>
    <n v="50"/>
    <x v="2"/>
    <x v="1"/>
    <x v="1"/>
    <n v="24"/>
    <s v="ST"/>
  </r>
  <r>
    <s v=".1~1191"/>
    <n v="1191"/>
    <s v="D2"/>
    <s v="05"/>
    <s v="10"/>
    <x v="49"/>
    <n v="10"/>
    <n v="50"/>
    <x v="2"/>
    <x v="2"/>
    <x v="2"/>
    <n v="96"/>
    <s v="ST"/>
  </r>
  <r>
    <s v=".1~1192"/>
    <n v="1192"/>
    <s v="D2"/>
    <s v="05"/>
    <s v="10"/>
    <x v="49"/>
    <n v="10"/>
    <n v="50"/>
    <x v="2"/>
    <x v="3"/>
    <x v="3"/>
    <n v="30"/>
    <s v="ST"/>
  </r>
  <r>
    <s v=".1~1193"/>
    <n v="1193"/>
    <s v="D2"/>
    <s v="05"/>
    <s v="10"/>
    <x v="49"/>
    <n v="10"/>
    <n v="50"/>
    <x v="2"/>
    <x v="4"/>
    <x v="4"/>
    <n v="75"/>
    <s v="ST"/>
  </r>
  <r>
    <s v=".1~1194"/>
    <n v="1194"/>
    <s v="D2"/>
    <s v="05"/>
    <s v="10"/>
    <x v="49"/>
    <n v="10"/>
    <n v="50"/>
    <x v="2"/>
    <x v="5"/>
    <x v="5"/>
    <n v="30"/>
    <s v="ST"/>
  </r>
  <r>
    <s v=".1~1195"/>
    <n v="1195"/>
    <s v="D2"/>
    <s v="05"/>
    <s v="10"/>
    <x v="49"/>
    <n v="10"/>
    <n v="50"/>
    <x v="3"/>
    <x v="0"/>
    <x v="0"/>
    <n v="100"/>
    <s v="ST"/>
  </r>
  <r>
    <s v=".1~1196"/>
    <n v="1196"/>
    <s v="D2"/>
    <s v="05"/>
    <s v="10"/>
    <x v="49"/>
    <n v="10"/>
    <n v="50"/>
    <x v="3"/>
    <x v="1"/>
    <x v="1"/>
    <n v="30"/>
    <s v="ST"/>
  </r>
  <r>
    <s v=".1~1197"/>
    <n v="1197"/>
    <s v="D2"/>
    <s v="05"/>
    <s v="10"/>
    <x v="49"/>
    <n v="10"/>
    <n v="50"/>
    <x v="3"/>
    <x v="2"/>
    <x v="2"/>
    <n v="100"/>
    <s v="ST"/>
  </r>
  <r>
    <s v=".1~1198"/>
    <n v="1198"/>
    <s v="D2"/>
    <s v="05"/>
    <s v="10"/>
    <x v="49"/>
    <n v="10"/>
    <n v="50"/>
    <x v="3"/>
    <x v="3"/>
    <x v="3"/>
    <n v="38"/>
    <s v="ST"/>
  </r>
  <r>
    <s v=".1~1199"/>
    <n v="1199"/>
    <s v="D2"/>
    <s v="05"/>
    <s v="10"/>
    <x v="49"/>
    <n v="10"/>
    <n v="50"/>
    <x v="3"/>
    <x v="4"/>
    <x v="4"/>
    <n v="50"/>
    <s v="ST"/>
  </r>
  <r>
    <s v=".1~1200"/>
    <n v="1200"/>
    <s v="D2"/>
    <s v="05"/>
    <s v="10"/>
    <x v="49"/>
    <n v="10"/>
    <n v="50"/>
    <x v="3"/>
    <x v="5"/>
    <x v="5"/>
    <n v="30"/>
    <s v="ST"/>
  </r>
  <r>
    <s v=".1~1201"/>
    <n v="1201"/>
    <s v="D2"/>
    <s v="06"/>
    <s v="01"/>
    <x v="50"/>
    <n v="11"/>
    <n v="51"/>
    <x v="0"/>
    <x v="0"/>
    <x v="0"/>
    <n v="229"/>
    <s v="ST"/>
  </r>
  <r>
    <s v=".1~1202"/>
    <n v="1202"/>
    <s v="D2"/>
    <s v="06"/>
    <s v="01"/>
    <x v="50"/>
    <n v="11"/>
    <n v="51"/>
    <x v="0"/>
    <x v="1"/>
    <x v="1"/>
    <n v="0"/>
    <s v="ST"/>
  </r>
  <r>
    <s v=".1~1203"/>
    <n v="1203"/>
    <s v="D2"/>
    <s v="06"/>
    <s v="01"/>
    <x v="50"/>
    <n v="11"/>
    <n v="51"/>
    <x v="0"/>
    <x v="2"/>
    <x v="2"/>
    <n v="38"/>
    <s v="ST"/>
  </r>
  <r>
    <s v=".1~1204"/>
    <n v="1204"/>
    <s v="D2"/>
    <s v="06"/>
    <s v="01"/>
    <x v="50"/>
    <n v="11"/>
    <n v="51"/>
    <x v="0"/>
    <x v="3"/>
    <x v="3"/>
    <n v="85"/>
    <s v="ST"/>
  </r>
  <r>
    <s v=".1~1205"/>
    <n v="1205"/>
    <s v="D2"/>
    <s v="06"/>
    <s v="01"/>
    <x v="50"/>
    <n v="11"/>
    <n v="51"/>
    <x v="0"/>
    <x v="4"/>
    <x v="4"/>
    <n v="116"/>
    <s v="ST"/>
  </r>
  <r>
    <s v=".1~1206"/>
    <n v="1206"/>
    <s v="D2"/>
    <s v="06"/>
    <s v="01"/>
    <x v="50"/>
    <n v="11"/>
    <n v="51"/>
    <x v="0"/>
    <x v="5"/>
    <x v="5"/>
    <n v="8"/>
    <s v="ST"/>
  </r>
  <r>
    <s v=".1~1207"/>
    <n v="1207"/>
    <s v="D2"/>
    <s v="06"/>
    <s v="01"/>
    <x v="50"/>
    <n v="11"/>
    <n v="51"/>
    <x v="1"/>
    <x v="0"/>
    <x v="0"/>
    <n v="193"/>
    <s v="ST"/>
  </r>
  <r>
    <s v=".1~1208"/>
    <n v="1208"/>
    <s v="D2"/>
    <s v="06"/>
    <s v="01"/>
    <x v="50"/>
    <n v="11"/>
    <n v="51"/>
    <x v="1"/>
    <x v="1"/>
    <x v="1"/>
    <n v="28"/>
    <s v="ST"/>
  </r>
  <r>
    <s v=".1~1209"/>
    <n v="1209"/>
    <s v="D2"/>
    <s v="06"/>
    <s v="01"/>
    <x v="50"/>
    <n v="11"/>
    <n v="51"/>
    <x v="1"/>
    <x v="2"/>
    <x v="2"/>
    <n v="150"/>
    <s v="ST"/>
  </r>
  <r>
    <s v=".1~1210"/>
    <n v="1210"/>
    <s v="D2"/>
    <s v="06"/>
    <s v="01"/>
    <x v="50"/>
    <n v="11"/>
    <n v="51"/>
    <x v="1"/>
    <x v="3"/>
    <x v="3"/>
    <n v="8"/>
    <s v="ST"/>
  </r>
  <r>
    <s v=".1~1211"/>
    <n v="1211"/>
    <s v="D2"/>
    <s v="06"/>
    <s v="01"/>
    <x v="50"/>
    <n v="11"/>
    <n v="51"/>
    <x v="1"/>
    <x v="4"/>
    <x v="4"/>
    <n v="30"/>
    <s v="ST"/>
  </r>
  <r>
    <s v=".1~1212"/>
    <n v="1212"/>
    <s v="D2"/>
    <s v="06"/>
    <s v="01"/>
    <x v="50"/>
    <n v="11"/>
    <n v="51"/>
    <x v="1"/>
    <x v="5"/>
    <x v="5"/>
    <n v="42"/>
    <s v="ST"/>
  </r>
  <r>
    <s v=".1~1213"/>
    <n v="1213"/>
    <s v="D2"/>
    <s v="06"/>
    <s v="01"/>
    <x v="50"/>
    <n v="11"/>
    <n v="51"/>
    <x v="2"/>
    <x v="0"/>
    <x v="0"/>
    <n v="100"/>
    <s v="ST"/>
  </r>
  <r>
    <s v=".1~1214"/>
    <n v="1214"/>
    <s v="D2"/>
    <s v="06"/>
    <s v="01"/>
    <x v="50"/>
    <n v="11"/>
    <n v="51"/>
    <x v="2"/>
    <x v="1"/>
    <x v="1"/>
    <n v="0"/>
    <s v="ST"/>
  </r>
  <r>
    <s v=".1~1215"/>
    <n v="1215"/>
    <s v="D2"/>
    <s v="06"/>
    <s v="01"/>
    <x v="50"/>
    <n v="11"/>
    <n v="51"/>
    <x v="2"/>
    <x v="2"/>
    <x v="2"/>
    <n v="141"/>
    <s v="ST"/>
  </r>
  <r>
    <s v=".1~1216"/>
    <n v="1216"/>
    <s v="D2"/>
    <s v="06"/>
    <s v="01"/>
    <x v="50"/>
    <n v="11"/>
    <n v="51"/>
    <x v="2"/>
    <x v="3"/>
    <x v="3"/>
    <n v="9"/>
    <s v="ST"/>
  </r>
  <r>
    <s v=".1~1217"/>
    <n v="1217"/>
    <s v="D2"/>
    <s v="06"/>
    <s v="01"/>
    <x v="50"/>
    <n v="11"/>
    <n v="51"/>
    <x v="2"/>
    <x v="4"/>
    <x v="4"/>
    <n v="0"/>
    <s v="ST"/>
  </r>
  <r>
    <s v=".1~1218"/>
    <n v="1218"/>
    <s v="D2"/>
    <s v="06"/>
    <s v="01"/>
    <x v="50"/>
    <n v="11"/>
    <n v="51"/>
    <x v="2"/>
    <x v="5"/>
    <x v="5"/>
    <n v="30"/>
    <s v="ST"/>
  </r>
  <r>
    <s v=".1~1219"/>
    <n v="1219"/>
    <s v="D2"/>
    <s v="06"/>
    <s v="01"/>
    <x v="50"/>
    <n v="11"/>
    <n v="51"/>
    <x v="3"/>
    <x v="0"/>
    <x v="0"/>
    <n v="32"/>
    <s v="ST"/>
  </r>
  <r>
    <s v=".1~1220"/>
    <n v="1220"/>
    <s v="D2"/>
    <s v="06"/>
    <s v="01"/>
    <x v="50"/>
    <n v="11"/>
    <n v="51"/>
    <x v="3"/>
    <x v="1"/>
    <x v="1"/>
    <n v="5"/>
    <s v="ST"/>
  </r>
  <r>
    <s v=".1~1221"/>
    <n v="1221"/>
    <s v="D2"/>
    <s v="06"/>
    <s v="01"/>
    <x v="50"/>
    <n v="11"/>
    <n v="51"/>
    <x v="3"/>
    <x v="2"/>
    <x v="2"/>
    <n v="100"/>
    <s v="ST"/>
  </r>
  <r>
    <s v=".1~1222"/>
    <n v="1222"/>
    <s v="D2"/>
    <s v="06"/>
    <s v="01"/>
    <x v="50"/>
    <n v="11"/>
    <n v="51"/>
    <x v="3"/>
    <x v="3"/>
    <x v="3"/>
    <n v="43"/>
    <s v="ST"/>
  </r>
  <r>
    <s v=".1~1223"/>
    <n v="1223"/>
    <s v="D2"/>
    <s v="06"/>
    <s v="01"/>
    <x v="50"/>
    <n v="11"/>
    <n v="51"/>
    <x v="3"/>
    <x v="4"/>
    <x v="4"/>
    <n v="13"/>
    <s v="ST"/>
  </r>
  <r>
    <s v=".1~1224"/>
    <n v="1224"/>
    <s v="D2"/>
    <s v="06"/>
    <s v="01"/>
    <x v="50"/>
    <n v="11"/>
    <n v="51"/>
    <x v="3"/>
    <x v="5"/>
    <x v="5"/>
    <n v="30"/>
    <s v="ST"/>
  </r>
  <r>
    <s v=".1~1225"/>
    <n v="1225"/>
    <s v="D2"/>
    <s v="06"/>
    <s v="02"/>
    <x v="51"/>
    <n v="11"/>
    <n v="52"/>
    <x v="0"/>
    <x v="0"/>
    <x v="0"/>
    <n v="0"/>
    <s v="ST"/>
  </r>
  <r>
    <s v=".1~1226"/>
    <n v="1226"/>
    <s v="D2"/>
    <s v="06"/>
    <s v="02"/>
    <x v="51"/>
    <n v="11"/>
    <n v="52"/>
    <x v="0"/>
    <x v="1"/>
    <x v="1"/>
    <n v="0"/>
    <s v="ST"/>
  </r>
  <r>
    <s v=".1~1227"/>
    <n v="1227"/>
    <s v="D2"/>
    <s v="06"/>
    <s v="02"/>
    <x v="51"/>
    <n v="11"/>
    <n v="52"/>
    <x v="0"/>
    <x v="2"/>
    <x v="2"/>
    <n v="0"/>
    <s v="ST"/>
  </r>
  <r>
    <s v=".1~1228"/>
    <n v="1228"/>
    <s v="D2"/>
    <s v="06"/>
    <s v="02"/>
    <x v="51"/>
    <n v="11"/>
    <n v="52"/>
    <x v="0"/>
    <x v="3"/>
    <x v="3"/>
    <n v="0"/>
    <s v="ST"/>
  </r>
  <r>
    <s v=".1~1229"/>
    <n v="1229"/>
    <s v="D2"/>
    <s v="06"/>
    <s v="02"/>
    <x v="51"/>
    <n v="11"/>
    <n v="52"/>
    <x v="0"/>
    <x v="4"/>
    <x v="4"/>
    <n v="0"/>
    <s v="ST"/>
  </r>
  <r>
    <s v=".1~1230"/>
    <n v="1230"/>
    <s v="D2"/>
    <s v="06"/>
    <s v="02"/>
    <x v="51"/>
    <n v="11"/>
    <n v="52"/>
    <x v="0"/>
    <x v="5"/>
    <x v="5"/>
    <n v="0"/>
    <s v="ST"/>
  </r>
  <r>
    <s v=".1~1231"/>
    <n v="1231"/>
    <s v="D2"/>
    <s v="06"/>
    <s v="02"/>
    <x v="51"/>
    <n v="11"/>
    <n v="52"/>
    <x v="1"/>
    <x v="0"/>
    <x v="0"/>
    <n v="254"/>
    <s v="ST"/>
  </r>
  <r>
    <s v=".1~1232"/>
    <n v="1232"/>
    <s v="D2"/>
    <s v="06"/>
    <s v="02"/>
    <x v="51"/>
    <n v="11"/>
    <n v="52"/>
    <x v="1"/>
    <x v="1"/>
    <x v="1"/>
    <n v="28"/>
    <s v="ST"/>
  </r>
  <r>
    <s v=".1~1233"/>
    <n v="1233"/>
    <s v="D2"/>
    <s v="06"/>
    <s v="02"/>
    <x v="51"/>
    <n v="11"/>
    <n v="52"/>
    <x v="1"/>
    <x v="2"/>
    <x v="2"/>
    <n v="23"/>
    <s v="ST"/>
  </r>
  <r>
    <s v=".1~1234"/>
    <n v="1234"/>
    <s v="D2"/>
    <s v="06"/>
    <s v="02"/>
    <x v="51"/>
    <n v="11"/>
    <n v="52"/>
    <x v="1"/>
    <x v="3"/>
    <x v="3"/>
    <n v="26"/>
    <s v="ST"/>
  </r>
  <r>
    <s v=".1~1235"/>
    <n v="1235"/>
    <s v="D2"/>
    <s v="06"/>
    <s v="02"/>
    <x v="51"/>
    <n v="11"/>
    <n v="52"/>
    <x v="1"/>
    <x v="4"/>
    <x v="4"/>
    <n v="29"/>
    <s v="ST"/>
  </r>
  <r>
    <s v=".1~1236"/>
    <n v="1236"/>
    <s v="D2"/>
    <s v="06"/>
    <s v="02"/>
    <x v="51"/>
    <n v="11"/>
    <n v="52"/>
    <x v="1"/>
    <x v="5"/>
    <x v="5"/>
    <n v="43"/>
    <s v="ST"/>
  </r>
  <r>
    <s v=".1~1237"/>
    <n v="1237"/>
    <s v="D2"/>
    <s v="06"/>
    <s v="02"/>
    <x v="51"/>
    <n v="11"/>
    <n v="52"/>
    <x v="2"/>
    <x v="0"/>
    <x v="0"/>
    <n v="100"/>
    <s v="ST"/>
  </r>
  <r>
    <s v=".1~1238"/>
    <n v="1238"/>
    <s v="D2"/>
    <s v="06"/>
    <s v="02"/>
    <x v="51"/>
    <n v="11"/>
    <n v="52"/>
    <x v="2"/>
    <x v="1"/>
    <x v="1"/>
    <n v="0"/>
    <s v="ST"/>
  </r>
  <r>
    <s v=".1~1239"/>
    <n v="1239"/>
    <s v="D2"/>
    <s v="06"/>
    <s v="02"/>
    <x v="51"/>
    <n v="11"/>
    <n v="52"/>
    <x v="2"/>
    <x v="2"/>
    <x v="2"/>
    <n v="27"/>
    <s v="ST"/>
  </r>
  <r>
    <s v=".1~1240"/>
    <n v="1240"/>
    <s v="D2"/>
    <s v="06"/>
    <s v="02"/>
    <x v="51"/>
    <n v="11"/>
    <n v="52"/>
    <x v="2"/>
    <x v="3"/>
    <x v="3"/>
    <n v="34"/>
    <s v="ST"/>
  </r>
  <r>
    <s v=".1~1241"/>
    <n v="1241"/>
    <s v="D2"/>
    <s v="06"/>
    <s v="02"/>
    <x v="51"/>
    <n v="11"/>
    <n v="52"/>
    <x v="2"/>
    <x v="4"/>
    <x v="4"/>
    <n v="60"/>
    <s v="ST"/>
  </r>
  <r>
    <s v=".1~1242"/>
    <n v="1242"/>
    <s v="D2"/>
    <s v="06"/>
    <s v="02"/>
    <x v="51"/>
    <n v="11"/>
    <n v="52"/>
    <x v="2"/>
    <x v="5"/>
    <x v="5"/>
    <n v="32"/>
    <s v="ST"/>
  </r>
  <r>
    <s v=".1~1243"/>
    <n v="1243"/>
    <s v="D2"/>
    <s v="06"/>
    <s v="02"/>
    <x v="51"/>
    <n v="11"/>
    <n v="52"/>
    <x v="3"/>
    <x v="0"/>
    <x v="0"/>
    <n v="78"/>
    <s v="ST"/>
  </r>
  <r>
    <s v=".1~1244"/>
    <n v="1244"/>
    <s v="D2"/>
    <s v="06"/>
    <s v="02"/>
    <x v="51"/>
    <n v="11"/>
    <n v="52"/>
    <x v="3"/>
    <x v="1"/>
    <x v="1"/>
    <n v="5"/>
    <s v="ST"/>
  </r>
  <r>
    <s v=".1~1245"/>
    <n v="1245"/>
    <s v="D2"/>
    <s v="06"/>
    <s v="02"/>
    <x v="51"/>
    <n v="11"/>
    <n v="52"/>
    <x v="3"/>
    <x v="2"/>
    <x v="2"/>
    <n v="100"/>
    <s v="ST"/>
  </r>
  <r>
    <s v=".1~1246"/>
    <n v="1246"/>
    <s v="D2"/>
    <s v="06"/>
    <s v="02"/>
    <x v="51"/>
    <n v="11"/>
    <n v="52"/>
    <x v="3"/>
    <x v="3"/>
    <x v="3"/>
    <n v="77"/>
    <s v="ST"/>
  </r>
  <r>
    <s v=".1~1247"/>
    <n v="1247"/>
    <s v="D2"/>
    <s v="06"/>
    <s v="02"/>
    <x v="51"/>
    <n v="11"/>
    <n v="52"/>
    <x v="3"/>
    <x v="4"/>
    <x v="4"/>
    <n v="40"/>
    <s v="ST"/>
  </r>
  <r>
    <s v=".1~1248"/>
    <n v="1248"/>
    <s v="D2"/>
    <s v="06"/>
    <s v="02"/>
    <x v="51"/>
    <n v="11"/>
    <n v="52"/>
    <x v="3"/>
    <x v="5"/>
    <x v="5"/>
    <n v="31"/>
    <s v="ST"/>
  </r>
  <r>
    <s v=".1~1249"/>
    <n v="1249"/>
    <s v="D2"/>
    <s v="06"/>
    <s v="03"/>
    <x v="52"/>
    <n v="11"/>
    <n v="53"/>
    <x v="0"/>
    <x v="0"/>
    <x v="0"/>
    <n v="701"/>
    <s v="ST"/>
  </r>
  <r>
    <s v=".1~1250"/>
    <n v="1250"/>
    <s v="D2"/>
    <s v="06"/>
    <s v="03"/>
    <x v="52"/>
    <n v="11"/>
    <n v="53"/>
    <x v="0"/>
    <x v="1"/>
    <x v="1"/>
    <n v="18"/>
    <s v="ST"/>
  </r>
  <r>
    <s v=".1~1251"/>
    <n v="1251"/>
    <s v="D2"/>
    <s v="06"/>
    <s v="03"/>
    <x v="52"/>
    <n v="11"/>
    <n v="53"/>
    <x v="0"/>
    <x v="2"/>
    <x v="2"/>
    <n v="702"/>
    <s v="ST"/>
  </r>
  <r>
    <s v=".1~1252"/>
    <n v="1252"/>
    <s v="D2"/>
    <s v="06"/>
    <s v="03"/>
    <x v="52"/>
    <n v="11"/>
    <n v="53"/>
    <x v="0"/>
    <x v="3"/>
    <x v="3"/>
    <n v="95"/>
    <s v="ST"/>
  </r>
  <r>
    <s v=".1~1253"/>
    <n v="1253"/>
    <s v="D2"/>
    <s v="06"/>
    <s v="03"/>
    <x v="52"/>
    <n v="11"/>
    <n v="53"/>
    <x v="0"/>
    <x v="4"/>
    <x v="4"/>
    <n v="159"/>
    <s v="ST"/>
  </r>
  <r>
    <s v=".1~1254"/>
    <n v="1254"/>
    <s v="D2"/>
    <s v="06"/>
    <s v="03"/>
    <x v="52"/>
    <n v="11"/>
    <n v="53"/>
    <x v="0"/>
    <x v="5"/>
    <x v="5"/>
    <n v="182"/>
    <s v="ST"/>
  </r>
  <r>
    <s v=".1~1255"/>
    <n v="1255"/>
    <s v="D2"/>
    <s v="06"/>
    <s v="03"/>
    <x v="52"/>
    <n v="11"/>
    <n v="53"/>
    <x v="1"/>
    <x v="0"/>
    <x v="0"/>
    <n v="18"/>
    <s v="ST"/>
  </r>
  <r>
    <s v=".1~1256"/>
    <n v="1256"/>
    <s v="D2"/>
    <s v="06"/>
    <s v="03"/>
    <x v="52"/>
    <n v="11"/>
    <n v="53"/>
    <x v="1"/>
    <x v="1"/>
    <x v="1"/>
    <n v="28"/>
    <s v="ST"/>
  </r>
  <r>
    <s v=".1~1257"/>
    <n v="1257"/>
    <s v="D2"/>
    <s v="06"/>
    <s v="03"/>
    <x v="52"/>
    <n v="11"/>
    <n v="53"/>
    <x v="1"/>
    <x v="2"/>
    <x v="2"/>
    <n v="0"/>
    <s v="ST"/>
  </r>
  <r>
    <s v=".1~1258"/>
    <n v="1258"/>
    <s v="D2"/>
    <s v="06"/>
    <s v="03"/>
    <x v="52"/>
    <n v="11"/>
    <n v="53"/>
    <x v="1"/>
    <x v="3"/>
    <x v="3"/>
    <n v="0"/>
    <s v="ST"/>
  </r>
  <r>
    <s v=".1~1259"/>
    <n v="1259"/>
    <s v="D2"/>
    <s v="06"/>
    <s v="03"/>
    <x v="52"/>
    <n v="11"/>
    <n v="53"/>
    <x v="1"/>
    <x v="4"/>
    <x v="4"/>
    <n v="0"/>
    <s v="ST"/>
  </r>
  <r>
    <s v=".1~1260"/>
    <n v="1260"/>
    <s v="D2"/>
    <s v="06"/>
    <s v="03"/>
    <x v="52"/>
    <n v="11"/>
    <n v="53"/>
    <x v="1"/>
    <x v="5"/>
    <x v="5"/>
    <n v="43"/>
    <s v="ST"/>
  </r>
  <r>
    <s v=".1~1261"/>
    <n v="1261"/>
    <s v="D2"/>
    <s v="06"/>
    <s v="03"/>
    <x v="52"/>
    <n v="11"/>
    <n v="53"/>
    <x v="2"/>
    <x v="0"/>
    <x v="0"/>
    <n v="100"/>
    <s v="ST"/>
  </r>
  <r>
    <s v=".1~1262"/>
    <n v="1262"/>
    <s v="D2"/>
    <s v="06"/>
    <s v="03"/>
    <x v="52"/>
    <n v="11"/>
    <n v="53"/>
    <x v="2"/>
    <x v="1"/>
    <x v="1"/>
    <n v="0"/>
    <s v="ST"/>
  </r>
  <r>
    <s v=".1~1263"/>
    <n v="1263"/>
    <s v="D2"/>
    <s v="06"/>
    <s v="03"/>
    <x v="52"/>
    <n v="11"/>
    <n v="53"/>
    <x v="2"/>
    <x v="2"/>
    <x v="2"/>
    <n v="0"/>
    <s v="ST"/>
  </r>
  <r>
    <s v=".1~1264"/>
    <n v="1264"/>
    <s v="D2"/>
    <s v="06"/>
    <s v="03"/>
    <x v="52"/>
    <n v="11"/>
    <n v="53"/>
    <x v="2"/>
    <x v="3"/>
    <x v="3"/>
    <n v="34"/>
    <s v="ST"/>
  </r>
  <r>
    <s v=".1~1265"/>
    <n v="1265"/>
    <s v="D2"/>
    <s v="06"/>
    <s v="03"/>
    <x v="52"/>
    <n v="11"/>
    <n v="53"/>
    <x v="2"/>
    <x v="4"/>
    <x v="4"/>
    <n v="32"/>
    <s v="ST"/>
  </r>
  <r>
    <s v=".1~1266"/>
    <n v="1266"/>
    <s v="D2"/>
    <s v="06"/>
    <s v="03"/>
    <x v="52"/>
    <n v="11"/>
    <n v="53"/>
    <x v="2"/>
    <x v="5"/>
    <x v="5"/>
    <n v="32"/>
    <s v="ST"/>
  </r>
  <r>
    <s v=".1~1267"/>
    <n v="1267"/>
    <s v="D2"/>
    <s v="06"/>
    <s v="03"/>
    <x v="52"/>
    <n v="11"/>
    <n v="53"/>
    <x v="3"/>
    <x v="0"/>
    <x v="0"/>
    <n v="78"/>
    <s v="ST"/>
  </r>
  <r>
    <s v=".1~1268"/>
    <n v="1268"/>
    <s v="D2"/>
    <s v="06"/>
    <s v="03"/>
    <x v="52"/>
    <n v="11"/>
    <n v="53"/>
    <x v="3"/>
    <x v="1"/>
    <x v="1"/>
    <n v="5"/>
    <s v="ST"/>
  </r>
  <r>
    <s v=".1~1269"/>
    <n v="1269"/>
    <s v="D2"/>
    <s v="06"/>
    <s v="03"/>
    <x v="52"/>
    <n v="11"/>
    <n v="53"/>
    <x v="3"/>
    <x v="2"/>
    <x v="2"/>
    <n v="100"/>
    <s v="ST"/>
  </r>
  <r>
    <s v=".1~1270"/>
    <n v="1270"/>
    <s v="D2"/>
    <s v="06"/>
    <s v="03"/>
    <x v="52"/>
    <n v="11"/>
    <n v="53"/>
    <x v="3"/>
    <x v="3"/>
    <x v="3"/>
    <n v="51"/>
    <s v="ST"/>
  </r>
  <r>
    <s v=".1~1271"/>
    <n v="1271"/>
    <s v="D2"/>
    <s v="06"/>
    <s v="03"/>
    <x v="52"/>
    <n v="11"/>
    <n v="53"/>
    <x v="3"/>
    <x v="4"/>
    <x v="4"/>
    <n v="40"/>
    <s v="ST"/>
  </r>
  <r>
    <s v=".1~1272"/>
    <n v="1272"/>
    <s v="D2"/>
    <s v="06"/>
    <s v="03"/>
    <x v="52"/>
    <n v="11"/>
    <n v="53"/>
    <x v="3"/>
    <x v="5"/>
    <x v="5"/>
    <n v="31"/>
    <s v="ST"/>
  </r>
  <r>
    <s v=".1~1273"/>
    <n v="1273"/>
    <s v="D2"/>
    <s v="06"/>
    <s v="04"/>
    <x v="53"/>
    <n v="11"/>
    <n v="54"/>
    <x v="0"/>
    <x v="0"/>
    <x v="0"/>
    <n v="0"/>
    <s v="ST"/>
  </r>
  <r>
    <s v=".1~1274"/>
    <n v="1274"/>
    <s v="D2"/>
    <s v="06"/>
    <s v="04"/>
    <x v="53"/>
    <n v="11"/>
    <n v="54"/>
    <x v="0"/>
    <x v="1"/>
    <x v="1"/>
    <n v="0"/>
    <s v="ST"/>
  </r>
  <r>
    <s v=".1~1275"/>
    <n v="1275"/>
    <s v="D2"/>
    <s v="06"/>
    <s v="04"/>
    <x v="53"/>
    <n v="11"/>
    <n v="54"/>
    <x v="0"/>
    <x v="2"/>
    <x v="2"/>
    <n v="52"/>
    <s v="ST"/>
  </r>
  <r>
    <s v=".1~1276"/>
    <n v="1276"/>
    <s v="D2"/>
    <s v="06"/>
    <s v="04"/>
    <x v="53"/>
    <n v="11"/>
    <n v="54"/>
    <x v="0"/>
    <x v="3"/>
    <x v="3"/>
    <n v="0"/>
    <s v="ST"/>
  </r>
  <r>
    <s v=".1~1277"/>
    <n v="1277"/>
    <s v="D2"/>
    <s v="06"/>
    <s v="04"/>
    <x v="53"/>
    <n v="11"/>
    <n v="54"/>
    <x v="0"/>
    <x v="4"/>
    <x v="4"/>
    <n v="0"/>
    <s v="ST"/>
  </r>
  <r>
    <s v=".1~1278"/>
    <n v="1278"/>
    <s v="D2"/>
    <s v="06"/>
    <s v="04"/>
    <x v="53"/>
    <n v="11"/>
    <n v="54"/>
    <x v="0"/>
    <x v="5"/>
    <x v="5"/>
    <n v="88"/>
    <s v="ST"/>
  </r>
  <r>
    <s v=".1~1279"/>
    <n v="1279"/>
    <s v="D2"/>
    <s v="06"/>
    <s v="04"/>
    <x v="53"/>
    <n v="11"/>
    <n v="54"/>
    <x v="1"/>
    <x v="0"/>
    <x v="0"/>
    <n v="630"/>
    <s v="ST"/>
  </r>
  <r>
    <s v=".1~1280"/>
    <n v="1280"/>
    <s v="D2"/>
    <s v="06"/>
    <s v="04"/>
    <x v="53"/>
    <n v="11"/>
    <n v="54"/>
    <x v="1"/>
    <x v="1"/>
    <x v="1"/>
    <n v="6"/>
    <s v="ST"/>
  </r>
  <r>
    <s v=".1~1281"/>
    <n v="1281"/>
    <s v="D2"/>
    <s v="06"/>
    <s v="04"/>
    <x v="53"/>
    <n v="11"/>
    <n v="54"/>
    <x v="1"/>
    <x v="2"/>
    <x v="2"/>
    <n v="250"/>
    <s v="ST"/>
  </r>
  <r>
    <s v=".1~1282"/>
    <n v="1282"/>
    <s v="D2"/>
    <s v="06"/>
    <s v="04"/>
    <x v="53"/>
    <n v="11"/>
    <n v="54"/>
    <x v="1"/>
    <x v="3"/>
    <x v="3"/>
    <n v="42"/>
    <s v="ST"/>
  </r>
  <r>
    <s v=".1~1283"/>
    <n v="1283"/>
    <s v="D2"/>
    <s v="06"/>
    <s v="04"/>
    <x v="53"/>
    <n v="11"/>
    <n v="54"/>
    <x v="1"/>
    <x v="4"/>
    <x v="4"/>
    <n v="62"/>
    <s v="ST"/>
  </r>
  <r>
    <s v=".1~1284"/>
    <n v="1284"/>
    <s v="D2"/>
    <s v="06"/>
    <s v="04"/>
    <x v="53"/>
    <n v="11"/>
    <n v="54"/>
    <x v="1"/>
    <x v="5"/>
    <x v="5"/>
    <n v="100"/>
    <s v="ST"/>
  </r>
  <r>
    <s v=".1~1285"/>
    <n v="1285"/>
    <s v="D2"/>
    <s v="06"/>
    <s v="04"/>
    <x v="53"/>
    <n v="11"/>
    <n v="54"/>
    <x v="2"/>
    <x v="0"/>
    <x v="0"/>
    <n v="100"/>
    <s v="ST"/>
  </r>
  <r>
    <s v=".1~1286"/>
    <n v="1286"/>
    <s v="D2"/>
    <s v="06"/>
    <s v="04"/>
    <x v="53"/>
    <n v="11"/>
    <n v="54"/>
    <x v="2"/>
    <x v="1"/>
    <x v="1"/>
    <n v="10"/>
    <s v="ST"/>
  </r>
  <r>
    <s v=".1~1287"/>
    <n v="1287"/>
    <s v="D2"/>
    <s v="06"/>
    <s v="04"/>
    <x v="53"/>
    <n v="11"/>
    <n v="54"/>
    <x v="2"/>
    <x v="2"/>
    <x v="2"/>
    <n v="400"/>
    <s v="ST"/>
  </r>
  <r>
    <s v=".1~1288"/>
    <n v="1288"/>
    <s v="D2"/>
    <s v="06"/>
    <s v="04"/>
    <x v="53"/>
    <n v="11"/>
    <n v="54"/>
    <x v="2"/>
    <x v="3"/>
    <x v="3"/>
    <n v="47"/>
    <s v="ST"/>
  </r>
  <r>
    <s v=".1~1289"/>
    <n v="1289"/>
    <s v="D2"/>
    <s v="06"/>
    <s v="04"/>
    <x v="53"/>
    <n v="11"/>
    <n v="54"/>
    <x v="2"/>
    <x v="4"/>
    <x v="4"/>
    <n v="73"/>
    <s v="ST"/>
  </r>
  <r>
    <s v=".1~1290"/>
    <n v="1290"/>
    <s v="D2"/>
    <s v="06"/>
    <s v="04"/>
    <x v="53"/>
    <n v="11"/>
    <n v="54"/>
    <x v="2"/>
    <x v="5"/>
    <x v="5"/>
    <n v="50"/>
    <s v="ST"/>
  </r>
  <r>
    <s v=".1~1291"/>
    <n v="1291"/>
    <s v="D2"/>
    <s v="06"/>
    <s v="04"/>
    <x v="53"/>
    <n v="11"/>
    <n v="54"/>
    <x v="3"/>
    <x v="0"/>
    <x v="0"/>
    <n v="71"/>
    <s v="ST"/>
  </r>
  <r>
    <s v=".1~1292"/>
    <n v="1292"/>
    <s v="D2"/>
    <s v="06"/>
    <s v="04"/>
    <x v="53"/>
    <n v="11"/>
    <n v="54"/>
    <x v="3"/>
    <x v="1"/>
    <x v="1"/>
    <n v="10"/>
    <s v="ST"/>
  </r>
  <r>
    <s v=".1~1293"/>
    <n v="1293"/>
    <s v="D2"/>
    <s v="06"/>
    <s v="04"/>
    <x v="53"/>
    <n v="11"/>
    <n v="54"/>
    <x v="3"/>
    <x v="2"/>
    <x v="2"/>
    <n v="100"/>
    <s v="ST"/>
  </r>
  <r>
    <s v=".1~1294"/>
    <n v="1294"/>
    <s v="D2"/>
    <s v="06"/>
    <s v="04"/>
    <x v="53"/>
    <n v="11"/>
    <n v="54"/>
    <x v="3"/>
    <x v="3"/>
    <x v="3"/>
    <n v="71"/>
    <s v="ST"/>
  </r>
  <r>
    <s v=".1~1295"/>
    <n v="1295"/>
    <s v="D2"/>
    <s v="06"/>
    <s v="04"/>
    <x v="53"/>
    <n v="11"/>
    <n v="54"/>
    <x v="3"/>
    <x v="4"/>
    <x v="4"/>
    <n v="64"/>
    <s v="ST"/>
  </r>
  <r>
    <s v=".1~1296"/>
    <n v="1296"/>
    <s v="D2"/>
    <s v="06"/>
    <s v="04"/>
    <x v="53"/>
    <n v="11"/>
    <n v="54"/>
    <x v="3"/>
    <x v="5"/>
    <x v="5"/>
    <n v="19"/>
    <s v="ST"/>
  </r>
  <r>
    <s v=".1~1297"/>
    <n v="1297"/>
    <s v="D2"/>
    <s v="06"/>
    <s v="05"/>
    <x v="54"/>
    <n v="11"/>
    <n v="55"/>
    <x v="0"/>
    <x v="0"/>
    <x v="0"/>
    <n v="0"/>
    <s v="ST"/>
  </r>
  <r>
    <s v=".1~1298"/>
    <n v="1298"/>
    <s v="D2"/>
    <s v="06"/>
    <s v="05"/>
    <x v="54"/>
    <n v="11"/>
    <n v="55"/>
    <x v="0"/>
    <x v="1"/>
    <x v="1"/>
    <n v="0"/>
    <s v="ST"/>
  </r>
  <r>
    <s v=".1~1299"/>
    <n v="1299"/>
    <s v="D2"/>
    <s v="06"/>
    <s v="05"/>
    <x v="54"/>
    <n v="11"/>
    <n v="55"/>
    <x v="0"/>
    <x v="2"/>
    <x v="2"/>
    <n v="52"/>
    <s v="ST"/>
  </r>
  <r>
    <s v=".1~1300"/>
    <n v="1300"/>
    <s v="D2"/>
    <s v="06"/>
    <s v="05"/>
    <x v="54"/>
    <n v="11"/>
    <n v="55"/>
    <x v="0"/>
    <x v="3"/>
    <x v="3"/>
    <n v="0"/>
    <s v="ST"/>
  </r>
  <r>
    <s v=".1~1301"/>
    <n v="1301"/>
    <s v="D2"/>
    <s v="06"/>
    <s v="05"/>
    <x v="54"/>
    <n v="11"/>
    <n v="55"/>
    <x v="0"/>
    <x v="4"/>
    <x v="4"/>
    <n v="0"/>
    <s v="ST"/>
  </r>
  <r>
    <s v=".1~1302"/>
    <n v="1302"/>
    <s v="D2"/>
    <s v="06"/>
    <s v="05"/>
    <x v="54"/>
    <n v="11"/>
    <n v="55"/>
    <x v="0"/>
    <x v="5"/>
    <x v="5"/>
    <n v="88"/>
    <s v="ST"/>
  </r>
  <r>
    <s v=".1~1303"/>
    <n v="1303"/>
    <s v="D2"/>
    <s v="06"/>
    <s v="05"/>
    <x v="54"/>
    <n v="11"/>
    <n v="55"/>
    <x v="1"/>
    <x v="0"/>
    <x v="0"/>
    <n v="521"/>
    <s v="ST"/>
  </r>
  <r>
    <s v=".1~1304"/>
    <n v="1304"/>
    <s v="D2"/>
    <s v="06"/>
    <s v="05"/>
    <x v="54"/>
    <n v="11"/>
    <n v="55"/>
    <x v="1"/>
    <x v="1"/>
    <x v="1"/>
    <n v="0"/>
    <s v="ST"/>
  </r>
  <r>
    <s v=".1~1305"/>
    <n v="1305"/>
    <s v="D2"/>
    <s v="06"/>
    <s v="05"/>
    <x v="54"/>
    <n v="11"/>
    <n v="55"/>
    <x v="1"/>
    <x v="2"/>
    <x v="2"/>
    <n v="175"/>
    <s v="ST"/>
  </r>
  <r>
    <s v=".1~1306"/>
    <n v="1306"/>
    <s v="D2"/>
    <s v="06"/>
    <s v="05"/>
    <x v="54"/>
    <n v="11"/>
    <n v="55"/>
    <x v="1"/>
    <x v="3"/>
    <x v="3"/>
    <n v="42"/>
    <s v="ST"/>
  </r>
  <r>
    <s v=".1~1307"/>
    <n v="1307"/>
    <s v="D2"/>
    <s v="06"/>
    <s v="05"/>
    <x v="54"/>
    <n v="11"/>
    <n v="55"/>
    <x v="1"/>
    <x v="4"/>
    <x v="4"/>
    <n v="62"/>
    <s v="ST"/>
  </r>
  <r>
    <s v=".1~1308"/>
    <n v="1308"/>
    <s v="D2"/>
    <s v="06"/>
    <s v="05"/>
    <x v="54"/>
    <n v="11"/>
    <n v="55"/>
    <x v="1"/>
    <x v="5"/>
    <x v="5"/>
    <n v="23"/>
    <s v="ST"/>
  </r>
  <r>
    <s v=".1~1309"/>
    <n v="1309"/>
    <s v="D2"/>
    <s v="06"/>
    <s v="05"/>
    <x v="54"/>
    <n v="11"/>
    <n v="55"/>
    <x v="2"/>
    <x v="0"/>
    <x v="0"/>
    <n v="100"/>
    <s v="ST"/>
  </r>
  <r>
    <s v=".1~1310"/>
    <n v="1310"/>
    <s v="D2"/>
    <s v="06"/>
    <s v="05"/>
    <x v="54"/>
    <n v="11"/>
    <n v="55"/>
    <x v="2"/>
    <x v="1"/>
    <x v="1"/>
    <n v="10"/>
    <s v="ST"/>
  </r>
  <r>
    <s v=".1~1311"/>
    <n v="1311"/>
    <s v="D2"/>
    <s v="06"/>
    <s v="05"/>
    <x v="54"/>
    <n v="11"/>
    <n v="55"/>
    <x v="2"/>
    <x v="2"/>
    <x v="2"/>
    <n v="280"/>
    <s v="ST"/>
  </r>
  <r>
    <s v=".1~1312"/>
    <n v="1312"/>
    <s v="D2"/>
    <s v="06"/>
    <s v="05"/>
    <x v="54"/>
    <n v="11"/>
    <n v="55"/>
    <x v="2"/>
    <x v="3"/>
    <x v="3"/>
    <n v="47"/>
    <s v="ST"/>
  </r>
  <r>
    <s v=".1~1313"/>
    <n v="1313"/>
    <s v="D2"/>
    <s v="06"/>
    <s v="05"/>
    <x v="54"/>
    <n v="11"/>
    <n v="55"/>
    <x v="2"/>
    <x v="4"/>
    <x v="4"/>
    <n v="37"/>
    <s v="ST"/>
  </r>
  <r>
    <s v=".1~1314"/>
    <n v="1314"/>
    <s v="D2"/>
    <s v="06"/>
    <s v="05"/>
    <x v="54"/>
    <n v="11"/>
    <n v="55"/>
    <x v="2"/>
    <x v="5"/>
    <x v="5"/>
    <n v="50"/>
    <s v="ST"/>
  </r>
  <r>
    <s v=".1~1315"/>
    <n v="1315"/>
    <s v="D2"/>
    <s v="06"/>
    <s v="05"/>
    <x v="54"/>
    <n v="11"/>
    <n v="55"/>
    <x v="3"/>
    <x v="0"/>
    <x v="0"/>
    <n v="71"/>
    <s v="ST"/>
  </r>
  <r>
    <s v=".1~1316"/>
    <n v="1316"/>
    <s v="D2"/>
    <s v="06"/>
    <s v="05"/>
    <x v="54"/>
    <n v="11"/>
    <n v="55"/>
    <x v="3"/>
    <x v="1"/>
    <x v="1"/>
    <n v="10"/>
    <s v="ST"/>
  </r>
  <r>
    <s v=".1~1317"/>
    <n v="1317"/>
    <s v="D2"/>
    <s v="06"/>
    <s v="05"/>
    <x v="54"/>
    <n v="11"/>
    <n v="55"/>
    <x v="3"/>
    <x v="2"/>
    <x v="2"/>
    <n v="100"/>
    <s v="ST"/>
  </r>
  <r>
    <s v=".1~1318"/>
    <n v="1318"/>
    <s v="D2"/>
    <s v="06"/>
    <s v="05"/>
    <x v="54"/>
    <n v="11"/>
    <n v="55"/>
    <x v="3"/>
    <x v="3"/>
    <x v="3"/>
    <n v="45"/>
    <s v="ST"/>
  </r>
  <r>
    <s v=".1~1319"/>
    <n v="1319"/>
    <s v="D2"/>
    <s v="06"/>
    <s v="05"/>
    <x v="54"/>
    <n v="11"/>
    <n v="55"/>
    <x v="3"/>
    <x v="4"/>
    <x v="4"/>
    <n v="41"/>
    <s v="ST"/>
  </r>
  <r>
    <s v=".1~1320"/>
    <n v="1320"/>
    <s v="D2"/>
    <s v="06"/>
    <s v="05"/>
    <x v="54"/>
    <n v="11"/>
    <n v="55"/>
    <x v="3"/>
    <x v="5"/>
    <x v="5"/>
    <n v="19"/>
    <s v="ST"/>
  </r>
  <r>
    <s v=".1~1321"/>
    <n v="1321"/>
    <s v="D2"/>
    <s v="06"/>
    <s v="06"/>
    <x v="55"/>
    <n v="12"/>
    <n v="56"/>
    <x v="0"/>
    <x v="0"/>
    <x v="0"/>
    <n v="0"/>
    <s v="ST"/>
  </r>
  <r>
    <s v=".1~1322"/>
    <n v="1322"/>
    <s v="D2"/>
    <s v="06"/>
    <s v="06"/>
    <x v="55"/>
    <n v="12"/>
    <n v="56"/>
    <x v="0"/>
    <x v="1"/>
    <x v="1"/>
    <n v="0"/>
    <s v="ST"/>
  </r>
  <r>
    <s v=".1~1323"/>
    <n v="1323"/>
    <s v="D2"/>
    <s v="06"/>
    <s v="06"/>
    <x v="55"/>
    <n v="12"/>
    <n v="56"/>
    <x v="0"/>
    <x v="2"/>
    <x v="2"/>
    <n v="52"/>
    <s v="ST"/>
  </r>
  <r>
    <s v=".1~1324"/>
    <n v="1324"/>
    <s v="D2"/>
    <s v="06"/>
    <s v="06"/>
    <x v="55"/>
    <n v="12"/>
    <n v="56"/>
    <x v="0"/>
    <x v="3"/>
    <x v="3"/>
    <n v="0"/>
    <s v="ST"/>
  </r>
  <r>
    <s v=".1~1325"/>
    <n v="1325"/>
    <s v="D2"/>
    <s v="06"/>
    <s v="06"/>
    <x v="55"/>
    <n v="12"/>
    <n v="56"/>
    <x v="0"/>
    <x v="4"/>
    <x v="4"/>
    <n v="0"/>
    <s v="ST"/>
  </r>
  <r>
    <s v=".1~1326"/>
    <n v="1326"/>
    <s v="D2"/>
    <s v="06"/>
    <s v="06"/>
    <x v="55"/>
    <n v="12"/>
    <n v="56"/>
    <x v="0"/>
    <x v="5"/>
    <x v="5"/>
    <n v="88"/>
    <s v="ST"/>
  </r>
  <r>
    <s v=".1~1327"/>
    <n v="1327"/>
    <s v="D2"/>
    <s v="06"/>
    <s v="06"/>
    <x v="55"/>
    <n v="12"/>
    <n v="56"/>
    <x v="1"/>
    <x v="0"/>
    <x v="0"/>
    <n v="366"/>
    <s v="ST"/>
  </r>
  <r>
    <s v=".1~1328"/>
    <n v="1328"/>
    <s v="D2"/>
    <s v="06"/>
    <s v="06"/>
    <x v="55"/>
    <n v="12"/>
    <n v="56"/>
    <x v="1"/>
    <x v="1"/>
    <x v="1"/>
    <n v="0"/>
    <s v="ST"/>
  </r>
  <r>
    <s v=".1~1329"/>
    <n v="1329"/>
    <s v="D2"/>
    <s v="06"/>
    <s v="06"/>
    <x v="55"/>
    <n v="12"/>
    <n v="56"/>
    <x v="1"/>
    <x v="2"/>
    <x v="2"/>
    <n v="175"/>
    <s v="ST"/>
  </r>
  <r>
    <s v=".1~1330"/>
    <n v="1330"/>
    <s v="D2"/>
    <s v="06"/>
    <s v="06"/>
    <x v="55"/>
    <n v="12"/>
    <n v="56"/>
    <x v="1"/>
    <x v="3"/>
    <x v="3"/>
    <n v="42"/>
    <s v="ST"/>
  </r>
  <r>
    <s v=".1~1331"/>
    <n v="1331"/>
    <s v="D2"/>
    <s v="06"/>
    <s v="06"/>
    <x v="55"/>
    <n v="12"/>
    <n v="56"/>
    <x v="1"/>
    <x v="4"/>
    <x v="4"/>
    <n v="36"/>
    <s v="ST"/>
  </r>
  <r>
    <s v=".1~1332"/>
    <n v="1332"/>
    <s v="D2"/>
    <s v="06"/>
    <s v="06"/>
    <x v="55"/>
    <n v="12"/>
    <n v="56"/>
    <x v="1"/>
    <x v="5"/>
    <x v="5"/>
    <n v="23"/>
    <s v="ST"/>
  </r>
  <r>
    <s v=".1~1333"/>
    <n v="1333"/>
    <s v="D2"/>
    <s v="06"/>
    <s v="06"/>
    <x v="55"/>
    <n v="12"/>
    <n v="56"/>
    <x v="2"/>
    <x v="0"/>
    <x v="0"/>
    <n v="100"/>
    <s v="ST"/>
  </r>
  <r>
    <s v=".1~1334"/>
    <n v="1334"/>
    <s v="D2"/>
    <s v="06"/>
    <s v="06"/>
    <x v="55"/>
    <n v="12"/>
    <n v="56"/>
    <x v="2"/>
    <x v="1"/>
    <x v="1"/>
    <n v="10"/>
    <s v="ST"/>
  </r>
  <r>
    <s v=".1~1335"/>
    <n v="1335"/>
    <s v="D2"/>
    <s v="06"/>
    <s v="06"/>
    <x v="55"/>
    <n v="12"/>
    <n v="56"/>
    <x v="2"/>
    <x v="2"/>
    <x v="2"/>
    <n v="113"/>
    <s v="ST"/>
  </r>
  <r>
    <s v=".1~1336"/>
    <n v="1336"/>
    <s v="D2"/>
    <s v="06"/>
    <s v="06"/>
    <x v="55"/>
    <n v="12"/>
    <n v="56"/>
    <x v="2"/>
    <x v="3"/>
    <x v="3"/>
    <n v="47"/>
    <s v="ST"/>
  </r>
  <r>
    <s v=".1~1337"/>
    <n v="1337"/>
    <s v="D2"/>
    <s v="06"/>
    <s v="06"/>
    <x v="55"/>
    <n v="12"/>
    <n v="56"/>
    <x v="2"/>
    <x v="4"/>
    <x v="4"/>
    <n v="37"/>
    <s v="ST"/>
  </r>
  <r>
    <s v=".1~1338"/>
    <n v="1338"/>
    <s v="D2"/>
    <s v="06"/>
    <s v="06"/>
    <x v="55"/>
    <n v="12"/>
    <n v="56"/>
    <x v="2"/>
    <x v="5"/>
    <x v="5"/>
    <n v="50"/>
    <s v="ST"/>
  </r>
  <r>
    <s v=".1~1339"/>
    <n v="1339"/>
    <s v="D2"/>
    <s v="06"/>
    <s v="06"/>
    <x v="55"/>
    <n v="12"/>
    <n v="56"/>
    <x v="3"/>
    <x v="0"/>
    <x v="0"/>
    <n v="71"/>
    <s v="ST"/>
  </r>
  <r>
    <s v=".1~1340"/>
    <n v="1340"/>
    <s v="D2"/>
    <s v="06"/>
    <s v="06"/>
    <x v="55"/>
    <n v="12"/>
    <n v="56"/>
    <x v="3"/>
    <x v="1"/>
    <x v="1"/>
    <n v="10"/>
    <s v="ST"/>
  </r>
  <r>
    <s v=".1~1341"/>
    <n v="1341"/>
    <s v="D2"/>
    <s v="06"/>
    <s v="06"/>
    <x v="55"/>
    <n v="12"/>
    <n v="56"/>
    <x v="3"/>
    <x v="2"/>
    <x v="2"/>
    <n v="100"/>
    <s v="ST"/>
  </r>
  <r>
    <s v=".1~1342"/>
    <n v="1342"/>
    <s v="D2"/>
    <s v="06"/>
    <s v="06"/>
    <x v="55"/>
    <n v="12"/>
    <n v="56"/>
    <x v="3"/>
    <x v="3"/>
    <x v="3"/>
    <n v="22"/>
    <s v="ST"/>
  </r>
  <r>
    <s v=".1~1343"/>
    <n v="1343"/>
    <s v="D2"/>
    <s v="06"/>
    <s v="06"/>
    <x v="55"/>
    <n v="12"/>
    <n v="56"/>
    <x v="3"/>
    <x v="4"/>
    <x v="4"/>
    <n v="41"/>
    <s v="ST"/>
  </r>
  <r>
    <s v=".1~1344"/>
    <n v="1344"/>
    <s v="D2"/>
    <s v="06"/>
    <s v="06"/>
    <x v="55"/>
    <n v="12"/>
    <n v="56"/>
    <x v="3"/>
    <x v="5"/>
    <x v="5"/>
    <n v="0"/>
    <s v="ST"/>
  </r>
  <r>
    <s v=".1~1345"/>
    <n v="1345"/>
    <s v="D2"/>
    <s v="06"/>
    <s v="07"/>
    <x v="56"/>
    <n v="12"/>
    <n v="57"/>
    <x v="0"/>
    <x v="0"/>
    <x v="0"/>
    <n v="699"/>
    <s v="ST"/>
  </r>
  <r>
    <s v=".1~1346"/>
    <n v="1346"/>
    <s v="D2"/>
    <s v="06"/>
    <s v="07"/>
    <x v="56"/>
    <n v="12"/>
    <n v="57"/>
    <x v="0"/>
    <x v="1"/>
    <x v="1"/>
    <n v="224"/>
    <s v="ST"/>
  </r>
  <r>
    <s v=".1~1347"/>
    <n v="1347"/>
    <s v="D2"/>
    <s v="06"/>
    <s v="07"/>
    <x v="56"/>
    <n v="12"/>
    <n v="57"/>
    <x v="0"/>
    <x v="2"/>
    <x v="2"/>
    <n v="448"/>
    <s v="ST"/>
  </r>
  <r>
    <s v=".1~1348"/>
    <n v="1348"/>
    <s v="D2"/>
    <s v="06"/>
    <s v="07"/>
    <x v="56"/>
    <n v="12"/>
    <n v="57"/>
    <x v="0"/>
    <x v="3"/>
    <x v="3"/>
    <n v="140"/>
    <s v="ST"/>
  </r>
  <r>
    <s v=".1~1349"/>
    <n v="1349"/>
    <s v="D2"/>
    <s v="06"/>
    <s v="07"/>
    <x v="56"/>
    <n v="12"/>
    <n v="57"/>
    <x v="0"/>
    <x v="4"/>
    <x v="4"/>
    <n v="301"/>
    <s v="ST"/>
  </r>
  <r>
    <s v=".1~1350"/>
    <n v="1350"/>
    <s v="D2"/>
    <s v="06"/>
    <s v="07"/>
    <x v="56"/>
    <n v="12"/>
    <n v="57"/>
    <x v="0"/>
    <x v="5"/>
    <x v="5"/>
    <n v="43"/>
    <s v="ST"/>
  </r>
  <r>
    <s v=".1~1351"/>
    <n v="1351"/>
    <s v="D2"/>
    <s v="06"/>
    <s v="07"/>
    <x v="56"/>
    <n v="12"/>
    <n v="57"/>
    <x v="1"/>
    <x v="0"/>
    <x v="0"/>
    <n v="302"/>
    <s v="ST"/>
  </r>
  <r>
    <s v=".1~1352"/>
    <n v="1352"/>
    <s v="D2"/>
    <s v="06"/>
    <s v="07"/>
    <x v="56"/>
    <n v="12"/>
    <n v="57"/>
    <x v="1"/>
    <x v="1"/>
    <x v="1"/>
    <n v="0"/>
    <s v="ST"/>
  </r>
  <r>
    <s v=".1~1353"/>
    <n v="1353"/>
    <s v="D2"/>
    <s v="06"/>
    <s v="07"/>
    <x v="56"/>
    <n v="12"/>
    <n v="57"/>
    <x v="1"/>
    <x v="2"/>
    <x v="2"/>
    <n v="186"/>
    <s v="ST"/>
  </r>
  <r>
    <s v=".1~1354"/>
    <n v="1354"/>
    <s v="D2"/>
    <s v="06"/>
    <s v="07"/>
    <x v="56"/>
    <n v="12"/>
    <n v="57"/>
    <x v="1"/>
    <x v="3"/>
    <x v="3"/>
    <n v="42"/>
    <s v="ST"/>
  </r>
  <r>
    <s v=".1~1355"/>
    <n v="1355"/>
    <s v="D2"/>
    <s v="06"/>
    <s v="07"/>
    <x v="56"/>
    <n v="12"/>
    <n v="57"/>
    <x v="1"/>
    <x v="4"/>
    <x v="4"/>
    <n v="8"/>
    <s v="ST"/>
  </r>
  <r>
    <s v=".1~1356"/>
    <n v="1356"/>
    <s v="D2"/>
    <s v="06"/>
    <s v="07"/>
    <x v="56"/>
    <n v="12"/>
    <n v="57"/>
    <x v="1"/>
    <x v="5"/>
    <x v="5"/>
    <n v="54"/>
    <s v="ST"/>
  </r>
  <r>
    <s v=".1~1357"/>
    <n v="1357"/>
    <s v="D2"/>
    <s v="06"/>
    <s v="07"/>
    <x v="56"/>
    <n v="12"/>
    <n v="57"/>
    <x v="2"/>
    <x v="0"/>
    <x v="0"/>
    <n v="100"/>
    <s v="ST"/>
  </r>
  <r>
    <s v=".1~1358"/>
    <n v="1358"/>
    <s v="D2"/>
    <s v="06"/>
    <s v="07"/>
    <x v="56"/>
    <n v="12"/>
    <n v="57"/>
    <x v="2"/>
    <x v="1"/>
    <x v="1"/>
    <n v="10"/>
    <s v="ST"/>
  </r>
  <r>
    <s v=".1~1359"/>
    <n v="1359"/>
    <s v="D2"/>
    <s v="06"/>
    <s v="07"/>
    <x v="56"/>
    <n v="12"/>
    <n v="57"/>
    <x v="2"/>
    <x v="2"/>
    <x v="2"/>
    <n v="41"/>
    <s v="ST"/>
  </r>
  <r>
    <s v=".1~1360"/>
    <n v="1360"/>
    <s v="D2"/>
    <s v="06"/>
    <s v="07"/>
    <x v="56"/>
    <n v="12"/>
    <n v="57"/>
    <x v="2"/>
    <x v="3"/>
    <x v="3"/>
    <n v="28"/>
    <s v="ST"/>
  </r>
  <r>
    <s v=".1~1361"/>
    <n v="1361"/>
    <s v="D2"/>
    <s v="06"/>
    <s v="07"/>
    <x v="56"/>
    <n v="12"/>
    <n v="57"/>
    <x v="2"/>
    <x v="4"/>
    <x v="4"/>
    <n v="7"/>
    <s v="ST"/>
  </r>
  <r>
    <s v=".1~1362"/>
    <n v="1362"/>
    <s v="D2"/>
    <s v="06"/>
    <s v="07"/>
    <x v="56"/>
    <n v="12"/>
    <n v="57"/>
    <x v="2"/>
    <x v="5"/>
    <x v="5"/>
    <n v="0"/>
    <s v="ST"/>
  </r>
  <r>
    <s v=".1~1363"/>
    <n v="1363"/>
    <s v="D2"/>
    <s v="06"/>
    <s v="07"/>
    <x v="56"/>
    <n v="12"/>
    <n v="57"/>
    <x v="3"/>
    <x v="0"/>
    <x v="0"/>
    <n v="71"/>
    <s v="ST"/>
  </r>
  <r>
    <s v=".1~1364"/>
    <n v="1364"/>
    <s v="D2"/>
    <s v="06"/>
    <s v="07"/>
    <x v="56"/>
    <n v="12"/>
    <n v="57"/>
    <x v="3"/>
    <x v="1"/>
    <x v="1"/>
    <n v="10"/>
    <s v="ST"/>
  </r>
  <r>
    <s v=".1~1365"/>
    <n v="1365"/>
    <s v="D2"/>
    <s v="06"/>
    <s v="07"/>
    <x v="56"/>
    <n v="12"/>
    <n v="57"/>
    <x v="3"/>
    <x v="2"/>
    <x v="2"/>
    <n v="51"/>
    <s v="ST"/>
  </r>
  <r>
    <s v=".1~1366"/>
    <n v="1366"/>
    <s v="D2"/>
    <s v="06"/>
    <s v="07"/>
    <x v="56"/>
    <n v="12"/>
    <n v="57"/>
    <x v="3"/>
    <x v="3"/>
    <x v="3"/>
    <n v="1"/>
    <s v="ST"/>
  </r>
  <r>
    <s v=".1~1367"/>
    <n v="1367"/>
    <s v="D2"/>
    <s v="06"/>
    <s v="07"/>
    <x v="56"/>
    <n v="12"/>
    <n v="57"/>
    <x v="3"/>
    <x v="4"/>
    <x v="4"/>
    <n v="41"/>
    <s v="ST"/>
  </r>
  <r>
    <s v=".1~1368"/>
    <n v="1368"/>
    <s v="D2"/>
    <s v="06"/>
    <s v="07"/>
    <x v="56"/>
    <n v="12"/>
    <n v="57"/>
    <x v="3"/>
    <x v="5"/>
    <x v="5"/>
    <n v="34"/>
    <s v="ST"/>
  </r>
  <r>
    <s v=".1~1369"/>
    <n v="1369"/>
    <s v="D2"/>
    <s v="06"/>
    <s v="08"/>
    <x v="57"/>
    <n v="12"/>
    <n v="58"/>
    <x v="0"/>
    <x v="0"/>
    <x v="0"/>
    <n v="272"/>
    <s v="ST"/>
  </r>
  <r>
    <s v=".1~1370"/>
    <n v="1370"/>
    <s v="D2"/>
    <s v="06"/>
    <s v="08"/>
    <x v="57"/>
    <n v="12"/>
    <n v="58"/>
    <x v="0"/>
    <x v="1"/>
    <x v="1"/>
    <n v="69"/>
    <s v="ST"/>
  </r>
  <r>
    <s v=".1~1371"/>
    <n v="1371"/>
    <s v="D2"/>
    <s v="06"/>
    <s v="08"/>
    <x v="57"/>
    <n v="12"/>
    <n v="58"/>
    <x v="0"/>
    <x v="2"/>
    <x v="2"/>
    <n v="0"/>
    <s v="ST"/>
  </r>
  <r>
    <s v=".1~1372"/>
    <n v="1372"/>
    <s v="D2"/>
    <s v="06"/>
    <s v="08"/>
    <x v="57"/>
    <n v="12"/>
    <n v="58"/>
    <x v="0"/>
    <x v="3"/>
    <x v="3"/>
    <n v="11"/>
    <s v="ST"/>
  </r>
  <r>
    <s v=".1~1373"/>
    <n v="1373"/>
    <s v="D2"/>
    <s v="06"/>
    <s v="08"/>
    <x v="57"/>
    <n v="12"/>
    <n v="58"/>
    <x v="0"/>
    <x v="4"/>
    <x v="4"/>
    <n v="27"/>
    <s v="ST"/>
  </r>
  <r>
    <s v=".1~1374"/>
    <n v="1374"/>
    <s v="D2"/>
    <s v="06"/>
    <s v="08"/>
    <x v="57"/>
    <n v="12"/>
    <n v="58"/>
    <x v="0"/>
    <x v="5"/>
    <x v="5"/>
    <n v="0"/>
    <s v="ST"/>
  </r>
  <r>
    <s v=".1~1375"/>
    <n v="1375"/>
    <s v="D2"/>
    <s v="06"/>
    <s v="08"/>
    <x v="57"/>
    <n v="12"/>
    <n v="58"/>
    <x v="1"/>
    <x v="0"/>
    <x v="0"/>
    <n v="590"/>
    <s v="ST"/>
  </r>
  <r>
    <s v=".1~1376"/>
    <n v="1376"/>
    <s v="D2"/>
    <s v="06"/>
    <s v="08"/>
    <x v="57"/>
    <n v="12"/>
    <n v="58"/>
    <x v="1"/>
    <x v="1"/>
    <x v="1"/>
    <n v="50"/>
    <s v="ST"/>
  </r>
  <r>
    <s v=".1~1377"/>
    <n v="1377"/>
    <s v="D2"/>
    <s v="06"/>
    <s v="08"/>
    <x v="57"/>
    <n v="12"/>
    <n v="58"/>
    <x v="1"/>
    <x v="2"/>
    <x v="2"/>
    <n v="190"/>
    <s v="ST"/>
  </r>
  <r>
    <s v=".1~1378"/>
    <n v="1378"/>
    <s v="D2"/>
    <s v="06"/>
    <s v="08"/>
    <x v="57"/>
    <n v="12"/>
    <n v="58"/>
    <x v="1"/>
    <x v="3"/>
    <x v="3"/>
    <n v="50"/>
    <s v="ST"/>
  </r>
  <r>
    <s v=".1~1379"/>
    <n v="1379"/>
    <s v="D2"/>
    <s v="06"/>
    <s v="08"/>
    <x v="57"/>
    <n v="12"/>
    <n v="58"/>
    <x v="1"/>
    <x v="4"/>
    <x v="4"/>
    <n v="100"/>
    <s v="ST"/>
  </r>
  <r>
    <s v=".1~1380"/>
    <n v="1380"/>
    <s v="D2"/>
    <s v="06"/>
    <s v="08"/>
    <x v="57"/>
    <n v="12"/>
    <n v="58"/>
    <x v="1"/>
    <x v="5"/>
    <x v="5"/>
    <n v="25"/>
    <s v="ST"/>
  </r>
  <r>
    <s v=".1~1381"/>
    <n v="1381"/>
    <s v="D2"/>
    <s v="06"/>
    <s v="08"/>
    <x v="57"/>
    <n v="12"/>
    <n v="58"/>
    <x v="2"/>
    <x v="0"/>
    <x v="0"/>
    <n v="100"/>
    <s v="ST"/>
  </r>
  <r>
    <s v=".1~1382"/>
    <n v="1382"/>
    <s v="D2"/>
    <s v="06"/>
    <s v="08"/>
    <x v="57"/>
    <n v="12"/>
    <n v="58"/>
    <x v="2"/>
    <x v="1"/>
    <x v="1"/>
    <n v="75"/>
    <s v="ST"/>
  </r>
  <r>
    <s v=".1~1383"/>
    <n v="1383"/>
    <s v="D2"/>
    <s v="06"/>
    <s v="08"/>
    <x v="57"/>
    <n v="12"/>
    <n v="58"/>
    <x v="2"/>
    <x v="2"/>
    <x v="2"/>
    <n v="341"/>
    <s v="ST"/>
  </r>
  <r>
    <s v=".1~1384"/>
    <n v="1384"/>
    <s v="D2"/>
    <s v="06"/>
    <s v="08"/>
    <x v="57"/>
    <n v="12"/>
    <n v="58"/>
    <x v="2"/>
    <x v="3"/>
    <x v="3"/>
    <n v="50"/>
    <s v="ST"/>
  </r>
  <r>
    <s v=".1~1385"/>
    <n v="1385"/>
    <s v="D2"/>
    <s v="06"/>
    <s v="08"/>
    <x v="57"/>
    <n v="12"/>
    <n v="58"/>
    <x v="2"/>
    <x v="4"/>
    <x v="4"/>
    <n v="143"/>
    <s v="ST"/>
  </r>
  <r>
    <s v=".1~1386"/>
    <n v="1386"/>
    <s v="D2"/>
    <s v="06"/>
    <s v="08"/>
    <x v="57"/>
    <n v="12"/>
    <n v="58"/>
    <x v="2"/>
    <x v="5"/>
    <x v="5"/>
    <n v="19"/>
    <s v="ST"/>
  </r>
  <r>
    <s v=".1~1387"/>
    <n v="1387"/>
    <s v="D2"/>
    <s v="06"/>
    <s v="08"/>
    <x v="57"/>
    <n v="12"/>
    <n v="58"/>
    <x v="3"/>
    <x v="0"/>
    <x v="0"/>
    <n v="86"/>
    <s v="ST"/>
  </r>
  <r>
    <s v=".1~1388"/>
    <n v="1388"/>
    <s v="D2"/>
    <s v="06"/>
    <s v="08"/>
    <x v="57"/>
    <n v="12"/>
    <n v="58"/>
    <x v="3"/>
    <x v="1"/>
    <x v="1"/>
    <n v="50"/>
    <s v="ST"/>
  </r>
  <r>
    <s v=".1~1389"/>
    <n v="1389"/>
    <s v="D2"/>
    <s v="06"/>
    <s v="08"/>
    <x v="57"/>
    <n v="12"/>
    <n v="58"/>
    <x v="3"/>
    <x v="2"/>
    <x v="2"/>
    <n v="97"/>
    <s v="ST"/>
  </r>
  <r>
    <s v=".1~1390"/>
    <n v="1390"/>
    <s v="D2"/>
    <s v="06"/>
    <s v="08"/>
    <x v="57"/>
    <n v="12"/>
    <n v="58"/>
    <x v="3"/>
    <x v="3"/>
    <x v="3"/>
    <n v="99"/>
    <s v="ST"/>
  </r>
  <r>
    <s v=".1~1391"/>
    <n v="1391"/>
    <s v="D2"/>
    <s v="06"/>
    <s v="08"/>
    <x v="57"/>
    <n v="12"/>
    <n v="58"/>
    <x v="3"/>
    <x v="4"/>
    <x v="4"/>
    <n v="80"/>
    <s v="ST"/>
  </r>
  <r>
    <s v=".1~1392"/>
    <n v="1392"/>
    <s v="D2"/>
    <s v="06"/>
    <s v="08"/>
    <x v="57"/>
    <n v="12"/>
    <n v="58"/>
    <x v="3"/>
    <x v="5"/>
    <x v="5"/>
    <n v="40"/>
    <s v="ST"/>
  </r>
  <r>
    <s v=".1~1393"/>
    <n v="1393"/>
    <s v="D2"/>
    <s v="06"/>
    <s v="09"/>
    <x v="58"/>
    <n v="12"/>
    <n v="59"/>
    <x v="0"/>
    <x v="0"/>
    <x v="0"/>
    <n v="272"/>
    <s v="ST"/>
  </r>
  <r>
    <s v=".1~1394"/>
    <n v="1394"/>
    <s v="D2"/>
    <s v="06"/>
    <s v="09"/>
    <x v="58"/>
    <n v="12"/>
    <n v="59"/>
    <x v="0"/>
    <x v="1"/>
    <x v="1"/>
    <n v="69"/>
    <s v="ST"/>
  </r>
  <r>
    <s v=".1~1395"/>
    <n v="1395"/>
    <s v="D2"/>
    <s v="06"/>
    <s v="09"/>
    <x v="58"/>
    <n v="12"/>
    <n v="59"/>
    <x v="0"/>
    <x v="2"/>
    <x v="2"/>
    <n v="0"/>
    <s v="ST"/>
  </r>
  <r>
    <s v=".1~1396"/>
    <n v="1396"/>
    <s v="D2"/>
    <s v="06"/>
    <s v="09"/>
    <x v="58"/>
    <n v="12"/>
    <n v="59"/>
    <x v="0"/>
    <x v="3"/>
    <x v="3"/>
    <n v="11"/>
    <s v="ST"/>
  </r>
  <r>
    <s v=".1~1397"/>
    <n v="1397"/>
    <s v="D2"/>
    <s v="06"/>
    <s v="09"/>
    <x v="58"/>
    <n v="12"/>
    <n v="59"/>
    <x v="0"/>
    <x v="4"/>
    <x v="4"/>
    <n v="27"/>
    <s v="ST"/>
  </r>
  <r>
    <s v=".1~1398"/>
    <n v="1398"/>
    <s v="D2"/>
    <s v="06"/>
    <s v="09"/>
    <x v="58"/>
    <n v="12"/>
    <n v="59"/>
    <x v="0"/>
    <x v="5"/>
    <x v="5"/>
    <n v="0"/>
    <s v="ST"/>
  </r>
  <r>
    <s v=".1~1399"/>
    <n v="1399"/>
    <s v="D2"/>
    <s v="06"/>
    <s v="09"/>
    <x v="58"/>
    <n v="12"/>
    <n v="59"/>
    <x v="1"/>
    <x v="0"/>
    <x v="0"/>
    <n v="517"/>
    <s v="ST"/>
  </r>
  <r>
    <s v=".1~1400"/>
    <n v="1400"/>
    <s v="D2"/>
    <s v="06"/>
    <s v="09"/>
    <x v="58"/>
    <n v="12"/>
    <n v="59"/>
    <x v="1"/>
    <x v="1"/>
    <x v="1"/>
    <n v="20"/>
    <s v="ST"/>
  </r>
  <r>
    <s v=".1~1401"/>
    <n v="1401"/>
    <s v="D2"/>
    <s v="06"/>
    <s v="09"/>
    <x v="58"/>
    <n v="12"/>
    <n v="59"/>
    <x v="1"/>
    <x v="2"/>
    <x v="2"/>
    <n v="57"/>
    <s v="ST"/>
  </r>
  <r>
    <s v=".1~1402"/>
    <n v="1402"/>
    <s v="D2"/>
    <s v="06"/>
    <s v="09"/>
    <x v="58"/>
    <n v="12"/>
    <n v="59"/>
    <x v="1"/>
    <x v="3"/>
    <x v="3"/>
    <n v="50"/>
    <s v="ST"/>
  </r>
  <r>
    <s v=".1~1403"/>
    <n v="1403"/>
    <s v="D2"/>
    <s v="06"/>
    <s v="09"/>
    <x v="58"/>
    <n v="12"/>
    <n v="59"/>
    <x v="1"/>
    <x v="4"/>
    <x v="4"/>
    <n v="100"/>
    <s v="ST"/>
  </r>
  <r>
    <s v=".1~1404"/>
    <n v="1404"/>
    <s v="D2"/>
    <s v="06"/>
    <s v="09"/>
    <x v="58"/>
    <n v="12"/>
    <n v="59"/>
    <x v="1"/>
    <x v="5"/>
    <x v="5"/>
    <n v="25"/>
    <s v="ST"/>
  </r>
  <r>
    <s v=".1~1405"/>
    <n v="1405"/>
    <s v="D2"/>
    <s v="06"/>
    <s v="09"/>
    <x v="58"/>
    <n v="12"/>
    <n v="59"/>
    <x v="2"/>
    <x v="0"/>
    <x v="0"/>
    <n v="100"/>
    <s v="ST"/>
  </r>
  <r>
    <s v=".1~1406"/>
    <n v="1406"/>
    <s v="D2"/>
    <s v="06"/>
    <s v="09"/>
    <x v="58"/>
    <n v="12"/>
    <n v="59"/>
    <x v="2"/>
    <x v="1"/>
    <x v="1"/>
    <n v="75"/>
    <s v="ST"/>
  </r>
  <r>
    <s v=".1~1407"/>
    <n v="1407"/>
    <s v="D2"/>
    <s v="06"/>
    <s v="09"/>
    <x v="58"/>
    <n v="12"/>
    <n v="59"/>
    <x v="2"/>
    <x v="2"/>
    <x v="2"/>
    <n v="341"/>
    <s v="ST"/>
  </r>
  <r>
    <s v=".1~1408"/>
    <n v="1408"/>
    <s v="D2"/>
    <s v="06"/>
    <s v="09"/>
    <x v="58"/>
    <n v="12"/>
    <n v="59"/>
    <x v="2"/>
    <x v="3"/>
    <x v="3"/>
    <n v="26"/>
    <s v="ST"/>
  </r>
  <r>
    <s v=".1~1409"/>
    <n v="1409"/>
    <s v="D2"/>
    <s v="06"/>
    <s v="09"/>
    <x v="58"/>
    <n v="12"/>
    <n v="59"/>
    <x v="2"/>
    <x v="4"/>
    <x v="4"/>
    <n v="143"/>
    <s v="ST"/>
  </r>
  <r>
    <s v=".1~1410"/>
    <n v="1410"/>
    <s v="D2"/>
    <s v="06"/>
    <s v="09"/>
    <x v="58"/>
    <n v="12"/>
    <n v="59"/>
    <x v="2"/>
    <x v="5"/>
    <x v="5"/>
    <n v="19"/>
    <s v="ST"/>
  </r>
  <r>
    <s v=".1~1411"/>
    <n v="1411"/>
    <s v="D2"/>
    <s v="06"/>
    <s v="09"/>
    <x v="58"/>
    <n v="12"/>
    <n v="59"/>
    <x v="3"/>
    <x v="0"/>
    <x v="0"/>
    <n v="0"/>
    <s v="ST"/>
  </r>
  <r>
    <s v=".1~1412"/>
    <n v="1412"/>
    <s v="D2"/>
    <s v="06"/>
    <s v="09"/>
    <x v="58"/>
    <n v="12"/>
    <n v="59"/>
    <x v="3"/>
    <x v="1"/>
    <x v="1"/>
    <n v="50"/>
    <s v="ST"/>
  </r>
  <r>
    <s v=".1~1413"/>
    <n v="1413"/>
    <s v="D2"/>
    <s v="06"/>
    <s v="09"/>
    <x v="58"/>
    <n v="12"/>
    <n v="59"/>
    <x v="3"/>
    <x v="2"/>
    <x v="2"/>
    <n v="53"/>
    <s v="ST"/>
  </r>
  <r>
    <s v=".1~1414"/>
    <n v="1414"/>
    <s v="D2"/>
    <s v="06"/>
    <s v="09"/>
    <x v="58"/>
    <n v="12"/>
    <n v="59"/>
    <x v="3"/>
    <x v="3"/>
    <x v="3"/>
    <n v="99"/>
    <s v="ST"/>
  </r>
  <r>
    <s v=".1~1415"/>
    <n v="1415"/>
    <s v="D2"/>
    <s v="06"/>
    <s v="09"/>
    <x v="58"/>
    <n v="12"/>
    <n v="59"/>
    <x v="3"/>
    <x v="4"/>
    <x v="4"/>
    <n v="80"/>
    <s v="ST"/>
  </r>
  <r>
    <s v=".1~1416"/>
    <n v="1416"/>
    <s v="D2"/>
    <s v="06"/>
    <s v="09"/>
    <x v="58"/>
    <n v="12"/>
    <n v="59"/>
    <x v="3"/>
    <x v="5"/>
    <x v="5"/>
    <n v="0"/>
    <s v="ST"/>
  </r>
  <r>
    <s v=".1~1417"/>
    <n v="1417"/>
    <s v="D2"/>
    <s v="06"/>
    <s v="10"/>
    <x v="59"/>
    <n v="12"/>
    <n v="60"/>
    <x v="0"/>
    <x v="0"/>
    <x v="0"/>
    <n v="272"/>
    <s v="ST"/>
  </r>
  <r>
    <s v=".1~1418"/>
    <n v="1418"/>
    <s v="D2"/>
    <s v="06"/>
    <s v="10"/>
    <x v="59"/>
    <n v="12"/>
    <n v="60"/>
    <x v="0"/>
    <x v="1"/>
    <x v="1"/>
    <n v="69"/>
    <s v="ST"/>
  </r>
  <r>
    <s v=".1~1419"/>
    <n v="1419"/>
    <s v="D2"/>
    <s v="06"/>
    <s v="10"/>
    <x v="59"/>
    <n v="12"/>
    <n v="60"/>
    <x v="0"/>
    <x v="2"/>
    <x v="2"/>
    <n v="0"/>
    <s v="ST"/>
  </r>
  <r>
    <s v=".1~1420"/>
    <n v="1420"/>
    <s v="D2"/>
    <s v="06"/>
    <s v="10"/>
    <x v="59"/>
    <n v="12"/>
    <n v="60"/>
    <x v="0"/>
    <x v="3"/>
    <x v="3"/>
    <n v="11"/>
    <s v="ST"/>
  </r>
  <r>
    <s v=".1~1421"/>
    <n v="1421"/>
    <s v="D2"/>
    <s v="06"/>
    <s v="10"/>
    <x v="59"/>
    <n v="12"/>
    <n v="60"/>
    <x v="0"/>
    <x v="4"/>
    <x v="4"/>
    <n v="27"/>
    <s v="ST"/>
  </r>
  <r>
    <s v=".1~1422"/>
    <n v="1422"/>
    <s v="D2"/>
    <s v="06"/>
    <s v="10"/>
    <x v="59"/>
    <n v="12"/>
    <n v="60"/>
    <x v="0"/>
    <x v="5"/>
    <x v="5"/>
    <n v="0"/>
    <s v="ST"/>
  </r>
  <r>
    <s v=".1~1423"/>
    <n v="1423"/>
    <s v="D2"/>
    <s v="06"/>
    <s v="10"/>
    <x v="59"/>
    <n v="12"/>
    <n v="60"/>
    <x v="1"/>
    <x v="0"/>
    <x v="0"/>
    <n v="403"/>
    <s v="ST"/>
  </r>
  <r>
    <s v=".1~1424"/>
    <n v="1424"/>
    <s v="D2"/>
    <s v="06"/>
    <s v="10"/>
    <x v="59"/>
    <n v="12"/>
    <n v="60"/>
    <x v="1"/>
    <x v="1"/>
    <x v="1"/>
    <n v="20"/>
    <s v="ST"/>
  </r>
  <r>
    <s v=".1~1425"/>
    <n v="1425"/>
    <s v="D2"/>
    <s v="06"/>
    <s v="10"/>
    <x v="59"/>
    <n v="12"/>
    <n v="60"/>
    <x v="1"/>
    <x v="2"/>
    <x v="2"/>
    <n v="0"/>
    <s v="ST"/>
  </r>
  <r>
    <s v=".1~1426"/>
    <n v="1426"/>
    <s v="D2"/>
    <s v="06"/>
    <s v="10"/>
    <x v="59"/>
    <n v="12"/>
    <n v="60"/>
    <x v="1"/>
    <x v="3"/>
    <x v="3"/>
    <n v="50"/>
    <s v="ST"/>
  </r>
  <r>
    <s v=".1~1427"/>
    <n v="1427"/>
    <s v="D2"/>
    <s v="06"/>
    <s v="10"/>
    <x v="59"/>
    <n v="12"/>
    <n v="60"/>
    <x v="1"/>
    <x v="4"/>
    <x v="4"/>
    <n v="66"/>
    <s v="ST"/>
  </r>
  <r>
    <s v=".1~1428"/>
    <n v="1428"/>
    <s v="D2"/>
    <s v="06"/>
    <s v="10"/>
    <x v="59"/>
    <n v="12"/>
    <n v="60"/>
    <x v="1"/>
    <x v="5"/>
    <x v="5"/>
    <n v="25"/>
    <s v="ST"/>
  </r>
  <r>
    <s v=".1~1429"/>
    <n v="1429"/>
    <s v="D2"/>
    <s v="06"/>
    <s v="10"/>
    <x v="59"/>
    <n v="12"/>
    <n v="60"/>
    <x v="2"/>
    <x v="0"/>
    <x v="0"/>
    <n v="24"/>
    <s v="ST"/>
  </r>
  <r>
    <s v=".1~1430"/>
    <n v="1430"/>
    <s v="D2"/>
    <s v="06"/>
    <s v="10"/>
    <x v="59"/>
    <n v="12"/>
    <n v="60"/>
    <x v="2"/>
    <x v="1"/>
    <x v="1"/>
    <n v="75"/>
    <s v="ST"/>
  </r>
  <r>
    <s v=".1~1431"/>
    <n v="1431"/>
    <s v="D2"/>
    <s v="06"/>
    <s v="10"/>
    <x v="59"/>
    <n v="12"/>
    <n v="60"/>
    <x v="2"/>
    <x v="2"/>
    <x v="2"/>
    <n v="284"/>
    <s v="ST"/>
  </r>
  <r>
    <s v=".1~1432"/>
    <n v="1432"/>
    <s v="D2"/>
    <s v="06"/>
    <s v="10"/>
    <x v="59"/>
    <n v="12"/>
    <n v="60"/>
    <x v="2"/>
    <x v="3"/>
    <x v="3"/>
    <n v="6"/>
    <s v="ST"/>
  </r>
  <r>
    <s v=".1~1433"/>
    <n v="1433"/>
    <s v="D2"/>
    <s v="06"/>
    <s v="10"/>
    <x v="59"/>
    <n v="12"/>
    <n v="60"/>
    <x v="2"/>
    <x v="4"/>
    <x v="4"/>
    <n v="111"/>
    <s v="ST"/>
  </r>
  <r>
    <s v=".1~1434"/>
    <n v="1434"/>
    <s v="D2"/>
    <s v="06"/>
    <s v="10"/>
    <x v="59"/>
    <n v="12"/>
    <n v="60"/>
    <x v="2"/>
    <x v="5"/>
    <x v="5"/>
    <n v="19"/>
    <s v="ST"/>
  </r>
  <r>
    <s v=".1~1435"/>
    <n v="1435"/>
    <s v="D2"/>
    <s v="06"/>
    <s v="10"/>
    <x v="59"/>
    <n v="12"/>
    <n v="60"/>
    <x v="3"/>
    <x v="0"/>
    <x v="0"/>
    <n v="0"/>
    <s v="ST"/>
  </r>
  <r>
    <s v=".1~1436"/>
    <n v="1436"/>
    <s v="D2"/>
    <s v="06"/>
    <s v="10"/>
    <x v="59"/>
    <n v="12"/>
    <n v="60"/>
    <x v="3"/>
    <x v="1"/>
    <x v="1"/>
    <n v="50"/>
    <s v="ST"/>
  </r>
  <r>
    <s v=".1~1437"/>
    <n v="1437"/>
    <s v="D2"/>
    <s v="06"/>
    <s v="10"/>
    <x v="59"/>
    <n v="12"/>
    <n v="60"/>
    <x v="3"/>
    <x v="2"/>
    <x v="2"/>
    <n v="53"/>
    <s v="ST"/>
  </r>
  <r>
    <s v=".1~1438"/>
    <n v="1438"/>
    <s v="D2"/>
    <s v="06"/>
    <s v="10"/>
    <x v="59"/>
    <n v="12"/>
    <n v="60"/>
    <x v="3"/>
    <x v="3"/>
    <x v="3"/>
    <n v="73"/>
    <s v="ST"/>
  </r>
  <r>
    <s v=".1~1439"/>
    <n v="1439"/>
    <s v="D2"/>
    <s v="06"/>
    <s v="10"/>
    <x v="59"/>
    <n v="12"/>
    <n v="60"/>
    <x v="3"/>
    <x v="4"/>
    <x v="4"/>
    <n v="80"/>
    <s v="ST"/>
  </r>
  <r>
    <s v=".1~1440"/>
    <n v="1440"/>
    <s v="D2"/>
    <s v="06"/>
    <s v="10"/>
    <x v="59"/>
    <n v="12"/>
    <n v="60"/>
    <x v="3"/>
    <x v="5"/>
    <x v="5"/>
    <n v="0"/>
    <s v="ST"/>
  </r>
  <r>
    <s v=".1~1441"/>
    <n v="1441"/>
    <s v="D2"/>
    <s v="07"/>
    <s v="01"/>
    <x v="60"/>
    <n v="13"/>
    <n v="61"/>
    <x v="0"/>
    <x v="0"/>
    <x v="0"/>
    <n v="452"/>
    <s v="ST"/>
  </r>
  <r>
    <s v=".1~1442"/>
    <n v="1442"/>
    <s v="D2"/>
    <s v="07"/>
    <s v="01"/>
    <x v="60"/>
    <n v="13"/>
    <n v="61"/>
    <x v="0"/>
    <x v="1"/>
    <x v="1"/>
    <n v="45"/>
    <s v="ST"/>
  </r>
  <r>
    <s v=".1~1443"/>
    <n v="1443"/>
    <s v="D2"/>
    <s v="07"/>
    <s v="01"/>
    <x v="60"/>
    <n v="13"/>
    <n v="61"/>
    <x v="0"/>
    <x v="2"/>
    <x v="2"/>
    <n v="622"/>
    <s v="ST"/>
  </r>
  <r>
    <s v=".1~1444"/>
    <n v="1444"/>
    <s v="D2"/>
    <s v="07"/>
    <s v="01"/>
    <x v="60"/>
    <n v="13"/>
    <n v="61"/>
    <x v="0"/>
    <x v="3"/>
    <x v="3"/>
    <n v="90"/>
    <s v="ST"/>
  </r>
  <r>
    <s v=".1~1445"/>
    <n v="1445"/>
    <s v="D2"/>
    <s v="07"/>
    <s v="01"/>
    <x v="60"/>
    <n v="13"/>
    <n v="61"/>
    <x v="0"/>
    <x v="4"/>
    <x v="4"/>
    <n v="150"/>
    <s v="ST"/>
  </r>
  <r>
    <s v=".1~1446"/>
    <n v="1446"/>
    <s v="D2"/>
    <s v="07"/>
    <s v="01"/>
    <x v="60"/>
    <n v="13"/>
    <n v="61"/>
    <x v="0"/>
    <x v="5"/>
    <x v="5"/>
    <n v="216"/>
    <s v="ST"/>
  </r>
  <r>
    <s v=".1~1447"/>
    <n v="1447"/>
    <s v="D2"/>
    <s v="07"/>
    <s v="01"/>
    <x v="60"/>
    <n v="13"/>
    <n v="61"/>
    <x v="1"/>
    <x v="0"/>
    <x v="0"/>
    <n v="399"/>
    <s v="ST"/>
  </r>
  <r>
    <s v=".1~1448"/>
    <n v="1448"/>
    <s v="D2"/>
    <s v="07"/>
    <s v="01"/>
    <x v="60"/>
    <n v="13"/>
    <n v="61"/>
    <x v="1"/>
    <x v="1"/>
    <x v="1"/>
    <n v="50"/>
    <s v="ST"/>
  </r>
  <r>
    <s v=".1~1449"/>
    <n v="1449"/>
    <s v="D2"/>
    <s v="07"/>
    <s v="01"/>
    <x v="60"/>
    <n v="13"/>
    <n v="61"/>
    <x v="1"/>
    <x v="2"/>
    <x v="2"/>
    <n v="0"/>
    <s v="ST"/>
  </r>
  <r>
    <s v=".1~1450"/>
    <n v="1450"/>
    <s v="D2"/>
    <s v="07"/>
    <s v="01"/>
    <x v="60"/>
    <n v="13"/>
    <n v="61"/>
    <x v="1"/>
    <x v="3"/>
    <x v="3"/>
    <n v="7"/>
    <s v="ST"/>
  </r>
  <r>
    <s v=".1~1451"/>
    <n v="1451"/>
    <s v="D2"/>
    <s v="07"/>
    <s v="01"/>
    <x v="60"/>
    <n v="13"/>
    <n v="61"/>
    <x v="1"/>
    <x v="4"/>
    <x v="4"/>
    <n v="35"/>
    <s v="ST"/>
  </r>
  <r>
    <s v=".1~1452"/>
    <n v="1452"/>
    <s v="D2"/>
    <s v="07"/>
    <s v="01"/>
    <x v="60"/>
    <n v="13"/>
    <n v="61"/>
    <x v="1"/>
    <x v="5"/>
    <x v="5"/>
    <n v="25"/>
    <s v="ST"/>
  </r>
  <r>
    <s v=".1~1453"/>
    <n v="1453"/>
    <s v="D2"/>
    <s v="07"/>
    <s v="01"/>
    <x v="60"/>
    <n v="13"/>
    <n v="61"/>
    <x v="2"/>
    <x v="0"/>
    <x v="0"/>
    <n v="67"/>
    <s v="ST"/>
  </r>
  <r>
    <s v=".1~1454"/>
    <n v="1454"/>
    <s v="D2"/>
    <s v="07"/>
    <s v="01"/>
    <x v="60"/>
    <n v="13"/>
    <n v="61"/>
    <x v="2"/>
    <x v="1"/>
    <x v="1"/>
    <n v="52"/>
    <s v="ST"/>
  </r>
  <r>
    <s v=".1~1455"/>
    <n v="1455"/>
    <s v="D2"/>
    <s v="07"/>
    <s v="01"/>
    <x v="60"/>
    <n v="13"/>
    <n v="61"/>
    <x v="2"/>
    <x v="2"/>
    <x v="2"/>
    <n v="284"/>
    <s v="ST"/>
  </r>
  <r>
    <s v=".1~1456"/>
    <n v="1456"/>
    <s v="D2"/>
    <s v="07"/>
    <s v="01"/>
    <x v="60"/>
    <n v="13"/>
    <n v="61"/>
    <x v="2"/>
    <x v="3"/>
    <x v="3"/>
    <n v="6"/>
    <s v="ST"/>
  </r>
  <r>
    <s v=".1~1457"/>
    <n v="1457"/>
    <s v="D2"/>
    <s v="07"/>
    <s v="01"/>
    <x v="60"/>
    <n v="13"/>
    <n v="61"/>
    <x v="2"/>
    <x v="4"/>
    <x v="4"/>
    <n v="63"/>
    <s v="ST"/>
  </r>
  <r>
    <s v=".1~1458"/>
    <n v="1458"/>
    <s v="D2"/>
    <s v="07"/>
    <s v="01"/>
    <x v="60"/>
    <n v="13"/>
    <n v="61"/>
    <x v="2"/>
    <x v="5"/>
    <x v="5"/>
    <n v="19"/>
    <s v="ST"/>
  </r>
  <r>
    <s v=".1~1459"/>
    <n v="1459"/>
    <s v="D2"/>
    <s v="07"/>
    <s v="01"/>
    <x v="60"/>
    <n v="13"/>
    <n v="61"/>
    <x v="3"/>
    <x v="0"/>
    <x v="0"/>
    <n v="86"/>
    <s v="ST"/>
  </r>
  <r>
    <s v=".1~1460"/>
    <n v="1460"/>
    <s v="D2"/>
    <s v="07"/>
    <s v="01"/>
    <x v="60"/>
    <n v="13"/>
    <n v="61"/>
    <x v="3"/>
    <x v="1"/>
    <x v="1"/>
    <n v="50"/>
    <s v="ST"/>
  </r>
  <r>
    <s v=".1~1461"/>
    <n v="1461"/>
    <s v="D2"/>
    <s v="07"/>
    <s v="01"/>
    <x v="60"/>
    <n v="13"/>
    <n v="61"/>
    <x v="3"/>
    <x v="2"/>
    <x v="2"/>
    <n v="53"/>
    <s v="ST"/>
  </r>
  <r>
    <s v=".1~1462"/>
    <n v="1462"/>
    <s v="D2"/>
    <s v="07"/>
    <s v="01"/>
    <x v="60"/>
    <n v="13"/>
    <n v="61"/>
    <x v="3"/>
    <x v="3"/>
    <x v="3"/>
    <n v="54"/>
    <s v="ST"/>
  </r>
  <r>
    <s v=".1~1463"/>
    <n v="1463"/>
    <s v="D2"/>
    <s v="07"/>
    <s v="01"/>
    <x v="60"/>
    <n v="13"/>
    <n v="61"/>
    <x v="3"/>
    <x v="4"/>
    <x v="4"/>
    <n v="47"/>
    <s v="ST"/>
  </r>
  <r>
    <s v=".1~1464"/>
    <n v="1464"/>
    <s v="D2"/>
    <s v="07"/>
    <s v="01"/>
    <x v="60"/>
    <n v="13"/>
    <n v="61"/>
    <x v="3"/>
    <x v="5"/>
    <x v="5"/>
    <n v="0"/>
    <s v="ST"/>
  </r>
  <r>
    <s v=".1~1465"/>
    <n v="1465"/>
    <s v="D2"/>
    <s v="07"/>
    <s v="02"/>
    <x v="61"/>
    <n v="13"/>
    <n v="62"/>
    <x v="0"/>
    <x v="0"/>
    <x v="0"/>
    <n v="104"/>
    <s v="ST"/>
  </r>
  <r>
    <s v=".1~1466"/>
    <n v="1466"/>
    <s v="D2"/>
    <s v="07"/>
    <s v="02"/>
    <x v="61"/>
    <n v="13"/>
    <n v="62"/>
    <x v="0"/>
    <x v="1"/>
    <x v="1"/>
    <n v="22"/>
    <s v="ST"/>
  </r>
  <r>
    <s v=".1~1467"/>
    <n v="1467"/>
    <s v="D2"/>
    <s v="07"/>
    <s v="02"/>
    <x v="61"/>
    <n v="13"/>
    <n v="62"/>
    <x v="0"/>
    <x v="2"/>
    <x v="2"/>
    <n v="159"/>
    <s v="ST"/>
  </r>
  <r>
    <s v=".1~1468"/>
    <n v="1468"/>
    <s v="D2"/>
    <s v="07"/>
    <s v="02"/>
    <x v="61"/>
    <n v="13"/>
    <n v="62"/>
    <x v="0"/>
    <x v="3"/>
    <x v="3"/>
    <n v="0"/>
    <s v="ST"/>
  </r>
  <r>
    <s v=".1~1469"/>
    <n v="1469"/>
    <s v="D2"/>
    <s v="07"/>
    <s v="02"/>
    <x v="61"/>
    <n v="13"/>
    <n v="62"/>
    <x v="0"/>
    <x v="4"/>
    <x v="4"/>
    <n v="0"/>
    <s v="ST"/>
  </r>
  <r>
    <s v=".1~1470"/>
    <n v="1470"/>
    <s v="D2"/>
    <s v="07"/>
    <s v="02"/>
    <x v="61"/>
    <n v="13"/>
    <n v="62"/>
    <x v="0"/>
    <x v="5"/>
    <x v="5"/>
    <n v="60"/>
    <s v="ST"/>
  </r>
  <r>
    <s v=".1~1471"/>
    <n v="1471"/>
    <s v="D2"/>
    <s v="07"/>
    <s v="02"/>
    <x v="61"/>
    <n v="13"/>
    <n v="62"/>
    <x v="1"/>
    <x v="0"/>
    <x v="0"/>
    <n v="515"/>
    <s v="ST"/>
  </r>
  <r>
    <s v=".1~1472"/>
    <n v="1472"/>
    <s v="D2"/>
    <s v="07"/>
    <s v="02"/>
    <x v="61"/>
    <n v="13"/>
    <n v="62"/>
    <x v="1"/>
    <x v="1"/>
    <x v="1"/>
    <n v="50"/>
    <s v="ST"/>
  </r>
  <r>
    <s v=".1~1473"/>
    <n v="1473"/>
    <s v="D2"/>
    <s v="07"/>
    <s v="02"/>
    <x v="61"/>
    <n v="13"/>
    <n v="62"/>
    <x v="1"/>
    <x v="2"/>
    <x v="2"/>
    <n v="350"/>
    <s v="ST"/>
  </r>
  <r>
    <s v=".1~1474"/>
    <n v="1474"/>
    <s v="D2"/>
    <s v="07"/>
    <s v="02"/>
    <x v="61"/>
    <n v="13"/>
    <n v="62"/>
    <x v="1"/>
    <x v="3"/>
    <x v="3"/>
    <n v="37"/>
    <s v="ST"/>
  </r>
  <r>
    <s v=".1~1475"/>
    <n v="1475"/>
    <s v="D2"/>
    <s v="07"/>
    <s v="02"/>
    <x v="61"/>
    <n v="13"/>
    <n v="62"/>
    <x v="1"/>
    <x v="4"/>
    <x v="4"/>
    <n v="73"/>
    <s v="ST"/>
  </r>
  <r>
    <s v=".1~1476"/>
    <n v="1476"/>
    <s v="D2"/>
    <s v="07"/>
    <s v="02"/>
    <x v="61"/>
    <n v="13"/>
    <n v="62"/>
    <x v="1"/>
    <x v="5"/>
    <x v="5"/>
    <n v="100"/>
    <s v="ST"/>
  </r>
  <r>
    <s v=".1~1477"/>
    <n v="1477"/>
    <s v="D2"/>
    <s v="07"/>
    <s v="02"/>
    <x v="61"/>
    <n v="13"/>
    <n v="62"/>
    <x v="2"/>
    <x v="0"/>
    <x v="0"/>
    <n v="100"/>
    <s v="ST"/>
  </r>
  <r>
    <s v=".1~1478"/>
    <n v="1478"/>
    <s v="D2"/>
    <s v="07"/>
    <s v="02"/>
    <x v="61"/>
    <n v="13"/>
    <n v="62"/>
    <x v="2"/>
    <x v="1"/>
    <x v="1"/>
    <n v="75"/>
    <s v="ST"/>
  </r>
  <r>
    <s v=".1~1479"/>
    <n v="1479"/>
    <s v="D2"/>
    <s v="07"/>
    <s v="02"/>
    <x v="61"/>
    <n v="13"/>
    <n v="62"/>
    <x v="2"/>
    <x v="2"/>
    <x v="2"/>
    <n v="302"/>
    <s v="ST"/>
  </r>
  <r>
    <s v=".1~1480"/>
    <n v="1480"/>
    <s v="D2"/>
    <s v="07"/>
    <s v="02"/>
    <x v="61"/>
    <n v="13"/>
    <n v="62"/>
    <x v="2"/>
    <x v="3"/>
    <x v="3"/>
    <n v="35"/>
    <s v="ST"/>
  </r>
  <r>
    <s v=".1~1481"/>
    <n v="1481"/>
    <s v="D2"/>
    <s v="07"/>
    <s v="02"/>
    <x v="61"/>
    <n v="13"/>
    <n v="62"/>
    <x v="2"/>
    <x v="4"/>
    <x v="4"/>
    <n v="87"/>
    <s v="ST"/>
  </r>
  <r>
    <s v=".1~1482"/>
    <n v="1482"/>
    <s v="D2"/>
    <s v="07"/>
    <s v="02"/>
    <x v="61"/>
    <n v="13"/>
    <n v="62"/>
    <x v="2"/>
    <x v="5"/>
    <x v="5"/>
    <n v="50"/>
    <s v="ST"/>
  </r>
  <r>
    <s v=".1~1483"/>
    <n v="1483"/>
    <s v="D2"/>
    <s v="07"/>
    <s v="02"/>
    <x v="61"/>
    <n v="13"/>
    <n v="62"/>
    <x v="3"/>
    <x v="0"/>
    <x v="0"/>
    <n v="150"/>
    <s v="ST"/>
  </r>
  <r>
    <s v=".1~1484"/>
    <n v="1484"/>
    <s v="D2"/>
    <s v="07"/>
    <s v="02"/>
    <x v="61"/>
    <n v="13"/>
    <n v="62"/>
    <x v="3"/>
    <x v="1"/>
    <x v="1"/>
    <n v="50"/>
    <s v="ST"/>
  </r>
  <r>
    <s v=".1~1485"/>
    <n v="1485"/>
    <s v="D2"/>
    <s v="07"/>
    <s v="02"/>
    <x v="61"/>
    <n v="13"/>
    <n v="62"/>
    <x v="3"/>
    <x v="2"/>
    <x v="2"/>
    <n v="47"/>
    <s v="ST"/>
  </r>
  <r>
    <s v=".1~1486"/>
    <n v="1486"/>
    <s v="D2"/>
    <s v="07"/>
    <s v="02"/>
    <x v="61"/>
    <n v="13"/>
    <n v="62"/>
    <x v="3"/>
    <x v="3"/>
    <x v="3"/>
    <n v="47"/>
    <s v="ST"/>
  </r>
  <r>
    <s v=".1~1487"/>
    <n v="1487"/>
    <s v="D2"/>
    <s v="07"/>
    <s v="02"/>
    <x v="61"/>
    <n v="13"/>
    <n v="62"/>
    <x v="3"/>
    <x v="4"/>
    <x v="4"/>
    <n v="78"/>
    <s v="ST"/>
  </r>
  <r>
    <s v=".1~1488"/>
    <n v="1488"/>
    <s v="D2"/>
    <s v="07"/>
    <s v="02"/>
    <x v="61"/>
    <n v="13"/>
    <n v="62"/>
    <x v="3"/>
    <x v="5"/>
    <x v="5"/>
    <n v="50"/>
    <s v="ST"/>
  </r>
  <r>
    <s v=".1~1489"/>
    <n v="1489"/>
    <s v="D2"/>
    <s v="07"/>
    <s v="03"/>
    <x v="62"/>
    <n v="13"/>
    <n v="63"/>
    <x v="0"/>
    <x v="0"/>
    <x v="0"/>
    <n v="104"/>
    <s v="ST"/>
  </r>
  <r>
    <s v=".1~1490"/>
    <n v="1490"/>
    <s v="D2"/>
    <s v="07"/>
    <s v="03"/>
    <x v="62"/>
    <n v="13"/>
    <n v="63"/>
    <x v="0"/>
    <x v="1"/>
    <x v="1"/>
    <n v="22"/>
    <s v="ST"/>
  </r>
  <r>
    <s v=".1~1491"/>
    <n v="1491"/>
    <s v="D2"/>
    <s v="07"/>
    <s v="03"/>
    <x v="62"/>
    <n v="13"/>
    <n v="63"/>
    <x v="0"/>
    <x v="2"/>
    <x v="2"/>
    <n v="159"/>
    <s v="ST"/>
  </r>
  <r>
    <s v=".1~1492"/>
    <n v="1492"/>
    <s v="D2"/>
    <s v="07"/>
    <s v="03"/>
    <x v="62"/>
    <n v="13"/>
    <n v="63"/>
    <x v="0"/>
    <x v="3"/>
    <x v="3"/>
    <n v="0"/>
    <s v="ST"/>
  </r>
  <r>
    <s v=".1~1493"/>
    <n v="1493"/>
    <s v="D2"/>
    <s v="07"/>
    <s v="03"/>
    <x v="62"/>
    <n v="13"/>
    <n v="63"/>
    <x v="0"/>
    <x v="4"/>
    <x v="4"/>
    <n v="0"/>
    <s v="ST"/>
  </r>
  <r>
    <s v=".1~1494"/>
    <n v="1494"/>
    <s v="D2"/>
    <s v="07"/>
    <s v="03"/>
    <x v="62"/>
    <n v="13"/>
    <n v="63"/>
    <x v="0"/>
    <x v="5"/>
    <x v="5"/>
    <n v="60"/>
    <s v="ST"/>
  </r>
  <r>
    <s v=".1~1495"/>
    <n v="1495"/>
    <s v="D2"/>
    <s v="07"/>
    <s v="03"/>
    <x v="62"/>
    <n v="13"/>
    <n v="63"/>
    <x v="1"/>
    <x v="0"/>
    <x v="0"/>
    <n v="296"/>
    <s v="ST"/>
  </r>
  <r>
    <s v=".1~1496"/>
    <n v="1496"/>
    <s v="D2"/>
    <s v="07"/>
    <s v="03"/>
    <x v="62"/>
    <n v="13"/>
    <n v="63"/>
    <x v="1"/>
    <x v="1"/>
    <x v="1"/>
    <n v="50"/>
    <s v="ST"/>
  </r>
  <r>
    <s v=".1~1497"/>
    <n v="1497"/>
    <s v="D2"/>
    <s v="07"/>
    <s v="03"/>
    <x v="62"/>
    <n v="13"/>
    <n v="63"/>
    <x v="1"/>
    <x v="2"/>
    <x v="2"/>
    <n v="277"/>
    <s v="ST"/>
  </r>
  <r>
    <s v=".1~1498"/>
    <n v="1498"/>
    <s v="D2"/>
    <s v="07"/>
    <s v="03"/>
    <x v="62"/>
    <n v="13"/>
    <n v="63"/>
    <x v="1"/>
    <x v="3"/>
    <x v="3"/>
    <n v="0"/>
    <s v="ST"/>
  </r>
  <r>
    <s v=".1~1499"/>
    <n v="1499"/>
    <s v="D2"/>
    <s v="07"/>
    <s v="03"/>
    <x v="62"/>
    <n v="13"/>
    <n v="63"/>
    <x v="1"/>
    <x v="4"/>
    <x v="4"/>
    <n v="73"/>
    <s v="ST"/>
  </r>
  <r>
    <s v=".1~1500"/>
    <n v="1500"/>
    <s v="D2"/>
    <s v="07"/>
    <s v="03"/>
    <x v="62"/>
    <n v="13"/>
    <n v="63"/>
    <x v="1"/>
    <x v="5"/>
    <x v="5"/>
    <n v="100"/>
    <s v="ST"/>
  </r>
  <r>
    <s v=".1~1501"/>
    <n v="1501"/>
    <s v="D2"/>
    <s v="07"/>
    <s v="03"/>
    <x v="62"/>
    <n v="13"/>
    <n v="63"/>
    <x v="2"/>
    <x v="0"/>
    <x v="0"/>
    <n v="100"/>
    <s v="ST"/>
  </r>
  <r>
    <s v=".1~1502"/>
    <n v="1502"/>
    <s v="D2"/>
    <s v="07"/>
    <s v="03"/>
    <x v="62"/>
    <n v="13"/>
    <n v="63"/>
    <x v="2"/>
    <x v="1"/>
    <x v="1"/>
    <n v="26"/>
    <s v="ST"/>
  </r>
  <r>
    <s v=".1~1503"/>
    <n v="1503"/>
    <s v="D2"/>
    <s v="07"/>
    <s v="03"/>
    <x v="62"/>
    <n v="13"/>
    <n v="63"/>
    <x v="2"/>
    <x v="2"/>
    <x v="2"/>
    <n v="164"/>
    <s v="ST"/>
  </r>
  <r>
    <s v=".1~1504"/>
    <n v="1504"/>
    <s v="D2"/>
    <s v="07"/>
    <s v="03"/>
    <x v="62"/>
    <n v="13"/>
    <n v="63"/>
    <x v="2"/>
    <x v="3"/>
    <x v="3"/>
    <n v="35"/>
    <s v="ST"/>
  </r>
  <r>
    <s v=".1~1505"/>
    <n v="1505"/>
    <s v="D2"/>
    <s v="07"/>
    <s v="03"/>
    <x v="62"/>
    <n v="13"/>
    <n v="63"/>
    <x v="2"/>
    <x v="4"/>
    <x v="4"/>
    <n v="87"/>
    <s v="ST"/>
  </r>
  <r>
    <s v=".1~1506"/>
    <n v="1506"/>
    <s v="D2"/>
    <s v="07"/>
    <s v="03"/>
    <x v="62"/>
    <n v="13"/>
    <n v="63"/>
    <x v="2"/>
    <x v="5"/>
    <x v="5"/>
    <n v="50"/>
    <s v="ST"/>
  </r>
  <r>
    <s v=".1~1507"/>
    <n v="1507"/>
    <s v="D2"/>
    <s v="07"/>
    <s v="03"/>
    <x v="62"/>
    <n v="13"/>
    <n v="63"/>
    <x v="3"/>
    <x v="0"/>
    <x v="0"/>
    <n v="150"/>
    <s v="ST"/>
  </r>
  <r>
    <s v=".1~1508"/>
    <n v="1508"/>
    <s v="D2"/>
    <s v="07"/>
    <s v="03"/>
    <x v="62"/>
    <n v="13"/>
    <n v="63"/>
    <x v="3"/>
    <x v="1"/>
    <x v="1"/>
    <n v="50"/>
    <s v="ST"/>
  </r>
  <r>
    <s v=".1~1509"/>
    <n v="1509"/>
    <s v="D2"/>
    <s v="07"/>
    <s v="03"/>
    <x v="62"/>
    <n v="13"/>
    <n v="63"/>
    <x v="3"/>
    <x v="2"/>
    <x v="2"/>
    <n v="47"/>
    <s v="ST"/>
  </r>
  <r>
    <s v=".1~1510"/>
    <n v="1510"/>
    <s v="D2"/>
    <s v="07"/>
    <s v="03"/>
    <x v="62"/>
    <n v="13"/>
    <n v="63"/>
    <x v="3"/>
    <x v="3"/>
    <x v="3"/>
    <n v="30"/>
    <s v="ST"/>
  </r>
  <r>
    <s v=".1~1511"/>
    <n v="1511"/>
    <s v="D2"/>
    <s v="07"/>
    <s v="03"/>
    <x v="62"/>
    <n v="13"/>
    <n v="63"/>
    <x v="3"/>
    <x v="4"/>
    <x v="4"/>
    <n v="78"/>
    <s v="ST"/>
  </r>
  <r>
    <s v=".1~1512"/>
    <n v="1512"/>
    <s v="D2"/>
    <s v="07"/>
    <s v="03"/>
    <x v="62"/>
    <n v="13"/>
    <n v="63"/>
    <x v="3"/>
    <x v="5"/>
    <x v="5"/>
    <n v="7"/>
    <s v="ST"/>
  </r>
  <r>
    <s v=".1~1513"/>
    <n v="1513"/>
    <s v="D2"/>
    <s v="07"/>
    <s v="04"/>
    <x v="63"/>
    <n v="13"/>
    <n v="64"/>
    <x v="0"/>
    <x v="0"/>
    <x v="0"/>
    <n v="104"/>
    <s v="ST"/>
  </r>
  <r>
    <s v=".1~1514"/>
    <n v="1514"/>
    <s v="D2"/>
    <s v="07"/>
    <s v="04"/>
    <x v="63"/>
    <n v="13"/>
    <n v="64"/>
    <x v="0"/>
    <x v="1"/>
    <x v="1"/>
    <n v="22"/>
    <s v="ST"/>
  </r>
  <r>
    <s v=".1~1515"/>
    <n v="1515"/>
    <s v="D2"/>
    <s v="07"/>
    <s v="04"/>
    <x v="63"/>
    <n v="13"/>
    <n v="64"/>
    <x v="0"/>
    <x v="2"/>
    <x v="2"/>
    <n v="159"/>
    <s v="ST"/>
  </r>
  <r>
    <s v=".1~1516"/>
    <n v="1516"/>
    <s v="D2"/>
    <s v="07"/>
    <s v="04"/>
    <x v="63"/>
    <n v="13"/>
    <n v="64"/>
    <x v="0"/>
    <x v="3"/>
    <x v="3"/>
    <n v="0"/>
    <s v="ST"/>
  </r>
  <r>
    <s v=".1~1517"/>
    <n v="1517"/>
    <s v="D2"/>
    <s v="07"/>
    <s v="04"/>
    <x v="63"/>
    <n v="13"/>
    <n v="64"/>
    <x v="0"/>
    <x v="4"/>
    <x v="4"/>
    <n v="0"/>
    <s v="ST"/>
  </r>
  <r>
    <s v=".1~1518"/>
    <n v="1518"/>
    <s v="D2"/>
    <s v="07"/>
    <s v="04"/>
    <x v="63"/>
    <n v="13"/>
    <n v="64"/>
    <x v="0"/>
    <x v="5"/>
    <x v="5"/>
    <n v="60"/>
    <s v="ST"/>
  </r>
  <r>
    <s v=".1~1519"/>
    <n v="1519"/>
    <s v="D2"/>
    <s v="07"/>
    <s v="04"/>
    <x v="63"/>
    <n v="13"/>
    <n v="64"/>
    <x v="1"/>
    <x v="0"/>
    <x v="0"/>
    <n v="211"/>
    <s v="ST"/>
  </r>
  <r>
    <s v=".1~1520"/>
    <n v="1520"/>
    <s v="D2"/>
    <s v="07"/>
    <s v="04"/>
    <x v="63"/>
    <n v="13"/>
    <n v="64"/>
    <x v="1"/>
    <x v="1"/>
    <x v="1"/>
    <n v="28"/>
    <s v="ST"/>
  </r>
  <r>
    <s v=".1~1521"/>
    <n v="1521"/>
    <s v="D2"/>
    <s v="07"/>
    <s v="04"/>
    <x v="63"/>
    <n v="13"/>
    <n v="64"/>
    <x v="1"/>
    <x v="2"/>
    <x v="2"/>
    <n v="158"/>
    <s v="ST"/>
  </r>
  <r>
    <s v=".1~1522"/>
    <n v="1522"/>
    <s v="D2"/>
    <s v="07"/>
    <s v="04"/>
    <x v="63"/>
    <n v="13"/>
    <n v="64"/>
    <x v="1"/>
    <x v="3"/>
    <x v="3"/>
    <n v="0"/>
    <s v="ST"/>
  </r>
  <r>
    <s v=".1~1523"/>
    <n v="1523"/>
    <s v="D2"/>
    <s v="07"/>
    <s v="04"/>
    <x v="63"/>
    <n v="13"/>
    <n v="64"/>
    <x v="1"/>
    <x v="4"/>
    <x v="4"/>
    <n v="73"/>
    <s v="ST"/>
  </r>
  <r>
    <s v=".1~1524"/>
    <n v="1524"/>
    <s v="D2"/>
    <s v="07"/>
    <s v="04"/>
    <x v="63"/>
    <n v="13"/>
    <n v="64"/>
    <x v="1"/>
    <x v="5"/>
    <x v="5"/>
    <n v="100"/>
    <s v="ST"/>
  </r>
  <r>
    <s v=".1~1525"/>
    <n v="1525"/>
    <s v="D2"/>
    <s v="07"/>
    <s v="04"/>
    <x v="63"/>
    <n v="13"/>
    <n v="64"/>
    <x v="2"/>
    <x v="0"/>
    <x v="0"/>
    <n v="20"/>
    <s v="ST"/>
  </r>
  <r>
    <s v=".1~1526"/>
    <n v="1526"/>
    <s v="D2"/>
    <s v="07"/>
    <s v="04"/>
    <x v="63"/>
    <n v="13"/>
    <n v="64"/>
    <x v="2"/>
    <x v="1"/>
    <x v="1"/>
    <n v="26"/>
    <s v="ST"/>
  </r>
  <r>
    <s v=".1~1527"/>
    <n v="1527"/>
    <s v="D2"/>
    <s v="07"/>
    <s v="04"/>
    <x v="63"/>
    <n v="13"/>
    <n v="64"/>
    <x v="2"/>
    <x v="2"/>
    <x v="2"/>
    <n v="164"/>
    <s v="ST"/>
  </r>
  <r>
    <s v=".1~1528"/>
    <n v="1528"/>
    <s v="D2"/>
    <s v="07"/>
    <s v="04"/>
    <x v="63"/>
    <n v="13"/>
    <n v="64"/>
    <x v="2"/>
    <x v="3"/>
    <x v="3"/>
    <n v="35"/>
    <s v="ST"/>
  </r>
  <r>
    <s v=".1~1529"/>
    <n v="1529"/>
    <s v="D2"/>
    <s v="07"/>
    <s v="04"/>
    <x v="63"/>
    <n v="13"/>
    <n v="64"/>
    <x v="2"/>
    <x v="4"/>
    <x v="4"/>
    <n v="87"/>
    <s v="ST"/>
  </r>
  <r>
    <s v=".1~1530"/>
    <n v="1530"/>
    <s v="D2"/>
    <s v="07"/>
    <s v="04"/>
    <x v="63"/>
    <n v="13"/>
    <n v="64"/>
    <x v="2"/>
    <x v="5"/>
    <x v="5"/>
    <n v="50"/>
    <s v="ST"/>
  </r>
  <r>
    <s v=".1~1531"/>
    <n v="1531"/>
    <s v="D2"/>
    <s v="07"/>
    <s v="04"/>
    <x v="63"/>
    <n v="13"/>
    <n v="64"/>
    <x v="3"/>
    <x v="0"/>
    <x v="0"/>
    <n v="76"/>
    <s v="ST"/>
  </r>
  <r>
    <s v=".1~1532"/>
    <n v="1532"/>
    <s v="D2"/>
    <s v="07"/>
    <s v="04"/>
    <x v="63"/>
    <n v="13"/>
    <n v="64"/>
    <x v="3"/>
    <x v="1"/>
    <x v="1"/>
    <n v="50"/>
    <s v="ST"/>
  </r>
  <r>
    <s v=".1~1533"/>
    <n v="1533"/>
    <s v="D2"/>
    <s v="07"/>
    <s v="04"/>
    <x v="63"/>
    <n v="13"/>
    <n v="64"/>
    <x v="3"/>
    <x v="2"/>
    <x v="2"/>
    <n v="47"/>
    <s v="ST"/>
  </r>
  <r>
    <s v=".1~1534"/>
    <n v="1534"/>
    <s v="D2"/>
    <s v="07"/>
    <s v="04"/>
    <x v="63"/>
    <n v="13"/>
    <n v="64"/>
    <x v="3"/>
    <x v="3"/>
    <x v="3"/>
    <n v="20"/>
    <s v="ST"/>
  </r>
  <r>
    <s v=".1~1535"/>
    <n v="1535"/>
    <s v="D2"/>
    <s v="07"/>
    <s v="04"/>
    <x v="63"/>
    <n v="13"/>
    <n v="64"/>
    <x v="3"/>
    <x v="4"/>
    <x v="4"/>
    <n v="78"/>
    <s v="ST"/>
  </r>
  <r>
    <s v=".1~1536"/>
    <n v="1536"/>
    <s v="D2"/>
    <s v="07"/>
    <s v="04"/>
    <x v="63"/>
    <n v="13"/>
    <n v="64"/>
    <x v="3"/>
    <x v="5"/>
    <x v="5"/>
    <n v="7"/>
    <s v="ST"/>
  </r>
  <r>
    <s v=".1~1537"/>
    <n v="1537"/>
    <s v="D2"/>
    <s v="07"/>
    <s v="05"/>
    <x v="64"/>
    <n v="13"/>
    <n v="65"/>
    <x v="0"/>
    <x v="0"/>
    <x v="0"/>
    <n v="781"/>
    <s v="ST"/>
  </r>
  <r>
    <s v=".1~1538"/>
    <n v="1538"/>
    <s v="D2"/>
    <s v="07"/>
    <s v="05"/>
    <x v="64"/>
    <n v="13"/>
    <n v="65"/>
    <x v="0"/>
    <x v="1"/>
    <x v="1"/>
    <n v="103"/>
    <s v="ST"/>
  </r>
  <r>
    <s v=".1~1539"/>
    <n v="1539"/>
    <s v="D2"/>
    <s v="07"/>
    <s v="05"/>
    <x v="64"/>
    <n v="13"/>
    <n v="65"/>
    <x v="0"/>
    <x v="2"/>
    <x v="2"/>
    <n v="592"/>
    <s v="ST"/>
  </r>
  <r>
    <s v=".1~1540"/>
    <n v="1540"/>
    <s v="D2"/>
    <s v="07"/>
    <s v="05"/>
    <x v="64"/>
    <n v="13"/>
    <n v="65"/>
    <x v="0"/>
    <x v="3"/>
    <x v="3"/>
    <n v="231"/>
    <s v="ST"/>
  </r>
  <r>
    <s v=".1~1541"/>
    <n v="1541"/>
    <s v="D2"/>
    <s v="07"/>
    <s v="05"/>
    <x v="64"/>
    <n v="13"/>
    <n v="65"/>
    <x v="0"/>
    <x v="4"/>
    <x v="4"/>
    <n v="322"/>
    <s v="ST"/>
  </r>
  <r>
    <s v=".1~1542"/>
    <n v="1542"/>
    <s v="D2"/>
    <s v="07"/>
    <s v="05"/>
    <x v="64"/>
    <n v="13"/>
    <n v="65"/>
    <x v="0"/>
    <x v="5"/>
    <x v="5"/>
    <n v="107"/>
    <s v="ST"/>
  </r>
  <r>
    <s v=".1~1543"/>
    <n v="1543"/>
    <s v="D2"/>
    <s v="07"/>
    <s v="05"/>
    <x v="64"/>
    <n v="13"/>
    <n v="65"/>
    <x v="1"/>
    <x v="0"/>
    <x v="0"/>
    <n v="288"/>
    <s v="ST"/>
  </r>
  <r>
    <s v=".1~1544"/>
    <n v="1544"/>
    <s v="D2"/>
    <s v="07"/>
    <s v="05"/>
    <x v="64"/>
    <n v="13"/>
    <n v="65"/>
    <x v="1"/>
    <x v="1"/>
    <x v="1"/>
    <n v="35"/>
    <s v="ST"/>
  </r>
  <r>
    <s v=".1~1545"/>
    <n v="1545"/>
    <s v="D2"/>
    <s v="07"/>
    <s v="05"/>
    <x v="64"/>
    <n v="13"/>
    <n v="65"/>
    <x v="1"/>
    <x v="2"/>
    <x v="2"/>
    <n v="229"/>
    <s v="ST"/>
  </r>
  <r>
    <s v=".1~1546"/>
    <n v="1546"/>
    <s v="D2"/>
    <s v="07"/>
    <s v="05"/>
    <x v="64"/>
    <n v="13"/>
    <n v="65"/>
    <x v="1"/>
    <x v="3"/>
    <x v="3"/>
    <n v="0"/>
    <s v="ST"/>
  </r>
  <r>
    <s v=".1~1547"/>
    <n v="1547"/>
    <s v="D2"/>
    <s v="07"/>
    <s v="05"/>
    <x v="64"/>
    <n v="13"/>
    <n v="65"/>
    <x v="1"/>
    <x v="4"/>
    <x v="4"/>
    <n v="5"/>
    <s v="ST"/>
  </r>
  <r>
    <s v=".1~1548"/>
    <n v="1548"/>
    <s v="D2"/>
    <s v="07"/>
    <s v="05"/>
    <x v="64"/>
    <n v="13"/>
    <n v="65"/>
    <x v="1"/>
    <x v="5"/>
    <x v="5"/>
    <n v="69"/>
    <s v="ST"/>
  </r>
  <r>
    <s v=".1~1549"/>
    <n v="1549"/>
    <s v="D2"/>
    <s v="07"/>
    <s v="05"/>
    <x v="64"/>
    <n v="13"/>
    <n v="65"/>
    <x v="2"/>
    <x v="0"/>
    <x v="0"/>
    <n v="35"/>
    <s v="ST"/>
  </r>
  <r>
    <s v=".1~1550"/>
    <n v="1550"/>
    <s v="D2"/>
    <s v="07"/>
    <s v="05"/>
    <x v="64"/>
    <n v="13"/>
    <n v="65"/>
    <x v="2"/>
    <x v="1"/>
    <x v="1"/>
    <n v="41"/>
    <s v="ST"/>
  </r>
  <r>
    <s v=".1~1551"/>
    <n v="1551"/>
    <s v="D2"/>
    <s v="07"/>
    <s v="05"/>
    <x v="64"/>
    <n v="13"/>
    <n v="65"/>
    <x v="2"/>
    <x v="2"/>
    <x v="2"/>
    <n v="160"/>
    <s v="ST"/>
  </r>
  <r>
    <s v=".1~1552"/>
    <n v="1552"/>
    <s v="D2"/>
    <s v="07"/>
    <s v="05"/>
    <x v="64"/>
    <n v="13"/>
    <n v="65"/>
    <x v="2"/>
    <x v="3"/>
    <x v="3"/>
    <n v="35"/>
    <s v="ST"/>
  </r>
  <r>
    <s v=".1~1553"/>
    <n v="1553"/>
    <s v="D2"/>
    <s v="07"/>
    <s v="05"/>
    <x v="64"/>
    <n v="13"/>
    <n v="65"/>
    <x v="2"/>
    <x v="4"/>
    <x v="4"/>
    <n v="30"/>
    <s v="ST"/>
  </r>
  <r>
    <s v=".1~1554"/>
    <n v="1554"/>
    <s v="D2"/>
    <s v="07"/>
    <s v="05"/>
    <x v="64"/>
    <n v="13"/>
    <n v="65"/>
    <x v="2"/>
    <x v="5"/>
    <x v="5"/>
    <n v="50"/>
    <s v="ST"/>
  </r>
  <r>
    <s v=".1~1555"/>
    <n v="1555"/>
    <s v="D2"/>
    <s v="07"/>
    <s v="05"/>
    <x v="64"/>
    <n v="13"/>
    <n v="65"/>
    <x v="3"/>
    <x v="0"/>
    <x v="0"/>
    <n v="88"/>
    <s v="ST"/>
  </r>
  <r>
    <s v=".1~1556"/>
    <n v="1556"/>
    <s v="D2"/>
    <s v="07"/>
    <s v="05"/>
    <x v="64"/>
    <n v="13"/>
    <n v="65"/>
    <x v="3"/>
    <x v="1"/>
    <x v="1"/>
    <n v="50"/>
    <s v="ST"/>
  </r>
  <r>
    <s v=".1~1557"/>
    <n v="1557"/>
    <s v="D2"/>
    <s v="07"/>
    <s v="05"/>
    <x v="64"/>
    <n v="13"/>
    <n v="65"/>
    <x v="3"/>
    <x v="2"/>
    <x v="2"/>
    <n v="66"/>
    <s v="ST"/>
  </r>
  <r>
    <s v=".1~1558"/>
    <n v="1558"/>
    <s v="D2"/>
    <s v="07"/>
    <s v="05"/>
    <x v="64"/>
    <n v="13"/>
    <n v="65"/>
    <x v="3"/>
    <x v="3"/>
    <x v="3"/>
    <n v="20"/>
    <s v="ST"/>
  </r>
  <r>
    <s v=".1~1559"/>
    <n v="1559"/>
    <s v="D2"/>
    <s v="07"/>
    <s v="05"/>
    <x v="64"/>
    <n v="13"/>
    <n v="65"/>
    <x v="3"/>
    <x v="4"/>
    <x v="4"/>
    <n v="47"/>
    <s v="ST"/>
  </r>
  <r>
    <s v=".1~1560"/>
    <n v="1560"/>
    <s v="D2"/>
    <s v="07"/>
    <s v="05"/>
    <x v="64"/>
    <n v="13"/>
    <n v="65"/>
    <x v="3"/>
    <x v="5"/>
    <x v="5"/>
    <n v="43"/>
    <s v="ST"/>
  </r>
  <r>
    <s v=".1~1561"/>
    <n v="1561"/>
    <s v="D2"/>
    <s v="07"/>
    <s v="06"/>
    <x v="65"/>
    <n v="14"/>
    <n v="66"/>
    <x v="0"/>
    <x v="0"/>
    <x v="0"/>
    <n v="292"/>
    <s v="ST"/>
  </r>
  <r>
    <s v=".1~1562"/>
    <n v="1562"/>
    <s v="D2"/>
    <s v="07"/>
    <s v="06"/>
    <x v="65"/>
    <n v="14"/>
    <n v="66"/>
    <x v="0"/>
    <x v="1"/>
    <x v="1"/>
    <n v="54"/>
    <s v="ST"/>
  </r>
  <r>
    <s v=".1~1563"/>
    <n v="1563"/>
    <s v="D2"/>
    <s v="07"/>
    <s v="06"/>
    <x v="65"/>
    <n v="14"/>
    <n v="66"/>
    <x v="0"/>
    <x v="2"/>
    <x v="2"/>
    <n v="247"/>
    <s v="ST"/>
  </r>
  <r>
    <s v=".1~1564"/>
    <n v="1564"/>
    <s v="D2"/>
    <s v="07"/>
    <s v="06"/>
    <x v="65"/>
    <n v="14"/>
    <n v="66"/>
    <x v="0"/>
    <x v="3"/>
    <x v="3"/>
    <n v="86"/>
    <s v="ST"/>
  </r>
  <r>
    <s v=".1~1565"/>
    <n v="1565"/>
    <s v="D2"/>
    <s v="07"/>
    <s v="06"/>
    <x v="65"/>
    <n v="14"/>
    <n v="66"/>
    <x v="0"/>
    <x v="4"/>
    <x v="4"/>
    <n v="104"/>
    <s v="ST"/>
  </r>
  <r>
    <s v=".1~1566"/>
    <n v="1566"/>
    <s v="D2"/>
    <s v="07"/>
    <s v="06"/>
    <x v="65"/>
    <n v="14"/>
    <n v="66"/>
    <x v="0"/>
    <x v="5"/>
    <x v="5"/>
    <n v="69"/>
    <s v="ST"/>
  </r>
  <r>
    <s v=".1~1567"/>
    <n v="1567"/>
    <s v="D2"/>
    <s v="07"/>
    <s v="06"/>
    <x v="65"/>
    <n v="14"/>
    <n v="66"/>
    <x v="1"/>
    <x v="0"/>
    <x v="0"/>
    <n v="485"/>
    <s v="ST"/>
  </r>
  <r>
    <s v=".1~1568"/>
    <n v="1568"/>
    <s v="D2"/>
    <s v="07"/>
    <s v="06"/>
    <x v="65"/>
    <n v="14"/>
    <n v="66"/>
    <x v="1"/>
    <x v="1"/>
    <x v="1"/>
    <n v="24"/>
    <s v="ST"/>
  </r>
  <r>
    <s v=".1~1569"/>
    <n v="1569"/>
    <s v="D2"/>
    <s v="07"/>
    <s v="06"/>
    <x v="65"/>
    <n v="14"/>
    <n v="66"/>
    <x v="1"/>
    <x v="2"/>
    <x v="2"/>
    <n v="227"/>
    <s v="ST"/>
  </r>
  <r>
    <s v=".1~1570"/>
    <n v="1570"/>
    <s v="D2"/>
    <s v="07"/>
    <s v="06"/>
    <x v="65"/>
    <n v="14"/>
    <n v="66"/>
    <x v="1"/>
    <x v="3"/>
    <x v="3"/>
    <n v="50"/>
    <s v="ST"/>
  </r>
  <r>
    <s v=".1~1571"/>
    <n v="1571"/>
    <s v="D2"/>
    <s v="07"/>
    <s v="06"/>
    <x v="65"/>
    <n v="14"/>
    <n v="66"/>
    <x v="1"/>
    <x v="4"/>
    <x v="4"/>
    <n v="100"/>
    <s v="ST"/>
  </r>
  <r>
    <s v=".1~1572"/>
    <n v="1572"/>
    <s v="D2"/>
    <s v="07"/>
    <s v="06"/>
    <x v="65"/>
    <n v="14"/>
    <n v="66"/>
    <x v="1"/>
    <x v="5"/>
    <x v="5"/>
    <n v="57"/>
    <s v="ST"/>
  </r>
  <r>
    <s v=".1~1573"/>
    <n v="1573"/>
    <s v="D2"/>
    <s v="07"/>
    <s v="06"/>
    <x v="65"/>
    <n v="14"/>
    <n v="66"/>
    <x v="2"/>
    <x v="0"/>
    <x v="0"/>
    <n v="100"/>
    <s v="ST"/>
  </r>
  <r>
    <s v=".1~1574"/>
    <n v="1574"/>
    <s v="D2"/>
    <s v="07"/>
    <s v="06"/>
    <x v="65"/>
    <n v="14"/>
    <n v="66"/>
    <x v="2"/>
    <x v="1"/>
    <x v="1"/>
    <n v="34"/>
    <s v="ST"/>
  </r>
  <r>
    <s v=".1~1575"/>
    <n v="1575"/>
    <s v="D2"/>
    <s v="07"/>
    <s v="06"/>
    <x v="65"/>
    <n v="14"/>
    <n v="66"/>
    <x v="2"/>
    <x v="2"/>
    <x v="2"/>
    <n v="238"/>
    <s v="ST"/>
  </r>
  <r>
    <s v=".1~1576"/>
    <n v="1576"/>
    <s v="D2"/>
    <s v="07"/>
    <s v="06"/>
    <x v="65"/>
    <n v="14"/>
    <n v="66"/>
    <x v="2"/>
    <x v="3"/>
    <x v="3"/>
    <n v="50"/>
    <s v="ST"/>
  </r>
  <r>
    <s v=".1~1577"/>
    <n v="1577"/>
    <s v="D2"/>
    <s v="07"/>
    <s v="06"/>
    <x v="65"/>
    <n v="14"/>
    <n v="66"/>
    <x v="2"/>
    <x v="4"/>
    <x v="4"/>
    <n v="92"/>
    <s v="ST"/>
  </r>
  <r>
    <s v=".1~1578"/>
    <n v="1578"/>
    <s v="D2"/>
    <s v="07"/>
    <s v="06"/>
    <x v="65"/>
    <n v="14"/>
    <n v="66"/>
    <x v="2"/>
    <x v="5"/>
    <x v="5"/>
    <n v="50"/>
    <s v="ST"/>
  </r>
  <r>
    <s v=".1~1579"/>
    <n v="1579"/>
    <s v="D2"/>
    <s v="07"/>
    <s v="06"/>
    <x v="65"/>
    <n v="14"/>
    <n v="66"/>
    <x v="3"/>
    <x v="0"/>
    <x v="0"/>
    <n v="150"/>
    <s v="ST"/>
  </r>
  <r>
    <s v=".1~1580"/>
    <n v="1580"/>
    <s v="D2"/>
    <s v="07"/>
    <s v="06"/>
    <x v="65"/>
    <n v="14"/>
    <n v="66"/>
    <x v="3"/>
    <x v="1"/>
    <x v="1"/>
    <n v="50"/>
    <s v="ST"/>
  </r>
  <r>
    <s v=".1~1581"/>
    <n v="1581"/>
    <s v="D2"/>
    <s v="07"/>
    <s v="06"/>
    <x v="65"/>
    <n v="14"/>
    <n v="66"/>
    <x v="3"/>
    <x v="2"/>
    <x v="2"/>
    <n v="100"/>
    <s v="ST"/>
  </r>
  <r>
    <s v=".1~1582"/>
    <n v="1582"/>
    <s v="D2"/>
    <s v="07"/>
    <s v="06"/>
    <x v="65"/>
    <n v="14"/>
    <n v="66"/>
    <x v="3"/>
    <x v="3"/>
    <x v="3"/>
    <n v="83"/>
    <s v="ST"/>
  </r>
  <r>
    <s v=".1~1583"/>
    <n v="1583"/>
    <s v="D2"/>
    <s v="07"/>
    <s v="06"/>
    <x v="65"/>
    <n v="14"/>
    <n v="66"/>
    <x v="3"/>
    <x v="4"/>
    <x v="4"/>
    <n v="80"/>
    <s v="ST"/>
  </r>
  <r>
    <s v=".1~1584"/>
    <n v="1584"/>
    <s v="D2"/>
    <s v="07"/>
    <s v="06"/>
    <x v="65"/>
    <n v="14"/>
    <n v="66"/>
    <x v="3"/>
    <x v="5"/>
    <x v="5"/>
    <n v="50"/>
    <s v="ST"/>
  </r>
  <r>
    <s v=".1~1585"/>
    <n v="1585"/>
    <s v="D2"/>
    <s v="07"/>
    <s v="07"/>
    <x v="66"/>
    <n v="14"/>
    <n v="67"/>
    <x v="0"/>
    <x v="0"/>
    <x v="0"/>
    <n v="292"/>
    <s v="ST"/>
  </r>
  <r>
    <s v=".1~1586"/>
    <n v="1586"/>
    <s v="D2"/>
    <s v="07"/>
    <s v="07"/>
    <x v="66"/>
    <n v="14"/>
    <n v="67"/>
    <x v="0"/>
    <x v="1"/>
    <x v="1"/>
    <n v="54"/>
    <s v="ST"/>
  </r>
  <r>
    <s v=".1~1587"/>
    <n v="1587"/>
    <s v="D2"/>
    <s v="07"/>
    <s v="07"/>
    <x v="66"/>
    <n v="14"/>
    <n v="67"/>
    <x v="0"/>
    <x v="2"/>
    <x v="2"/>
    <n v="247"/>
    <s v="ST"/>
  </r>
  <r>
    <s v=".1~1588"/>
    <n v="1588"/>
    <s v="D2"/>
    <s v="07"/>
    <s v="07"/>
    <x v="66"/>
    <n v="14"/>
    <n v="67"/>
    <x v="0"/>
    <x v="3"/>
    <x v="3"/>
    <n v="86"/>
    <s v="ST"/>
  </r>
  <r>
    <s v=".1~1589"/>
    <n v="1589"/>
    <s v="D2"/>
    <s v="07"/>
    <s v="07"/>
    <x v="66"/>
    <n v="14"/>
    <n v="67"/>
    <x v="0"/>
    <x v="4"/>
    <x v="4"/>
    <n v="104"/>
    <s v="ST"/>
  </r>
  <r>
    <s v=".1~1590"/>
    <n v="1590"/>
    <s v="D2"/>
    <s v="07"/>
    <s v="07"/>
    <x v="66"/>
    <n v="14"/>
    <n v="67"/>
    <x v="0"/>
    <x v="5"/>
    <x v="5"/>
    <n v="69"/>
    <s v="ST"/>
  </r>
  <r>
    <s v=".1~1591"/>
    <n v="1591"/>
    <s v="D2"/>
    <s v="07"/>
    <s v="07"/>
    <x v="66"/>
    <n v="14"/>
    <n v="67"/>
    <x v="1"/>
    <x v="0"/>
    <x v="0"/>
    <n v="485"/>
    <s v="ST"/>
  </r>
  <r>
    <s v=".1~1592"/>
    <n v="1592"/>
    <s v="D2"/>
    <s v="07"/>
    <s v="07"/>
    <x v="66"/>
    <n v="14"/>
    <n v="67"/>
    <x v="1"/>
    <x v="1"/>
    <x v="1"/>
    <n v="24"/>
    <s v="ST"/>
  </r>
  <r>
    <s v=".1~1593"/>
    <n v="1593"/>
    <s v="D2"/>
    <s v="07"/>
    <s v="07"/>
    <x v="66"/>
    <n v="14"/>
    <n v="67"/>
    <x v="1"/>
    <x v="2"/>
    <x v="2"/>
    <n v="227"/>
    <s v="ST"/>
  </r>
  <r>
    <s v=".1~1594"/>
    <n v="1594"/>
    <s v="D2"/>
    <s v="07"/>
    <s v="07"/>
    <x v="66"/>
    <n v="14"/>
    <n v="67"/>
    <x v="1"/>
    <x v="3"/>
    <x v="3"/>
    <n v="50"/>
    <s v="ST"/>
  </r>
  <r>
    <s v=".1~1595"/>
    <n v="1595"/>
    <s v="D2"/>
    <s v="07"/>
    <s v="07"/>
    <x v="66"/>
    <n v="14"/>
    <n v="67"/>
    <x v="1"/>
    <x v="4"/>
    <x v="4"/>
    <n v="100"/>
    <s v="ST"/>
  </r>
  <r>
    <s v=".1~1596"/>
    <n v="1596"/>
    <s v="D2"/>
    <s v="07"/>
    <s v="07"/>
    <x v="66"/>
    <n v="14"/>
    <n v="67"/>
    <x v="1"/>
    <x v="5"/>
    <x v="5"/>
    <n v="43"/>
    <s v="ST"/>
  </r>
  <r>
    <s v=".1~1597"/>
    <n v="1597"/>
    <s v="D2"/>
    <s v="07"/>
    <s v="07"/>
    <x v="66"/>
    <n v="14"/>
    <n v="67"/>
    <x v="2"/>
    <x v="0"/>
    <x v="0"/>
    <n v="24"/>
    <s v="ST"/>
  </r>
  <r>
    <s v=".1~1598"/>
    <n v="1598"/>
    <s v="D2"/>
    <s v="07"/>
    <s v="07"/>
    <x v="66"/>
    <n v="14"/>
    <n v="67"/>
    <x v="2"/>
    <x v="1"/>
    <x v="1"/>
    <n v="34"/>
    <s v="ST"/>
  </r>
  <r>
    <s v=".1~1599"/>
    <n v="1599"/>
    <s v="D2"/>
    <s v="07"/>
    <s v="07"/>
    <x v="66"/>
    <n v="14"/>
    <n v="67"/>
    <x v="2"/>
    <x v="2"/>
    <x v="2"/>
    <n v="238"/>
    <s v="ST"/>
  </r>
  <r>
    <s v=".1~1600"/>
    <n v="1600"/>
    <s v="D2"/>
    <s v="07"/>
    <s v="07"/>
    <x v="66"/>
    <n v="14"/>
    <n v="67"/>
    <x v="2"/>
    <x v="3"/>
    <x v="3"/>
    <n v="33"/>
    <s v="ST"/>
  </r>
  <r>
    <s v=".1~1601"/>
    <n v="1601"/>
    <s v="D2"/>
    <s v="07"/>
    <s v="07"/>
    <x v="66"/>
    <n v="14"/>
    <n v="67"/>
    <x v="2"/>
    <x v="4"/>
    <x v="4"/>
    <n v="92"/>
    <s v="ST"/>
  </r>
  <r>
    <s v=".1~1602"/>
    <n v="1602"/>
    <s v="D2"/>
    <s v="07"/>
    <s v="07"/>
    <x v="66"/>
    <n v="14"/>
    <n v="67"/>
    <x v="2"/>
    <x v="5"/>
    <x v="5"/>
    <n v="13"/>
    <s v="ST"/>
  </r>
  <r>
    <s v=".1~1603"/>
    <n v="1603"/>
    <s v="D2"/>
    <s v="07"/>
    <s v="07"/>
    <x v="66"/>
    <n v="14"/>
    <n v="67"/>
    <x v="3"/>
    <x v="0"/>
    <x v="0"/>
    <n v="150"/>
    <s v="ST"/>
  </r>
  <r>
    <s v=".1~1604"/>
    <n v="1604"/>
    <s v="D2"/>
    <s v="07"/>
    <s v="07"/>
    <x v="66"/>
    <n v="14"/>
    <n v="67"/>
    <x v="3"/>
    <x v="1"/>
    <x v="1"/>
    <n v="29"/>
    <s v="ST"/>
  </r>
  <r>
    <s v=".1~1605"/>
    <n v="1605"/>
    <s v="D2"/>
    <s v="07"/>
    <s v="07"/>
    <x v="66"/>
    <n v="14"/>
    <n v="67"/>
    <x v="3"/>
    <x v="2"/>
    <x v="2"/>
    <n v="31"/>
    <s v="ST"/>
  </r>
  <r>
    <s v=".1~1606"/>
    <n v="1606"/>
    <s v="D2"/>
    <s v="07"/>
    <s v="07"/>
    <x v="66"/>
    <n v="14"/>
    <n v="67"/>
    <x v="3"/>
    <x v="3"/>
    <x v="3"/>
    <n v="0"/>
    <s v="ST"/>
  </r>
  <r>
    <s v=".1~1607"/>
    <n v="1607"/>
    <s v="D2"/>
    <s v="07"/>
    <s v="07"/>
    <x v="66"/>
    <n v="14"/>
    <n v="67"/>
    <x v="3"/>
    <x v="4"/>
    <x v="4"/>
    <n v="55"/>
    <s v="ST"/>
  </r>
  <r>
    <s v=".1~1608"/>
    <n v="1608"/>
    <s v="D2"/>
    <s v="07"/>
    <s v="07"/>
    <x v="66"/>
    <n v="14"/>
    <n v="67"/>
    <x v="3"/>
    <x v="5"/>
    <x v="5"/>
    <n v="5"/>
    <s v="ST"/>
  </r>
  <r>
    <s v=".1~1609"/>
    <n v="1609"/>
    <s v="D2"/>
    <s v="07"/>
    <s v="08"/>
    <x v="67"/>
    <n v="14"/>
    <n v="68"/>
    <x v="0"/>
    <x v="0"/>
    <x v="0"/>
    <n v="674"/>
    <s v="ST"/>
  </r>
  <r>
    <s v=".1~1610"/>
    <n v="1610"/>
    <s v="D2"/>
    <s v="07"/>
    <s v="08"/>
    <x v="67"/>
    <n v="14"/>
    <n v="68"/>
    <x v="0"/>
    <x v="1"/>
    <x v="1"/>
    <n v="138"/>
    <s v="ST"/>
  </r>
  <r>
    <s v=".1~1611"/>
    <n v="1611"/>
    <s v="D2"/>
    <s v="07"/>
    <s v="08"/>
    <x v="67"/>
    <n v="14"/>
    <n v="68"/>
    <x v="0"/>
    <x v="2"/>
    <x v="2"/>
    <n v="638"/>
    <s v="ST"/>
  </r>
  <r>
    <s v=".1~1612"/>
    <n v="1612"/>
    <s v="D2"/>
    <s v="07"/>
    <s v="08"/>
    <x v="67"/>
    <n v="14"/>
    <n v="68"/>
    <x v="0"/>
    <x v="3"/>
    <x v="3"/>
    <n v="81"/>
    <s v="ST"/>
  </r>
  <r>
    <s v=".1~1613"/>
    <n v="1613"/>
    <s v="D2"/>
    <s v="07"/>
    <s v="08"/>
    <x v="67"/>
    <n v="14"/>
    <n v="68"/>
    <x v="0"/>
    <x v="4"/>
    <x v="4"/>
    <n v="235"/>
    <s v="ST"/>
  </r>
  <r>
    <s v=".1~1614"/>
    <n v="1614"/>
    <s v="D2"/>
    <s v="07"/>
    <s v="08"/>
    <x v="67"/>
    <n v="14"/>
    <n v="68"/>
    <x v="0"/>
    <x v="5"/>
    <x v="5"/>
    <n v="124"/>
    <s v="ST"/>
  </r>
  <r>
    <s v=".1~1615"/>
    <n v="1615"/>
    <s v="D2"/>
    <s v="07"/>
    <s v="08"/>
    <x v="67"/>
    <n v="14"/>
    <n v="68"/>
    <x v="1"/>
    <x v="0"/>
    <x v="0"/>
    <n v="585"/>
    <s v="ST"/>
  </r>
  <r>
    <s v=".1~1616"/>
    <n v="1616"/>
    <s v="D2"/>
    <s v="07"/>
    <s v="08"/>
    <x v="67"/>
    <n v="14"/>
    <n v="68"/>
    <x v="1"/>
    <x v="1"/>
    <x v="1"/>
    <n v="16"/>
    <s v="ST"/>
  </r>
  <r>
    <s v=".1~1617"/>
    <n v="1617"/>
    <s v="D2"/>
    <s v="07"/>
    <s v="08"/>
    <x v="67"/>
    <n v="14"/>
    <n v="68"/>
    <x v="1"/>
    <x v="2"/>
    <x v="2"/>
    <n v="327"/>
    <s v="ST"/>
  </r>
  <r>
    <s v=".1~1618"/>
    <n v="1618"/>
    <s v="D2"/>
    <s v="07"/>
    <s v="08"/>
    <x v="67"/>
    <n v="14"/>
    <n v="68"/>
    <x v="1"/>
    <x v="3"/>
    <x v="3"/>
    <n v="51"/>
    <s v="ST"/>
  </r>
  <r>
    <s v=".1~1619"/>
    <n v="1619"/>
    <s v="D2"/>
    <s v="07"/>
    <s v="08"/>
    <x v="67"/>
    <n v="14"/>
    <n v="68"/>
    <x v="1"/>
    <x v="4"/>
    <x v="4"/>
    <n v="100"/>
    <s v="ST"/>
  </r>
  <r>
    <s v=".1~1620"/>
    <n v="1620"/>
    <s v="D2"/>
    <s v="07"/>
    <s v="08"/>
    <x v="67"/>
    <n v="14"/>
    <n v="68"/>
    <x v="1"/>
    <x v="5"/>
    <x v="5"/>
    <n v="72"/>
    <s v="ST"/>
  </r>
  <r>
    <s v=".1~1621"/>
    <n v="1621"/>
    <s v="D2"/>
    <s v="07"/>
    <s v="08"/>
    <x v="67"/>
    <n v="14"/>
    <n v="68"/>
    <x v="2"/>
    <x v="0"/>
    <x v="0"/>
    <n v="100"/>
    <s v="ST"/>
  </r>
  <r>
    <s v=".1~1622"/>
    <n v="1622"/>
    <s v="D2"/>
    <s v="07"/>
    <s v="08"/>
    <x v="67"/>
    <n v="14"/>
    <n v="68"/>
    <x v="2"/>
    <x v="1"/>
    <x v="1"/>
    <n v="60"/>
    <s v="ST"/>
  </r>
  <r>
    <s v=".1~1623"/>
    <n v="1623"/>
    <s v="D2"/>
    <s v="07"/>
    <s v="08"/>
    <x v="67"/>
    <n v="14"/>
    <n v="68"/>
    <x v="2"/>
    <x v="2"/>
    <x v="2"/>
    <n v="169"/>
    <s v="ST"/>
  </r>
  <r>
    <s v=".1~1624"/>
    <n v="1624"/>
    <s v="D2"/>
    <s v="07"/>
    <s v="08"/>
    <x v="67"/>
    <n v="14"/>
    <n v="68"/>
    <x v="2"/>
    <x v="3"/>
    <x v="3"/>
    <n v="45"/>
    <s v="ST"/>
  </r>
  <r>
    <s v=".1~1625"/>
    <n v="1625"/>
    <s v="D2"/>
    <s v="07"/>
    <s v="08"/>
    <x v="67"/>
    <n v="14"/>
    <n v="68"/>
    <x v="2"/>
    <x v="4"/>
    <x v="4"/>
    <n v="94"/>
    <s v="ST"/>
  </r>
  <r>
    <s v=".1~1626"/>
    <n v="1626"/>
    <s v="D2"/>
    <s v="07"/>
    <s v="08"/>
    <x v="67"/>
    <n v="14"/>
    <n v="68"/>
    <x v="2"/>
    <x v="5"/>
    <x v="5"/>
    <n v="31"/>
    <s v="ST"/>
  </r>
  <r>
    <s v=".1~1627"/>
    <n v="1627"/>
    <s v="D2"/>
    <s v="07"/>
    <s v="08"/>
    <x v="67"/>
    <n v="14"/>
    <n v="68"/>
    <x v="3"/>
    <x v="0"/>
    <x v="0"/>
    <n v="77"/>
    <s v="ST"/>
  </r>
  <r>
    <s v=".1~1628"/>
    <n v="1628"/>
    <s v="D2"/>
    <s v="07"/>
    <s v="08"/>
    <x v="67"/>
    <n v="14"/>
    <n v="68"/>
    <x v="3"/>
    <x v="1"/>
    <x v="1"/>
    <n v="41"/>
    <s v="ST"/>
  </r>
  <r>
    <s v=".1~1629"/>
    <n v="1629"/>
    <s v="D2"/>
    <s v="07"/>
    <s v="08"/>
    <x v="67"/>
    <n v="14"/>
    <n v="68"/>
    <x v="3"/>
    <x v="2"/>
    <x v="2"/>
    <n v="87"/>
    <s v="ST"/>
  </r>
  <r>
    <s v=".1~1630"/>
    <n v="1630"/>
    <s v="D2"/>
    <s v="07"/>
    <s v="08"/>
    <x v="67"/>
    <n v="14"/>
    <n v="68"/>
    <x v="3"/>
    <x v="3"/>
    <x v="3"/>
    <n v="73"/>
    <s v="ST"/>
  </r>
  <r>
    <s v=".1~1631"/>
    <n v="1631"/>
    <s v="D2"/>
    <s v="07"/>
    <s v="08"/>
    <x v="67"/>
    <n v="14"/>
    <n v="68"/>
    <x v="3"/>
    <x v="4"/>
    <x v="4"/>
    <n v="58"/>
    <s v="ST"/>
  </r>
  <r>
    <s v=".1~1632"/>
    <n v="1632"/>
    <s v="D2"/>
    <s v="07"/>
    <s v="08"/>
    <x v="67"/>
    <n v="14"/>
    <n v="68"/>
    <x v="3"/>
    <x v="5"/>
    <x v="5"/>
    <n v="27"/>
    <s v="ST"/>
  </r>
  <r>
    <s v=".1~1633"/>
    <n v="1633"/>
    <s v="D2"/>
    <s v="07"/>
    <s v="09"/>
    <x v="68"/>
    <n v="14"/>
    <n v="69"/>
    <x v="0"/>
    <x v="0"/>
    <x v="0"/>
    <n v="674"/>
    <s v="ST"/>
  </r>
  <r>
    <s v=".1~1634"/>
    <n v="1634"/>
    <s v="D2"/>
    <s v="07"/>
    <s v="09"/>
    <x v="68"/>
    <n v="14"/>
    <n v="69"/>
    <x v="0"/>
    <x v="1"/>
    <x v="1"/>
    <n v="138"/>
    <s v="ST"/>
  </r>
  <r>
    <s v=".1~1635"/>
    <n v="1635"/>
    <s v="D2"/>
    <s v="07"/>
    <s v="09"/>
    <x v="68"/>
    <n v="14"/>
    <n v="69"/>
    <x v="0"/>
    <x v="2"/>
    <x v="2"/>
    <n v="638"/>
    <s v="ST"/>
  </r>
  <r>
    <s v=".1~1636"/>
    <n v="1636"/>
    <s v="D2"/>
    <s v="07"/>
    <s v="09"/>
    <x v="68"/>
    <n v="14"/>
    <n v="69"/>
    <x v="0"/>
    <x v="3"/>
    <x v="3"/>
    <n v="81"/>
    <s v="ST"/>
  </r>
  <r>
    <s v=".1~1637"/>
    <n v="1637"/>
    <s v="D2"/>
    <s v="07"/>
    <s v="09"/>
    <x v="68"/>
    <n v="14"/>
    <n v="69"/>
    <x v="0"/>
    <x v="4"/>
    <x v="4"/>
    <n v="235"/>
    <s v="ST"/>
  </r>
  <r>
    <s v=".1~1638"/>
    <n v="1638"/>
    <s v="D2"/>
    <s v="07"/>
    <s v="09"/>
    <x v="68"/>
    <n v="14"/>
    <n v="69"/>
    <x v="0"/>
    <x v="5"/>
    <x v="5"/>
    <n v="124"/>
    <s v="ST"/>
  </r>
  <r>
    <s v=".1~1639"/>
    <n v="1639"/>
    <s v="D2"/>
    <s v="07"/>
    <s v="09"/>
    <x v="68"/>
    <n v="14"/>
    <n v="69"/>
    <x v="1"/>
    <x v="0"/>
    <x v="0"/>
    <n v="405"/>
    <s v="ST"/>
  </r>
  <r>
    <s v=".1~1640"/>
    <n v="1640"/>
    <s v="D2"/>
    <s v="07"/>
    <s v="09"/>
    <x v="68"/>
    <n v="14"/>
    <n v="69"/>
    <x v="1"/>
    <x v="1"/>
    <x v="1"/>
    <n v="16"/>
    <s v="ST"/>
  </r>
  <r>
    <s v=".1~1641"/>
    <n v="1641"/>
    <s v="D2"/>
    <s v="07"/>
    <s v="09"/>
    <x v="68"/>
    <n v="14"/>
    <n v="69"/>
    <x v="1"/>
    <x v="2"/>
    <x v="2"/>
    <n v="206"/>
    <s v="ST"/>
  </r>
  <r>
    <s v=".1~1642"/>
    <n v="1642"/>
    <s v="D2"/>
    <s v="07"/>
    <s v="09"/>
    <x v="68"/>
    <n v="14"/>
    <n v="69"/>
    <x v="1"/>
    <x v="3"/>
    <x v="3"/>
    <n v="25"/>
    <s v="ST"/>
  </r>
  <r>
    <s v=".1~1643"/>
    <n v="1643"/>
    <s v="D2"/>
    <s v="07"/>
    <s v="09"/>
    <x v="68"/>
    <n v="14"/>
    <n v="69"/>
    <x v="1"/>
    <x v="4"/>
    <x v="4"/>
    <n v="100"/>
    <s v="ST"/>
  </r>
  <r>
    <s v=".1~1644"/>
    <n v="1644"/>
    <s v="D2"/>
    <s v="07"/>
    <s v="09"/>
    <x v="68"/>
    <n v="14"/>
    <n v="69"/>
    <x v="1"/>
    <x v="5"/>
    <x v="5"/>
    <n v="29"/>
    <s v="ST"/>
  </r>
  <r>
    <s v=".1~1645"/>
    <n v="1645"/>
    <s v="D2"/>
    <s v="07"/>
    <s v="09"/>
    <x v="68"/>
    <n v="14"/>
    <n v="69"/>
    <x v="2"/>
    <x v="0"/>
    <x v="0"/>
    <n v="29"/>
    <s v="ST"/>
  </r>
  <r>
    <s v=".1~1646"/>
    <n v="1646"/>
    <s v="D2"/>
    <s v="07"/>
    <s v="09"/>
    <x v="68"/>
    <n v="14"/>
    <n v="69"/>
    <x v="2"/>
    <x v="1"/>
    <x v="1"/>
    <n v="35"/>
    <s v="ST"/>
  </r>
  <r>
    <s v=".1~1647"/>
    <n v="1647"/>
    <s v="D2"/>
    <s v="07"/>
    <s v="09"/>
    <x v="68"/>
    <n v="14"/>
    <n v="69"/>
    <x v="2"/>
    <x v="2"/>
    <x v="2"/>
    <n v="122"/>
    <s v="ST"/>
  </r>
  <r>
    <s v=".1~1648"/>
    <n v="1648"/>
    <s v="D2"/>
    <s v="07"/>
    <s v="09"/>
    <x v="68"/>
    <n v="14"/>
    <n v="69"/>
    <x v="2"/>
    <x v="3"/>
    <x v="3"/>
    <n v="19"/>
    <s v="ST"/>
  </r>
  <r>
    <s v=".1~1649"/>
    <n v="1649"/>
    <s v="D2"/>
    <s v="07"/>
    <s v="09"/>
    <x v="68"/>
    <n v="14"/>
    <n v="69"/>
    <x v="2"/>
    <x v="4"/>
    <x v="4"/>
    <n v="68"/>
    <s v="ST"/>
  </r>
  <r>
    <s v=".1~1650"/>
    <n v="1650"/>
    <s v="D2"/>
    <s v="07"/>
    <s v="09"/>
    <x v="68"/>
    <n v="14"/>
    <n v="69"/>
    <x v="2"/>
    <x v="5"/>
    <x v="5"/>
    <n v="0"/>
    <s v="ST"/>
  </r>
  <r>
    <s v=".1~1651"/>
    <n v="1651"/>
    <s v="D2"/>
    <s v="07"/>
    <s v="09"/>
    <x v="68"/>
    <n v="14"/>
    <n v="69"/>
    <x v="3"/>
    <x v="0"/>
    <x v="0"/>
    <n v="0"/>
    <s v="ST"/>
  </r>
  <r>
    <s v=".1~1652"/>
    <n v="1652"/>
    <s v="D2"/>
    <s v="07"/>
    <s v="09"/>
    <x v="68"/>
    <n v="14"/>
    <n v="69"/>
    <x v="3"/>
    <x v="1"/>
    <x v="1"/>
    <n v="41"/>
    <s v="ST"/>
  </r>
  <r>
    <s v=".1~1653"/>
    <n v="1653"/>
    <s v="D2"/>
    <s v="07"/>
    <s v="09"/>
    <x v="68"/>
    <n v="14"/>
    <n v="69"/>
    <x v="3"/>
    <x v="2"/>
    <x v="2"/>
    <n v="0"/>
    <s v="ST"/>
  </r>
  <r>
    <s v=".1~1654"/>
    <n v="1654"/>
    <s v="D2"/>
    <s v="07"/>
    <s v="09"/>
    <x v="68"/>
    <n v="14"/>
    <n v="69"/>
    <x v="3"/>
    <x v="3"/>
    <x v="3"/>
    <n v="0"/>
    <s v="ST"/>
  </r>
  <r>
    <s v=".1~1655"/>
    <n v="1655"/>
    <s v="D2"/>
    <s v="07"/>
    <s v="09"/>
    <x v="68"/>
    <n v="14"/>
    <n v="69"/>
    <x v="3"/>
    <x v="4"/>
    <x v="4"/>
    <n v="23"/>
    <s v="ST"/>
  </r>
  <r>
    <s v=".1~1656"/>
    <n v="1656"/>
    <s v="D2"/>
    <s v="07"/>
    <s v="09"/>
    <x v="68"/>
    <n v="14"/>
    <n v="69"/>
    <x v="3"/>
    <x v="5"/>
    <x v="5"/>
    <n v="27"/>
    <s v="ST"/>
  </r>
  <r>
    <s v=".1~1657"/>
    <n v="1657"/>
    <s v="D2"/>
    <s v="07"/>
    <s v="10"/>
    <x v="69"/>
    <n v="14"/>
    <n v="70"/>
    <x v="0"/>
    <x v="0"/>
    <x v="0"/>
    <n v="208"/>
    <s v="ST"/>
  </r>
  <r>
    <s v=".1~1658"/>
    <n v="1658"/>
    <s v="D2"/>
    <s v="07"/>
    <s v="10"/>
    <x v="69"/>
    <n v="14"/>
    <n v="70"/>
    <x v="0"/>
    <x v="1"/>
    <x v="1"/>
    <n v="55"/>
    <s v="ST"/>
  </r>
  <r>
    <s v=".1~1659"/>
    <n v="1659"/>
    <s v="D2"/>
    <s v="07"/>
    <s v="10"/>
    <x v="69"/>
    <n v="14"/>
    <n v="70"/>
    <x v="0"/>
    <x v="2"/>
    <x v="2"/>
    <n v="166"/>
    <s v="ST"/>
  </r>
  <r>
    <s v=".1~1660"/>
    <n v="1660"/>
    <s v="D2"/>
    <s v="07"/>
    <s v="10"/>
    <x v="69"/>
    <n v="14"/>
    <n v="70"/>
    <x v="0"/>
    <x v="3"/>
    <x v="3"/>
    <n v="0"/>
    <s v="ST"/>
  </r>
  <r>
    <s v=".1~1661"/>
    <n v="1661"/>
    <s v="D2"/>
    <s v="07"/>
    <s v="10"/>
    <x v="69"/>
    <n v="14"/>
    <n v="70"/>
    <x v="0"/>
    <x v="4"/>
    <x v="4"/>
    <n v="126"/>
    <s v="ST"/>
  </r>
  <r>
    <s v=".1~1662"/>
    <n v="1662"/>
    <s v="D2"/>
    <s v="07"/>
    <s v="10"/>
    <x v="69"/>
    <n v="14"/>
    <n v="70"/>
    <x v="0"/>
    <x v="5"/>
    <x v="5"/>
    <n v="0"/>
    <s v="ST"/>
  </r>
  <r>
    <s v=".1~1663"/>
    <n v="1663"/>
    <s v="D2"/>
    <s v="07"/>
    <s v="10"/>
    <x v="69"/>
    <n v="14"/>
    <n v="70"/>
    <x v="1"/>
    <x v="0"/>
    <x v="0"/>
    <n v="650"/>
    <s v="ST"/>
  </r>
  <r>
    <s v=".1~1664"/>
    <n v="1664"/>
    <s v="D2"/>
    <s v="07"/>
    <s v="10"/>
    <x v="69"/>
    <n v="14"/>
    <n v="70"/>
    <x v="1"/>
    <x v="1"/>
    <x v="1"/>
    <n v="50"/>
    <s v="ST"/>
  </r>
  <r>
    <s v=".1~1665"/>
    <n v="1665"/>
    <s v="D2"/>
    <s v="07"/>
    <s v="10"/>
    <x v="69"/>
    <n v="14"/>
    <n v="70"/>
    <x v="1"/>
    <x v="2"/>
    <x v="2"/>
    <n v="296"/>
    <s v="ST"/>
  </r>
  <r>
    <s v=".1~1666"/>
    <n v="1666"/>
    <s v="D2"/>
    <s v="07"/>
    <s v="10"/>
    <x v="69"/>
    <n v="14"/>
    <n v="70"/>
    <x v="1"/>
    <x v="3"/>
    <x v="3"/>
    <n v="35"/>
    <s v="ST"/>
  </r>
  <r>
    <s v=".1~1667"/>
    <n v="1667"/>
    <s v="D2"/>
    <s v="07"/>
    <s v="10"/>
    <x v="69"/>
    <n v="14"/>
    <n v="70"/>
    <x v="1"/>
    <x v="4"/>
    <x v="4"/>
    <n v="77"/>
    <s v="ST"/>
  </r>
  <r>
    <s v=".1~1668"/>
    <n v="1668"/>
    <s v="D2"/>
    <s v="07"/>
    <s v="10"/>
    <x v="69"/>
    <n v="14"/>
    <n v="70"/>
    <x v="1"/>
    <x v="5"/>
    <x v="5"/>
    <n v="91"/>
    <s v="ST"/>
  </r>
  <r>
    <s v=".1~1669"/>
    <n v="1669"/>
    <s v="D2"/>
    <s v="07"/>
    <s v="10"/>
    <x v="69"/>
    <n v="14"/>
    <n v="70"/>
    <x v="2"/>
    <x v="0"/>
    <x v="0"/>
    <n v="100"/>
    <s v="ST"/>
  </r>
  <r>
    <s v=".1~1670"/>
    <n v="1670"/>
    <s v="D2"/>
    <s v="07"/>
    <s v="10"/>
    <x v="69"/>
    <n v="14"/>
    <n v="70"/>
    <x v="2"/>
    <x v="1"/>
    <x v="1"/>
    <n v="46"/>
    <s v="ST"/>
  </r>
  <r>
    <s v=".1~1671"/>
    <n v="1671"/>
    <s v="D2"/>
    <s v="07"/>
    <s v="10"/>
    <x v="69"/>
    <n v="14"/>
    <n v="70"/>
    <x v="2"/>
    <x v="2"/>
    <x v="2"/>
    <n v="228"/>
    <s v="ST"/>
  </r>
  <r>
    <s v=".1~1672"/>
    <n v="1672"/>
    <s v="D2"/>
    <s v="07"/>
    <s v="10"/>
    <x v="69"/>
    <n v="14"/>
    <n v="70"/>
    <x v="2"/>
    <x v="3"/>
    <x v="3"/>
    <n v="13"/>
    <s v="ST"/>
  </r>
  <r>
    <s v=".1~1673"/>
    <n v="1673"/>
    <s v="D2"/>
    <s v="07"/>
    <s v="10"/>
    <x v="69"/>
    <n v="14"/>
    <n v="70"/>
    <x v="2"/>
    <x v="4"/>
    <x v="4"/>
    <n v="93"/>
    <s v="ST"/>
  </r>
  <r>
    <s v=".1~1674"/>
    <n v="1674"/>
    <s v="D2"/>
    <s v="07"/>
    <s v="10"/>
    <x v="69"/>
    <n v="14"/>
    <n v="70"/>
    <x v="2"/>
    <x v="5"/>
    <x v="5"/>
    <n v="43"/>
    <s v="ST"/>
  </r>
  <r>
    <s v=".1~1675"/>
    <n v="1675"/>
    <s v="D2"/>
    <s v="07"/>
    <s v="10"/>
    <x v="69"/>
    <n v="14"/>
    <n v="70"/>
    <x v="3"/>
    <x v="0"/>
    <x v="0"/>
    <n v="150"/>
    <s v="ST"/>
  </r>
  <r>
    <s v=".1~1676"/>
    <n v="1676"/>
    <s v="D2"/>
    <s v="07"/>
    <s v="10"/>
    <x v="69"/>
    <n v="14"/>
    <n v="70"/>
    <x v="3"/>
    <x v="1"/>
    <x v="1"/>
    <n v="27"/>
    <s v="ST"/>
  </r>
  <r>
    <s v=".1~1677"/>
    <n v="1677"/>
    <s v="D2"/>
    <s v="07"/>
    <s v="10"/>
    <x v="69"/>
    <n v="14"/>
    <n v="70"/>
    <x v="3"/>
    <x v="2"/>
    <x v="2"/>
    <n v="100"/>
    <s v="ST"/>
  </r>
  <r>
    <s v=".1~1678"/>
    <n v="1678"/>
    <s v="D2"/>
    <s v="07"/>
    <s v="10"/>
    <x v="69"/>
    <n v="14"/>
    <n v="70"/>
    <x v="3"/>
    <x v="3"/>
    <x v="3"/>
    <n v="58"/>
    <s v="ST"/>
  </r>
  <r>
    <s v=".1~1679"/>
    <n v="1679"/>
    <s v="D2"/>
    <s v="07"/>
    <s v="10"/>
    <x v="69"/>
    <n v="14"/>
    <n v="70"/>
    <x v="3"/>
    <x v="4"/>
    <x v="4"/>
    <n v="80"/>
    <s v="ST"/>
  </r>
  <r>
    <s v=".1~1680"/>
    <n v="1680"/>
    <s v="D2"/>
    <s v="07"/>
    <s v="10"/>
    <x v="69"/>
    <n v="14"/>
    <n v="70"/>
    <x v="3"/>
    <x v="5"/>
    <x v="5"/>
    <n v="46"/>
    <s v="ST"/>
  </r>
  <r>
    <s v=".1~1681"/>
    <n v="1681"/>
    <s v="D2"/>
    <s v="08"/>
    <s v="01"/>
    <x v="70"/>
    <n v="15"/>
    <n v="71"/>
    <x v="0"/>
    <x v="0"/>
    <x v="0"/>
    <n v="208"/>
    <s v="ST"/>
  </r>
  <r>
    <s v=".1~1682"/>
    <n v="1682"/>
    <s v="D2"/>
    <s v="08"/>
    <s v="01"/>
    <x v="70"/>
    <n v="15"/>
    <n v="71"/>
    <x v="0"/>
    <x v="1"/>
    <x v="1"/>
    <n v="55"/>
    <s v="ST"/>
  </r>
  <r>
    <s v=".1~1683"/>
    <n v="1683"/>
    <s v="D2"/>
    <s v="08"/>
    <s v="01"/>
    <x v="70"/>
    <n v="15"/>
    <n v="71"/>
    <x v="0"/>
    <x v="2"/>
    <x v="2"/>
    <n v="166"/>
    <s v="ST"/>
  </r>
  <r>
    <s v=".1~1684"/>
    <n v="1684"/>
    <s v="D2"/>
    <s v="08"/>
    <s v="01"/>
    <x v="70"/>
    <n v="15"/>
    <n v="71"/>
    <x v="0"/>
    <x v="3"/>
    <x v="3"/>
    <n v="0"/>
    <s v="ST"/>
  </r>
  <r>
    <s v=".1~1685"/>
    <n v="1685"/>
    <s v="D2"/>
    <s v="08"/>
    <s v="01"/>
    <x v="70"/>
    <n v="15"/>
    <n v="71"/>
    <x v="0"/>
    <x v="4"/>
    <x v="4"/>
    <n v="126"/>
    <s v="ST"/>
  </r>
  <r>
    <s v=".1~1686"/>
    <n v="1686"/>
    <s v="D2"/>
    <s v="08"/>
    <s v="01"/>
    <x v="70"/>
    <n v="15"/>
    <n v="71"/>
    <x v="0"/>
    <x v="5"/>
    <x v="5"/>
    <n v="0"/>
    <s v="ST"/>
  </r>
  <r>
    <s v=".1~1687"/>
    <n v="1687"/>
    <s v="D2"/>
    <s v="08"/>
    <s v="01"/>
    <x v="70"/>
    <n v="15"/>
    <n v="71"/>
    <x v="1"/>
    <x v="0"/>
    <x v="0"/>
    <n v="376"/>
    <s v="ST"/>
  </r>
  <r>
    <s v=".1~1688"/>
    <n v="1688"/>
    <s v="D2"/>
    <s v="08"/>
    <s v="01"/>
    <x v="70"/>
    <n v="15"/>
    <n v="71"/>
    <x v="1"/>
    <x v="1"/>
    <x v="1"/>
    <n v="50"/>
    <s v="ST"/>
  </r>
  <r>
    <s v=".1~1689"/>
    <n v="1689"/>
    <s v="D2"/>
    <s v="08"/>
    <s v="01"/>
    <x v="70"/>
    <n v="15"/>
    <n v="71"/>
    <x v="1"/>
    <x v="2"/>
    <x v="2"/>
    <n v="296"/>
    <s v="ST"/>
  </r>
  <r>
    <s v=".1~1690"/>
    <n v="1690"/>
    <s v="D2"/>
    <s v="08"/>
    <s v="01"/>
    <x v="70"/>
    <n v="15"/>
    <n v="71"/>
    <x v="1"/>
    <x v="3"/>
    <x v="3"/>
    <n v="19"/>
    <s v="ST"/>
  </r>
  <r>
    <s v=".1~1691"/>
    <n v="1691"/>
    <s v="D2"/>
    <s v="08"/>
    <s v="01"/>
    <x v="70"/>
    <n v="15"/>
    <n v="71"/>
    <x v="1"/>
    <x v="4"/>
    <x v="4"/>
    <n v="53"/>
    <s v="ST"/>
  </r>
  <r>
    <s v=".1~1692"/>
    <n v="1692"/>
    <s v="D2"/>
    <s v="08"/>
    <s v="01"/>
    <x v="70"/>
    <n v="15"/>
    <n v="71"/>
    <x v="1"/>
    <x v="5"/>
    <x v="5"/>
    <n v="53"/>
    <s v="ST"/>
  </r>
  <r>
    <s v=".1~1693"/>
    <n v="1693"/>
    <s v="D2"/>
    <s v="08"/>
    <s v="01"/>
    <x v="70"/>
    <n v="15"/>
    <n v="71"/>
    <x v="2"/>
    <x v="0"/>
    <x v="0"/>
    <n v="100"/>
    <s v="ST"/>
  </r>
  <r>
    <s v=".1~1694"/>
    <n v="1694"/>
    <s v="D2"/>
    <s v="08"/>
    <s v="01"/>
    <x v="70"/>
    <n v="15"/>
    <n v="71"/>
    <x v="2"/>
    <x v="1"/>
    <x v="1"/>
    <n v="21"/>
    <s v="ST"/>
  </r>
  <r>
    <s v=".1~1695"/>
    <n v="1695"/>
    <s v="D2"/>
    <s v="08"/>
    <s v="01"/>
    <x v="70"/>
    <n v="15"/>
    <n v="71"/>
    <x v="2"/>
    <x v="2"/>
    <x v="2"/>
    <n v="176"/>
    <s v="ST"/>
  </r>
  <r>
    <s v=".1~1696"/>
    <n v="1696"/>
    <s v="D2"/>
    <s v="08"/>
    <s v="01"/>
    <x v="70"/>
    <n v="15"/>
    <n v="71"/>
    <x v="2"/>
    <x v="3"/>
    <x v="3"/>
    <n v="13"/>
    <s v="ST"/>
  </r>
  <r>
    <s v=".1~1697"/>
    <n v="1697"/>
    <s v="D2"/>
    <s v="08"/>
    <s v="01"/>
    <x v="70"/>
    <n v="15"/>
    <n v="71"/>
    <x v="2"/>
    <x v="4"/>
    <x v="4"/>
    <n v="31"/>
    <s v="ST"/>
  </r>
  <r>
    <s v=".1~1698"/>
    <n v="1698"/>
    <s v="D2"/>
    <s v="08"/>
    <s v="01"/>
    <x v="70"/>
    <n v="15"/>
    <n v="71"/>
    <x v="2"/>
    <x v="5"/>
    <x v="5"/>
    <n v="43"/>
    <s v="ST"/>
  </r>
  <r>
    <s v=".1~1699"/>
    <n v="1699"/>
    <s v="D2"/>
    <s v="08"/>
    <s v="01"/>
    <x v="70"/>
    <n v="15"/>
    <n v="71"/>
    <x v="3"/>
    <x v="0"/>
    <x v="0"/>
    <n v="75"/>
    <s v="ST"/>
  </r>
  <r>
    <s v=".1~1700"/>
    <n v="1700"/>
    <s v="D2"/>
    <s v="08"/>
    <s v="01"/>
    <x v="70"/>
    <n v="15"/>
    <n v="71"/>
    <x v="3"/>
    <x v="1"/>
    <x v="1"/>
    <n v="27"/>
    <s v="ST"/>
  </r>
  <r>
    <s v=".1~1701"/>
    <n v="1701"/>
    <s v="D2"/>
    <s v="08"/>
    <s v="01"/>
    <x v="70"/>
    <n v="15"/>
    <n v="71"/>
    <x v="3"/>
    <x v="2"/>
    <x v="2"/>
    <n v="40"/>
    <s v="ST"/>
  </r>
  <r>
    <s v=".1~1702"/>
    <n v="1702"/>
    <s v="D2"/>
    <s v="08"/>
    <s v="01"/>
    <x v="70"/>
    <n v="15"/>
    <n v="71"/>
    <x v="3"/>
    <x v="3"/>
    <x v="3"/>
    <n v="44"/>
    <s v="ST"/>
  </r>
  <r>
    <s v=".1~1703"/>
    <n v="1703"/>
    <s v="D2"/>
    <s v="08"/>
    <s v="01"/>
    <x v="70"/>
    <n v="15"/>
    <n v="71"/>
    <x v="3"/>
    <x v="4"/>
    <x v="4"/>
    <n v="80"/>
    <s v="ST"/>
  </r>
  <r>
    <s v=".1~1704"/>
    <n v="1704"/>
    <s v="D2"/>
    <s v="08"/>
    <s v="01"/>
    <x v="70"/>
    <n v="15"/>
    <n v="71"/>
    <x v="3"/>
    <x v="5"/>
    <x v="5"/>
    <n v="5"/>
    <s v="ST"/>
  </r>
  <r>
    <s v=".1~1705"/>
    <n v="1705"/>
    <s v="D2"/>
    <s v="08"/>
    <s v="02"/>
    <x v="71"/>
    <n v="15"/>
    <n v="72"/>
    <x v="0"/>
    <x v="0"/>
    <x v="0"/>
    <n v="542"/>
    <s v="ST"/>
  </r>
  <r>
    <s v=".1~1706"/>
    <n v="1706"/>
    <s v="D2"/>
    <s v="08"/>
    <s v="02"/>
    <x v="71"/>
    <n v="15"/>
    <n v="72"/>
    <x v="0"/>
    <x v="1"/>
    <x v="1"/>
    <n v="122"/>
    <s v="ST"/>
  </r>
  <r>
    <s v=".1~1707"/>
    <n v="1707"/>
    <s v="D2"/>
    <s v="08"/>
    <s v="02"/>
    <x v="71"/>
    <n v="15"/>
    <n v="72"/>
    <x v="0"/>
    <x v="2"/>
    <x v="2"/>
    <n v="660"/>
    <s v="ST"/>
  </r>
  <r>
    <s v=".1~1708"/>
    <n v="1708"/>
    <s v="D2"/>
    <s v="08"/>
    <s v="02"/>
    <x v="71"/>
    <n v="15"/>
    <n v="72"/>
    <x v="0"/>
    <x v="3"/>
    <x v="3"/>
    <n v="294"/>
    <s v="ST"/>
  </r>
  <r>
    <s v=".1~1709"/>
    <n v="1709"/>
    <s v="D2"/>
    <s v="08"/>
    <s v="02"/>
    <x v="71"/>
    <n v="15"/>
    <n v="72"/>
    <x v="0"/>
    <x v="4"/>
    <x v="4"/>
    <n v="184"/>
    <s v="ST"/>
  </r>
  <r>
    <s v=".1~1710"/>
    <n v="1710"/>
    <s v="D2"/>
    <s v="08"/>
    <s v="02"/>
    <x v="71"/>
    <n v="15"/>
    <n v="72"/>
    <x v="0"/>
    <x v="5"/>
    <x v="5"/>
    <n v="170"/>
    <s v="ST"/>
  </r>
  <r>
    <s v=".1~1711"/>
    <n v="1711"/>
    <s v="D2"/>
    <s v="08"/>
    <s v="02"/>
    <x v="71"/>
    <n v="15"/>
    <n v="72"/>
    <x v="1"/>
    <x v="0"/>
    <x v="0"/>
    <n v="399"/>
    <s v="ST"/>
  </r>
  <r>
    <s v=".1~1712"/>
    <n v="1712"/>
    <s v="D2"/>
    <s v="08"/>
    <s v="02"/>
    <x v="71"/>
    <n v="15"/>
    <n v="72"/>
    <x v="1"/>
    <x v="1"/>
    <x v="1"/>
    <n v="51"/>
    <s v="ST"/>
  </r>
  <r>
    <s v=".1~1713"/>
    <n v="1713"/>
    <s v="D2"/>
    <s v="08"/>
    <s v="02"/>
    <x v="71"/>
    <n v="15"/>
    <n v="72"/>
    <x v="1"/>
    <x v="2"/>
    <x v="2"/>
    <n v="328"/>
    <s v="ST"/>
  </r>
  <r>
    <s v=".1~1714"/>
    <n v="1714"/>
    <s v="D2"/>
    <s v="08"/>
    <s v="02"/>
    <x v="71"/>
    <n v="15"/>
    <n v="72"/>
    <x v="1"/>
    <x v="3"/>
    <x v="3"/>
    <n v="0"/>
    <s v="ST"/>
  </r>
  <r>
    <s v=".1~1715"/>
    <n v="1715"/>
    <s v="D2"/>
    <s v="08"/>
    <s v="02"/>
    <x v="71"/>
    <n v="15"/>
    <n v="72"/>
    <x v="1"/>
    <x v="4"/>
    <x v="4"/>
    <n v="97"/>
    <s v="ST"/>
  </r>
  <r>
    <s v=".1~1716"/>
    <n v="1716"/>
    <s v="D2"/>
    <s v="08"/>
    <s v="02"/>
    <x v="71"/>
    <n v="15"/>
    <n v="72"/>
    <x v="1"/>
    <x v="5"/>
    <x v="5"/>
    <n v="35"/>
    <s v="ST"/>
  </r>
  <r>
    <s v=".1~1717"/>
    <n v="1717"/>
    <s v="D2"/>
    <s v="08"/>
    <s v="02"/>
    <x v="71"/>
    <n v="15"/>
    <n v="72"/>
    <x v="2"/>
    <x v="0"/>
    <x v="0"/>
    <n v="100"/>
    <s v="ST"/>
  </r>
  <r>
    <s v=".1~1718"/>
    <n v="1718"/>
    <s v="D2"/>
    <s v="08"/>
    <s v="02"/>
    <x v="71"/>
    <n v="15"/>
    <n v="72"/>
    <x v="2"/>
    <x v="1"/>
    <x v="1"/>
    <n v="59"/>
    <s v="ST"/>
  </r>
  <r>
    <s v=".1~1719"/>
    <n v="1719"/>
    <s v="D2"/>
    <s v="08"/>
    <s v="02"/>
    <x v="71"/>
    <n v="15"/>
    <n v="72"/>
    <x v="2"/>
    <x v="2"/>
    <x v="2"/>
    <n v="276"/>
    <s v="ST"/>
  </r>
  <r>
    <s v=".1~1720"/>
    <n v="1720"/>
    <s v="D2"/>
    <s v="08"/>
    <s v="02"/>
    <x v="71"/>
    <n v="15"/>
    <n v="72"/>
    <x v="2"/>
    <x v="3"/>
    <x v="3"/>
    <n v="13"/>
    <s v="ST"/>
  </r>
  <r>
    <s v=".1~1721"/>
    <n v="1721"/>
    <s v="D2"/>
    <s v="08"/>
    <s v="02"/>
    <x v="71"/>
    <n v="15"/>
    <n v="72"/>
    <x v="2"/>
    <x v="4"/>
    <x v="4"/>
    <n v="113"/>
    <s v="ST"/>
  </r>
  <r>
    <s v=".1~1722"/>
    <n v="1722"/>
    <s v="D2"/>
    <s v="08"/>
    <s v="02"/>
    <x v="71"/>
    <n v="15"/>
    <n v="72"/>
    <x v="2"/>
    <x v="5"/>
    <x v="5"/>
    <n v="43"/>
    <s v="ST"/>
  </r>
  <r>
    <s v=".1~1723"/>
    <n v="1723"/>
    <s v="D2"/>
    <s v="08"/>
    <s v="02"/>
    <x v="71"/>
    <n v="15"/>
    <n v="72"/>
    <x v="3"/>
    <x v="0"/>
    <x v="0"/>
    <n v="119"/>
    <s v="ST"/>
  </r>
  <r>
    <s v=".1~1724"/>
    <n v="1724"/>
    <s v="D2"/>
    <s v="08"/>
    <s v="02"/>
    <x v="71"/>
    <n v="15"/>
    <n v="72"/>
    <x v="3"/>
    <x v="1"/>
    <x v="1"/>
    <n v="43"/>
    <s v="ST"/>
  </r>
  <r>
    <s v=".1~1725"/>
    <n v="1725"/>
    <s v="D2"/>
    <s v="08"/>
    <s v="02"/>
    <x v="71"/>
    <n v="15"/>
    <n v="72"/>
    <x v="3"/>
    <x v="2"/>
    <x v="2"/>
    <n v="74"/>
    <s v="ST"/>
  </r>
  <r>
    <s v=".1~1726"/>
    <n v="1726"/>
    <s v="D2"/>
    <s v="08"/>
    <s v="02"/>
    <x v="71"/>
    <n v="15"/>
    <n v="72"/>
    <x v="3"/>
    <x v="3"/>
    <x v="3"/>
    <n v="16"/>
    <s v="ST"/>
  </r>
  <r>
    <s v=".1~1727"/>
    <n v="1727"/>
    <s v="D2"/>
    <s v="08"/>
    <s v="02"/>
    <x v="71"/>
    <n v="15"/>
    <n v="72"/>
    <x v="3"/>
    <x v="4"/>
    <x v="4"/>
    <n v="29"/>
    <s v="ST"/>
  </r>
  <r>
    <s v=".1~1728"/>
    <n v="1728"/>
    <s v="D2"/>
    <s v="08"/>
    <s v="02"/>
    <x v="71"/>
    <n v="15"/>
    <n v="72"/>
    <x v="3"/>
    <x v="5"/>
    <x v="5"/>
    <n v="5"/>
    <s v="ST"/>
  </r>
  <r>
    <s v=".1~1729"/>
    <n v="1729"/>
    <s v="D2"/>
    <s v="08"/>
    <s v="03"/>
    <x v="72"/>
    <n v="15"/>
    <n v="73"/>
    <x v="0"/>
    <x v="0"/>
    <x v="0"/>
    <n v="542"/>
    <s v="ST"/>
  </r>
  <r>
    <s v=".1~1730"/>
    <n v="1730"/>
    <s v="D2"/>
    <s v="08"/>
    <s v="03"/>
    <x v="72"/>
    <n v="15"/>
    <n v="73"/>
    <x v="0"/>
    <x v="1"/>
    <x v="1"/>
    <n v="122"/>
    <s v="ST"/>
  </r>
  <r>
    <s v=".1~1731"/>
    <n v="1731"/>
    <s v="D2"/>
    <s v="08"/>
    <s v="03"/>
    <x v="72"/>
    <n v="15"/>
    <n v="73"/>
    <x v="0"/>
    <x v="2"/>
    <x v="2"/>
    <n v="660"/>
    <s v="ST"/>
  </r>
  <r>
    <s v=".1~1732"/>
    <n v="1732"/>
    <s v="D2"/>
    <s v="08"/>
    <s v="03"/>
    <x v="72"/>
    <n v="15"/>
    <n v="73"/>
    <x v="0"/>
    <x v="3"/>
    <x v="3"/>
    <n v="294"/>
    <s v="ST"/>
  </r>
  <r>
    <s v=".1~1733"/>
    <n v="1733"/>
    <s v="D2"/>
    <s v="08"/>
    <s v="03"/>
    <x v="72"/>
    <n v="15"/>
    <n v="73"/>
    <x v="0"/>
    <x v="4"/>
    <x v="4"/>
    <n v="184"/>
    <s v="ST"/>
  </r>
  <r>
    <s v=".1~1734"/>
    <n v="1734"/>
    <s v="D2"/>
    <s v="08"/>
    <s v="03"/>
    <x v="72"/>
    <n v="15"/>
    <n v="73"/>
    <x v="0"/>
    <x v="5"/>
    <x v="5"/>
    <n v="170"/>
    <s v="ST"/>
  </r>
  <r>
    <s v=".1~1735"/>
    <n v="1735"/>
    <s v="D2"/>
    <s v="08"/>
    <s v="03"/>
    <x v="72"/>
    <n v="15"/>
    <n v="73"/>
    <x v="1"/>
    <x v="0"/>
    <x v="0"/>
    <n v="339"/>
    <s v="ST"/>
  </r>
  <r>
    <s v=".1~1736"/>
    <n v="1736"/>
    <s v="D2"/>
    <s v="08"/>
    <s v="03"/>
    <x v="72"/>
    <n v="15"/>
    <n v="73"/>
    <x v="1"/>
    <x v="1"/>
    <x v="1"/>
    <n v="51"/>
    <s v="ST"/>
  </r>
  <r>
    <s v=".1~1737"/>
    <n v="1737"/>
    <s v="D2"/>
    <s v="08"/>
    <s v="03"/>
    <x v="72"/>
    <n v="15"/>
    <n v="73"/>
    <x v="1"/>
    <x v="2"/>
    <x v="2"/>
    <n v="255"/>
    <s v="ST"/>
  </r>
  <r>
    <s v=".1~1738"/>
    <n v="1738"/>
    <s v="D2"/>
    <s v="08"/>
    <s v="03"/>
    <x v="72"/>
    <n v="15"/>
    <n v="73"/>
    <x v="1"/>
    <x v="3"/>
    <x v="3"/>
    <n v="0"/>
    <s v="ST"/>
  </r>
  <r>
    <s v=".1~1739"/>
    <n v="1739"/>
    <s v="D2"/>
    <s v="08"/>
    <s v="03"/>
    <x v="72"/>
    <n v="15"/>
    <n v="73"/>
    <x v="1"/>
    <x v="4"/>
    <x v="4"/>
    <n v="72"/>
    <s v="ST"/>
  </r>
  <r>
    <s v=".1~1740"/>
    <n v="1740"/>
    <s v="D2"/>
    <s v="08"/>
    <s v="03"/>
    <x v="72"/>
    <n v="15"/>
    <n v="73"/>
    <x v="1"/>
    <x v="5"/>
    <x v="5"/>
    <n v="35"/>
    <s v="ST"/>
  </r>
  <r>
    <s v=".1~1741"/>
    <n v="1741"/>
    <s v="D2"/>
    <s v="08"/>
    <s v="03"/>
    <x v="72"/>
    <n v="15"/>
    <n v="73"/>
    <x v="2"/>
    <x v="0"/>
    <x v="0"/>
    <n v="100"/>
    <s v="ST"/>
  </r>
  <r>
    <s v=".1~1742"/>
    <n v="1742"/>
    <s v="D2"/>
    <s v="08"/>
    <s v="03"/>
    <x v="72"/>
    <n v="15"/>
    <n v="73"/>
    <x v="2"/>
    <x v="1"/>
    <x v="1"/>
    <n v="20"/>
    <s v="ST"/>
  </r>
  <r>
    <s v=".1~1743"/>
    <n v="1743"/>
    <s v="D2"/>
    <s v="08"/>
    <s v="03"/>
    <x v="72"/>
    <n v="15"/>
    <n v="73"/>
    <x v="2"/>
    <x v="2"/>
    <x v="2"/>
    <n v="116"/>
    <s v="ST"/>
  </r>
  <r>
    <s v=".1~1744"/>
    <n v="1744"/>
    <s v="D2"/>
    <s v="08"/>
    <s v="03"/>
    <x v="72"/>
    <n v="15"/>
    <n v="73"/>
    <x v="2"/>
    <x v="3"/>
    <x v="3"/>
    <n v="13"/>
    <s v="ST"/>
  </r>
  <r>
    <s v=".1~1745"/>
    <n v="1745"/>
    <s v="D2"/>
    <s v="08"/>
    <s v="03"/>
    <x v="72"/>
    <n v="15"/>
    <n v="73"/>
    <x v="2"/>
    <x v="4"/>
    <x v="4"/>
    <n v="86"/>
    <s v="ST"/>
  </r>
  <r>
    <s v=".1~1746"/>
    <n v="1746"/>
    <s v="D2"/>
    <s v="08"/>
    <s v="03"/>
    <x v="72"/>
    <n v="15"/>
    <n v="73"/>
    <x v="2"/>
    <x v="5"/>
    <x v="5"/>
    <n v="43"/>
    <s v="ST"/>
  </r>
  <r>
    <s v=".1~1747"/>
    <n v="1747"/>
    <s v="D2"/>
    <s v="08"/>
    <s v="03"/>
    <x v="72"/>
    <n v="15"/>
    <n v="73"/>
    <x v="3"/>
    <x v="0"/>
    <x v="0"/>
    <n v="119"/>
    <s v="ST"/>
  </r>
  <r>
    <s v=".1~1748"/>
    <n v="1748"/>
    <s v="D2"/>
    <s v="08"/>
    <s v="03"/>
    <x v="72"/>
    <n v="15"/>
    <n v="73"/>
    <x v="3"/>
    <x v="1"/>
    <x v="1"/>
    <n v="43"/>
    <s v="ST"/>
  </r>
  <r>
    <s v=".1~1749"/>
    <n v="1749"/>
    <s v="D2"/>
    <s v="08"/>
    <s v="03"/>
    <x v="72"/>
    <n v="15"/>
    <n v="73"/>
    <x v="3"/>
    <x v="2"/>
    <x v="2"/>
    <n v="74"/>
    <s v="ST"/>
  </r>
  <r>
    <s v=".1~1750"/>
    <n v="1750"/>
    <s v="D2"/>
    <s v="08"/>
    <s v="03"/>
    <x v="72"/>
    <n v="15"/>
    <n v="73"/>
    <x v="3"/>
    <x v="3"/>
    <x v="3"/>
    <n v="16"/>
    <s v="ST"/>
  </r>
  <r>
    <s v=".1~1751"/>
    <n v="1751"/>
    <s v="D2"/>
    <s v="08"/>
    <s v="03"/>
    <x v="72"/>
    <n v="15"/>
    <n v="73"/>
    <x v="3"/>
    <x v="4"/>
    <x v="4"/>
    <n v="29"/>
    <s v="ST"/>
  </r>
  <r>
    <s v=".1~1752"/>
    <n v="1752"/>
    <s v="D2"/>
    <s v="08"/>
    <s v="03"/>
    <x v="72"/>
    <n v="15"/>
    <n v="73"/>
    <x v="3"/>
    <x v="5"/>
    <x v="5"/>
    <n v="5"/>
    <s v="ST"/>
  </r>
  <r>
    <s v=".1~1753"/>
    <n v="1753"/>
    <s v="D2"/>
    <s v="08"/>
    <s v="04"/>
    <x v="73"/>
    <n v="15"/>
    <n v="74"/>
    <x v="0"/>
    <x v="0"/>
    <x v="0"/>
    <n v="200"/>
    <s v="ST"/>
  </r>
  <r>
    <s v=".1~1754"/>
    <n v="1754"/>
    <s v="D2"/>
    <s v="08"/>
    <s v="04"/>
    <x v="73"/>
    <n v="15"/>
    <n v="74"/>
    <x v="0"/>
    <x v="1"/>
    <x v="1"/>
    <n v="60"/>
    <s v="ST"/>
  </r>
  <r>
    <s v=".1~1755"/>
    <n v="1755"/>
    <s v="D2"/>
    <s v="08"/>
    <s v="04"/>
    <x v="73"/>
    <n v="15"/>
    <n v="74"/>
    <x v="0"/>
    <x v="2"/>
    <x v="2"/>
    <n v="305"/>
    <s v="ST"/>
  </r>
  <r>
    <s v=".1~1756"/>
    <n v="1756"/>
    <s v="D2"/>
    <s v="08"/>
    <s v="04"/>
    <x v="73"/>
    <n v="15"/>
    <n v="74"/>
    <x v="0"/>
    <x v="3"/>
    <x v="3"/>
    <n v="73"/>
    <s v="ST"/>
  </r>
  <r>
    <s v=".1~1757"/>
    <n v="1757"/>
    <s v="D2"/>
    <s v="08"/>
    <s v="04"/>
    <x v="73"/>
    <n v="15"/>
    <n v="74"/>
    <x v="0"/>
    <x v="4"/>
    <x v="4"/>
    <n v="71"/>
    <s v="ST"/>
  </r>
  <r>
    <s v=".1~1758"/>
    <n v="1758"/>
    <s v="D2"/>
    <s v="08"/>
    <s v="04"/>
    <x v="73"/>
    <n v="15"/>
    <n v="74"/>
    <x v="0"/>
    <x v="5"/>
    <x v="5"/>
    <n v="53"/>
    <s v="ST"/>
  </r>
  <r>
    <s v=".1~1759"/>
    <n v="1759"/>
    <s v="D2"/>
    <s v="08"/>
    <s v="04"/>
    <x v="73"/>
    <n v="15"/>
    <n v="74"/>
    <x v="1"/>
    <x v="0"/>
    <x v="0"/>
    <n v="501"/>
    <s v="ST"/>
  </r>
  <r>
    <s v=".1~1760"/>
    <n v="1760"/>
    <s v="D2"/>
    <s v="08"/>
    <s v="04"/>
    <x v="73"/>
    <n v="15"/>
    <n v="74"/>
    <x v="1"/>
    <x v="1"/>
    <x v="1"/>
    <n v="51"/>
    <s v="ST"/>
  </r>
  <r>
    <s v=".1~1761"/>
    <n v="1761"/>
    <s v="D2"/>
    <s v="08"/>
    <s v="04"/>
    <x v="73"/>
    <n v="15"/>
    <n v="74"/>
    <x v="1"/>
    <x v="2"/>
    <x v="2"/>
    <n v="276"/>
    <s v="ST"/>
  </r>
  <r>
    <s v=".1~1762"/>
    <n v="1762"/>
    <s v="D2"/>
    <s v="08"/>
    <s v="04"/>
    <x v="73"/>
    <n v="15"/>
    <n v="74"/>
    <x v="1"/>
    <x v="3"/>
    <x v="3"/>
    <n v="50"/>
    <s v="ST"/>
  </r>
  <r>
    <s v=".1~1763"/>
    <n v="1763"/>
    <s v="D2"/>
    <s v="08"/>
    <s v="04"/>
    <x v="73"/>
    <n v="15"/>
    <n v="74"/>
    <x v="1"/>
    <x v="4"/>
    <x v="4"/>
    <n v="73"/>
    <s v="ST"/>
  </r>
  <r>
    <s v=".1~1764"/>
    <n v="1764"/>
    <s v="D2"/>
    <s v="08"/>
    <s v="04"/>
    <x v="73"/>
    <n v="15"/>
    <n v="74"/>
    <x v="1"/>
    <x v="5"/>
    <x v="5"/>
    <n v="65"/>
    <s v="ST"/>
  </r>
  <r>
    <s v=".1~1765"/>
    <n v="1765"/>
    <s v="D2"/>
    <s v="08"/>
    <s v="04"/>
    <x v="73"/>
    <n v="15"/>
    <n v="74"/>
    <x v="2"/>
    <x v="0"/>
    <x v="0"/>
    <n v="37"/>
    <s v="ST"/>
  </r>
  <r>
    <s v=".1~1766"/>
    <n v="1766"/>
    <s v="D2"/>
    <s v="08"/>
    <s v="04"/>
    <x v="73"/>
    <n v="15"/>
    <n v="74"/>
    <x v="2"/>
    <x v="1"/>
    <x v="1"/>
    <n v="55"/>
    <s v="ST"/>
  </r>
  <r>
    <s v=".1~1767"/>
    <n v="1767"/>
    <s v="D2"/>
    <s v="08"/>
    <s v="04"/>
    <x v="73"/>
    <n v="15"/>
    <n v="74"/>
    <x v="2"/>
    <x v="2"/>
    <x v="2"/>
    <n v="283"/>
    <s v="ST"/>
  </r>
  <r>
    <s v=".1~1768"/>
    <n v="1768"/>
    <s v="D2"/>
    <s v="08"/>
    <s v="04"/>
    <x v="73"/>
    <n v="15"/>
    <n v="74"/>
    <x v="2"/>
    <x v="3"/>
    <x v="3"/>
    <n v="50"/>
    <s v="ST"/>
  </r>
  <r>
    <s v=".1~1769"/>
    <n v="1769"/>
    <s v="D2"/>
    <s v="08"/>
    <s v="04"/>
    <x v="73"/>
    <n v="15"/>
    <n v="74"/>
    <x v="2"/>
    <x v="4"/>
    <x v="4"/>
    <n v="68"/>
    <s v="ST"/>
  </r>
  <r>
    <s v=".1~1770"/>
    <n v="1770"/>
    <s v="D2"/>
    <s v="08"/>
    <s v="04"/>
    <x v="73"/>
    <n v="15"/>
    <n v="74"/>
    <x v="2"/>
    <x v="5"/>
    <x v="5"/>
    <n v="50"/>
    <s v="ST"/>
  </r>
  <r>
    <s v=".1~1771"/>
    <n v="1771"/>
    <s v="D2"/>
    <s v="08"/>
    <s v="04"/>
    <x v="73"/>
    <n v="15"/>
    <n v="74"/>
    <x v="3"/>
    <x v="0"/>
    <x v="0"/>
    <n v="150"/>
    <s v="ST"/>
  </r>
  <r>
    <s v=".1~1772"/>
    <n v="1772"/>
    <s v="D2"/>
    <s v="08"/>
    <s v="04"/>
    <x v="73"/>
    <n v="15"/>
    <n v="74"/>
    <x v="3"/>
    <x v="1"/>
    <x v="1"/>
    <n v="50"/>
    <s v="ST"/>
  </r>
  <r>
    <s v=".1~1773"/>
    <n v="1773"/>
    <s v="D2"/>
    <s v="08"/>
    <s v="04"/>
    <x v="73"/>
    <n v="15"/>
    <n v="74"/>
    <x v="3"/>
    <x v="2"/>
    <x v="2"/>
    <n v="35"/>
    <s v="ST"/>
  </r>
  <r>
    <s v=".1~1774"/>
    <n v="1774"/>
    <s v="D2"/>
    <s v="08"/>
    <s v="04"/>
    <x v="73"/>
    <n v="15"/>
    <n v="74"/>
    <x v="3"/>
    <x v="3"/>
    <x v="3"/>
    <n v="134"/>
    <s v="ST"/>
  </r>
  <r>
    <s v=".1~1775"/>
    <n v="1775"/>
    <s v="D2"/>
    <s v="08"/>
    <s v="04"/>
    <x v="73"/>
    <n v="15"/>
    <n v="74"/>
    <x v="3"/>
    <x v="4"/>
    <x v="4"/>
    <n v="80"/>
    <s v="ST"/>
  </r>
  <r>
    <s v=".1~1776"/>
    <n v="1776"/>
    <s v="D2"/>
    <s v="08"/>
    <s v="04"/>
    <x v="73"/>
    <n v="15"/>
    <n v="74"/>
    <x v="3"/>
    <x v="5"/>
    <x v="5"/>
    <n v="50"/>
    <s v="ST"/>
  </r>
  <r>
    <s v=".1~1777"/>
    <n v="1777"/>
    <s v="D2"/>
    <s v="08"/>
    <s v="05"/>
    <x v="74"/>
    <n v="15"/>
    <n v="75"/>
    <x v="0"/>
    <x v="0"/>
    <x v="0"/>
    <n v="200"/>
    <s v="ST"/>
  </r>
  <r>
    <s v=".1~1778"/>
    <n v="1778"/>
    <s v="D2"/>
    <s v="08"/>
    <s v="05"/>
    <x v="74"/>
    <n v="15"/>
    <n v="75"/>
    <x v="0"/>
    <x v="1"/>
    <x v="1"/>
    <n v="60"/>
    <s v="ST"/>
  </r>
  <r>
    <s v=".1~1779"/>
    <n v="1779"/>
    <s v="D2"/>
    <s v="08"/>
    <s v="05"/>
    <x v="74"/>
    <n v="15"/>
    <n v="75"/>
    <x v="0"/>
    <x v="2"/>
    <x v="2"/>
    <n v="305"/>
    <s v="ST"/>
  </r>
  <r>
    <s v=".1~1780"/>
    <n v="1780"/>
    <s v="D2"/>
    <s v="08"/>
    <s v="05"/>
    <x v="74"/>
    <n v="15"/>
    <n v="75"/>
    <x v="0"/>
    <x v="3"/>
    <x v="3"/>
    <n v="73"/>
    <s v="ST"/>
  </r>
  <r>
    <s v=".1~1781"/>
    <n v="1781"/>
    <s v="D2"/>
    <s v="08"/>
    <s v="05"/>
    <x v="74"/>
    <n v="15"/>
    <n v="75"/>
    <x v="0"/>
    <x v="4"/>
    <x v="4"/>
    <n v="71"/>
    <s v="ST"/>
  </r>
  <r>
    <s v=".1~1782"/>
    <n v="1782"/>
    <s v="D2"/>
    <s v="08"/>
    <s v="05"/>
    <x v="74"/>
    <n v="15"/>
    <n v="75"/>
    <x v="0"/>
    <x v="5"/>
    <x v="5"/>
    <n v="53"/>
    <s v="ST"/>
  </r>
  <r>
    <s v=".1~1783"/>
    <n v="1783"/>
    <s v="D2"/>
    <s v="08"/>
    <s v="05"/>
    <x v="74"/>
    <n v="15"/>
    <n v="75"/>
    <x v="1"/>
    <x v="0"/>
    <x v="0"/>
    <n v="501"/>
    <s v="ST"/>
  </r>
  <r>
    <s v=".1~1784"/>
    <n v="1784"/>
    <s v="D2"/>
    <s v="08"/>
    <s v="05"/>
    <x v="74"/>
    <n v="15"/>
    <n v="75"/>
    <x v="1"/>
    <x v="1"/>
    <x v="1"/>
    <n v="51"/>
    <s v="ST"/>
  </r>
  <r>
    <s v=".1~1785"/>
    <n v="1785"/>
    <s v="D2"/>
    <s v="08"/>
    <s v="05"/>
    <x v="74"/>
    <n v="15"/>
    <n v="75"/>
    <x v="1"/>
    <x v="2"/>
    <x v="2"/>
    <n v="276"/>
    <s v="ST"/>
  </r>
  <r>
    <s v=".1~1786"/>
    <n v="1786"/>
    <s v="D2"/>
    <s v="08"/>
    <s v="05"/>
    <x v="74"/>
    <n v="15"/>
    <n v="75"/>
    <x v="1"/>
    <x v="3"/>
    <x v="3"/>
    <n v="50"/>
    <s v="ST"/>
  </r>
  <r>
    <s v=".1~1787"/>
    <n v="1787"/>
    <s v="D2"/>
    <s v="08"/>
    <s v="05"/>
    <x v="74"/>
    <n v="15"/>
    <n v="75"/>
    <x v="1"/>
    <x v="4"/>
    <x v="4"/>
    <n v="73"/>
    <s v="ST"/>
  </r>
  <r>
    <s v=".1~1788"/>
    <n v="1788"/>
    <s v="D2"/>
    <s v="08"/>
    <s v="05"/>
    <x v="74"/>
    <n v="15"/>
    <n v="75"/>
    <x v="1"/>
    <x v="5"/>
    <x v="5"/>
    <n v="30"/>
    <s v="ST"/>
  </r>
  <r>
    <s v=".1~1789"/>
    <n v="1789"/>
    <s v="D2"/>
    <s v="08"/>
    <s v="05"/>
    <x v="74"/>
    <n v="15"/>
    <n v="75"/>
    <x v="2"/>
    <x v="0"/>
    <x v="0"/>
    <n v="37"/>
    <s v="ST"/>
  </r>
  <r>
    <s v=".1~1790"/>
    <n v="1790"/>
    <s v="D2"/>
    <s v="08"/>
    <s v="05"/>
    <x v="74"/>
    <n v="15"/>
    <n v="75"/>
    <x v="2"/>
    <x v="1"/>
    <x v="1"/>
    <n v="55"/>
    <s v="ST"/>
  </r>
  <r>
    <s v=".1~1791"/>
    <n v="1791"/>
    <s v="D2"/>
    <s v="08"/>
    <s v="05"/>
    <x v="74"/>
    <n v="15"/>
    <n v="75"/>
    <x v="2"/>
    <x v="2"/>
    <x v="2"/>
    <n v="145"/>
    <s v="ST"/>
  </r>
  <r>
    <s v=".1~1792"/>
    <n v="1792"/>
    <s v="D2"/>
    <s v="08"/>
    <s v="05"/>
    <x v="74"/>
    <n v="15"/>
    <n v="75"/>
    <x v="2"/>
    <x v="3"/>
    <x v="3"/>
    <n v="30"/>
    <s v="ST"/>
  </r>
  <r>
    <s v=".1~1793"/>
    <n v="1793"/>
    <s v="D2"/>
    <s v="08"/>
    <s v="05"/>
    <x v="74"/>
    <n v="15"/>
    <n v="75"/>
    <x v="2"/>
    <x v="4"/>
    <x v="4"/>
    <n v="33"/>
    <s v="ST"/>
  </r>
  <r>
    <s v=".1~1794"/>
    <n v="1794"/>
    <s v="D2"/>
    <s v="08"/>
    <s v="05"/>
    <x v="74"/>
    <n v="15"/>
    <n v="75"/>
    <x v="2"/>
    <x v="5"/>
    <x v="5"/>
    <n v="50"/>
    <s v="ST"/>
  </r>
  <r>
    <s v=".1~1795"/>
    <n v="1795"/>
    <s v="D2"/>
    <s v="08"/>
    <s v="05"/>
    <x v="74"/>
    <n v="15"/>
    <n v="75"/>
    <x v="3"/>
    <x v="0"/>
    <x v="0"/>
    <n v="79"/>
    <s v="ST"/>
  </r>
  <r>
    <s v=".1~1796"/>
    <n v="1796"/>
    <s v="D2"/>
    <s v="08"/>
    <s v="05"/>
    <x v="74"/>
    <n v="15"/>
    <n v="75"/>
    <x v="3"/>
    <x v="1"/>
    <x v="1"/>
    <n v="50"/>
    <s v="ST"/>
  </r>
  <r>
    <s v=".1~1797"/>
    <n v="1797"/>
    <s v="D2"/>
    <s v="08"/>
    <s v="05"/>
    <x v="74"/>
    <n v="15"/>
    <n v="75"/>
    <x v="3"/>
    <x v="2"/>
    <x v="2"/>
    <n v="35"/>
    <s v="ST"/>
  </r>
  <r>
    <s v=".1~1798"/>
    <n v="1798"/>
    <s v="D2"/>
    <s v="08"/>
    <s v="05"/>
    <x v="74"/>
    <n v="15"/>
    <n v="75"/>
    <x v="3"/>
    <x v="3"/>
    <x v="3"/>
    <n v="93"/>
    <s v="ST"/>
  </r>
  <r>
    <s v=".1~1799"/>
    <n v="1799"/>
    <s v="D2"/>
    <s v="08"/>
    <s v="05"/>
    <x v="74"/>
    <n v="15"/>
    <n v="75"/>
    <x v="3"/>
    <x v="4"/>
    <x v="4"/>
    <n v="80"/>
    <s v="ST"/>
  </r>
  <r>
    <s v=".1~1800"/>
    <n v="1800"/>
    <s v="D2"/>
    <s v="08"/>
    <s v="05"/>
    <x v="74"/>
    <n v="15"/>
    <n v="75"/>
    <x v="3"/>
    <x v="5"/>
    <x v="5"/>
    <n v="50"/>
    <s v="ST"/>
  </r>
  <r>
    <s v=".1~1801"/>
    <n v="1801"/>
    <s v="D2"/>
    <s v="08"/>
    <s v="06"/>
    <x v="75"/>
    <n v="16"/>
    <n v="76"/>
    <x v="0"/>
    <x v="0"/>
    <x v="0"/>
    <n v="0"/>
    <s v="ST"/>
  </r>
  <r>
    <s v=".1~1802"/>
    <n v="1802"/>
    <s v="D2"/>
    <s v="08"/>
    <s v="06"/>
    <x v="75"/>
    <n v="16"/>
    <n v="76"/>
    <x v="0"/>
    <x v="1"/>
    <x v="1"/>
    <n v="40"/>
    <s v="ST"/>
  </r>
  <r>
    <s v=".1~1803"/>
    <n v="1803"/>
    <s v="D2"/>
    <s v="08"/>
    <s v="06"/>
    <x v="75"/>
    <n v="16"/>
    <n v="76"/>
    <x v="0"/>
    <x v="2"/>
    <x v="2"/>
    <n v="0"/>
    <s v="ST"/>
  </r>
  <r>
    <s v=".1~1804"/>
    <n v="1804"/>
    <s v="D2"/>
    <s v="08"/>
    <s v="06"/>
    <x v="75"/>
    <n v="16"/>
    <n v="76"/>
    <x v="0"/>
    <x v="3"/>
    <x v="3"/>
    <n v="0"/>
    <s v="ST"/>
  </r>
  <r>
    <s v=".1~1805"/>
    <n v="1805"/>
    <s v="D2"/>
    <s v="08"/>
    <s v="06"/>
    <x v="75"/>
    <n v="16"/>
    <n v="76"/>
    <x v="0"/>
    <x v="4"/>
    <x v="4"/>
    <n v="0"/>
    <s v="ST"/>
  </r>
  <r>
    <s v=".1~1806"/>
    <n v="1806"/>
    <s v="D2"/>
    <s v="08"/>
    <s v="06"/>
    <x v="75"/>
    <n v="16"/>
    <n v="76"/>
    <x v="0"/>
    <x v="5"/>
    <x v="5"/>
    <n v="0"/>
    <s v="ST"/>
  </r>
  <r>
    <s v=".1~1807"/>
    <n v="1807"/>
    <s v="D2"/>
    <s v="08"/>
    <s v="06"/>
    <x v="75"/>
    <n v="16"/>
    <n v="76"/>
    <x v="1"/>
    <x v="0"/>
    <x v="0"/>
    <n v="300"/>
    <s v="ST"/>
  </r>
  <r>
    <s v=".1~1808"/>
    <n v="1808"/>
    <s v="D2"/>
    <s v="08"/>
    <s v="06"/>
    <x v="75"/>
    <n v="16"/>
    <n v="76"/>
    <x v="1"/>
    <x v="1"/>
    <x v="1"/>
    <n v="51"/>
    <s v="ST"/>
  </r>
  <r>
    <s v=".1~1809"/>
    <n v="1809"/>
    <s v="D2"/>
    <s v="08"/>
    <s v="06"/>
    <x v="75"/>
    <n v="16"/>
    <n v="76"/>
    <x v="1"/>
    <x v="2"/>
    <x v="2"/>
    <n v="342"/>
    <s v="ST"/>
  </r>
  <r>
    <s v=".1~1810"/>
    <n v="1810"/>
    <s v="D2"/>
    <s v="08"/>
    <s v="06"/>
    <x v="75"/>
    <n v="16"/>
    <n v="76"/>
    <x v="1"/>
    <x v="3"/>
    <x v="3"/>
    <n v="33"/>
    <s v="ST"/>
  </r>
  <r>
    <s v=".1~1811"/>
    <n v="1811"/>
    <s v="D2"/>
    <s v="08"/>
    <s v="06"/>
    <x v="75"/>
    <n v="16"/>
    <n v="76"/>
    <x v="1"/>
    <x v="4"/>
    <x v="4"/>
    <n v="63"/>
    <s v="ST"/>
  </r>
  <r>
    <s v=".1~1812"/>
    <n v="1812"/>
    <s v="D2"/>
    <s v="08"/>
    <s v="06"/>
    <x v="75"/>
    <n v="16"/>
    <n v="76"/>
    <x v="1"/>
    <x v="5"/>
    <x v="5"/>
    <n v="53"/>
    <s v="ST"/>
  </r>
  <r>
    <s v=".1~1813"/>
    <n v="1813"/>
    <s v="D2"/>
    <s v="08"/>
    <s v="06"/>
    <x v="75"/>
    <n v="16"/>
    <n v="76"/>
    <x v="2"/>
    <x v="0"/>
    <x v="0"/>
    <n v="44"/>
    <s v="ST"/>
  </r>
  <r>
    <s v=".1~1814"/>
    <n v="1814"/>
    <s v="D2"/>
    <s v="08"/>
    <s v="06"/>
    <x v="75"/>
    <n v="16"/>
    <n v="76"/>
    <x v="2"/>
    <x v="1"/>
    <x v="1"/>
    <n v="75"/>
    <s v="ST"/>
  </r>
  <r>
    <s v=".1~1815"/>
    <n v="1815"/>
    <s v="D2"/>
    <s v="08"/>
    <s v="06"/>
    <x v="75"/>
    <n v="16"/>
    <n v="76"/>
    <x v="2"/>
    <x v="2"/>
    <x v="2"/>
    <n v="262"/>
    <s v="ST"/>
  </r>
  <r>
    <s v=".1~1816"/>
    <n v="1816"/>
    <s v="D2"/>
    <s v="08"/>
    <s v="06"/>
    <x v="75"/>
    <n v="16"/>
    <n v="76"/>
    <x v="2"/>
    <x v="3"/>
    <x v="3"/>
    <n v="48"/>
    <s v="ST"/>
  </r>
  <r>
    <s v=".1~1817"/>
    <n v="1817"/>
    <s v="D2"/>
    <s v="08"/>
    <s v="06"/>
    <x v="75"/>
    <n v="16"/>
    <n v="76"/>
    <x v="2"/>
    <x v="4"/>
    <x v="4"/>
    <n v="54"/>
    <s v="ST"/>
  </r>
  <r>
    <s v=".1~1818"/>
    <n v="1818"/>
    <s v="D2"/>
    <s v="08"/>
    <s v="06"/>
    <x v="75"/>
    <n v="16"/>
    <n v="76"/>
    <x v="2"/>
    <x v="5"/>
    <x v="5"/>
    <n v="19"/>
    <s v="ST"/>
  </r>
  <r>
    <s v=".1~1819"/>
    <n v="1819"/>
    <s v="D2"/>
    <s v="08"/>
    <s v="06"/>
    <x v="75"/>
    <n v="16"/>
    <n v="76"/>
    <x v="3"/>
    <x v="0"/>
    <x v="0"/>
    <n v="129"/>
    <s v="ST"/>
  </r>
  <r>
    <s v=".1~1820"/>
    <n v="1820"/>
    <s v="D2"/>
    <s v="08"/>
    <s v="06"/>
    <x v="75"/>
    <n v="16"/>
    <n v="76"/>
    <x v="3"/>
    <x v="1"/>
    <x v="1"/>
    <n v="19"/>
    <s v="ST"/>
  </r>
  <r>
    <s v=".1~1821"/>
    <n v="1821"/>
    <s v="D2"/>
    <s v="08"/>
    <s v="06"/>
    <x v="75"/>
    <n v="16"/>
    <n v="76"/>
    <x v="3"/>
    <x v="2"/>
    <x v="2"/>
    <n v="92"/>
    <s v="ST"/>
  </r>
  <r>
    <s v=".1~1822"/>
    <n v="1822"/>
    <s v="D2"/>
    <s v="08"/>
    <s v="06"/>
    <x v="75"/>
    <n v="16"/>
    <n v="76"/>
    <x v="3"/>
    <x v="3"/>
    <x v="3"/>
    <n v="123"/>
    <s v="ST"/>
  </r>
  <r>
    <s v=".1~1823"/>
    <n v="1823"/>
    <s v="D2"/>
    <s v="08"/>
    <s v="06"/>
    <x v="75"/>
    <n v="16"/>
    <n v="76"/>
    <x v="3"/>
    <x v="4"/>
    <x v="4"/>
    <n v="80"/>
    <s v="ST"/>
  </r>
  <r>
    <s v=".1~1824"/>
    <n v="1824"/>
    <s v="D2"/>
    <s v="08"/>
    <s v="06"/>
    <x v="75"/>
    <n v="16"/>
    <n v="76"/>
    <x v="3"/>
    <x v="5"/>
    <x v="5"/>
    <n v="17"/>
    <s v="ST"/>
  </r>
  <r>
    <s v=".1~1825"/>
    <n v="1825"/>
    <s v="D2"/>
    <s v="08"/>
    <s v="07"/>
    <x v="76"/>
    <n v="16"/>
    <n v="77"/>
    <x v="0"/>
    <x v="0"/>
    <x v="0"/>
    <n v="0"/>
    <s v="ST"/>
  </r>
  <r>
    <s v=".1~1826"/>
    <n v="1826"/>
    <s v="D2"/>
    <s v="08"/>
    <s v="07"/>
    <x v="76"/>
    <n v="16"/>
    <n v="77"/>
    <x v="0"/>
    <x v="1"/>
    <x v="1"/>
    <n v="40"/>
    <s v="ST"/>
  </r>
  <r>
    <s v=".1~1827"/>
    <n v="1827"/>
    <s v="D2"/>
    <s v="08"/>
    <s v="07"/>
    <x v="76"/>
    <n v="16"/>
    <n v="77"/>
    <x v="0"/>
    <x v="2"/>
    <x v="2"/>
    <n v="0"/>
    <s v="ST"/>
  </r>
  <r>
    <s v=".1~1828"/>
    <n v="1828"/>
    <s v="D2"/>
    <s v="08"/>
    <s v="07"/>
    <x v="76"/>
    <n v="16"/>
    <n v="77"/>
    <x v="0"/>
    <x v="3"/>
    <x v="3"/>
    <n v="0"/>
    <s v="ST"/>
  </r>
  <r>
    <s v=".1~1829"/>
    <n v="1829"/>
    <s v="D2"/>
    <s v="08"/>
    <s v="07"/>
    <x v="76"/>
    <n v="16"/>
    <n v="77"/>
    <x v="0"/>
    <x v="4"/>
    <x v="4"/>
    <n v="0"/>
    <s v="ST"/>
  </r>
  <r>
    <s v=".1~1830"/>
    <n v="1830"/>
    <s v="D2"/>
    <s v="08"/>
    <s v="07"/>
    <x v="76"/>
    <n v="16"/>
    <n v="77"/>
    <x v="0"/>
    <x v="5"/>
    <x v="5"/>
    <n v="0"/>
    <s v="ST"/>
  </r>
  <r>
    <s v=".1~1831"/>
    <n v="1831"/>
    <s v="D2"/>
    <s v="08"/>
    <s v="07"/>
    <x v="76"/>
    <n v="16"/>
    <n v="77"/>
    <x v="1"/>
    <x v="0"/>
    <x v="0"/>
    <n v="300"/>
    <s v="ST"/>
  </r>
  <r>
    <s v=".1~1832"/>
    <n v="1832"/>
    <s v="D2"/>
    <s v="08"/>
    <s v="07"/>
    <x v="76"/>
    <n v="16"/>
    <n v="77"/>
    <x v="1"/>
    <x v="1"/>
    <x v="1"/>
    <n v="51"/>
    <s v="ST"/>
  </r>
  <r>
    <s v=".1~1833"/>
    <n v="1833"/>
    <s v="D2"/>
    <s v="08"/>
    <s v="07"/>
    <x v="76"/>
    <n v="16"/>
    <n v="77"/>
    <x v="1"/>
    <x v="2"/>
    <x v="2"/>
    <n v="342"/>
    <s v="ST"/>
  </r>
  <r>
    <s v=".1~1834"/>
    <n v="1834"/>
    <s v="D2"/>
    <s v="08"/>
    <s v="07"/>
    <x v="76"/>
    <n v="16"/>
    <n v="77"/>
    <x v="1"/>
    <x v="3"/>
    <x v="3"/>
    <n v="33"/>
    <s v="ST"/>
  </r>
  <r>
    <s v=".1~1835"/>
    <n v="1835"/>
    <s v="D2"/>
    <s v="08"/>
    <s v="07"/>
    <x v="76"/>
    <n v="16"/>
    <n v="77"/>
    <x v="1"/>
    <x v="4"/>
    <x v="4"/>
    <n v="63"/>
    <s v="ST"/>
  </r>
  <r>
    <s v=".1~1836"/>
    <n v="1836"/>
    <s v="D2"/>
    <s v="08"/>
    <s v="07"/>
    <x v="76"/>
    <n v="16"/>
    <n v="77"/>
    <x v="1"/>
    <x v="5"/>
    <x v="5"/>
    <n v="45"/>
    <s v="ST"/>
  </r>
  <r>
    <s v=".1~1837"/>
    <n v="1837"/>
    <s v="D2"/>
    <s v="08"/>
    <s v="07"/>
    <x v="76"/>
    <n v="16"/>
    <n v="77"/>
    <x v="2"/>
    <x v="0"/>
    <x v="0"/>
    <n v="0"/>
    <s v="ST"/>
  </r>
  <r>
    <s v=".1~1838"/>
    <n v="1838"/>
    <s v="D2"/>
    <s v="08"/>
    <s v="07"/>
    <x v="76"/>
    <n v="16"/>
    <n v="77"/>
    <x v="2"/>
    <x v="1"/>
    <x v="1"/>
    <n v="48"/>
    <s v="ST"/>
  </r>
  <r>
    <s v=".1~1839"/>
    <n v="1839"/>
    <s v="D2"/>
    <s v="08"/>
    <s v="07"/>
    <x v="76"/>
    <n v="16"/>
    <n v="77"/>
    <x v="2"/>
    <x v="2"/>
    <x v="2"/>
    <n v="193"/>
    <s v="ST"/>
  </r>
  <r>
    <s v=".1~1840"/>
    <n v="1840"/>
    <s v="D2"/>
    <s v="08"/>
    <s v="07"/>
    <x v="76"/>
    <n v="16"/>
    <n v="77"/>
    <x v="2"/>
    <x v="3"/>
    <x v="3"/>
    <n v="11"/>
    <s v="ST"/>
  </r>
  <r>
    <s v=".1~1841"/>
    <n v="1841"/>
    <s v="D2"/>
    <s v="08"/>
    <s v="07"/>
    <x v="76"/>
    <n v="16"/>
    <n v="77"/>
    <x v="2"/>
    <x v="4"/>
    <x v="4"/>
    <n v="28"/>
    <s v="ST"/>
  </r>
  <r>
    <s v=".1~1842"/>
    <n v="1842"/>
    <s v="D2"/>
    <s v="08"/>
    <s v="07"/>
    <x v="76"/>
    <n v="16"/>
    <n v="77"/>
    <x v="2"/>
    <x v="5"/>
    <x v="5"/>
    <n v="19"/>
    <s v="ST"/>
  </r>
  <r>
    <s v=".1~1843"/>
    <n v="1843"/>
    <s v="D2"/>
    <s v="08"/>
    <s v="07"/>
    <x v="76"/>
    <n v="16"/>
    <n v="77"/>
    <x v="3"/>
    <x v="0"/>
    <x v="0"/>
    <n v="52"/>
    <s v="ST"/>
  </r>
  <r>
    <s v=".1~1844"/>
    <n v="1844"/>
    <s v="D2"/>
    <s v="08"/>
    <s v="07"/>
    <x v="76"/>
    <n v="16"/>
    <n v="77"/>
    <x v="3"/>
    <x v="1"/>
    <x v="1"/>
    <n v="0"/>
    <s v="ST"/>
  </r>
  <r>
    <s v=".1~1845"/>
    <n v="1845"/>
    <s v="D2"/>
    <s v="08"/>
    <s v="07"/>
    <x v="76"/>
    <n v="16"/>
    <n v="77"/>
    <x v="3"/>
    <x v="2"/>
    <x v="2"/>
    <n v="35"/>
    <s v="ST"/>
  </r>
  <r>
    <s v=".1~1846"/>
    <n v="1846"/>
    <s v="D2"/>
    <s v="08"/>
    <s v="07"/>
    <x v="76"/>
    <n v="16"/>
    <n v="77"/>
    <x v="3"/>
    <x v="3"/>
    <x v="3"/>
    <n v="24"/>
    <s v="ST"/>
  </r>
  <r>
    <s v=".1~1847"/>
    <n v="1847"/>
    <s v="D2"/>
    <s v="08"/>
    <s v="07"/>
    <x v="76"/>
    <n v="16"/>
    <n v="77"/>
    <x v="3"/>
    <x v="4"/>
    <x v="4"/>
    <n v="50"/>
    <s v="ST"/>
  </r>
  <r>
    <s v=".1~1848"/>
    <n v="1848"/>
    <s v="D2"/>
    <s v="08"/>
    <s v="07"/>
    <x v="76"/>
    <n v="16"/>
    <n v="77"/>
    <x v="3"/>
    <x v="5"/>
    <x v="5"/>
    <n v="17"/>
    <s v="ST"/>
  </r>
  <r>
    <s v=".1~1849"/>
    <n v="1849"/>
    <s v="D2"/>
    <s v="08"/>
    <s v="08"/>
    <x v="77"/>
    <n v="16"/>
    <n v="78"/>
    <x v="0"/>
    <x v="0"/>
    <x v="0"/>
    <n v="833"/>
    <s v="ST"/>
  </r>
  <r>
    <s v=".1~1850"/>
    <n v="1850"/>
    <s v="D2"/>
    <s v="08"/>
    <s v="08"/>
    <x v="77"/>
    <n v="16"/>
    <n v="78"/>
    <x v="0"/>
    <x v="1"/>
    <x v="1"/>
    <n v="84"/>
    <s v="ST"/>
  </r>
  <r>
    <s v=".1~1851"/>
    <n v="1851"/>
    <s v="D2"/>
    <s v="08"/>
    <s v="08"/>
    <x v="77"/>
    <n v="16"/>
    <n v="78"/>
    <x v="0"/>
    <x v="2"/>
    <x v="2"/>
    <n v="689"/>
    <s v="ST"/>
  </r>
  <r>
    <s v=".1~1852"/>
    <n v="1852"/>
    <s v="D2"/>
    <s v="08"/>
    <s v="08"/>
    <x v="77"/>
    <n v="16"/>
    <n v="78"/>
    <x v="0"/>
    <x v="3"/>
    <x v="3"/>
    <n v="154"/>
    <s v="ST"/>
  </r>
  <r>
    <s v=".1~1853"/>
    <n v="1853"/>
    <s v="D2"/>
    <s v="08"/>
    <s v="08"/>
    <x v="77"/>
    <n v="16"/>
    <n v="78"/>
    <x v="0"/>
    <x v="4"/>
    <x v="4"/>
    <n v="303"/>
    <s v="ST"/>
  </r>
  <r>
    <s v=".1~1854"/>
    <n v="1854"/>
    <s v="D2"/>
    <s v="08"/>
    <s v="08"/>
    <x v="77"/>
    <n v="16"/>
    <n v="78"/>
    <x v="0"/>
    <x v="5"/>
    <x v="5"/>
    <n v="167"/>
    <s v="ST"/>
  </r>
  <r>
    <s v=".1~1855"/>
    <n v="1855"/>
    <s v="D2"/>
    <s v="08"/>
    <s v="08"/>
    <x v="77"/>
    <n v="16"/>
    <n v="78"/>
    <x v="1"/>
    <x v="0"/>
    <x v="0"/>
    <n v="223"/>
    <s v="ST"/>
  </r>
  <r>
    <s v=".1~1856"/>
    <n v="1856"/>
    <s v="D2"/>
    <s v="08"/>
    <s v="08"/>
    <x v="77"/>
    <n v="16"/>
    <n v="78"/>
    <x v="1"/>
    <x v="1"/>
    <x v="1"/>
    <n v="52"/>
    <s v="ST"/>
  </r>
  <r>
    <s v=".1~1857"/>
    <n v="1857"/>
    <s v="D2"/>
    <s v="08"/>
    <s v="08"/>
    <x v="77"/>
    <n v="16"/>
    <n v="78"/>
    <x v="1"/>
    <x v="2"/>
    <x v="2"/>
    <n v="293"/>
    <s v="ST"/>
  </r>
  <r>
    <s v=".1~1858"/>
    <n v="1858"/>
    <s v="D2"/>
    <s v="08"/>
    <s v="08"/>
    <x v="77"/>
    <n v="16"/>
    <n v="78"/>
    <x v="1"/>
    <x v="3"/>
    <x v="3"/>
    <n v="33"/>
    <s v="ST"/>
  </r>
  <r>
    <s v=".1~1859"/>
    <n v="1859"/>
    <s v="D2"/>
    <s v="08"/>
    <s v="08"/>
    <x v="77"/>
    <n v="16"/>
    <n v="78"/>
    <x v="1"/>
    <x v="4"/>
    <x v="4"/>
    <n v="63"/>
    <s v="ST"/>
  </r>
  <r>
    <s v=".1~1860"/>
    <n v="1860"/>
    <s v="D2"/>
    <s v="08"/>
    <s v="08"/>
    <x v="77"/>
    <n v="16"/>
    <n v="78"/>
    <x v="1"/>
    <x v="5"/>
    <x v="5"/>
    <n v="0"/>
    <s v="ST"/>
  </r>
  <r>
    <s v=".1~1861"/>
    <n v="1861"/>
    <s v="D2"/>
    <s v="08"/>
    <s v="08"/>
    <x v="77"/>
    <n v="16"/>
    <n v="78"/>
    <x v="2"/>
    <x v="0"/>
    <x v="0"/>
    <n v="0"/>
    <s v="ST"/>
  </r>
  <r>
    <s v=".1~1862"/>
    <n v="1862"/>
    <s v="D2"/>
    <s v="08"/>
    <s v="08"/>
    <x v="77"/>
    <n v="16"/>
    <n v="78"/>
    <x v="2"/>
    <x v="1"/>
    <x v="1"/>
    <n v="62"/>
    <s v="ST"/>
  </r>
  <r>
    <s v=".1~1863"/>
    <n v="1863"/>
    <s v="D2"/>
    <s v="08"/>
    <s v="08"/>
    <x v="77"/>
    <n v="16"/>
    <n v="78"/>
    <x v="2"/>
    <x v="2"/>
    <x v="2"/>
    <n v="69"/>
    <s v="ST"/>
  </r>
  <r>
    <s v=".1~1864"/>
    <n v="1864"/>
    <s v="D2"/>
    <s v="08"/>
    <s v="08"/>
    <x v="77"/>
    <n v="16"/>
    <n v="78"/>
    <x v="2"/>
    <x v="3"/>
    <x v="3"/>
    <n v="11"/>
    <s v="ST"/>
  </r>
  <r>
    <s v=".1~1865"/>
    <n v="1865"/>
    <s v="D2"/>
    <s v="08"/>
    <s v="08"/>
    <x v="77"/>
    <n v="16"/>
    <n v="78"/>
    <x v="2"/>
    <x v="4"/>
    <x v="4"/>
    <n v="0"/>
    <s v="ST"/>
  </r>
  <r>
    <s v=".1~1866"/>
    <n v="1866"/>
    <s v="D2"/>
    <s v="08"/>
    <s v="08"/>
    <x v="77"/>
    <n v="16"/>
    <n v="78"/>
    <x v="2"/>
    <x v="5"/>
    <x v="5"/>
    <n v="19"/>
    <s v="ST"/>
  </r>
  <r>
    <s v=".1~1867"/>
    <n v="1867"/>
    <s v="D2"/>
    <s v="08"/>
    <s v="08"/>
    <x v="77"/>
    <n v="16"/>
    <n v="78"/>
    <x v="3"/>
    <x v="0"/>
    <x v="0"/>
    <n v="52"/>
    <s v="ST"/>
  </r>
  <r>
    <s v=".1~1868"/>
    <n v="1868"/>
    <s v="D2"/>
    <s v="08"/>
    <s v="08"/>
    <x v="77"/>
    <n v="16"/>
    <n v="78"/>
    <x v="3"/>
    <x v="1"/>
    <x v="1"/>
    <n v="25"/>
    <s v="ST"/>
  </r>
  <r>
    <s v=".1~1869"/>
    <n v="1869"/>
    <s v="D2"/>
    <s v="08"/>
    <s v="08"/>
    <x v="77"/>
    <n v="16"/>
    <n v="78"/>
    <x v="3"/>
    <x v="2"/>
    <x v="2"/>
    <n v="35"/>
    <s v="ST"/>
  </r>
  <r>
    <s v=".1~1870"/>
    <n v="1870"/>
    <s v="D2"/>
    <s v="08"/>
    <s v="08"/>
    <x v="77"/>
    <n v="16"/>
    <n v="78"/>
    <x v="3"/>
    <x v="3"/>
    <x v="3"/>
    <n v="24"/>
    <s v="ST"/>
  </r>
  <r>
    <s v=".1~1871"/>
    <n v="1871"/>
    <s v="D2"/>
    <s v="08"/>
    <s v="08"/>
    <x v="77"/>
    <n v="16"/>
    <n v="78"/>
    <x v="3"/>
    <x v="4"/>
    <x v="4"/>
    <n v="50"/>
    <s v="ST"/>
  </r>
  <r>
    <s v=".1~1872"/>
    <n v="1872"/>
    <s v="D2"/>
    <s v="08"/>
    <s v="08"/>
    <x v="77"/>
    <n v="16"/>
    <n v="78"/>
    <x v="3"/>
    <x v="5"/>
    <x v="5"/>
    <n v="17"/>
    <s v="ST"/>
  </r>
  <r>
    <s v=".1~1873"/>
    <n v="1873"/>
    <s v="D2"/>
    <s v="08"/>
    <s v="09"/>
    <x v="78"/>
    <n v="16"/>
    <n v="79"/>
    <x v="0"/>
    <x v="0"/>
    <x v="0"/>
    <n v="208"/>
    <s v="ST"/>
  </r>
  <r>
    <s v=".1~1874"/>
    <n v="1874"/>
    <s v="D2"/>
    <s v="08"/>
    <s v="09"/>
    <x v="78"/>
    <n v="16"/>
    <n v="79"/>
    <x v="0"/>
    <x v="1"/>
    <x v="1"/>
    <n v="46"/>
    <s v="ST"/>
  </r>
  <r>
    <s v=".1~1875"/>
    <n v="1875"/>
    <s v="D2"/>
    <s v="08"/>
    <s v="09"/>
    <x v="78"/>
    <n v="16"/>
    <n v="79"/>
    <x v="0"/>
    <x v="2"/>
    <x v="2"/>
    <n v="286"/>
    <s v="ST"/>
  </r>
  <r>
    <s v=".1~1876"/>
    <n v="1876"/>
    <s v="D2"/>
    <s v="08"/>
    <s v="09"/>
    <x v="78"/>
    <n v="16"/>
    <n v="79"/>
    <x v="0"/>
    <x v="3"/>
    <x v="3"/>
    <n v="0"/>
    <s v="ST"/>
  </r>
  <r>
    <s v=".1~1877"/>
    <n v="1877"/>
    <s v="D2"/>
    <s v="08"/>
    <s v="09"/>
    <x v="78"/>
    <n v="16"/>
    <n v="79"/>
    <x v="0"/>
    <x v="4"/>
    <x v="4"/>
    <n v="116"/>
    <s v="ST"/>
  </r>
  <r>
    <s v=".1~1878"/>
    <n v="1878"/>
    <s v="D2"/>
    <s v="08"/>
    <s v="09"/>
    <x v="78"/>
    <n v="16"/>
    <n v="79"/>
    <x v="0"/>
    <x v="5"/>
    <x v="5"/>
    <n v="3"/>
    <s v="ST"/>
  </r>
  <r>
    <s v=".1~1879"/>
    <n v="1879"/>
    <s v="D2"/>
    <s v="08"/>
    <s v="09"/>
    <x v="78"/>
    <n v="16"/>
    <n v="79"/>
    <x v="1"/>
    <x v="0"/>
    <x v="0"/>
    <n v="427"/>
    <s v="ST"/>
  </r>
  <r>
    <s v=".1~1880"/>
    <n v="1880"/>
    <s v="D2"/>
    <s v="08"/>
    <s v="09"/>
    <x v="78"/>
    <n v="16"/>
    <n v="79"/>
    <x v="1"/>
    <x v="1"/>
    <x v="1"/>
    <n v="52"/>
    <s v="ST"/>
  </r>
  <r>
    <s v=".1~1881"/>
    <n v="1881"/>
    <s v="D2"/>
    <s v="08"/>
    <s v="09"/>
    <x v="78"/>
    <n v="16"/>
    <n v="79"/>
    <x v="1"/>
    <x v="2"/>
    <x v="2"/>
    <n v="231"/>
    <s v="ST"/>
  </r>
  <r>
    <s v=".1~1882"/>
    <n v="1882"/>
    <s v="D2"/>
    <s v="08"/>
    <s v="09"/>
    <x v="78"/>
    <n v="16"/>
    <n v="79"/>
    <x v="1"/>
    <x v="3"/>
    <x v="3"/>
    <n v="48"/>
    <s v="ST"/>
  </r>
  <r>
    <s v=".1~1883"/>
    <n v="1883"/>
    <s v="D2"/>
    <s v="08"/>
    <s v="09"/>
    <x v="78"/>
    <n v="16"/>
    <n v="79"/>
    <x v="1"/>
    <x v="4"/>
    <x v="4"/>
    <n v="75"/>
    <s v="ST"/>
  </r>
  <r>
    <s v=".1~1884"/>
    <n v="1884"/>
    <s v="D2"/>
    <s v="08"/>
    <s v="09"/>
    <x v="78"/>
    <n v="16"/>
    <n v="79"/>
    <x v="1"/>
    <x v="5"/>
    <x v="5"/>
    <n v="100"/>
    <s v="ST"/>
  </r>
  <r>
    <s v=".1~1885"/>
    <n v="1885"/>
    <s v="D2"/>
    <s v="08"/>
    <s v="09"/>
    <x v="78"/>
    <n v="16"/>
    <n v="79"/>
    <x v="2"/>
    <x v="0"/>
    <x v="0"/>
    <n v="100"/>
    <s v="ST"/>
  </r>
  <r>
    <s v=".1~1886"/>
    <n v="1886"/>
    <s v="D2"/>
    <s v="08"/>
    <s v="09"/>
    <x v="78"/>
    <n v="16"/>
    <n v="79"/>
    <x v="2"/>
    <x v="1"/>
    <x v="1"/>
    <n v="46"/>
    <s v="ST"/>
  </r>
  <r>
    <s v=".1~1887"/>
    <n v="1887"/>
    <s v="D2"/>
    <s v="08"/>
    <s v="09"/>
    <x v="78"/>
    <n v="16"/>
    <n v="79"/>
    <x v="2"/>
    <x v="2"/>
    <x v="2"/>
    <n v="283"/>
    <s v="ST"/>
  </r>
  <r>
    <s v=".1~1888"/>
    <n v="1888"/>
    <s v="D2"/>
    <s v="08"/>
    <s v="09"/>
    <x v="78"/>
    <n v="16"/>
    <n v="79"/>
    <x v="2"/>
    <x v="3"/>
    <x v="3"/>
    <n v="44"/>
    <s v="ST"/>
  </r>
  <r>
    <s v=".1~1889"/>
    <n v="1889"/>
    <s v="D2"/>
    <s v="08"/>
    <s v="09"/>
    <x v="78"/>
    <n v="16"/>
    <n v="79"/>
    <x v="2"/>
    <x v="4"/>
    <x v="4"/>
    <n v="120"/>
    <s v="ST"/>
  </r>
  <r>
    <s v=".1~1890"/>
    <n v="1890"/>
    <s v="D2"/>
    <s v="08"/>
    <s v="09"/>
    <x v="78"/>
    <n v="16"/>
    <n v="79"/>
    <x v="2"/>
    <x v="5"/>
    <x v="5"/>
    <n v="31"/>
    <s v="ST"/>
  </r>
  <r>
    <s v=".1~1891"/>
    <n v="1891"/>
    <s v="D2"/>
    <s v="08"/>
    <s v="09"/>
    <x v="78"/>
    <n v="16"/>
    <n v="79"/>
    <x v="3"/>
    <x v="0"/>
    <x v="0"/>
    <n v="98"/>
    <s v="ST"/>
  </r>
  <r>
    <s v=".1~1892"/>
    <n v="1892"/>
    <s v="D2"/>
    <s v="08"/>
    <s v="09"/>
    <x v="78"/>
    <n v="16"/>
    <n v="79"/>
    <x v="3"/>
    <x v="1"/>
    <x v="1"/>
    <n v="50"/>
    <s v="ST"/>
  </r>
  <r>
    <s v=".1~1893"/>
    <n v="1893"/>
    <s v="D2"/>
    <s v="08"/>
    <s v="09"/>
    <x v="78"/>
    <n v="16"/>
    <n v="79"/>
    <x v="3"/>
    <x v="2"/>
    <x v="2"/>
    <n v="65"/>
    <s v="ST"/>
  </r>
  <r>
    <s v=".1~1894"/>
    <n v="1894"/>
    <s v="D2"/>
    <s v="08"/>
    <s v="09"/>
    <x v="78"/>
    <n v="16"/>
    <n v="79"/>
    <x v="3"/>
    <x v="3"/>
    <x v="3"/>
    <n v="130"/>
    <s v="ST"/>
  </r>
  <r>
    <s v=".1~1895"/>
    <n v="1895"/>
    <s v="D2"/>
    <s v="08"/>
    <s v="09"/>
    <x v="78"/>
    <n v="16"/>
    <n v="79"/>
    <x v="3"/>
    <x v="4"/>
    <x v="4"/>
    <n v="80"/>
    <s v="ST"/>
  </r>
  <r>
    <s v=".1~1896"/>
    <n v="1896"/>
    <s v="D2"/>
    <s v="08"/>
    <s v="09"/>
    <x v="78"/>
    <n v="16"/>
    <n v="79"/>
    <x v="3"/>
    <x v="5"/>
    <x v="5"/>
    <n v="33"/>
    <s v="ST"/>
  </r>
  <r>
    <m/>
    <m/>
    <m/>
    <m/>
    <m/>
    <x v="79"/>
    <m/>
    <m/>
    <x v="4"/>
    <x v="6"/>
    <x v="6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s v=".1~1"/>
    <n v="1"/>
    <s v="D2"/>
    <s v="01"/>
    <s v="04"/>
    <x v="0"/>
    <n v="1"/>
    <n v="4"/>
    <x v="0"/>
    <x v="0"/>
    <x v="0"/>
    <s v="ST"/>
    <n v="60"/>
  </r>
  <r>
    <s v=".1~2"/>
    <n v="2"/>
    <s v="D2"/>
    <s v="01"/>
    <s v="04"/>
    <x v="0"/>
    <n v="1"/>
    <n v="4"/>
    <x v="1"/>
    <x v="0"/>
    <x v="0"/>
    <s v="ST"/>
    <n v="230"/>
  </r>
  <r>
    <s v=".1~3"/>
    <n v="3"/>
    <s v="D2"/>
    <s v="01"/>
    <s v="04"/>
    <x v="0"/>
    <n v="1"/>
    <n v="4"/>
    <x v="2"/>
    <x v="0"/>
    <x v="0"/>
    <s v="ST"/>
    <n v="65"/>
  </r>
  <r>
    <s v=".1~4"/>
    <n v="4"/>
    <s v="D2"/>
    <s v="01"/>
    <s v="04"/>
    <x v="0"/>
    <n v="1"/>
    <n v="4"/>
    <x v="0"/>
    <x v="1"/>
    <x v="1"/>
    <s v="ST"/>
    <n v="60"/>
  </r>
  <r>
    <s v=".1~5"/>
    <n v="5"/>
    <s v="D2"/>
    <s v="01"/>
    <s v="04"/>
    <x v="0"/>
    <n v="1"/>
    <n v="4"/>
    <x v="1"/>
    <x v="1"/>
    <x v="1"/>
    <s v="ST"/>
    <n v="60"/>
  </r>
  <r>
    <s v=".1~6"/>
    <n v="6"/>
    <s v="D2"/>
    <s v="01"/>
    <s v="04"/>
    <x v="0"/>
    <n v="1"/>
    <n v="4"/>
    <x v="2"/>
    <x v="1"/>
    <x v="1"/>
    <s v="ST"/>
    <n v="20"/>
  </r>
  <r>
    <s v=".1~7"/>
    <n v="7"/>
    <s v="D2"/>
    <s v="01"/>
    <s v="04"/>
    <x v="0"/>
    <n v="1"/>
    <n v="4"/>
    <x v="0"/>
    <x v="2"/>
    <x v="2"/>
    <s v="ST"/>
    <n v="110"/>
  </r>
  <r>
    <s v=".1~8"/>
    <n v="8"/>
    <s v="D2"/>
    <s v="01"/>
    <s v="04"/>
    <x v="0"/>
    <n v="1"/>
    <n v="4"/>
    <x v="1"/>
    <x v="2"/>
    <x v="2"/>
    <s v="ST"/>
    <n v="115"/>
  </r>
  <r>
    <s v=".1~9"/>
    <n v="9"/>
    <s v="D2"/>
    <s v="01"/>
    <s v="04"/>
    <x v="0"/>
    <n v="1"/>
    <n v="4"/>
    <x v="2"/>
    <x v="2"/>
    <x v="2"/>
    <s v="ST"/>
    <n v="85"/>
  </r>
  <r>
    <s v=".1~10"/>
    <n v="10"/>
    <s v="D2"/>
    <s v="01"/>
    <s v="04"/>
    <x v="0"/>
    <n v="1"/>
    <n v="4"/>
    <x v="0"/>
    <x v="3"/>
    <x v="3"/>
    <s v="ST"/>
    <n v="15"/>
  </r>
  <r>
    <s v=".1~11"/>
    <n v="11"/>
    <s v="D2"/>
    <s v="01"/>
    <s v="04"/>
    <x v="0"/>
    <n v="1"/>
    <n v="4"/>
    <x v="1"/>
    <x v="3"/>
    <x v="3"/>
    <s v="ST"/>
    <n v="35"/>
  </r>
  <r>
    <s v=".1~12"/>
    <n v="12"/>
    <s v="D2"/>
    <s v="01"/>
    <s v="04"/>
    <x v="0"/>
    <n v="1"/>
    <n v="4"/>
    <x v="2"/>
    <x v="3"/>
    <x v="3"/>
    <s v="ST"/>
    <n v="85"/>
  </r>
  <r>
    <s v=".1~13"/>
    <n v="13"/>
    <s v="D2"/>
    <s v="01"/>
    <s v="04"/>
    <x v="0"/>
    <n v="1"/>
    <n v="4"/>
    <x v="2"/>
    <x v="4"/>
    <x v="4"/>
    <s v="ST"/>
    <n v="30"/>
  </r>
  <r>
    <s v=".1~14"/>
    <n v="14"/>
    <s v="D2"/>
    <s v="01"/>
    <s v="04"/>
    <x v="0"/>
    <n v="1"/>
    <n v="4"/>
    <x v="1"/>
    <x v="4"/>
    <x v="4"/>
    <s v="ST"/>
    <n v="60"/>
  </r>
  <r>
    <s v=".1~15"/>
    <n v="15"/>
    <s v="D2"/>
    <s v="01"/>
    <s v="04"/>
    <x v="0"/>
    <n v="1"/>
    <n v="4"/>
    <x v="0"/>
    <x v="4"/>
    <x v="4"/>
    <s v="ST"/>
    <n v="70"/>
  </r>
  <r>
    <s v=".1~16"/>
    <n v="16"/>
    <s v="D2"/>
    <s v="01"/>
    <s v="04"/>
    <x v="0"/>
    <n v="1"/>
    <n v="4"/>
    <x v="0"/>
    <x v="5"/>
    <x v="5"/>
    <s v="ST"/>
    <n v="25"/>
  </r>
  <r>
    <s v=".1~17"/>
    <n v="17"/>
    <s v="D2"/>
    <s v="01"/>
    <s v="04"/>
    <x v="0"/>
    <n v="1"/>
    <n v="4"/>
    <x v="1"/>
    <x v="5"/>
    <x v="5"/>
    <s v="ST"/>
    <n v="70"/>
  </r>
  <r>
    <s v=".1~18"/>
    <n v="18"/>
    <s v="D2"/>
    <s v="01"/>
    <s v="04"/>
    <x v="0"/>
    <n v="1"/>
    <n v="4"/>
    <x v="2"/>
    <x v="5"/>
    <x v="5"/>
    <s v="ST"/>
    <n v="30"/>
  </r>
  <r>
    <s v=".1~19"/>
    <n v="19"/>
    <s v="D2"/>
    <s v="01"/>
    <s v="06"/>
    <x v="1"/>
    <n v="2"/>
    <n v="6"/>
    <x v="0"/>
    <x v="0"/>
    <x v="0"/>
    <s v="ST"/>
    <n v="60"/>
  </r>
  <r>
    <s v=".1~20"/>
    <n v="20"/>
    <s v="D2"/>
    <s v="01"/>
    <s v="06"/>
    <x v="1"/>
    <n v="2"/>
    <n v="6"/>
    <x v="1"/>
    <x v="0"/>
    <x v="0"/>
    <s v="ST"/>
    <n v="81"/>
  </r>
  <r>
    <s v=".1~21"/>
    <n v="21"/>
    <s v="D2"/>
    <s v="01"/>
    <s v="06"/>
    <x v="1"/>
    <n v="2"/>
    <n v="6"/>
    <x v="0"/>
    <x v="2"/>
    <x v="2"/>
    <s v="ST"/>
    <n v="66"/>
  </r>
  <r>
    <s v=".1~22"/>
    <n v="22"/>
    <s v="D2"/>
    <s v="01"/>
    <s v="06"/>
    <x v="1"/>
    <n v="2"/>
    <n v="6"/>
    <x v="2"/>
    <x v="3"/>
    <x v="3"/>
    <s v="ST"/>
    <n v="15"/>
  </r>
  <r>
    <s v=".1~23"/>
    <n v="23"/>
    <s v="D2"/>
    <s v="01"/>
    <s v="07"/>
    <x v="2"/>
    <n v="2"/>
    <n v="7"/>
    <x v="1"/>
    <x v="0"/>
    <x v="0"/>
    <s v="ST"/>
    <n v="73"/>
  </r>
  <r>
    <s v=".1~24"/>
    <n v="24"/>
    <s v="D2"/>
    <s v="01"/>
    <s v="07"/>
    <x v="2"/>
    <n v="2"/>
    <n v="7"/>
    <x v="1"/>
    <x v="2"/>
    <x v="2"/>
    <s v="ST"/>
    <n v="44"/>
  </r>
  <r>
    <s v=".1~25"/>
    <n v="25"/>
    <s v="D2"/>
    <s v="01"/>
    <s v="07"/>
    <x v="2"/>
    <n v="2"/>
    <n v="7"/>
    <x v="0"/>
    <x v="2"/>
    <x v="2"/>
    <s v="ST"/>
    <n v="44"/>
  </r>
  <r>
    <s v=".1~26"/>
    <n v="26"/>
    <s v="D2"/>
    <s v="01"/>
    <s v="07"/>
    <x v="2"/>
    <n v="2"/>
    <n v="7"/>
    <x v="0"/>
    <x v="3"/>
    <x v="3"/>
    <s v="ST"/>
    <n v="15"/>
  </r>
  <r>
    <s v=".1~27"/>
    <n v="27"/>
    <s v="D2"/>
    <s v="01"/>
    <s v="07"/>
    <x v="2"/>
    <n v="2"/>
    <n v="7"/>
    <x v="2"/>
    <x v="3"/>
    <x v="3"/>
    <s v="ST"/>
    <n v="6"/>
  </r>
  <r>
    <s v=".1~28"/>
    <n v="28"/>
    <s v="D2"/>
    <s v="01"/>
    <s v="08"/>
    <x v="3"/>
    <n v="2"/>
    <n v="8"/>
    <x v="1"/>
    <x v="0"/>
    <x v="0"/>
    <s v="ST"/>
    <n v="54"/>
  </r>
  <r>
    <s v=".1~29"/>
    <n v="29"/>
    <s v="D2"/>
    <s v="01"/>
    <s v="08"/>
    <x v="3"/>
    <n v="2"/>
    <n v="8"/>
    <x v="1"/>
    <x v="1"/>
    <x v="1"/>
    <s v="ST"/>
    <n v="20"/>
  </r>
  <r>
    <s v=".1~30"/>
    <n v="30"/>
    <s v="D2"/>
    <s v="01"/>
    <s v="08"/>
    <x v="3"/>
    <n v="2"/>
    <n v="8"/>
    <x v="0"/>
    <x v="2"/>
    <x v="2"/>
    <s v="ST"/>
    <n v="65"/>
  </r>
  <r>
    <s v=".1~31"/>
    <n v="31"/>
    <s v="D2"/>
    <s v="01"/>
    <s v="08"/>
    <x v="3"/>
    <n v="2"/>
    <n v="8"/>
    <x v="1"/>
    <x v="2"/>
    <x v="2"/>
    <s v="ST"/>
    <n v="71"/>
  </r>
  <r>
    <s v=".1~32"/>
    <n v="32"/>
    <s v="D2"/>
    <s v="01"/>
    <s v="08"/>
    <x v="3"/>
    <n v="2"/>
    <n v="8"/>
    <x v="2"/>
    <x v="3"/>
    <x v="3"/>
    <s v="ST"/>
    <n v="17"/>
  </r>
  <r>
    <s v=".1~33"/>
    <n v="33"/>
    <s v="D2"/>
    <s v="01"/>
    <s v="09"/>
    <x v="4"/>
    <n v="2"/>
    <n v="9"/>
    <x v="0"/>
    <x v="0"/>
    <x v="0"/>
    <s v="ST"/>
    <n v="60"/>
  </r>
  <r>
    <s v=".1~34"/>
    <n v="34"/>
    <s v="D2"/>
    <s v="01"/>
    <s v="09"/>
    <x v="4"/>
    <n v="2"/>
    <n v="9"/>
    <x v="1"/>
    <x v="0"/>
    <x v="0"/>
    <s v="ST"/>
    <n v="176"/>
  </r>
  <r>
    <s v=".1~35"/>
    <n v="35"/>
    <s v="D2"/>
    <s v="01"/>
    <s v="09"/>
    <x v="4"/>
    <n v="2"/>
    <n v="9"/>
    <x v="2"/>
    <x v="2"/>
    <x v="2"/>
    <s v="ST"/>
    <n v="44"/>
  </r>
  <r>
    <s v=".1~36"/>
    <n v="36"/>
    <s v="D2"/>
    <s v="01"/>
    <s v="09"/>
    <x v="4"/>
    <n v="2"/>
    <n v="9"/>
    <x v="1"/>
    <x v="2"/>
    <x v="2"/>
    <s v="ST"/>
    <n v="44"/>
  </r>
  <r>
    <s v=".1~37"/>
    <n v="37"/>
    <s v="D2"/>
    <s v="01"/>
    <s v="09"/>
    <x v="4"/>
    <n v="2"/>
    <n v="9"/>
    <x v="2"/>
    <x v="3"/>
    <x v="3"/>
    <s v="ST"/>
    <n v="36"/>
  </r>
  <r>
    <s v=".1~38"/>
    <n v="38"/>
    <s v="D2"/>
    <s v="01"/>
    <s v="10"/>
    <x v="5"/>
    <n v="2"/>
    <n v="10"/>
    <x v="1"/>
    <x v="0"/>
    <x v="0"/>
    <s v="ST"/>
    <n v="54"/>
  </r>
  <r>
    <s v=".1~39"/>
    <n v="39"/>
    <s v="D2"/>
    <s v="01"/>
    <s v="10"/>
    <x v="5"/>
    <n v="2"/>
    <n v="10"/>
    <x v="0"/>
    <x v="2"/>
    <x v="2"/>
    <s v="ST"/>
    <n v="110"/>
  </r>
  <r>
    <s v=".1~40"/>
    <n v="40"/>
    <s v="D2"/>
    <s v="01"/>
    <s v="10"/>
    <x v="5"/>
    <n v="2"/>
    <n v="10"/>
    <x v="1"/>
    <x v="2"/>
    <x v="2"/>
    <s v="ST"/>
    <n v="57"/>
  </r>
  <r>
    <s v=".1~41"/>
    <n v="41"/>
    <s v="D2"/>
    <s v="01"/>
    <s v="10"/>
    <x v="5"/>
    <n v="2"/>
    <n v="10"/>
    <x v="2"/>
    <x v="3"/>
    <x v="3"/>
    <s v="ST"/>
    <n v="23"/>
  </r>
  <r>
    <s v=".1~42"/>
    <n v="42"/>
    <s v="D2"/>
    <s v="01"/>
    <s v="10"/>
    <x v="5"/>
    <n v="2"/>
    <n v="10"/>
    <x v="0"/>
    <x v="4"/>
    <x v="4"/>
    <s v="ST"/>
    <n v="31"/>
  </r>
  <r>
    <s v=".1~43"/>
    <n v="43"/>
    <s v="D2"/>
    <s v="01"/>
    <s v="10"/>
    <x v="5"/>
    <n v="2"/>
    <n v="10"/>
    <x v="1"/>
    <x v="4"/>
    <x v="4"/>
    <s v="ST"/>
    <n v="26"/>
  </r>
  <r>
    <s v=".1~44"/>
    <n v="44"/>
    <s v="D2"/>
    <s v="02"/>
    <s v="01"/>
    <x v="6"/>
    <n v="3"/>
    <n v="11"/>
    <x v="0"/>
    <x v="0"/>
    <x v="0"/>
    <s v="ST"/>
    <n v="40"/>
  </r>
  <r>
    <s v=".1~45"/>
    <n v="45"/>
    <s v="D2"/>
    <s v="02"/>
    <s v="01"/>
    <x v="6"/>
    <n v="3"/>
    <n v="11"/>
    <x v="1"/>
    <x v="1"/>
    <x v="1"/>
    <s v="ST"/>
    <n v="9"/>
  </r>
  <r>
    <s v=".1~46"/>
    <n v="46"/>
    <s v="D2"/>
    <s v="02"/>
    <s v="01"/>
    <x v="6"/>
    <n v="3"/>
    <n v="11"/>
    <x v="2"/>
    <x v="1"/>
    <x v="1"/>
    <s v="ST"/>
    <n v="20"/>
  </r>
  <r>
    <s v=".1~47"/>
    <n v="47"/>
    <s v="D2"/>
    <s v="02"/>
    <s v="01"/>
    <x v="6"/>
    <n v="3"/>
    <n v="11"/>
    <x v="1"/>
    <x v="2"/>
    <x v="2"/>
    <s v="ST"/>
    <n v="5"/>
  </r>
  <r>
    <s v=".1~48"/>
    <n v="48"/>
    <s v="D2"/>
    <s v="02"/>
    <s v="01"/>
    <x v="6"/>
    <n v="3"/>
    <n v="11"/>
    <x v="0"/>
    <x v="2"/>
    <x v="2"/>
    <s v="ST"/>
    <n v="40"/>
  </r>
  <r>
    <s v=".1~49"/>
    <n v="49"/>
    <s v="D2"/>
    <s v="02"/>
    <s v="01"/>
    <x v="6"/>
    <n v="3"/>
    <n v="11"/>
    <x v="0"/>
    <x v="3"/>
    <x v="3"/>
    <s v="ST"/>
    <n v="25"/>
  </r>
  <r>
    <s v=".1~50"/>
    <n v="50"/>
    <s v="D2"/>
    <s v="02"/>
    <s v="01"/>
    <x v="6"/>
    <n v="3"/>
    <n v="11"/>
    <x v="1"/>
    <x v="3"/>
    <x v="3"/>
    <s v="ST"/>
    <n v="5"/>
  </r>
  <r>
    <s v=".1~51"/>
    <n v="51"/>
    <s v="D2"/>
    <s v="02"/>
    <s v="01"/>
    <x v="6"/>
    <n v="3"/>
    <n v="11"/>
    <x v="2"/>
    <x v="3"/>
    <x v="3"/>
    <s v="ST"/>
    <n v="15"/>
  </r>
  <r>
    <s v=".1~52"/>
    <n v="52"/>
    <s v="D2"/>
    <s v="02"/>
    <s v="01"/>
    <x v="6"/>
    <n v="3"/>
    <n v="11"/>
    <x v="1"/>
    <x v="4"/>
    <x v="4"/>
    <s v="ST"/>
    <n v="6"/>
  </r>
  <r>
    <s v=".1~53"/>
    <n v="53"/>
    <s v="D2"/>
    <s v="02"/>
    <s v="01"/>
    <x v="6"/>
    <n v="3"/>
    <n v="11"/>
    <x v="2"/>
    <x v="4"/>
    <x v="4"/>
    <s v="ST"/>
    <n v="10"/>
  </r>
  <r>
    <s v=".1~54"/>
    <n v="54"/>
    <s v="D2"/>
    <s v="02"/>
    <s v="01"/>
    <x v="6"/>
    <n v="3"/>
    <n v="11"/>
    <x v="0"/>
    <x v="5"/>
    <x v="5"/>
    <s v="ST"/>
    <n v="15"/>
  </r>
  <r>
    <s v=".1~55"/>
    <n v="55"/>
    <s v="D2"/>
    <s v="02"/>
    <s v="01"/>
    <x v="6"/>
    <n v="3"/>
    <n v="11"/>
    <x v="2"/>
    <x v="5"/>
    <x v="5"/>
    <s v="ST"/>
    <n v="10"/>
  </r>
  <r>
    <s v=".1~56"/>
    <n v="56"/>
    <s v="D2"/>
    <s v="02"/>
    <s v="02"/>
    <x v="7"/>
    <n v="3"/>
    <n v="12"/>
    <x v="0"/>
    <x v="0"/>
    <x v="0"/>
    <s v="ST"/>
    <n v="57"/>
  </r>
  <r>
    <s v=".1~57"/>
    <n v="57"/>
    <s v="D2"/>
    <s v="02"/>
    <s v="02"/>
    <x v="7"/>
    <n v="3"/>
    <n v="12"/>
    <x v="1"/>
    <x v="0"/>
    <x v="0"/>
    <s v="ST"/>
    <n v="132"/>
  </r>
  <r>
    <s v=".1~58"/>
    <n v="58"/>
    <s v="D2"/>
    <s v="02"/>
    <s v="02"/>
    <x v="7"/>
    <n v="3"/>
    <n v="12"/>
    <x v="2"/>
    <x v="0"/>
    <x v="0"/>
    <s v="ST"/>
    <n v="36"/>
  </r>
  <r>
    <s v=".1~59"/>
    <n v="59"/>
    <s v="D2"/>
    <s v="02"/>
    <s v="02"/>
    <x v="7"/>
    <n v="3"/>
    <n v="12"/>
    <x v="1"/>
    <x v="4"/>
    <x v="4"/>
    <s v="ST"/>
    <n v="22"/>
  </r>
  <r>
    <s v=".1~60"/>
    <n v="60"/>
    <s v="D2"/>
    <s v="02"/>
    <s v="03"/>
    <x v="8"/>
    <n v="3"/>
    <n v="13"/>
    <x v="0"/>
    <x v="1"/>
    <x v="1"/>
    <s v="ST"/>
    <n v="35"/>
  </r>
  <r>
    <s v=".1~61"/>
    <n v="61"/>
    <s v="D2"/>
    <s v="02"/>
    <s v="03"/>
    <x v="8"/>
    <n v="3"/>
    <n v="13"/>
    <x v="0"/>
    <x v="2"/>
    <x v="2"/>
    <s v="ST"/>
    <n v="85"/>
  </r>
  <r>
    <s v=".1~62"/>
    <n v="62"/>
    <s v="D2"/>
    <s v="02"/>
    <s v="03"/>
    <x v="8"/>
    <n v="3"/>
    <n v="13"/>
    <x v="1"/>
    <x v="4"/>
    <x v="4"/>
    <s v="ST"/>
    <n v="3"/>
  </r>
  <r>
    <s v=".1~63"/>
    <n v="63"/>
    <s v="D2"/>
    <s v="02"/>
    <s v="04"/>
    <x v="9"/>
    <n v="3"/>
    <n v="14"/>
    <x v="0"/>
    <x v="0"/>
    <x v="0"/>
    <s v="ST"/>
    <n v="68"/>
  </r>
  <r>
    <s v=".1~64"/>
    <n v="64"/>
    <s v="D2"/>
    <s v="02"/>
    <s v="04"/>
    <x v="9"/>
    <n v="3"/>
    <n v="14"/>
    <x v="1"/>
    <x v="0"/>
    <x v="0"/>
    <s v="ST"/>
    <n v="202"/>
  </r>
  <r>
    <s v=".1~65"/>
    <n v="65"/>
    <s v="D2"/>
    <s v="02"/>
    <s v="04"/>
    <x v="9"/>
    <n v="3"/>
    <n v="14"/>
    <x v="2"/>
    <x v="0"/>
    <x v="0"/>
    <s v="ST"/>
    <n v="50"/>
  </r>
  <r>
    <s v=".1~66"/>
    <n v="66"/>
    <s v="D2"/>
    <s v="02"/>
    <s v="04"/>
    <x v="9"/>
    <n v="3"/>
    <n v="14"/>
    <x v="0"/>
    <x v="2"/>
    <x v="2"/>
    <s v="ST"/>
    <n v="65"/>
  </r>
  <r>
    <s v=".1~67"/>
    <n v="67"/>
    <s v="D2"/>
    <s v="02"/>
    <s v="04"/>
    <x v="9"/>
    <n v="3"/>
    <n v="14"/>
    <x v="1"/>
    <x v="2"/>
    <x v="2"/>
    <s v="ST"/>
    <n v="62"/>
  </r>
  <r>
    <s v=".1~68"/>
    <n v="68"/>
    <s v="D2"/>
    <s v="02"/>
    <s v="04"/>
    <x v="9"/>
    <n v="3"/>
    <n v="14"/>
    <x v="0"/>
    <x v="4"/>
    <x v="4"/>
    <s v="ST"/>
    <n v="36"/>
  </r>
  <r>
    <s v=".1~69"/>
    <n v="69"/>
    <s v="D2"/>
    <s v="02"/>
    <s v="04"/>
    <x v="9"/>
    <n v="3"/>
    <n v="14"/>
    <x v="1"/>
    <x v="4"/>
    <x v="4"/>
    <s v="ST"/>
    <n v="23"/>
  </r>
  <r>
    <s v=".1~70"/>
    <n v="70"/>
    <s v="D2"/>
    <s v="02"/>
    <s v="05"/>
    <x v="10"/>
    <n v="3"/>
    <n v="15"/>
    <x v="1"/>
    <x v="0"/>
    <x v="0"/>
    <s v="ST"/>
    <n v="18"/>
  </r>
  <r>
    <s v=".1~71"/>
    <n v="71"/>
    <s v="D2"/>
    <s v="02"/>
    <s v="05"/>
    <x v="10"/>
    <n v="3"/>
    <n v="15"/>
    <x v="1"/>
    <x v="1"/>
    <x v="1"/>
    <s v="ST"/>
    <n v="29"/>
  </r>
  <r>
    <s v=".1~72"/>
    <n v="72"/>
    <s v="D2"/>
    <s v="02"/>
    <s v="05"/>
    <x v="10"/>
    <n v="3"/>
    <n v="15"/>
    <x v="0"/>
    <x v="2"/>
    <x v="2"/>
    <s v="ST"/>
    <n v="62"/>
  </r>
  <r>
    <s v=".1~73"/>
    <n v="73"/>
    <s v="D2"/>
    <s v="02"/>
    <s v="05"/>
    <x v="10"/>
    <n v="3"/>
    <n v="15"/>
    <x v="1"/>
    <x v="2"/>
    <x v="2"/>
    <s v="ST"/>
    <n v="51"/>
  </r>
  <r>
    <s v=".1~74"/>
    <n v="74"/>
    <s v="D2"/>
    <s v="02"/>
    <s v="05"/>
    <x v="10"/>
    <n v="3"/>
    <n v="15"/>
    <x v="2"/>
    <x v="3"/>
    <x v="3"/>
    <s v="ST"/>
    <n v="34"/>
  </r>
  <r>
    <s v=".1~75"/>
    <n v="75"/>
    <s v="D2"/>
    <s v="02"/>
    <s v="05"/>
    <x v="10"/>
    <n v="3"/>
    <n v="15"/>
    <x v="0"/>
    <x v="4"/>
    <x v="4"/>
    <s v="ST"/>
    <n v="34"/>
  </r>
  <r>
    <s v=".1~76"/>
    <n v="76"/>
    <s v="D2"/>
    <s v="02"/>
    <s v="05"/>
    <x v="10"/>
    <n v="3"/>
    <n v="15"/>
    <x v="1"/>
    <x v="4"/>
    <x v="4"/>
    <s v="ST"/>
    <n v="37"/>
  </r>
  <r>
    <s v=".1~77"/>
    <n v="77"/>
    <s v="D2"/>
    <s v="02"/>
    <s v="06"/>
    <x v="11"/>
    <n v="4"/>
    <n v="16"/>
    <x v="1"/>
    <x v="0"/>
    <x v="0"/>
    <s v="ST"/>
    <n v="64"/>
  </r>
  <r>
    <s v=".1~78"/>
    <n v="78"/>
    <s v="D2"/>
    <s v="02"/>
    <s v="06"/>
    <x v="11"/>
    <n v="4"/>
    <n v="16"/>
    <x v="0"/>
    <x v="2"/>
    <x v="2"/>
    <s v="ST"/>
    <n v="53"/>
  </r>
  <r>
    <s v=".1~79"/>
    <n v="79"/>
    <s v="D2"/>
    <s v="02"/>
    <s v="06"/>
    <x v="11"/>
    <n v="4"/>
    <n v="16"/>
    <x v="1"/>
    <x v="2"/>
    <x v="2"/>
    <s v="ST"/>
    <n v="60"/>
  </r>
  <r>
    <s v=".1~80"/>
    <n v="80"/>
    <s v="D2"/>
    <s v="02"/>
    <s v="06"/>
    <x v="11"/>
    <n v="4"/>
    <n v="16"/>
    <x v="2"/>
    <x v="3"/>
    <x v="3"/>
    <s v="ST"/>
    <n v="49"/>
  </r>
  <r>
    <s v=".1~81"/>
    <n v="81"/>
    <s v="D2"/>
    <s v="02"/>
    <s v="06"/>
    <x v="11"/>
    <n v="4"/>
    <n v="16"/>
    <x v="1"/>
    <x v="3"/>
    <x v="3"/>
    <s v="ST"/>
    <n v="21"/>
  </r>
  <r>
    <s v=".1~82"/>
    <n v="82"/>
    <s v="D2"/>
    <s v="02"/>
    <s v="06"/>
    <x v="11"/>
    <n v="4"/>
    <n v="16"/>
    <x v="0"/>
    <x v="3"/>
    <x v="3"/>
    <s v="ST"/>
    <n v="23"/>
  </r>
  <r>
    <s v=".1~83"/>
    <n v="83"/>
    <s v="D2"/>
    <s v="02"/>
    <s v="06"/>
    <x v="11"/>
    <n v="4"/>
    <n v="16"/>
    <x v="0"/>
    <x v="4"/>
    <x v="4"/>
    <s v="ST"/>
    <n v="36"/>
  </r>
  <r>
    <s v=".1~84"/>
    <n v="84"/>
    <s v="D2"/>
    <s v="02"/>
    <s v="07"/>
    <x v="12"/>
    <n v="4"/>
    <n v="17"/>
    <x v="1"/>
    <x v="0"/>
    <x v="0"/>
    <s v="ST"/>
    <n v="156"/>
  </r>
  <r>
    <s v=".1~85"/>
    <n v="85"/>
    <s v="D2"/>
    <s v="02"/>
    <s v="07"/>
    <x v="12"/>
    <n v="4"/>
    <n v="17"/>
    <x v="0"/>
    <x v="1"/>
    <x v="1"/>
    <s v="ST"/>
    <n v="19"/>
  </r>
  <r>
    <s v=".1~86"/>
    <n v="86"/>
    <s v="D2"/>
    <s v="02"/>
    <s v="07"/>
    <x v="12"/>
    <n v="4"/>
    <n v="17"/>
    <x v="0"/>
    <x v="2"/>
    <x v="2"/>
    <s v="ST"/>
    <n v="48"/>
  </r>
  <r>
    <s v=".1~87"/>
    <n v="87"/>
    <s v="D2"/>
    <s v="02"/>
    <s v="07"/>
    <x v="12"/>
    <n v="4"/>
    <n v="17"/>
    <x v="1"/>
    <x v="2"/>
    <x v="2"/>
    <s v="ST"/>
    <n v="60"/>
  </r>
  <r>
    <s v=".1~88"/>
    <n v="88"/>
    <s v="D2"/>
    <s v="02"/>
    <s v="07"/>
    <x v="12"/>
    <n v="4"/>
    <n v="17"/>
    <x v="1"/>
    <x v="4"/>
    <x v="4"/>
    <s v="ST"/>
    <n v="31"/>
  </r>
  <r>
    <s v=".1~89"/>
    <n v="89"/>
    <s v="D2"/>
    <s v="02"/>
    <s v="07"/>
    <x v="12"/>
    <n v="4"/>
    <n v="17"/>
    <x v="0"/>
    <x v="5"/>
    <x v="5"/>
    <s v="ST"/>
    <n v="35"/>
  </r>
  <r>
    <s v=".1~90"/>
    <n v="90"/>
    <s v="D2"/>
    <s v="02"/>
    <s v="07"/>
    <x v="12"/>
    <n v="4"/>
    <n v="17"/>
    <x v="1"/>
    <x v="5"/>
    <x v="5"/>
    <s v="ST"/>
    <n v="60"/>
  </r>
  <r>
    <s v=".1~91"/>
    <n v="91"/>
    <s v="D2"/>
    <s v="02"/>
    <s v="08"/>
    <x v="13"/>
    <n v="4"/>
    <n v="18"/>
    <x v="0"/>
    <x v="2"/>
    <x v="2"/>
    <s v="ST"/>
    <n v="68"/>
  </r>
  <r>
    <s v=".1~92"/>
    <n v="92"/>
    <s v="D2"/>
    <s v="02"/>
    <s v="08"/>
    <x v="13"/>
    <n v="4"/>
    <n v="18"/>
    <x v="2"/>
    <x v="3"/>
    <x v="3"/>
    <s v="ST"/>
    <n v="23"/>
  </r>
  <r>
    <s v=".1~93"/>
    <n v="93"/>
    <s v="D2"/>
    <s v="02"/>
    <s v="08"/>
    <x v="13"/>
    <n v="4"/>
    <n v="18"/>
    <x v="0"/>
    <x v="4"/>
    <x v="4"/>
    <s v="ST"/>
    <n v="28"/>
  </r>
  <r>
    <s v=".1~94"/>
    <n v="94"/>
    <s v="D2"/>
    <s v="02"/>
    <s v="08"/>
    <x v="13"/>
    <n v="4"/>
    <n v="18"/>
    <x v="2"/>
    <x v="5"/>
    <x v="5"/>
    <s v="ST"/>
    <n v="33"/>
  </r>
  <r>
    <s v=".1~95"/>
    <n v="95"/>
    <s v="D2"/>
    <s v="02"/>
    <s v="09"/>
    <x v="14"/>
    <n v="4"/>
    <n v="19"/>
    <x v="1"/>
    <x v="0"/>
    <x v="0"/>
    <s v="ST"/>
    <n v="133"/>
  </r>
  <r>
    <s v=".1~96"/>
    <n v="96"/>
    <s v="D2"/>
    <s v="02"/>
    <s v="09"/>
    <x v="14"/>
    <n v="4"/>
    <n v="19"/>
    <x v="2"/>
    <x v="0"/>
    <x v="0"/>
    <s v="ST"/>
    <n v="50"/>
  </r>
  <r>
    <s v=".1~97"/>
    <n v="97"/>
    <s v="D2"/>
    <s v="02"/>
    <s v="09"/>
    <x v="14"/>
    <n v="4"/>
    <n v="19"/>
    <x v="1"/>
    <x v="1"/>
    <x v="1"/>
    <s v="ST"/>
    <n v="18"/>
  </r>
  <r>
    <s v=".1~98"/>
    <n v="98"/>
    <s v="D2"/>
    <s v="02"/>
    <s v="09"/>
    <x v="14"/>
    <n v="4"/>
    <n v="19"/>
    <x v="0"/>
    <x v="2"/>
    <x v="2"/>
    <s v="ST"/>
    <n v="27"/>
  </r>
  <r>
    <s v=".1~99"/>
    <n v="99"/>
    <s v="D2"/>
    <s v="02"/>
    <s v="09"/>
    <x v="14"/>
    <n v="4"/>
    <n v="19"/>
    <x v="1"/>
    <x v="2"/>
    <x v="2"/>
    <s v="ST"/>
    <n v="65"/>
  </r>
  <r>
    <s v=".1~100"/>
    <n v="100"/>
    <s v="D2"/>
    <s v="02"/>
    <s v="09"/>
    <x v="14"/>
    <n v="4"/>
    <n v="19"/>
    <x v="2"/>
    <x v="2"/>
    <x v="2"/>
    <s v="ST"/>
    <n v="20"/>
  </r>
  <r>
    <s v=".1~101"/>
    <n v="101"/>
    <s v="D2"/>
    <s v="02"/>
    <s v="09"/>
    <x v="14"/>
    <n v="4"/>
    <n v="19"/>
    <x v="2"/>
    <x v="3"/>
    <x v="3"/>
    <s v="ST"/>
    <n v="24"/>
  </r>
  <r>
    <s v=".1~102"/>
    <n v="102"/>
    <s v="D2"/>
    <s v="02"/>
    <s v="09"/>
    <x v="14"/>
    <n v="4"/>
    <n v="19"/>
    <x v="0"/>
    <x v="4"/>
    <x v="4"/>
    <s v="ST"/>
    <n v="28"/>
  </r>
  <r>
    <s v=".1~103"/>
    <n v="103"/>
    <s v="D2"/>
    <s v="02"/>
    <s v="09"/>
    <x v="14"/>
    <n v="4"/>
    <n v="19"/>
    <x v="1"/>
    <x v="5"/>
    <x v="5"/>
    <s v="ST"/>
    <n v="41"/>
  </r>
  <r>
    <s v=".1~104"/>
    <n v="104"/>
    <s v="D2"/>
    <s v="02"/>
    <s v="10"/>
    <x v="15"/>
    <n v="4"/>
    <n v="20"/>
    <x v="1"/>
    <x v="0"/>
    <x v="0"/>
    <s v="ST"/>
    <n v="13"/>
  </r>
  <r>
    <s v=".1~105"/>
    <n v="105"/>
    <s v="D2"/>
    <s v="02"/>
    <s v="10"/>
    <x v="15"/>
    <n v="4"/>
    <n v="20"/>
    <x v="0"/>
    <x v="1"/>
    <x v="1"/>
    <s v="ST"/>
    <n v="25"/>
  </r>
  <r>
    <s v=".1~106"/>
    <n v="106"/>
    <s v="D2"/>
    <s v="02"/>
    <s v="10"/>
    <x v="15"/>
    <n v="4"/>
    <n v="20"/>
    <x v="0"/>
    <x v="2"/>
    <x v="2"/>
    <s v="ST"/>
    <n v="123"/>
  </r>
  <r>
    <s v=".1~107"/>
    <n v="107"/>
    <s v="D2"/>
    <s v="02"/>
    <s v="10"/>
    <x v="15"/>
    <n v="4"/>
    <n v="20"/>
    <x v="2"/>
    <x v="3"/>
    <x v="3"/>
    <s v="ST"/>
    <n v="25"/>
  </r>
  <r>
    <s v=".1~108"/>
    <n v="108"/>
    <s v="D2"/>
    <s v="02"/>
    <s v="10"/>
    <x v="15"/>
    <n v="4"/>
    <n v="20"/>
    <x v="2"/>
    <x v="4"/>
    <x v="4"/>
    <s v="ST"/>
    <n v="35"/>
  </r>
  <r>
    <s v=".1~109"/>
    <n v="109"/>
    <s v="D2"/>
    <s v="02"/>
    <s v="10"/>
    <x v="15"/>
    <n v="4"/>
    <n v="20"/>
    <x v="1"/>
    <x v="5"/>
    <x v="5"/>
    <s v="ST"/>
    <n v="19"/>
  </r>
  <r>
    <s v=".1~110"/>
    <n v="110"/>
    <s v="D2"/>
    <s v="03"/>
    <s v="01"/>
    <x v="16"/>
    <n v="5"/>
    <n v="21"/>
    <x v="2"/>
    <x v="0"/>
    <x v="0"/>
    <s v="ST"/>
    <n v="75"/>
  </r>
  <r>
    <s v=".1~111"/>
    <n v="111"/>
    <s v="D2"/>
    <s v="03"/>
    <s v="01"/>
    <x v="16"/>
    <n v="5"/>
    <n v="21"/>
    <x v="0"/>
    <x v="2"/>
    <x v="2"/>
    <s v="ST"/>
    <n v="52"/>
  </r>
  <r>
    <s v=".1~112"/>
    <n v="112"/>
    <s v="D2"/>
    <s v="03"/>
    <s v="01"/>
    <x v="16"/>
    <n v="5"/>
    <n v="21"/>
    <x v="1"/>
    <x v="2"/>
    <x v="2"/>
    <s v="ST"/>
    <n v="30"/>
  </r>
  <r>
    <s v=".1~113"/>
    <n v="113"/>
    <s v="D2"/>
    <s v="03"/>
    <s v="01"/>
    <x v="16"/>
    <n v="5"/>
    <n v="21"/>
    <x v="2"/>
    <x v="2"/>
    <x v="2"/>
    <s v="ST"/>
    <n v="25"/>
  </r>
  <r>
    <s v=".1~114"/>
    <n v="114"/>
    <s v="D2"/>
    <s v="03"/>
    <s v="02"/>
    <x v="17"/>
    <n v="5"/>
    <n v="22"/>
    <x v="2"/>
    <x v="3"/>
    <x v="3"/>
    <s v="ST"/>
    <n v="23"/>
  </r>
  <r>
    <s v=".1~115"/>
    <n v="115"/>
    <s v="D2"/>
    <s v="03"/>
    <s v="02"/>
    <x v="17"/>
    <n v="5"/>
    <n v="22"/>
    <x v="0"/>
    <x v="4"/>
    <x v="4"/>
    <s v="ST"/>
    <n v="33"/>
  </r>
  <r>
    <s v=".1~116"/>
    <n v="116"/>
    <s v="D2"/>
    <s v="03"/>
    <s v="03"/>
    <x v="18"/>
    <n v="5"/>
    <n v="23"/>
    <x v="1"/>
    <x v="0"/>
    <x v="0"/>
    <s v="ST"/>
    <n v="1"/>
  </r>
  <r>
    <s v=".1~117"/>
    <n v="117"/>
    <s v="D2"/>
    <s v="03"/>
    <s v="03"/>
    <x v="18"/>
    <n v="5"/>
    <n v="23"/>
    <x v="0"/>
    <x v="1"/>
    <x v="1"/>
    <s v="ST"/>
    <n v="21"/>
  </r>
  <r>
    <s v=".1~118"/>
    <n v="118"/>
    <s v="D2"/>
    <s v="03"/>
    <s v="03"/>
    <x v="18"/>
    <n v="5"/>
    <n v="23"/>
    <x v="0"/>
    <x v="2"/>
    <x v="2"/>
    <s v="ST"/>
    <n v="56"/>
  </r>
  <r>
    <s v=".1~119"/>
    <n v="119"/>
    <s v="D2"/>
    <s v="03"/>
    <s v="03"/>
    <x v="18"/>
    <n v="5"/>
    <n v="23"/>
    <x v="0"/>
    <x v="4"/>
    <x v="4"/>
    <s v="ST"/>
    <n v="30"/>
  </r>
  <r>
    <s v=".1~120"/>
    <n v="120"/>
    <s v="D2"/>
    <s v="03"/>
    <s v="04"/>
    <x v="19"/>
    <n v="5"/>
    <n v="24"/>
    <x v="1"/>
    <x v="0"/>
    <x v="0"/>
    <s v="ST"/>
    <n v="148"/>
  </r>
  <r>
    <s v=".1~121"/>
    <n v="121"/>
    <s v="D2"/>
    <s v="03"/>
    <s v="04"/>
    <x v="19"/>
    <n v="5"/>
    <n v="24"/>
    <x v="0"/>
    <x v="2"/>
    <x v="2"/>
    <s v="ST"/>
    <n v="61"/>
  </r>
  <r>
    <s v=".1~122"/>
    <n v="122"/>
    <s v="D2"/>
    <s v="03"/>
    <s v="04"/>
    <x v="19"/>
    <n v="5"/>
    <n v="24"/>
    <x v="1"/>
    <x v="2"/>
    <x v="2"/>
    <s v="ST"/>
    <n v="58"/>
  </r>
  <r>
    <s v=".1~123"/>
    <n v="123"/>
    <s v="D2"/>
    <s v="03"/>
    <s v="04"/>
    <x v="19"/>
    <n v="5"/>
    <n v="24"/>
    <x v="1"/>
    <x v="5"/>
    <x v="5"/>
    <s v="ST"/>
    <n v="60"/>
  </r>
  <r>
    <s v=".1~124"/>
    <n v="124"/>
    <s v="D2"/>
    <s v="03"/>
    <s v="05"/>
    <x v="20"/>
    <n v="5"/>
    <n v="25"/>
    <x v="1"/>
    <x v="0"/>
    <x v="0"/>
    <s v="ST"/>
    <n v="72"/>
  </r>
  <r>
    <s v=".1~125"/>
    <n v="125"/>
    <s v="D2"/>
    <s v="03"/>
    <s v="05"/>
    <x v="20"/>
    <n v="5"/>
    <n v="25"/>
    <x v="2"/>
    <x v="0"/>
    <x v="0"/>
    <s v="ST"/>
    <n v="75"/>
  </r>
  <r>
    <s v=".1~126"/>
    <n v="126"/>
    <s v="D2"/>
    <s v="03"/>
    <s v="05"/>
    <x v="20"/>
    <n v="5"/>
    <n v="25"/>
    <x v="0"/>
    <x v="2"/>
    <x v="2"/>
    <s v="ST"/>
    <n v="104"/>
  </r>
  <r>
    <s v=".1~127"/>
    <n v="127"/>
    <s v="D2"/>
    <s v="03"/>
    <s v="05"/>
    <x v="20"/>
    <n v="5"/>
    <n v="25"/>
    <x v="2"/>
    <x v="3"/>
    <x v="3"/>
    <s v="ST"/>
    <n v="22"/>
  </r>
  <r>
    <s v=".1~128"/>
    <n v="128"/>
    <s v="D2"/>
    <s v="03"/>
    <s v="05"/>
    <x v="20"/>
    <n v="5"/>
    <n v="25"/>
    <x v="0"/>
    <x v="3"/>
    <x v="3"/>
    <s v="ST"/>
    <n v="22"/>
  </r>
  <r>
    <s v=".1~129"/>
    <n v="129"/>
    <s v="D2"/>
    <s v="03"/>
    <s v="05"/>
    <x v="20"/>
    <n v="5"/>
    <n v="25"/>
    <x v="0"/>
    <x v="4"/>
    <x v="4"/>
    <s v="ST"/>
    <n v="24"/>
  </r>
  <r>
    <s v=".1~130"/>
    <n v="130"/>
    <s v="D2"/>
    <s v="03"/>
    <s v="05"/>
    <x v="20"/>
    <n v="5"/>
    <n v="25"/>
    <x v="1"/>
    <x v="4"/>
    <x v="4"/>
    <s v="ST"/>
    <n v="47"/>
  </r>
  <r>
    <s v=".1~131"/>
    <n v="131"/>
    <s v="D2"/>
    <s v="03"/>
    <s v="05"/>
    <x v="20"/>
    <n v="5"/>
    <n v="25"/>
    <x v="2"/>
    <x v="5"/>
    <x v="5"/>
    <s v="ST"/>
    <n v="35"/>
  </r>
  <r>
    <s v=".1~132"/>
    <n v="132"/>
    <s v="D2"/>
    <s v="03"/>
    <s v="06"/>
    <x v="21"/>
    <n v="6"/>
    <n v="26"/>
    <x v="1"/>
    <x v="0"/>
    <x v="0"/>
    <s v="ST"/>
    <n v="11"/>
  </r>
  <r>
    <s v=".1~133"/>
    <n v="133"/>
    <s v="D2"/>
    <s v="03"/>
    <s v="06"/>
    <x v="21"/>
    <n v="6"/>
    <n v="26"/>
    <x v="1"/>
    <x v="1"/>
    <x v="1"/>
    <s v="ST"/>
    <n v="29"/>
  </r>
  <r>
    <s v=".1~134"/>
    <n v="134"/>
    <s v="D2"/>
    <s v="03"/>
    <s v="06"/>
    <x v="21"/>
    <n v="6"/>
    <n v="26"/>
    <x v="0"/>
    <x v="4"/>
    <x v="4"/>
    <s v="ST"/>
    <n v="46"/>
  </r>
  <r>
    <s v=".1~135"/>
    <n v="135"/>
    <s v="D2"/>
    <s v="03"/>
    <s v="06"/>
    <x v="21"/>
    <n v="6"/>
    <n v="26"/>
    <x v="1"/>
    <x v="4"/>
    <x v="4"/>
    <s v="ST"/>
    <n v="13"/>
  </r>
  <r>
    <s v=".1~136"/>
    <n v="136"/>
    <s v="D2"/>
    <s v="03"/>
    <s v="06"/>
    <x v="21"/>
    <n v="6"/>
    <n v="26"/>
    <x v="0"/>
    <x v="5"/>
    <x v="5"/>
    <s v="ST"/>
    <n v="39"/>
  </r>
  <r>
    <s v=".1~137"/>
    <n v="137"/>
    <s v="D2"/>
    <s v="03"/>
    <s v="06"/>
    <x v="21"/>
    <n v="6"/>
    <n v="26"/>
    <x v="2"/>
    <x v="5"/>
    <x v="5"/>
    <s v="ST"/>
    <n v="5"/>
  </r>
  <r>
    <s v=".1~138"/>
    <n v="138"/>
    <s v="D2"/>
    <s v="03"/>
    <s v="07"/>
    <x v="22"/>
    <n v="6"/>
    <n v="27"/>
    <x v="1"/>
    <x v="0"/>
    <x v="0"/>
    <s v="ST"/>
    <n v="70"/>
  </r>
  <r>
    <s v=".1~139"/>
    <n v="139"/>
    <s v="D2"/>
    <s v="03"/>
    <s v="07"/>
    <x v="22"/>
    <n v="6"/>
    <n v="27"/>
    <x v="0"/>
    <x v="0"/>
    <x v="0"/>
    <s v="ST"/>
    <n v="27"/>
  </r>
  <r>
    <s v=".1~140"/>
    <n v="140"/>
    <s v="D2"/>
    <s v="03"/>
    <s v="07"/>
    <x v="22"/>
    <n v="6"/>
    <n v="27"/>
    <x v="1"/>
    <x v="2"/>
    <x v="2"/>
    <s v="ST"/>
    <n v="52"/>
  </r>
  <r>
    <s v=".1~141"/>
    <n v="141"/>
    <s v="D2"/>
    <s v="03"/>
    <s v="07"/>
    <x v="22"/>
    <n v="6"/>
    <n v="27"/>
    <x v="1"/>
    <x v="5"/>
    <x v="5"/>
    <s v="ST"/>
    <n v="46"/>
  </r>
  <r>
    <s v=".1~142"/>
    <n v="142"/>
    <s v="D2"/>
    <s v="03"/>
    <s v="08"/>
    <x v="23"/>
    <n v="6"/>
    <n v="28"/>
    <x v="1"/>
    <x v="0"/>
    <x v="0"/>
    <s v="ST"/>
    <n v="141"/>
  </r>
  <r>
    <s v=".1~143"/>
    <n v="143"/>
    <s v="D2"/>
    <s v="03"/>
    <s v="08"/>
    <x v="23"/>
    <n v="6"/>
    <n v="28"/>
    <x v="1"/>
    <x v="1"/>
    <x v="1"/>
    <s v="ST"/>
    <n v="21"/>
  </r>
  <r>
    <s v=".1~144"/>
    <n v="144"/>
    <s v="D2"/>
    <s v="03"/>
    <s v="08"/>
    <x v="23"/>
    <n v="6"/>
    <n v="28"/>
    <x v="0"/>
    <x v="2"/>
    <x v="2"/>
    <s v="ST"/>
    <n v="109"/>
  </r>
  <r>
    <s v=".1~145"/>
    <n v="145"/>
    <s v="D2"/>
    <s v="03"/>
    <s v="08"/>
    <x v="23"/>
    <n v="6"/>
    <n v="28"/>
    <x v="1"/>
    <x v="2"/>
    <x v="2"/>
    <s v="ST"/>
    <n v="54"/>
  </r>
  <r>
    <s v=".1~146"/>
    <n v="146"/>
    <s v="D2"/>
    <s v="03"/>
    <s v="08"/>
    <x v="23"/>
    <n v="6"/>
    <n v="28"/>
    <x v="0"/>
    <x v="4"/>
    <x v="4"/>
    <s v="ST"/>
    <n v="56"/>
  </r>
  <r>
    <s v=".1~147"/>
    <n v="147"/>
    <s v="D2"/>
    <s v="03"/>
    <s v="09"/>
    <x v="24"/>
    <n v="6"/>
    <n v="29"/>
    <x v="0"/>
    <x v="0"/>
    <x v="0"/>
    <s v="ST"/>
    <n v="61"/>
  </r>
  <r>
    <s v=".1~148"/>
    <n v="148"/>
    <s v="D2"/>
    <s v="03"/>
    <s v="09"/>
    <x v="24"/>
    <n v="6"/>
    <n v="29"/>
    <x v="1"/>
    <x v="0"/>
    <x v="0"/>
    <s v="ST"/>
    <n v="71"/>
  </r>
  <r>
    <s v=".1~149"/>
    <n v="149"/>
    <s v="D2"/>
    <s v="03"/>
    <s v="09"/>
    <x v="24"/>
    <n v="6"/>
    <n v="29"/>
    <x v="2"/>
    <x v="0"/>
    <x v="0"/>
    <s v="ST"/>
    <n v="56"/>
  </r>
  <r>
    <s v=".1~150"/>
    <n v="150"/>
    <s v="D2"/>
    <s v="03"/>
    <s v="09"/>
    <x v="24"/>
    <n v="6"/>
    <n v="29"/>
    <x v="0"/>
    <x v="1"/>
    <x v="1"/>
    <s v="ST"/>
    <n v="29"/>
  </r>
  <r>
    <s v=".1~151"/>
    <n v="151"/>
    <s v="D2"/>
    <s v="03"/>
    <s v="09"/>
    <x v="24"/>
    <n v="6"/>
    <n v="29"/>
    <x v="0"/>
    <x v="2"/>
    <x v="2"/>
    <s v="ST"/>
    <n v="66"/>
  </r>
  <r>
    <s v=".1~152"/>
    <n v="152"/>
    <s v="D2"/>
    <s v="03"/>
    <s v="09"/>
    <x v="24"/>
    <n v="6"/>
    <n v="29"/>
    <x v="0"/>
    <x v="4"/>
    <x v="4"/>
    <s v="ST"/>
    <n v="14"/>
  </r>
  <r>
    <s v=".1~153"/>
    <n v="153"/>
    <s v="D2"/>
    <s v="03"/>
    <s v="09"/>
    <x v="24"/>
    <n v="6"/>
    <n v="29"/>
    <x v="0"/>
    <x v="5"/>
    <x v="5"/>
    <s v="ST"/>
    <n v="40"/>
  </r>
  <r>
    <s v=".1~154"/>
    <n v="154"/>
    <s v="D2"/>
    <s v="03"/>
    <s v="10"/>
    <x v="25"/>
    <n v="6"/>
    <n v="30"/>
    <x v="0"/>
    <x v="0"/>
    <x v="0"/>
    <s v="ST"/>
    <n v="39"/>
  </r>
  <r>
    <s v=".1~155"/>
    <n v="155"/>
    <s v="D2"/>
    <s v="03"/>
    <s v="10"/>
    <x v="25"/>
    <n v="6"/>
    <n v="30"/>
    <x v="1"/>
    <x v="0"/>
    <x v="0"/>
    <s v="ST"/>
    <n v="75"/>
  </r>
  <r>
    <s v=".1~156"/>
    <n v="156"/>
    <s v="D2"/>
    <s v="03"/>
    <s v="10"/>
    <x v="25"/>
    <n v="6"/>
    <n v="30"/>
    <x v="0"/>
    <x v="2"/>
    <x v="2"/>
    <s v="ST"/>
    <n v="109"/>
  </r>
  <r>
    <s v=".1~157"/>
    <n v="157"/>
    <s v="D2"/>
    <s v="03"/>
    <s v="10"/>
    <x v="25"/>
    <n v="6"/>
    <n v="30"/>
    <x v="1"/>
    <x v="2"/>
    <x v="2"/>
    <s v="ST"/>
    <n v="50"/>
  </r>
  <r>
    <s v=".1~158"/>
    <n v="158"/>
    <s v="D2"/>
    <s v="03"/>
    <s v="10"/>
    <x v="25"/>
    <n v="6"/>
    <n v="30"/>
    <x v="1"/>
    <x v="3"/>
    <x v="3"/>
    <s v="ST"/>
    <n v="18"/>
  </r>
  <r>
    <s v=".1~159"/>
    <n v="159"/>
    <s v="D2"/>
    <s v="03"/>
    <s v="10"/>
    <x v="25"/>
    <n v="6"/>
    <n v="30"/>
    <x v="2"/>
    <x v="3"/>
    <x v="3"/>
    <s v="ST"/>
    <n v="22"/>
  </r>
  <r>
    <s v=".1~160"/>
    <n v="160"/>
    <s v="D2"/>
    <s v="03"/>
    <s v="10"/>
    <x v="25"/>
    <n v="6"/>
    <n v="30"/>
    <x v="0"/>
    <x v="4"/>
    <x v="4"/>
    <s v="ST"/>
    <n v="56"/>
  </r>
  <r>
    <s v=".1~161"/>
    <n v="161"/>
    <s v="D2"/>
    <s v="03"/>
    <s v="10"/>
    <x v="25"/>
    <n v="6"/>
    <n v="30"/>
    <x v="1"/>
    <x v="4"/>
    <x v="4"/>
    <s v="ST"/>
    <n v="29"/>
  </r>
  <r>
    <s v=".1~162"/>
    <n v="162"/>
    <s v="D2"/>
    <s v="04"/>
    <s v="01"/>
    <x v="26"/>
    <n v="7"/>
    <n v="31"/>
    <x v="2"/>
    <x v="0"/>
    <x v="0"/>
    <s v="ST"/>
    <n v="25"/>
  </r>
  <r>
    <s v=".1~163"/>
    <n v="163"/>
    <s v="D2"/>
    <s v="04"/>
    <s v="01"/>
    <x v="26"/>
    <n v="7"/>
    <n v="31"/>
    <x v="1"/>
    <x v="0"/>
    <x v="0"/>
    <s v="ST"/>
    <n v="191"/>
  </r>
  <r>
    <s v=".1~164"/>
    <n v="164"/>
    <s v="D2"/>
    <s v="04"/>
    <s v="01"/>
    <x v="26"/>
    <n v="7"/>
    <n v="31"/>
    <x v="0"/>
    <x v="1"/>
    <x v="1"/>
    <s v="ST"/>
    <n v="10"/>
  </r>
  <r>
    <s v=".1~165"/>
    <n v="165"/>
    <s v="D2"/>
    <s v="04"/>
    <s v="01"/>
    <x v="26"/>
    <n v="7"/>
    <n v="31"/>
    <x v="1"/>
    <x v="1"/>
    <x v="1"/>
    <s v="ST"/>
    <n v="3"/>
  </r>
  <r>
    <s v=".1~166"/>
    <n v="166"/>
    <s v="D2"/>
    <s v="04"/>
    <s v="01"/>
    <x v="26"/>
    <n v="7"/>
    <n v="31"/>
    <x v="0"/>
    <x v="2"/>
    <x v="2"/>
    <s v="ST"/>
    <n v="87"/>
  </r>
  <r>
    <s v=".1~167"/>
    <n v="167"/>
    <s v="D2"/>
    <s v="04"/>
    <s v="01"/>
    <x v="26"/>
    <n v="7"/>
    <n v="31"/>
    <x v="0"/>
    <x v="4"/>
    <x v="4"/>
    <s v="ST"/>
    <n v="19"/>
  </r>
  <r>
    <s v=".1~168"/>
    <n v="168"/>
    <s v="D2"/>
    <s v="04"/>
    <s v="01"/>
    <x v="26"/>
    <n v="7"/>
    <n v="31"/>
    <x v="1"/>
    <x v="5"/>
    <x v="5"/>
    <s v="ST"/>
    <n v="31"/>
  </r>
  <r>
    <s v=".1~169"/>
    <n v="169"/>
    <s v="D2"/>
    <s v="04"/>
    <s v="01"/>
    <x v="26"/>
    <n v="7"/>
    <n v="31"/>
    <x v="2"/>
    <x v="5"/>
    <x v="5"/>
    <s v="ST"/>
    <n v="20"/>
  </r>
  <r>
    <s v=".1~170"/>
    <n v="170"/>
    <s v="D2"/>
    <s v="04"/>
    <s v="02"/>
    <x v="27"/>
    <n v="7"/>
    <n v="32"/>
    <x v="0"/>
    <x v="0"/>
    <x v="0"/>
    <s v="ST"/>
    <n v="22"/>
  </r>
  <r>
    <s v=".1~171"/>
    <n v="171"/>
    <s v="D2"/>
    <s v="04"/>
    <s v="02"/>
    <x v="27"/>
    <n v="7"/>
    <n v="32"/>
    <x v="1"/>
    <x v="0"/>
    <x v="0"/>
    <s v="ST"/>
    <n v="7"/>
  </r>
  <r>
    <s v=".1~172"/>
    <n v="172"/>
    <s v="D2"/>
    <s v="04"/>
    <s v="02"/>
    <x v="27"/>
    <n v="7"/>
    <n v="32"/>
    <x v="2"/>
    <x v="0"/>
    <x v="0"/>
    <s v="ST"/>
    <n v="20"/>
  </r>
  <r>
    <s v=".1~173"/>
    <n v="173"/>
    <s v="D2"/>
    <s v="04"/>
    <s v="02"/>
    <x v="27"/>
    <n v="7"/>
    <n v="32"/>
    <x v="0"/>
    <x v="1"/>
    <x v="1"/>
    <s v="ST"/>
    <n v="20"/>
  </r>
  <r>
    <s v=".1~174"/>
    <n v="174"/>
    <s v="D2"/>
    <s v="04"/>
    <s v="02"/>
    <x v="27"/>
    <n v="7"/>
    <n v="32"/>
    <x v="2"/>
    <x v="2"/>
    <x v="2"/>
    <s v="ST"/>
    <n v="45"/>
  </r>
  <r>
    <s v=".1~175"/>
    <n v="175"/>
    <s v="D2"/>
    <s v="04"/>
    <s v="02"/>
    <x v="27"/>
    <n v="7"/>
    <n v="32"/>
    <x v="1"/>
    <x v="2"/>
    <x v="2"/>
    <s v="ST"/>
    <n v="118"/>
  </r>
  <r>
    <s v=".1~176"/>
    <n v="176"/>
    <s v="D2"/>
    <s v="04"/>
    <s v="02"/>
    <x v="27"/>
    <n v="7"/>
    <n v="32"/>
    <x v="0"/>
    <x v="2"/>
    <x v="2"/>
    <s v="ST"/>
    <n v="110"/>
  </r>
  <r>
    <s v=".1~177"/>
    <n v="177"/>
    <s v="D2"/>
    <s v="04"/>
    <s v="02"/>
    <x v="27"/>
    <n v="7"/>
    <n v="32"/>
    <x v="2"/>
    <x v="3"/>
    <x v="3"/>
    <s v="ST"/>
    <n v="25"/>
  </r>
  <r>
    <s v=".1~178"/>
    <n v="178"/>
    <s v="D2"/>
    <s v="04"/>
    <s v="02"/>
    <x v="27"/>
    <n v="7"/>
    <n v="32"/>
    <x v="0"/>
    <x v="4"/>
    <x v="4"/>
    <s v="ST"/>
    <n v="56"/>
  </r>
  <r>
    <s v=".1~179"/>
    <n v="179"/>
    <s v="D2"/>
    <s v="04"/>
    <s v="02"/>
    <x v="27"/>
    <n v="7"/>
    <n v="32"/>
    <x v="2"/>
    <x v="4"/>
    <x v="4"/>
    <s v="ST"/>
    <n v="30"/>
  </r>
  <r>
    <s v=".1~180"/>
    <n v="180"/>
    <s v="D2"/>
    <s v="04"/>
    <s v="02"/>
    <x v="27"/>
    <n v="7"/>
    <n v="32"/>
    <x v="1"/>
    <x v="5"/>
    <x v="5"/>
    <s v="ST"/>
    <n v="19"/>
  </r>
  <r>
    <s v=".1~181"/>
    <n v="181"/>
    <s v="D2"/>
    <s v="04"/>
    <s v="03"/>
    <x v="28"/>
    <n v="7"/>
    <n v="33"/>
    <x v="0"/>
    <x v="1"/>
    <x v="1"/>
    <s v="ST"/>
    <n v="6"/>
  </r>
  <r>
    <s v=".1~182"/>
    <n v="182"/>
    <s v="D2"/>
    <s v="04"/>
    <s v="03"/>
    <x v="28"/>
    <n v="7"/>
    <n v="33"/>
    <x v="2"/>
    <x v="3"/>
    <x v="3"/>
    <s v="ST"/>
    <n v="35"/>
  </r>
  <r>
    <s v=".1~183"/>
    <n v="183"/>
    <s v="D2"/>
    <s v="04"/>
    <s v="03"/>
    <x v="28"/>
    <n v="7"/>
    <n v="33"/>
    <x v="1"/>
    <x v="4"/>
    <x v="4"/>
    <s v="ST"/>
    <n v="20"/>
  </r>
  <r>
    <s v=".1~184"/>
    <n v="184"/>
    <s v="D2"/>
    <s v="04"/>
    <s v="04"/>
    <x v="29"/>
    <n v="7"/>
    <n v="34"/>
    <x v="2"/>
    <x v="0"/>
    <x v="0"/>
    <s v="ST"/>
    <n v="100"/>
  </r>
  <r>
    <s v=".1~185"/>
    <n v="185"/>
    <s v="D2"/>
    <s v="04"/>
    <s v="04"/>
    <x v="29"/>
    <n v="7"/>
    <n v="34"/>
    <x v="1"/>
    <x v="0"/>
    <x v="0"/>
    <s v="ST"/>
    <n v="215"/>
  </r>
  <r>
    <s v=".1~186"/>
    <n v="186"/>
    <s v="D2"/>
    <s v="04"/>
    <s v="04"/>
    <x v="29"/>
    <n v="7"/>
    <n v="34"/>
    <x v="0"/>
    <x v="0"/>
    <x v="0"/>
    <s v="ST"/>
    <n v="35"/>
  </r>
  <r>
    <s v=".1~187"/>
    <n v="187"/>
    <s v="D2"/>
    <s v="04"/>
    <s v="04"/>
    <x v="29"/>
    <n v="7"/>
    <n v="34"/>
    <x v="2"/>
    <x v="1"/>
    <x v="1"/>
    <s v="ST"/>
    <n v="18"/>
  </r>
  <r>
    <s v=".1~188"/>
    <n v="188"/>
    <s v="D2"/>
    <s v="04"/>
    <s v="04"/>
    <x v="29"/>
    <n v="7"/>
    <n v="34"/>
    <x v="0"/>
    <x v="2"/>
    <x v="2"/>
    <s v="ST"/>
    <n v="210"/>
  </r>
  <r>
    <s v=".1~189"/>
    <n v="189"/>
    <s v="D2"/>
    <s v="04"/>
    <s v="04"/>
    <x v="29"/>
    <n v="7"/>
    <n v="34"/>
    <x v="1"/>
    <x v="2"/>
    <x v="2"/>
    <s v="ST"/>
    <n v="102"/>
  </r>
  <r>
    <s v=".1~190"/>
    <n v="190"/>
    <s v="D2"/>
    <s v="04"/>
    <s v="04"/>
    <x v="29"/>
    <n v="7"/>
    <n v="34"/>
    <x v="2"/>
    <x v="2"/>
    <x v="2"/>
    <s v="ST"/>
    <n v="5"/>
  </r>
  <r>
    <s v=".1~191"/>
    <n v="191"/>
    <s v="D2"/>
    <s v="04"/>
    <s v="04"/>
    <x v="29"/>
    <n v="7"/>
    <n v="34"/>
    <x v="0"/>
    <x v="4"/>
    <x v="4"/>
    <s v="ST"/>
    <n v="51"/>
  </r>
  <r>
    <s v=".1~192"/>
    <n v="192"/>
    <s v="D2"/>
    <s v="04"/>
    <s v="04"/>
    <x v="29"/>
    <n v="7"/>
    <n v="34"/>
    <x v="1"/>
    <x v="4"/>
    <x v="4"/>
    <s v="ST"/>
    <n v="2"/>
  </r>
  <r>
    <s v=".1~193"/>
    <n v="193"/>
    <s v="D2"/>
    <s v="04"/>
    <s v="04"/>
    <x v="29"/>
    <n v="7"/>
    <n v="34"/>
    <x v="0"/>
    <x v="5"/>
    <x v="5"/>
    <s v="ST"/>
    <n v="30"/>
  </r>
  <r>
    <s v=".1~194"/>
    <n v="194"/>
    <s v="D2"/>
    <s v="04"/>
    <s v="05"/>
    <x v="30"/>
    <n v="7"/>
    <n v="35"/>
    <x v="0"/>
    <x v="0"/>
    <x v="0"/>
    <s v="ST"/>
    <n v="65"/>
  </r>
  <r>
    <s v=".1~195"/>
    <n v="195"/>
    <s v="D2"/>
    <s v="04"/>
    <s v="05"/>
    <x v="30"/>
    <n v="7"/>
    <n v="35"/>
    <x v="2"/>
    <x v="3"/>
    <x v="3"/>
    <s v="ST"/>
    <n v="36"/>
  </r>
  <r>
    <s v=".1~196"/>
    <n v="196"/>
    <s v="D2"/>
    <s v="04"/>
    <s v="05"/>
    <x v="30"/>
    <n v="7"/>
    <n v="35"/>
    <x v="1"/>
    <x v="3"/>
    <x v="3"/>
    <s v="ST"/>
    <n v="1"/>
  </r>
  <r>
    <s v=".1~197"/>
    <n v="197"/>
    <s v="D2"/>
    <s v="04"/>
    <s v="05"/>
    <x v="30"/>
    <n v="7"/>
    <n v="35"/>
    <x v="0"/>
    <x v="3"/>
    <x v="3"/>
    <s v="ST"/>
    <n v="8"/>
  </r>
  <r>
    <s v=".1~198"/>
    <n v="198"/>
    <s v="D2"/>
    <s v="04"/>
    <s v="05"/>
    <x v="30"/>
    <n v="7"/>
    <n v="35"/>
    <x v="2"/>
    <x v="4"/>
    <x v="4"/>
    <s v="ST"/>
    <n v="30"/>
  </r>
  <r>
    <s v=".1~199"/>
    <n v="199"/>
    <s v="D2"/>
    <s v="04"/>
    <s v="05"/>
    <x v="30"/>
    <n v="7"/>
    <n v="35"/>
    <x v="1"/>
    <x v="5"/>
    <x v="5"/>
    <s v="ST"/>
    <n v="11"/>
  </r>
  <r>
    <s v=".1~200"/>
    <n v="200"/>
    <s v="D2"/>
    <s v="04"/>
    <s v="05"/>
    <x v="30"/>
    <n v="7"/>
    <n v="35"/>
    <x v="2"/>
    <x v="5"/>
    <x v="5"/>
    <s v="ST"/>
    <n v="30"/>
  </r>
  <r>
    <s v=".1~201"/>
    <n v="201"/>
    <s v="D2"/>
    <s v="04"/>
    <s v="06"/>
    <x v="31"/>
    <n v="8"/>
    <n v="36"/>
    <x v="1"/>
    <x v="0"/>
    <x v="0"/>
    <s v="ST"/>
    <n v="202"/>
  </r>
  <r>
    <s v=".1~202"/>
    <n v="202"/>
    <s v="D2"/>
    <s v="04"/>
    <s v="06"/>
    <x v="31"/>
    <n v="8"/>
    <n v="36"/>
    <x v="0"/>
    <x v="2"/>
    <x v="2"/>
    <s v="ST"/>
    <n v="127"/>
  </r>
  <r>
    <s v=".1~203"/>
    <n v="203"/>
    <s v="D2"/>
    <s v="04"/>
    <s v="06"/>
    <x v="31"/>
    <n v="8"/>
    <n v="36"/>
    <x v="1"/>
    <x v="2"/>
    <x v="2"/>
    <s v="ST"/>
    <n v="1"/>
  </r>
  <r>
    <s v=".1~204"/>
    <n v="204"/>
    <s v="D2"/>
    <s v="04"/>
    <s v="06"/>
    <x v="31"/>
    <n v="8"/>
    <n v="36"/>
    <x v="2"/>
    <x v="2"/>
    <x v="2"/>
    <s v="ST"/>
    <n v="47"/>
  </r>
  <r>
    <s v=".1~205"/>
    <n v="205"/>
    <s v="D2"/>
    <s v="04"/>
    <s v="06"/>
    <x v="31"/>
    <n v="8"/>
    <n v="36"/>
    <x v="0"/>
    <x v="4"/>
    <x v="4"/>
    <s v="ST"/>
    <n v="25"/>
  </r>
  <r>
    <s v=".1~206"/>
    <n v="206"/>
    <s v="D2"/>
    <s v="04"/>
    <s v="07"/>
    <x v="32"/>
    <n v="8"/>
    <n v="37"/>
    <x v="0"/>
    <x v="0"/>
    <x v="0"/>
    <s v="ST"/>
    <n v="100"/>
  </r>
  <r>
    <s v=".1~207"/>
    <n v="207"/>
    <s v="D2"/>
    <s v="04"/>
    <s v="07"/>
    <x v="32"/>
    <n v="8"/>
    <n v="37"/>
    <x v="1"/>
    <x v="0"/>
    <x v="0"/>
    <s v="ST"/>
    <n v="68"/>
  </r>
  <r>
    <s v=".1~208"/>
    <n v="208"/>
    <s v="D2"/>
    <s v="04"/>
    <s v="07"/>
    <x v="32"/>
    <n v="8"/>
    <n v="37"/>
    <x v="0"/>
    <x v="1"/>
    <x v="1"/>
    <s v="ST"/>
    <n v="27"/>
  </r>
  <r>
    <s v=".1~209"/>
    <n v="209"/>
    <s v="D2"/>
    <s v="04"/>
    <s v="07"/>
    <x v="32"/>
    <n v="8"/>
    <n v="37"/>
    <x v="1"/>
    <x v="1"/>
    <x v="1"/>
    <s v="ST"/>
    <n v="25"/>
  </r>
  <r>
    <s v=".1~210"/>
    <n v="210"/>
    <s v="D2"/>
    <s v="04"/>
    <s v="07"/>
    <x v="32"/>
    <n v="8"/>
    <n v="37"/>
    <x v="1"/>
    <x v="4"/>
    <x v="4"/>
    <s v="ST"/>
    <n v="35"/>
  </r>
  <r>
    <s v=".1~211"/>
    <n v="211"/>
    <s v="D2"/>
    <s v="04"/>
    <s v="07"/>
    <x v="32"/>
    <n v="8"/>
    <n v="37"/>
    <x v="1"/>
    <x v="5"/>
    <x v="5"/>
    <s v="ST"/>
    <n v="50"/>
  </r>
  <r>
    <s v=".1~212"/>
    <n v="212"/>
    <s v="D2"/>
    <s v="04"/>
    <s v="08"/>
    <x v="33"/>
    <n v="8"/>
    <n v="38"/>
    <x v="1"/>
    <x v="0"/>
    <x v="0"/>
    <s v="ST"/>
    <n v="74"/>
  </r>
  <r>
    <s v=".1~213"/>
    <n v="213"/>
    <s v="D2"/>
    <s v="04"/>
    <s v="08"/>
    <x v="33"/>
    <n v="8"/>
    <n v="38"/>
    <x v="2"/>
    <x v="0"/>
    <x v="0"/>
    <s v="ST"/>
    <n v="22"/>
  </r>
  <r>
    <s v=".1~214"/>
    <n v="214"/>
    <s v="D2"/>
    <s v="04"/>
    <s v="08"/>
    <x v="33"/>
    <n v="8"/>
    <n v="38"/>
    <x v="1"/>
    <x v="4"/>
    <x v="4"/>
    <s v="ST"/>
    <n v="8"/>
  </r>
  <r>
    <s v=".1~215"/>
    <n v="215"/>
    <s v="D2"/>
    <s v="04"/>
    <s v="08"/>
    <x v="33"/>
    <n v="8"/>
    <n v="38"/>
    <x v="0"/>
    <x v="4"/>
    <x v="4"/>
    <s v="ST"/>
    <n v="18"/>
  </r>
  <r>
    <s v=".1~216"/>
    <n v="216"/>
    <s v="D2"/>
    <s v="04"/>
    <s v="08"/>
    <x v="33"/>
    <n v="8"/>
    <n v="38"/>
    <x v="2"/>
    <x v="5"/>
    <x v="5"/>
    <s v="ST"/>
    <n v="30"/>
  </r>
  <r>
    <s v=".1~217"/>
    <n v="217"/>
    <s v="D2"/>
    <s v="04"/>
    <s v="09"/>
    <x v="34"/>
    <n v="8"/>
    <n v="39"/>
    <x v="0"/>
    <x v="1"/>
    <x v="1"/>
    <s v="ST"/>
    <n v="22"/>
  </r>
  <r>
    <s v=".1~218"/>
    <n v="218"/>
    <s v="D2"/>
    <s v="04"/>
    <s v="09"/>
    <x v="34"/>
    <n v="8"/>
    <n v="39"/>
    <x v="1"/>
    <x v="5"/>
    <x v="5"/>
    <s v="ST"/>
    <n v="48"/>
  </r>
  <r>
    <s v=".1~219"/>
    <n v="219"/>
    <s v="D2"/>
    <s v="04"/>
    <s v="10"/>
    <x v="35"/>
    <n v="8"/>
    <n v="40"/>
    <x v="0"/>
    <x v="0"/>
    <x v="0"/>
    <s v="ST"/>
    <n v="75"/>
  </r>
  <r>
    <s v=".1~220"/>
    <n v="220"/>
    <s v="D2"/>
    <s v="04"/>
    <s v="10"/>
    <x v="35"/>
    <n v="8"/>
    <n v="40"/>
    <x v="1"/>
    <x v="0"/>
    <x v="0"/>
    <s v="ST"/>
    <n v="270"/>
  </r>
  <r>
    <s v=".1~221"/>
    <n v="221"/>
    <s v="D2"/>
    <s v="04"/>
    <s v="10"/>
    <x v="35"/>
    <n v="8"/>
    <n v="40"/>
    <x v="2"/>
    <x v="0"/>
    <x v="0"/>
    <s v="ST"/>
    <n v="78"/>
  </r>
  <r>
    <s v=".1~222"/>
    <n v="222"/>
    <s v="D2"/>
    <s v="04"/>
    <s v="10"/>
    <x v="35"/>
    <n v="8"/>
    <n v="40"/>
    <x v="2"/>
    <x v="1"/>
    <x v="1"/>
    <s v="ST"/>
    <n v="26"/>
  </r>
  <r>
    <s v=".1~223"/>
    <n v="223"/>
    <s v="D2"/>
    <s v="04"/>
    <s v="10"/>
    <x v="35"/>
    <n v="8"/>
    <n v="40"/>
    <x v="2"/>
    <x v="2"/>
    <x v="2"/>
    <s v="ST"/>
    <n v="3"/>
  </r>
  <r>
    <s v=".1~224"/>
    <n v="224"/>
    <s v="D2"/>
    <s v="04"/>
    <s v="10"/>
    <x v="35"/>
    <n v="8"/>
    <n v="40"/>
    <x v="1"/>
    <x v="2"/>
    <x v="2"/>
    <s v="ST"/>
    <n v="150"/>
  </r>
  <r>
    <s v=".1~225"/>
    <n v="225"/>
    <s v="D2"/>
    <s v="04"/>
    <s v="10"/>
    <x v="35"/>
    <n v="8"/>
    <n v="40"/>
    <x v="0"/>
    <x v="2"/>
    <x v="2"/>
    <s v="ST"/>
    <n v="204"/>
  </r>
  <r>
    <s v=".1~226"/>
    <n v="226"/>
    <s v="D2"/>
    <s v="04"/>
    <s v="10"/>
    <x v="35"/>
    <n v="8"/>
    <n v="40"/>
    <x v="0"/>
    <x v="3"/>
    <x v="3"/>
    <s v="ST"/>
    <n v="7"/>
  </r>
  <r>
    <s v=".1~227"/>
    <n v="227"/>
    <s v="D2"/>
    <s v="04"/>
    <s v="10"/>
    <x v="35"/>
    <n v="8"/>
    <n v="40"/>
    <x v="1"/>
    <x v="3"/>
    <x v="3"/>
    <s v="ST"/>
    <n v="30"/>
  </r>
  <r>
    <s v=".1~228"/>
    <n v="228"/>
    <s v="D2"/>
    <s v="04"/>
    <s v="10"/>
    <x v="35"/>
    <n v="8"/>
    <n v="40"/>
    <x v="2"/>
    <x v="3"/>
    <x v="3"/>
    <s v="ST"/>
    <n v="60"/>
  </r>
  <r>
    <s v=".1~229"/>
    <n v="229"/>
    <s v="D2"/>
    <s v="04"/>
    <s v="10"/>
    <x v="35"/>
    <n v="8"/>
    <n v="40"/>
    <x v="0"/>
    <x v="4"/>
    <x v="4"/>
    <s v="ST"/>
    <n v="57"/>
  </r>
  <r>
    <s v=".1~230"/>
    <n v="230"/>
    <s v="D2"/>
    <s v="04"/>
    <s v="10"/>
    <x v="35"/>
    <n v="8"/>
    <n v="40"/>
    <x v="1"/>
    <x v="4"/>
    <x v="4"/>
    <s v="ST"/>
    <n v="7"/>
  </r>
  <r>
    <s v=".1~231"/>
    <n v="231"/>
    <s v="D2"/>
    <s v="04"/>
    <s v="10"/>
    <x v="35"/>
    <n v="8"/>
    <n v="40"/>
    <x v="1"/>
    <x v="5"/>
    <x v="5"/>
    <s v="ST"/>
    <n v="2"/>
  </r>
  <r>
    <s v=".1~232"/>
    <n v="232"/>
    <s v="D2"/>
    <s v="05"/>
    <s v="01"/>
    <x v="36"/>
    <n v="9"/>
    <n v="41"/>
    <x v="0"/>
    <x v="2"/>
    <x v="2"/>
    <s v="ST"/>
    <n v="6"/>
  </r>
  <r>
    <s v=".1~233"/>
    <n v="233"/>
    <s v="D2"/>
    <s v="05"/>
    <s v="01"/>
    <x v="36"/>
    <n v="9"/>
    <n v="41"/>
    <x v="0"/>
    <x v="3"/>
    <x v="3"/>
    <s v="ST"/>
    <n v="18"/>
  </r>
  <r>
    <s v=".1~234"/>
    <n v="234"/>
    <s v="D2"/>
    <s v="05"/>
    <s v="01"/>
    <x v="36"/>
    <n v="9"/>
    <n v="41"/>
    <x v="0"/>
    <x v="4"/>
    <x v="4"/>
    <s v="ST"/>
    <n v="18"/>
  </r>
  <r>
    <s v=".1~235"/>
    <n v="235"/>
    <s v="D2"/>
    <s v="05"/>
    <s v="01"/>
    <x v="36"/>
    <n v="9"/>
    <n v="41"/>
    <x v="1"/>
    <x v="4"/>
    <x v="4"/>
    <s v="ST"/>
    <n v="43"/>
  </r>
  <r>
    <s v=".1~236"/>
    <n v="236"/>
    <s v="D2"/>
    <s v="05"/>
    <s v="01"/>
    <x v="36"/>
    <n v="9"/>
    <n v="41"/>
    <x v="1"/>
    <x v="5"/>
    <x v="5"/>
    <s v="ST"/>
    <n v="45"/>
  </r>
  <r>
    <s v=".1~237"/>
    <n v="237"/>
    <s v="D2"/>
    <s v="05"/>
    <s v="02"/>
    <x v="37"/>
    <n v="9"/>
    <n v="42"/>
    <x v="1"/>
    <x v="0"/>
    <x v="0"/>
    <s v="ST"/>
    <n v="81"/>
  </r>
  <r>
    <s v=".1~238"/>
    <n v="238"/>
    <s v="D2"/>
    <s v="05"/>
    <s v="02"/>
    <x v="37"/>
    <n v="9"/>
    <n v="42"/>
    <x v="0"/>
    <x v="2"/>
    <x v="2"/>
    <s v="ST"/>
    <n v="186"/>
  </r>
  <r>
    <s v=".1~239"/>
    <n v="239"/>
    <s v="D2"/>
    <s v="05"/>
    <s v="02"/>
    <x v="37"/>
    <n v="9"/>
    <n v="42"/>
    <x v="1"/>
    <x v="2"/>
    <x v="2"/>
    <s v="ST"/>
    <n v="77"/>
  </r>
  <r>
    <s v=".1~240"/>
    <n v="240"/>
    <s v="D2"/>
    <s v="05"/>
    <s v="02"/>
    <x v="37"/>
    <n v="9"/>
    <n v="42"/>
    <x v="2"/>
    <x v="2"/>
    <x v="2"/>
    <s v="ST"/>
    <n v="50"/>
  </r>
  <r>
    <s v=".1~241"/>
    <n v="241"/>
    <s v="D2"/>
    <s v="05"/>
    <s v="02"/>
    <x v="37"/>
    <n v="9"/>
    <n v="42"/>
    <x v="1"/>
    <x v="3"/>
    <x v="3"/>
    <s v="ST"/>
    <n v="30"/>
  </r>
  <r>
    <s v=".1~242"/>
    <n v="242"/>
    <s v="D2"/>
    <s v="05"/>
    <s v="02"/>
    <x v="37"/>
    <n v="9"/>
    <n v="42"/>
    <x v="2"/>
    <x v="4"/>
    <x v="4"/>
    <s v="ST"/>
    <n v="20"/>
  </r>
  <r>
    <s v=".1~243"/>
    <n v="243"/>
    <s v="D2"/>
    <s v="05"/>
    <s v="02"/>
    <x v="37"/>
    <n v="9"/>
    <n v="42"/>
    <x v="0"/>
    <x v="4"/>
    <x v="4"/>
    <s v="ST"/>
    <n v="24"/>
  </r>
  <r>
    <s v=".1~244"/>
    <n v="244"/>
    <s v="D2"/>
    <s v="05"/>
    <s v="03"/>
    <x v="38"/>
    <n v="9"/>
    <n v="43"/>
    <x v="1"/>
    <x v="0"/>
    <x v="0"/>
    <s v="ST"/>
    <n v="134"/>
  </r>
  <r>
    <s v=".1~245"/>
    <n v="245"/>
    <s v="D2"/>
    <s v="05"/>
    <s v="03"/>
    <x v="38"/>
    <n v="9"/>
    <n v="43"/>
    <x v="2"/>
    <x v="0"/>
    <x v="0"/>
    <s v="ST"/>
    <n v="85"/>
  </r>
  <r>
    <s v=".1~246"/>
    <n v="246"/>
    <s v="D2"/>
    <s v="05"/>
    <s v="03"/>
    <x v="38"/>
    <n v="9"/>
    <n v="43"/>
    <x v="0"/>
    <x v="1"/>
    <x v="1"/>
    <s v="ST"/>
    <n v="50"/>
  </r>
  <r>
    <s v=".1~247"/>
    <n v="247"/>
    <s v="D2"/>
    <s v="05"/>
    <s v="03"/>
    <x v="38"/>
    <n v="9"/>
    <n v="43"/>
    <x v="0"/>
    <x v="2"/>
    <x v="2"/>
    <s v="ST"/>
    <n v="24"/>
  </r>
  <r>
    <s v=".1~248"/>
    <n v="248"/>
    <s v="D2"/>
    <s v="05"/>
    <s v="03"/>
    <x v="38"/>
    <n v="9"/>
    <n v="43"/>
    <x v="1"/>
    <x v="2"/>
    <x v="2"/>
    <s v="ST"/>
    <n v="73"/>
  </r>
  <r>
    <s v=".1~249"/>
    <n v="249"/>
    <s v="D2"/>
    <s v="05"/>
    <s v="03"/>
    <x v="38"/>
    <n v="9"/>
    <n v="43"/>
    <x v="2"/>
    <x v="3"/>
    <x v="3"/>
    <s v="ST"/>
    <n v="23"/>
  </r>
  <r>
    <s v=".1~250"/>
    <n v="250"/>
    <s v="D2"/>
    <s v="05"/>
    <s v="03"/>
    <x v="38"/>
    <n v="9"/>
    <n v="43"/>
    <x v="1"/>
    <x v="4"/>
    <x v="4"/>
    <s v="ST"/>
    <n v="28"/>
  </r>
  <r>
    <s v=".1~251"/>
    <n v="251"/>
    <s v="D2"/>
    <s v="05"/>
    <s v="04"/>
    <x v="39"/>
    <n v="9"/>
    <n v="44"/>
    <x v="2"/>
    <x v="0"/>
    <x v="0"/>
    <s v="ST"/>
    <n v="15"/>
  </r>
  <r>
    <s v=".1~252"/>
    <n v="252"/>
    <s v="D2"/>
    <s v="05"/>
    <s v="04"/>
    <x v="39"/>
    <n v="9"/>
    <n v="44"/>
    <x v="1"/>
    <x v="0"/>
    <x v="0"/>
    <s v="ST"/>
    <n v="72"/>
  </r>
  <r>
    <s v=".1~253"/>
    <n v="253"/>
    <s v="D2"/>
    <s v="05"/>
    <s v="04"/>
    <x v="39"/>
    <n v="9"/>
    <n v="44"/>
    <x v="0"/>
    <x v="0"/>
    <x v="0"/>
    <s v="ST"/>
    <n v="54"/>
  </r>
  <r>
    <s v=".1~254"/>
    <n v="254"/>
    <s v="D2"/>
    <s v="05"/>
    <s v="04"/>
    <x v="39"/>
    <n v="9"/>
    <n v="44"/>
    <x v="1"/>
    <x v="1"/>
    <x v="1"/>
    <s v="ST"/>
    <n v="23"/>
  </r>
  <r>
    <s v=".1~255"/>
    <n v="255"/>
    <s v="D2"/>
    <s v="05"/>
    <s v="04"/>
    <x v="39"/>
    <n v="9"/>
    <n v="44"/>
    <x v="1"/>
    <x v="2"/>
    <x v="2"/>
    <s v="ST"/>
    <n v="77"/>
  </r>
  <r>
    <s v=".1~256"/>
    <n v="256"/>
    <s v="D2"/>
    <s v="05"/>
    <s v="04"/>
    <x v="39"/>
    <n v="9"/>
    <n v="44"/>
    <x v="0"/>
    <x v="4"/>
    <x v="4"/>
    <s v="ST"/>
    <n v="67"/>
  </r>
  <r>
    <s v=".1~257"/>
    <n v="257"/>
    <s v="D2"/>
    <s v="05"/>
    <s v="04"/>
    <x v="39"/>
    <n v="9"/>
    <n v="44"/>
    <x v="1"/>
    <x v="5"/>
    <x v="5"/>
    <s v="ST"/>
    <n v="50"/>
  </r>
  <r>
    <s v=".1~258"/>
    <n v="258"/>
    <s v="D2"/>
    <s v="05"/>
    <s v="05"/>
    <x v="40"/>
    <n v="9"/>
    <n v="45"/>
    <x v="1"/>
    <x v="0"/>
    <x v="0"/>
    <s v="ST"/>
    <n v="134"/>
  </r>
  <r>
    <s v=".1~259"/>
    <n v="259"/>
    <s v="D2"/>
    <s v="05"/>
    <s v="05"/>
    <x v="40"/>
    <n v="9"/>
    <n v="45"/>
    <x v="2"/>
    <x v="0"/>
    <x v="0"/>
    <s v="ST"/>
    <n v="20"/>
  </r>
  <r>
    <s v=".1~260"/>
    <n v="260"/>
    <s v="D2"/>
    <s v="05"/>
    <s v="05"/>
    <x v="40"/>
    <n v="9"/>
    <n v="45"/>
    <x v="2"/>
    <x v="1"/>
    <x v="1"/>
    <s v="ST"/>
    <n v="23"/>
  </r>
  <r>
    <s v=".1~261"/>
    <n v="261"/>
    <s v="D2"/>
    <s v="05"/>
    <s v="05"/>
    <x v="40"/>
    <n v="9"/>
    <n v="45"/>
    <x v="2"/>
    <x v="3"/>
    <x v="3"/>
    <s v="ST"/>
    <n v="42"/>
  </r>
  <r>
    <s v=".1~262"/>
    <n v="262"/>
    <s v="D2"/>
    <s v="05"/>
    <s v="05"/>
    <x v="40"/>
    <n v="9"/>
    <n v="45"/>
    <x v="1"/>
    <x v="4"/>
    <x v="4"/>
    <s v="ST"/>
    <n v="46"/>
  </r>
  <r>
    <s v=".1~263"/>
    <n v="263"/>
    <s v="D2"/>
    <s v="05"/>
    <s v="05"/>
    <x v="40"/>
    <n v="9"/>
    <n v="45"/>
    <x v="2"/>
    <x v="4"/>
    <x v="4"/>
    <s v="ST"/>
    <n v="29"/>
  </r>
  <r>
    <s v=".1~264"/>
    <n v="264"/>
    <s v="D2"/>
    <s v="05"/>
    <s v="06"/>
    <x v="41"/>
    <n v="10"/>
    <n v="46"/>
    <x v="1"/>
    <x v="0"/>
    <x v="0"/>
    <s v="ST"/>
    <n v="79"/>
  </r>
  <r>
    <s v=".1~265"/>
    <n v="265"/>
    <s v="D2"/>
    <s v="05"/>
    <s v="06"/>
    <x v="41"/>
    <n v="10"/>
    <n v="46"/>
    <x v="1"/>
    <x v="1"/>
    <x v="1"/>
    <s v="ST"/>
    <n v="27"/>
  </r>
  <r>
    <s v=".1~266"/>
    <n v="266"/>
    <s v="D2"/>
    <s v="05"/>
    <s v="06"/>
    <x v="41"/>
    <n v="10"/>
    <n v="46"/>
    <x v="0"/>
    <x v="2"/>
    <x v="2"/>
    <s v="ST"/>
    <n v="130"/>
  </r>
  <r>
    <s v=".1~267"/>
    <n v="267"/>
    <s v="D2"/>
    <s v="05"/>
    <s v="06"/>
    <x v="41"/>
    <n v="10"/>
    <n v="46"/>
    <x v="1"/>
    <x v="2"/>
    <x v="2"/>
    <s v="ST"/>
    <n v="71"/>
  </r>
  <r>
    <s v=".1~268"/>
    <n v="268"/>
    <s v="D2"/>
    <s v="05"/>
    <s v="06"/>
    <x v="41"/>
    <n v="10"/>
    <n v="46"/>
    <x v="2"/>
    <x v="2"/>
    <x v="2"/>
    <s v="ST"/>
    <n v="71"/>
  </r>
  <r>
    <s v=".1~269"/>
    <n v="269"/>
    <s v="D2"/>
    <s v="05"/>
    <s v="06"/>
    <x v="41"/>
    <n v="10"/>
    <n v="46"/>
    <x v="2"/>
    <x v="3"/>
    <x v="3"/>
    <s v="ST"/>
    <n v="18"/>
  </r>
  <r>
    <s v=".1~270"/>
    <n v="270"/>
    <s v="D2"/>
    <s v="05"/>
    <s v="07"/>
    <x v="42"/>
    <n v="10"/>
    <n v="47"/>
    <x v="1"/>
    <x v="0"/>
    <x v="0"/>
    <s v="ST"/>
    <n v="191"/>
  </r>
  <r>
    <s v=".1~271"/>
    <n v="271"/>
    <s v="D2"/>
    <s v="05"/>
    <s v="07"/>
    <x v="42"/>
    <n v="10"/>
    <n v="47"/>
    <x v="1"/>
    <x v="2"/>
    <x v="2"/>
    <s v="ST"/>
    <n v="78"/>
  </r>
  <r>
    <s v=".1~272"/>
    <n v="272"/>
    <s v="D2"/>
    <s v="05"/>
    <s v="07"/>
    <x v="42"/>
    <n v="10"/>
    <n v="47"/>
    <x v="2"/>
    <x v="4"/>
    <x v="4"/>
    <s v="ST"/>
    <n v="32"/>
  </r>
  <r>
    <s v=".1~273"/>
    <n v="273"/>
    <s v="D2"/>
    <s v="05"/>
    <s v="07"/>
    <x v="42"/>
    <n v="10"/>
    <n v="47"/>
    <x v="0"/>
    <x v="5"/>
    <x v="5"/>
    <s v="ST"/>
    <n v="30"/>
  </r>
  <r>
    <s v=".1~274"/>
    <n v="274"/>
    <s v="D2"/>
    <s v="05"/>
    <s v="07"/>
    <x v="42"/>
    <n v="10"/>
    <n v="47"/>
    <x v="1"/>
    <x v="5"/>
    <x v="5"/>
    <s v="ST"/>
    <n v="50"/>
  </r>
  <r>
    <s v=".1~275"/>
    <n v="275"/>
    <s v="D2"/>
    <s v="05"/>
    <s v="08"/>
    <x v="43"/>
    <n v="10"/>
    <n v="48"/>
    <x v="1"/>
    <x v="0"/>
    <x v="0"/>
    <s v="ST"/>
    <n v="79"/>
  </r>
  <r>
    <s v=".1~276"/>
    <n v="276"/>
    <s v="D2"/>
    <s v="05"/>
    <s v="08"/>
    <x v="43"/>
    <n v="10"/>
    <n v="48"/>
    <x v="1"/>
    <x v="2"/>
    <x v="2"/>
    <s v="ST"/>
    <n v="1"/>
  </r>
  <r>
    <s v=".1~277"/>
    <n v="277"/>
    <s v="D2"/>
    <s v="05"/>
    <s v="08"/>
    <x v="43"/>
    <n v="10"/>
    <n v="48"/>
    <x v="2"/>
    <x v="3"/>
    <x v="3"/>
    <s v="ST"/>
    <n v="17"/>
  </r>
  <r>
    <s v=".1~278"/>
    <n v="278"/>
    <s v="D2"/>
    <s v="05"/>
    <s v="08"/>
    <x v="43"/>
    <n v="10"/>
    <n v="48"/>
    <x v="0"/>
    <x v="4"/>
    <x v="4"/>
    <s v="ST"/>
    <n v="31"/>
  </r>
  <r>
    <s v=".1~279"/>
    <n v="279"/>
    <s v="D2"/>
    <s v="05"/>
    <s v="09"/>
    <x v="44"/>
    <n v="10"/>
    <n v="49"/>
    <x v="2"/>
    <x v="0"/>
    <x v="0"/>
    <s v="ST"/>
    <n v="71"/>
  </r>
  <r>
    <s v=".1~280"/>
    <n v="280"/>
    <s v="D2"/>
    <s v="05"/>
    <s v="09"/>
    <x v="44"/>
    <n v="10"/>
    <n v="49"/>
    <x v="1"/>
    <x v="0"/>
    <x v="0"/>
    <s v="ST"/>
    <n v="123"/>
  </r>
  <r>
    <s v=".1~281"/>
    <n v="281"/>
    <s v="D2"/>
    <s v="05"/>
    <s v="09"/>
    <x v="44"/>
    <n v="10"/>
    <n v="49"/>
    <x v="0"/>
    <x v="1"/>
    <x v="1"/>
    <s v="ST"/>
    <n v="24"/>
  </r>
  <r>
    <s v=".1~282"/>
    <n v="282"/>
    <s v="D2"/>
    <s v="05"/>
    <s v="09"/>
    <x v="44"/>
    <n v="10"/>
    <n v="49"/>
    <x v="1"/>
    <x v="1"/>
    <x v="1"/>
    <s v="ST"/>
    <n v="19"/>
  </r>
  <r>
    <s v=".1~283"/>
    <n v="283"/>
    <s v="D2"/>
    <s v="05"/>
    <s v="09"/>
    <x v="44"/>
    <n v="10"/>
    <n v="49"/>
    <x v="0"/>
    <x v="2"/>
    <x v="2"/>
    <s v="ST"/>
    <n v="89"/>
  </r>
  <r>
    <s v=".1~284"/>
    <n v="284"/>
    <s v="D2"/>
    <s v="05"/>
    <s v="09"/>
    <x v="44"/>
    <n v="10"/>
    <n v="49"/>
    <x v="1"/>
    <x v="2"/>
    <x v="2"/>
    <s v="ST"/>
    <n v="48"/>
  </r>
  <r>
    <s v=".1~285"/>
    <n v="285"/>
    <s v="D2"/>
    <s v="05"/>
    <s v="09"/>
    <x v="44"/>
    <n v="10"/>
    <n v="49"/>
    <x v="2"/>
    <x v="2"/>
    <x v="2"/>
    <s v="ST"/>
    <n v="100"/>
  </r>
  <r>
    <s v=".1~286"/>
    <n v="286"/>
    <s v="D2"/>
    <s v="05"/>
    <s v="09"/>
    <x v="44"/>
    <n v="10"/>
    <n v="49"/>
    <x v="2"/>
    <x v="3"/>
    <x v="3"/>
    <s v="ST"/>
    <n v="38"/>
  </r>
  <r>
    <s v=".1~287"/>
    <n v="287"/>
    <s v="D2"/>
    <s v="05"/>
    <s v="09"/>
    <x v="44"/>
    <n v="10"/>
    <n v="49"/>
    <x v="0"/>
    <x v="4"/>
    <x v="4"/>
    <s v="ST"/>
    <n v="31"/>
  </r>
  <r>
    <s v=".1~288"/>
    <n v="288"/>
    <s v="D2"/>
    <s v="05"/>
    <s v="09"/>
    <x v="44"/>
    <n v="10"/>
    <n v="49"/>
    <x v="2"/>
    <x v="4"/>
    <x v="4"/>
    <s v="ST"/>
    <n v="35"/>
  </r>
  <r>
    <s v=".1~289"/>
    <n v="289"/>
    <s v="D2"/>
    <s v="05"/>
    <s v="09"/>
    <x v="44"/>
    <n v="10"/>
    <n v="49"/>
    <x v="2"/>
    <x v="5"/>
    <x v="5"/>
    <s v="ST"/>
    <n v="30"/>
  </r>
  <r>
    <s v=".1~290"/>
    <n v="290"/>
    <s v="D2"/>
    <s v="05"/>
    <s v="09"/>
    <x v="44"/>
    <n v="10"/>
    <n v="49"/>
    <x v="0"/>
    <x v="5"/>
    <x v="5"/>
    <s v="ST"/>
    <n v="30"/>
  </r>
  <r>
    <s v=".1~291"/>
    <n v="291"/>
    <s v="D2"/>
    <s v="05"/>
    <s v="10"/>
    <x v="45"/>
    <n v="10"/>
    <n v="50"/>
    <x v="0"/>
    <x v="0"/>
    <x v="0"/>
    <s v="ST"/>
    <n v="76"/>
  </r>
  <r>
    <s v=".1~292"/>
    <n v="292"/>
    <s v="D2"/>
    <s v="05"/>
    <s v="10"/>
    <x v="45"/>
    <n v="10"/>
    <n v="50"/>
    <x v="1"/>
    <x v="0"/>
    <x v="0"/>
    <s v="ST"/>
    <n v="82"/>
  </r>
  <r>
    <s v=".1~293"/>
    <n v="293"/>
    <s v="D2"/>
    <s v="05"/>
    <s v="10"/>
    <x v="45"/>
    <n v="10"/>
    <n v="50"/>
    <x v="0"/>
    <x v="2"/>
    <x v="2"/>
    <s v="ST"/>
    <n v="114"/>
  </r>
  <r>
    <s v=".1~294"/>
    <n v="294"/>
    <s v="D2"/>
    <s v="05"/>
    <s v="10"/>
    <x v="45"/>
    <n v="10"/>
    <n v="50"/>
    <x v="2"/>
    <x v="3"/>
    <x v="3"/>
    <s v="ST"/>
    <n v="22"/>
  </r>
  <r>
    <s v=".1~295"/>
    <n v="295"/>
    <s v="D2"/>
    <s v="05"/>
    <s v="10"/>
    <x v="45"/>
    <n v="10"/>
    <n v="50"/>
    <x v="1"/>
    <x v="4"/>
    <x v="4"/>
    <s v="ST"/>
    <n v="30"/>
  </r>
  <r>
    <s v=".1~296"/>
    <n v="296"/>
    <s v="D2"/>
    <s v="05"/>
    <s v="10"/>
    <x v="45"/>
    <n v="10"/>
    <n v="50"/>
    <x v="1"/>
    <x v="5"/>
    <x v="5"/>
    <s v="ST"/>
    <n v="42"/>
  </r>
  <r>
    <s v=".1~297"/>
    <n v="297"/>
    <s v="D2"/>
    <s v="06"/>
    <s v="01"/>
    <x v="46"/>
    <n v="11"/>
    <n v="51"/>
    <x v="1"/>
    <x v="0"/>
    <x v="0"/>
    <s v="ST"/>
    <n v="183"/>
  </r>
  <r>
    <s v=".1~298"/>
    <n v="298"/>
    <s v="D2"/>
    <s v="06"/>
    <s v="01"/>
    <x v="46"/>
    <n v="11"/>
    <n v="51"/>
    <x v="2"/>
    <x v="0"/>
    <x v="0"/>
    <s v="ST"/>
    <n v="46"/>
  </r>
  <r>
    <s v=".1~299"/>
    <n v="299"/>
    <s v="D2"/>
    <s v="06"/>
    <s v="01"/>
    <x v="46"/>
    <n v="11"/>
    <n v="51"/>
    <x v="1"/>
    <x v="2"/>
    <x v="2"/>
    <s v="ST"/>
    <n v="11"/>
  </r>
  <r>
    <s v=".1~300"/>
    <n v="300"/>
    <s v="D2"/>
    <s v="06"/>
    <s v="01"/>
    <x v="46"/>
    <n v="11"/>
    <n v="51"/>
    <x v="0"/>
    <x v="2"/>
    <x v="2"/>
    <s v="ST"/>
    <n v="27"/>
  </r>
  <r>
    <s v=".1~301"/>
    <n v="301"/>
    <s v="D2"/>
    <s v="06"/>
    <s v="01"/>
    <x v="46"/>
    <n v="11"/>
    <n v="51"/>
    <x v="0"/>
    <x v="3"/>
    <x v="3"/>
    <s v="ST"/>
    <n v="25"/>
  </r>
  <r>
    <s v=".1~302"/>
    <n v="302"/>
    <s v="D2"/>
    <s v="06"/>
    <s v="01"/>
    <x v="46"/>
    <n v="11"/>
    <n v="51"/>
    <x v="1"/>
    <x v="3"/>
    <x v="3"/>
    <s v="ST"/>
    <n v="26"/>
  </r>
  <r>
    <s v=".1~303"/>
    <n v="303"/>
    <s v="D2"/>
    <s v="06"/>
    <s v="01"/>
    <x v="46"/>
    <n v="11"/>
    <n v="51"/>
    <x v="2"/>
    <x v="3"/>
    <x v="3"/>
    <s v="ST"/>
    <n v="34"/>
  </r>
  <r>
    <s v=".1~304"/>
    <n v="304"/>
    <s v="D2"/>
    <s v="06"/>
    <s v="01"/>
    <x v="46"/>
    <n v="11"/>
    <n v="51"/>
    <x v="0"/>
    <x v="4"/>
    <x v="4"/>
    <s v="ST"/>
    <n v="60"/>
  </r>
  <r>
    <s v=".1~305"/>
    <n v="305"/>
    <s v="D2"/>
    <s v="06"/>
    <s v="01"/>
    <x v="46"/>
    <n v="11"/>
    <n v="51"/>
    <x v="1"/>
    <x v="4"/>
    <x v="4"/>
    <s v="ST"/>
    <n v="29"/>
  </r>
  <r>
    <s v=".1~306"/>
    <n v="306"/>
    <s v="D2"/>
    <s v="06"/>
    <s v="01"/>
    <x v="46"/>
    <n v="11"/>
    <n v="51"/>
    <x v="2"/>
    <x v="4"/>
    <x v="4"/>
    <s v="ST"/>
    <n v="27"/>
  </r>
  <r>
    <s v=".1~307"/>
    <n v="307"/>
    <s v="D2"/>
    <s v="06"/>
    <s v="01"/>
    <x v="46"/>
    <n v="11"/>
    <n v="51"/>
    <x v="2"/>
    <x v="5"/>
    <x v="5"/>
    <s v="ST"/>
    <n v="1"/>
  </r>
  <r>
    <s v=".1~308"/>
    <n v="308"/>
    <s v="D2"/>
    <s v="06"/>
    <s v="01"/>
    <x v="46"/>
    <n v="11"/>
    <n v="51"/>
    <x v="1"/>
    <x v="5"/>
    <x v="5"/>
    <s v="ST"/>
    <n v="5"/>
  </r>
  <r>
    <s v=".1~309"/>
    <n v="309"/>
    <s v="D2"/>
    <s v="06"/>
    <s v="01"/>
    <x v="46"/>
    <n v="11"/>
    <n v="51"/>
    <x v="0"/>
    <x v="5"/>
    <x v="5"/>
    <s v="ST"/>
    <n v="2"/>
  </r>
  <r>
    <s v=".1~310"/>
    <n v="310"/>
    <s v="D2"/>
    <s v="06"/>
    <s v="03"/>
    <x v="47"/>
    <n v="11"/>
    <n v="53"/>
    <x v="1"/>
    <x v="0"/>
    <x v="0"/>
    <s v="ST"/>
    <n v="630"/>
  </r>
  <r>
    <s v=".1~311"/>
    <n v="311"/>
    <s v="D2"/>
    <s v="06"/>
    <s v="03"/>
    <x v="47"/>
    <n v="11"/>
    <n v="53"/>
    <x v="2"/>
    <x v="0"/>
    <x v="0"/>
    <s v="ST"/>
    <n v="71"/>
  </r>
  <r>
    <s v=".1~312"/>
    <n v="312"/>
    <s v="D2"/>
    <s v="06"/>
    <s v="03"/>
    <x v="47"/>
    <n v="11"/>
    <n v="53"/>
    <x v="0"/>
    <x v="1"/>
    <x v="1"/>
    <s v="ST"/>
    <n v="10"/>
  </r>
  <r>
    <s v=".1~313"/>
    <n v="313"/>
    <s v="D2"/>
    <s v="06"/>
    <s v="03"/>
    <x v="47"/>
    <n v="11"/>
    <n v="53"/>
    <x v="1"/>
    <x v="1"/>
    <x v="1"/>
    <s v="ST"/>
    <n v="3"/>
  </r>
  <r>
    <s v=".1~314"/>
    <n v="314"/>
    <s v="D2"/>
    <s v="06"/>
    <s v="03"/>
    <x v="47"/>
    <n v="11"/>
    <n v="53"/>
    <x v="2"/>
    <x v="1"/>
    <x v="1"/>
    <s v="ST"/>
    <n v="5"/>
  </r>
  <r>
    <s v=".1~315"/>
    <n v="315"/>
    <s v="D2"/>
    <s v="06"/>
    <s v="03"/>
    <x v="47"/>
    <n v="11"/>
    <n v="53"/>
    <x v="0"/>
    <x v="2"/>
    <x v="2"/>
    <s v="ST"/>
    <n v="400"/>
  </r>
  <r>
    <s v=".1~316"/>
    <n v="316"/>
    <s v="D2"/>
    <s v="06"/>
    <s v="03"/>
    <x v="47"/>
    <n v="11"/>
    <n v="53"/>
    <x v="1"/>
    <x v="2"/>
    <x v="2"/>
    <s v="ST"/>
    <n v="250"/>
  </r>
  <r>
    <s v=".1~317"/>
    <n v="317"/>
    <s v="D2"/>
    <s v="06"/>
    <s v="03"/>
    <x v="47"/>
    <n v="11"/>
    <n v="53"/>
    <x v="2"/>
    <x v="3"/>
    <x v="3"/>
    <s v="ST"/>
    <n v="40"/>
  </r>
  <r>
    <s v=".1~318"/>
    <n v="318"/>
    <s v="D2"/>
    <s v="06"/>
    <s v="03"/>
    <x v="47"/>
    <n v="11"/>
    <n v="53"/>
    <x v="1"/>
    <x v="3"/>
    <x v="3"/>
    <s v="ST"/>
    <n v="42"/>
  </r>
  <r>
    <s v=".1~319"/>
    <n v="319"/>
    <s v="D2"/>
    <s v="06"/>
    <s v="03"/>
    <x v="47"/>
    <n v="11"/>
    <n v="53"/>
    <x v="0"/>
    <x v="3"/>
    <x v="3"/>
    <s v="ST"/>
    <n v="13"/>
  </r>
  <r>
    <s v=".1~320"/>
    <n v="320"/>
    <s v="D2"/>
    <s v="06"/>
    <s v="03"/>
    <x v="47"/>
    <n v="11"/>
    <n v="53"/>
    <x v="0"/>
    <x v="4"/>
    <x v="4"/>
    <s v="ST"/>
    <n v="73"/>
  </r>
  <r>
    <s v=".1~321"/>
    <n v="321"/>
    <s v="D2"/>
    <s v="06"/>
    <s v="03"/>
    <x v="47"/>
    <n v="11"/>
    <n v="53"/>
    <x v="1"/>
    <x v="4"/>
    <x v="4"/>
    <s v="ST"/>
    <n v="62"/>
  </r>
  <r>
    <s v=".1~322"/>
    <n v="322"/>
    <s v="D2"/>
    <s v="06"/>
    <s v="03"/>
    <x v="47"/>
    <n v="11"/>
    <n v="53"/>
    <x v="2"/>
    <x v="4"/>
    <x v="4"/>
    <s v="ST"/>
    <n v="24"/>
  </r>
  <r>
    <s v=".1~323"/>
    <n v="323"/>
    <s v="D2"/>
    <s v="06"/>
    <s v="03"/>
    <x v="47"/>
    <n v="11"/>
    <n v="53"/>
    <x v="0"/>
    <x v="5"/>
    <x v="5"/>
    <s v="ST"/>
    <n v="18"/>
  </r>
  <r>
    <s v=".1~324"/>
    <n v="324"/>
    <s v="D2"/>
    <s v="06"/>
    <s v="03"/>
    <x v="47"/>
    <n v="11"/>
    <n v="53"/>
    <x v="1"/>
    <x v="5"/>
    <x v="5"/>
    <s v="ST"/>
    <n v="57"/>
  </r>
  <r>
    <s v=".1~325"/>
    <n v="325"/>
    <s v="D2"/>
    <s v="06"/>
    <s v="03"/>
    <x v="47"/>
    <n v="11"/>
    <n v="53"/>
    <x v="2"/>
    <x v="5"/>
    <x v="5"/>
    <s v="ST"/>
    <n v="19"/>
  </r>
  <r>
    <s v=".1~326"/>
    <n v="326"/>
    <s v="D2"/>
    <s v="06"/>
    <s v="06"/>
    <x v="48"/>
    <n v="12"/>
    <n v="56"/>
    <x v="1"/>
    <x v="2"/>
    <x v="2"/>
    <s v="ST"/>
    <n v="11"/>
  </r>
  <r>
    <s v=".1~327"/>
    <n v="327"/>
    <s v="D2"/>
    <s v="06"/>
    <s v="06"/>
    <x v="48"/>
    <n v="12"/>
    <n v="56"/>
    <x v="0"/>
    <x v="2"/>
    <x v="2"/>
    <s v="ST"/>
    <n v="41"/>
  </r>
  <r>
    <s v=".1~328"/>
    <n v="328"/>
    <s v="D2"/>
    <s v="06"/>
    <s v="06"/>
    <x v="48"/>
    <n v="12"/>
    <n v="56"/>
    <x v="1"/>
    <x v="5"/>
    <x v="5"/>
    <s v="ST"/>
    <n v="54"/>
  </r>
  <r>
    <s v=".1~329"/>
    <n v="329"/>
    <s v="D2"/>
    <s v="06"/>
    <s v="06"/>
    <x v="48"/>
    <n v="12"/>
    <n v="56"/>
    <x v="2"/>
    <x v="5"/>
    <x v="5"/>
    <s v="ST"/>
    <n v="34"/>
  </r>
  <r>
    <s v=".1~330"/>
    <n v="330"/>
    <s v="D2"/>
    <s v="06"/>
    <s v="07"/>
    <x v="49"/>
    <n v="12"/>
    <n v="57"/>
    <x v="1"/>
    <x v="0"/>
    <x v="0"/>
    <s v="ST"/>
    <n v="348"/>
  </r>
  <r>
    <s v=".1~331"/>
    <n v="331"/>
    <s v="D2"/>
    <s v="06"/>
    <s v="07"/>
    <x v="49"/>
    <n v="12"/>
    <n v="57"/>
    <x v="2"/>
    <x v="0"/>
    <x v="0"/>
    <s v="ST"/>
    <n v="79"/>
  </r>
  <r>
    <s v=".1~332"/>
    <n v="332"/>
    <s v="D2"/>
    <s v="06"/>
    <s v="07"/>
    <x v="49"/>
    <n v="12"/>
    <n v="57"/>
    <x v="0"/>
    <x v="1"/>
    <x v="1"/>
    <s v="ST"/>
    <n v="65"/>
  </r>
  <r>
    <s v=".1~333"/>
    <n v="333"/>
    <s v="D2"/>
    <s v="06"/>
    <s v="07"/>
    <x v="49"/>
    <n v="12"/>
    <n v="57"/>
    <x v="1"/>
    <x v="1"/>
    <x v="1"/>
    <s v="ST"/>
    <n v="50"/>
  </r>
  <r>
    <s v=".1~334"/>
    <n v="334"/>
    <s v="D2"/>
    <s v="06"/>
    <s v="07"/>
    <x v="49"/>
    <n v="12"/>
    <n v="57"/>
    <x v="2"/>
    <x v="1"/>
    <x v="1"/>
    <s v="ST"/>
    <n v="40"/>
  </r>
  <r>
    <s v=".1~335"/>
    <n v="335"/>
    <s v="D2"/>
    <s v="06"/>
    <s v="07"/>
    <x v="49"/>
    <n v="12"/>
    <n v="57"/>
    <x v="0"/>
    <x v="2"/>
    <x v="2"/>
    <s v="ST"/>
    <n v="341"/>
  </r>
  <r>
    <s v=".1~336"/>
    <n v="336"/>
    <s v="D2"/>
    <s v="06"/>
    <s v="07"/>
    <x v="49"/>
    <n v="12"/>
    <n v="57"/>
    <x v="1"/>
    <x v="2"/>
    <x v="2"/>
    <s v="ST"/>
    <n v="61"/>
  </r>
  <r>
    <s v=".1~337"/>
    <n v="337"/>
    <s v="D2"/>
    <s v="06"/>
    <s v="07"/>
    <x v="49"/>
    <n v="12"/>
    <n v="57"/>
    <x v="2"/>
    <x v="2"/>
    <x v="2"/>
    <s v="ST"/>
    <n v="46"/>
  </r>
  <r>
    <s v=".1~338"/>
    <n v="338"/>
    <s v="D2"/>
    <s v="06"/>
    <s v="07"/>
    <x v="49"/>
    <n v="12"/>
    <n v="57"/>
    <x v="0"/>
    <x v="3"/>
    <x v="3"/>
    <s v="ST"/>
    <n v="22"/>
  </r>
  <r>
    <s v=".1~339"/>
    <n v="339"/>
    <s v="D2"/>
    <s v="06"/>
    <s v="07"/>
    <x v="49"/>
    <n v="12"/>
    <n v="57"/>
    <x v="1"/>
    <x v="3"/>
    <x v="3"/>
    <s v="ST"/>
    <n v="8"/>
  </r>
  <r>
    <s v=".1~340"/>
    <n v="340"/>
    <s v="D2"/>
    <s v="06"/>
    <s v="07"/>
    <x v="49"/>
    <n v="12"/>
    <n v="57"/>
    <x v="2"/>
    <x v="3"/>
    <x v="3"/>
    <s v="ST"/>
    <n v="99"/>
  </r>
  <r>
    <s v=".1~341"/>
    <n v="341"/>
    <s v="D2"/>
    <s v="06"/>
    <s v="07"/>
    <x v="49"/>
    <n v="12"/>
    <n v="57"/>
    <x v="0"/>
    <x v="4"/>
    <x v="4"/>
    <s v="ST"/>
    <n v="143"/>
  </r>
  <r>
    <s v=".1~342"/>
    <n v="342"/>
    <s v="D2"/>
    <s v="06"/>
    <s v="07"/>
    <x v="49"/>
    <n v="12"/>
    <n v="57"/>
    <x v="1"/>
    <x v="4"/>
    <x v="4"/>
    <s v="ST"/>
    <n v="92"/>
  </r>
  <r>
    <s v=".1~343"/>
    <n v="343"/>
    <s v="D2"/>
    <s v="06"/>
    <s v="07"/>
    <x v="49"/>
    <n v="12"/>
    <n v="57"/>
    <x v="2"/>
    <x v="4"/>
    <x v="4"/>
    <s v="ST"/>
    <n v="39"/>
  </r>
  <r>
    <s v=".1~344"/>
    <n v="344"/>
    <s v="D2"/>
    <s v="06"/>
    <s v="07"/>
    <x v="49"/>
    <n v="12"/>
    <n v="57"/>
    <x v="0"/>
    <x v="5"/>
    <x v="5"/>
    <s v="ST"/>
    <n v="19"/>
  </r>
  <r>
    <s v=".1~345"/>
    <n v="345"/>
    <s v="D2"/>
    <s v="06"/>
    <s v="07"/>
    <x v="49"/>
    <n v="12"/>
    <n v="57"/>
    <x v="1"/>
    <x v="5"/>
    <x v="5"/>
    <s v="ST"/>
    <n v="18"/>
  </r>
  <r>
    <s v=".1~346"/>
    <n v="346"/>
    <s v="D2"/>
    <s v="06"/>
    <s v="07"/>
    <x v="49"/>
    <n v="12"/>
    <n v="57"/>
    <x v="2"/>
    <x v="5"/>
    <x v="5"/>
    <s v="ST"/>
    <n v="6"/>
  </r>
  <r>
    <s v=".1~347"/>
    <n v="347"/>
    <s v="D2"/>
    <s v="06"/>
    <s v="10"/>
    <x v="50"/>
    <n v="12"/>
    <n v="60"/>
    <x v="2"/>
    <x v="0"/>
    <x v="0"/>
    <s v="ST"/>
    <n v="86"/>
  </r>
  <r>
    <s v=".1~348"/>
    <n v="348"/>
    <s v="D2"/>
    <s v="06"/>
    <s v="10"/>
    <x v="50"/>
    <n v="12"/>
    <n v="60"/>
    <x v="1"/>
    <x v="0"/>
    <x v="0"/>
    <s v="ST"/>
    <n v="143"/>
  </r>
  <r>
    <s v=".1~349"/>
    <n v="349"/>
    <s v="D2"/>
    <s v="06"/>
    <s v="10"/>
    <x v="50"/>
    <n v="12"/>
    <n v="60"/>
    <x v="0"/>
    <x v="0"/>
    <x v="0"/>
    <s v="ST"/>
    <n v="43"/>
  </r>
  <r>
    <s v=".1~350"/>
    <n v="350"/>
    <s v="D2"/>
    <s v="06"/>
    <s v="10"/>
    <x v="50"/>
    <n v="12"/>
    <n v="60"/>
    <x v="1"/>
    <x v="1"/>
    <x v="1"/>
    <s v="ST"/>
    <n v="30"/>
  </r>
  <r>
    <s v=".1~351"/>
    <n v="351"/>
    <s v="D2"/>
    <s v="06"/>
    <s v="10"/>
    <x v="50"/>
    <n v="12"/>
    <n v="60"/>
    <x v="0"/>
    <x v="3"/>
    <x v="3"/>
    <s v="ST"/>
    <n v="6"/>
  </r>
  <r>
    <s v=".1~352"/>
    <n v="352"/>
    <s v="D2"/>
    <s v="06"/>
    <s v="10"/>
    <x v="50"/>
    <n v="12"/>
    <n v="60"/>
    <x v="1"/>
    <x v="3"/>
    <x v="3"/>
    <s v="ST"/>
    <n v="1"/>
  </r>
  <r>
    <s v=".1~353"/>
    <n v="353"/>
    <s v="D2"/>
    <s v="06"/>
    <s v="10"/>
    <x v="50"/>
    <n v="12"/>
    <n v="60"/>
    <x v="2"/>
    <x v="3"/>
    <x v="3"/>
    <s v="ST"/>
    <n v="4"/>
  </r>
  <r>
    <s v=".1~354"/>
    <n v="354"/>
    <s v="D2"/>
    <s v="06"/>
    <s v="10"/>
    <x v="50"/>
    <n v="12"/>
    <n v="60"/>
    <x v="0"/>
    <x v="4"/>
    <x v="4"/>
    <s v="ST"/>
    <n v="14"/>
  </r>
  <r>
    <s v=".1~355"/>
    <n v="355"/>
    <s v="D2"/>
    <s v="06"/>
    <s v="10"/>
    <x v="50"/>
    <n v="12"/>
    <n v="60"/>
    <x v="1"/>
    <x v="4"/>
    <x v="4"/>
    <s v="ST"/>
    <n v="13"/>
  </r>
  <r>
    <s v=".1~356"/>
    <n v="356"/>
    <s v="D2"/>
    <s v="07"/>
    <s v="01"/>
    <x v="51"/>
    <n v="13"/>
    <n v="61"/>
    <x v="2"/>
    <x v="0"/>
    <x v="0"/>
    <s v="ST"/>
    <n v="64"/>
  </r>
  <r>
    <s v=".1~357"/>
    <n v="357"/>
    <s v="D2"/>
    <s v="07"/>
    <s v="01"/>
    <x v="51"/>
    <n v="13"/>
    <n v="61"/>
    <x v="1"/>
    <x v="0"/>
    <x v="0"/>
    <s v="ST"/>
    <n v="251"/>
  </r>
  <r>
    <s v=".1~358"/>
    <n v="358"/>
    <s v="D2"/>
    <s v="07"/>
    <s v="01"/>
    <x v="51"/>
    <n v="13"/>
    <n v="61"/>
    <x v="0"/>
    <x v="0"/>
    <x v="0"/>
    <s v="ST"/>
    <n v="33"/>
  </r>
  <r>
    <s v=".1~359"/>
    <n v="359"/>
    <s v="D2"/>
    <s v="07"/>
    <s v="01"/>
    <x v="51"/>
    <n v="13"/>
    <n v="61"/>
    <x v="0"/>
    <x v="1"/>
    <x v="1"/>
    <s v="ST"/>
    <n v="23"/>
  </r>
  <r>
    <s v=".1~360"/>
    <n v="360"/>
    <s v="D2"/>
    <s v="07"/>
    <s v="01"/>
    <x v="51"/>
    <n v="13"/>
    <n v="61"/>
    <x v="0"/>
    <x v="2"/>
    <x v="2"/>
    <s v="ST"/>
    <n v="66"/>
  </r>
  <r>
    <s v=".1~361"/>
    <n v="361"/>
    <s v="D2"/>
    <s v="07"/>
    <s v="01"/>
    <x v="51"/>
    <n v="13"/>
    <n v="61"/>
    <x v="1"/>
    <x v="2"/>
    <x v="2"/>
    <s v="ST"/>
    <n v="350"/>
  </r>
  <r>
    <s v=".1~362"/>
    <n v="362"/>
    <s v="D2"/>
    <s v="07"/>
    <s v="01"/>
    <x v="51"/>
    <n v="13"/>
    <n v="61"/>
    <x v="2"/>
    <x v="2"/>
    <x v="2"/>
    <s v="ST"/>
    <n v="47"/>
  </r>
  <r>
    <s v=".1~363"/>
    <n v="363"/>
    <s v="D2"/>
    <s v="07"/>
    <s v="01"/>
    <x v="51"/>
    <n v="13"/>
    <n v="61"/>
    <x v="0"/>
    <x v="3"/>
    <x v="3"/>
    <s v="ST"/>
    <n v="29"/>
  </r>
  <r>
    <s v=".1~364"/>
    <n v="364"/>
    <s v="D2"/>
    <s v="07"/>
    <s v="01"/>
    <x v="51"/>
    <n v="13"/>
    <n v="61"/>
    <x v="1"/>
    <x v="3"/>
    <x v="3"/>
    <s v="ST"/>
    <n v="30"/>
  </r>
  <r>
    <s v=".1~365"/>
    <n v="365"/>
    <s v="D2"/>
    <s v="07"/>
    <s v="01"/>
    <x v="51"/>
    <n v="13"/>
    <n v="61"/>
    <x v="2"/>
    <x v="3"/>
    <x v="3"/>
    <s v="ST"/>
    <n v="31"/>
  </r>
  <r>
    <s v=".1~366"/>
    <n v="366"/>
    <s v="D2"/>
    <s v="07"/>
    <s v="01"/>
    <x v="51"/>
    <n v="13"/>
    <n v="61"/>
    <x v="2"/>
    <x v="4"/>
    <x v="4"/>
    <s v="ST"/>
    <n v="31"/>
  </r>
  <r>
    <s v=".1~367"/>
    <n v="367"/>
    <s v="D2"/>
    <s v="07"/>
    <s v="01"/>
    <x v="51"/>
    <n v="13"/>
    <n v="61"/>
    <x v="1"/>
    <x v="4"/>
    <x v="4"/>
    <s v="ST"/>
    <n v="63"/>
  </r>
  <r>
    <s v=".1~368"/>
    <n v="368"/>
    <s v="D2"/>
    <s v="07"/>
    <s v="01"/>
    <x v="51"/>
    <n v="13"/>
    <n v="61"/>
    <x v="0"/>
    <x v="4"/>
    <x v="4"/>
    <s v="ST"/>
    <n v="56"/>
  </r>
  <r>
    <s v=".1~369"/>
    <n v="369"/>
    <s v="D2"/>
    <s v="07"/>
    <s v="01"/>
    <x v="51"/>
    <n v="13"/>
    <n v="61"/>
    <x v="0"/>
    <x v="5"/>
    <x v="5"/>
    <s v="ST"/>
    <n v="31"/>
  </r>
  <r>
    <s v=".1~370"/>
    <n v="370"/>
    <s v="D2"/>
    <s v="07"/>
    <s v="01"/>
    <x v="51"/>
    <n v="13"/>
    <n v="61"/>
    <x v="1"/>
    <x v="5"/>
    <x v="5"/>
    <s v="ST"/>
    <n v="75"/>
  </r>
  <r>
    <s v=".1~371"/>
    <n v="371"/>
    <s v="D2"/>
    <s v="07"/>
    <s v="01"/>
    <x v="51"/>
    <n v="13"/>
    <n v="61"/>
    <x v="2"/>
    <x v="5"/>
    <x v="5"/>
    <s v="ST"/>
    <n v="50"/>
  </r>
  <r>
    <s v=".1~372"/>
    <n v="372"/>
    <s v="D2"/>
    <s v="07"/>
    <s v="04"/>
    <x v="52"/>
    <n v="13"/>
    <n v="64"/>
    <x v="0"/>
    <x v="0"/>
    <x v="0"/>
    <s v="ST"/>
    <n v="15"/>
  </r>
  <r>
    <s v=".1~373"/>
    <n v="373"/>
    <s v="D2"/>
    <s v="07"/>
    <s v="04"/>
    <x v="52"/>
    <n v="13"/>
    <n v="64"/>
    <x v="1"/>
    <x v="0"/>
    <x v="0"/>
    <s v="ST"/>
    <n v="77"/>
  </r>
  <r>
    <s v=".1~374"/>
    <n v="374"/>
    <s v="D2"/>
    <s v="07"/>
    <s v="04"/>
    <x v="52"/>
    <n v="13"/>
    <n v="64"/>
    <x v="2"/>
    <x v="0"/>
    <x v="0"/>
    <s v="ST"/>
    <n v="12"/>
  </r>
  <r>
    <s v=".1~375"/>
    <n v="375"/>
    <s v="D2"/>
    <s v="07"/>
    <s v="04"/>
    <x v="52"/>
    <n v="13"/>
    <n v="64"/>
    <x v="1"/>
    <x v="1"/>
    <x v="1"/>
    <s v="ST"/>
    <n v="7"/>
  </r>
  <r>
    <s v=".1~376"/>
    <n v="376"/>
    <s v="D2"/>
    <s v="07"/>
    <s v="04"/>
    <x v="52"/>
    <n v="13"/>
    <n v="64"/>
    <x v="0"/>
    <x v="1"/>
    <x v="1"/>
    <s v="ST"/>
    <n v="15"/>
  </r>
  <r>
    <s v=".1~377"/>
    <n v="377"/>
    <s v="D2"/>
    <s v="07"/>
    <s v="04"/>
    <x v="52"/>
    <n v="13"/>
    <n v="64"/>
    <x v="0"/>
    <x v="2"/>
    <x v="2"/>
    <s v="ST"/>
    <n v="69"/>
  </r>
  <r>
    <s v=".1~378"/>
    <n v="378"/>
    <s v="D2"/>
    <s v="07"/>
    <s v="04"/>
    <x v="52"/>
    <n v="13"/>
    <n v="64"/>
    <x v="1"/>
    <x v="2"/>
    <x v="2"/>
    <s v="ST"/>
    <n v="71"/>
  </r>
  <r>
    <s v=".1~379"/>
    <n v="379"/>
    <s v="D2"/>
    <s v="07"/>
    <s v="04"/>
    <x v="52"/>
    <n v="13"/>
    <n v="64"/>
    <x v="2"/>
    <x v="2"/>
    <x v="2"/>
    <s v="ST"/>
    <n v="19"/>
  </r>
  <r>
    <s v=".1~380"/>
    <n v="380"/>
    <s v="D2"/>
    <s v="07"/>
    <s v="04"/>
    <x v="52"/>
    <n v="13"/>
    <n v="64"/>
    <x v="2"/>
    <x v="5"/>
    <x v="5"/>
    <s v="ST"/>
    <n v="43"/>
  </r>
  <r>
    <s v=".1~381"/>
    <n v="381"/>
    <s v="D2"/>
    <s v="07"/>
    <s v="05"/>
    <x v="53"/>
    <n v="13"/>
    <n v="65"/>
    <x v="0"/>
    <x v="0"/>
    <x v="0"/>
    <s v="ST"/>
    <n v="65"/>
  </r>
  <r>
    <s v=".1~382"/>
    <n v="382"/>
    <s v="D2"/>
    <s v="07"/>
    <s v="05"/>
    <x v="53"/>
    <n v="13"/>
    <n v="65"/>
    <x v="1"/>
    <x v="0"/>
    <x v="0"/>
    <s v="ST"/>
    <n v="362"/>
  </r>
  <r>
    <s v=".1~383"/>
    <n v="383"/>
    <s v="D2"/>
    <s v="07"/>
    <s v="05"/>
    <x v="53"/>
    <n v="13"/>
    <n v="65"/>
    <x v="2"/>
    <x v="0"/>
    <x v="0"/>
    <s v="ST"/>
    <n v="62"/>
  </r>
  <r>
    <s v=".1~384"/>
    <n v="384"/>
    <s v="D2"/>
    <s v="07"/>
    <s v="05"/>
    <x v="53"/>
    <n v="13"/>
    <n v="65"/>
    <x v="0"/>
    <x v="1"/>
    <x v="1"/>
    <s v="ST"/>
    <n v="34"/>
  </r>
  <r>
    <s v=".1~385"/>
    <n v="385"/>
    <s v="D2"/>
    <s v="07"/>
    <s v="05"/>
    <x v="53"/>
    <n v="13"/>
    <n v="65"/>
    <x v="1"/>
    <x v="1"/>
    <x v="1"/>
    <s v="ST"/>
    <n v="15"/>
  </r>
  <r>
    <s v=".1~386"/>
    <n v="386"/>
    <s v="D2"/>
    <s v="07"/>
    <s v="05"/>
    <x v="53"/>
    <n v="13"/>
    <n v="65"/>
    <x v="2"/>
    <x v="2"/>
    <x v="2"/>
    <s v="ST"/>
    <n v="34"/>
  </r>
  <r>
    <s v=".1~387"/>
    <n v="387"/>
    <s v="D2"/>
    <s v="07"/>
    <s v="05"/>
    <x v="53"/>
    <n v="13"/>
    <n v="65"/>
    <x v="1"/>
    <x v="2"/>
    <x v="2"/>
    <s v="ST"/>
    <n v="121"/>
  </r>
  <r>
    <s v=".1~388"/>
    <n v="388"/>
    <s v="D2"/>
    <s v="07"/>
    <s v="05"/>
    <x v="53"/>
    <n v="13"/>
    <n v="65"/>
    <x v="0"/>
    <x v="2"/>
    <x v="2"/>
    <s v="ST"/>
    <n v="190"/>
  </r>
  <r>
    <s v=".1~389"/>
    <n v="389"/>
    <s v="D2"/>
    <s v="07"/>
    <s v="05"/>
    <x v="53"/>
    <n v="13"/>
    <n v="65"/>
    <x v="0"/>
    <x v="3"/>
    <x v="3"/>
    <s v="ST"/>
    <n v="15"/>
  </r>
  <r>
    <s v=".1~390"/>
    <n v="390"/>
    <s v="D2"/>
    <s v="07"/>
    <s v="05"/>
    <x v="53"/>
    <n v="13"/>
    <n v="65"/>
    <x v="1"/>
    <x v="3"/>
    <x v="3"/>
    <s v="ST"/>
    <n v="50"/>
  </r>
  <r>
    <s v=".1~391"/>
    <n v="391"/>
    <s v="D2"/>
    <s v="07"/>
    <s v="05"/>
    <x v="53"/>
    <n v="13"/>
    <n v="65"/>
    <x v="2"/>
    <x v="3"/>
    <x v="3"/>
    <s v="ST"/>
    <n v="80"/>
  </r>
  <r>
    <s v=".1~392"/>
    <n v="392"/>
    <s v="D2"/>
    <s v="07"/>
    <s v="05"/>
    <x v="53"/>
    <n v="13"/>
    <n v="65"/>
    <x v="0"/>
    <x v="4"/>
    <x v="4"/>
    <s v="ST"/>
    <n v="90"/>
  </r>
  <r>
    <s v=".1~393"/>
    <n v="393"/>
    <s v="D2"/>
    <s v="07"/>
    <s v="05"/>
    <x v="53"/>
    <n v="13"/>
    <n v="65"/>
    <x v="1"/>
    <x v="4"/>
    <x v="4"/>
    <s v="ST"/>
    <n v="95"/>
  </r>
  <r>
    <s v=".1~394"/>
    <n v="394"/>
    <s v="D2"/>
    <s v="07"/>
    <s v="05"/>
    <x v="53"/>
    <n v="13"/>
    <n v="65"/>
    <x v="2"/>
    <x v="4"/>
    <x v="4"/>
    <s v="ST"/>
    <n v="33"/>
  </r>
  <r>
    <s v=".1~395"/>
    <n v="395"/>
    <s v="D2"/>
    <s v="07"/>
    <s v="05"/>
    <x v="53"/>
    <n v="13"/>
    <n v="65"/>
    <x v="2"/>
    <x v="5"/>
    <x v="5"/>
    <s v="ST"/>
    <n v="7"/>
  </r>
  <r>
    <s v=".1~396"/>
    <n v="396"/>
    <s v="D2"/>
    <s v="07"/>
    <s v="05"/>
    <x v="53"/>
    <n v="13"/>
    <n v="65"/>
    <x v="1"/>
    <x v="5"/>
    <x v="5"/>
    <s v="ST"/>
    <n v="31"/>
  </r>
  <r>
    <s v=".1~397"/>
    <n v="397"/>
    <s v="D2"/>
    <s v="07"/>
    <s v="07"/>
    <x v="54"/>
    <n v="14"/>
    <n v="67"/>
    <x v="0"/>
    <x v="0"/>
    <x v="0"/>
    <s v="ST"/>
    <n v="76"/>
  </r>
  <r>
    <s v=".1~398"/>
    <n v="398"/>
    <s v="D2"/>
    <s v="07"/>
    <s v="07"/>
    <x v="54"/>
    <n v="14"/>
    <n v="67"/>
    <x v="1"/>
    <x v="0"/>
    <x v="0"/>
    <s v="ST"/>
    <n v="165"/>
  </r>
  <r>
    <s v=".1~399"/>
    <n v="399"/>
    <s v="D2"/>
    <s v="07"/>
    <s v="07"/>
    <x v="54"/>
    <n v="14"/>
    <n v="67"/>
    <x v="0"/>
    <x v="1"/>
    <x v="1"/>
    <s v="ST"/>
    <n v="26"/>
  </r>
  <r>
    <s v=".1~400"/>
    <n v="400"/>
    <s v="D2"/>
    <s v="07"/>
    <s v="07"/>
    <x v="54"/>
    <n v="14"/>
    <n v="67"/>
    <x v="1"/>
    <x v="1"/>
    <x v="1"/>
    <s v="ST"/>
    <n v="16"/>
  </r>
  <r>
    <s v=".1~401"/>
    <n v="401"/>
    <s v="D2"/>
    <s v="07"/>
    <s v="07"/>
    <x v="54"/>
    <n v="14"/>
    <n v="67"/>
    <x v="2"/>
    <x v="1"/>
    <x v="1"/>
    <s v="ST"/>
    <n v="12"/>
  </r>
  <r>
    <s v=".1~402"/>
    <n v="402"/>
    <s v="D2"/>
    <s v="07"/>
    <s v="07"/>
    <x v="54"/>
    <n v="14"/>
    <n v="67"/>
    <x v="0"/>
    <x v="2"/>
    <x v="2"/>
    <s v="ST"/>
    <n v="91"/>
  </r>
  <r>
    <s v=".1~403"/>
    <n v="403"/>
    <s v="D2"/>
    <s v="07"/>
    <s v="07"/>
    <x v="54"/>
    <n v="14"/>
    <n v="67"/>
    <x v="1"/>
    <x v="2"/>
    <x v="2"/>
    <s v="ST"/>
    <n v="100"/>
  </r>
  <r>
    <s v=".1~404"/>
    <n v="404"/>
    <s v="D2"/>
    <s v="07"/>
    <s v="07"/>
    <x v="54"/>
    <n v="14"/>
    <n v="67"/>
    <x v="2"/>
    <x v="2"/>
    <x v="2"/>
    <s v="ST"/>
    <n v="56"/>
  </r>
  <r>
    <s v=".1~405"/>
    <n v="405"/>
    <s v="D2"/>
    <s v="07"/>
    <s v="07"/>
    <x v="54"/>
    <n v="14"/>
    <n v="67"/>
    <x v="2"/>
    <x v="3"/>
    <x v="3"/>
    <s v="ST"/>
    <n v="73"/>
  </r>
  <r>
    <s v=".1~406"/>
    <n v="406"/>
    <s v="D2"/>
    <s v="07"/>
    <s v="07"/>
    <x v="54"/>
    <n v="14"/>
    <n v="67"/>
    <x v="1"/>
    <x v="3"/>
    <x v="3"/>
    <s v="ST"/>
    <n v="1"/>
  </r>
  <r>
    <s v=".1~407"/>
    <n v="407"/>
    <s v="D2"/>
    <s v="07"/>
    <s v="07"/>
    <x v="54"/>
    <n v="14"/>
    <n v="67"/>
    <x v="0"/>
    <x v="3"/>
    <x v="3"/>
    <s v="ST"/>
    <n v="12"/>
  </r>
  <r>
    <s v=".1~408"/>
    <n v="408"/>
    <s v="D2"/>
    <s v="07"/>
    <s v="07"/>
    <x v="54"/>
    <n v="14"/>
    <n v="67"/>
    <x v="0"/>
    <x v="4"/>
    <x v="4"/>
    <s v="ST"/>
    <n v="28"/>
  </r>
  <r>
    <s v=".1~409"/>
    <n v="409"/>
    <s v="D2"/>
    <s v="07"/>
    <s v="07"/>
    <x v="54"/>
    <n v="14"/>
    <n v="67"/>
    <x v="2"/>
    <x v="4"/>
    <x v="4"/>
    <s v="ST"/>
    <n v="25"/>
  </r>
  <r>
    <s v=".1~410"/>
    <n v="410"/>
    <s v="D2"/>
    <s v="07"/>
    <s v="07"/>
    <x v="54"/>
    <n v="14"/>
    <n v="67"/>
    <x v="0"/>
    <x v="5"/>
    <x v="5"/>
    <s v="ST"/>
    <n v="18"/>
  </r>
  <r>
    <s v=".1~411"/>
    <n v="411"/>
    <s v="D2"/>
    <s v="07"/>
    <s v="07"/>
    <x v="54"/>
    <n v="14"/>
    <n v="67"/>
    <x v="1"/>
    <x v="5"/>
    <x v="5"/>
    <s v="ST"/>
    <n v="29"/>
  </r>
  <r>
    <s v=".1~412"/>
    <n v="412"/>
    <s v="D2"/>
    <s v="07"/>
    <s v="07"/>
    <x v="54"/>
    <n v="14"/>
    <n v="67"/>
    <x v="2"/>
    <x v="5"/>
    <x v="5"/>
    <s v="ST"/>
    <n v="22"/>
  </r>
  <r>
    <s v=".1~413"/>
    <n v="413"/>
    <s v="D2"/>
    <s v="07"/>
    <s v="09"/>
    <x v="55"/>
    <n v="14"/>
    <n v="69"/>
    <x v="2"/>
    <x v="0"/>
    <x v="0"/>
    <s v="ST"/>
    <n v="150"/>
  </r>
  <r>
    <s v=".1~414"/>
    <n v="414"/>
    <s v="D2"/>
    <s v="07"/>
    <s v="09"/>
    <x v="55"/>
    <n v="14"/>
    <n v="69"/>
    <x v="1"/>
    <x v="0"/>
    <x v="0"/>
    <s v="ST"/>
    <n v="245"/>
  </r>
  <r>
    <s v=".1~415"/>
    <n v="415"/>
    <s v="D2"/>
    <s v="07"/>
    <s v="09"/>
    <x v="55"/>
    <n v="14"/>
    <n v="69"/>
    <x v="0"/>
    <x v="0"/>
    <x v="0"/>
    <s v="ST"/>
    <n v="71"/>
  </r>
  <r>
    <s v=".1~416"/>
    <n v="416"/>
    <s v="D2"/>
    <s v="07"/>
    <s v="09"/>
    <x v="55"/>
    <n v="14"/>
    <n v="69"/>
    <x v="0"/>
    <x v="1"/>
    <x v="1"/>
    <s v="ST"/>
    <n v="40"/>
  </r>
  <r>
    <s v=".1~417"/>
    <n v="417"/>
    <s v="D2"/>
    <s v="07"/>
    <s v="09"/>
    <x v="55"/>
    <n v="14"/>
    <n v="69"/>
    <x v="1"/>
    <x v="1"/>
    <x v="1"/>
    <s v="ST"/>
    <n v="34"/>
  </r>
  <r>
    <s v=".1~418"/>
    <n v="418"/>
    <s v="D2"/>
    <s v="07"/>
    <s v="09"/>
    <x v="55"/>
    <n v="14"/>
    <n v="69"/>
    <x v="2"/>
    <x v="1"/>
    <x v="1"/>
    <s v="ST"/>
    <n v="9"/>
  </r>
  <r>
    <s v=".1~419"/>
    <n v="419"/>
    <s v="D2"/>
    <s v="07"/>
    <s v="09"/>
    <x v="55"/>
    <n v="14"/>
    <n v="69"/>
    <x v="0"/>
    <x v="2"/>
    <x v="2"/>
    <s v="ST"/>
    <n v="228"/>
  </r>
  <r>
    <s v=".1~420"/>
    <n v="420"/>
    <s v="D2"/>
    <s v="07"/>
    <s v="09"/>
    <x v="55"/>
    <n v="14"/>
    <n v="69"/>
    <x v="1"/>
    <x v="2"/>
    <x v="2"/>
    <s v="ST"/>
    <n v="144"/>
  </r>
  <r>
    <s v=".1~421"/>
    <n v="421"/>
    <s v="D2"/>
    <s v="07"/>
    <s v="09"/>
    <x v="55"/>
    <n v="14"/>
    <n v="69"/>
    <x v="2"/>
    <x v="2"/>
    <x v="2"/>
    <s v="ST"/>
    <n v="100"/>
  </r>
  <r>
    <s v=".1~422"/>
    <n v="422"/>
    <s v="D2"/>
    <s v="07"/>
    <s v="09"/>
    <x v="55"/>
    <n v="14"/>
    <n v="69"/>
    <x v="2"/>
    <x v="3"/>
    <x v="3"/>
    <s v="ST"/>
    <n v="58"/>
  </r>
  <r>
    <s v=".1~423"/>
    <n v="423"/>
    <s v="D2"/>
    <s v="07"/>
    <s v="09"/>
    <x v="55"/>
    <n v="14"/>
    <n v="69"/>
    <x v="1"/>
    <x v="3"/>
    <x v="3"/>
    <s v="ST"/>
    <n v="10"/>
  </r>
  <r>
    <s v=".1~424"/>
    <n v="424"/>
    <s v="D2"/>
    <s v="07"/>
    <s v="09"/>
    <x v="55"/>
    <n v="14"/>
    <n v="69"/>
    <x v="0"/>
    <x v="3"/>
    <x v="3"/>
    <s v="ST"/>
    <n v="13"/>
  </r>
  <r>
    <s v=".1~425"/>
    <n v="425"/>
    <s v="D2"/>
    <s v="07"/>
    <s v="09"/>
    <x v="55"/>
    <n v="14"/>
    <n v="69"/>
    <x v="0"/>
    <x v="4"/>
    <x v="4"/>
    <s v="ST"/>
    <n v="52"/>
  </r>
  <r>
    <s v=".1~426"/>
    <n v="426"/>
    <s v="D2"/>
    <s v="07"/>
    <s v="09"/>
    <x v="55"/>
    <n v="14"/>
    <n v="69"/>
    <x v="2"/>
    <x v="4"/>
    <x v="4"/>
    <s v="ST"/>
    <n v="57"/>
  </r>
  <r>
    <s v=".1~427"/>
    <n v="427"/>
    <s v="D2"/>
    <s v="07"/>
    <s v="09"/>
    <x v="55"/>
    <n v="14"/>
    <n v="69"/>
    <x v="0"/>
    <x v="5"/>
    <x v="5"/>
    <s v="ST"/>
    <n v="43"/>
  </r>
  <r>
    <s v=".1~428"/>
    <n v="428"/>
    <s v="D2"/>
    <s v="07"/>
    <s v="09"/>
    <x v="55"/>
    <n v="14"/>
    <n v="69"/>
    <x v="1"/>
    <x v="5"/>
    <x v="5"/>
    <s v="ST"/>
    <n v="62"/>
  </r>
  <r>
    <s v=".1~429"/>
    <n v="429"/>
    <s v="D2"/>
    <s v="07"/>
    <s v="09"/>
    <x v="55"/>
    <n v="14"/>
    <n v="69"/>
    <x v="2"/>
    <x v="5"/>
    <x v="5"/>
    <s v="ST"/>
    <n v="19"/>
  </r>
  <r>
    <s v=".1~430"/>
    <n v="430"/>
    <s v="D2"/>
    <s v="08"/>
    <s v="01"/>
    <x v="56"/>
    <n v="15"/>
    <n v="71"/>
    <x v="1"/>
    <x v="0"/>
    <x v="0"/>
    <s v="ST"/>
    <n v="164"/>
  </r>
  <r>
    <s v=".1~431"/>
    <n v="431"/>
    <s v="D2"/>
    <s v="08"/>
    <s v="01"/>
    <x v="56"/>
    <n v="15"/>
    <n v="71"/>
    <x v="2"/>
    <x v="0"/>
    <x v="0"/>
    <s v="ST"/>
    <n v="44"/>
  </r>
  <r>
    <s v=".1~432"/>
    <n v="432"/>
    <s v="D2"/>
    <s v="08"/>
    <s v="01"/>
    <x v="56"/>
    <n v="15"/>
    <n v="71"/>
    <x v="2"/>
    <x v="1"/>
    <x v="1"/>
    <s v="ST"/>
    <n v="16"/>
  </r>
  <r>
    <s v=".1~433"/>
    <n v="433"/>
    <s v="D2"/>
    <s v="08"/>
    <s v="01"/>
    <x v="56"/>
    <n v="15"/>
    <n v="71"/>
    <x v="1"/>
    <x v="1"/>
    <x v="1"/>
    <s v="ST"/>
    <n v="1"/>
  </r>
  <r>
    <s v=".1~434"/>
    <n v="434"/>
    <s v="D2"/>
    <s v="08"/>
    <s v="01"/>
    <x v="56"/>
    <n v="15"/>
    <n v="71"/>
    <x v="0"/>
    <x v="1"/>
    <x v="1"/>
    <s v="ST"/>
    <n v="38"/>
  </r>
  <r>
    <s v=".1~435"/>
    <n v="435"/>
    <s v="D2"/>
    <s v="08"/>
    <s v="01"/>
    <x v="56"/>
    <n v="15"/>
    <n v="71"/>
    <x v="0"/>
    <x v="2"/>
    <x v="2"/>
    <s v="ST"/>
    <n v="100"/>
  </r>
  <r>
    <s v=".1~436"/>
    <n v="436"/>
    <s v="D2"/>
    <s v="08"/>
    <s v="01"/>
    <x v="56"/>
    <n v="15"/>
    <n v="71"/>
    <x v="1"/>
    <x v="2"/>
    <x v="2"/>
    <s v="ST"/>
    <n v="32"/>
  </r>
  <r>
    <s v=".1~437"/>
    <n v="437"/>
    <s v="D2"/>
    <s v="08"/>
    <s v="01"/>
    <x v="56"/>
    <n v="15"/>
    <n v="71"/>
    <x v="2"/>
    <x v="2"/>
    <x v="2"/>
    <s v="ST"/>
    <n v="34"/>
  </r>
  <r>
    <s v=".1~438"/>
    <n v="438"/>
    <s v="D2"/>
    <s v="08"/>
    <s v="01"/>
    <x v="56"/>
    <n v="15"/>
    <n v="71"/>
    <x v="0"/>
    <x v="4"/>
    <x v="4"/>
    <s v="ST"/>
    <n v="82"/>
  </r>
  <r>
    <s v=".1~439"/>
    <n v="439"/>
    <s v="D2"/>
    <s v="08"/>
    <s v="01"/>
    <x v="56"/>
    <n v="15"/>
    <n v="71"/>
    <x v="1"/>
    <x v="4"/>
    <x v="4"/>
    <s v="ST"/>
    <n v="44"/>
  </r>
  <r>
    <s v=".1~440"/>
    <n v="440"/>
    <s v="D2"/>
    <s v="08"/>
    <s v="03"/>
    <x v="57"/>
    <n v="15"/>
    <n v="73"/>
    <x v="1"/>
    <x v="0"/>
    <x v="0"/>
    <s v="ST"/>
    <n v="311"/>
  </r>
  <r>
    <s v=".1~441"/>
    <n v="441"/>
    <s v="D2"/>
    <s v="08"/>
    <s v="03"/>
    <x v="57"/>
    <n v="15"/>
    <n v="73"/>
    <x v="2"/>
    <x v="0"/>
    <x v="0"/>
    <s v="ST"/>
    <n v="31"/>
  </r>
  <r>
    <s v=".1~442"/>
    <n v="442"/>
    <s v="D2"/>
    <s v="08"/>
    <s v="03"/>
    <x v="57"/>
    <n v="15"/>
    <n v="73"/>
    <x v="2"/>
    <x v="1"/>
    <x v="1"/>
    <s v="ST"/>
    <n v="7"/>
  </r>
  <r>
    <s v=".1~443"/>
    <n v="443"/>
    <s v="D2"/>
    <s v="08"/>
    <s v="03"/>
    <x v="57"/>
    <n v="15"/>
    <n v="73"/>
    <x v="0"/>
    <x v="1"/>
    <x v="1"/>
    <s v="ST"/>
    <n v="55"/>
  </r>
  <r>
    <s v=".1~444"/>
    <n v="444"/>
    <s v="D2"/>
    <s v="08"/>
    <s v="03"/>
    <x v="57"/>
    <n v="15"/>
    <n v="73"/>
    <x v="0"/>
    <x v="2"/>
    <x v="2"/>
    <s v="ST"/>
    <n v="234"/>
  </r>
  <r>
    <s v=".1~445"/>
    <n v="445"/>
    <s v="D2"/>
    <s v="08"/>
    <s v="03"/>
    <x v="57"/>
    <n v="15"/>
    <n v="73"/>
    <x v="1"/>
    <x v="2"/>
    <x v="2"/>
    <s v="ST"/>
    <n v="95"/>
  </r>
  <r>
    <s v=".1~446"/>
    <n v="446"/>
    <s v="D2"/>
    <s v="08"/>
    <s v="03"/>
    <x v="57"/>
    <n v="15"/>
    <n v="73"/>
    <x v="2"/>
    <x v="2"/>
    <x v="2"/>
    <s v="ST"/>
    <n v="26"/>
  </r>
  <r>
    <s v=".1~447"/>
    <n v="447"/>
    <s v="D2"/>
    <s v="08"/>
    <s v="03"/>
    <x v="57"/>
    <n v="15"/>
    <n v="73"/>
    <x v="0"/>
    <x v="3"/>
    <x v="3"/>
    <s v="ST"/>
    <n v="37"/>
  </r>
  <r>
    <s v=".1~448"/>
    <n v="448"/>
    <s v="D2"/>
    <s v="08"/>
    <s v="03"/>
    <x v="57"/>
    <n v="15"/>
    <n v="73"/>
    <x v="1"/>
    <x v="3"/>
    <x v="3"/>
    <s v="ST"/>
    <n v="50"/>
  </r>
  <r>
    <s v=".1~449"/>
    <n v="449"/>
    <s v="D2"/>
    <s v="08"/>
    <s v="03"/>
    <x v="57"/>
    <n v="15"/>
    <n v="73"/>
    <x v="2"/>
    <x v="3"/>
    <x v="3"/>
    <s v="ST"/>
    <n v="134"/>
  </r>
  <r>
    <s v=".1~450"/>
    <n v="450"/>
    <s v="D2"/>
    <s v="08"/>
    <s v="03"/>
    <x v="57"/>
    <n v="15"/>
    <n v="73"/>
    <x v="2"/>
    <x v="4"/>
    <x v="4"/>
    <s v="ST"/>
    <n v="51"/>
  </r>
  <r>
    <s v=".1~451"/>
    <n v="451"/>
    <s v="D2"/>
    <s v="08"/>
    <s v="03"/>
    <x v="57"/>
    <n v="15"/>
    <n v="73"/>
    <x v="1"/>
    <x v="4"/>
    <x v="4"/>
    <s v="ST"/>
    <n v="28"/>
  </r>
  <r>
    <s v=".1~452"/>
    <n v="452"/>
    <s v="D2"/>
    <s v="08"/>
    <s v="03"/>
    <x v="57"/>
    <n v="15"/>
    <n v="73"/>
    <x v="0"/>
    <x v="4"/>
    <x v="4"/>
    <s v="ST"/>
    <n v="34"/>
  </r>
  <r>
    <s v=".1~453"/>
    <n v="453"/>
    <s v="D2"/>
    <s v="08"/>
    <s v="03"/>
    <x v="57"/>
    <n v="15"/>
    <n v="73"/>
    <x v="0"/>
    <x v="5"/>
    <x v="5"/>
    <s v="ST"/>
    <n v="7"/>
  </r>
  <r>
    <s v=".1~454"/>
    <n v="454"/>
    <s v="D2"/>
    <s v="08"/>
    <s v="03"/>
    <x v="57"/>
    <n v="15"/>
    <n v="73"/>
    <x v="1"/>
    <x v="5"/>
    <x v="5"/>
    <s v="ST"/>
    <n v="65"/>
  </r>
  <r>
    <s v=".1~455"/>
    <n v="455"/>
    <s v="D2"/>
    <s v="08"/>
    <s v="03"/>
    <x v="57"/>
    <n v="15"/>
    <n v="73"/>
    <x v="2"/>
    <x v="5"/>
    <x v="5"/>
    <s v="ST"/>
    <n v="45"/>
  </r>
  <r>
    <s v=".1~456"/>
    <n v="456"/>
    <s v="D2"/>
    <s v="08"/>
    <s v="05"/>
    <x v="58"/>
    <n v="15"/>
    <n v="75"/>
    <x v="0"/>
    <x v="0"/>
    <x v="0"/>
    <s v="ST"/>
    <n v="44"/>
  </r>
  <r>
    <s v=".1~457"/>
    <n v="457"/>
    <s v="D2"/>
    <s v="08"/>
    <s v="05"/>
    <x v="58"/>
    <n v="15"/>
    <n v="75"/>
    <x v="1"/>
    <x v="0"/>
    <x v="0"/>
    <s v="ST"/>
    <n v="106"/>
  </r>
  <r>
    <s v=".1~458"/>
    <n v="458"/>
    <s v="D2"/>
    <s v="08"/>
    <s v="05"/>
    <x v="58"/>
    <n v="15"/>
    <n v="75"/>
    <x v="2"/>
    <x v="0"/>
    <x v="0"/>
    <s v="ST"/>
    <n v="50"/>
  </r>
  <r>
    <s v=".1~459"/>
    <n v="459"/>
    <s v="D2"/>
    <s v="08"/>
    <s v="05"/>
    <x v="58"/>
    <n v="15"/>
    <n v="75"/>
    <x v="0"/>
    <x v="1"/>
    <x v="1"/>
    <s v="ST"/>
    <n v="20"/>
  </r>
  <r>
    <s v=".1~460"/>
    <n v="460"/>
    <s v="D2"/>
    <s v="08"/>
    <s v="05"/>
    <x v="58"/>
    <n v="15"/>
    <n v="75"/>
    <x v="2"/>
    <x v="2"/>
    <x v="2"/>
    <s v="ST"/>
    <n v="57"/>
  </r>
  <r>
    <s v=".1~461"/>
    <n v="461"/>
    <s v="D2"/>
    <s v="08"/>
    <s v="05"/>
    <x v="58"/>
    <n v="15"/>
    <n v="75"/>
    <x v="1"/>
    <x v="2"/>
    <x v="2"/>
    <s v="ST"/>
    <n v="66"/>
  </r>
  <r>
    <s v=".1~462"/>
    <n v="462"/>
    <s v="D2"/>
    <s v="08"/>
    <s v="05"/>
    <x v="58"/>
    <n v="15"/>
    <n v="75"/>
    <x v="0"/>
    <x v="2"/>
    <x v="2"/>
    <s v="ST"/>
    <n v="182"/>
  </r>
  <r>
    <s v=".1~463"/>
    <n v="463"/>
    <s v="D2"/>
    <s v="08"/>
    <s v="05"/>
    <x v="58"/>
    <n v="15"/>
    <n v="75"/>
    <x v="0"/>
    <x v="3"/>
    <x v="3"/>
    <s v="ST"/>
    <n v="18"/>
  </r>
  <r>
    <s v=".1~464"/>
    <n v="464"/>
    <s v="D2"/>
    <s v="08"/>
    <s v="05"/>
    <x v="58"/>
    <n v="15"/>
    <n v="75"/>
    <x v="1"/>
    <x v="3"/>
    <x v="3"/>
    <s v="ST"/>
    <n v="1"/>
  </r>
  <r>
    <s v=".1~465"/>
    <n v="465"/>
    <s v="D2"/>
    <s v="08"/>
    <s v="05"/>
    <x v="58"/>
    <n v="15"/>
    <n v="75"/>
    <x v="2"/>
    <x v="3"/>
    <x v="3"/>
    <s v="ST"/>
    <n v="54"/>
  </r>
  <r>
    <s v=".1~466"/>
    <n v="466"/>
    <s v="D2"/>
    <s v="08"/>
    <s v="05"/>
    <x v="58"/>
    <n v="15"/>
    <n v="75"/>
    <x v="0"/>
    <x v="4"/>
    <x v="4"/>
    <s v="ST"/>
    <n v="54"/>
  </r>
  <r>
    <s v=".1~467"/>
    <n v="467"/>
    <s v="D2"/>
    <s v="08"/>
    <s v="05"/>
    <x v="58"/>
    <n v="15"/>
    <n v="75"/>
    <x v="1"/>
    <x v="4"/>
    <x v="4"/>
    <s v="ST"/>
    <n v="17"/>
  </r>
  <r>
    <s v=".1~468"/>
    <n v="468"/>
    <s v="D2"/>
    <s v="08"/>
    <s v="05"/>
    <x v="58"/>
    <n v="15"/>
    <n v="75"/>
    <x v="1"/>
    <x v="5"/>
    <x v="5"/>
    <s v="ST"/>
    <n v="53"/>
  </r>
  <r>
    <s v=".1~469"/>
    <n v="469"/>
    <s v="D2"/>
    <s v="08"/>
    <s v="07"/>
    <x v="59"/>
    <n v="16"/>
    <n v="77"/>
    <x v="2"/>
    <x v="1"/>
    <x v="1"/>
    <s v="ST"/>
    <n v="25"/>
  </r>
  <r>
    <s v=".1~470"/>
    <n v="470"/>
    <s v="D2"/>
    <s v="08"/>
    <s v="07"/>
    <x v="59"/>
    <n v="16"/>
    <n v="77"/>
    <x v="1"/>
    <x v="1"/>
    <x v="1"/>
    <s v="ST"/>
    <n v="1"/>
  </r>
  <r>
    <s v=".1~471"/>
    <n v="471"/>
    <s v="D2"/>
    <s v="08"/>
    <s v="07"/>
    <x v="59"/>
    <n v="16"/>
    <n v="77"/>
    <x v="0"/>
    <x v="1"/>
    <x v="1"/>
    <s v="ST"/>
    <n v="14"/>
  </r>
  <r>
    <s v=".1~472"/>
    <n v="472"/>
    <s v="D2"/>
    <s v="08"/>
    <s v="08"/>
    <x v="60"/>
    <n v="16"/>
    <n v="78"/>
    <x v="0"/>
    <x v="0"/>
    <x v="0"/>
    <s v="ST"/>
    <n v="100"/>
  </r>
  <r>
    <s v=".1~473"/>
    <n v="473"/>
    <s v="D2"/>
    <s v="08"/>
    <s v="08"/>
    <x v="60"/>
    <n v="16"/>
    <n v="78"/>
    <x v="1"/>
    <x v="0"/>
    <x v="0"/>
    <s v="ST"/>
    <n v="427"/>
  </r>
  <r>
    <s v=".1~474"/>
    <n v="474"/>
    <s v="D2"/>
    <s v="08"/>
    <s v="08"/>
    <x v="60"/>
    <n v="16"/>
    <n v="78"/>
    <x v="2"/>
    <x v="0"/>
    <x v="0"/>
    <s v="ST"/>
    <n v="98"/>
  </r>
  <r>
    <s v=".1~475"/>
    <n v="475"/>
    <s v="D2"/>
    <s v="08"/>
    <s v="08"/>
    <x v="60"/>
    <n v="16"/>
    <n v="78"/>
    <x v="0"/>
    <x v="1"/>
    <x v="1"/>
    <s v="ST"/>
    <n v="13"/>
  </r>
  <r>
    <s v=".1~476"/>
    <n v="476"/>
    <s v="D2"/>
    <s v="08"/>
    <s v="08"/>
    <x v="60"/>
    <n v="16"/>
    <n v="78"/>
    <x v="2"/>
    <x v="1"/>
    <x v="1"/>
    <s v="ST"/>
    <n v="25"/>
  </r>
  <r>
    <s v=".1~477"/>
    <n v="477"/>
    <s v="D2"/>
    <s v="08"/>
    <s v="08"/>
    <x v="60"/>
    <n v="16"/>
    <n v="78"/>
    <x v="2"/>
    <x v="2"/>
    <x v="2"/>
    <s v="ST"/>
    <n v="65"/>
  </r>
  <r>
    <s v=".1~478"/>
    <n v="478"/>
    <s v="D2"/>
    <s v="08"/>
    <s v="08"/>
    <x v="60"/>
    <n v="16"/>
    <n v="78"/>
    <x v="1"/>
    <x v="2"/>
    <x v="2"/>
    <s v="ST"/>
    <n v="57"/>
  </r>
  <r>
    <s v=".1~479"/>
    <n v="479"/>
    <s v="D2"/>
    <s v="08"/>
    <s v="08"/>
    <x v="60"/>
    <n v="16"/>
    <n v="78"/>
    <x v="0"/>
    <x v="2"/>
    <x v="2"/>
    <s v="ST"/>
    <n v="281"/>
  </r>
  <r>
    <s v=".1~480"/>
    <n v="480"/>
    <s v="D2"/>
    <s v="08"/>
    <s v="08"/>
    <x v="60"/>
    <n v="16"/>
    <n v="78"/>
    <x v="0"/>
    <x v="3"/>
    <x v="3"/>
    <s v="ST"/>
    <n v="33"/>
  </r>
  <r>
    <s v=".1~481"/>
    <n v="481"/>
    <s v="D2"/>
    <s v="08"/>
    <s v="08"/>
    <x v="60"/>
    <n v="16"/>
    <n v="78"/>
    <x v="1"/>
    <x v="3"/>
    <x v="3"/>
    <s v="ST"/>
    <n v="15"/>
  </r>
  <r>
    <s v=".1~482"/>
    <n v="482"/>
    <s v="D2"/>
    <s v="08"/>
    <s v="08"/>
    <x v="60"/>
    <n v="16"/>
    <n v="78"/>
    <x v="2"/>
    <x v="3"/>
    <x v="3"/>
    <s v="ST"/>
    <n v="106"/>
  </r>
  <r>
    <s v=".1~483"/>
    <n v="483"/>
    <s v="D2"/>
    <s v="08"/>
    <s v="08"/>
    <x v="60"/>
    <n v="16"/>
    <n v="78"/>
    <x v="0"/>
    <x v="4"/>
    <x v="4"/>
    <s v="ST"/>
    <n v="120"/>
  </r>
  <r>
    <s v=".1~484"/>
    <n v="484"/>
    <s v="D2"/>
    <s v="08"/>
    <s v="08"/>
    <x v="60"/>
    <n v="16"/>
    <n v="78"/>
    <x v="1"/>
    <x v="4"/>
    <x v="4"/>
    <s v="ST"/>
    <n v="37"/>
  </r>
  <r>
    <s v=".1~485"/>
    <n v="485"/>
    <s v="D2"/>
    <s v="08"/>
    <s v="08"/>
    <x v="60"/>
    <n v="16"/>
    <n v="78"/>
    <x v="2"/>
    <x v="4"/>
    <x v="4"/>
    <s v="ST"/>
    <n v="30"/>
  </r>
  <r>
    <s v=".1~486"/>
    <n v="486"/>
    <s v="D2"/>
    <s v="08"/>
    <s v="08"/>
    <x v="60"/>
    <n v="16"/>
    <n v="78"/>
    <x v="0"/>
    <x v="5"/>
    <x v="5"/>
    <s v="ST"/>
    <n v="31"/>
  </r>
  <r>
    <s v=".1~487"/>
    <n v="487"/>
    <s v="D2"/>
    <s v="08"/>
    <s v="08"/>
    <x v="60"/>
    <n v="16"/>
    <n v="78"/>
    <x v="2"/>
    <x v="5"/>
    <x v="5"/>
    <s v="ST"/>
    <n v="33"/>
  </r>
  <r>
    <s v=".1~488"/>
    <n v="488"/>
    <s v="D2"/>
    <s v="08"/>
    <s v="08"/>
    <x v="60"/>
    <n v="16"/>
    <n v="78"/>
    <x v="1"/>
    <x v="5"/>
    <x v="5"/>
    <s v="ST"/>
    <n v="100"/>
  </r>
  <r>
    <m/>
    <m/>
    <m/>
    <m/>
    <m/>
    <x v="61"/>
    <m/>
    <m/>
    <x v="3"/>
    <x v="6"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79D3C-E8DB-9C48-823C-31D1D98246E3}" name="PivotTable4" cacheId="15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I82" firstHeaderRow="1" firstDataRow="4" firstDataCol="1"/>
  <pivotFields count="22">
    <pivotField showAll="0"/>
    <pivotField showAll="0"/>
    <pivotField showAll="0"/>
    <pivotField showAll="0"/>
    <pivotField showAll="0"/>
    <pivotField axis="axisRow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7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Col" showAll="0">
      <items count="8">
        <item x="0"/>
        <item x="3"/>
        <item x="1"/>
        <item x="2"/>
        <item x="4"/>
        <item x="5"/>
        <item x="6"/>
        <item t="default"/>
      </items>
    </pivotField>
    <pivotField axis="axisCol" showAll="0">
      <items count="8">
        <item x="4"/>
        <item x="2"/>
        <item x="3"/>
        <item x="5"/>
        <item x="0"/>
        <item x="1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3">
    <field x="13"/>
    <field x="14"/>
    <field x="10"/>
  </colFields>
  <colItems count="34">
    <i>
      <x/>
      <x v="4"/>
      <x/>
    </i>
    <i r="2">
      <x v="1"/>
    </i>
    <i r="2">
      <x v="2"/>
    </i>
    <i t="default" r="1">
      <x v="4"/>
    </i>
    <i t="default">
      <x/>
    </i>
    <i>
      <x v="1"/>
      <x v="2"/>
      <x/>
    </i>
    <i r="2">
      <x v="1"/>
    </i>
    <i r="2">
      <x v="2"/>
    </i>
    <i t="default" r="1">
      <x v="2"/>
    </i>
    <i t="default">
      <x v="1"/>
    </i>
    <i>
      <x v="2"/>
      <x v="5"/>
      <x/>
    </i>
    <i r="2">
      <x v="1"/>
    </i>
    <i r="2">
      <x v="2"/>
    </i>
    <i t="default" r="1">
      <x v="5"/>
    </i>
    <i t="default">
      <x v="2"/>
    </i>
    <i>
      <x v="3"/>
      <x v="1"/>
      <x/>
    </i>
    <i r="2">
      <x v="1"/>
    </i>
    <i r="2">
      <x v="2"/>
    </i>
    <i t="default" r="1">
      <x v="1"/>
    </i>
    <i t="default">
      <x v="3"/>
    </i>
    <i>
      <x v="4"/>
      <x/>
      <x/>
    </i>
    <i r="2">
      <x v="1"/>
    </i>
    <i r="2">
      <x v="2"/>
    </i>
    <i t="default" r="1">
      <x/>
    </i>
    <i t="default">
      <x v="4"/>
    </i>
    <i>
      <x v="5"/>
      <x v="3"/>
      <x/>
    </i>
    <i r="2">
      <x v="1"/>
    </i>
    <i r="2">
      <x v="2"/>
    </i>
    <i t="default" r="1">
      <x v="3"/>
    </i>
    <i t="default">
      <x v="5"/>
    </i>
    <i>
      <x v="6"/>
      <x v="6"/>
      <x v="3"/>
    </i>
    <i t="default" r="1">
      <x v="6"/>
    </i>
    <i t="default">
      <x v="6"/>
    </i>
    <i t="grand">
      <x/>
    </i>
  </colItems>
  <dataFields count="1">
    <dataField name="Sum of QUANTITY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65F66-CC72-B84E-9D6C-B54FA01BD277}" name="PivotTable6" cacheId="15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O87" firstHeaderRow="1" firstDataRow="4" firstDataCol="1"/>
  <pivotFields count="13">
    <pivotField showAll="0"/>
    <pivotField showAll="0"/>
    <pivotField showAll="0"/>
    <pivotField showAll="0"/>
    <pivotField showAll="0"/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7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8">
        <item x="4"/>
        <item x="3"/>
        <item x="1"/>
        <item x="5"/>
        <item x="0"/>
        <item x="2"/>
        <item x="6"/>
        <item t="default"/>
      </items>
    </pivotField>
    <pivotField dataField="1" showAll="0"/>
    <pivotField showAll="0"/>
  </pivotFields>
  <rowFields count="1">
    <field x="5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Fields count="3">
    <field x="9"/>
    <field x="10"/>
    <field x="8"/>
  </colFields>
  <colItems count="40">
    <i>
      <x/>
      <x v="4"/>
      <x/>
    </i>
    <i r="2">
      <x v="1"/>
    </i>
    <i r="2">
      <x v="2"/>
    </i>
    <i r="2">
      <x v="3"/>
    </i>
    <i t="default" r="1">
      <x v="4"/>
    </i>
    <i t="default">
      <x/>
    </i>
    <i>
      <x v="1"/>
      <x v="2"/>
      <x/>
    </i>
    <i r="2">
      <x v="1"/>
    </i>
    <i r="2">
      <x v="2"/>
    </i>
    <i r="2">
      <x v="3"/>
    </i>
    <i t="default" r="1">
      <x v="2"/>
    </i>
    <i t="default">
      <x v="1"/>
    </i>
    <i>
      <x v="2"/>
      <x v="5"/>
      <x/>
    </i>
    <i r="2">
      <x v="1"/>
    </i>
    <i r="2">
      <x v="2"/>
    </i>
    <i r="2">
      <x v="3"/>
    </i>
    <i t="default" r="1">
      <x v="5"/>
    </i>
    <i t="default">
      <x v="2"/>
    </i>
    <i>
      <x v="3"/>
      <x v="1"/>
      <x/>
    </i>
    <i r="2">
      <x v="1"/>
    </i>
    <i r="2">
      <x v="2"/>
    </i>
    <i r="2">
      <x v="3"/>
    </i>
    <i t="default" r="1">
      <x v="1"/>
    </i>
    <i t="default">
      <x v="3"/>
    </i>
    <i>
      <x v="4"/>
      <x/>
      <x/>
    </i>
    <i r="2">
      <x v="1"/>
    </i>
    <i r="2">
      <x v="2"/>
    </i>
    <i r="2">
      <x v="3"/>
    </i>
    <i t="default" r="1">
      <x/>
    </i>
    <i t="default">
      <x v="4"/>
    </i>
    <i>
      <x v="5"/>
      <x v="3"/>
      <x/>
    </i>
    <i r="2">
      <x v="1"/>
    </i>
    <i r="2">
      <x v="2"/>
    </i>
    <i r="2">
      <x v="3"/>
    </i>
    <i t="default" r="1">
      <x v="3"/>
    </i>
    <i t="default">
      <x v="5"/>
    </i>
    <i>
      <x v="6"/>
      <x v="6"/>
      <x v="4"/>
    </i>
    <i t="default" r="1">
      <x v="6"/>
    </i>
    <i t="default">
      <x v="6"/>
    </i>
    <i t="grand">
      <x/>
    </i>
  </colItems>
  <dataFields count="1">
    <dataField name="Sum of INVENTORY_OPENING_BALAN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C14B6-627F-AC43-8891-C6ED6B1AE5CB}" name="PivotTable9" cacheId="15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15" firstHeaderRow="1" firstDataRow="3" firstDataCol="1"/>
  <pivotFields count="22"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8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0"/>
        <item x="3"/>
        <item x="1"/>
        <item x="2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3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Sum of COST" fld="20" baseField="0" baseItem="0"/>
    <dataField name="Sum of NET_VALU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10781-AF18-124F-8599-ACAA606D780E}" name="PivotTable7" cacheId="157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" firstHeaderRow="0" firstDataRow="0" firstDataCol="0"/>
  <pivotFields count="13">
    <pivotField showAll="0"/>
    <pivotField showAll="0"/>
    <pivotField showAll="0"/>
    <pivotField showAll="0"/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6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8">
        <item x="4"/>
        <item x="3"/>
        <item x="1"/>
        <item x="5"/>
        <item x="0"/>
        <item x="2"/>
        <item x="6"/>
        <item t="default"/>
      </items>
    </pivotField>
    <pivotField showAll="0"/>
    <pivotField dataField="1" showAll="0"/>
  </pivotFields>
  <rowFields count="1">
    <field x="5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3">
    <field x="9"/>
    <field x="10"/>
    <field x="8"/>
  </colFields>
  <colItems count="34">
    <i>
      <x/>
      <x v="4"/>
      <x/>
    </i>
    <i r="2">
      <x v="1"/>
    </i>
    <i r="2">
      <x v="2"/>
    </i>
    <i t="default" r="1">
      <x v="4"/>
    </i>
    <i t="default">
      <x/>
    </i>
    <i>
      <x v="1"/>
      <x v="2"/>
      <x/>
    </i>
    <i r="2">
      <x v="1"/>
    </i>
    <i r="2">
      <x v="2"/>
    </i>
    <i t="default" r="1">
      <x v="2"/>
    </i>
    <i t="default">
      <x v="1"/>
    </i>
    <i>
      <x v="2"/>
      <x v="5"/>
      <x/>
    </i>
    <i r="2">
      <x v="1"/>
    </i>
    <i r="2">
      <x v="2"/>
    </i>
    <i t="default" r="1">
      <x v="5"/>
    </i>
    <i t="default">
      <x v="2"/>
    </i>
    <i>
      <x v="3"/>
      <x v="1"/>
      <x/>
    </i>
    <i r="2">
      <x v="1"/>
    </i>
    <i r="2">
      <x v="2"/>
    </i>
    <i t="default" r="1">
      <x v="1"/>
    </i>
    <i t="default">
      <x v="3"/>
    </i>
    <i>
      <x v="4"/>
      <x/>
      <x/>
    </i>
    <i r="2">
      <x v="1"/>
    </i>
    <i r="2">
      <x v="2"/>
    </i>
    <i t="default" r="1">
      <x/>
    </i>
    <i t="default">
      <x v="4"/>
    </i>
    <i>
      <x v="5"/>
      <x v="3"/>
      <x/>
    </i>
    <i r="2">
      <x v="1"/>
    </i>
    <i r="2">
      <x v="2"/>
    </i>
    <i t="default" r="1">
      <x v="3"/>
    </i>
    <i t="default">
      <x v="5"/>
    </i>
    <i>
      <x v="6"/>
      <x v="6"/>
      <x v="3"/>
    </i>
    <i t="default" r="1">
      <x v="6"/>
    </i>
    <i t="default">
      <x v="6"/>
    </i>
    <i t="grand">
      <x/>
    </i>
  </colItems>
  <dataFields count="1">
    <dataField name="Sum of QUANTITY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7D5E4-4BAC-6041-90A0-586845B2AFE2}" name="PivotTable3" cacheId="15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3" firstHeaderRow="0" firstDataRow="1" firstDataCol="1"/>
  <pivotFields count="20">
    <pivotField showAll="0"/>
    <pivotField showAll="0"/>
    <pivotField showAll="0"/>
    <pivotField showAll="0"/>
    <pivotField showAll="0"/>
    <pivotField axis="axisRow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7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MPANY_VALUATION" fld="18" baseField="0" baseItem="0"/>
    <dataField name="Sum of PROFIT" fld="12" baseField="0" baseItem="0"/>
    <dataField name="Sum of BANK_CASH_AC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DB83D93-684D-834D-B39A-35B515132E46}" autoFormatId="16" applyNumberFormats="0" applyBorderFormats="0" applyFontFormats="0" applyPatternFormats="0" applyAlignmentFormats="0" applyWidthHeightFormats="0">
  <queryTableRefresh nextId="22" unboundColumnsRight="1">
    <queryTableFields count="21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BANK_CASH_ACCOUNT" tableColumnId="9"/>
      <queryTableField id="10" name="ACCOUNTS_RECEIVABLE" tableColumnId="10"/>
      <queryTableField id="11" name="BANK_LOAN" tableColumnId="11"/>
      <queryTableField id="12" name="ACCOUNTS_PAYABLE" tableColumnId="12"/>
      <queryTableField id="13" name="PROFIT" tableColumnId="13"/>
      <queryTableField id="14" name="SETUP_TIME_INVESTMENT" tableColumnId="14"/>
      <queryTableField id="15" name="DEBT_LOADING" tableColumnId="15"/>
      <queryTableField id="16" name="CREDIT_RATING" tableColumnId="16"/>
      <queryTableField id="17" name="COMPANY_RISK_RATE_PCT" tableColumnId="17"/>
      <queryTableField id="18" name="MARKET_RISK_RATE_PCT" tableColumnId="18"/>
      <queryTableField id="19" name="COMPANY_VALUATION" tableColumnId="19"/>
      <queryTableField id="20" name="CURRENCY" tableColumnId="20"/>
      <queryTableField id="21" dataBound="0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8" xr16:uid="{2DE47306-1DFC-314B-B8F9-6245D1332CFF}" autoFormatId="16" applyNumberFormats="0" applyBorderFormats="0" applyFontFormats="0" applyPatternFormats="0" applyAlignmentFormats="0" applyWidthHeightFormats="0">
  <queryTableRefresh nextId="23">
    <queryTableFields count="22">
      <queryTableField id="1" name="ID" tableColumnId="1"/>
      <queryTableField id="2" name="ROW_ID" tableColumnId="2"/>
      <queryTableField id="3" name="SALES_ORGANIZATION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ALES_ORDER_NUMBER" tableColumnId="9"/>
      <queryTableField id="10" name="LINE_ITEM" tableColumnId="10"/>
      <queryTableField id="11" name="STORAGE_LOCATION" tableColumnId="11"/>
      <queryTableField id="12" name="AREA" tableColumnId="12"/>
      <queryTableField id="13" name="DISTRIBUTION_CHANNEL" tableColumnId="13"/>
      <queryTableField id="14" name="MATERIAL_NUMBER" tableColumnId="14"/>
      <queryTableField id="15" name="MATERIAL_DESCRIPTION" tableColumnId="15"/>
      <queryTableField id="16" name="QUANTITY" tableColumnId="16"/>
      <queryTableField id="17" name="QUANTITY_DELIVERED" tableColumnId="17"/>
      <queryTableField id="18" name="UNIT" tableColumnId="18"/>
      <queryTableField id="19" name="NET_PRICE" tableColumnId="19"/>
      <queryTableField id="20" name="NET_VALUE" tableColumnId="20"/>
      <queryTableField id="21" name="COST" tableColumnId="21"/>
      <queryTableField id="22" name="CURRENCY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8" xr16:uid="{BB81BED3-4844-B043-93A1-0999727B1EF9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TORAGE_LOCATION" tableColumnId="9"/>
      <queryTableField id="10" name="MATERIAL_NUMBER" tableColumnId="10"/>
      <queryTableField id="11" name="MATERIAL_DESCRIPTION" tableColumnId="11"/>
      <queryTableField id="12" name="INVENTORY_OPENING_BALANCE" tableColumnId="12"/>
      <queryTableField id="13" name="UNIT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30" xr16:uid="{0C9B6AC0-D0D9-6044-A4A2-A0A7D2E55744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TORAGE_LOCATION" tableColumnId="9"/>
      <queryTableField id="10" name="MATERIAL_NUMBER" tableColumnId="10"/>
      <queryTableField id="11" name="MATERIAL_DESCRIPTION" tableColumnId="11"/>
      <queryTableField id="12" name="UNIT" tableColumnId="12"/>
      <queryTableField id="13" name="QUANTITY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6" xr16:uid="{F0D84856-D691-3645-93E6-D12ACFC97BA0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PURCHASING_ORDER" tableColumnId="9"/>
      <queryTableField id="10" name="VENDOR" tableColumnId="10"/>
      <queryTableField id="11" name="MATERIAL_NUMBER" tableColumnId="11"/>
      <queryTableField id="12" name="MATERIAL_DESCRIPTION" tableColumnId="12"/>
      <queryTableField id="13" name="UNIT_PRICE" tableColumnId="13"/>
      <queryTableField id="14" name="CURRENCY" tableColumnId="14"/>
      <queryTableField id="15" name="QUANTITY" tableColumnId="15"/>
      <queryTableField id="16" name="STATUS" tableColumnId="16"/>
      <queryTableField id="17" name="UNIT" tableColumnId="17"/>
      <queryTableField id="18" name="GOODS_RECEIPT_ROUND" tableColumnId="18"/>
      <queryTableField id="19" name="GOODS_RECEIPT_STEP" tableColumnId="19"/>
      <queryTableField id="20" name="GOODS_RECEIPT_DATE" tableColumnId="2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4" xr16:uid="{711F49BF-E49F-F148-8829-79F63C22624A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PRODUCTION_ORDER" tableColumnId="9"/>
      <queryTableField id="10" name="MATERIAL_NUMBER" tableColumnId="10"/>
      <queryTableField id="11" name="MATERIAL_DESCRIPTION" tableColumnId="11"/>
      <queryTableField id="12" name="BEGIN_ROUND" tableColumnId="12"/>
      <queryTableField id="13" name="BEGIN_STEP" tableColumnId="13"/>
      <queryTableField id="14" name="END_ROUND" tableColumnId="14"/>
      <queryTableField id="15" name="END_STEP" tableColumnId="15"/>
      <queryTableField id="16" name="TARGET_QUANTITY" tableColumnId="16"/>
      <queryTableField id="17" name="CONFIRMED_QUANTITY" tableColumnId="17"/>
      <queryTableField id="18" name="UNIT" tableColumnId="18"/>
      <queryTableField id="19" name="SETUP_TIME" tableColumnId="1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0" xr16:uid="{B3FEE8D8-C05A-B84C-B18D-66A3EE82C1FA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ROW_ID" tableColumnId="2"/>
      <queryTableField id="3" name="COMPANY_CODE" tableColumnId="3"/>
      <queryTableField id="4" name="SALES_ORGANIZATION" tableColumnId="4"/>
      <queryTableField id="5" name="SIM_ROUND" tableColumnId="5"/>
      <queryTableField id="6" name="SIM_PERIOD" tableColumnId="6"/>
      <queryTableField id="7" name="MATERIAL_DESCRIPTION" tableColumnId="7"/>
      <queryTableField id="8" name="DISTRIBUTION_CHANNEL" tableColumnId="8"/>
      <queryTableField id="9" name="AREA" tableColumnId="9"/>
      <queryTableField id="10" name="QUANTITY" tableColumnId="10"/>
      <queryTableField id="11" name="UNIT" tableColumnId="11"/>
      <queryTableField id="12" name="AVERAGE_PRICE" tableColumnId="12"/>
      <queryTableField id="13" name="NET_VALUE" tableColumnId="13"/>
      <queryTableField id="14" name="CURRENCY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6" xr16:uid="{F5DFFB26-E7B5-4640-BEA7-0EE13693F66E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MATERIAL_NUMBER" tableColumnId="9"/>
      <queryTableField id="10" name="QUANTITY" tableColumnId="10"/>
      <queryTableField id="11" name="UNIT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D443C60D-6CAD-B44C-95D1-16154EEF33FB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GL_ACCOUNT_NUMBER" tableColumnId="9"/>
      <queryTableField id="10" name="GL_ACCOUNT_NAME" tableColumnId="10"/>
      <queryTableField id="11" name="FS_LEVEL_1" tableColumnId="11"/>
      <queryTableField id="12" name="FS_LEVEL_2" tableColumnId="12"/>
      <queryTableField id="13" name="FS_LEVEL_3" tableColumnId="13"/>
      <queryTableField id="14" name="FS_LEVEL_4" tableColumnId="14"/>
      <queryTableField id="15" name="DEBIT_CREDIT_INDICATOR" tableColumnId="15"/>
      <queryTableField id="16" name="AMOUNT" tableColumnId="16"/>
      <queryTableField id="17" name="CURRENCY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0" xr16:uid="{BBFE28EE-73FF-3945-8EC4-5BD635690469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ROW_ID" tableColumnId="2"/>
      <queryTableField id="3" name="PLANT" tableColumnId="3"/>
      <queryTableField id="4" name="STORAGE_LOCATION" tableColumnId="4"/>
      <queryTableField id="5" name="MATERIAL_NUMBER" tableColumnId="5"/>
      <queryTableField id="6" name="MATERIAL_DESCRIPTION" tableColumnId="6"/>
      <queryTableField id="7" name="CURRENT_INVENTORY" tableColumnId="7"/>
      <queryTableField id="8" name="QUANTITY_SOLD" tableColumnId="8"/>
      <queryTableField id="9" name="UNIT" tableColumnId="9"/>
      <queryTableField id="10" name="NB_STEPS_AVAILABLE" tableColumnId="10"/>
      <queryTableField id="11" name="SIM_ELAPSED_STEPS" tableColumnId="1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8" xr16:uid="{22FD4415-DAB0-714E-B548-33B5DCCEF553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LANT" tableColumnId="3"/>
      <queryTableField id="4" name="MATERIAL_NUMBER" tableColumnId="4"/>
      <queryTableField id="5" name="MATERIAL_DESCRIPTION" tableColumnId="5"/>
      <queryTableField id="6" name="STORAGE_LOCATION" tableColumnId="6"/>
      <queryTableField id="7" name="STOCK" tableColumnId="7"/>
      <queryTableField id="8" name="RESTRICTED" tableColumnId="8"/>
      <queryTableField id="9" name="UNIT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6" xr16:uid="{B661E5D1-4F0D-0445-8C6D-29BF60F440C5}" autoFormatId="16" applyNumberFormats="0" applyBorderFormats="0" applyFontFormats="0" applyPatternFormats="0" applyAlignmentFormats="0" applyWidthHeightFormats="0">
  <queryTableRefresh nextId="9">
    <queryTableFields count="8">
      <queryTableField id="1" name="ROW_ID" tableColumnId="1"/>
      <queryTableField id="2" name="COMPANY_CODE" tableColumnId="2"/>
      <queryTableField id="3" name="GAME" tableColumnId="3"/>
      <queryTableField id="4" name="SCENARIO" tableColumnId="4"/>
      <queryTableField id="5" name="CATEGORY" tableColumnId="5"/>
      <queryTableField id="6" name="ELEMENT" tableColumnId="6"/>
      <queryTableField id="7" name="DETAIL" tableColumnId="7"/>
      <queryTableField id="8" name="VALUE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4" xr16:uid="{0F74CF42-777C-3240-916F-D0EAA16C1BE1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BANK_CASH_ACCOUNT" tableColumnId="9"/>
      <queryTableField id="10" name="ACCOUNTS_RECEIVABLE" tableColumnId="10"/>
      <queryTableField id="11" name="BANK_LOAN" tableColumnId="11"/>
      <queryTableField id="12" name="ACCOUNTS_PAYABLE" tableColumnId="12"/>
      <queryTableField id="13" name="PROFIT" tableColumnId="13"/>
      <queryTableField id="14" name="SETUP_TIME_INVESTMENT" tableColumnId="14"/>
      <queryTableField id="15" name="DEBT_LOADING" tableColumnId="15"/>
      <queryTableField id="16" name="CREDIT_RATING" tableColumnId="16"/>
      <queryTableField id="17" name="COMPANY_RISK_RATE_PCT" tableColumnId="17"/>
      <queryTableField id="18" name="MARKET_RISK_RATE_PCT" tableColumnId="18"/>
      <queryTableField id="19" name="COMPANY_VALUATION" tableColumnId="19"/>
      <queryTableField id="20" name="CURRENCY" tableColumnId="2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90613502-F74B-824A-A38C-B6080AFAE774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GL_ACCOUNT_NUMBER" tableColumnId="9"/>
      <queryTableField id="10" name="GL_ACCOUNT_NAME" tableColumnId="10"/>
      <queryTableField id="11" name="FS_LEVEL_1" tableColumnId="11"/>
      <queryTableField id="12" name="FS_LEVEL_2" tableColumnId="12"/>
      <queryTableField id="13" name="FS_LEVEL_3" tableColumnId="13"/>
      <queryTableField id="14" name="FS_LEVEL_4" tableColumnId="14"/>
      <queryTableField id="15" name="DEBIT_CREDIT_INDICATOR" tableColumnId="15"/>
      <queryTableField id="16" name="AMOUNT" tableColumnId="16"/>
      <queryTableField id="17" name="CURRENCY" tableColumnId="1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327A5B5-3326-6942-AD3E-414D92D91E4D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URCHASING_ORGANIZATION" tableColumnId="3"/>
      <queryTableField id="4" name="MATERIAL_NUMBER" tableColumnId="4"/>
      <queryTableField id="5" name="MATERIAL_DESCRIPTION" tableColumnId="5"/>
      <queryTableField id="6" name="VENDOR_CODE" tableColumnId="6"/>
      <queryTableField id="7" name="VENDOR_NAME" tableColumnId="7"/>
      <queryTableField id="8" name="PRICE" tableColumnId="8"/>
      <queryTableField id="9" name="CURRENCY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DA440FCD-997E-7E43-94A7-1046457449F0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SALES_ORGANIZATION" tableColumnId="3"/>
      <queryTableField id="4" name="MATERIAL_NUMBER" tableColumnId="4"/>
      <queryTableField id="5" name="MATERIAL_DESCRIPTION" tableColumnId="5"/>
      <queryTableField id="6" name="DISTRIBUTION_CHANNEL" tableColumnId="6"/>
      <queryTableField id="7" name="DC_NAME" tableColumnId="7"/>
      <queryTableField id="8" name="PRICE" tableColumnId="8"/>
      <queryTableField id="9" name="CURRENCY" tableColumnId="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3CDE633C-3561-CC44-8468-A7268E97DEBB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ROW_ID" tableColumnId="2"/>
      <queryTableField id="3" name="PLANT" tableColumnId="3"/>
      <queryTableField id="4" name="STORAGE_LOCATION" tableColumnId="4"/>
      <queryTableField id="5" name="MATERIAL_NUMBER" tableColumnId="5"/>
      <queryTableField id="6" name="MATERIAL_DESCRIPTION" tableColumnId="6"/>
      <queryTableField id="7" name="CURRENT_INVENTORY" tableColumnId="7"/>
      <queryTableField id="8" name="QUANTITY_SOLD" tableColumnId="8"/>
      <queryTableField id="9" name="UNIT" tableColumnId="9"/>
      <queryTableField id="10" name="NB_STEPS_AVAILABLE" tableColumnId="10"/>
      <queryTableField id="11" name="SIM_ELAPSED_STEPS" tableColumnId="1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056C0D3A-CB32-D04B-B746-8F2FE24DCF5D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LANT" tableColumnId="3"/>
      <queryTableField id="4" name="MATERIAL_NUMBER" tableColumnId="4"/>
      <queryTableField id="5" name="MATERIAL_DESCRIPTION" tableColumnId="5"/>
      <queryTableField id="6" name="STORAGE_LOCATION" tableColumnId="6"/>
      <queryTableField id="7" name="STOCK" tableColumnId="7"/>
      <queryTableField id="8" name="RESTRICTED" tableColumnId="8"/>
      <queryTableField id="9" name="UNIT" tableColumnId="9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BB79FC5-C5F8-914C-AD39-453759AAFDE5}" autoFormatId="16" applyNumberFormats="0" applyBorderFormats="0" applyFontFormats="0" applyPatternFormats="0" applyAlignmentFormats="0" applyWidthHeightFormats="0">
  <queryTableRefresh nextId="9">
    <queryTableFields count="8">
      <queryTableField id="1" name="ROW_ID" tableColumnId="1"/>
      <queryTableField id="2" name="COMPANY_CODE" tableColumnId="2"/>
      <queryTableField id="3" name="GAME" tableColumnId="3"/>
      <queryTableField id="4" name="SCENARIO" tableColumnId="4"/>
      <queryTableField id="5" name="CATEGORY" tableColumnId="5"/>
      <queryTableField id="6" name="ELEMENT" tableColumnId="6"/>
      <queryTableField id="7" name="DETAIL" tableColumnId="7"/>
      <queryTableField id="8" name="VALUE" tableColumnId="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34</v>
    <v>8</v>
    <v>66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199E99-7285-6A4E-9801-ADC6167F7908}" name="Company_Valuation" displayName="Company_Valuation" ref="A1:U82" tableType="queryTable" totalsRowCount="1">
  <autoFilter ref="A1:U81" xr:uid="{0B199E99-7285-6A4E-9801-ADC6167F7908}"/>
  <tableColumns count="21">
    <tableColumn id="1" xr3:uid="{98253AB0-6260-3F4D-9A17-75CF46767698}" uniqueName="1" name="ID" queryTableFieldId="1" dataDxfId="135" totalsRowDxfId="142"/>
    <tableColumn id="2" xr3:uid="{86D4A6AE-D81F-FD47-80FA-E5514538F7B6}" uniqueName="2" name="ROW_ID" queryTableFieldId="2"/>
    <tableColumn id="3" xr3:uid="{359F56F5-2F3F-FF49-A557-00EA99DB3812}" uniqueName="3" name="COMPANY_CODE" queryTableFieldId="3" dataDxfId="134" totalsRowDxfId="141"/>
    <tableColumn id="4" xr3:uid="{93B467C1-B3BE-AD49-9189-9BEBF268D35E}" uniqueName="4" name="SIM_ROUND" queryTableFieldId="4" dataDxfId="133" totalsRowDxfId="140"/>
    <tableColumn id="5" xr3:uid="{CAA17A51-01F9-C345-9820-FF90948B2E19}" uniqueName="5" name="SIM_STEP" queryTableFieldId="5" dataDxfId="132" totalsRowDxfId="139"/>
    <tableColumn id="6" xr3:uid="{4A85A9BA-B79D-494A-B968-64DE0E91B675}" uniqueName="6" name="SIM_DATE" queryTableFieldId="6" dataDxfId="131" totalsRowDxfId="138"/>
    <tableColumn id="7" xr3:uid="{1C873C9B-BA99-EA45-A067-0AEBA9304761}" uniqueName="7" name="SIM_PERIOD" queryTableFieldId="7"/>
    <tableColumn id="8" xr3:uid="{60945DB9-F2A0-7B4F-B661-266704D27A59}" uniqueName="8" name="SIM_ELAPSED_STEPS" queryTableFieldId="8"/>
    <tableColumn id="9" xr3:uid="{1A71FDD1-9550-5C49-8DEF-3649195EF4CB}" uniqueName="9" name="BANK_CASH_ACCOUNT" queryTableFieldId="9"/>
    <tableColumn id="10" xr3:uid="{D8D3A839-2A3F-7E4F-B99C-6F33ECD7F57D}" uniqueName="10" name="ACCOUNTS_RECEIVABLE" queryTableFieldId="10"/>
    <tableColumn id="11" xr3:uid="{F82BE104-5309-F543-85C3-B4492E14DE0C}" uniqueName="11" name="BANK_LOAN" queryTableFieldId="11"/>
    <tableColumn id="12" xr3:uid="{28627E79-6F16-0C47-AC2D-8122A1E161F8}" uniqueName="12" name="ACCOUNTS_PAYABLE" queryTableFieldId="12"/>
    <tableColumn id="13" xr3:uid="{86F7FC9C-9206-9749-89F1-50EEE0F9204A}" uniqueName="13" name="PROFIT" queryTableFieldId="13"/>
    <tableColumn id="14" xr3:uid="{5282ABA2-B1DD-D341-A4C1-D16FC6D93236}" uniqueName="14" name="SETUP_TIME_INVESTMENT" queryTableFieldId="14"/>
    <tableColumn id="15" xr3:uid="{629FEDDE-0CDE-9841-8790-4FF39614F0C7}" uniqueName="15" name="DEBT_LOADING" queryTableFieldId="15"/>
    <tableColumn id="16" xr3:uid="{845DD3DD-97CE-B34C-8D8D-3BF21342D887}" uniqueName="16" name="CREDIT_RATING" queryTableFieldId="16" dataDxfId="130" totalsRowDxfId="137"/>
    <tableColumn id="17" xr3:uid="{E658892A-4D7F-7A4A-9F9E-BEC08304BCA7}" uniqueName="17" name="COMPANY_RISK_RATE_PCT" queryTableFieldId="17"/>
    <tableColumn id="18" xr3:uid="{86F9E3C8-CCC8-E340-85E2-786050C09683}" uniqueName="18" name="MARKET_RISK_RATE_PCT" queryTableFieldId="18"/>
    <tableColumn id="19" xr3:uid="{A29E5093-7F45-BB48-8C43-26FA80A2FEB0}" uniqueName="19" name="COMPANY_VALUATION" queryTableFieldId="19"/>
    <tableColumn id="20" xr3:uid="{013F8E25-CA16-4448-A617-3F8D75008543}" uniqueName="20" name="CURRENCY" queryTableFieldId="20" dataDxfId="129" totalsRowDxfId="136"/>
    <tableColumn id="21" xr3:uid="{B393D6F0-C391-8249-9A8D-6F5A815E2D3C}" uniqueName="21" name="Rate Profit" queryTableFieldId="21" dataDxfId="128">
      <calculatedColumnFormula>Company_Valuation[[#This Row],[PROFIT]]/Company_Valuation[[#This Row],[COMPANY_VALUATION]]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1E01476-95BB-AF4C-9DF4-217E47A562E1}" name="Sales__2" displayName="Sales__2" ref="A1:V682" tableType="queryTable" totalsRowShown="0">
  <autoFilter ref="A1:V682" xr:uid="{81E01476-95BB-AF4C-9DF4-217E47A562E1}"/>
  <tableColumns count="22">
    <tableColumn id="1" xr3:uid="{C482E4B1-E0DD-AB40-81C1-051441853439}" uniqueName="1" name="ID" queryTableFieldId="1" dataDxfId="112"/>
    <tableColumn id="2" xr3:uid="{65895B98-B078-4D40-B1B6-2C181C30582C}" uniqueName="2" name="ROW_ID" queryTableFieldId="2"/>
    <tableColumn id="3" xr3:uid="{3EC510B2-A92B-214B-874A-06DEA7FF4D24}" uniqueName="3" name="SALES_ORGANIZATION" queryTableFieldId="3" dataDxfId="111"/>
    <tableColumn id="4" xr3:uid="{88CB50E6-DA75-4D4B-811C-551147EC50B2}" uniqueName="4" name="SIM_ROUND" queryTableFieldId="4" dataDxfId="110"/>
    <tableColumn id="5" xr3:uid="{1F3254AB-0F21-AC4F-90BA-5D238EDFFC11}" uniqueName="5" name="SIM_STEP" queryTableFieldId="5" dataDxfId="109"/>
    <tableColumn id="6" xr3:uid="{7F186936-ADBE-684C-B343-D47631BF12DE}" uniqueName="6" name="SIM_DATE" queryTableFieldId="6" dataDxfId="108"/>
    <tableColumn id="7" xr3:uid="{3B3E24CF-C672-3B47-A06F-9DCCFA862D72}" uniqueName="7" name="SIM_PERIOD" queryTableFieldId="7"/>
    <tableColumn id="8" xr3:uid="{6D3F845E-A9F5-4849-B97D-3E0B3CCCE8A8}" uniqueName="8" name="SIM_ELAPSED_STEPS" queryTableFieldId="8"/>
    <tableColumn id="9" xr3:uid="{7EAB6028-C843-AF41-9A1B-D3527B13B139}" uniqueName="9" name="SALES_ORDER_NUMBER" queryTableFieldId="9" dataDxfId="107"/>
    <tableColumn id="10" xr3:uid="{0697F9EC-6E74-E64C-9B93-445AD2C5B94F}" uniqueName="10" name="LINE_ITEM" queryTableFieldId="10" dataDxfId="106"/>
    <tableColumn id="11" xr3:uid="{BCCA7765-2D58-A640-B780-D28A52413174}" uniqueName="11" name="STORAGE_LOCATION" queryTableFieldId="11" dataDxfId="105"/>
    <tableColumn id="12" xr3:uid="{07E62CEC-7D81-AA47-A013-99F98CD89E29}" uniqueName="12" name="AREA" queryTableFieldId="12" dataDxfId="104"/>
    <tableColumn id="13" xr3:uid="{524FF33A-4E73-3242-A6EF-EC982F111EAA}" uniqueName="13" name="DISTRIBUTION_CHANNEL" queryTableFieldId="13" dataDxfId="103"/>
    <tableColumn id="14" xr3:uid="{F264C97A-5FEC-BE43-9872-9982C9B20BC0}" uniqueName="14" name="MATERIAL_NUMBER" queryTableFieldId="14" dataDxfId="102"/>
    <tableColumn id="15" xr3:uid="{E3E59C38-75D2-784B-972D-42CCA78D702C}" uniqueName="15" name="MATERIAL_DESCRIPTION" queryTableFieldId="15" dataDxfId="101"/>
    <tableColumn id="16" xr3:uid="{B7057FA1-8E85-A540-B3C3-9615AAC927D7}" uniqueName="16" name="QUANTITY" queryTableFieldId="16"/>
    <tableColumn id="17" xr3:uid="{8F57562B-59C5-0644-B848-5383C5155952}" uniqueName="17" name="QUANTITY_DELIVERED" queryTableFieldId="17"/>
    <tableColumn id="18" xr3:uid="{E628BED9-DE7B-A340-8E39-2CAF35F9DA3C}" uniqueName="18" name="UNIT" queryTableFieldId="18" dataDxfId="100"/>
    <tableColumn id="19" xr3:uid="{13CF3712-5ADC-0449-BF8A-B599D947EBA4}" uniqueName="19" name="NET_PRICE" queryTableFieldId="19"/>
    <tableColumn id="20" xr3:uid="{72752DC8-3719-DB4D-879E-401B3D0D0B62}" uniqueName="20" name="NET_VALUE" queryTableFieldId="20"/>
    <tableColumn id="21" xr3:uid="{9E6154C4-A25B-B54F-85C8-ED96E61E55D6}" uniqueName="21" name="COST" queryTableFieldId="21"/>
    <tableColumn id="22" xr3:uid="{A594D97B-70B7-414F-A692-D937B7C39126}" uniqueName="22" name="CURRENCY" queryTableFieldId="22" dataDxfId="9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B838AAF-5B69-C347-ACBA-AA4E18344BF6}" name="Inventory__2" displayName="Inventory__2" ref="A1:M1945" tableType="queryTable" totalsRowShown="0">
  <autoFilter ref="A1:M1945" xr:uid="{2B838AAF-5B69-C347-ACBA-AA4E18344BF6}"/>
  <tableColumns count="13">
    <tableColumn id="1" xr3:uid="{8F4B43EE-4D71-A24D-9E4C-EC1D3E10C005}" uniqueName="1" name="ID" queryTableFieldId="1" dataDxfId="98"/>
    <tableColumn id="2" xr3:uid="{816A0590-F8DC-564C-BB54-56EF8372685F}" uniqueName="2" name="ROW_ID" queryTableFieldId="2"/>
    <tableColumn id="3" xr3:uid="{B248DA51-8805-D94C-8978-58B4676D40D3}" uniqueName="3" name="PLANT" queryTableFieldId="3" dataDxfId="97"/>
    <tableColumn id="4" xr3:uid="{29898E73-10B8-F54C-AF7E-70EA7B84F9CE}" uniqueName="4" name="SIM_ROUND" queryTableFieldId="4" dataDxfId="96"/>
    <tableColumn id="5" xr3:uid="{C37C45EE-F697-2040-8A29-D5B97A7F31B4}" uniqueName="5" name="SIM_STEP" queryTableFieldId="5" dataDxfId="95"/>
    <tableColumn id="6" xr3:uid="{CA14E875-B930-304D-A0D5-5078FB9047B8}" uniqueName="6" name="SIM_DATE" queryTableFieldId="6" dataDxfId="94"/>
    <tableColumn id="7" xr3:uid="{5DA741C4-70E7-DA4C-8023-C0075F8FA1AB}" uniqueName="7" name="SIM_PERIOD" queryTableFieldId="7"/>
    <tableColumn id="8" xr3:uid="{66215C64-B528-5D4D-989F-F8491E8F9DF1}" uniqueName="8" name="SIM_ELAPSED_STEPS" queryTableFieldId="8"/>
    <tableColumn id="9" xr3:uid="{53FCC73D-245A-6D4F-8F1A-123A884AAF51}" uniqueName="9" name="STORAGE_LOCATION" queryTableFieldId="9" dataDxfId="93"/>
    <tableColumn id="10" xr3:uid="{FAA53FA1-2006-9942-B882-48498F9BA722}" uniqueName="10" name="MATERIAL_NUMBER" queryTableFieldId="10" dataDxfId="92"/>
    <tableColumn id="11" xr3:uid="{90B42CE3-3BD4-0041-BC6E-235364438570}" uniqueName="11" name="MATERIAL_DESCRIPTION" queryTableFieldId="11" dataDxfId="91"/>
    <tableColumn id="12" xr3:uid="{B1AB4D4A-4AE5-694A-9E5F-6EB2A2D87037}" uniqueName="12" name="INVENTORY_OPENING_BALANCE" queryTableFieldId="12"/>
    <tableColumn id="13" xr3:uid="{A0F6001A-0AFA-E346-BCAE-05A6DC81B5B1}" uniqueName="13" name="UNIT" queryTableFieldId="13" dataDxfId="9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384A458-EF51-904C-9C9A-3DED48A46872}" name="Stock_Transfers__2" displayName="Stock_Transfers__2" ref="A1:M500" tableType="queryTable" totalsRowShown="0">
  <autoFilter ref="A1:M500" xr:uid="{A384A458-EF51-904C-9C9A-3DED48A46872}"/>
  <tableColumns count="13">
    <tableColumn id="1" xr3:uid="{D1974DB1-BBE4-CA46-8786-19DE67B042EA}" uniqueName="1" name="ID" queryTableFieldId="1" dataDxfId="89"/>
    <tableColumn id="2" xr3:uid="{EF754880-F1F0-984E-9A01-85E297B7D3D6}" uniqueName="2" name="ROW_ID" queryTableFieldId="2"/>
    <tableColumn id="3" xr3:uid="{EC1F33E3-8151-5145-8BD6-08E88C879333}" uniqueName="3" name="PLANT" queryTableFieldId="3" dataDxfId="88"/>
    <tableColumn id="4" xr3:uid="{FBB860BB-03BB-0348-8872-D7D97C310C47}" uniqueName="4" name="SIM_ROUND" queryTableFieldId="4" dataDxfId="87"/>
    <tableColumn id="5" xr3:uid="{CF3379FF-0494-8E48-9FA9-CF498F6B0D66}" uniqueName="5" name="SIM_STEP" queryTableFieldId="5" dataDxfId="86"/>
    <tableColumn id="6" xr3:uid="{A9E286F7-14C3-9D43-AC90-E53F54CAE44E}" uniqueName="6" name="SIM_DATE" queryTableFieldId="6" dataDxfId="85"/>
    <tableColumn id="7" xr3:uid="{3782648C-BB9E-BE46-9200-B91A573E0041}" uniqueName="7" name="SIM_PERIOD" queryTableFieldId="7"/>
    <tableColumn id="8" xr3:uid="{58E815E3-C6F8-DA4B-B0CB-CE79248A11A0}" uniqueName="8" name="SIM_ELAPSED_STEPS" queryTableFieldId="8"/>
    <tableColumn id="9" xr3:uid="{ADAB41E4-D1AF-9348-A144-0ED70909623F}" uniqueName="9" name="STORAGE_LOCATION" queryTableFieldId="9" dataDxfId="84"/>
    <tableColumn id="10" xr3:uid="{9C1458CF-95F4-684D-881C-3D81D78E6F84}" uniqueName="10" name="MATERIAL_NUMBER" queryTableFieldId="10" dataDxfId="83"/>
    <tableColumn id="11" xr3:uid="{9AB1BE00-AE44-A342-B920-29AF02C2F23D}" uniqueName="11" name="MATERIAL_DESCRIPTION" queryTableFieldId="11" dataDxfId="82"/>
    <tableColumn id="12" xr3:uid="{A96943D2-C8DC-C74F-8484-C531D92A1A86}" uniqueName="12" name="UNIT" queryTableFieldId="12" dataDxfId="81"/>
    <tableColumn id="13" xr3:uid="{41E2A29E-B811-1F4C-B2A3-4C57D3F6FB0E}" uniqueName="13" name="QUANTITY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A7452E0-C58C-3A42-8459-6C61C7224F1C}" name="Purchase_Orders__2" displayName="Purchase_Orders__2" ref="A1:T92" tableType="queryTable" totalsRowShown="0">
  <autoFilter ref="A1:T92" xr:uid="{7A7452E0-C58C-3A42-8459-6C61C7224F1C}"/>
  <tableColumns count="20">
    <tableColumn id="1" xr3:uid="{2EE88D43-7FD7-B941-8E3F-40F5D8FC84CE}" uniqueName="1" name="ID" queryTableFieldId="1" dataDxfId="127"/>
    <tableColumn id="2" xr3:uid="{6BCD83E1-1B7E-9C41-973C-643BD8DD6DA5}" uniqueName="2" name="ROW_ID" queryTableFieldId="2"/>
    <tableColumn id="3" xr3:uid="{F73CFFD4-B091-444E-81A8-3C4623410954}" uniqueName="3" name="COMPANY_CODE" queryTableFieldId="3" dataDxfId="126"/>
    <tableColumn id="4" xr3:uid="{E86CDE40-6157-5F45-B231-2AC3FA6390D7}" uniqueName="4" name="SIM_ROUND" queryTableFieldId="4" dataDxfId="125"/>
    <tableColumn id="5" xr3:uid="{13532CE3-935E-5C43-A23C-E745A8886B1D}" uniqueName="5" name="SIM_STEP" queryTableFieldId="5" dataDxfId="124"/>
    <tableColumn id="6" xr3:uid="{7C543DF6-8146-2A43-BB50-3CF11AECE656}" uniqueName="6" name="SIM_DATE" queryTableFieldId="6" dataDxfId="123"/>
    <tableColumn id="7" xr3:uid="{BA774F33-545D-734D-A7A9-BDD26D2721D5}" uniqueName="7" name="SIM_PERIOD" queryTableFieldId="7"/>
    <tableColumn id="8" xr3:uid="{8749D8F0-E377-4249-8313-B5CDFC64A7F5}" uniqueName="8" name="SIM_ELAPSED_STEPS" queryTableFieldId="8"/>
    <tableColumn id="9" xr3:uid="{25B3748F-2265-6C42-AB3E-16D389653134}" uniqueName="9" name="PURCHASING_ORDER" queryTableFieldId="9" dataDxfId="122"/>
    <tableColumn id="10" xr3:uid="{DEFA0432-9696-3144-9775-D196A9BA6937}" uniqueName="10" name="VENDOR" queryTableFieldId="10" dataDxfId="121"/>
    <tableColumn id="11" xr3:uid="{79F024BD-FA8C-084A-A61F-A8AD596297AC}" uniqueName="11" name="MATERIAL_NUMBER" queryTableFieldId="11" dataDxfId="120"/>
    <tableColumn id="12" xr3:uid="{302DDC3C-5132-254E-A4BD-08D607A418F3}" uniqueName="12" name="MATERIAL_DESCRIPTION" queryTableFieldId="12" dataDxfId="119"/>
    <tableColumn id="13" xr3:uid="{E7FF3D24-9821-E042-B96B-2FF45E9A6F6A}" uniqueName="13" name="UNIT_PRICE" queryTableFieldId="13"/>
    <tableColumn id="14" xr3:uid="{51206E8A-CEB0-2E49-AFD0-CA3B186A5D47}" uniqueName="14" name="CURRENCY" queryTableFieldId="14" dataDxfId="118"/>
    <tableColumn id="15" xr3:uid="{EB68DB44-72E6-3646-8319-F4C378304E93}" uniqueName="15" name="QUANTITY" queryTableFieldId="15"/>
    <tableColumn id="16" xr3:uid="{46992964-9EEF-7D4A-86BB-DC83E615C64F}" uniqueName="16" name="STATUS" queryTableFieldId="16" dataDxfId="117"/>
    <tableColumn id="17" xr3:uid="{13AA62F7-5E53-8449-BFCA-D3EBBD7DC758}" uniqueName="17" name="UNIT" queryTableFieldId="17" dataDxfId="116"/>
    <tableColumn id="18" xr3:uid="{A9CB5CFC-A7DC-A247-BEDA-8BF4F5DEFC04}" uniqueName="18" name="GOODS_RECEIPT_ROUND" queryTableFieldId="18" dataDxfId="115"/>
    <tableColumn id="19" xr3:uid="{5CF68BA3-44C1-5C4E-8900-0B91877356B3}" uniqueName="19" name="GOODS_RECEIPT_STEP" queryTableFieldId="19" dataDxfId="114"/>
    <tableColumn id="20" xr3:uid="{4170E45B-6054-084C-BC55-3B3BB3974B29}" uniqueName="20" name="GOODS_RECEIPT_DATE" queryTableFieldId="20" dataDxfId="1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E25DC36-84FF-8C43-AF72-EDFB5B10D922}" name="Production_Orders__2" displayName="Production_Orders__2" ref="A1:S2" tableType="queryTable" insertRow="1" totalsRowShown="0">
  <autoFilter ref="A1:S2" xr:uid="{3E25DC36-84FF-8C43-AF72-EDFB5B10D922}"/>
  <tableColumns count="19">
    <tableColumn id="1" xr3:uid="{96B3E010-D843-CA4A-8619-9D31074F3B53}" uniqueName="1" name="ID" queryTableFieldId="1" dataDxfId="80"/>
    <tableColumn id="2" xr3:uid="{FDED82CC-0EDE-964C-828B-4E2A8A08AED5}" uniqueName="2" name="ROW_ID" queryTableFieldId="2"/>
    <tableColumn id="3" xr3:uid="{94AB20E6-64BF-5E40-BC5E-0B3653C2EF05}" uniqueName="3" name="COMPANY_CODE" queryTableFieldId="3" dataDxfId="79"/>
    <tableColumn id="4" xr3:uid="{054B2247-3628-234D-8DF1-1E9BA824C83C}" uniqueName="4" name="SIM_ROUND" queryTableFieldId="4" dataDxfId="78"/>
    <tableColumn id="5" xr3:uid="{DEE04EBF-1BC9-4145-A55E-C2C1411839C4}" uniqueName="5" name="SIM_STEP" queryTableFieldId="5" dataDxfId="77"/>
    <tableColumn id="6" xr3:uid="{BA358339-E26B-7E4E-81FF-1F548A7171B6}" uniqueName="6" name="SIM_DATE" queryTableFieldId="6" dataDxfId="76"/>
    <tableColumn id="7" xr3:uid="{8E253164-A267-FE45-995C-1F04D6FDBDC2}" uniqueName="7" name="SIM_PERIOD" queryTableFieldId="7"/>
    <tableColumn id="8" xr3:uid="{0D3CFC09-6D40-334C-A05E-71086D522DFE}" uniqueName="8" name="SIM_ELAPSED_STEPS" queryTableFieldId="8"/>
    <tableColumn id="9" xr3:uid="{7F31A082-E59C-734A-92AF-54BD693CB632}" uniqueName="9" name="PRODUCTION_ORDER" queryTableFieldId="9" dataDxfId="75"/>
    <tableColumn id="10" xr3:uid="{7DF72685-4A43-4D41-B10D-11DB31732AD3}" uniqueName="10" name="MATERIAL_NUMBER" queryTableFieldId="10" dataDxfId="74"/>
    <tableColumn id="11" xr3:uid="{2AFB8FB7-69C6-0444-8BC5-0DA3002BF4DF}" uniqueName="11" name="MATERIAL_DESCRIPTION" queryTableFieldId="11" dataDxfId="73"/>
    <tableColumn id="12" xr3:uid="{3A0B6CBD-659F-3E4A-892F-C470A9A568D0}" uniqueName="12" name="BEGIN_ROUND" queryTableFieldId="12" dataDxfId="72"/>
    <tableColumn id="13" xr3:uid="{D66FAAF3-2BCE-FD4D-85B4-4B1F3BCB3C8E}" uniqueName="13" name="BEGIN_STEP" queryTableFieldId="13" dataDxfId="71"/>
    <tableColumn id="14" xr3:uid="{D8E350B1-42E5-2B43-BDDA-758FEB36EFCD}" uniqueName="14" name="END_ROUND" queryTableFieldId="14" dataDxfId="70"/>
    <tableColumn id="15" xr3:uid="{CF560141-2479-AD4C-94E3-7863B099B2DB}" uniqueName="15" name="END_STEP" queryTableFieldId="15" dataDxfId="69"/>
    <tableColumn id="16" xr3:uid="{D96BF70D-C3D9-0E41-AE5B-6F5D3A0E84A0}" uniqueName="16" name="TARGET_QUANTITY" queryTableFieldId="16"/>
    <tableColumn id="17" xr3:uid="{F475FF86-73FA-DD4E-9D12-469A19B4650C}" uniqueName="17" name="CONFIRMED_QUANTITY" queryTableFieldId="17"/>
    <tableColumn id="18" xr3:uid="{2E34B2C6-D3D2-C34F-AF69-D7C2F7D83F35}" uniqueName="18" name="UNIT" queryTableFieldId="18" dataDxfId="68"/>
    <tableColumn id="19" xr3:uid="{A1DEC1E4-8D78-864A-953B-639C9D269EC8}" uniqueName="19" name="SETUP_TIME" queryTableField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BC9F266-D1B5-0046-83EE-5AC0A435846A}" name="Market__2" displayName="Market__2" ref="A1:N282" tableType="queryTable" totalsRowShown="0">
  <autoFilter ref="A1:N282" xr:uid="{6BC9F266-D1B5-0046-83EE-5AC0A435846A}"/>
  <tableColumns count="14">
    <tableColumn id="1" xr3:uid="{4C567CC4-8F4D-0541-B825-E0A918DBAED4}" uniqueName="1" name="ID" queryTableFieldId="1" dataDxfId="67"/>
    <tableColumn id="2" xr3:uid="{73C97E2F-B21D-BD4F-84D6-CABD55C60682}" uniqueName="2" name="ROW_ID" queryTableFieldId="2"/>
    <tableColumn id="3" xr3:uid="{2025533D-492F-A04B-A17D-DD3636591FEB}" uniqueName="3" name="COMPANY_CODE" queryTableFieldId="3" dataDxfId="66"/>
    <tableColumn id="4" xr3:uid="{FC1D1325-F693-D040-A286-865321426493}" uniqueName="4" name="SALES_ORGANIZATION" queryTableFieldId="4" dataDxfId="65"/>
    <tableColumn id="5" xr3:uid="{576DB43E-BDC3-FD49-8B27-8CC0B929591B}" uniqueName="5" name="SIM_ROUND" queryTableFieldId="5" dataDxfId="64"/>
    <tableColumn id="6" xr3:uid="{AAF24B0D-0206-B248-A91B-3086D57436DC}" uniqueName="6" name="SIM_PERIOD" queryTableFieldId="6"/>
    <tableColumn id="7" xr3:uid="{CCF402BE-1CA9-9041-9814-67BFFD301C7B}" uniqueName="7" name="MATERIAL_DESCRIPTION" queryTableFieldId="7" dataDxfId="63"/>
    <tableColumn id="8" xr3:uid="{84C46C1E-6190-D449-931A-E9BDD687F041}" uniqueName="8" name="DISTRIBUTION_CHANNEL" queryTableFieldId="8" dataDxfId="62"/>
    <tableColumn id="9" xr3:uid="{B9D96617-5938-234D-8713-F949A3B6DC6C}" uniqueName="9" name="AREA" queryTableFieldId="9" dataDxfId="61"/>
    <tableColumn id="10" xr3:uid="{24E79499-EFE1-974A-B154-8FCE088980F4}" uniqueName="10" name="QUANTITY" queryTableFieldId="10"/>
    <tableColumn id="11" xr3:uid="{15D60568-35DF-6541-A501-4EF0C0ABB5F7}" uniqueName="11" name="UNIT" queryTableFieldId="11" dataDxfId="60"/>
    <tableColumn id="12" xr3:uid="{15D73F8D-BA9B-D345-95CD-EFFE86449816}" uniqueName="12" name="AVERAGE_PRICE" queryTableFieldId="12"/>
    <tableColumn id="13" xr3:uid="{6BA6FC7E-A6D7-734F-9259-F5AA9838DC98}" uniqueName="13" name="NET_VALUE" queryTableFieldId="13"/>
    <tableColumn id="14" xr3:uid="{47C571E1-26F4-6140-9D5E-6A46A078684D}" uniqueName="14" name="CURRENCY" queryTableFieldId="14" dataDxfId="5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1FA3A30-E278-0042-96C5-73F25C07AEAC}" name="Independent_Requirements__2" displayName="Independent_Requirements__2" ref="A1:K42" tableType="queryTable" totalsRowShown="0">
  <autoFilter ref="A1:K42" xr:uid="{01FA3A30-E278-0042-96C5-73F25C07AEAC}"/>
  <tableColumns count="11">
    <tableColumn id="1" xr3:uid="{64520D74-293D-B64C-AA62-1EC26DACCB2B}" uniqueName="1" name="ID" queryTableFieldId="1" dataDxfId="58"/>
    <tableColumn id="2" xr3:uid="{47C04846-1814-574C-BD4B-2ED7DC9F8221}" uniqueName="2" name="ROW_ID" queryTableFieldId="2"/>
    <tableColumn id="3" xr3:uid="{35FFAA9C-7B30-354D-8018-40C49EF74698}" uniqueName="3" name="PLANT" queryTableFieldId="3" dataDxfId="57"/>
    <tableColumn id="4" xr3:uid="{BC518307-6F34-5D48-9458-101E6D3A2A9D}" uniqueName="4" name="SIM_ROUND" queryTableFieldId="4" dataDxfId="56"/>
    <tableColumn id="5" xr3:uid="{23A669CE-A7D0-AF45-82CB-75D69D3D92DE}" uniqueName="5" name="SIM_STEP" queryTableFieldId="5" dataDxfId="55"/>
    <tableColumn id="6" xr3:uid="{66F58977-9E3F-404C-83FC-E20C0F3723D1}" uniqueName="6" name="SIM_DATE" queryTableFieldId="6" dataDxfId="54"/>
    <tableColumn id="7" xr3:uid="{8F71BC9E-CF9C-114B-AD39-5DEF3E293246}" uniqueName="7" name="SIM_PERIOD" queryTableFieldId="7"/>
    <tableColumn id="8" xr3:uid="{9A00D028-41D9-AD41-9D78-2D44C0A46ADF}" uniqueName="8" name="SIM_ELAPSED_STEPS" queryTableFieldId="8"/>
    <tableColumn id="9" xr3:uid="{1A7169BE-3E32-6F4D-A40E-A4F0D9C235DD}" uniqueName="9" name="MATERIAL_NUMBER" queryTableFieldId="9" dataDxfId="53"/>
    <tableColumn id="10" xr3:uid="{E6626297-CA2A-2B43-944D-81FA94C5B359}" uniqueName="10" name="QUANTITY" queryTableFieldId="10"/>
    <tableColumn id="11" xr3:uid="{43C99EB5-BA37-6041-B2D3-6A1BA1E56312}" uniqueName="11" name="UNIT" queryTableFieldId="11" dataDxfId="5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7970032-72EC-074E-B4EF-FAA4E7CA782A}" name="Financial_Postings__2" displayName="Financial_Postings__2" ref="A1:Q698" tableType="queryTable" totalsRowShown="0">
  <autoFilter ref="A1:Q698" xr:uid="{B7970032-72EC-074E-B4EF-FAA4E7CA782A}"/>
  <tableColumns count="17">
    <tableColumn id="1" xr3:uid="{BBA17197-F755-0948-92E8-374D3CEAB8B4}" uniqueName="1" name="ID" queryTableFieldId="1" dataDxfId="51"/>
    <tableColumn id="2" xr3:uid="{B2D4E493-396D-E546-8D08-FE64DF898731}" uniqueName="2" name="ROW_ID" queryTableFieldId="2"/>
    <tableColumn id="3" xr3:uid="{A236748F-4039-8245-A661-DA714115E521}" uniqueName="3" name="COMPANY_CODE" queryTableFieldId="3" dataDxfId="50"/>
    <tableColumn id="4" xr3:uid="{F8027789-622D-9446-9244-C4E1C0C11227}" uniqueName="4" name="SIM_ROUND" queryTableFieldId="4" dataDxfId="49"/>
    <tableColumn id="5" xr3:uid="{B3CB85BB-92B8-6A4E-AFE3-3B8D0F66413C}" uniqueName="5" name="SIM_STEP" queryTableFieldId="5" dataDxfId="48"/>
    <tableColumn id="6" xr3:uid="{DEBCBB16-4656-6140-9A3A-61A066AFD95C}" uniqueName="6" name="SIM_DATE" queryTableFieldId="6" dataDxfId="47"/>
    <tableColumn id="7" xr3:uid="{9EA3EB05-3D9A-1548-AA6E-1D2D792109DE}" uniqueName="7" name="SIM_PERIOD" queryTableFieldId="7"/>
    <tableColumn id="8" xr3:uid="{194BEA91-CC09-1B46-AD09-66428E6F3407}" uniqueName="8" name="SIM_ELAPSED_STEPS" queryTableFieldId="8"/>
    <tableColumn id="9" xr3:uid="{B4C6E124-C52E-EA49-852F-EE6F02731903}" uniqueName="9" name="GL_ACCOUNT_NUMBER" queryTableFieldId="9" dataDxfId="46"/>
    <tableColumn id="10" xr3:uid="{34905708-15C2-034D-AE62-9471FB55081A}" uniqueName="10" name="GL_ACCOUNT_NAME" queryTableFieldId="10" dataDxfId="45"/>
    <tableColumn id="11" xr3:uid="{C68272D5-0A52-9841-9EAF-9EF361798237}" uniqueName="11" name="FS_LEVEL_1" queryTableFieldId="11" dataDxfId="44"/>
    <tableColumn id="12" xr3:uid="{06C434E2-36D0-2043-BAD0-2C50E739ED9C}" uniqueName="12" name="FS_LEVEL_2" queryTableFieldId="12" dataDxfId="43"/>
    <tableColumn id="13" xr3:uid="{74B4A9BF-B0C9-2E42-A7A3-79F48C3605E2}" uniqueName="13" name="FS_LEVEL_3" queryTableFieldId="13" dataDxfId="42"/>
    <tableColumn id="14" xr3:uid="{4E036939-B867-9D43-8324-C22DC19A9E34}" uniqueName="14" name="FS_LEVEL_4" queryTableFieldId="14" dataDxfId="41"/>
    <tableColumn id="15" xr3:uid="{A14A6582-11AB-6146-ABF9-08E7F70DE649}" uniqueName="15" name="DEBIT_CREDIT_INDICATOR" queryTableFieldId="15" dataDxfId="40"/>
    <tableColumn id="16" xr3:uid="{75ABE9E9-3608-0045-85CE-D0DAF693B453}" uniqueName="16" name="AMOUNT" queryTableFieldId="16"/>
    <tableColumn id="17" xr3:uid="{7283D701-08BD-1443-AD5D-642DD6F7F3B7}" uniqueName="17" name="CURRENCY" queryTableFieldId="17" dataDxfId="3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5C63447-BDC0-EB47-B27F-2685C1D5F587}" name="Current_Inventory_KPI__2" displayName="Current_Inventory_KPI__2" ref="A1:K25" tableType="queryTable" totalsRowShown="0">
  <autoFilter ref="A1:K25" xr:uid="{95C63447-BDC0-EB47-B27F-2685C1D5F587}"/>
  <tableColumns count="11">
    <tableColumn id="1" xr3:uid="{2304B695-A057-814E-A17C-EB73716FA873}" uniqueName="1" name="ID" queryTableFieldId="1" dataDxfId="38"/>
    <tableColumn id="2" xr3:uid="{1E37E2C9-55CE-A344-8DF2-7F87A763A76F}" uniqueName="2" name="ROW_ID" queryTableFieldId="2"/>
    <tableColumn id="3" xr3:uid="{2ECDC1EA-985E-5746-A541-A35CE4BA8E2C}" uniqueName="3" name="PLANT" queryTableFieldId="3" dataDxfId="37"/>
    <tableColumn id="4" xr3:uid="{8EBD23E5-6ADD-8A48-BA06-9B1140861F3F}" uniqueName="4" name="STORAGE_LOCATION" queryTableFieldId="4" dataDxfId="36"/>
    <tableColumn id="5" xr3:uid="{44A0A5EC-8B4F-3547-BFE6-05345F5B0F0D}" uniqueName="5" name="MATERIAL_NUMBER" queryTableFieldId="5" dataDxfId="35"/>
    <tableColumn id="6" xr3:uid="{37065CF3-266C-0A44-9783-30F50C2005C7}" uniqueName="6" name="MATERIAL_DESCRIPTION" queryTableFieldId="6" dataDxfId="34"/>
    <tableColumn id="7" xr3:uid="{179B5C1A-D030-4146-8C95-A522B391D8BA}" uniqueName="7" name="CURRENT_INVENTORY" queryTableFieldId="7"/>
    <tableColumn id="8" xr3:uid="{BA462F5A-DC82-F243-9981-EBC314EDA13A}" uniqueName="8" name="QUANTITY_SOLD" queryTableFieldId="8"/>
    <tableColumn id="9" xr3:uid="{8633FBE2-F730-D941-B5E1-93D43566DF50}" uniqueName="9" name="UNIT" queryTableFieldId="9" dataDxfId="33"/>
    <tableColumn id="10" xr3:uid="{A0A32DF6-CCF7-2D47-8F24-01110C5AC534}" uniqueName="10" name="NB_STEPS_AVAILABLE" queryTableFieldId="10"/>
    <tableColumn id="11" xr3:uid="{41BA9B3D-8378-F141-976F-197A9D7837C1}" uniqueName="11" name="SIM_ELAPSED_STEPS" queryTableFieldId="1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DF6D47-9411-B34B-93E4-57819F97E10B}" name="Current_Inventory__2" displayName="Current_Inventory__2" ref="A1:I25" tableType="queryTable" totalsRowShown="0">
  <autoFilter ref="A1:I25" xr:uid="{35DF6D47-9411-B34B-93E4-57819F97E10B}"/>
  <tableColumns count="9">
    <tableColumn id="1" xr3:uid="{75D541F4-BCA2-5847-AC30-4CEFB6FC1DF1}" uniqueName="1" name="ID" queryTableFieldId="1" dataDxfId="32"/>
    <tableColumn id="2" xr3:uid="{028B4C01-2631-C941-83BE-BCCF3308732E}" uniqueName="2" name="ROW_ID" queryTableFieldId="2"/>
    <tableColumn id="3" xr3:uid="{44322D38-59E6-2F4D-A8D7-7ECD0CA19EF9}" uniqueName="3" name="PLANT" queryTableFieldId="3" dataDxfId="31"/>
    <tableColumn id="4" xr3:uid="{B92029CB-1DE4-0346-A32D-23881AB144A2}" uniqueName="4" name="MATERIAL_NUMBER" queryTableFieldId="4" dataDxfId="30"/>
    <tableColumn id="5" xr3:uid="{FAD29C0D-AB16-B145-BBA2-45D668487F55}" uniqueName="5" name="MATERIAL_DESCRIPTION" queryTableFieldId="5" dataDxfId="29"/>
    <tableColumn id="6" xr3:uid="{8E57FA38-AAD0-7D40-A886-6583DAE24999}" uniqueName="6" name="STORAGE_LOCATION" queryTableFieldId="6" dataDxfId="28"/>
    <tableColumn id="7" xr3:uid="{30050D94-9D48-8C4F-AD71-6BCADB10121C}" uniqueName="7" name="STOCK" queryTableFieldId="7"/>
    <tableColumn id="8" xr3:uid="{CC7F4CA2-F389-6041-B8BC-C9D437D60B37}" uniqueName="8" name="RESTRICTED" queryTableFieldId="8"/>
    <tableColumn id="9" xr3:uid="{063F8495-AC21-F842-A670-9D7E92784BFE}" uniqueName="9" name="UNIT" queryTableFieldId="9" dataDxfId="2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80A44-3A40-FD48-8A75-6D7F8AFB4A49}" name="Current_Game_Rules__2" displayName="Current_Game_Rules__2" ref="A1:H22" tableType="queryTable" totalsRowShown="0">
  <autoFilter ref="A1:H22" xr:uid="{22780A44-3A40-FD48-8A75-6D7F8AFB4A49}"/>
  <tableColumns count="8">
    <tableColumn id="1" xr3:uid="{72EBBD55-BEEA-CC4E-816A-63E388B4476B}" uniqueName="1" name="ROW_ID" queryTableFieldId="1"/>
    <tableColumn id="2" xr3:uid="{91CD9FCF-1C9A-B448-90BF-1641B34FFAEC}" uniqueName="2" name="COMPANY_CODE" queryTableFieldId="2" dataDxfId="26"/>
    <tableColumn id="3" xr3:uid="{09FEE5D8-69C2-3844-AE0A-C13A78C931F5}" uniqueName="3" name="GAME" queryTableFieldId="3" dataDxfId="25"/>
    <tableColumn id="4" xr3:uid="{907BAB2F-990F-4D40-9737-556EF0D914DF}" uniqueName="4" name="SCENARIO" queryTableFieldId="4" dataDxfId="24"/>
    <tableColumn id="5" xr3:uid="{AA5DBB4A-21EB-E548-8136-FED4EB779DE9}" uniqueName="5" name="CATEGORY" queryTableFieldId="5" dataDxfId="23"/>
    <tableColumn id="6" xr3:uid="{722BF053-D62C-884C-9BC8-AB5DEBB8F42C}" uniqueName="6" name="ELEMENT" queryTableFieldId="6" dataDxfId="22"/>
    <tableColumn id="7" xr3:uid="{4958B118-4550-7A41-B807-7B714F222533}" uniqueName="7" name="DETAIL" queryTableFieldId="7" dataDxfId="21"/>
    <tableColumn id="8" xr3:uid="{72479A61-4C4C-E94D-A6EC-9F9E4390613C}" uniqueName="8" name="VALUE" queryTableFieldId="8" dataDxfId="2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A97F1-3C3A-8F46-9F99-ECA068647E08}" name="Company_Valuation__2" displayName="Company_Valuation__2" ref="A1:T81" tableType="queryTable" totalsRowShown="0">
  <autoFilter ref="A1:T81" xr:uid="{D0BA97F1-3C3A-8F46-9F99-ECA068647E08}"/>
  <tableColumns count="20">
    <tableColumn id="1" xr3:uid="{CBFB8A97-88DC-564D-A386-07618CDAC64E}" uniqueName="1" name="ID" queryTableFieldId="1" dataDxfId="19"/>
    <tableColumn id="2" xr3:uid="{8FB43846-05E4-3143-8554-A4DBC36FE5B8}" uniqueName="2" name="ROW_ID" queryTableFieldId="2"/>
    <tableColumn id="3" xr3:uid="{AFA8A204-B54A-DE4B-B905-C7A4C6E6BBBB}" uniqueName="3" name="COMPANY_CODE" queryTableFieldId="3" dataDxfId="18"/>
    <tableColumn id="4" xr3:uid="{A2DE71F6-EB0D-C24B-B5B0-BC8E41E98835}" uniqueName="4" name="SIM_ROUND" queryTableFieldId="4" dataDxfId="17"/>
    <tableColumn id="5" xr3:uid="{29FA9814-658A-174A-AF70-EA3BDE2128D8}" uniqueName="5" name="SIM_STEP" queryTableFieldId="5" dataDxfId="16"/>
    <tableColumn id="6" xr3:uid="{7A7F272E-2B7D-E944-A2C4-4AE85CA4D9D1}" uniqueName="6" name="SIM_DATE" queryTableFieldId="6" dataDxfId="15"/>
    <tableColumn id="7" xr3:uid="{7A222AA9-FC90-934D-832C-883710E7C271}" uniqueName="7" name="SIM_PERIOD" queryTableFieldId="7"/>
    <tableColumn id="8" xr3:uid="{0AC389D9-355D-CE40-87ED-5F6184764EB8}" uniqueName="8" name="SIM_ELAPSED_STEPS" queryTableFieldId="8"/>
    <tableColumn id="9" xr3:uid="{FAF11875-48AC-3F4D-8963-00920A45049A}" uniqueName="9" name="BANK_CASH_ACCOUNT" queryTableFieldId="9"/>
    <tableColumn id="10" xr3:uid="{39E9B0C3-DBCD-4345-91D8-D7441B45B494}" uniqueName="10" name="ACCOUNTS_RECEIVABLE" queryTableFieldId="10"/>
    <tableColumn id="11" xr3:uid="{E57A26B5-6CFE-4D42-899D-053177E85003}" uniqueName="11" name="BANK_LOAN" queryTableFieldId="11"/>
    <tableColumn id="12" xr3:uid="{4B820522-7EC4-0B45-A8E4-5A5EA67C3217}" uniqueName="12" name="ACCOUNTS_PAYABLE" queryTableFieldId="12"/>
    <tableColumn id="13" xr3:uid="{D8A7218B-73AA-414C-BCBF-D072AA49F299}" uniqueName="13" name="PROFIT" queryTableFieldId="13"/>
    <tableColumn id="14" xr3:uid="{EFC81309-98F6-8C49-8D7E-9D0C11435A76}" uniqueName="14" name="SETUP_TIME_INVESTMENT" queryTableFieldId="14"/>
    <tableColumn id="15" xr3:uid="{5C37CBC5-FAD7-FA43-9E72-4151C7A72B5E}" uniqueName="15" name="DEBT_LOADING" queryTableFieldId="15"/>
    <tableColumn id="16" xr3:uid="{C98E1C06-D7B8-EB47-98A4-6E913D3149F8}" uniqueName="16" name="CREDIT_RATING" queryTableFieldId="16" dataDxfId="14"/>
    <tableColumn id="17" xr3:uid="{979FF30D-F0F3-454C-9AE1-FF9725EE7009}" uniqueName="17" name="COMPANY_RISK_RATE_PCT" queryTableFieldId="17"/>
    <tableColumn id="18" xr3:uid="{A6A64862-02BF-A145-B5DD-9D1D2AD3F1C7}" uniqueName="18" name="MARKET_RISK_RATE_PCT" queryTableFieldId="18"/>
    <tableColumn id="19" xr3:uid="{2235C9ED-AA4C-714F-A101-6F7D730B607C}" uniqueName="19" name="COMPANY_VALUATION" queryTableFieldId="19"/>
    <tableColumn id="20" xr3:uid="{3C493C29-4E63-984B-9302-BD774BEBE0EB}" uniqueName="20" name="CURRENCY" queryTableFieldId="20" dataDxfId="1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D55396-4011-1D4B-9625-64EFFCDE3334}" name="Financial_Postings" displayName="Financial_Postings" ref="A1:Q698" tableType="queryTable" totalsRowShown="0">
  <autoFilter ref="A1:Q698" xr:uid="{CBD55396-4011-1D4B-9625-64EFFCDE3334}"/>
  <tableColumns count="17">
    <tableColumn id="1" xr3:uid="{D5110A18-9A86-8B47-93AF-35F40E381FE1}" uniqueName="1" name="ID" queryTableFieldId="1" dataDxfId="12"/>
    <tableColumn id="2" xr3:uid="{2F227E55-AD8D-2348-B578-965DB0B1BF37}" uniqueName="2" name="ROW_ID" queryTableFieldId="2"/>
    <tableColumn id="3" xr3:uid="{F09BE3CB-BB27-3B45-BA1C-A2BDDF8EF446}" uniqueName="3" name="COMPANY_CODE" queryTableFieldId="3" dataDxfId="11"/>
    <tableColumn id="4" xr3:uid="{61312C86-970C-FC46-A774-F7174F4626EF}" uniqueName="4" name="SIM_ROUND" queryTableFieldId="4" dataDxfId="10"/>
    <tableColumn id="5" xr3:uid="{99190C05-418D-CB4B-B93A-8043EC6285F9}" uniqueName="5" name="SIM_STEP" queryTableFieldId="5" dataDxfId="9"/>
    <tableColumn id="6" xr3:uid="{7ECE4259-54AB-6B40-B642-B3C973537043}" uniqueName="6" name="SIM_DATE" queryTableFieldId="6" dataDxfId="8"/>
    <tableColumn id="7" xr3:uid="{27D3CE99-A7C4-D448-A7AB-62AF01E12DE0}" uniqueName="7" name="SIM_PERIOD" queryTableFieldId="7"/>
    <tableColumn id="8" xr3:uid="{B4480AAF-4300-ED42-AF8D-1F090FC3FEC0}" uniqueName="8" name="SIM_ELAPSED_STEPS" queryTableFieldId="8"/>
    <tableColumn id="9" xr3:uid="{DA89F5AD-8F57-2445-8542-7ADA795A48B0}" uniqueName="9" name="GL_ACCOUNT_NUMBER" queryTableFieldId="9" dataDxfId="7"/>
    <tableColumn id="10" xr3:uid="{BF38EC4E-5E4B-EC4A-A69A-FBD8BA5DD6C1}" uniqueName="10" name="GL_ACCOUNT_NAME" queryTableFieldId="10" dataDxfId="6"/>
    <tableColumn id="11" xr3:uid="{A05BD8D6-3A94-4142-B122-C6A8F6AB93AD}" uniqueName="11" name="FS_LEVEL_1" queryTableFieldId="11" dataDxfId="5"/>
    <tableColumn id="12" xr3:uid="{B5D9DEBD-E413-0E49-8210-2BA25FC4FB8C}" uniqueName="12" name="FS_LEVEL_2" queryTableFieldId="12" dataDxfId="4"/>
    <tableColumn id="13" xr3:uid="{DDBF8575-84EF-984C-91A9-8E06DB1E1B87}" uniqueName="13" name="FS_LEVEL_3" queryTableFieldId="13" dataDxfId="3"/>
    <tableColumn id="14" xr3:uid="{AEFDFE0D-BE34-B146-9AF1-7A4FA7049F79}" uniqueName="14" name="FS_LEVEL_4" queryTableFieldId="14" dataDxfId="2"/>
    <tableColumn id="15" xr3:uid="{98815472-B4AE-7D44-9C13-3327E24E2F26}" uniqueName="15" name="DEBIT_CREDIT_INDICATOR" queryTableFieldId="15" dataDxfId="1"/>
    <tableColumn id="16" xr3:uid="{CD33EA83-0D9E-B542-8353-BC4113187E5E}" uniqueName="16" name="AMOUNT" queryTableFieldId="16"/>
    <tableColumn id="17" xr3:uid="{259C6091-C6DB-0149-AD05-5D218306C5E7}" uniqueName="17" name="CURRENCY" queryTableFieldId="17" dataDxfId="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F88606-BC40-014D-BDF2-816F55A57283}" name="Current_Suppliers_Prices" displayName="Current_Suppliers_Prices" ref="A1:I7" tableType="queryTable" totalsRowShown="0">
  <autoFilter ref="A1:I7" xr:uid="{22F88606-BC40-014D-BDF2-816F55A57283}"/>
  <tableColumns count="9">
    <tableColumn id="1" xr3:uid="{70A2777B-B881-234A-A3F9-958D39850A32}" uniqueName="1" name="ID" queryTableFieldId="1" dataDxfId="175"/>
    <tableColumn id="2" xr3:uid="{4E1C036F-372E-D940-A019-C2CDA76E687E}" uniqueName="2" name="ROW_ID" queryTableFieldId="2"/>
    <tableColumn id="3" xr3:uid="{44D0FD97-A563-314B-BD73-7ED8F7B6476F}" uniqueName="3" name="PURCHASING_ORGANIZATION" queryTableFieldId="3" dataDxfId="174"/>
    <tableColumn id="4" xr3:uid="{C232C230-E3D0-1C43-B16F-9B9C5EA46BB2}" uniqueName="4" name="MATERIAL_NUMBER" queryTableFieldId="4" dataDxfId="173"/>
    <tableColumn id="5" xr3:uid="{B6F3F51E-05FB-354D-A56F-C4B8A00D47F8}" uniqueName="5" name="MATERIAL_DESCRIPTION" queryTableFieldId="5" dataDxfId="172"/>
    <tableColumn id="6" xr3:uid="{FA0566AF-DC27-864A-AE00-286F5293AF04}" uniqueName="6" name="VENDOR_CODE" queryTableFieldId="6" dataDxfId="171"/>
    <tableColumn id="7" xr3:uid="{75AFF957-F2F6-1441-9305-33FA08781887}" uniqueName="7" name="VENDOR_NAME" queryTableFieldId="7" dataDxfId="170"/>
    <tableColumn id="8" xr3:uid="{270773B5-42BF-A549-B029-860522B6EA7A}" uniqueName="8" name="PRICE" queryTableFieldId="8"/>
    <tableColumn id="9" xr3:uid="{C76FC952-9184-8E46-AB52-E832EFD73D3F}" uniqueName="9" name="CURRENCY" queryTableFieldId="9" dataDxfId="169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C9DDCA-5EFB-A941-A14F-1D611CA7FD34}" name="Current_Pricing_Conditions" displayName="Current_Pricing_Conditions" ref="A1:I7" tableType="queryTable" totalsRowShown="0">
  <autoFilter ref="A1:I7" xr:uid="{1FC9DDCA-5EFB-A941-A14F-1D611CA7FD34}"/>
  <tableColumns count="9">
    <tableColumn id="1" xr3:uid="{9F2C3596-E5E8-EE4A-B8B7-09B93F5FB41C}" uniqueName="1" name="ID" queryTableFieldId="1" dataDxfId="168"/>
    <tableColumn id="2" xr3:uid="{AE9B5234-3D44-194A-B47A-4CFB1CE21F0A}" uniqueName="2" name="ROW_ID" queryTableFieldId="2"/>
    <tableColumn id="3" xr3:uid="{6B51A8E4-D940-9340-AD7C-4322D7EBBEFA}" uniqueName="3" name="SALES_ORGANIZATION" queryTableFieldId="3" dataDxfId="167"/>
    <tableColumn id="4" xr3:uid="{C0B423FD-38F7-8648-8A97-51D37E46E7CC}" uniqueName="4" name="MATERIAL_NUMBER" queryTableFieldId="4" dataDxfId="166"/>
    <tableColumn id="5" xr3:uid="{612DC6C9-EF00-4649-90BD-0AB3C75A06DF}" uniqueName="5" name="MATERIAL_DESCRIPTION" queryTableFieldId="5" dataDxfId="165"/>
    <tableColumn id="6" xr3:uid="{AD033E40-20AE-2B46-88AE-103578EDFEC2}" uniqueName="6" name="DISTRIBUTION_CHANNEL" queryTableFieldId="6" dataDxfId="164"/>
    <tableColumn id="7" xr3:uid="{DA3A9203-343A-E743-800E-CCB7D5FEE529}" uniqueName="7" name="DC_NAME" queryTableFieldId="7" dataDxfId="163"/>
    <tableColumn id="8" xr3:uid="{FA4E10EE-BF2B-7749-9E9C-D6A94B47F94C}" uniqueName="8" name="PRICE" queryTableFieldId="8"/>
    <tableColumn id="9" xr3:uid="{DA492317-15EB-B941-9B6A-AF5A15CF0F22}" uniqueName="9" name="CURRENCY" queryTableFieldId="9" dataDxfId="16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2F361E-E6C2-7446-8DA7-BFA6C73957D0}" name="Current_Inventory_KPI" displayName="Current_Inventory_KPI" ref="A1:K25" tableType="queryTable" totalsRowShown="0">
  <autoFilter ref="A1:K25" xr:uid="{AD2F361E-E6C2-7446-8DA7-BFA6C73957D0}"/>
  <tableColumns count="11">
    <tableColumn id="1" xr3:uid="{2F66AB57-9AA5-4544-A58F-36F89ECC10D9}" uniqueName="1" name="ID" queryTableFieldId="1" dataDxfId="161"/>
    <tableColumn id="2" xr3:uid="{67E2FD28-0BD0-E040-B494-419786863991}" uniqueName="2" name="ROW_ID" queryTableFieldId="2"/>
    <tableColumn id="3" xr3:uid="{445D3EDF-8ABF-0F4A-891D-E0177C65BB0C}" uniqueName="3" name="PLANT" queryTableFieldId="3" dataDxfId="160"/>
    <tableColumn id="4" xr3:uid="{0EA43E2C-B796-F740-8FA1-361D49A1F901}" uniqueName="4" name="STORAGE_LOCATION" queryTableFieldId="4" dataDxfId="159"/>
    <tableColumn id="5" xr3:uid="{E2D10E54-5EA6-7F4D-813B-E73A287AFBA7}" uniqueName="5" name="MATERIAL_NUMBER" queryTableFieldId="5" dataDxfId="158"/>
    <tableColumn id="6" xr3:uid="{E03B91AB-86A8-A94F-A01D-C34D2D28855C}" uniqueName="6" name="MATERIAL_DESCRIPTION" queryTableFieldId="6" dataDxfId="157"/>
    <tableColumn id="7" xr3:uid="{34275E3B-15F0-3841-A5BC-B33522213E3F}" uniqueName="7" name="CURRENT_INVENTORY" queryTableFieldId="7"/>
    <tableColumn id="8" xr3:uid="{9C71F154-7D97-CC42-A85C-48B9D98A2DB1}" uniqueName="8" name="QUANTITY_SOLD" queryTableFieldId="8"/>
    <tableColumn id="9" xr3:uid="{933E9F59-2ACE-A146-AC1D-8C4671D9BEFE}" uniqueName="9" name="UNIT" queryTableFieldId="9" dataDxfId="156"/>
    <tableColumn id="10" xr3:uid="{1B642D06-00A5-1044-A0AD-AB4E81E1BAFE}" uniqueName="10" name="NB_STEPS_AVAILABLE" queryTableFieldId="10"/>
    <tableColumn id="11" xr3:uid="{A817A5A2-FD68-D04D-BFAF-FBB5EB124F62}" uniqueName="11" name="SIM_ELAPSED_STEPS" queryTableFieldId="1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7DB0DF-CFC0-5147-B5F5-60D063D313FE}" name="Current_Inventory" displayName="Current_Inventory" ref="A1:I25" tableType="queryTable" totalsRowShown="0">
  <autoFilter ref="A1:I25" xr:uid="{317DB0DF-CFC0-5147-B5F5-60D063D313FE}"/>
  <tableColumns count="9">
    <tableColumn id="1" xr3:uid="{0AAD4C00-AC84-2D46-A549-4D410180D75E}" uniqueName="1" name="ID" queryTableFieldId="1" dataDxfId="155"/>
    <tableColumn id="2" xr3:uid="{6FFFA118-8BE7-7148-8B8E-42936D52A350}" uniqueName="2" name="ROW_ID" queryTableFieldId="2"/>
    <tableColumn id="3" xr3:uid="{FB065351-996A-5241-A055-1DED65CBFC00}" uniqueName="3" name="PLANT" queryTableFieldId="3" dataDxfId="154"/>
    <tableColumn id="4" xr3:uid="{4D697102-6331-3D48-A642-FF4D3A5C8350}" uniqueName="4" name="MATERIAL_NUMBER" queryTableFieldId="4" dataDxfId="153"/>
    <tableColumn id="5" xr3:uid="{28827403-5894-C44E-B9EE-45FA7E301752}" uniqueName="5" name="MATERIAL_DESCRIPTION" queryTableFieldId="5" dataDxfId="152"/>
    <tableColumn id="6" xr3:uid="{6CF72318-C53E-6546-B43E-B8C530A901F0}" uniqueName="6" name="STORAGE_LOCATION" queryTableFieldId="6" dataDxfId="151"/>
    <tableColumn id="7" xr3:uid="{777F743A-8402-DE47-92A7-6F64E5B048ED}" uniqueName="7" name="STOCK" queryTableFieldId="7"/>
    <tableColumn id="8" xr3:uid="{97E617F6-7325-4943-A5AF-375FB24AE225}" uniqueName="8" name="RESTRICTED" queryTableFieldId="8"/>
    <tableColumn id="9" xr3:uid="{CE7FFF02-CC93-6746-8F15-ABD3F93B2E49}" uniqueName="9" name="UNIT" queryTableFieldId="9" dataDxfId="150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F4F03C-2A46-3844-9702-B96DD25D3740}" name="Current_Game_Rules" displayName="Current_Game_Rules" ref="A1:H22" tableType="queryTable" totalsRowShown="0">
  <autoFilter ref="A1:H22" xr:uid="{A8F4F03C-2A46-3844-9702-B96DD25D3740}"/>
  <tableColumns count="8">
    <tableColumn id="1" xr3:uid="{0EFB4C09-EA57-5841-B5BB-D8BF1357EC77}" uniqueName="1" name="ROW_ID" queryTableFieldId="1"/>
    <tableColumn id="2" xr3:uid="{E17B3246-2A50-5B45-A0CF-93628DEA7128}" uniqueName="2" name="COMPANY_CODE" queryTableFieldId="2" dataDxfId="149"/>
    <tableColumn id="3" xr3:uid="{8115E5ED-9831-624D-9C7B-FE752BA41368}" uniqueName="3" name="GAME" queryTableFieldId="3" dataDxfId="148"/>
    <tableColumn id="4" xr3:uid="{FA6D147A-58B1-A34B-A985-16448303A65B}" uniqueName="4" name="SCENARIO" queryTableFieldId="4" dataDxfId="147"/>
    <tableColumn id="5" xr3:uid="{B167CD87-C580-844E-B1AB-C07C995027D2}" uniqueName="5" name="CATEGORY" queryTableFieldId="5" dataDxfId="146"/>
    <tableColumn id="6" xr3:uid="{703CD609-72D3-204D-B09C-6BD4D94E1E3E}" uniqueName="6" name="ELEMENT" queryTableFieldId="6" dataDxfId="145"/>
    <tableColumn id="7" xr3:uid="{8039B2F9-268D-9841-B798-2DFA101B9DCF}" uniqueName="7" name="DETAIL" queryTableFieldId="7" dataDxfId="144"/>
    <tableColumn id="8" xr3:uid="{222DD37E-FE6E-3B4A-8685-44394AB58FDA}" uniqueName="8" name="VALUE" queryTableFieldId="8" dataDxfId="1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BF8D-7AEF-7B4E-A8C6-9905CD81CF0F}">
  <dimension ref="A1:U82"/>
  <sheetViews>
    <sheetView tabSelected="1" topLeftCell="I69" zoomScale="105" workbookViewId="0">
      <selection activeCell="J71" sqref="J71"/>
    </sheetView>
  </sheetViews>
  <sheetFormatPr baseColWidth="10" defaultRowHeight="16" x14ac:dyDescent="0.2"/>
  <cols>
    <col min="1" max="1" width="6" bestFit="1" customWidth="1"/>
    <col min="2" max="2" width="10.5" bestFit="1" customWidth="1"/>
    <col min="3" max="3" width="18.33203125" bestFit="1" customWidth="1"/>
    <col min="4" max="4" width="14" bestFit="1" customWidth="1"/>
    <col min="5" max="5" width="11.83203125" bestFit="1" customWidth="1"/>
    <col min="6" max="6" width="12" bestFit="1" customWidth="1"/>
    <col min="7" max="7" width="14.33203125" bestFit="1" customWidth="1"/>
    <col min="8" max="8" width="21.83203125" bestFit="1" customWidth="1"/>
    <col min="9" max="9" width="23.6640625" bestFit="1" customWidth="1"/>
    <col min="10" max="10" width="24.83203125" bestFit="1" customWidth="1"/>
    <col min="11" max="11" width="14.1640625" bestFit="1" customWidth="1"/>
    <col min="12" max="12" width="21.83203125" bestFit="1" customWidth="1"/>
    <col min="13" max="13" width="11.1640625" bestFit="1" customWidth="1"/>
    <col min="14" max="14" width="26.33203125" bestFit="1" customWidth="1"/>
    <col min="15" max="15" width="16.83203125" bestFit="1" customWidth="1"/>
    <col min="16" max="16" width="17" bestFit="1" customWidth="1"/>
    <col min="17" max="17" width="26.6640625" bestFit="1" customWidth="1"/>
    <col min="18" max="18" width="24.6640625" bestFit="1" customWidth="1"/>
    <col min="19" max="19" width="23.1640625" bestFit="1" customWidth="1"/>
    <col min="20" max="20" width="13.1640625" bestFit="1" customWidth="1"/>
    <col min="21" max="21" width="12.5" bestFit="1" customWidth="1"/>
  </cols>
  <sheetData>
    <row r="1" spans="1:21" x14ac:dyDescent="0.2">
      <c r="A1" t="s">
        <v>0</v>
      </c>
      <c r="B1" t="s">
        <v>1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1439</v>
      </c>
    </row>
    <row r="2" spans="1:21" x14ac:dyDescent="0.2">
      <c r="A2" s="4" t="s">
        <v>25</v>
      </c>
      <c r="B2">
        <v>1</v>
      </c>
      <c r="C2" s="4" t="s">
        <v>26</v>
      </c>
      <c r="D2" s="4" t="s">
        <v>27</v>
      </c>
      <c r="E2" s="4" t="s">
        <v>27</v>
      </c>
      <c r="F2" s="4" t="s">
        <v>28</v>
      </c>
      <c r="G2">
        <v>1</v>
      </c>
      <c r="H2">
        <v>1</v>
      </c>
      <c r="I2">
        <v>250000</v>
      </c>
      <c r="J2">
        <v>0</v>
      </c>
      <c r="K2">
        <v>0</v>
      </c>
      <c r="L2">
        <v>0</v>
      </c>
      <c r="M2">
        <v>0</v>
      </c>
      <c r="N2">
        <v>0</v>
      </c>
      <c r="O2">
        <v>250000</v>
      </c>
      <c r="P2" s="4" t="s">
        <v>29</v>
      </c>
      <c r="Q2">
        <v>3</v>
      </c>
      <c r="R2">
        <v>7</v>
      </c>
      <c r="S2">
        <v>0</v>
      </c>
      <c r="T2" s="4" t="s">
        <v>30</v>
      </c>
      <c r="U2" s="5" t="e">
        <f>Company_Valuation[[#This Row],[PROFIT]]/Company_Valuation[[#This Row],[COMPANY_VALUATION]]</f>
        <v>#DIV/0!</v>
      </c>
    </row>
    <row r="3" spans="1:21" x14ac:dyDescent="0.2">
      <c r="A3" s="4" t="s">
        <v>31</v>
      </c>
      <c r="B3">
        <v>2</v>
      </c>
      <c r="C3" s="4" t="s">
        <v>26</v>
      </c>
      <c r="D3" s="4" t="s">
        <v>27</v>
      </c>
      <c r="E3" s="4" t="s">
        <v>32</v>
      </c>
      <c r="F3" s="4" t="s">
        <v>33</v>
      </c>
      <c r="G3">
        <v>1</v>
      </c>
      <c r="H3">
        <v>2</v>
      </c>
      <c r="I3">
        <v>250000</v>
      </c>
      <c r="J3">
        <v>0</v>
      </c>
      <c r="K3">
        <v>0</v>
      </c>
      <c r="L3">
        <v>0</v>
      </c>
      <c r="M3">
        <v>0</v>
      </c>
      <c r="N3">
        <v>0</v>
      </c>
      <c r="O3">
        <v>250000</v>
      </c>
      <c r="P3" s="4" t="s">
        <v>29</v>
      </c>
      <c r="Q3">
        <v>3</v>
      </c>
      <c r="R3">
        <v>7</v>
      </c>
      <c r="S3">
        <v>0</v>
      </c>
      <c r="T3" s="4" t="s">
        <v>30</v>
      </c>
      <c r="U3" s="5" t="e">
        <f>Company_Valuation[[#This Row],[PROFIT]]/Company_Valuation[[#This Row],[COMPANY_VALUATION]]</f>
        <v>#DIV/0!</v>
      </c>
    </row>
    <row r="4" spans="1:21" x14ac:dyDescent="0.2">
      <c r="A4" s="4" t="s">
        <v>34</v>
      </c>
      <c r="B4">
        <v>3</v>
      </c>
      <c r="C4" s="4" t="s">
        <v>26</v>
      </c>
      <c r="D4" s="4" t="s">
        <v>27</v>
      </c>
      <c r="E4" s="4" t="s">
        <v>35</v>
      </c>
      <c r="F4" s="4" t="s">
        <v>36</v>
      </c>
      <c r="G4">
        <v>1</v>
      </c>
      <c r="H4">
        <v>3</v>
      </c>
      <c r="I4">
        <v>250000</v>
      </c>
      <c r="J4">
        <v>0</v>
      </c>
      <c r="K4">
        <v>0</v>
      </c>
      <c r="L4">
        <v>-165409.28</v>
      </c>
      <c r="M4">
        <v>0</v>
      </c>
      <c r="N4">
        <v>0</v>
      </c>
      <c r="O4">
        <v>84590.720000000001</v>
      </c>
      <c r="P4" s="4" t="s">
        <v>29</v>
      </c>
      <c r="Q4">
        <v>3</v>
      </c>
      <c r="R4">
        <v>7</v>
      </c>
      <c r="S4">
        <v>0</v>
      </c>
      <c r="T4" s="4" t="s">
        <v>30</v>
      </c>
      <c r="U4" s="5" t="e">
        <f>Company_Valuation[[#This Row],[PROFIT]]/Company_Valuation[[#This Row],[COMPANY_VALUATION]]</f>
        <v>#DIV/0!</v>
      </c>
    </row>
    <row r="5" spans="1:21" x14ac:dyDescent="0.2">
      <c r="A5" s="4" t="s">
        <v>37</v>
      </c>
      <c r="B5">
        <v>4</v>
      </c>
      <c r="C5" s="4" t="s">
        <v>26</v>
      </c>
      <c r="D5" s="4" t="s">
        <v>27</v>
      </c>
      <c r="E5" s="4" t="s">
        <v>38</v>
      </c>
      <c r="F5" s="4" t="s">
        <v>39</v>
      </c>
      <c r="G5">
        <v>1</v>
      </c>
      <c r="H5">
        <v>4</v>
      </c>
      <c r="I5">
        <v>249700</v>
      </c>
      <c r="J5">
        <v>0</v>
      </c>
      <c r="K5">
        <v>0</v>
      </c>
      <c r="L5">
        <v>-165409.28</v>
      </c>
      <c r="M5">
        <v>-300</v>
      </c>
      <c r="N5">
        <v>0</v>
      </c>
      <c r="O5">
        <v>84290.72</v>
      </c>
      <c r="P5" s="4" t="s">
        <v>29</v>
      </c>
      <c r="Q5">
        <v>3</v>
      </c>
      <c r="R5">
        <v>7</v>
      </c>
      <c r="S5">
        <v>-60000</v>
      </c>
      <c r="T5" s="4" t="s">
        <v>30</v>
      </c>
      <c r="U5" s="5">
        <f>Company_Valuation[[#This Row],[PROFIT]]/Company_Valuation[[#This Row],[COMPANY_VALUATION]]</f>
        <v>5.0000000000000001E-3</v>
      </c>
    </row>
    <row r="6" spans="1:21" x14ac:dyDescent="0.2">
      <c r="A6" s="4" t="s">
        <v>40</v>
      </c>
      <c r="B6">
        <v>5</v>
      </c>
      <c r="C6" s="4" t="s">
        <v>26</v>
      </c>
      <c r="D6" s="4" t="s">
        <v>27</v>
      </c>
      <c r="E6" s="4" t="s">
        <v>41</v>
      </c>
      <c r="F6" s="4" t="s">
        <v>42</v>
      </c>
      <c r="G6">
        <v>1</v>
      </c>
      <c r="H6">
        <v>5</v>
      </c>
      <c r="I6">
        <v>249700</v>
      </c>
      <c r="J6">
        <v>7873.92</v>
      </c>
      <c r="K6">
        <v>0</v>
      </c>
      <c r="L6">
        <v>-165409.28</v>
      </c>
      <c r="M6">
        <v>1354.06</v>
      </c>
      <c r="N6">
        <v>0</v>
      </c>
      <c r="O6">
        <v>92164.64</v>
      </c>
      <c r="P6" s="4" t="s">
        <v>29</v>
      </c>
      <c r="Q6">
        <v>3</v>
      </c>
      <c r="R6">
        <v>7</v>
      </c>
      <c r="S6">
        <v>216649.60000000001</v>
      </c>
      <c r="T6" s="4" t="s">
        <v>30</v>
      </c>
      <c r="U6" s="5">
        <f>Company_Valuation[[#This Row],[PROFIT]]/Company_Valuation[[#This Row],[COMPANY_VALUATION]]</f>
        <v>6.2499999999999995E-3</v>
      </c>
    </row>
    <row r="7" spans="1:21" x14ac:dyDescent="0.2">
      <c r="A7" s="4" t="s">
        <v>43</v>
      </c>
      <c r="B7">
        <v>6</v>
      </c>
      <c r="C7" s="4" t="s">
        <v>26</v>
      </c>
      <c r="D7" s="4" t="s">
        <v>27</v>
      </c>
      <c r="E7" s="4" t="s">
        <v>44</v>
      </c>
      <c r="F7" s="4" t="s">
        <v>45</v>
      </c>
      <c r="G7">
        <v>2</v>
      </c>
      <c r="H7">
        <v>6</v>
      </c>
      <c r="I7">
        <v>249400</v>
      </c>
      <c r="J7">
        <v>15096.36</v>
      </c>
      <c r="K7">
        <v>0</v>
      </c>
      <c r="L7">
        <v>-166715.85999999999</v>
      </c>
      <c r="M7">
        <v>2527.4299999999998</v>
      </c>
      <c r="N7">
        <v>0</v>
      </c>
      <c r="O7">
        <v>97780.5</v>
      </c>
      <c r="P7" s="4" t="s">
        <v>29</v>
      </c>
      <c r="Q7">
        <v>3</v>
      </c>
      <c r="R7">
        <v>7</v>
      </c>
      <c r="S7">
        <v>336990.67</v>
      </c>
      <c r="T7" s="4" t="s">
        <v>30</v>
      </c>
      <c r="U7" s="5">
        <f>Company_Valuation[[#This Row],[PROFIT]]/Company_Valuation[[#This Row],[COMPANY_VALUATION]]</f>
        <v>7.49999992581397E-3</v>
      </c>
    </row>
    <row r="8" spans="1:21" x14ac:dyDescent="0.2">
      <c r="A8" s="4" t="s">
        <v>46</v>
      </c>
      <c r="B8">
        <v>7</v>
      </c>
      <c r="C8" s="4" t="s">
        <v>26</v>
      </c>
      <c r="D8" s="4" t="s">
        <v>27</v>
      </c>
      <c r="E8" s="4" t="s">
        <v>47</v>
      </c>
      <c r="F8" s="4" t="s">
        <v>48</v>
      </c>
      <c r="G8">
        <v>2</v>
      </c>
      <c r="H8">
        <v>7</v>
      </c>
      <c r="I8">
        <v>249100</v>
      </c>
      <c r="J8">
        <v>24707.59</v>
      </c>
      <c r="K8">
        <v>0</v>
      </c>
      <c r="L8">
        <v>-173898.11</v>
      </c>
      <c r="M8">
        <v>4081.59</v>
      </c>
      <c r="N8">
        <v>0</v>
      </c>
      <c r="O8">
        <v>99909.48</v>
      </c>
      <c r="P8" s="4" t="s">
        <v>29</v>
      </c>
      <c r="Q8">
        <v>3</v>
      </c>
      <c r="R8">
        <v>7</v>
      </c>
      <c r="S8">
        <v>466467.43</v>
      </c>
      <c r="T8" s="4" t="s">
        <v>30</v>
      </c>
      <c r="U8" s="5">
        <f>Company_Valuation[[#This Row],[PROFIT]]/Company_Valuation[[#This Row],[COMPANY_VALUATION]]</f>
        <v>8.7499999732028461E-3</v>
      </c>
    </row>
    <row r="9" spans="1:21" x14ac:dyDescent="0.2">
      <c r="A9" s="4" t="s">
        <v>49</v>
      </c>
      <c r="B9">
        <v>8</v>
      </c>
      <c r="C9" s="4" t="s">
        <v>26</v>
      </c>
      <c r="D9" s="4" t="s">
        <v>27</v>
      </c>
      <c r="E9" s="4" t="s">
        <v>50</v>
      </c>
      <c r="F9" s="4" t="s">
        <v>51</v>
      </c>
      <c r="G9">
        <v>2</v>
      </c>
      <c r="H9">
        <v>8</v>
      </c>
      <c r="I9">
        <v>83390.720000000001</v>
      </c>
      <c r="J9">
        <v>38201.03</v>
      </c>
      <c r="K9">
        <v>0</v>
      </c>
      <c r="L9">
        <v>-8488.83</v>
      </c>
      <c r="M9">
        <v>6342.9</v>
      </c>
      <c r="N9">
        <v>0</v>
      </c>
      <c r="O9">
        <v>113102.92</v>
      </c>
      <c r="P9" s="4" t="s">
        <v>29</v>
      </c>
      <c r="Q9">
        <v>3</v>
      </c>
      <c r="R9">
        <v>7</v>
      </c>
      <c r="S9">
        <v>634290</v>
      </c>
      <c r="T9" s="4" t="s">
        <v>30</v>
      </c>
      <c r="U9" s="5">
        <f>Company_Valuation[[#This Row],[PROFIT]]/Company_Valuation[[#This Row],[COMPANY_VALUATION]]</f>
        <v>0.01</v>
      </c>
    </row>
    <row r="10" spans="1:21" x14ac:dyDescent="0.2">
      <c r="A10" s="4" t="s">
        <v>52</v>
      </c>
      <c r="B10">
        <v>9</v>
      </c>
      <c r="C10" s="4" t="s">
        <v>26</v>
      </c>
      <c r="D10" s="4" t="s">
        <v>27</v>
      </c>
      <c r="E10" s="4" t="s">
        <v>53</v>
      </c>
      <c r="F10" s="4" t="s">
        <v>54</v>
      </c>
      <c r="G10">
        <v>2</v>
      </c>
      <c r="H10">
        <v>9</v>
      </c>
      <c r="I10">
        <v>90964.64</v>
      </c>
      <c r="J10">
        <v>43920.71</v>
      </c>
      <c r="K10">
        <v>0</v>
      </c>
      <c r="L10">
        <v>-8488.83</v>
      </c>
      <c r="M10">
        <v>8559.84</v>
      </c>
      <c r="N10">
        <v>0</v>
      </c>
      <c r="O10">
        <v>126396.52</v>
      </c>
      <c r="P10" s="4" t="s">
        <v>29</v>
      </c>
      <c r="Q10">
        <v>3</v>
      </c>
      <c r="R10">
        <v>7</v>
      </c>
      <c r="S10">
        <v>760874.67</v>
      </c>
      <c r="T10" s="4" t="s">
        <v>30</v>
      </c>
      <c r="U10" s="5">
        <f>Company_Valuation[[#This Row],[PROFIT]]/Company_Valuation[[#This Row],[COMPANY_VALUATION]]</f>
        <v>1.1249999950714617E-2</v>
      </c>
    </row>
    <row r="11" spans="1:21" x14ac:dyDescent="0.2">
      <c r="A11" s="4" t="s">
        <v>55</v>
      </c>
      <c r="B11">
        <v>10</v>
      </c>
      <c r="C11" s="4" t="s">
        <v>26</v>
      </c>
      <c r="D11" s="4" t="s">
        <v>27</v>
      </c>
      <c r="E11" s="4" t="s">
        <v>56</v>
      </c>
      <c r="F11" s="4" t="s">
        <v>57</v>
      </c>
      <c r="G11">
        <v>2</v>
      </c>
      <c r="H11">
        <v>10</v>
      </c>
      <c r="I11" s="3">
        <v>97887.08</v>
      </c>
      <c r="J11">
        <v>38745.65</v>
      </c>
      <c r="K11">
        <v>0</v>
      </c>
      <c r="L11">
        <v>-8488.83</v>
      </c>
      <c r="M11" s="3">
        <v>8555.91</v>
      </c>
      <c r="N11">
        <v>0</v>
      </c>
      <c r="O11">
        <v>128143.9</v>
      </c>
      <c r="P11" s="4" t="s">
        <v>29</v>
      </c>
      <c r="Q11">
        <v>3</v>
      </c>
      <c r="R11">
        <v>7</v>
      </c>
      <c r="S11">
        <v>684472.8</v>
      </c>
      <c r="T11" s="4" t="s">
        <v>30</v>
      </c>
      <c r="U11" s="5">
        <f>Company_Valuation[[#This Row],[PROFIT]]/Company_Valuation[[#This Row],[COMPANY_VALUATION]]</f>
        <v>1.2499999999999999E-2</v>
      </c>
    </row>
    <row r="12" spans="1:21" x14ac:dyDescent="0.2">
      <c r="A12" s="4" t="s">
        <v>58</v>
      </c>
      <c r="B12">
        <v>11</v>
      </c>
      <c r="C12" s="4" t="s">
        <v>26</v>
      </c>
      <c r="D12" s="4" t="s">
        <v>32</v>
      </c>
      <c r="E12" s="4" t="s">
        <v>27</v>
      </c>
      <c r="F12" s="4" t="s">
        <v>59</v>
      </c>
      <c r="G12">
        <v>3</v>
      </c>
      <c r="H12">
        <v>11</v>
      </c>
      <c r="I12">
        <v>105891.73</v>
      </c>
      <c r="J12">
        <v>37977.599999999999</v>
      </c>
      <c r="K12">
        <v>0</v>
      </c>
      <c r="L12">
        <v>-7182.25</v>
      </c>
      <c r="M12">
        <v>9861.15</v>
      </c>
      <c r="N12">
        <v>0</v>
      </c>
      <c r="O12">
        <v>136687.07999999999</v>
      </c>
      <c r="P12" s="4" t="s">
        <v>29</v>
      </c>
      <c r="Q12">
        <v>3</v>
      </c>
      <c r="R12">
        <v>7</v>
      </c>
      <c r="S12">
        <v>717174.55</v>
      </c>
      <c r="T12" s="4" t="s">
        <v>30</v>
      </c>
      <c r="U12" s="5">
        <f>Company_Valuation[[#This Row],[PROFIT]]/Company_Valuation[[#This Row],[COMPANY_VALUATION]]</f>
        <v>1.3749999912852456E-2</v>
      </c>
    </row>
    <row r="13" spans="1:21" x14ac:dyDescent="0.2">
      <c r="A13" s="4" t="s">
        <v>60</v>
      </c>
      <c r="B13">
        <v>12</v>
      </c>
      <c r="C13" s="4" t="s">
        <v>26</v>
      </c>
      <c r="D13" s="4" t="s">
        <v>32</v>
      </c>
      <c r="E13" s="4" t="s">
        <v>32</v>
      </c>
      <c r="F13" s="4" t="s">
        <v>61</v>
      </c>
      <c r="G13">
        <v>3</v>
      </c>
      <c r="H13">
        <v>12</v>
      </c>
      <c r="I13">
        <v>111902.92</v>
      </c>
      <c r="J13">
        <v>32022.83</v>
      </c>
      <c r="K13">
        <v>0</v>
      </c>
      <c r="L13">
        <v>-37555.43</v>
      </c>
      <c r="M13">
        <v>10647.3</v>
      </c>
      <c r="N13">
        <v>0</v>
      </c>
      <c r="O13">
        <v>106370.32</v>
      </c>
      <c r="P13" s="4" t="s">
        <v>29</v>
      </c>
      <c r="Q13">
        <v>3</v>
      </c>
      <c r="R13">
        <v>7</v>
      </c>
      <c r="S13">
        <v>709820</v>
      </c>
      <c r="T13" s="4" t="s">
        <v>30</v>
      </c>
      <c r="U13" s="5">
        <f>Company_Valuation[[#This Row],[PROFIT]]/Company_Valuation[[#This Row],[COMPANY_VALUATION]]</f>
        <v>1.4999999999999999E-2</v>
      </c>
    </row>
    <row r="14" spans="1:21" x14ac:dyDescent="0.2">
      <c r="A14" s="4" t="s">
        <v>62</v>
      </c>
      <c r="B14">
        <v>13</v>
      </c>
      <c r="C14" s="4" t="s">
        <v>26</v>
      </c>
      <c r="D14" s="4" t="s">
        <v>32</v>
      </c>
      <c r="E14" s="4" t="s">
        <v>35</v>
      </c>
      <c r="F14" s="4" t="s">
        <v>63</v>
      </c>
      <c r="G14">
        <v>3</v>
      </c>
      <c r="H14">
        <v>13</v>
      </c>
      <c r="I14">
        <v>125296.52</v>
      </c>
      <c r="J14">
        <v>36186.080000000002</v>
      </c>
      <c r="K14">
        <v>0</v>
      </c>
      <c r="L14">
        <v>-37555.43</v>
      </c>
      <c r="M14">
        <v>13707.97</v>
      </c>
      <c r="N14">
        <v>0</v>
      </c>
      <c r="O14">
        <v>123927.17</v>
      </c>
      <c r="P14" s="4" t="s">
        <v>29</v>
      </c>
      <c r="Q14">
        <v>3</v>
      </c>
      <c r="R14">
        <v>7</v>
      </c>
      <c r="S14">
        <v>843567.38</v>
      </c>
      <c r="T14" s="4" t="s">
        <v>30</v>
      </c>
      <c r="U14" s="5">
        <f>Company_Valuation[[#This Row],[PROFIT]]/Company_Valuation[[#This Row],[COMPANY_VALUATION]]</f>
        <v>1.6250000088908131E-2</v>
      </c>
    </row>
    <row r="15" spans="1:21" x14ac:dyDescent="0.2">
      <c r="A15" s="4" t="s">
        <v>64</v>
      </c>
      <c r="B15">
        <v>14</v>
      </c>
      <c r="C15" s="4" t="s">
        <v>26</v>
      </c>
      <c r="D15" s="4" t="s">
        <v>32</v>
      </c>
      <c r="E15" s="4" t="s">
        <v>38</v>
      </c>
      <c r="F15" s="4" t="s">
        <v>65</v>
      </c>
      <c r="G15">
        <v>3</v>
      </c>
      <c r="H15">
        <v>14</v>
      </c>
      <c r="I15">
        <v>127043.9</v>
      </c>
      <c r="J15">
        <v>48993.47</v>
      </c>
      <c r="K15">
        <v>0</v>
      </c>
      <c r="L15">
        <v>-37555.43</v>
      </c>
      <c r="M15">
        <v>15540.53</v>
      </c>
      <c r="N15">
        <v>0</v>
      </c>
      <c r="O15">
        <v>138481.94</v>
      </c>
      <c r="P15" s="4" t="s">
        <v>29</v>
      </c>
      <c r="Q15">
        <v>3</v>
      </c>
      <c r="R15">
        <v>7</v>
      </c>
      <c r="S15">
        <v>888030.29</v>
      </c>
      <c r="T15" s="4" t="s">
        <v>30</v>
      </c>
      <c r="U15" s="5">
        <f>Company_Valuation[[#This Row],[PROFIT]]/Company_Valuation[[#This Row],[COMPANY_VALUATION]]</f>
        <v>1.7499999915543421E-2</v>
      </c>
    </row>
    <row r="16" spans="1:21" x14ac:dyDescent="0.2">
      <c r="A16" s="4" t="s">
        <v>66</v>
      </c>
      <c r="B16">
        <v>15</v>
      </c>
      <c r="C16" s="4" t="s">
        <v>26</v>
      </c>
      <c r="D16" s="4" t="s">
        <v>32</v>
      </c>
      <c r="E16" s="4" t="s">
        <v>41</v>
      </c>
      <c r="F16" s="4" t="s">
        <v>67</v>
      </c>
      <c r="G16">
        <v>3</v>
      </c>
      <c r="H16">
        <v>15</v>
      </c>
      <c r="I16">
        <v>135587.07999999999</v>
      </c>
      <c r="J16">
        <v>57307.64</v>
      </c>
      <c r="K16">
        <v>0</v>
      </c>
      <c r="L16">
        <v>-37555.43</v>
      </c>
      <c r="M16">
        <v>17849.78</v>
      </c>
      <c r="N16">
        <v>0</v>
      </c>
      <c r="O16">
        <v>155339.29</v>
      </c>
      <c r="P16" s="4" t="s">
        <v>29</v>
      </c>
      <c r="Q16">
        <v>3</v>
      </c>
      <c r="R16">
        <v>7</v>
      </c>
      <c r="S16">
        <v>951988.27</v>
      </c>
      <c r="T16" s="4" t="s">
        <v>30</v>
      </c>
      <c r="U16" s="5">
        <f>Company_Valuation[[#This Row],[PROFIT]]/Company_Valuation[[#This Row],[COMPANY_VALUATION]]</f>
        <v>1.8749999934347929E-2</v>
      </c>
    </row>
    <row r="17" spans="1:21" x14ac:dyDescent="0.2">
      <c r="A17" s="4" t="s">
        <v>68</v>
      </c>
      <c r="B17">
        <v>16</v>
      </c>
      <c r="C17" s="4" t="s">
        <v>26</v>
      </c>
      <c r="D17" s="4" t="s">
        <v>32</v>
      </c>
      <c r="E17" s="4" t="s">
        <v>44</v>
      </c>
      <c r="F17" s="4" t="s">
        <v>69</v>
      </c>
      <c r="G17">
        <v>4</v>
      </c>
      <c r="H17">
        <v>16</v>
      </c>
      <c r="I17">
        <v>142825.75</v>
      </c>
      <c r="J17">
        <v>66931.69</v>
      </c>
      <c r="K17">
        <v>0</v>
      </c>
      <c r="L17">
        <v>-78597.679999999993</v>
      </c>
      <c r="M17">
        <v>20300.38</v>
      </c>
      <c r="N17">
        <v>0</v>
      </c>
      <c r="O17">
        <v>131159.76</v>
      </c>
      <c r="P17" s="4" t="s">
        <v>29</v>
      </c>
      <c r="Q17">
        <v>3</v>
      </c>
      <c r="R17">
        <v>7</v>
      </c>
      <c r="S17">
        <v>1015019</v>
      </c>
      <c r="T17" s="4" t="s">
        <v>30</v>
      </c>
      <c r="U17" s="5">
        <f>Company_Valuation[[#This Row],[PROFIT]]/Company_Valuation[[#This Row],[COMPANY_VALUATION]]</f>
        <v>0.02</v>
      </c>
    </row>
    <row r="18" spans="1:21" x14ac:dyDescent="0.2">
      <c r="A18" s="4" t="s">
        <v>70</v>
      </c>
      <c r="B18">
        <v>17</v>
      </c>
      <c r="C18" s="4" t="s">
        <v>26</v>
      </c>
      <c r="D18" s="4" t="s">
        <v>32</v>
      </c>
      <c r="E18" s="4" t="s">
        <v>47</v>
      </c>
      <c r="F18" s="4" t="s">
        <v>71</v>
      </c>
      <c r="G18">
        <v>4</v>
      </c>
      <c r="H18">
        <v>17</v>
      </c>
      <c r="I18">
        <v>122827.17</v>
      </c>
      <c r="J18">
        <v>57275.12</v>
      </c>
      <c r="K18">
        <v>0</v>
      </c>
      <c r="L18">
        <v>-41042.25</v>
      </c>
      <c r="M18">
        <v>21304.39</v>
      </c>
      <c r="N18">
        <v>0</v>
      </c>
      <c r="O18">
        <v>139060.04</v>
      </c>
      <c r="P18" s="4" t="s">
        <v>29</v>
      </c>
      <c r="Q18">
        <v>3</v>
      </c>
      <c r="R18">
        <v>7</v>
      </c>
      <c r="S18">
        <v>1002559.53</v>
      </c>
      <c r="T18" s="4" t="s">
        <v>30</v>
      </c>
      <c r="U18" s="5">
        <f>Company_Valuation[[#This Row],[PROFIT]]/Company_Valuation[[#This Row],[COMPANY_VALUATION]]</f>
        <v>2.1249999987531912E-2</v>
      </c>
    </row>
    <row r="19" spans="1:21" x14ac:dyDescent="0.2">
      <c r="A19" s="4" t="s">
        <v>72</v>
      </c>
      <c r="B19">
        <v>18</v>
      </c>
      <c r="C19" s="4" t="s">
        <v>26</v>
      </c>
      <c r="D19" s="4" t="s">
        <v>32</v>
      </c>
      <c r="E19" s="4" t="s">
        <v>50</v>
      </c>
      <c r="F19" s="4" t="s">
        <v>73</v>
      </c>
      <c r="G19">
        <v>4</v>
      </c>
      <c r="H19">
        <v>18</v>
      </c>
      <c r="I19">
        <v>137481.94</v>
      </c>
      <c r="J19">
        <v>60531.85</v>
      </c>
      <c r="K19">
        <v>0</v>
      </c>
      <c r="L19">
        <v>-41042.25</v>
      </c>
      <c r="M19">
        <v>24163.87</v>
      </c>
      <c r="N19">
        <v>0</v>
      </c>
      <c r="O19">
        <v>156971.54</v>
      </c>
      <c r="P19" s="4" t="s">
        <v>29</v>
      </c>
      <c r="Q19">
        <v>3</v>
      </c>
      <c r="R19">
        <v>7</v>
      </c>
      <c r="S19">
        <v>1073949.78</v>
      </c>
      <c r="T19" s="4" t="s">
        <v>30</v>
      </c>
      <c r="U19" s="5">
        <f>Company_Valuation[[#This Row],[PROFIT]]/Company_Valuation[[#This Row],[COMPANY_VALUATION]]</f>
        <v>2.2499999953442887E-2</v>
      </c>
    </row>
    <row r="20" spans="1:21" x14ac:dyDescent="0.2">
      <c r="A20" s="4" t="s">
        <v>74</v>
      </c>
      <c r="B20">
        <v>19</v>
      </c>
      <c r="C20" s="4" t="s">
        <v>26</v>
      </c>
      <c r="D20" s="4" t="s">
        <v>32</v>
      </c>
      <c r="E20" s="4" t="s">
        <v>53</v>
      </c>
      <c r="F20" s="4" t="s">
        <v>75</v>
      </c>
      <c r="G20">
        <v>4</v>
      </c>
      <c r="H20">
        <v>19</v>
      </c>
      <c r="I20">
        <v>154339.29</v>
      </c>
      <c r="J20">
        <v>55719.06</v>
      </c>
      <c r="K20">
        <v>0</v>
      </c>
      <c r="L20">
        <v>-41042.25</v>
      </c>
      <c r="M20">
        <v>25735.62</v>
      </c>
      <c r="N20">
        <v>0</v>
      </c>
      <c r="O20">
        <v>169016.1</v>
      </c>
      <c r="P20" s="4" t="s">
        <v>29</v>
      </c>
      <c r="Q20">
        <v>3</v>
      </c>
      <c r="R20">
        <v>7</v>
      </c>
      <c r="S20">
        <v>1083605.05</v>
      </c>
      <c r="T20" s="4" t="s">
        <v>30</v>
      </c>
      <c r="U20" s="5">
        <f>Company_Valuation[[#This Row],[PROFIT]]/Company_Valuation[[#This Row],[COMPANY_VALUATION]]</f>
        <v>2.3750000057677838E-2</v>
      </c>
    </row>
    <row r="21" spans="1:21" x14ac:dyDescent="0.2">
      <c r="A21" s="4" t="s">
        <v>76</v>
      </c>
      <c r="B21">
        <v>20</v>
      </c>
      <c r="C21" s="4" t="s">
        <v>26</v>
      </c>
      <c r="D21" s="4" t="s">
        <v>32</v>
      </c>
      <c r="E21" s="4" t="s">
        <v>56</v>
      </c>
      <c r="F21" s="4" t="s">
        <v>77</v>
      </c>
      <c r="G21">
        <v>4</v>
      </c>
      <c r="H21">
        <v>20</v>
      </c>
      <c r="I21" s="3">
        <v>171202.01</v>
      </c>
      <c r="J21">
        <v>40943.730000000003</v>
      </c>
      <c r="K21">
        <v>0</v>
      </c>
      <c r="L21">
        <v>-41042.25</v>
      </c>
      <c r="M21" s="3">
        <v>25930.36</v>
      </c>
      <c r="N21">
        <v>0</v>
      </c>
      <c r="O21">
        <v>171103.49</v>
      </c>
      <c r="P21" s="4" t="s">
        <v>29</v>
      </c>
      <c r="Q21">
        <v>3</v>
      </c>
      <c r="R21">
        <v>7</v>
      </c>
      <c r="S21">
        <v>1037214.4</v>
      </c>
      <c r="T21" s="4" t="s">
        <v>30</v>
      </c>
      <c r="U21" s="5">
        <f>Company_Valuation[[#This Row],[PROFIT]]/Company_Valuation[[#This Row],[COMPANY_VALUATION]]</f>
        <v>2.5000000000000001E-2</v>
      </c>
    </row>
    <row r="22" spans="1:21" x14ac:dyDescent="0.2">
      <c r="A22" s="4" t="s">
        <v>78</v>
      </c>
      <c r="B22">
        <v>21</v>
      </c>
      <c r="C22" s="4" t="s">
        <v>26</v>
      </c>
      <c r="D22" s="4" t="s">
        <v>35</v>
      </c>
      <c r="E22" s="4" t="s">
        <v>27</v>
      </c>
      <c r="F22" s="4" t="s">
        <v>79</v>
      </c>
      <c r="G22">
        <v>5</v>
      </c>
      <c r="H22">
        <v>21</v>
      </c>
      <c r="I22">
        <v>137960.04</v>
      </c>
      <c r="J22">
        <v>37319.17</v>
      </c>
      <c r="K22">
        <v>0</v>
      </c>
      <c r="L22">
        <v>0</v>
      </c>
      <c r="M22">
        <v>26149.69</v>
      </c>
      <c r="N22">
        <v>0</v>
      </c>
      <c r="O22">
        <v>175279.21</v>
      </c>
      <c r="P22" s="4" t="s">
        <v>29</v>
      </c>
      <c r="Q22">
        <v>3</v>
      </c>
      <c r="R22">
        <v>7</v>
      </c>
      <c r="S22">
        <v>996178.67</v>
      </c>
      <c r="T22" s="4" t="s">
        <v>30</v>
      </c>
      <c r="U22" s="5">
        <f>Company_Valuation[[#This Row],[PROFIT]]/Company_Valuation[[#This Row],[COMPANY_VALUATION]]</f>
        <v>2.6249999912164347E-2</v>
      </c>
    </row>
    <row r="23" spans="1:21" x14ac:dyDescent="0.2">
      <c r="A23" s="4" t="s">
        <v>80</v>
      </c>
      <c r="B23">
        <v>22</v>
      </c>
      <c r="C23" s="4" t="s">
        <v>26</v>
      </c>
      <c r="D23" s="4" t="s">
        <v>35</v>
      </c>
      <c r="E23" s="4" t="s">
        <v>32</v>
      </c>
      <c r="F23" s="4" t="s">
        <v>81</v>
      </c>
      <c r="G23">
        <v>5</v>
      </c>
      <c r="H23">
        <v>22</v>
      </c>
      <c r="I23">
        <v>155871.54</v>
      </c>
      <c r="J23">
        <v>24819.06</v>
      </c>
      <c r="K23">
        <v>0</v>
      </c>
      <c r="L23">
        <v>-61112.63</v>
      </c>
      <c r="M23">
        <v>26694.87</v>
      </c>
      <c r="N23">
        <v>0</v>
      </c>
      <c r="O23">
        <v>119577.97</v>
      </c>
      <c r="P23" s="4" t="s">
        <v>29</v>
      </c>
      <c r="Q23">
        <v>3</v>
      </c>
      <c r="R23">
        <v>7</v>
      </c>
      <c r="S23">
        <v>970722.55</v>
      </c>
      <c r="T23" s="4" t="s">
        <v>30</v>
      </c>
      <c r="U23" s="5">
        <f>Company_Valuation[[#This Row],[PROFIT]]/Company_Valuation[[#This Row],[COMPANY_VALUATION]]</f>
        <v>2.749999987122994E-2</v>
      </c>
    </row>
    <row r="24" spans="1:21" x14ac:dyDescent="0.2">
      <c r="A24" s="4" t="s">
        <v>82</v>
      </c>
      <c r="B24">
        <v>23</v>
      </c>
      <c r="C24" s="4" t="s">
        <v>26</v>
      </c>
      <c r="D24" s="4" t="s">
        <v>35</v>
      </c>
      <c r="E24" s="4" t="s">
        <v>35</v>
      </c>
      <c r="F24" s="4" t="s">
        <v>83</v>
      </c>
      <c r="G24">
        <v>5</v>
      </c>
      <c r="H24">
        <v>23</v>
      </c>
      <c r="I24">
        <v>168016.1</v>
      </c>
      <c r="J24">
        <v>23716.74</v>
      </c>
      <c r="K24">
        <v>0</v>
      </c>
      <c r="L24">
        <v>-61112.63</v>
      </c>
      <c r="M24">
        <v>28496.31</v>
      </c>
      <c r="N24">
        <v>0</v>
      </c>
      <c r="O24">
        <v>130620.21</v>
      </c>
      <c r="P24" s="4" t="s">
        <v>29</v>
      </c>
      <c r="Q24">
        <v>3</v>
      </c>
      <c r="R24">
        <v>7</v>
      </c>
      <c r="S24">
        <v>991176</v>
      </c>
      <c r="T24" s="4" t="s">
        <v>30</v>
      </c>
      <c r="U24" s="5">
        <f>Company_Valuation[[#This Row],[PROFIT]]/Company_Valuation[[#This Row],[COMPANY_VALUATION]]</f>
        <v>2.8750000000000001E-2</v>
      </c>
    </row>
    <row r="25" spans="1:21" x14ac:dyDescent="0.2">
      <c r="A25" s="4" t="s">
        <v>84</v>
      </c>
      <c r="B25">
        <v>24</v>
      </c>
      <c r="C25" s="4" t="s">
        <v>26</v>
      </c>
      <c r="D25" s="4" t="s">
        <v>35</v>
      </c>
      <c r="E25" s="4" t="s">
        <v>38</v>
      </c>
      <c r="F25" s="4" t="s">
        <v>85</v>
      </c>
      <c r="G25">
        <v>5</v>
      </c>
      <c r="H25">
        <v>24</v>
      </c>
      <c r="I25">
        <v>170203.49</v>
      </c>
      <c r="J25">
        <v>39901.68</v>
      </c>
      <c r="K25">
        <v>0</v>
      </c>
      <c r="L25">
        <v>-61112.63</v>
      </c>
      <c r="M25">
        <v>31105.66</v>
      </c>
      <c r="N25">
        <v>0</v>
      </c>
      <c r="O25">
        <v>148992.54</v>
      </c>
      <c r="P25" s="4" t="s">
        <v>29</v>
      </c>
      <c r="Q25">
        <v>3</v>
      </c>
      <c r="R25">
        <v>7</v>
      </c>
      <c r="S25">
        <v>1036855.33</v>
      </c>
      <c r="T25" s="4" t="s">
        <v>30</v>
      </c>
      <c r="U25" s="5">
        <f>Company_Valuation[[#This Row],[PROFIT]]/Company_Valuation[[#This Row],[COMPANY_VALUATION]]</f>
        <v>3.0000000096445472E-2</v>
      </c>
    </row>
    <row r="26" spans="1:21" x14ac:dyDescent="0.2">
      <c r="A26" s="4" t="s">
        <v>86</v>
      </c>
      <c r="B26">
        <v>25</v>
      </c>
      <c r="C26" s="4" t="s">
        <v>26</v>
      </c>
      <c r="D26" s="4" t="s">
        <v>35</v>
      </c>
      <c r="E26" s="4" t="s">
        <v>41</v>
      </c>
      <c r="F26" s="4" t="s">
        <v>87</v>
      </c>
      <c r="G26">
        <v>5</v>
      </c>
      <c r="H26">
        <v>25</v>
      </c>
      <c r="I26">
        <v>174379.21</v>
      </c>
      <c r="J26">
        <v>44326.49</v>
      </c>
      <c r="K26">
        <v>0</v>
      </c>
      <c r="L26">
        <v>-61112.63</v>
      </c>
      <c r="M26">
        <v>31800.35</v>
      </c>
      <c r="N26">
        <v>0</v>
      </c>
      <c r="O26">
        <v>157593.07</v>
      </c>
      <c r="P26" s="4" t="s">
        <v>29</v>
      </c>
      <c r="Q26">
        <v>3</v>
      </c>
      <c r="R26">
        <v>7</v>
      </c>
      <c r="S26">
        <v>1017611.2</v>
      </c>
      <c r="T26" s="4" t="s">
        <v>30</v>
      </c>
      <c r="U26" s="5">
        <f>Company_Valuation[[#This Row],[PROFIT]]/Company_Valuation[[#This Row],[COMPANY_VALUATION]]</f>
        <v>3.125E-2</v>
      </c>
    </row>
    <row r="27" spans="1:21" x14ac:dyDescent="0.2">
      <c r="A27" s="4" t="s">
        <v>88</v>
      </c>
      <c r="B27">
        <v>26</v>
      </c>
      <c r="C27" s="4" t="s">
        <v>26</v>
      </c>
      <c r="D27" s="4" t="s">
        <v>35</v>
      </c>
      <c r="E27" s="4" t="s">
        <v>44</v>
      </c>
      <c r="F27" s="4" t="s">
        <v>89</v>
      </c>
      <c r="G27">
        <v>6</v>
      </c>
      <c r="H27">
        <v>26</v>
      </c>
      <c r="I27">
        <v>179690.6</v>
      </c>
      <c r="J27">
        <v>45565.57</v>
      </c>
      <c r="K27">
        <v>0</v>
      </c>
      <c r="L27">
        <v>-61112.63</v>
      </c>
      <c r="M27">
        <v>32687.11</v>
      </c>
      <c r="N27">
        <v>0</v>
      </c>
      <c r="O27">
        <v>164143.54</v>
      </c>
      <c r="P27" s="4" t="s">
        <v>29</v>
      </c>
      <c r="Q27">
        <v>3</v>
      </c>
      <c r="R27">
        <v>7</v>
      </c>
      <c r="S27">
        <v>1005757.23</v>
      </c>
      <c r="T27" s="4" t="s">
        <v>30</v>
      </c>
      <c r="U27" s="5">
        <f>Company_Valuation[[#This Row],[PROFIT]]/Company_Valuation[[#This Row],[COMPANY_VALUATION]]</f>
        <v>3.2500000024856895E-2</v>
      </c>
    </row>
    <row r="28" spans="1:21" x14ac:dyDescent="0.2">
      <c r="A28" s="4" t="s">
        <v>90</v>
      </c>
      <c r="B28">
        <v>27</v>
      </c>
      <c r="C28" s="4" t="s">
        <v>26</v>
      </c>
      <c r="D28" s="4" t="s">
        <v>35</v>
      </c>
      <c r="E28" s="4" t="s">
        <v>47</v>
      </c>
      <c r="F28" s="4" t="s">
        <v>91</v>
      </c>
      <c r="G28">
        <v>6</v>
      </c>
      <c r="H28">
        <v>27</v>
      </c>
      <c r="I28">
        <v>129620.21</v>
      </c>
      <c r="J28">
        <v>49328.480000000003</v>
      </c>
      <c r="K28">
        <v>0</v>
      </c>
      <c r="L28">
        <v>-42081.35</v>
      </c>
      <c r="M28">
        <v>34917.57</v>
      </c>
      <c r="N28">
        <v>0</v>
      </c>
      <c r="O28">
        <v>136867.34</v>
      </c>
      <c r="P28" s="4" t="s">
        <v>29</v>
      </c>
      <c r="Q28">
        <v>3</v>
      </c>
      <c r="R28">
        <v>7</v>
      </c>
      <c r="S28">
        <v>1034594.67</v>
      </c>
      <c r="T28" s="4" t="s">
        <v>30</v>
      </c>
      <c r="U28" s="5">
        <f>Company_Valuation[[#This Row],[PROFIT]]/Company_Valuation[[#This Row],[COMPANY_VALUATION]]</f>
        <v>3.3749999891261762E-2</v>
      </c>
    </row>
    <row r="29" spans="1:21" x14ac:dyDescent="0.2">
      <c r="A29" s="4" t="s">
        <v>92</v>
      </c>
      <c r="B29">
        <v>28</v>
      </c>
      <c r="C29" s="4" t="s">
        <v>26</v>
      </c>
      <c r="D29" s="4" t="s">
        <v>35</v>
      </c>
      <c r="E29" s="4" t="s">
        <v>50</v>
      </c>
      <c r="F29" s="4" t="s">
        <v>93</v>
      </c>
      <c r="G29">
        <v>6</v>
      </c>
      <c r="H29">
        <v>28</v>
      </c>
      <c r="I29">
        <v>147992.54</v>
      </c>
      <c r="J29">
        <v>43733.99</v>
      </c>
      <c r="K29">
        <v>0</v>
      </c>
      <c r="L29">
        <v>-42081.35</v>
      </c>
      <c r="M29">
        <v>36796.21</v>
      </c>
      <c r="N29">
        <v>0</v>
      </c>
      <c r="O29">
        <v>149645.18</v>
      </c>
      <c r="P29" s="4" t="s">
        <v>29</v>
      </c>
      <c r="Q29">
        <v>3</v>
      </c>
      <c r="R29">
        <v>7</v>
      </c>
      <c r="S29">
        <v>1051320.29</v>
      </c>
      <c r="T29" s="4" t="s">
        <v>30</v>
      </c>
      <c r="U29" s="5">
        <f>Company_Valuation[[#This Row],[PROFIT]]/Company_Valuation[[#This Row],[COMPANY_VALUATION]]</f>
        <v>3.4999999857322259E-2</v>
      </c>
    </row>
    <row r="30" spans="1:21" x14ac:dyDescent="0.2">
      <c r="A30" s="4" t="s">
        <v>94</v>
      </c>
      <c r="B30">
        <v>29</v>
      </c>
      <c r="C30" s="4" t="s">
        <v>26</v>
      </c>
      <c r="D30" s="4" t="s">
        <v>35</v>
      </c>
      <c r="E30" s="4" t="s">
        <v>53</v>
      </c>
      <c r="F30" s="4" t="s">
        <v>95</v>
      </c>
      <c r="G30">
        <v>6</v>
      </c>
      <c r="H30">
        <v>29</v>
      </c>
      <c r="I30">
        <v>156593.07</v>
      </c>
      <c r="J30">
        <v>53061.599999999999</v>
      </c>
      <c r="K30">
        <v>0</v>
      </c>
      <c r="L30">
        <v>-42081.35</v>
      </c>
      <c r="M30">
        <v>39283.82</v>
      </c>
      <c r="N30">
        <v>0</v>
      </c>
      <c r="O30">
        <v>167573.32</v>
      </c>
      <c r="P30" s="4" t="s">
        <v>29</v>
      </c>
      <c r="Q30">
        <v>3</v>
      </c>
      <c r="R30">
        <v>7</v>
      </c>
      <c r="S30">
        <v>1083691.5900000001</v>
      </c>
      <c r="T30" s="4" t="s">
        <v>30</v>
      </c>
      <c r="U30" s="5">
        <f>Company_Valuation[[#This Row],[PROFIT]]/Company_Valuation[[#This Row],[COMPANY_VALUATION]]</f>
        <v>3.6249999873118881E-2</v>
      </c>
    </row>
    <row r="31" spans="1:21" x14ac:dyDescent="0.2">
      <c r="A31" s="4" t="s">
        <v>96</v>
      </c>
      <c r="B31">
        <v>30</v>
      </c>
      <c r="C31" s="4" t="s">
        <v>26</v>
      </c>
      <c r="D31" s="4" t="s">
        <v>35</v>
      </c>
      <c r="E31" s="4" t="s">
        <v>56</v>
      </c>
      <c r="F31" s="4" t="s">
        <v>97</v>
      </c>
      <c r="G31">
        <v>6</v>
      </c>
      <c r="H31">
        <v>30</v>
      </c>
      <c r="I31" s="3">
        <v>163143.54</v>
      </c>
      <c r="J31">
        <v>60152</v>
      </c>
      <c r="K31">
        <v>0</v>
      </c>
      <c r="L31">
        <v>-42081.35</v>
      </c>
      <c r="M31" s="3">
        <v>41055.71</v>
      </c>
      <c r="N31">
        <v>0</v>
      </c>
      <c r="O31">
        <v>181214.19</v>
      </c>
      <c r="P31" s="4" t="s">
        <v>29</v>
      </c>
      <c r="Q31">
        <v>3</v>
      </c>
      <c r="R31">
        <v>7</v>
      </c>
      <c r="S31">
        <v>1094818.93</v>
      </c>
      <c r="T31" s="4" t="s">
        <v>30</v>
      </c>
      <c r="U31" s="5">
        <f>Company_Valuation[[#This Row],[PROFIT]]/Company_Valuation[[#This Row],[COMPANY_VALUATION]]</f>
        <v>3.7500000114174134E-2</v>
      </c>
    </row>
    <row r="32" spans="1:21" x14ac:dyDescent="0.2">
      <c r="A32" s="4" t="s">
        <v>215</v>
      </c>
      <c r="B32">
        <v>31</v>
      </c>
      <c r="C32" s="4" t="s">
        <v>26</v>
      </c>
      <c r="D32" s="4" t="s">
        <v>38</v>
      </c>
      <c r="E32" s="4" t="s">
        <v>27</v>
      </c>
      <c r="F32" s="4" t="s">
        <v>907</v>
      </c>
      <c r="G32">
        <v>7</v>
      </c>
      <c r="H32">
        <v>31</v>
      </c>
      <c r="I32">
        <v>177848.69</v>
      </c>
      <c r="J32">
        <v>72476.73</v>
      </c>
      <c r="K32">
        <v>0</v>
      </c>
      <c r="L32">
        <v>-42081.35</v>
      </c>
      <c r="M32" s="3">
        <v>44288.79</v>
      </c>
      <c r="N32">
        <v>0</v>
      </c>
      <c r="O32">
        <v>208244.07</v>
      </c>
      <c r="P32" s="4" t="s">
        <v>29</v>
      </c>
      <c r="Q32">
        <v>3</v>
      </c>
      <c r="R32">
        <v>7</v>
      </c>
      <c r="S32" s="3">
        <v>1142936.52</v>
      </c>
      <c r="T32" s="4" t="s">
        <v>30</v>
      </c>
      <c r="U32" s="5">
        <f>Company_Valuation[[#This Row],[PROFIT]]/Company_Valuation[[#This Row],[COMPANY_VALUATION]]</f>
        <v>3.8749999868759114E-2</v>
      </c>
    </row>
    <row r="33" spans="1:21" x14ac:dyDescent="0.2">
      <c r="A33" s="4" t="s">
        <v>216</v>
      </c>
      <c r="B33">
        <v>32</v>
      </c>
      <c r="C33" s="4" t="s">
        <v>26</v>
      </c>
      <c r="D33" s="4" t="s">
        <v>38</v>
      </c>
      <c r="E33" s="4" t="s">
        <v>32</v>
      </c>
      <c r="F33" s="4" t="s">
        <v>1093</v>
      </c>
      <c r="G33">
        <v>7</v>
      </c>
      <c r="H33">
        <v>32</v>
      </c>
      <c r="I33">
        <v>148445.18</v>
      </c>
      <c r="J33">
        <v>71952.539999999994</v>
      </c>
      <c r="K33">
        <v>0</v>
      </c>
      <c r="L33">
        <v>0</v>
      </c>
      <c r="M33">
        <v>45622.71</v>
      </c>
      <c r="N33">
        <v>0</v>
      </c>
      <c r="O33">
        <v>220397.72</v>
      </c>
      <c r="P33" s="4" t="s">
        <v>29</v>
      </c>
      <c r="Q33">
        <v>3</v>
      </c>
      <c r="R33">
        <v>7</v>
      </c>
      <c r="S33">
        <v>1140567.75</v>
      </c>
      <c r="T33" s="4" t="s">
        <v>30</v>
      </c>
      <c r="U33" s="5">
        <f>Company_Valuation[[#This Row],[PROFIT]]/Company_Valuation[[#This Row],[COMPANY_VALUATION]]</f>
        <v>0.04</v>
      </c>
    </row>
    <row r="34" spans="1:21" x14ac:dyDescent="0.2">
      <c r="A34" s="4" t="s">
        <v>217</v>
      </c>
      <c r="B34">
        <v>33</v>
      </c>
      <c r="C34" s="4" t="s">
        <v>26</v>
      </c>
      <c r="D34" s="4" t="s">
        <v>38</v>
      </c>
      <c r="E34" s="4" t="s">
        <v>35</v>
      </c>
      <c r="F34" s="4" t="s">
        <v>1122</v>
      </c>
      <c r="G34">
        <v>7</v>
      </c>
      <c r="H34">
        <v>33</v>
      </c>
      <c r="I34">
        <v>166373.32</v>
      </c>
      <c r="J34">
        <v>71534.67</v>
      </c>
      <c r="K34">
        <v>0</v>
      </c>
      <c r="L34">
        <v>-44056.87</v>
      </c>
      <c r="M34">
        <v>47725.27</v>
      </c>
      <c r="N34">
        <v>0</v>
      </c>
      <c r="O34">
        <v>193851.12</v>
      </c>
      <c r="P34" s="4" t="s">
        <v>29</v>
      </c>
      <c r="Q34">
        <v>3</v>
      </c>
      <c r="R34">
        <v>7</v>
      </c>
      <c r="S34">
        <v>1156976.24</v>
      </c>
      <c r="T34" s="4" t="s">
        <v>30</v>
      </c>
      <c r="U34" s="5">
        <f>Company_Valuation[[#This Row],[PROFIT]]/Company_Valuation[[#This Row],[COMPANY_VALUATION]]</f>
        <v>4.1250000086432197E-2</v>
      </c>
    </row>
    <row r="35" spans="1:21" x14ac:dyDescent="0.2">
      <c r="A35" s="4" t="s">
        <v>218</v>
      </c>
      <c r="B35">
        <v>34</v>
      </c>
      <c r="C35" s="4" t="s">
        <v>26</v>
      </c>
      <c r="D35" s="4" t="s">
        <v>38</v>
      </c>
      <c r="E35" s="4" t="s">
        <v>38</v>
      </c>
      <c r="F35" s="4" t="s">
        <v>1151</v>
      </c>
      <c r="G35">
        <v>7</v>
      </c>
      <c r="H35">
        <v>34</v>
      </c>
      <c r="I35">
        <v>180014.19</v>
      </c>
      <c r="J35">
        <v>71046.09</v>
      </c>
      <c r="K35">
        <v>0</v>
      </c>
      <c r="L35">
        <v>-44056.87</v>
      </c>
      <c r="M35">
        <v>48711.32</v>
      </c>
      <c r="N35">
        <v>0</v>
      </c>
      <c r="O35">
        <v>207003.41</v>
      </c>
      <c r="P35" s="4" t="s">
        <v>29</v>
      </c>
      <c r="Q35">
        <v>3</v>
      </c>
      <c r="R35">
        <v>7</v>
      </c>
      <c r="S35">
        <v>1146148.71</v>
      </c>
      <c r="T35" s="4" t="s">
        <v>30</v>
      </c>
      <c r="U35" s="5">
        <f>Company_Valuation[[#This Row],[PROFIT]]/Company_Valuation[[#This Row],[COMPANY_VALUATION]]</f>
        <v>4.249999984731475E-2</v>
      </c>
    </row>
    <row r="36" spans="1:21" x14ac:dyDescent="0.2">
      <c r="A36" s="4" t="s">
        <v>219</v>
      </c>
      <c r="B36">
        <v>35</v>
      </c>
      <c r="C36" s="4" t="s">
        <v>26</v>
      </c>
      <c r="D36" s="4" t="s">
        <v>38</v>
      </c>
      <c r="E36" s="4" t="s">
        <v>41</v>
      </c>
      <c r="F36" s="4" t="s">
        <v>1180</v>
      </c>
      <c r="G36">
        <v>7</v>
      </c>
      <c r="H36">
        <v>35</v>
      </c>
      <c r="I36">
        <v>207044.07</v>
      </c>
      <c r="J36">
        <v>58731.44</v>
      </c>
      <c r="K36">
        <v>0</v>
      </c>
      <c r="L36">
        <v>-44056.87</v>
      </c>
      <c r="M36">
        <v>50687.19</v>
      </c>
      <c r="N36">
        <v>0</v>
      </c>
      <c r="O36">
        <v>221718.64</v>
      </c>
      <c r="P36" s="4" t="s">
        <v>29</v>
      </c>
      <c r="Q36">
        <v>3</v>
      </c>
      <c r="R36">
        <v>7</v>
      </c>
      <c r="S36">
        <v>1158564.3400000001</v>
      </c>
      <c r="T36" s="4" t="s">
        <v>30</v>
      </c>
      <c r="U36" s="5">
        <f>Company_Valuation[[#This Row],[PROFIT]]/Company_Valuation[[#This Row],[COMPANY_VALUATION]]</f>
        <v>4.3750000107892151E-2</v>
      </c>
    </row>
    <row r="37" spans="1:21" x14ac:dyDescent="0.2">
      <c r="A37" s="4" t="s">
        <v>220</v>
      </c>
      <c r="B37">
        <v>36</v>
      </c>
      <c r="C37" s="4" t="s">
        <v>26</v>
      </c>
      <c r="D37" s="4" t="s">
        <v>38</v>
      </c>
      <c r="E37" s="4" t="s">
        <v>44</v>
      </c>
      <c r="F37" s="4" t="s">
        <v>1210</v>
      </c>
      <c r="G37">
        <v>8</v>
      </c>
      <c r="H37">
        <v>36</v>
      </c>
      <c r="I37">
        <v>219197.72</v>
      </c>
      <c r="J37">
        <v>64015.96</v>
      </c>
      <c r="K37">
        <v>0</v>
      </c>
      <c r="L37">
        <v>-44056.87</v>
      </c>
      <c r="M37">
        <v>52317.68</v>
      </c>
      <c r="N37">
        <v>0</v>
      </c>
      <c r="O37">
        <v>239156.81</v>
      </c>
      <c r="P37" s="4" t="s">
        <v>29</v>
      </c>
      <c r="Q37">
        <v>3</v>
      </c>
      <c r="R37">
        <v>7</v>
      </c>
      <c r="S37">
        <v>1162615.1100000001</v>
      </c>
      <c r="T37" s="4" t="s">
        <v>30</v>
      </c>
      <c r="U37" s="5">
        <f>Company_Valuation[[#This Row],[PROFIT]]/Company_Valuation[[#This Row],[COMPANY_VALUATION]]</f>
        <v>4.5000000043006493E-2</v>
      </c>
    </row>
    <row r="38" spans="1:21" x14ac:dyDescent="0.2">
      <c r="A38" s="4" t="s">
        <v>221</v>
      </c>
      <c r="B38">
        <v>37</v>
      </c>
      <c r="C38" s="4" t="s">
        <v>26</v>
      </c>
      <c r="D38" s="4" t="s">
        <v>38</v>
      </c>
      <c r="E38" s="4" t="s">
        <v>47</v>
      </c>
      <c r="F38" s="4" t="s">
        <v>1240</v>
      </c>
      <c r="G38">
        <v>8</v>
      </c>
      <c r="H38">
        <v>37</v>
      </c>
      <c r="I38">
        <v>236807.99</v>
      </c>
      <c r="J38">
        <v>63996.32</v>
      </c>
      <c r="K38">
        <v>0</v>
      </c>
      <c r="L38">
        <v>-44056.87</v>
      </c>
      <c r="M38">
        <v>54657.24</v>
      </c>
      <c r="N38">
        <v>0</v>
      </c>
      <c r="O38">
        <v>256747.44</v>
      </c>
      <c r="P38" s="4" t="s">
        <v>29</v>
      </c>
      <c r="Q38">
        <v>3</v>
      </c>
      <c r="R38">
        <v>7</v>
      </c>
      <c r="S38">
        <v>1181778.1599999999</v>
      </c>
      <c r="T38" s="4" t="s">
        <v>30</v>
      </c>
      <c r="U38" s="5">
        <f>Company_Valuation[[#This Row],[PROFIT]]/Company_Valuation[[#This Row],[COMPANY_VALUATION]]</f>
        <v>4.6250000084618249E-2</v>
      </c>
    </row>
    <row r="39" spans="1:21" x14ac:dyDescent="0.2">
      <c r="A39" s="4" t="s">
        <v>222</v>
      </c>
      <c r="B39">
        <v>38</v>
      </c>
      <c r="C39" s="4" t="s">
        <v>26</v>
      </c>
      <c r="D39" s="4" t="s">
        <v>38</v>
      </c>
      <c r="E39" s="4" t="s">
        <v>50</v>
      </c>
      <c r="F39" s="4" t="s">
        <v>1270</v>
      </c>
      <c r="G39">
        <v>8</v>
      </c>
      <c r="H39">
        <v>38</v>
      </c>
      <c r="I39">
        <v>205903.41</v>
      </c>
      <c r="J39">
        <v>66790.63</v>
      </c>
      <c r="K39">
        <v>0</v>
      </c>
      <c r="L39">
        <v>0</v>
      </c>
      <c r="M39">
        <v>56577.73</v>
      </c>
      <c r="N39">
        <v>0</v>
      </c>
      <c r="O39">
        <v>272694.03999999998</v>
      </c>
      <c r="P39" s="4" t="s">
        <v>29</v>
      </c>
      <c r="Q39">
        <v>3</v>
      </c>
      <c r="R39">
        <v>7</v>
      </c>
      <c r="S39">
        <v>1191110.1100000001</v>
      </c>
      <c r="T39" s="4" t="s">
        <v>30</v>
      </c>
      <c r="U39" s="5">
        <f>Company_Valuation[[#This Row],[PROFIT]]/Company_Valuation[[#This Row],[COMPANY_VALUATION]]</f>
        <v>4.7499999811100584E-2</v>
      </c>
    </row>
    <row r="40" spans="1:21" x14ac:dyDescent="0.2">
      <c r="A40" s="4" t="s">
        <v>223</v>
      </c>
      <c r="B40">
        <v>39</v>
      </c>
      <c r="C40" s="4" t="s">
        <v>26</v>
      </c>
      <c r="D40" s="4" t="s">
        <v>38</v>
      </c>
      <c r="E40" s="4" t="s">
        <v>53</v>
      </c>
      <c r="F40" s="4" t="s">
        <v>1295</v>
      </c>
      <c r="G40">
        <v>8</v>
      </c>
      <c r="H40">
        <v>39</v>
      </c>
      <c r="I40">
        <v>220718.64</v>
      </c>
      <c r="J40">
        <v>58788.88</v>
      </c>
      <c r="K40">
        <v>0</v>
      </c>
      <c r="L40">
        <v>-130310.59</v>
      </c>
      <c r="M40">
        <v>57447.39</v>
      </c>
      <c r="N40">
        <v>0</v>
      </c>
      <c r="O40">
        <v>149196.93</v>
      </c>
      <c r="P40" s="4" t="s">
        <v>29</v>
      </c>
      <c r="Q40">
        <v>3</v>
      </c>
      <c r="R40">
        <v>7</v>
      </c>
      <c r="S40">
        <v>1178408</v>
      </c>
      <c r="T40" s="4" t="s">
        <v>30</v>
      </c>
      <c r="U40" s="5">
        <f>Company_Valuation[[#This Row],[PROFIT]]/Company_Valuation[[#This Row],[COMPANY_VALUATION]]</f>
        <v>4.8750000000000002E-2</v>
      </c>
    </row>
    <row r="41" spans="1:21" x14ac:dyDescent="0.2">
      <c r="A41" s="4" t="s">
        <v>224</v>
      </c>
      <c r="B41">
        <v>40</v>
      </c>
      <c r="C41" s="4" t="s">
        <v>26</v>
      </c>
      <c r="D41" s="4" t="s">
        <v>38</v>
      </c>
      <c r="E41" s="4" t="s">
        <v>56</v>
      </c>
      <c r="F41" s="4" t="s">
        <v>1329</v>
      </c>
      <c r="G41">
        <v>8</v>
      </c>
      <c r="H41">
        <v>40</v>
      </c>
      <c r="I41">
        <v>238156.81</v>
      </c>
      <c r="J41">
        <v>49163.6</v>
      </c>
      <c r="K41">
        <v>0</v>
      </c>
      <c r="L41">
        <v>-130310.59</v>
      </c>
      <c r="M41">
        <v>57948.639999999999</v>
      </c>
      <c r="N41">
        <v>0</v>
      </c>
      <c r="O41">
        <v>157009.82</v>
      </c>
      <c r="P41" s="4" t="s">
        <v>29</v>
      </c>
      <c r="Q41">
        <v>3</v>
      </c>
      <c r="R41">
        <v>7</v>
      </c>
      <c r="S41">
        <v>1158972.8</v>
      </c>
      <c r="T41" s="4" t="s">
        <v>30</v>
      </c>
      <c r="U41" s="5">
        <f>Company_Valuation[[#This Row],[PROFIT]]/Company_Valuation[[#This Row],[COMPANY_VALUATION]]</f>
        <v>4.9999999999999996E-2</v>
      </c>
    </row>
    <row r="42" spans="1:21" x14ac:dyDescent="0.2">
      <c r="A42" s="4" t="s">
        <v>225</v>
      </c>
      <c r="B42">
        <v>41</v>
      </c>
      <c r="C42" s="4" t="s">
        <v>26</v>
      </c>
      <c r="D42" s="4" t="s">
        <v>41</v>
      </c>
      <c r="E42" s="4" t="s">
        <v>27</v>
      </c>
      <c r="F42" s="4" t="s">
        <v>1353</v>
      </c>
      <c r="G42">
        <v>9</v>
      </c>
      <c r="H42">
        <v>41</v>
      </c>
      <c r="I42">
        <v>255747.44</v>
      </c>
      <c r="J42">
        <v>46283.98</v>
      </c>
      <c r="K42">
        <v>0</v>
      </c>
      <c r="L42">
        <v>-130310.59</v>
      </c>
      <c r="M42">
        <v>59968.69</v>
      </c>
      <c r="N42">
        <v>0</v>
      </c>
      <c r="O42">
        <v>171720.83</v>
      </c>
      <c r="P42" s="4" t="s">
        <v>29</v>
      </c>
      <c r="Q42">
        <v>3</v>
      </c>
      <c r="R42">
        <v>7</v>
      </c>
      <c r="S42">
        <v>1170120.78</v>
      </c>
      <c r="T42" s="4" t="s">
        <v>30</v>
      </c>
      <c r="U42" s="5">
        <f>Company_Valuation[[#This Row],[PROFIT]]/Company_Valuation[[#This Row],[COMPANY_VALUATION]]</f>
        <v>5.1250000021365316E-2</v>
      </c>
    </row>
    <row r="43" spans="1:21" x14ac:dyDescent="0.2">
      <c r="A43" s="4" t="s">
        <v>226</v>
      </c>
      <c r="B43">
        <v>42</v>
      </c>
      <c r="C43" s="4" t="s">
        <v>26</v>
      </c>
      <c r="D43" s="4" t="s">
        <v>41</v>
      </c>
      <c r="E43" s="4" t="s">
        <v>32</v>
      </c>
      <c r="F43" s="4" t="s">
        <v>1354</v>
      </c>
      <c r="G43">
        <v>9</v>
      </c>
      <c r="H43">
        <v>42</v>
      </c>
      <c r="I43">
        <v>271694.03999999998</v>
      </c>
      <c r="J43">
        <v>47237.25</v>
      </c>
      <c r="K43">
        <v>0</v>
      </c>
      <c r="L43">
        <v>-130310.59</v>
      </c>
      <c r="M43">
        <v>62002.53</v>
      </c>
      <c r="N43">
        <v>0</v>
      </c>
      <c r="O43">
        <v>188620.7</v>
      </c>
      <c r="P43" s="4" t="s">
        <v>29</v>
      </c>
      <c r="Q43">
        <v>3</v>
      </c>
      <c r="R43">
        <v>7</v>
      </c>
      <c r="S43">
        <v>1181000.57</v>
      </c>
      <c r="T43" s="4" t="s">
        <v>30</v>
      </c>
      <c r="U43" s="5">
        <f>Company_Valuation[[#This Row],[PROFIT]]/Company_Valuation[[#This Row],[COMPANY_VALUATION]]</f>
        <v>5.250000006350547E-2</v>
      </c>
    </row>
    <row r="44" spans="1:21" x14ac:dyDescent="0.2">
      <c r="A44" s="4" t="s">
        <v>227</v>
      </c>
      <c r="B44">
        <v>43</v>
      </c>
      <c r="C44" s="4" t="s">
        <v>26</v>
      </c>
      <c r="D44" s="4" t="s">
        <v>41</v>
      </c>
      <c r="E44" s="4" t="s">
        <v>35</v>
      </c>
      <c r="F44" s="4" t="s">
        <v>1415</v>
      </c>
      <c r="G44">
        <v>9</v>
      </c>
      <c r="H44">
        <v>43</v>
      </c>
      <c r="I44">
        <v>278407.52</v>
      </c>
      <c r="J44">
        <v>55374.5</v>
      </c>
      <c r="K44">
        <v>0</v>
      </c>
      <c r="L44">
        <v>-130310.59</v>
      </c>
      <c r="M44">
        <v>63664.27</v>
      </c>
      <c r="N44">
        <v>0</v>
      </c>
      <c r="O44">
        <v>203471.43</v>
      </c>
      <c r="P44" s="4" t="s">
        <v>29</v>
      </c>
      <c r="Q44">
        <v>3</v>
      </c>
      <c r="R44">
        <v>7</v>
      </c>
      <c r="S44">
        <v>1184451.53</v>
      </c>
      <c r="T44" s="4" t="s">
        <v>30</v>
      </c>
      <c r="U44" s="5">
        <f>Company_Valuation[[#This Row],[PROFIT]]/Company_Valuation[[#This Row],[COMPANY_VALUATION]]</f>
        <v>5.3750000221621561E-2</v>
      </c>
    </row>
    <row r="45" spans="1:21" x14ac:dyDescent="0.2">
      <c r="A45" s="4" t="s">
        <v>228</v>
      </c>
      <c r="B45">
        <v>44</v>
      </c>
      <c r="C45" s="4" t="s">
        <v>26</v>
      </c>
      <c r="D45" s="4" t="s">
        <v>41</v>
      </c>
      <c r="E45" s="4" t="s">
        <v>38</v>
      </c>
      <c r="F45" s="4" t="s">
        <v>1446</v>
      </c>
      <c r="G45">
        <v>9</v>
      </c>
      <c r="H45">
        <v>44</v>
      </c>
      <c r="I45">
        <v>155909.82</v>
      </c>
      <c r="J45">
        <v>62314.95</v>
      </c>
      <c r="K45">
        <v>0</v>
      </c>
      <c r="L45">
        <v>0</v>
      </c>
      <c r="M45">
        <v>65132.39</v>
      </c>
      <c r="N45">
        <v>0</v>
      </c>
      <c r="O45">
        <v>218224.77</v>
      </c>
      <c r="P45" s="4" t="s">
        <v>29</v>
      </c>
      <c r="Q45">
        <v>3</v>
      </c>
      <c r="R45">
        <v>7</v>
      </c>
      <c r="S45">
        <v>1184225.27</v>
      </c>
      <c r="T45" s="4" t="s">
        <v>30</v>
      </c>
      <c r="U45" s="5">
        <f>Company_Valuation[[#This Row],[PROFIT]]/Company_Valuation[[#This Row],[COMPANY_VALUATION]]</f>
        <v>5.5000000126665088E-2</v>
      </c>
    </row>
    <row r="46" spans="1:21" x14ac:dyDescent="0.2">
      <c r="A46" s="4" t="s">
        <v>229</v>
      </c>
      <c r="B46">
        <v>45</v>
      </c>
      <c r="C46" s="4" t="s">
        <v>26</v>
      </c>
      <c r="D46" s="4" t="s">
        <v>41</v>
      </c>
      <c r="E46" s="4" t="s">
        <v>41</v>
      </c>
      <c r="F46" s="4" t="s">
        <v>1474</v>
      </c>
      <c r="G46">
        <v>9</v>
      </c>
      <c r="H46">
        <v>45</v>
      </c>
      <c r="I46">
        <v>170620.83</v>
      </c>
      <c r="J46">
        <v>61989.49</v>
      </c>
      <c r="K46">
        <v>0</v>
      </c>
      <c r="L46">
        <v>0</v>
      </c>
      <c r="M46">
        <v>67118.63</v>
      </c>
      <c r="N46">
        <v>0</v>
      </c>
      <c r="O46">
        <v>232610.32</v>
      </c>
      <c r="P46" s="4" t="s">
        <v>29</v>
      </c>
      <c r="Q46">
        <v>3</v>
      </c>
      <c r="R46">
        <v>7</v>
      </c>
      <c r="S46">
        <v>1193220.0900000001</v>
      </c>
      <c r="T46" s="4" t="s">
        <v>30</v>
      </c>
      <c r="U46" s="5">
        <f>Company_Valuation[[#This Row],[PROFIT]]/Company_Valuation[[#This Row],[COMPANY_VALUATION]]</f>
        <v>5.6249999947620727E-2</v>
      </c>
    </row>
    <row r="47" spans="1:21" x14ac:dyDescent="0.2">
      <c r="A47" s="4" t="s">
        <v>230</v>
      </c>
      <c r="B47">
        <v>46</v>
      </c>
      <c r="C47" s="4" t="s">
        <v>26</v>
      </c>
      <c r="D47" s="4" t="s">
        <v>41</v>
      </c>
      <c r="E47" s="4" t="s">
        <v>44</v>
      </c>
      <c r="F47" s="4" t="s">
        <v>1475</v>
      </c>
      <c r="G47">
        <v>10</v>
      </c>
      <c r="H47">
        <v>46</v>
      </c>
      <c r="I47">
        <v>187520.7</v>
      </c>
      <c r="J47">
        <v>58682.79</v>
      </c>
      <c r="K47">
        <v>0</v>
      </c>
      <c r="L47">
        <v>0</v>
      </c>
      <c r="M47">
        <v>68800.23</v>
      </c>
      <c r="N47">
        <v>0</v>
      </c>
      <c r="O47">
        <v>246203.49</v>
      </c>
      <c r="P47" s="4" t="s">
        <v>29</v>
      </c>
      <c r="Q47">
        <v>3</v>
      </c>
      <c r="R47">
        <v>7</v>
      </c>
      <c r="S47">
        <v>1196525.74</v>
      </c>
      <c r="T47" s="4" t="s">
        <v>30</v>
      </c>
      <c r="U47" s="5">
        <f>Company_Valuation[[#This Row],[PROFIT]]/Company_Valuation[[#This Row],[COMPANY_VALUATION]]</f>
        <v>5.7499999958212346E-2</v>
      </c>
    </row>
    <row r="48" spans="1:21" x14ac:dyDescent="0.2">
      <c r="A48" s="4" t="s">
        <v>231</v>
      </c>
      <c r="B48">
        <v>47</v>
      </c>
      <c r="C48" s="4" t="s">
        <v>26</v>
      </c>
      <c r="D48" s="4" t="s">
        <v>41</v>
      </c>
      <c r="E48" s="4" t="s">
        <v>47</v>
      </c>
      <c r="F48" s="4" t="s">
        <v>1476</v>
      </c>
      <c r="G48">
        <v>10</v>
      </c>
      <c r="H48">
        <v>47</v>
      </c>
      <c r="I48">
        <v>202371.43</v>
      </c>
      <c r="J48">
        <v>49394.31</v>
      </c>
      <c r="K48">
        <v>0</v>
      </c>
      <c r="L48">
        <v>-45884.33</v>
      </c>
      <c r="M48">
        <v>69210.509999999995</v>
      </c>
      <c r="N48">
        <v>0</v>
      </c>
      <c r="O48">
        <v>205881.41</v>
      </c>
      <c r="P48" s="4" t="s">
        <v>29</v>
      </c>
      <c r="Q48">
        <v>3</v>
      </c>
      <c r="R48">
        <v>7</v>
      </c>
      <c r="S48">
        <v>1178051.23</v>
      </c>
      <c r="T48" s="4" t="s">
        <v>30</v>
      </c>
      <c r="U48" s="5">
        <f>Company_Valuation[[#This Row],[PROFIT]]/Company_Valuation[[#This Row],[COMPANY_VALUATION]]</f>
        <v>5.8750000201604133E-2</v>
      </c>
    </row>
    <row r="49" spans="1:21" x14ac:dyDescent="0.2">
      <c r="A49" s="4" t="s">
        <v>232</v>
      </c>
      <c r="B49">
        <v>48</v>
      </c>
      <c r="C49" s="4" t="s">
        <v>26</v>
      </c>
      <c r="D49" s="4" t="s">
        <v>41</v>
      </c>
      <c r="E49" s="4" t="s">
        <v>50</v>
      </c>
      <c r="F49" s="4" t="s">
        <v>1477</v>
      </c>
      <c r="G49">
        <v>10</v>
      </c>
      <c r="H49">
        <v>48</v>
      </c>
      <c r="I49">
        <v>217124.77</v>
      </c>
      <c r="J49">
        <v>62071.7</v>
      </c>
      <c r="K49">
        <v>0</v>
      </c>
      <c r="L49">
        <v>-45884.33</v>
      </c>
      <c r="M49">
        <v>72424.91</v>
      </c>
      <c r="N49">
        <v>0</v>
      </c>
      <c r="O49">
        <v>233312.14</v>
      </c>
      <c r="P49" s="4" t="s">
        <v>29</v>
      </c>
      <c r="Q49">
        <v>3</v>
      </c>
      <c r="R49">
        <v>7</v>
      </c>
      <c r="S49">
        <v>1207081.83</v>
      </c>
      <c r="T49" s="4" t="s">
        <v>30</v>
      </c>
      <c r="U49" s="5">
        <f>Company_Valuation[[#This Row],[PROFIT]]/Company_Valuation[[#This Row],[COMPANY_VALUATION]]</f>
        <v>6.0000000165688849E-2</v>
      </c>
    </row>
    <row r="50" spans="1:21" x14ac:dyDescent="0.2">
      <c r="A50" s="4" t="s">
        <v>233</v>
      </c>
      <c r="B50">
        <v>49</v>
      </c>
      <c r="C50" s="4" t="s">
        <v>26</v>
      </c>
      <c r="D50" s="4" t="s">
        <v>41</v>
      </c>
      <c r="E50" s="4" t="s">
        <v>53</v>
      </c>
      <c r="F50" s="4" t="s">
        <v>1596</v>
      </c>
      <c r="G50">
        <v>10</v>
      </c>
      <c r="H50">
        <v>49</v>
      </c>
      <c r="I50">
        <v>231410.32</v>
      </c>
      <c r="J50">
        <v>63265.02</v>
      </c>
      <c r="K50">
        <v>0</v>
      </c>
      <c r="L50">
        <v>-45884.33</v>
      </c>
      <c r="M50">
        <v>74190.34</v>
      </c>
      <c r="N50">
        <v>0</v>
      </c>
      <c r="O50">
        <v>248791.01</v>
      </c>
      <c r="P50" s="4" t="s">
        <v>29</v>
      </c>
      <c r="Q50">
        <v>3</v>
      </c>
      <c r="R50">
        <v>7</v>
      </c>
      <c r="S50">
        <v>1211270.8600000001</v>
      </c>
      <c r="T50" s="4" t="s">
        <v>30</v>
      </c>
      <c r="U50" s="5">
        <f>Company_Valuation[[#This Row],[PROFIT]]/Company_Valuation[[#This Row],[COMPANY_VALUATION]]</f>
        <v>6.1249999855523637E-2</v>
      </c>
    </row>
    <row r="51" spans="1:21" x14ac:dyDescent="0.2">
      <c r="A51" s="4" t="s">
        <v>234</v>
      </c>
      <c r="B51">
        <v>50</v>
      </c>
      <c r="C51" s="4" t="s">
        <v>26</v>
      </c>
      <c r="D51" s="4" t="s">
        <v>41</v>
      </c>
      <c r="E51" s="4" t="s">
        <v>56</v>
      </c>
      <c r="F51" s="4" t="s">
        <v>1626</v>
      </c>
      <c r="G51">
        <v>10</v>
      </c>
      <c r="H51">
        <v>50</v>
      </c>
      <c r="I51">
        <v>245003.49</v>
      </c>
      <c r="J51">
        <v>74277.67</v>
      </c>
      <c r="K51">
        <v>0</v>
      </c>
      <c r="L51">
        <v>-45884.33</v>
      </c>
      <c r="M51">
        <v>76618.84</v>
      </c>
      <c r="N51">
        <v>0</v>
      </c>
      <c r="O51">
        <v>273396.83</v>
      </c>
      <c r="P51" s="4" t="s">
        <v>29</v>
      </c>
      <c r="Q51">
        <v>3</v>
      </c>
      <c r="R51">
        <v>7</v>
      </c>
      <c r="S51">
        <v>1225901.44</v>
      </c>
      <c r="T51" s="4" t="s">
        <v>30</v>
      </c>
      <c r="U51" s="5">
        <f>Company_Valuation[[#This Row],[PROFIT]]/Company_Valuation[[#This Row],[COMPANY_VALUATION]]</f>
        <v>6.25E-2</v>
      </c>
    </row>
    <row r="52" spans="1:21" x14ac:dyDescent="0.2">
      <c r="A52" s="4" t="s">
        <v>235</v>
      </c>
      <c r="B52">
        <v>51</v>
      </c>
      <c r="C52" s="4" t="s">
        <v>26</v>
      </c>
      <c r="D52" s="4" t="s">
        <v>44</v>
      </c>
      <c r="E52" s="4" t="s">
        <v>27</v>
      </c>
      <c r="F52" s="4" t="s">
        <v>1655</v>
      </c>
      <c r="G52">
        <v>11</v>
      </c>
      <c r="H52">
        <v>51</v>
      </c>
      <c r="I52">
        <v>250565.74</v>
      </c>
      <c r="J52">
        <v>83566.67</v>
      </c>
      <c r="K52">
        <v>0</v>
      </c>
      <c r="L52">
        <v>-45884.33</v>
      </c>
      <c r="M52">
        <v>78635.360000000001</v>
      </c>
      <c r="N52">
        <v>0</v>
      </c>
      <c r="O52">
        <v>288248.08</v>
      </c>
      <c r="P52" s="4" t="s">
        <v>29</v>
      </c>
      <c r="Q52">
        <v>3</v>
      </c>
      <c r="R52">
        <v>7</v>
      </c>
      <c r="S52">
        <v>1233495.8400000001</v>
      </c>
      <c r="T52" s="4" t="s">
        <v>30</v>
      </c>
      <c r="U52" s="5">
        <f>Company_Valuation[[#This Row],[PROFIT]]/Company_Valuation[[#This Row],[COMPANY_VALUATION]]</f>
        <v>6.3750000162140788E-2</v>
      </c>
    </row>
    <row r="53" spans="1:21" x14ac:dyDescent="0.2">
      <c r="A53" s="4" t="s">
        <v>236</v>
      </c>
      <c r="B53">
        <v>52</v>
      </c>
      <c r="C53" s="4" t="s">
        <v>26</v>
      </c>
      <c r="D53" s="4" t="s">
        <v>44</v>
      </c>
      <c r="E53" s="4" t="s">
        <v>32</v>
      </c>
      <c r="F53" s="4" t="s">
        <v>1680</v>
      </c>
      <c r="G53">
        <v>11</v>
      </c>
      <c r="H53">
        <v>52</v>
      </c>
      <c r="I53">
        <v>232412.14</v>
      </c>
      <c r="J53">
        <v>72644.070000000007</v>
      </c>
      <c r="K53">
        <v>0</v>
      </c>
      <c r="L53">
        <v>-61760.73</v>
      </c>
      <c r="M53">
        <v>80792.67</v>
      </c>
      <c r="N53">
        <v>0</v>
      </c>
      <c r="O53">
        <v>243295.48</v>
      </c>
      <c r="P53" s="4" t="s">
        <v>29</v>
      </c>
      <c r="Q53">
        <v>3</v>
      </c>
      <c r="R53">
        <v>7</v>
      </c>
      <c r="S53">
        <v>1242964.1499999999</v>
      </c>
      <c r="T53" s="4" t="s">
        <v>30</v>
      </c>
      <c r="U53" s="5">
        <f>Company_Valuation[[#This Row],[PROFIT]]/Company_Valuation[[#This Row],[COMPANY_VALUATION]]</f>
        <v>6.5000000201132113E-2</v>
      </c>
    </row>
    <row r="54" spans="1:21" x14ac:dyDescent="0.2">
      <c r="A54" s="4" t="s">
        <v>237</v>
      </c>
      <c r="B54">
        <v>53</v>
      </c>
      <c r="C54" s="4" t="s">
        <v>26</v>
      </c>
      <c r="D54" s="4" t="s">
        <v>44</v>
      </c>
      <c r="E54" s="4" t="s">
        <v>35</v>
      </c>
      <c r="F54" s="4" t="s">
        <v>1715</v>
      </c>
      <c r="G54">
        <v>11</v>
      </c>
      <c r="H54">
        <v>53</v>
      </c>
      <c r="I54">
        <v>247891.01</v>
      </c>
      <c r="J54">
        <v>67048.570000000007</v>
      </c>
      <c r="K54">
        <v>0</v>
      </c>
      <c r="L54">
        <v>-61760.73</v>
      </c>
      <c r="M54">
        <v>81625.48</v>
      </c>
      <c r="N54">
        <v>0</v>
      </c>
      <c r="O54">
        <v>253178.85</v>
      </c>
      <c r="P54" s="4" t="s">
        <v>29</v>
      </c>
      <c r="Q54">
        <v>3</v>
      </c>
      <c r="R54">
        <v>7</v>
      </c>
      <c r="S54">
        <v>1232082.72</v>
      </c>
      <c r="T54" s="4" t="s">
        <v>30</v>
      </c>
      <c r="U54" s="5">
        <f>Company_Valuation[[#This Row],[PROFIT]]/Company_Valuation[[#This Row],[COMPANY_VALUATION]]</f>
        <v>6.624999983767324E-2</v>
      </c>
    </row>
    <row r="55" spans="1:21" x14ac:dyDescent="0.2">
      <c r="A55" s="4" t="s">
        <v>238</v>
      </c>
      <c r="B55">
        <v>54</v>
      </c>
      <c r="C55" s="4" t="s">
        <v>26</v>
      </c>
      <c r="D55" s="4" t="s">
        <v>44</v>
      </c>
      <c r="E55" s="4" t="s">
        <v>38</v>
      </c>
      <c r="F55" s="4" t="s">
        <v>1743</v>
      </c>
      <c r="G55">
        <v>11</v>
      </c>
      <c r="H55">
        <v>54</v>
      </c>
      <c r="I55">
        <v>272796.83</v>
      </c>
      <c r="J55">
        <v>61899.05</v>
      </c>
      <c r="K55">
        <v>0</v>
      </c>
      <c r="L55">
        <v>-61760.73</v>
      </c>
      <c r="M55">
        <v>84133.68</v>
      </c>
      <c r="N55">
        <v>0</v>
      </c>
      <c r="O55">
        <v>272935.15000000002</v>
      </c>
      <c r="P55" s="4" t="s">
        <v>29</v>
      </c>
      <c r="Q55">
        <v>3</v>
      </c>
      <c r="R55">
        <v>7</v>
      </c>
      <c r="S55">
        <v>1246424.8899999999</v>
      </c>
      <c r="T55" s="4" t="s">
        <v>30</v>
      </c>
      <c r="U55" s="5">
        <f>Company_Valuation[[#This Row],[PROFIT]]/Company_Valuation[[#This Row],[COMPANY_VALUATION]]</f>
        <v>6.7499999939827901E-2</v>
      </c>
    </row>
    <row r="56" spans="1:21" x14ac:dyDescent="0.2">
      <c r="A56" s="4" t="s">
        <v>239</v>
      </c>
      <c r="B56">
        <v>55</v>
      </c>
      <c r="C56" s="4" t="s">
        <v>26</v>
      </c>
      <c r="D56" s="4" t="s">
        <v>44</v>
      </c>
      <c r="E56" s="4" t="s">
        <v>41</v>
      </c>
      <c r="F56" s="4" t="s">
        <v>1773</v>
      </c>
      <c r="G56">
        <v>11</v>
      </c>
      <c r="H56">
        <v>55</v>
      </c>
      <c r="I56">
        <v>287948.08</v>
      </c>
      <c r="J56">
        <v>61139.51</v>
      </c>
      <c r="K56">
        <v>0</v>
      </c>
      <c r="L56">
        <v>-61760.73</v>
      </c>
      <c r="M56">
        <v>86178.61</v>
      </c>
      <c r="N56">
        <v>0</v>
      </c>
      <c r="O56">
        <v>287326.86</v>
      </c>
      <c r="P56" s="4" t="s">
        <v>29</v>
      </c>
      <c r="Q56">
        <v>3</v>
      </c>
      <c r="R56">
        <v>7</v>
      </c>
      <c r="S56">
        <v>1253507.05</v>
      </c>
      <c r="T56" s="4" t="s">
        <v>30</v>
      </c>
      <c r="U56" s="5">
        <f>Company_Valuation[[#This Row],[PROFIT]]/Company_Valuation[[#This Row],[COMPANY_VALUATION]]</f>
        <v>6.8750000249300544E-2</v>
      </c>
    </row>
    <row r="57" spans="1:21" x14ac:dyDescent="0.2">
      <c r="A57" s="4" t="s">
        <v>240</v>
      </c>
      <c r="B57">
        <v>56</v>
      </c>
      <c r="C57" s="4" t="s">
        <v>26</v>
      </c>
      <c r="D57" s="4" t="s">
        <v>44</v>
      </c>
      <c r="E57" s="4" t="s">
        <v>44</v>
      </c>
      <c r="F57" s="4" t="s">
        <v>1798</v>
      </c>
      <c r="G57">
        <v>12</v>
      </c>
      <c r="H57">
        <v>56</v>
      </c>
      <c r="I57">
        <v>304456.21000000002</v>
      </c>
      <c r="J57">
        <v>62323.56</v>
      </c>
      <c r="K57">
        <v>0</v>
      </c>
      <c r="L57">
        <v>-137981.79</v>
      </c>
      <c r="M57">
        <v>88058.43</v>
      </c>
      <c r="N57">
        <v>0</v>
      </c>
      <c r="O57">
        <v>228797.98</v>
      </c>
      <c r="P57" s="4" t="s">
        <v>29</v>
      </c>
      <c r="Q57">
        <v>3</v>
      </c>
      <c r="R57">
        <v>7</v>
      </c>
      <c r="S57">
        <v>1257977.57</v>
      </c>
      <c r="T57" s="4" t="s">
        <v>30</v>
      </c>
      <c r="U57" s="5">
        <f>Company_Valuation[[#This Row],[PROFIT]]/Company_Valuation[[#This Row],[COMPANY_VALUATION]]</f>
        <v>7.0000000079492669E-2</v>
      </c>
    </row>
    <row r="58" spans="1:21" x14ac:dyDescent="0.2">
      <c r="A58" s="4" t="s">
        <v>241</v>
      </c>
      <c r="B58">
        <v>57</v>
      </c>
      <c r="C58" s="4" t="s">
        <v>26</v>
      </c>
      <c r="D58" s="4" t="s">
        <v>44</v>
      </c>
      <c r="E58" s="4" t="s">
        <v>47</v>
      </c>
      <c r="F58" s="4" t="s">
        <v>1834</v>
      </c>
      <c r="G58">
        <v>12</v>
      </c>
      <c r="H58">
        <v>57</v>
      </c>
      <c r="I58">
        <v>252578.85</v>
      </c>
      <c r="J58">
        <v>61557.18</v>
      </c>
      <c r="K58">
        <v>0</v>
      </c>
      <c r="L58">
        <v>-76221.06</v>
      </c>
      <c r="M58">
        <v>89150.85</v>
      </c>
      <c r="N58">
        <v>0</v>
      </c>
      <c r="O58">
        <v>237914.97</v>
      </c>
      <c r="P58" s="4" t="s">
        <v>29</v>
      </c>
      <c r="Q58">
        <v>3</v>
      </c>
      <c r="R58">
        <v>7</v>
      </c>
      <c r="S58">
        <v>1251240</v>
      </c>
      <c r="T58" s="4" t="s">
        <v>30</v>
      </c>
      <c r="U58" s="5">
        <f>Company_Valuation[[#This Row],[PROFIT]]/Company_Valuation[[#This Row],[COMPANY_VALUATION]]</f>
        <v>7.1250000000000008E-2</v>
      </c>
    </row>
    <row r="59" spans="1:21" x14ac:dyDescent="0.2">
      <c r="A59" s="4" t="s">
        <v>242</v>
      </c>
      <c r="B59">
        <v>58</v>
      </c>
      <c r="C59" s="4" t="s">
        <v>26</v>
      </c>
      <c r="D59" s="4" t="s">
        <v>44</v>
      </c>
      <c r="E59" s="4" t="s">
        <v>50</v>
      </c>
      <c r="F59" s="4" t="s">
        <v>1858</v>
      </c>
      <c r="G59">
        <v>12</v>
      </c>
      <c r="H59">
        <v>58</v>
      </c>
      <c r="I59">
        <v>272335.15000000002</v>
      </c>
      <c r="J59">
        <v>58382.17</v>
      </c>
      <c r="K59">
        <v>0</v>
      </c>
      <c r="L59">
        <v>-76221.06</v>
      </c>
      <c r="M59">
        <v>91431.81</v>
      </c>
      <c r="N59">
        <v>0</v>
      </c>
      <c r="O59">
        <v>254496.26</v>
      </c>
      <c r="P59" s="4" t="s">
        <v>29</v>
      </c>
      <c r="Q59">
        <v>3</v>
      </c>
      <c r="R59">
        <v>7</v>
      </c>
      <c r="S59">
        <v>1261128.4099999999</v>
      </c>
      <c r="T59" s="4" t="s">
        <v>30</v>
      </c>
      <c r="U59" s="5">
        <f>Company_Valuation[[#This Row],[PROFIT]]/Company_Valuation[[#This Row],[COMPANY_VALUATION]]</f>
        <v>7.2500000218058691E-2</v>
      </c>
    </row>
    <row r="60" spans="1:21" x14ac:dyDescent="0.2">
      <c r="A60" s="4" t="s">
        <v>243</v>
      </c>
      <c r="B60">
        <v>59</v>
      </c>
      <c r="C60" s="4" t="s">
        <v>26</v>
      </c>
      <c r="D60" s="4" t="s">
        <v>44</v>
      </c>
      <c r="E60" s="4" t="s">
        <v>53</v>
      </c>
      <c r="F60" s="4" t="s">
        <v>1859</v>
      </c>
      <c r="G60">
        <v>12</v>
      </c>
      <c r="H60">
        <v>59</v>
      </c>
      <c r="I60">
        <v>286726.86</v>
      </c>
      <c r="J60">
        <v>61569.26</v>
      </c>
      <c r="K60">
        <v>0</v>
      </c>
      <c r="L60">
        <v>-76221.06</v>
      </c>
      <c r="M60">
        <v>93731.199999999997</v>
      </c>
      <c r="N60">
        <v>0</v>
      </c>
      <c r="O60">
        <v>272075.06</v>
      </c>
      <c r="P60" s="4" t="s">
        <v>29</v>
      </c>
      <c r="Q60">
        <v>3</v>
      </c>
      <c r="R60">
        <v>7</v>
      </c>
      <c r="S60">
        <v>1270931.53</v>
      </c>
      <c r="T60" s="4" t="s">
        <v>30</v>
      </c>
      <c r="U60" s="5">
        <f>Company_Valuation[[#This Row],[PROFIT]]/Company_Valuation[[#This Row],[COMPANY_VALUATION]]</f>
        <v>7.374999973444675E-2</v>
      </c>
    </row>
    <row r="61" spans="1:21" x14ac:dyDescent="0.2">
      <c r="A61" s="4" t="s">
        <v>244</v>
      </c>
      <c r="B61">
        <v>60</v>
      </c>
      <c r="C61" s="4" t="s">
        <v>26</v>
      </c>
      <c r="D61" s="4" t="s">
        <v>44</v>
      </c>
      <c r="E61" s="4" t="s">
        <v>56</v>
      </c>
      <c r="F61" s="4" t="s">
        <v>1922</v>
      </c>
      <c r="G61">
        <v>12</v>
      </c>
      <c r="H61">
        <v>60</v>
      </c>
      <c r="I61">
        <v>304419.03999999998</v>
      </c>
      <c r="J61">
        <v>65564.62</v>
      </c>
      <c r="K61">
        <v>0</v>
      </c>
      <c r="L61">
        <v>-129849.18</v>
      </c>
      <c r="M61">
        <v>95722.68</v>
      </c>
      <c r="N61">
        <v>0</v>
      </c>
      <c r="O61">
        <v>240134.48</v>
      </c>
      <c r="P61" s="4" t="s">
        <v>29</v>
      </c>
      <c r="Q61">
        <v>3</v>
      </c>
      <c r="R61">
        <v>7</v>
      </c>
      <c r="S61">
        <v>1276302.3999999999</v>
      </c>
      <c r="T61" s="4" t="s">
        <v>30</v>
      </c>
      <c r="U61" s="5">
        <f>Company_Valuation[[#This Row],[PROFIT]]/Company_Valuation[[#This Row],[COMPANY_VALUATION]]</f>
        <v>7.4999999999999997E-2</v>
      </c>
    </row>
    <row r="62" spans="1:21" x14ac:dyDescent="0.2">
      <c r="A62" s="4" t="s">
        <v>245</v>
      </c>
      <c r="B62">
        <v>61</v>
      </c>
      <c r="C62" s="4" t="s">
        <v>26</v>
      </c>
      <c r="D62" s="4" t="s">
        <v>47</v>
      </c>
      <c r="E62" s="4" t="s">
        <v>27</v>
      </c>
      <c r="F62" s="4" t="s">
        <v>1953</v>
      </c>
      <c r="G62">
        <v>13</v>
      </c>
      <c r="H62">
        <v>61</v>
      </c>
      <c r="I62">
        <v>237314.97</v>
      </c>
      <c r="J62">
        <v>70431.41</v>
      </c>
      <c r="K62">
        <v>0</v>
      </c>
      <c r="L62">
        <v>-53628.12</v>
      </c>
      <c r="M62">
        <v>97241.74</v>
      </c>
      <c r="N62">
        <v>0</v>
      </c>
      <c r="O62">
        <v>254118.26</v>
      </c>
      <c r="P62" s="4" t="s">
        <v>29</v>
      </c>
      <c r="Q62">
        <v>3</v>
      </c>
      <c r="R62">
        <v>7</v>
      </c>
      <c r="S62">
        <v>1275301.51</v>
      </c>
      <c r="T62" s="4" t="s">
        <v>30</v>
      </c>
      <c r="U62" s="5">
        <f>Company_Valuation[[#This Row],[PROFIT]]/Company_Valuation[[#This Row],[COMPANY_VALUATION]]</f>
        <v>7.6249999892182369E-2</v>
      </c>
    </row>
    <row r="63" spans="1:21" x14ac:dyDescent="0.2">
      <c r="A63" s="4" t="s">
        <v>246</v>
      </c>
      <c r="B63">
        <v>62</v>
      </c>
      <c r="C63" s="4" t="s">
        <v>26</v>
      </c>
      <c r="D63" s="4" t="s">
        <v>47</v>
      </c>
      <c r="E63" s="4" t="s">
        <v>32</v>
      </c>
      <c r="F63" s="4" t="s">
        <v>1983</v>
      </c>
      <c r="G63">
        <v>13</v>
      </c>
      <c r="H63">
        <v>62</v>
      </c>
      <c r="I63">
        <v>253896.26</v>
      </c>
      <c r="J63">
        <v>77601.94</v>
      </c>
      <c r="K63">
        <v>0</v>
      </c>
      <c r="L63">
        <v>-53628.12</v>
      </c>
      <c r="M63">
        <v>100330.19</v>
      </c>
      <c r="N63">
        <v>0</v>
      </c>
      <c r="O63">
        <v>277870.08000000002</v>
      </c>
      <c r="P63" s="4" t="s">
        <v>29</v>
      </c>
      <c r="Q63">
        <v>3</v>
      </c>
      <c r="R63">
        <v>7</v>
      </c>
      <c r="S63">
        <v>1294583.1000000001</v>
      </c>
      <c r="T63" s="4" t="s">
        <v>30</v>
      </c>
      <c r="U63" s="5">
        <f>Company_Valuation[[#This Row],[PROFIT]]/Company_Valuation[[#This Row],[COMPANY_VALUATION]]</f>
        <v>7.749999980688764E-2</v>
      </c>
    </row>
    <row r="64" spans="1:21" x14ac:dyDescent="0.2">
      <c r="A64" s="4" t="s">
        <v>247</v>
      </c>
      <c r="B64">
        <v>63</v>
      </c>
      <c r="C64" s="4" t="s">
        <v>26</v>
      </c>
      <c r="D64" s="4" t="s">
        <v>47</v>
      </c>
      <c r="E64" s="4" t="s">
        <v>35</v>
      </c>
      <c r="F64" s="4" t="s">
        <v>2007</v>
      </c>
      <c r="G64">
        <v>13</v>
      </c>
      <c r="H64">
        <v>63</v>
      </c>
      <c r="I64">
        <v>271475.06</v>
      </c>
      <c r="J64">
        <v>73173.649999999994</v>
      </c>
      <c r="K64">
        <v>0</v>
      </c>
      <c r="L64">
        <v>-53628.12</v>
      </c>
      <c r="M64">
        <v>102329.2</v>
      </c>
      <c r="N64">
        <v>0</v>
      </c>
      <c r="O64">
        <v>291020.59000000003</v>
      </c>
      <c r="P64" s="4" t="s">
        <v>29</v>
      </c>
      <c r="Q64">
        <v>3</v>
      </c>
      <c r="R64">
        <v>7</v>
      </c>
      <c r="S64">
        <v>1299418.4099999999</v>
      </c>
      <c r="T64" s="4" t="s">
        <v>30</v>
      </c>
      <c r="U64" s="5">
        <f>Company_Valuation[[#This Row],[PROFIT]]/Company_Valuation[[#This Row],[COMPANY_VALUATION]]</f>
        <v>7.87500001635347E-2</v>
      </c>
    </row>
    <row r="65" spans="1:21" x14ac:dyDescent="0.2">
      <c r="A65" s="4" t="s">
        <v>248</v>
      </c>
      <c r="B65">
        <v>64</v>
      </c>
      <c r="C65" s="4" t="s">
        <v>26</v>
      </c>
      <c r="D65" s="4" t="s">
        <v>47</v>
      </c>
      <c r="E65" s="4" t="s">
        <v>38</v>
      </c>
      <c r="F65" s="4" t="s">
        <v>2042</v>
      </c>
      <c r="G65">
        <v>13</v>
      </c>
      <c r="H65">
        <v>64</v>
      </c>
      <c r="I65">
        <v>293162.59999999998</v>
      </c>
      <c r="J65">
        <v>65787.88</v>
      </c>
      <c r="K65">
        <v>0</v>
      </c>
      <c r="L65">
        <v>-137542.42000000001</v>
      </c>
      <c r="M65">
        <v>103581.22</v>
      </c>
      <c r="N65">
        <v>0</v>
      </c>
      <c r="O65">
        <v>221408.06</v>
      </c>
      <c r="P65" s="4" t="s">
        <v>29</v>
      </c>
      <c r="Q65">
        <v>3</v>
      </c>
      <c r="R65">
        <v>7</v>
      </c>
      <c r="S65">
        <v>1294765.25</v>
      </c>
      <c r="T65" s="4" t="s">
        <v>30</v>
      </c>
      <c r="U65" s="5">
        <f>Company_Valuation[[#This Row],[PROFIT]]/Company_Valuation[[#This Row],[COMPANY_VALUATION]]</f>
        <v>0.08</v>
      </c>
    </row>
    <row r="66" spans="1:21" x14ac:dyDescent="0.2">
      <c r="A66" s="4" t="s">
        <v>249</v>
      </c>
      <c r="B66">
        <v>65</v>
      </c>
      <c r="C66" s="4" t="s">
        <v>26</v>
      </c>
      <c r="D66" s="4" t="s">
        <v>47</v>
      </c>
      <c r="E66" s="4" t="s">
        <v>41</v>
      </c>
      <c r="F66" s="4" t="s">
        <v>2073</v>
      </c>
      <c r="G66">
        <v>13</v>
      </c>
      <c r="H66">
        <v>65</v>
      </c>
      <c r="I66">
        <v>253518.26</v>
      </c>
      <c r="J66">
        <v>74416.160000000003</v>
      </c>
      <c r="K66">
        <v>0</v>
      </c>
      <c r="L66">
        <v>-83914.3</v>
      </c>
      <c r="M66">
        <v>106291.76</v>
      </c>
      <c r="N66">
        <v>0</v>
      </c>
      <c r="O66">
        <v>244020.12</v>
      </c>
      <c r="P66" s="4" t="s">
        <v>29</v>
      </c>
      <c r="Q66">
        <v>3</v>
      </c>
      <c r="R66">
        <v>7</v>
      </c>
      <c r="S66">
        <v>1308206.28</v>
      </c>
      <c r="T66" s="4" t="s">
        <v>30</v>
      </c>
      <c r="U66" s="5">
        <f>Company_Valuation[[#This Row],[PROFIT]]/Company_Valuation[[#This Row],[COMPANY_VALUATION]]</f>
        <v>8.1249999808898632E-2</v>
      </c>
    </row>
    <row r="67" spans="1:21" x14ac:dyDescent="0.2">
      <c r="A67" s="4" t="s">
        <v>250</v>
      </c>
      <c r="B67">
        <v>66</v>
      </c>
      <c r="C67" s="4" t="s">
        <v>26</v>
      </c>
      <c r="D67" s="4" t="s">
        <v>47</v>
      </c>
      <c r="E67" s="4" t="s">
        <v>44</v>
      </c>
      <c r="F67" s="4" t="s">
        <v>2103</v>
      </c>
      <c r="G67">
        <v>14</v>
      </c>
      <c r="H67">
        <v>66</v>
      </c>
      <c r="I67">
        <v>277270.08</v>
      </c>
      <c r="J67">
        <v>72144.09</v>
      </c>
      <c r="K67">
        <v>0</v>
      </c>
      <c r="L67">
        <v>-83914.3</v>
      </c>
      <c r="M67">
        <v>108558.8</v>
      </c>
      <c r="N67">
        <v>0</v>
      </c>
      <c r="O67">
        <v>265499.87</v>
      </c>
      <c r="P67" s="4" t="s">
        <v>29</v>
      </c>
      <c r="Q67">
        <v>3</v>
      </c>
      <c r="R67">
        <v>7</v>
      </c>
      <c r="S67">
        <v>1315864.24</v>
      </c>
      <c r="T67" s="4" t="s">
        <v>30</v>
      </c>
      <c r="U67" s="5">
        <f>Company_Valuation[[#This Row],[PROFIT]]/Company_Valuation[[#This Row],[COMPANY_VALUATION]]</f>
        <v>8.2500000151991368E-2</v>
      </c>
    </row>
    <row r="68" spans="1:21" x14ac:dyDescent="0.2">
      <c r="A68" s="4" t="s">
        <v>251</v>
      </c>
      <c r="B68">
        <v>67</v>
      </c>
      <c r="C68" s="4" t="s">
        <v>26</v>
      </c>
      <c r="D68" s="4" t="s">
        <v>47</v>
      </c>
      <c r="E68" s="4" t="s">
        <v>47</v>
      </c>
      <c r="F68" s="4" t="s">
        <v>2128</v>
      </c>
      <c r="G68">
        <v>14</v>
      </c>
      <c r="H68">
        <v>67</v>
      </c>
      <c r="I68">
        <v>290120.59000000003</v>
      </c>
      <c r="J68">
        <v>73050.66</v>
      </c>
      <c r="K68">
        <v>0</v>
      </c>
      <c r="L68">
        <v>-148715.71</v>
      </c>
      <c r="M68">
        <v>110235.03</v>
      </c>
      <c r="N68">
        <v>0</v>
      </c>
      <c r="O68">
        <v>214455.54</v>
      </c>
      <c r="P68" s="4" t="s">
        <v>29</v>
      </c>
      <c r="Q68">
        <v>3</v>
      </c>
      <c r="R68">
        <v>7</v>
      </c>
      <c r="S68">
        <v>1316239.1599999999</v>
      </c>
      <c r="T68" s="4" t="s">
        <v>30</v>
      </c>
      <c r="U68" s="5">
        <f>Company_Valuation[[#This Row],[PROFIT]]/Company_Valuation[[#This Row],[COMPANY_VALUATION]]</f>
        <v>8.3750000265909133E-2</v>
      </c>
    </row>
    <row r="69" spans="1:21" x14ac:dyDescent="0.2">
      <c r="A69" s="4" t="s">
        <v>252</v>
      </c>
      <c r="B69">
        <v>68</v>
      </c>
      <c r="C69" s="4" t="s">
        <v>26</v>
      </c>
      <c r="D69" s="4" t="s">
        <v>47</v>
      </c>
      <c r="E69" s="4" t="s">
        <v>50</v>
      </c>
      <c r="F69" s="4" t="s">
        <v>2157</v>
      </c>
      <c r="G69">
        <v>14</v>
      </c>
      <c r="H69">
        <v>68</v>
      </c>
      <c r="I69">
        <v>304722.36</v>
      </c>
      <c r="J69">
        <v>96836.2</v>
      </c>
      <c r="K69">
        <v>0</v>
      </c>
      <c r="L69">
        <v>-148715.71</v>
      </c>
      <c r="M69">
        <v>115041.06</v>
      </c>
      <c r="N69">
        <v>0</v>
      </c>
      <c r="O69">
        <v>252842.85</v>
      </c>
      <c r="P69" s="4" t="s">
        <v>29</v>
      </c>
      <c r="Q69">
        <v>3</v>
      </c>
      <c r="R69">
        <v>7</v>
      </c>
      <c r="S69">
        <v>1353424.24</v>
      </c>
      <c r="T69" s="4" t="s">
        <v>30</v>
      </c>
      <c r="U69" s="5">
        <f>Company_Valuation[[#This Row],[PROFIT]]/Company_Valuation[[#This Row],[COMPANY_VALUATION]]</f>
        <v>8.499999970445335E-2</v>
      </c>
    </row>
    <row r="70" spans="1:21" x14ac:dyDescent="0.2">
      <c r="A70" s="4" t="s">
        <v>253</v>
      </c>
      <c r="B70">
        <v>69</v>
      </c>
      <c r="C70" s="4" t="s">
        <v>26</v>
      </c>
      <c r="D70" s="4" t="s">
        <v>47</v>
      </c>
      <c r="E70" s="4" t="s">
        <v>53</v>
      </c>
      <c r="F70" s="4" t="s">
        <v>2158</v>
      </c>
      <c r="G70">
        <v>14</v>
      </c>
      <c r="H70">
        <v>69</v>
      </c>
      <c r="I70">
        <v>243420.12</v>
      </c>
      <c r="J70">
        <v>88706.1</v>
      </c>
      <c r="K70">
        <v>0</v>
      </c>
      <c r="L70">
        <v>-64801.41</v>
      </c>
      <c r="M70">
        <v>116474.17</v>
      </c>
      <c r="N70">
        <v>0</v>
      </c>
      <c r="O70">
        <v>267324.81</v>
      </c>
      <c r="P70" s="4" t="s">
        <v>29</v>
      </c>
      <c r="Q70">
        <v>3</v>
      </c>
      <c r="R70">
        <v>7</v>
      </c>
      <c r="S70">
        <v>1350425.16</v>
      </c>
      <c r="T70" s="4" t="s">
        <v>30</v>
      </c>
      <c r="U70" s="5">
        <f>Company_Valuation[[#This Row],[PROFIT]]/Company_Valuation[[#This Row],[COMPANY_VALUATION]]</f>
        <v>8.6249999962974624E-2</v>
      </c>
    </row>
    <row r="71" spans="1:21" x14ac:dyDescent="0.2">
      <c r="A71" s="4" t="s">
        <v>254</v>
      </c>
      <c r="B71">
        <v>70</v>
      </c>
      <c r="C71" s="4" t="s">
        <v>26</v>
      </c>
      <c r="D71" s="4" t="s">
        <v>47</v>
      </c>
      <c r="E71" s="4" t="s">
        <v>56</v>
      </c>
      <c r="F71" s="4" t="s">
        <v>2222</v>
      </c>
      <c r="G71">
        <v>14</v>
      </c>
      <c r="H71">
        <v>70</v>
      </c>
      <c r="I71">
        <v>264899.87</v>
      </c>
      <c r="J71">
        <v>94927.24</v>
      </c>
      <c r="K71">
        <v>0</v>
      </c>
      <c r="L71">
        <v>-64801.41</v>
      </c>
      <c r="M71">
        <v>120082.4</v>
      </c>
      <c r="N71">
        <v>0</v>
      </c>
      <c r="O71">
        <v>295025.7</v>
      </c>
      <c r="P71" s="4" t="s">
        <v>29</v>
      </c>
      <c r="Q71">
        <v>3</v>
      </c>
      <c r="R71">
        <v>7</v>
      </c>
      <c r="S71">
        <v>1372370.29</v>
      </c>
      <c r="T71" s="4" t="s">
        <v>30</v>
      </c>
      <c r="U71" s="5">
        <f>Company_Valuation[[#This Row],[PROFIT]]/Company_Valuation[[#This Row],[COMPANY_VALUATION]]</f>
        <v>8.7499999726750127E-2</v>
      </c>
    </row>
    <row r="72" spans="1:21" x14ac:dyDescent="0.2">
      <c r="A72" s="4" t="s">
        <v>255</v>
      </c>
      <c r="B72">
        <v>71</v>
      </c>
      <c r="C72" s="4" t="s">
        <v>26</v>
      </c>
      <c r="D72" s="4" t="s">
        <v>50</v>
      </c>
      <c r="E72" s="4" t="s">
        <v>27</v>
      </c>
      <c r="F72" s="4" t="s">
        <v>2252</v>
      </c>
      <c r="G72">
        <v>15</v>
      </c>
      <c r="H72">
        <v>71</v>
      </c>
      <c r="I72">
        <v>278656.95</v>
      </c>
      <c r="J72">
        <v>93441.37</v>
      </c>
      <c r="K72">
        <v>0</v>
      </c>
      <c r="L72">
        <v>-146755.19</v>
      </c>
      <c r="M72">
        <v>121256.14</v>
      </c>
      <c r="N72">
        <v>0</v>
      </c>
      <c r="O72">
        <v>225343.13</v>
      </c>
      <c r="P72" s="4" t="s">
        <v>29</v>
      </c>
      <c r="Q72">
        <v>3</v>
      </c>
      <c r="R72">
        <v>7</v>
      </c>
      <c r="S72">
        <v>1366266.37</v>
      </c>
      <c r="T72" s="4" t="s">
        <v>30</v>
      </c>
      <c r="U72" s="5">
        <f>Company_Valuation[[#This Row],[PROFIT]]/Company_Valuation[[#This Row],[COMPANY_VALUATION]]</f>
        <v>8.8749999752976413E-2</v>
      </c>
    </row>
    <row r="73" spans="1:21" x14ac:dyDescent="0.2">
      <c r="A73" s="4" t="s">
        <v>256</v>
      </c>
      <c r="B73">
        <v>72</v>
      </c>
      <c r="C73" s="4" t="s">
        <v>26</v>
      </c>
      <c r="D73" s="4" t="s">
        <v>50</v>
      </c>
      <c r="E73" s="4" t="s">
        <v>32</v>
      </c>
      <c r="F73" s="4" t="s">
        <v>2277</v>
      </c>
      <c r="G73">
        <v>15</v>
      </c>
      <c r="H73">
        <v>72</v>
      </c>
      <c r="I73">
        <v>252242.85</v>
      </c>
      <c r="J73">
        <v>70675.28</v>
      </c>
      <c r="K73">
        <v>0</v>
      </c>
      <c r="L73">
        <v>-81953.78</v>
      </c>
      <c r="M73">
        <v>123371.45</v>
      </c>
      <c r="N73">
        <v>0</v>
      </c>
      <c r="O73">
        <v>240964.35</v>
      </c>
      <c r="P73" s="4" t="s">
        <v>29</v>
      </c>
      <c r="Q73">
        <v>3</v>
      </c>
      <c r="R73">
        <v>7</v>
      </c>
      <c r="S73">
        <v>1370793.89</v>
      </c>
      <c r="T73" s="4" t="s">
        <v>30</v>
      </c>
      <c r="U73" s="5">
        <f>Company_Valuation[[#This Row],[PROFIT]]/Company_Valuation[[#This Row],[COMPANY_VALUATION]]</f>
        <v>8.9999999927049573E-2</v>
      </c>
    </row>
    <row r="74" spans="1:21" x14ac:dyDescent="0.2">
      <c r="A74" s="4" t="s">
        <v>257</v>
      </c>
      <c r="B74">
        <v>73</v>
      </c>
      <c r="C74" s="4" t="s">
        <v>26</v>
      </c>
      <c r="D74" s="4" t="s">
        <v>50</v>
      </c>
      <c r="E74" s="4" t="s">
        <v>35</v>
      </c>
      <c r="F74" s="4" t="s">
        <v>2278</v>
      </c>
      <c r="G74">
        <v>15</v>
      </c>
      <c r="H74">
        <v>73</v>
      </c>
      <c r="I74">
        <v>266724.81</v>
      </c>
      <c r="J74">
        <v>78404.89</v>
      </c>
      <c r="K74">
        <v>0</v>
      </c>
      <c r="L74">
        <v>-81953.78</v>
      </c>
      <c r="M74">
        <v>126127.48</v>
      </c>
      <c r="N74">
        <v>0</v>
      </c>
      <c r="O74">
        <v>263175.92</v>
      </c>
      <c r="P74" s="4" t="s">
        <v>29</v>
      </c>
      <c r="Q74">
        <v>3</v>
      </c>
      <c r="R74">
        <v>7</v>
      </c>
      <c r="S74">
        <v>1382218.96</v>
      </c>
      <c r="T74" s="4" t="s">
        <v>30</v>
      </c>
      <c r="U74" s="5">
        <f>Company_Valuation[[#This Row],[PROFIT]]/Company_Valuation[[#This Row],[COMPANY_VALUATION]]</f>
        <v>9.1249999927652564E-2</v>
      </c>
    </row>
    <row r="75" spans="1:21" x14ac:dyDescent="0.2">
      <c r="A75" s="4" t="s">
        <v>258</v>
      </c>
      <c r="B75">
        <v>74</v>
      </c>
      <c r="C75" s="4" t="s">
        <v>26</v>
      </c>
      <c r="D75" s="4" t="s">
        <v>50</v>
      </c>
      <c r="E75" s="4" t="s">
        <v>38</v>
      </c>
      <c r="F75" s="4" t="s">
        <v>2340</v>
      </c>
      <c r="G75">
        <v>15</v>
      </c>
      <c r="H75">
        <v>74</v>
      </c>
      <c r="I75">
        <v>294425.7</v>
      </c>
      <c r="J75">
        <v>66676.210000000006</v>
      </c>
      <c r="K75">
        <v>0</v>
      </c>
      <c r="L75">
        <v>-81953.78</v>
      </c>
      <c r="M75">
        <v>128069.39</v>
      </c>
      <c r="N75">
        <v>0</v>
      </c>
      <c r="O75">
        <v>279148.13</v>
      </c>
      <c r="P75" s="4" t="s">
        <v>29</v>
      </c>
      <c r="Q75">
        <v>3</v>
      </c>
      <c r="R75">
        <v>7</v>
      </c>
      <c r="S75">
        <v>1384533.95</v>
      </c>
      <c r="T75" s="4" t="s">
        <v>30</v>
      </c>
      <c r="U75" s="5">
        <f>Company_Valuation[[#This Row],[PROFIT]]/Company_Valuation[[#This Row],[COMPANY_VALUATION]]</f>
        <v>9.2499999729150739E-2</v>
      </c>
    </row>
    <row r="76" spans="1:21" x14ac:dyDescent="0.2">
      <c r="A76" s="4" t="s">
        <v>259</v>
      </c>
      <c r="B76">
        <v>75</v>
      </c>
      <c r="C76" s="4" t="s">
        <v>26</v>
      </c>
      <c r="D76" s="4" t="s">
        <v>50</v>
      </c>
      <c r="E76" s="4" t="s">
        <v>41</v>
      </c>
      <c r="F76" s="4" t="s">
        <v>2370</v>
      </c>
      <c r="G76">
        <v>15</v>
      </c>
      <c r="H76">
        <v>75</v>
      </c>
      <c r="I76">
        <v>306696.90999999997</v>
      </c>
      <c r="J76">
        <v>80748.7</v>
      </c>
      <c r="K76">
        <v>0</v>
      </c>
      <c r="L76">
        <v>-81953.78</v>
      </c>
      <c r="M76">
        <v>131174.17000000001</v>
      </c>
      <c r="N76">
        <v>0</v>
      </c>
      <c r="O76">
        <v>305491.83</v>
      </c>
      <c r="P76" s="4" t="s">
        <v>29</v>
      </c>
      <c r="Q76">
        <v>3</v>
      </c>
      <c r="R76">
        <v>7</v>
      </c>
      <c r="S76">
        <v>1399191.15</v>
      </c>
      <c r="T76" s="4" t="s">
        <v>30</v>
      </c>
      <c r="U76" s="5">
        <f>Company_Valuation[[#This Row],[PROFIT]]/Company_Valuation[[#This Row],[COMPANY_VALUATION]]</f>
        <v>9.3749999776656698E-2</v>
      </c>
    </row>
    <row r="77" spans="1:21" x14ac:dyDescent="0.2">
      <c r="A77" s="4" t="s">
        <v>260</v>
      </c>
      <c r="B77">
        <v>76</v>
      </c>
      <c r="C77" s="4" t="s">
        <v>26</v>
      </c>
      <c r="D77" s="4" t="s">
        <v>50</v>
      </c>
      <c r="E77" s="4" t="s">
        <v>44</v>
      </c>
      <c r="F77" s="4" t="s">
        <v>2403</v>
      </c>
      <c r="G77">
        <v>16</v>
      </c>
      <c r="H77">
        <v>76</v>
      </c>
      <c r="I77">
        <v>240364.35</v>
      </c>
      <c r="J77">
        <v>92772.78</v>
      </c>
      <c r="K77">
        <v>0</v>
      </c>
      <c r="L77">
        <v>0</v>
      </c>
      <c r="M77">
        <v>134208.04999999999</v>
      </c>
      <c r="N77">
        <v>0</v>
      </c>
      <c r="O77">
        <v>333137.13</v>
      </c>
      <c r="P77" s="4" t="s">
        <v>29</v>
      </c>
      <c r="Q77">
        <v>3</v>
      </c>
      <c r="R77">
        <v>7</v>
      </c>
      <c r="S77">
        <v>1412716.32</v>
      </c>
      <c r="T77" s="4" t="s">
        <v>30</v>
      </c>
      <c r="U77" s="5">
        <f>Company_Valuation[[#This Row],[PROFIT]]/Company_Valuation[[#This Row],[COMPANY_VALUATION]]</f>
        <v>9.4999999716857506E-2</v>
      </c>
    </row>
    <row r="78" spans="1:21" x14ac:dyDescent="0.2">
      <c r="A78" s="4" t="s">
        <v>261</v>
      </c>
      <c r="B78">
        <v>77</v>
      </c>
      <c r="C78" s="4" t="s">
        <v>26</v>
      </c>
      <c r="D78" s="4" t="s">
        <v>50</v>
      </c>
      <c r="E78" s="4" t="s">
        <v>47</v>
      </c>
      <c r="F78" s="4" t="s">
        <v>2395</v>
      </c>
      <c r="G78">
        <v>16</v>
      </c>
      <c r="H78">
        <v>77</v>
      </c>
      <c r="I78">
        <v>262575.92</v>
      </c>
      <c r="J78">
        <v>81932.38</v>
      </c>
      <c r="K78">
        <v>0</v>
      </c>
      <c r="L78">
        <v>-82064.289999999994</v>
      </c>
      <c r="M78">
        <v>135595</v>
      </c>
      <c r="N78">
        <v>0</v>
      </c>
      <c r="O78">
        <v>262444.01</v>
      </c>
      <c r="P78" s="4" t="s">
        <v>29</v>
      </c>
      <c r="Q78">
        <v>3</v>
      </c>
      <c r="R78">
        <v>7</v>
      </c>
      <c r="S78">
        <v>1408779.22</v>
      </c>
      <c r="T78" s="4" t="s">
        <v>30</v>
      </c>
      <c r="U78" s="5">
        <f>Company_Valuation[[#This Row],[PROFIT]]/Company_Valuation[[#This Row],[COMPANY_VALUATION]]</f>
        <v>9.6250000053237583E-2</v>
      </c>
    </row>
    <row r="79" spans="1:21" x14ac:dyDescent="0.2">
      <c r="A79" s="4" t="s">
        <v>262</v>
      </c>
      <c r="B79">
        <v>78</v>
      </c>
      <c r="C79" s="4" t="s">
        <v>26</v>
      </c>
      <c r="D79" s="4" t="s">
        <v>50</v>
      </c>
      <c r="E79" s="4" t="s">
        <v>50</v>
      </c>
      <c r="F79" s="4" t="s">
        <v>2458</v>
      </c>
      <c r="G79">
        <v>16</v>
      </c>
      <c r="H79">
        <v>78</v>
      </c>
      <c r="I79">
        <v>278248.13</v>
      </c>
      <c r="J79">
        <v>86399.1</v>
      </c>
      <c r="K79">
        <v>0</v>
      </c>
      <c r="L79">
        <v>-82064.289999999994</v>
      </c>
      <c r="M79">
        <v>138349.07</v>
      </c>
      <c r="N79">
        <v>0</v>
      </c>
      <c r="O79">
        <v>282582.94</v>
      </c>
      <c r="P79" s="4" t="s">
        <v>29</v>
      </c>
      <c r="Q79">
        <v>3</v>
      </c>
      <c r="R79">
        <v>7</v>
      </c>
      <c r="S79">
        <v>1418964.82</v>
      </c>
      <c r="T79" s="4" t="s">
        <v>30</v>
      </c>
      <c r="U79" s="5">
        <f>Company_Valuation[[#This Row],[PROFIT]]/Company_Valuation[[#This Row],[COMPANY_VALUATION]]</f>
        <v>9.7500000035236956E-2</v>
      </c>
    </row>
    <row r="80" spans="1:21" x14ac:dyDescent="0.2">
      <c r="A80" s="4" t="s">
        <v>263</v>
      </c>
      <c r="B80">
        <v>79</v>
      </c>
      <c r="C80" s="4" t="s">
        <v>26</v>
      </c>
      <c r="D80" s="4" t="s">
        <v>50</v>
      </c>
      <c r="E80" s="4" t="s">
        <v>53</v>
      </c>
      <c r="F80" s="4" t="s">
        <v>2489</v>
      </c>
      <c r="G80">
        <v>16</v>
      </c>
      <c r="H80">
        <v>79</v>
      </c>
      <c r="I80">
        <v>304891.83</v>
      </c>
      <c r="J80">
        <v>78320.72</v>
      </c>
      <c r="K80">
        <v>0</v>
      </c>
      <c r="L80">
        <v>-82064.289999999994</v>
      </c>
      <c r="M80">
        <v>140542.24</v>
      </c>
      <c r="N80">
        <v>0</v>
      </c>
      <c r="O80">
        <v>301148.26</v>
      </c>
      <c r="P80" s="4" t="s">
        <v>29</v>
      </c>
      <c r="Q80">
        <v>3</v>
      </c>
      <c r="R80">
        <v>7</v>
      </c>
      <c r="S80">
        <v>1423212.56</v>
      </c>
      <c r="T80" s="4" t="s">
        <v>30</v>
      </c>
      <c r="U80" s="5">
        <f>Company_Valuation[[#This Row],[PROFIT]]/Company_Valuation[[#This Row],[COMPANY_VALUATION]]</f>
        <v>9.8749999789209272E-2</v>
      </c>
    </row>
    <row r="81" spans="1:21" x14ac:dyDescent="0.2">
      <c r="A81" s="4" t="s">
        <v>264</v>
      </c>
      <c r="B81">
        <v>80</v>
      </c>
      <c r="C81" s="4" t="s">
        <v>26</v>
      </c>
      <c r="D81" s="4" t="s">
        <v>50</v>
      </c>
      <c r="E81" s="4" t="s">
        <v>56</v>
      </c>
      <c r="F81" s="4" t="s">
        <v>2513</v>
      </c>
      <c r="G81">
        <v>16</v>
      </c>
      <c r="H81">
        <v>80</v>
      </c>
      <c r="I81">
        <v>332237.13</v>
      </c>
      <c r="J81">
        <v>66987.73</v>
      </c>
      <c r="K81">
        <v>0</v>
      </c>
      <c r="L81">
        <v>-82064.289999999994</v>
      </c>
      <c r="M81">
        <v>142478.35999999999</v>
      </c>
      <c r="N81">
        <v>0</v>
      </c>
      <c r="O81">
        <v>317160.57</v>
      </c>
      <c r="P81" s="4" t="s">
        <v>29</v>
      </c>
      <c r="Q81">
        <v>3</v>
      </c>
      <c r="R81">
        <v>7</v>
      </c>
      <c r="S81">
        <v>1424783.6</v>
      </c>
      <c r="T81" s="4" t="s">
        <v>30</v>
      </c>
      <c r="U81" s="5">
        <f>Company_Valuation[[#This Row],[PROFIT]]/Company_Valuation[[#This Row],[COMPANY_VALUATION]]</f>
        <v>9.9999999999999978E-2</v>
      </c>
    </row>
    <row r="82" spans="1:21" x14ac:dyDescent="0.2">
      <c r="A82" s="4"/>
      <c r="C82" s="4"/>
      <c r="D82" s="4"/>
      <c r="E82" s="4"/>
      <c r="F82" s="4"/>
      <c r="P82" s="4"/>
      <c r="T82" s="4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6600-C7C0-6640-A581-F1E6DB65D2D0}">
  <dimension ref="A3:AJ82"/>
  <sheetViews>
    <sheetView workbookViewId="0">
      <pane ySplit="6" topLeftCell="A46" activePane="bottomLeft" state="frozen"/>
      <selection pane="bottomLeft" activeCell="I78" sqref="I78"/>
    </sheetView>
  </sheetViews>
  <sheetFormatPr baseColWidth="10" defaultRowHeight="16" x14ac:dyDescent="0.2"/>
  <cols>
    <col min="1" max="1" width="15.33203125" bestFit="1" customWidth="1"/>
    <col min="2" max="2" width="16" bestFit="1" customWidth="1"/>
    <col min="3" max="4" width="5.1640625" bestFit="1" customWidth="1"/>
    <col min="5" max="5" width="9" hidden="1" customWidth="1"/>
    <col min="6" max="6" width="11.6640625" hidden="1" customWidth="1"/>
    <col min="7" max="7" width="9.33203125" bestFit="1" customWidth="1"/>
    <col min="8" max="8" width="4.1640625" bestFit="1" customWidth="1"/>
    <col min="9" max="9" width="4.83203125" bestFit="1" customWidth="1"/>
    <col min="10" max="10" width="11.1640625" bestFit="1" customWidth="1"/>
    <col min="11" max="11" width="11.6640625" bestFit="1" customWidth="1"/>
    <col min="12" max="12" width="9.5" bestFit="1" customWidth="1"/>
    <col min="13" max="13" width="5.1640625" bestFit="1" customWidth="1"/>
    <col min="14" max="14" width="11.83203125" hidden="1" customWidth="1"/>
    <col min="15" max="15" width="11.6640625" hidden="1" customWidth="1"/>
    <col min="16" max="16" width="11.6640625" bestFit="1" customWidth="1"/>
    <col min="17" max="17" width="9.5" bestFit="1" customWidth="1"/>
    <col min="18" max="18" width="4.1640625" bestFit="1" customWidth="1"/>
    <col min="19" max="19" width="11.83203125" hidden="1" customWidth="1"/>
    <col min="20" max="20" width="11.6640625" hidden="1" customWidth="1"/>
    <col min="21" max="21" width="11.6640625" bestFit="1" customWidth="1"/>
    <col min="22" max="22" width="9.33203125" bestFit="1" customWidth="1"/>
    <col min="23" max="23" width="5.1640625" bestFit="1" customWidth="1"/>
    <col min="24" max="24" width="10.6640625" hidden="1" customWidth="1"/>
    <col min="25" max="25" width="11.6640625" hidden="1" customWidth="1"/>
    <col min="26" max="27" width="11.6640625" bestFit="1" customWidth="1"/>
    <col min="28" max="28" width="4.1640625" bestFit="1" customWidth="1"/>
    <col min="29" max="29" width="14" hidden="1" customWidth="1"/>
    <col min="30" max="30" width="11.6640625" hidden="1" customWidth="1"/>
    <col min="31" max="31" width="9" hidden="1" customWidth="1"/>
    <col min="32" max="33" width="11.33203125" hidden="1" customWidth="1"/>
    <col min="34" max="34" width="10.5" hidden="1" customWidth="1"/>
    <col min="35" max="35" width="10.5" bestFit="1" customWidth="1"/>
  </cols>
  <sheetData>
    <row r="3" spans="1:35" x14ac:dyDescent="0.2">
      <c r="A3" s="1" t="s">
        <v>1060</v>
      </c>
      <c r="B3" s="1" t="s">
        <v>1059</v>
      </c>
    </row>
    <row r="4" spans="1:35" x14ac:dyDescent="0.2">
      <c r="B4" t="s">
        <v>122</v>
      </c>
      <c r="F4" t="s">
        <v>1061</v>
      </c>
      <c r="G4" t="s">
        <v>125</v>
      </c>
      <c r="K4" t="s">
        <v>1062</v>
      </c>
      <c r="L4" t="s">
        <v>127</v>
      </c>
      <c r="P4" t="s">
        <v>1063</v>
      </c>
      <c r="Q4" t="s">
        <v>129</v>
      </c>
      <c r="U4" t="s">
        <v>1064</v>
      </c>
      <c r="V4" t="s">
        <v>131</v>
      </c>
      <c r="Z4" t="s">
        <v>1065</v>
      </c>
      <c r="AA4" t="s">
        <v>133</v>
      </c>
      <c r="AE4" t="s">
        <v>1066</v>
      </c>
      <c r="AF4" t="s">
        <v>1057</v>
      </c>
      <c r="AH4" t="s">
        <v>1067</v>
      </c>
      <c r="AI4" t="s">
        <v>1058</v>
      </c>
    </row>
    <row r="5" spans="1:35" x14ac:dyDescent="0.2">
      <c r="B5" t="s">
        <v>123</v>
      </c>
      <c r="E5" t="s">
        <v>1072</v>
      </c>
      <c r="G5" t="s">
        <v>126</v>
      </c>
      <c r="J5" t="s">
        <v>1070</v>
      </c>
      <c r="L5" t="s">
        <v>128</v>
      </c>
      <c r="O5" t="s">
        <v>1073</v>
      </c>
      <c r="Q5" t="s">
        <v>130</v>
      </c>
      <c r="T5" t="s">
        <v>1069</v>
      </c>
      <c r="V5" t="s">
        <v>132</v>
      </c>
      <c r="Y5" t="s">
        <v>1068</v>
      </c>
      <c r="AA5" t="s">
        <v>134</v>
      </c>
      <c r="AD5" t="s">
        <v>1071</v>
      </c>
      <c r="AF5" t="s">
        <v>1057</v>
      </c>
      <c r="AG5" t="s">
        <v>1067</v>
      </c>
    </row>
    <row r="6" spans="1:35" x14ac:dyDescent="0.2">
      <c r="A6" s="1" t="s">
        <v>1056</v>
      </c>
      <c r="B6" t="s">
        <v>112</v>
      </c>
      <c r="C6" t="s">
        <v>114</v>
      </c>
      <c r="D6" t="s">
        <v>116</v>
      </c>
      <c r="G6" t="s">
        <v>112</v>
      </c>
      <c r="H6" t="s">
        <v>114</v>
      </c>
      <c r="I6" t="s">
        <v>116</v>
      </c>
      <c r="L6" t="s">
        <v>112</v>
      </c>
      <c r="M6" t="s">
        <v>114</v>
      </c>
      <c r="N6" t="s">
        <v>116</v>
      </c>
      <c r="Q6" t="s">
        <v>112</v>
      </c>
      <c r="R6" t="s">
        <v>114</v>
      </c>
      <c r="S6" t="s">
        <v>116</v>
      </c>
      <c r="V6" t="s">
        <v>112</v>
      </c>
      <c r="W6" t="s">
        <v>114</v>
      </c>
      <c r="X6" t="s">
        <v>116</v>
      </c>
      <c r="AA6" t="s">
        <v>112</v>
      </c>
      <c r="AB6" t="s">
        <v>114</v>
      </c>
      <c r="AC6" t="s">
        <v>116</v>
      </c>
      <c r="AF6" t="s">
        <v>1057</v>
      </c>
    </row>
    <row r="7" spans="1:35" x14ac:dyDescent="0.2">
      <c r="A7" s="2" t="s">
        <v>42</v>
      </c>
      <c r="B7" s="4">
        <v>81</v>
      </c>
      <c r="C7" s="4">
        <v>60</v>
      </c>
      <c r="D7" s="4"/>
      <c r="E7" s="4">
        <v>141</v>
      </c>
      <c r="F7" s="4">
        <v>141</v>
      </c>
      <c r="G7" s="4"/>
      <c r="H7" s="4"/>
      <c r="I7" s="4"/>
      <c r="J7" s="4"/>
      <c r="K7" s="4"/>
      <c r="L7" s="4"/>
      <c r="M7" s="4">
        <v>66</v>
      </c>
      <c r="N7" s="4"/>
      <c r="O7" s="4">
        <v>66</v>
      </c>
      <c r="P7" s="4">
        <v>66</v>
      </c>
      <c r="Q7" s="4"/>
      <c r="R7" s="4"/>
      <c r="S7" s="4">
        <v>15</v>
      </c>
      <c r="T7" s="4">
        <v>15</v>
      </c>
      <c r="U7" s="4">
        <v>15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>
        <v>222</v>
      </c>
    </row>
    <row r="8" spans="1:35" x14ac:dyDescent="0.2">
      <c r="A8" s="2" t="s">
        <v>45</v>
      </c>
      <c r="B8" s="4">
        <v>73</v>
      </c>
      <c r="C8" s="4"/>
      <c r="D8" s="4"/>
      <c r="E8" s="4">
        <v>73</v>
      </c>
      <c r="F8" s="4">
        <v>73</v>
      </c>
      <c r="G8" s="4"/>
      <c r="H8" s="4"/>
      <c r="I8" s="4"/>
      <c r="J8" s="4"/>
      <c r="K8" s="4"/>
      <c r="L8" s="4">
        <v>44</v>
      </c>
      <c r="M8" s="4">
        <v>44</v>
      </c>
      <c r="N8" s="4"/>
      <c r="O8" s="4">
        <v>88</v>
      </c>
      <c r="P8" s="4">
        <v>88</v>
      </c>
      <c r="Q8" s="4"/>
      <c r="R8" s="4">
        <v>15</v>
      </c>
      <c r="S8" s="4">
        <v>6</v>
      </c>
      <c r="T8" s="4">
        <v>21</v>
      </c>
      <c r="U8" s="4">
        <v>21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>
        <v>182</v>
      </c>
    </row>
    <row r="9" spans="1:35" x14ac:dyDescent="0.2">
      <c r="A9" s="2" t="s">
        <v>48</v>
      </c>
      <c r="B9" s="4">
        <v>54</v>
      </c>
      <c r="C9" s="4"/>
      <c r="D9" s="4"/>
      <c r="E9" s="4">
        <v>54</v>
      </c>
      <c r="F9" s="4">
        <v>54</v>
      </c>
      <c r="G9" s="4">
        <v>20</v>
      </c>
      <c r="H9" s="4"/>
      <c r="I9" s="4"/>
      <c r="J9" s="4">
        <v>20</v>
      </c>
      <c r="K9" s="4">
        <v>20</v>
      </c>
      <c r="L9" s="4">
        <v>71</v>
      </c>
      <c r="M9" s="4">
        <v>65</v>
      </c>
      <c r="N9" s="4"/>
      <c r="O9" s="4">
        <v>136</v>
      </c>
      <c r="P9" s="4">
        <v>136</v>
      </c>
      <c r="Q9" s="4"/>
      <c r="R9" s="4"/>
      <c r="S9" s="4">
        <v>17</v>
      </c>
      <c r="T9" s="4">
        <v>17</v>
      </c>
      <c r="U9" s="4">
        <v>17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>
        <v>227</v>
      </c>
    </row>
    <row r="10" spans="1:35" x14ac:dyDescent="0.2">
      <c r="A10" s="2" t="s">
        <v>51</v>
      </c>
      <c r="B10" s="4">
        <v>176</v>
      </c>
      <c r="C10" s="4">
        <v>60</v>
      </c>
      <c r="D10" s="4"/>
      <c r="E10" s="4">
        <v>236</v>
      </c>
      <c r="F10" s="4">
        <v>236</v>
      </c>
      <c r="G10" s="4"/>
      <c r="H10" s="4"/>
      <c r="I10" s="4"/>
      <c r="J10" s="4"/>
      <c r="K10" s="4"/>
      <c r="L10" s="4">
        <v>44</v>
      </c>
      <c r="M10" s="4"/>
      <c r="N10" s="4">
        <v>44</v>
      </c>
      <c r="O10" s="4">
        <v>88</v>
      </c>
      <c r="P10" s="4">
        <v>88</v>
      </c>
      <c r="Q10" s="4"/>
      <c r="R10" s="4"/>
      <c r="S10" s="4">
        <v>36</v>
      </c>
      <c r="T10" s="4">
        <v>36</v>
      </c>
      <c r="U10" s="4">
        <v>36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>
        <v>360</v>
      </c>
    </row>
    <row r="11" spans="1:35" x14ac:dyDescent="0.2">
      <c r="A11" s="2" t="s">
        <v>54</v>
      </c>
      <c r="B11" s="4">
        <v>54</v>
      </c>
      <c r="C11" s="4"/>
      <c r="D11" s="4"/>
      <c r="E11" s="4">
        <v>54</v>
      </c>
      <c r="F11" s="4">
        <v>54</v>
      </c>
      <c r="G11" s="4"/>
      <c r="H11" s="4"/>
      <c r="I11" s="4"/>
      <c r="J11" s="4"/>
      <c r="K11" s="4"/>
      <c r="L11" s="4">
        <v>57</v>
      </c>
      <c r="M11" s="4">
        <v>110</v>
      </c>
      <c r="N11" s="4"/>
      <c r="O11" s="4">
        <v>167</v>
      </c>
      <c r="P11" s="4">
        <v>167</v>
      </c>
      <c r="Q11" s="4"/>
      <c r="R11" s="4"/>
      <c r="S11" s="4">
        <v>23</v>
      </c>
      <c r="T11" s="4">
        <v>23</v>
      </c>
      <c r="U11" s="4">
        <v>23</v>
      </c>
      <c r="V11" s="4">
        <v>26</v>
      </c>
      <c r="W11" s="4">
        <v>31</v>
      </c>
      <c r="X11" s="4"/>
      <c r="Y11" s="4">
        <v>57</v>
      </c>
      <c r="Z11" s="4">
        <v>57</v>
      </c>
      <c r="AA11" s="4"/>
      <c r="AB11" s="4"/>
      <c r="AC11" s="4"/>
      <c r="AD11" s="4"/>
      <c r="AE11" s="4"/>
      <c r="AF11" s="4"/>
      <c r="AG11" s="4"/>
      <c r="AH11" s="4"/>
      <c r="AI11" s="4">
        <v>301</v>
      </c>
    </row>
    <row r="12" spans="1:35" x14ac:dyDescent="0.2">
      <c r="A12" s="2" t="s">
        <v>57</v>
      </c>
      <c r="B12" s="4"/>
      <c r="C12" s="4"/>
      <c r="D12" s="4"/>
      <c r="E12" s="4"/>
      <c r="F12" s="4"/>
      <c r="G12" s="4">
        <v>19</v>
      </c>
      <c r="H12" s="4"/>
      <c r="I12" s="4"/>
      <c r="J12" s="4">
        <v>19</v>
      </c>
      <c r="K12" s="4">
        <v>19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>
        <v>6</v>
      </c>
      <c r="W12" s="4"/>
      <c r="X12" s="4"/>
      <c r="Y12" s="4">
        <v>6</v>
      </c>
      <c r="Z12" s="4">
        <v>6</v>
      </c>
      <c r="AA12" s="4"/>
      <c r="AB12" s="4"/>
      <c r="AC12" s="4"/>
      <c r="AD12" s="4"/>
      <c r="AE12" s="4"/>
      <c r="AF12" s="4"/>
      <c r="AG12" s="4"/>
      <c r="AH12" s="4"/>
      <c r="AI12" s="4">
        <v>25</v>
      </c>
    </row>
    <row r="13" spans="1:35" x14ac:dyDescent="0.2">
      <c r="A13" s="2" t="s">
        <v>59</v>
      </c>
      <c r="B13" s="4">
        <v>142</v>
      </c>
      <c r="C13" s="4">
        <v>57</v>
      </c>
      <c r="D13" s="4">
        <v>51</v>
      </c>
      <c r="E13" s="4">
        <v>250</v>
      </c>
      <c r="F13" s="4">
        <v>250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22</v>
      </c>
      <c r="W13" s="4"/>
      <c r="X13" s="4"/>
      <c r="Y13" s="4">
        <v>22</v>
      </c>
      <c r="Z13" s="4">
        <v>22</v>
      </c>
      <c r="AA13" s="4"/>
      <c r="AB13" s="4"/>
      <c r="AC13" s="4"/>
      <c r="AD13" s="4"/>
      <c r="AE13" s="4"/>
      <c r="AF13" s="4"/>
      <c r="AG13" s="4"/>
      <c r="AH13" s="4"/>
      <c r="AI13" s="4">
        <v>272</v>
      </c>
    </row>
    <row r="14" spans="1:35" x14ac:dyDescent="0.2">
      <c r="A14" s="2" t="s">
        <v>61</v>
      </c>
      <c r="B14" s="4"/>
      <c r="C14" s="4"/>
      <c r="D14" s="4"/>
      <c r="E14" s="4"/>
      <c r="F14" s="4"/>
      <c r="G14" s="4"/>
      <c r="H14" s="4">
        <v>55</v>
      </c>
      <c r="I14" s="4"/>
      <c r="J14" s="4">
        <v>55</v>
      </c>
      <c r="K14" s="4">
        <v>55</v>
      </c>
      <c r="L14" s="4"/>
      <c r="M14" s="4">
        <v>85</v>
      </c>
      <c r="N14" s="4"/>
      <c r="O14" s="4">
        <v>85</v>
      </c>
      <c r="P14" s="4">
        <v>85</v>
      </c>
      <c r="Q14" s="4"/>
      <c r="R14" s="4"/>
      <c r="S14" s="4"/>
      <c r="T14" s="4"/>
      <c r="U14" s="4"/>
      <c r="V14" s="4">
        <v>3</v>
      </c>
      <c r="W14" s="4"/>
      <c r="X14" s="4"/>
      <c r="Y14" s="4">
        <v>3</v>
      </c>
      <c r="Z14" s="4">
        <v>3</v>
      </c>
      <c r="AA14" s="4"/>
      <c r="AB14" s="4"/>
      <c r="AC14" s="4"/>
      <c r="AD14" s="4"/>
      <c r="AE14" s="4"/>
      <c r="AF14" s="4"/>
      <c r="AG14" s="4"/>
      <c r="AH14" s="4"/>
      <c r="AI14" s="4">
        <v>143</v>
      </c>
    </row>
    <row r="15" spans="1:35" x14ac:dyDescent="0.2">
      <c r="A15" s="2" t="s">
        <v>63</v>
      </c>
      <c r="B15" s="4">
        <v>202</v>
      </c>
      <c r="C15" s="4">
        <v>68</v>
      </c>
      <c r="D15" s="4">
        <v>50</v>
      </c>
      <c r="E15" s="4">
        <v>320</v>
      </c>
      <c r="F15" s="4">
        <v>320</v>
      </c>
      <c r="G15" s="4"/>
      <c r="H15" s="4"/>
      <c r="I15" s="4"/>
      <c r="J15" s="4"/>
      <c r="K15" s="4"/>
      <c r="L15" s="4">
        <v>62</v>
      </c>
      <c r="M15" s="4">
        <v>65</v>
      </c>
      <c r="N15" s="4"/>
      <c r="O15" s="4">
        <v>127</v>
      </c>
      <c r="P15" s="4">
        <v>127</v>
      </c>
      <c r="Q15" s="4"/>
      <c r="R15" s="4"/>
      <c r="S15" s="4"/>
      <c r="T15" s="4"/>
      <c r="U15" s="4"/>
      <c r="V15" s="4">
        <v>23</v>
      </c>
      <c r="W15" s="4">
        <v>36</v>
      </c>
      <c r="X15" s="4"/>
      <c r="Y15" s="4">
        <v>59</v>
      </c>
      <c r="Z15" s="4">
        <v>59</v>
      </c>
      <c r="AA15" s="4"/>
      <c r="AB15" s="4"/>
      <c r="AC15" s="4"/>
      <c r="AD15" s="4"/>
      <c r="AE15" s="4"/>
      <c r="AF15" s="4"/>
      <c r="AG15" s="4"/>
      <c r="AH15" s="4"/>
      <c r="AI15" s="4">
        <v>506</v>
      </c>
    </row>
    <row r="16" spans="1:35" x14ac:dyDescent="0.2">
      <c r="A16" s="2" t="s">
        <v>65</v>
      </c>
      <c r="B16" s="4">
        <v>18</v>
      </c>
      <c r="C16" s="4"/>
      <c r="D16" s="4"/>
      <c r="E16" s="4">
        <v>18</v>
      </c>
      <c r="F16" s="4">
        <v>18</v>
      </c>
      <c r="G16" s="4">
        <v>29</v>
      </c>
      <c r="H16" s="4"/>
      <c r="I16" s="4"/>
      <c r="J16" s="4">
        <v>29</v>
      </c>
      <c r="K16" s="4">
        <v>29</v>
      </c>
      <c r="L16" s="4">
        <v>51</v>
      </c>
      <c r="M16" s="4">
        <v>62</v>
      </c>
      <c r="N16" s="4"/>
      <c r="O16" s="4">
        <v>113</v>
      </c>
      <c r="P16" s="4">
        <v>113</v>
      </c>
      <c r="Q16" s="4"/>
      <c r="R16" s="4"/>
      <c r="S16" s="4">
        <v>34</v>
      </c>
      <c r="T16" s="4">
        <v>34</v>
      </c>
      <c r="U16" s="4">
        <v>34</v>
      </c>
      <c r="V16" s="4">
        <v>37</v>
      </c>
      <c r="W16" s="4">
        <v>34</v>
      </c>
      <c r="X16" s="4"/>
      <c r="Y16" s="4">
        <v>71</v>
      </c>
      <c r="Z16" s="4">
        <v>71</v>
      </c>
      <c r="AA16" s="4"/>
      <c r="AB16" s="4"/>
      <c r="AC16" s="4"/>
      <c r="AD16" s="4"/>
      <c r="AE16" s="4"/>
      <c r="AF16" s="4"/>
      <c r="AG16" s="4"/>
      <c r="AH16" s="4"/>
      <c r="AI16" s="4">
        <v>265</v>
      </c>
    </row>
    <row r="17" spans="1:35" x14ac:dyDescent="0.2">
      <c r="A17" s="2" t="s">
        <v>67</v>
      </c>
      <c r="B17" s="4">
        <v>64</v>
      </c>
      <c r="C17" s="4"/>
      <c r="D17" s="4"/>
      <c r="E17" s="4">
        <v>64</v>
      </c>
      <c r="F17" s="4">
        <v>64</v>
      </c>
      <c r="G17" s="4"/>
      <c r="H17" s="4"/>
      <c r="I17" s="4"/>
      <c r="J17" s="4"/>
      <c r="K17" s="4"/>
      <c r="L17" s="4">
        <v>60</v>
      </c>
      <c r="M17" s="4">
        <v>53</v>
      </c>
      <c r="N17" s="4"/>
      <c r="O17" s="4">
        <v>113</v>
      </c>
      <c r="P17" s="4">
        <v>113</v>
      </c>
      <c r="Q17" s="4">
        <v>21</v>
      </c>
      <c r="R17" s="4">
        <v>23</v>
      </c>
      <c r="S17" s="4">
        <v>49</v>
      </c>
      <c r="T17" s="4">
        <v>93</v>
      </c>
      <c r="U17" s="4">
        <v>93</v>
      </c>
      <c r="V17" s="4"/>
      <c r="W17" s="4">
        <v>36</v>
      </c>
      <c r="X17" s="4"/>
      <c r="Y17" s="4">
        <v>36</v>
      </c>
      <c r="Z17" s="4">
        <v>36</v>
      </c>
      <c r="AA17" s="4"/>
      <c r="AB17" s="4"/>
      <c r="AC17" s="4"/>
      <c r="AD17" s="4"/>
      <c r="AE17" s="4"/>
      <c r="AF17" s="4"/>
      <c r="AG17" s="4"/>
      <c r="AH17" s="4"/>
      <c r="AI17" s="4">
        <v>306</v>
      </c>
    </row>
    <row r="18" spans="1:35" x14ac:dyDescent="0.2">
      <c r="A18" s="2" t="s">
        <v>69</v>
      </c>
      <c r="B18" s="4">
        <v>156</v>
      </c>
      <c r="C18" s="4"/>
      <c r="D18" s="4"/>
      <c r="E18" s="4">
        <v>156</v>
      </c>
      <c r="F18" s="4">
        <v>156</v>
      </c>
      <c r="G18" s="4"/>
      <c r="H18" s="4">
        <v>19</v>
      </c>
      <c r="I18" s="4"/>
      <c r="J18" s="4">
        <v>19</v>
      </c>
      <c r="K18" s="4">
        <v>19</v>
      </c>
      <c r="L18" s="4">
        <v>60</v>
      </c>
      <c r="M18" s="4">
        <v>48</v>
      </c>
      <c r="N18" s="4"/>
      <c r="O18" s="4">
        <v>108</v>
      </c>
      <c r="P18" s="4">
        <v>108</v>
      </c>
      <c r="Q18" s="4"/>
      <c r="R18" s="4"/>
      <c r="S18" s="4"/>
      <c r="T18" s="4"/>
      <c r="U18" s="4"/>
      <c r="V18" s="4">
        <v>31</v>
      </c>
      <c r="W18" s="4"/>
      <c r="X18" s="4"/>
      <c r="Y18" s="4">
        <v>31</v>
      </c>
      <c r="Z18" s="4">
        <v>31</v>
      </c>
      <c r="AA18" s="4">
        <v>70</v>
      </c>
      <c r="AB18" s="4">
        <v>35</v>
      </c>
      <c r="AC18" s="4"/>
      <c r="AD18" s="4">
        <v>105</v>
      </c>
      <c r="AE18" s="4">
        <v>105</v>
      </c>
      <c r="AF18" s="4"/>
      <c r="AG18" s="4"/>
      <c r="AH18" s="4"/>
      <c r="AI18" s="4">
        <v>419</v>
      </c>
    </row>
    <row r="19" spans="1:35" x14ac:dyDescent="0.2">
      <c r="A19" s="2" t="s">
        <v>71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>
        <v>68</v>
      </c>
      <c r="N19" s="4"/>
      <c r="O19" s="4">
        <v>68</v>
      </c>
      <c r="P19" s="4">
        <v>68</v>
      </c>
      <c r="Q19" s="4"/>
      <c r="R19" s="4"/>
      <c r="S19" s="4">
        <v>23</v>
      </c>
      <c r="T19" s="4">
        <v>23</v>
      </c>
      <c r="U19" s="4">
        <v>23</v>
      </c>
      <c r="V19" s="4"/>
      <c r="W19" s="4">
        <v>28</v>
      </c>
      <c r="X19" s="4"/>
      <c r="Y19" s="4">
        <v>28</v>
      </c>
      <c r="Z19" s="4">
        <v>28</v>
      </c>
      <c r="AA19" s="4"/>
      <c r="AB19" s="4"/>
      <c r="AC19" s="4">
        <v>33</v>
      </c>
      <c r="AD19" s="4">
        <v>33</v>
      </c>
      <c r="AE19" s="4">
        <v>33</v>
      </c>
      <c r="AF19" s="4"/>
      <c r="AG19" s="4"/>
      <c r="AH19" s="4"/>
      <c r="AI19" s="4">
        <v>152</v>
      </c>
    </row>
    <row r="20" spans="1:35" x14ac:dyDescent="0.2">
      <c r="A20" s="2" t="s">
        <v>73</v>
      </c>
      <c r="B20" s="4">
        <v>133</v>
      </c>
      <c r="C20" s="4"/>
      <c r="D20" s="4">
        <v>50</v>
      </c>
      <c r="E20" s="4">
        <v>183</v>
      </c>
      <c r="F20" s="4">
        <v>183</v>
      </c>
      <c r="G20" s="4">
        <v>18</v>
      </c>
      <c r="H20" s="4"/>
      <c r="I20" s="4"/>
      <c r="J20" s="4">
        <v>18</v>
      </c>
      <c r="K20" s="4">
        <v>18</v>
      </c>
      <c r="L20" s="4">
        <v>65</v>
      </c>
      <c r="M20" s="4">
        <v>27</v>
      </c>
      <c r="N20" s="4">
        <v>55</v>
      </c>
      <c r="O20" s="4">
        <v>147</v>
      </c>
      <c r="P20" s="4">
        <v>147</v>
      </c>
      <c r="Q20" s="4"/>
      <c r="R20" s="4"/>
      <c r="S20" s="4">
        <v>24</v>
      </c>
      <c r="T20" s="4">
        <v>24</v>
      </c>
      <c r="U20" s="4">
        <v>24</v>
      </c>
      <c r="V20" s="4"/>
      <c r="W20" s="4">
        <v>28</v>
      </c>
      <c r="X20" s="4"/>
      <c r="Y20" s="4">
        <v>28</v>
      </c>
      <c r="Z20" s="4">
        <v>28</v>
      </c>
      <c r="AA20" s="4">
        <v>41</v>
      </c>
      <c r="AB20" s="4"/>
      <c r="AC20" s="4"/>
      <c r="AD20" s="4">
        <v>41</v>
      </c>
      <c r="AE20" s="4">
        <v>41</v>
      </c>
      <c r="AF20" s="4"/>
      <c r="AG20" s="4"/>
      <c r="AH20" s="4"/>
      <c r="AI20" s="4">
        <v>441</v>
      </c>
    </row>
    <row r="21" spans="1:35" x14ac:dyDescent="0.2">
      <c r="A21" s="2" t="s">
        <v>75</v>
      </c>
      <c r="B21" s="4">
        <v>13</v>
      </c>
      <c r="C21" s="4"/>
      <c r="D21" s="4"/>
      <c r="E21" s="4">
        <v>13</v>
      </c>
      <c r="F21" s="4">
        <v>13</v>
      </c>
      <c r="G21" s="4"/>
      <c r="H21" s="4">
        <v>25</v>
      </c>
      <c r="I21" s="4"/>
      <c r="J21" s="4">
        <v>25</v>
      </c>
      <c r="K21" s="4">
        <v>25</v>
      </c>
      <c r="L21" s="4"/>
      <c r="M21" s="4">
        <v>123</v>
      </c>
      <c r="N21" s="4"/>
      <c r="O21" s="4">
        <v>123</v>
      </c>
      <c r="P21" s="4">
        <v>123</v>
      </c>
      <c r="Q21" s="4"/>
      <c r="R21" s="4"/>
      <c r="S21" s="4">
        <v>25</v>
      </c>
      <c r="T21" s="4">
        <v>25</v>
      </c>
      <c r="U21" s="4">
        <v>25</v>
      </c>
      <c r="V21" s="4"/>
      <c r="W21" s="4"/>
      <c r="X21" s="4">
        <v>35</v>
      </c>
      <c r="Y21" s="4">
        <v>35</v>
      </c>
      <c r="Z21" s="4">
        <v>35</v>
      </c>
      <c r="AA21" s="4">
        <v>19</v>
      </c>
      <c r="AB21" s="4"/>
      <c r="AC21" s="4"/>
      <c r="AD21" s="4">
        <v>19</v>
      </c>
      <c r="AE21" s="4">
        <v>19</v>
      </c>
      <c r="AF21" s="4"/>
      <c r="AG21" s="4"/>
      <c r="AH21" s="4"/>
      <c r="AI21" s="4">
        <v>240</v>
      </c>
    </row>
    <row r="22" spans="1:35" x14ac:dyDescent="0.2">
      <c r="A22" s="2" t="s">
        <v>77</v>
      </c>
      <c r="B22" s="4"/>
      <c r="C22" s="4"/>
      <c r="D22" s="4">
        <v>50</v>
      </c>
      <c r="E22" s="4">
        <v>50</v>
      </c>
      <c r="F22" s="4">
        <v>50</v>
      </c>
      <c r="G22" s="4"/>
      <c r="H22" s="4"/>
      <c r="I22" s="4"/>
      <c r="J22" s="4"/>
      <c r="K22" s="4"/>
      <c r="L22" s="4"/>
      <c r="M22" s="4">
        <v>27</v>
      </c>
      <c r="N22" s="4"/>
      <c r="O22" s="4">
        <v>27</v>
      </c>
      <c r="P22" s="4">
        <v>27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>
        <v>77</v>
      </c>
    </row>
    <row r="23" spans="1:35" x14ac:dyDescent="0.2">
      <c r="A23" s="2" t="s">
        <v>79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>
        <v>23</v>
      </c>
      <c r="T23" s="4">
        <v>23</v>
      </c>
      <c r="U23" s="4">
        <v>23</v>
      </c>
      <c r="V23" s="4"/>
      <c r="W23" s="4">
        <v>33</v>
      </c>
      <c r="X23" s="4"/>
      <c r="Y23" s="4">
        <v>33</v>
      </c>
      <c r="Z23" s="4">
        <v>33</v>
      </c>
      <c r="AA23" s="4"/>
      <c r="AB23" s="4"/>
      <c r="AC23" s="4"/>
      <c r="AD23" s="4"/>
      <c r="AE23" s="4"/>
      <c r="AF23" s="4"/>
      <c r="AG23" s="4"/>
      <c r="AH23" s="4"/>
      <c r="AI23" s="4">
        <v>56</v>
      </c>
    </row>
    <row r="24" spans="1:35" x14ac:dyDescent="0.2">
      <c r="A24" s="2" t="s">
        <v>81</v>
      </c>
      <c r="B24" s="4">
        <v>1</v>
      </c>
      <c r="C24" s="4"/>
      <c r="D24" s="4"/>
      <c r="E24" s="4">
        <v>1</v>
      </c>
      <c r="F24" s="4">
        <v>1</v>
      </c>
      <c r="G24" s="4"/>
      <c r="H24" s="4">
        <v>21</v>
      </c>
      <c r="I24" s="4"/>
      <c r="J24" s="4">
        <v>21</v>
      </c>
      <c r="K24" s="4">
        <v>21</v>
      </c>
      <c r="L24" s="4"/>
      <c r="M24" s="4">
        <v>56</v>
      </c>
      <c r="N24" s="4"/>
      <c r="O24" s="4">
        <v>56</v>
      </c>
      <c r="P24" s="4">
        <v>56</v>
      </c>
      <c r="Q24" s="4"/>
      <c r="R24" s="4"/>
      <c r="S24" s="4"/>
      <c r="T24" s="4"/>
      <c r="U24" s="4"/>
      <c r="V24" s="4"/>
      <c r="W24" s="4">
        <v>30</v>
      </c>
      <c r="X24" s="4"/>
      <c r="Y24" s="4">
        <v>30</v>
      </c>
      <c r="Z24" s="4">
        <v>30</v>
      </c>
      <c r="AA24" s="4"/>
      <c r="AB24" s="4"/>
      <c r="AC24" s="4"/>
      <c r="AD24" s="4"/>
      <c r="AE24" s="4"/>
      <c r="AF24" s="4"/>
      <c r="AG24" s="4"/>
      <c r="AH24" s="4"/>
      <c r="AI24" s="4">
        <v>108</v>
      </c>
    </row>
    <row r="25" spans="1:35" x14ac:dyDescent="0.2">
      <c r="A25" s="2" t="s">
        <v>83</v>
      </c>
      <c r="B25" s="4">
        <v>148</v>
      </c>
      <c r="C25" s="4"/>
      <c r="D25" s="4"/>
      <c r="E25" s="4">
        <v>148</v>
      </c>
      <c r="F25" s="4">
        <v>148</v>
      </c>
      <c r="G25" s="4"/>
      <c r="H25" s="4"/>
      <c r="I25" s="4"/>
      <c r="J25" s="4"/>
      <c r="K25" s="4"/>
      <c r="L25" s="4">
        <v>58</v>
      </c>
      <c r="M25" s="4">
        <v>61</v>
      </c>
      <c r="N25" s="4"/>
      <c r="O25" s="4">
        <v>119</v>
      </c>
      <c r="P25" s="4">
        <v>119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>
        <v>60</v>
      </c>
      <c r="AB25" s="4"/>
      <c r="AC25" s="4"/>
      <c r="AD25" s="4">
        <v>60</v>
      </c>
      <c r="AE25" s="4">
        <v>60</v>
      </c>
      <c r="AF25" s="4"/>
      <c r="AG25" s="4"/>
      <c r="AH25" s="4"/>
      <c r="AI25" s="4">
        <v>327</v>
      </c>
    </row>
    <row r="26" spans="1:35" x14ac:dyDescent="0.2">
      <c r="A26" s="2" t="s">
        <v>85</v>
      </c>
      <c r="B26" s="4">
        <v>72</v>
      </c>
      <c r="C26" s="4"/>
      <c r="D26" s="4">
        <v>75</v>
      </c>
      <c r="E26" s="4">
        <v>147</v>
      </c>
      <c r="F26" s="4">
        <v>147</v>
      </c>
      <c r="G26" s="4"/>
      <c r="H26" s="4"/>
      <c r="I26" s="4"/>
      <c r="J26" s="4"/>
      <c r="K26" s="4"/>
      <c r="L26" s="4"/>
      <c r="M26" s="4">
        <v>104</v>
      </c>
      <c r="N26" s="4"/>
      <c r="O26" s="4">
        <v>104</v>
      </c>
      <c r="P26" s="4">
        <v>104</v>
      </c>
      <c r="Q26" s="4"/>
      <c r="R26" s="4">
        <v>22</v>
      </c>
      <c r="S26" s="4">
        <v>22</v>
      </c>
      <c r="T26" s="4">
        <v>44</v>
      </c>
      <c r="U26" s="4">
        <v>44</v>
      </c>
      <c r="V26" s="4">
        <v>47</v>
      </c>
      <c r="W26" s="4">
        <v>24</v>
      </c>
      <c r="X26" s="4"/>
      <c r="Y26" s="4">
        <v>71</v>
      </c>
      <c r="Z26" s="4">
        <v>71</v>
      </c>
      <c r="AA26" s="4"/>
      <c r="AB26" s="4"/>
      <c r="AC26" s="4">
        <v>35</v>
      </c>
      <c r="AD26" s="4">
        <v>35</v>
      </c>
      <c r="AE26" s="4">
        <v>35</v>
      </c>
      <c r="AF26" s="4"/>
      <c r="AG26" s="4"/>
      <c r="AH26" s="4"/>
      <c r="AI26" s="4">
        <v>401</v>
      </c>
    </row>
    <row r="27" spans="1:35" x14ac:dyDescent="0.2">
      <c r="A27" s="2" t="s">
        <v>87</v>
      </c>
      <c r="B27" s="4">
        <v>11</v>
      </c>
      <c r="C27" s="4"/>
      <c r="D27" s="4"/>
      <c r="E27" s="4">
        <v>11</v>
      </c>
      <c r="F27" s="4">
        <v>11</v>
      </c>
      <c r="G27" s="4">
        <v>29</v>
      </c>
      <c r="H27" s="4"/>
      <c r="I27" s="4"/>
      <c r="J27" s="4">
        <v>29</v>
      </c>
      <c r="K27" s="4">
        <v>29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>
        <v>13</v>
      </c>
      <c r="W27" s="4">
        <v>46</v>
      </c>
      <c r="X27" s="4"/>
      <c r="Y27" s="4">
        <v>59</v>
      </c>
      <c r="Z27" s="4">
        <v>59</v>
      </c>
      <c r="AA27" s="4"/>
      <c r="AB27" s="4">
        <v>39</v>
      </c>
      <c r="AC27" s="4">
        <v>5</v>
      </c>
      <c r="AD27" s="4">
        <v>44</v>
      </c>
      <c r="AE27" s="4">
        <v>44</v>
      </c>
      <c r="AF27" s="4"/>
      <c r="AG27" s="4"/>
      <c r="AH27" s="4"/>
      <c r="AI27" s="4">
        <v>143</v>
      </c>
    </row>
    <row r="28" spans="1:35" x14ac:dyDescent="0.2">
      <c r="A28" s="2" t="s">
        <v>89</v>
      </c>
      <c r="B28" s="4">
        <v>70</v>
      </c>
      <c r="C28" s="4">
        <v>27</v>
      </c>
      <c r="D28" s="4"/>
      <c r="E28" s="4">
        <v>97</v>
      </c>
      <c r="F28" s="4">
        <v>97</v>
      </c>
      <c r="G28" s="4"/>
      <c r="H28" s="4"/>
      <c r="I28" s="4"/>
      <c r="J28" s="4"/>
      <c r="K28" s="4"/>
      <c r="L28" s="4">
        <v>52</v>
      </c>
      <c r="M28" s="4"/>
      <c r="N28" s="4"/>
      <c r="O28" s="4">
        <v>52</v>
      </c>
      <c r="P28" s="4">
        <v>52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>
        <v>46</v>
      </c>
      <c r="AB28" s="4"/>
      <c r="AC28" s="4"/>
      <c r="AD28" s="4">
        <v>46</v>
      </c>
      <c r="AE28" s="4">
        <v>46</v>
      </c>
      <c r="AF28" s="4"/>
      <c r="AG28" s="4"/>
      <c r="AH28" s="4"/>
      <c r="AI28" s="4">
        <v>195</v>
      </c>
    </row>
    <row r="29" spans="1:35" x14ac:dyDescent="0.2">
      <c r="A29" s="2" t="s">
        <v>91</v>
      </c>
      <c r="B29" s="4">
        <v>141</v>
      </c>
      <c r="C29" s="4"/>
      <c r="D29" s="4"/>
      <c r="E29" s="4">
        <v>141</v>
      </c>
      <c r="F29" s="4">
        <v>141</v>
      </c>
      <c r="G29" s="4">
        <v>21</v>
      </c>
      <c r="H29" s="4"/>
      <c r="I29" s="4"/>
      <c r="J29" s="4">
        <v>21</v>
      </c>
      <c r="K29" s="4">
        <v>21</v>
      </c>
      <c r="L29" s="4">
        <v>54</v>
      </c>
      <c r="M29" s="4">
        <v>109</v>
      </c>
      <c r="N29" s="4"/>
      <c r="O29" s="4">
        <v>163</v>
      </c>
      <c r="P29" s="4">
        <v>163</v>
      </c>
      <c r="Q29" s="4"/>
      <c r="R29" s="4"/>
      <c r="S29" s="4"/>
      <c r="T29" s="4"/>
      <c r="U29" s="4"/>
      <c r="V29" s="4"/>
      <c r="W29" s="4">
        <v>56</v>
      </c>
      <c r="X29" s="4"/>
      <c r="Y29" s="4">
        <v>56</v>
      </c>
      <c r="Z29" s="4">
        <v>56</v>
      </c>
      <c r="AA29" s="4"/>
      <c r="AB29" s="4"/>
      <c r="AC29" s="4"/>
      <c r="AD29" s="4"/>
      <c r="AE29" s="4"/>
      <c r="AF29" s="4"/>
      <c r="AG29" s="4"/>
      <c r="AH29" s="4"/>
      <c r="AI29" s="4">
        <v>381</v>
      </c>
    </row>
    <row r="30" spans="1:35" x14ac:dyDescent="0.2">
      <c r="A30" s="2" t="s">
        <v>93</v>
      </c>
      <c r="B30" s="4">
        <v>71</v>
      </c>
      <c r="C30" s="4">
        <v>61</v>
      </c>
      <c r="D30" s="4">
        <v>56</v>
      </c>
      <c r="E30" s="4">
        <v>188</v>
      </c>
      <c r="F30" s="4">
        <v>188</v>
      </c>
      <c r="G30" s="4"/>
      <c r="H30" s="4">
        <v>29</v>
      </c>
      <c r="I30" s="4"/>
      <c r="J30" s="4">
        <v>29</v>
      </c>
      <c r="K30" s="4">
        <v>29</v>
      </c>
      <c r="L30" s="4"/>
      <c r="M30" s="4">
        <v>66</v>
      </c>
      <c r="N30" s="4"/>
      <c r="O30" s="4">
        <v>66</v>
      </c>
      <c r="P30" s="4">
        <v>66</v>
      </c>
      <c r="Q30" s="4"/>
      <c r="R30" s="4"/>
      <c r="S30" s="4"/>
      <c r="T30" s="4"/>
      <c r="U30" s="4"/>
      <c r="V30" s="4"/>
      <c r="W30" s="4">
        <v>14</v>
      </c>
      <c r="X30" s="4"/>
      <c r="Y30" s="4">
        <v>14</v>
      </c>
      <c r="Z30" s="4">
        <v>14</v>
      </c>
      <c r="AA30" s="4"/>
      <c r="AB30" s="4">
        <v>40</v>
      </c>
      <c r="AC30" s="4"/>
      <c r="AD30" s="4">
        <v>40</v>
      </c>
      <c r="AE30" s="4">
        <v>40</v>
      </c>
      <c r="AF30" s="4"/>
      <c r="AG30" s="4"/>
      <c r="AH30" s="4"/>
      <c r="AI30" s="4">
        <v>337</v>
      </c>
    </row>
    <row r="31" spans="1:35" x14ac:dyDescent="0.2">
      <c r="A31" s="2" t="s">
        <v>95</v>
      </c>
      <c r="B31" s="4">
        <v>75</v>
      </c>
      <c r="C31" s="4">
        <v>39</v>
      </c>
      <c r="D31" s="4"/>
      <c r="E31" s="4">
        <v>114</v>
      </c>
      <c r="F31" s="4">
        <v>114</v>
      </c>
      <c r="G31" s="4"/>
      <c r="H31" s="4"/>
      <c r="I31" s="4"/>
      <c r="J31" s="4"/>
      <c r="K31" s="4"/>
      <c r="L31" s="4">
        <v>50</v>
      </c>
      <c r="M31" s="4">
        <v>109</v>
      </c>
      <c r="N31" s="4"/>
      <c r="O31" s="4">
        <v>159</v>
      </c>
      <c r="P31" s="4">
        <v>159</v>
      </c>
      <c r="Q31" s="4">
        <v>18</v>
      </c>
      <c r="R31" s="4"/>
      <c r="S31" s="4">
        <v>22</v>
      </c>
      <c r="T31" s="4">
        <v>40</v>
      </c>
      <c r="U31" s="4">
        <v>40</v>
      </c>
      <c r="V31" s="4">
        <v>29</v>
      </c>
      <c r="W31" s="4">
        <v>56</v>
      </c>
      <c r="X31" s="4"/>
      <c r="Y31" s="4">
        <v>85</v>
      </c>
      <c r="Z31" s="4">
        <v>85</v>
      </c>
      <c r="AA31" s="4"/>
      <c r="AB31" s="4"/>
      <c r="AC31" s="4"/>
      <c r="AD31" s="4"/>
      <c r="AE31" s="4"/>
      <c r="AF31" s="4"/>
      <c r="AG31" s="4"/>
      <c r="AH31" s="4"/>
      <c r="AI31" s="4">
        <v>398</v>
      </c>
    </row>
    <row r="32" spans="1:35" x14ac:dyDescent="0.2">
      <c r="A32" s="2" t="s">
        <v>97</v>
      </c>
      <c r="B32" s="4">
        <v>141</v>
      </c>
      <c r="C32" s="4"/>
      <c r="D32" s="4"/>
      <c r="E32" s="4">
        <v>141</v>
      </c>
      <c r="F32" s="4">
        <v>141</v>
      </c>
      <c r="G32" s="4">
        <v>23</v>
      </c>
      <c r="H32" s="4"/>
      <c r="I32" s="4"/>
      <c r="J32" s="4">
        <v>23</v>
      </c>
      <c r="K32" s="4">
        <v>23</v>
      </c>
      <c r="L32" s="4"/>
      <c r="M32" s="4">
        <v>52</v>
      </c>
      <c r="N32" s="4"/>
      <c r="O32" s="4">
        <v>52</v>
      </c>
      <c r="P32" s="4">
        <v>52</v>
      </c>
      <c r="Q32" s="4"/>
      <c r="R32" s="4"/>
      <c r="S32" s="4">
        <v>18</v>
      </c>
      <c r="T32" s="4">
        <v>18</v>
      </c>
      <c r="U32" s="4">
        <v>18</v>
      </c>
      <c r="V32" s="4"/>
      <c r="W32" s="4">
        <v>14</v>
      </c>
      <c r="X32" s="4"/>
      <c r="Y32" s="4">
        <v>14</v>
      </c>
      <c r="Z32" s="4">
        <v>14</v>
      </c>
      <c r="AA32" s="4">
        <v>41</v>
      </c>
      <c r="AB32" s="4"/>
      <c r="AC32" s="4">
        <v>30</v>
      </c>
      <c r="AD32" s="4">
        <v>71</v>
      </c>
      <c r="AE32" s="4">
        <v>71</v>
      </c>
      <c r="AF32" s="4"/>
      <c r="AG32" s="4"/>
      <c r="AH32" s="4"/>
      <c r="AI32" s="4">
        <v>319</v>
      </c>
    </row>
    <row r="33" spans="1:36" x14ac:dyDescent="0.2">
      <c r="A33" s="2" t="s">
        <v>1057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6" x14ac:dyDescent="0.2">
      <c r="A34" s="2" t="s">
        <v>907</v>
      </c>
      <c r="B34" s="4">
        <v>18</v>
      </c>
      <c r="C34" s="4">
        <v>57</v>
      </c>
      <c r="D34" s="4">
        <v>53</v>
      </c>
      <c r="E34" s="4">
        <v>128</v>
      </c>
      <c r="F34" s="4">
        <v>128</v>
      </c>
      <c r="G34" s="4"/>
      <c r="H34" s="4">
        <v>20</v>
      </c>
      <c r="I34" s="4"/>
      <c r="J34" s="4">
        <v>20</v>
      </c>
      <c r="K34" s="4">
        <v>20</v>
      </c>
      <c r="L34" s="4">
        <v>130</v>
      </c>
      <c r="M34" s="4">
        <v>123</v>
      </c>
      <c r="N34" s="4">
        <v>75</v>
      </c>
      <c r="O34" s="4">
        <v>328</v>
      </c>
      <c r="P34" s="4">
        <v>328</v>
      </c>
      <c r="Q34" s="4"/>
      <c r="R34" s="4"/>
      <c r="S34" s="4">
        <v>47</v>
      </c>
      <c r="T34" s="4">
        <v>47</v>
      </c>
      <c r="U34" s="4">
        <v>47</v>
      </c>
      <c r="V34" s="4"/>
      <c r="W34" s="4">
        <v>56</v>
      </c>
      <c r="X34" s="4">
        <v>40</v>
      </c>
      <c r="Y34" s="4">
        <v>96</v>
      </c>
      <c r="Z34" s="4">
        <v>96</v>
      </c>
      <c r="AA34" s="4">
        <v>19</v>
      </c>
      <c r="AB34" s="4"/>
      <c r="AC34" s="4"/>
      <c r="AD34" s="4">
        <v>19</v>
      </c>
      <c r="AE34" s="4">
        <v>19</v>
      </c>
      <c r="AF34" s="4"/>
      <c r="AG34" s="4"/>
      <c r="AH34" s="4"/>
      <c r="AI34" s="4">
        <v>638</v>
      </c>
    </row>
    <row r="35" spans="1:36" x14ac:dyDescent="0.2">
      <c r="A35" s="2" t="s">
        <v>1093</v>
      </c>
      <c r="B35" s="4">
        <v>122</v>
      </c>
      <c r="C35" s="4"/>
      <c r="D35" s="4">
        <v>47</v>
      </c>
      <c r="E35" s="4">
        <v>169</v>
      </c>
      <c r="F35" s="4">
        <v>169</v>
      </c>
      <c r="G35" s="4"/>
      <c r="H35" s="4">
        <v>6</v>
      </c>
      <c r="I35" s="4"/>
      <c r="J35" s="4">
        <v>6</v>
      </c>
      <c r="K35" s="4">
        <v>6</v>
      </c>
      <c r="L35" s="4">
        <v>20</v>
      </c>
      <c r="M35" s="4">
        <v>37</v>
      </c>
      <c r="N35" s="4"/>
      <c r="O35" s="4">
        <v>57</v>
      </c>
      <c r="P35" s="4">
        <v>57</v>
      </c>
      <c r="Q35" s="4"/>
      <c r="R35" s="4"/>
      <c r="S35" s="4">
        <v>35</v>
      </c>
      <c r="T35" s="4">
        <v>35</v>
      </c>
      <c r="U35" s="4">
        <v>35</v>
      </c>
      <c r="V35" s="4">
        <v>32</v>
      </c>
      <c r="W35" s="4"/>
      <c r="X35" s="4"/>
      <c r="Y35" s="4">
        <v>32</v>
      </c>
      <c r="Z35" s="4">
        <v>32</v>
      </c>
      <c r="AA35" s="4"/>
      <c r="AB35" s="4"/>
      <c r="AC35" s="4"/>
      <c r="AD35" s="4"/>
      <c r="AE35" s="4"/>
      <c r="AF35" s="4"/>
      <c r="AG35" s="4"/>
      <c r="AH35" s="4"/>
      <c r="AI35" s="4">
        <v>299</v>
      </c>
    </row>
    <row r="36" spans="1:36" x14ac:dyDescent="0.2">
      <c r="A36" s="2" t="s">
        <v>1122</v>
      </c>
      <c r="B36" s="4">
        <v>82</v>
      </c>
      <c r="C36" s="4"/>
      <c r="D36" s="4">
        <v>20</v>
      </c>
      <c r="E36" s="4">
        <v>102</v>
      </c>
      <c r="F36" s="4">
        <v>102</v>
      </c>
      <c r="G36" s="4"/>
      <c r="H36" s="4"/>
      <c r="I36" s="4">
        <v>28</v>
      </c>
      <c r="J36" s="4">
        <v>28</v>
      </c>
      <c r="K36" s="4">
        <v>28</v>
      </c>
      <c r="L36" s="4">
        <v>70</v>
      </c>
      <c r="M36" s="4">
        <v>160</v>
      </c>
      <c r="N36" s="4"/>
      <c r="O36" s="4">
        <v>230</v>
      </c>
      <c r="P36" s="4">
        <v>230</v>
      </c>
      <c r="Q36" s="4"/>
      <c r="R36" s="4"/>
      <c r="S36" s="4"/>
      <c r="T36" s="4"/>
      <c r="U36" s="4"/>
      <c r="V36" s="4"/>
      <c r="W36" s="4">
        <v>51</v>
      </c>
      <c r="X36" s="4"/>
      <c r="Y36" s="4">
        <v>51</v>
      </c>
      <c r="Z36" s="4">
        <v>51</v>
      </c>
      <c r="AA36" s="4"/>
      <c r="AB36" s="4">
        <v>40</v>
      </c>
      <c r="AC36" s="4"/>
      <c r="AD36" s="4">
        <v>40</v>
      </c>
      <c r="AE36" s="4">
        <v>40</v>
      </c>
      <c r="AF36" s="4"/>
      <c r="AG36" s="4"/>
      <c r="AH36" s="4"/>
      <c r="AI36" s="4">
        <v>451</v>
      </c>
    </row>
    <row r="37" spans="1:36" x14ac:dyDescent="0.2">
      <c r="A37" s="2" t="s">
        <v>1151</v>
      </c>
      <c r="B37" s="4"/>
      <c r="C37" s="4">
        <v>65</v>
      </c>
      <c r="D37" s="4"/>
      <c r="E37" s="4">
        <v>65</v>
      </c>
      <c r="F37" s="4">
        <v>65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>
        <v>23</v>
      </c>
      <c r="S37" s="4">
        <v>60</v>
      </c>
      <c r="T37" s="4">
        <v>83</v>
      </c>
      <c r="U37" s="4">
        <v>83</v>
      </c>
      <c r="V37" s="4"/>
      <c r="W37" s="4"/>
      <c r="X37" s="4">
        <v>30</v>
      </c>
      <c r="Y37" s="4">
        <v>30</v>
      </c>
      <c r="Z37" s="4">
        <v>30</v>
      </c>
      <c r="AA37" s="4">
        <v>11</v>
      </c>
      <c r="AB37" s="4"/>
      <c r="AC37" s="4">
        <v>30</v>
      </c>
      <c r="AD37" s="4">
        <v>41</v>
      </c>
      <c r="AE37" s="4">
        <v>41</v>
      </c>
      <c r="AF37" s="4"/>
      <c r="AG37" s="4"/>
      <c r="AH37" s="4"/>
      <c r="AI37" s="4">
        <v>219</v>
      </c>
    </row>
    <row r="38" spans="1:36" x14ac:dyDescent="0.2">
      <c r="A38" s="2" t="s">
        <v>1180</v>
      </c>
      <c r="B38" s="4">
        <v>202</v>
      </c>
      <c r="C38" s="4"/>
      <c r="D38" s="4"/>
      <c r="E38" s="4">
        <v>202</v>
      </c>
      <c r="F38" s="4">
        <v>202</v>
      </c>
      <c r="G38" s="4"/>
      <c r="H38" s="4"/>
      <c r="I38" s="4"/>
      <c r="J38" s="4"/>
      <c r="K38" s="4"/>
      <c r="L38" s="4"/>
      <c r="M38" s="4">
        <v>134</v>
      </c>
      <c r="N38" s="4">
        <v>50</v>
      </c>
      <c r="O38" s="4">
        <v>184</v>
      </c>
      <c r="P38" s="4">
        <v>184</v>
      </c>
      <c r="Q38" s="4">
        <v>19</v>
      </c>
      <c r="R38" s="4"/>
      <c r="S38" s="4"/>
      <c r="T38" s="4">
        <v>19</v>
      </c>
      <c r="U38" s="4">
        <v>19</v>
      </c>
      <c r="V38" s="4"/>
      <c r="W38" s="4">
        <v>25</v>
      </c>
      <c r="X38" s="4"/>
      <c r="Y38" s="4">
        <v>25</v>
      </c>
      <c r="Z38" s="4">
        <v>25</v>
      </c>
      <c r="AA38" s="4"/>
      <c r="AB38" s="4"/>
      <c r="AC38" s="4"/>
      <c r="AD38" s="4"/>
      <c r="AE38" s="4"/>
      <c r="AF38" s="4"/>
      <c r="AG38" s="4"/>
      <c r="AH38" s="4"/>
      <c r="AI38" s="4">
        <v>430</v>
      </c>
      <c r="AJ38" t="s">
        <v>1234</v>
      </c>
    </row>
    <row r="39" spans="1:36" x14ac:dyDescent="0.2">
      <c r="A39" s="2" t="s">
        <v>1210</v>
      </c>
      <c r="B39" s="4">
        <v>68</v>
      </c>
      <c r="C39" s="4">
        <v>100</v>
      </c>
      <c r="D39" s="4"/>
      <c r="E39" s="4">
        <v>168</v>
      </c>
      <c r="F39" s="4">
        <v>168</v>
      </c>
      <c r="G39" s="4">
        <v>25</v>
      </c>
      <c r="H39" s="4">
        <v>27</v>
      </c>
      <c r="I39" s="4"/>
      <c r="J39" s="4">
        <v>52</v>
      </c>
      <c r="K39" s="4">
        <v>52</v>
      </c>
      <c r="L39" s="4"/>
      <c r="M39" s="4"/>
      <c r="N39" s="4"/>
      <c r="O39" s="4"/>
      <c r="P39" s="4"/>
      <c r="Q39" s="4">
        <v>20</v>
      </c>
      <c r="R39" s="4">
        <v>2</v>
      </c>
      <c r="S39" s="4">
        <v>22</v>
      </c>
      <c r="T39" s="4">
        <v>44</v>
      </c>
      <c r="U39" s="4">
        <v>44</v>
      </c>
      <c r="V39" s="4">
        <v>35</v>
      </c>
      <c r="W39" s="4"/>
      <c r="X39" s="4"/>
      <c r="Y39" s="4">
        <v>35</v>
      </c>
      <c r="Z39" s="4">
        <v>35</v>
      </c>
      <c r="AA39" s="4">
        <v>50</v>
      </c>
      <c r="AB39" s="4"/>
      <c r="AC39" s="4"/>
      <c r="AD39" s="4">
        <v>50</v>
      </c>
      <c r="AE39" s="4">
        <v>50</v>
      </c>
      <c r="AF39" s="4"/>
      <c r="AG39" s="4"/>
      <c r="AH39" s="4"/>
      <c r="AI39" s="4">
        <v>349</v>
      </c>
    </row>
    <row r="40" spans="1:36" x14ac:dyDescent="0.2">
      <c r="A40" s="2" t="s">
        <v>1240</v>
      </c>
      <c r="B40" s="4">
        <v>202</v>
      </c>
      <c r="C40" s="4"/>
      <c r="D40" s="4">
        <v>62</v>
      </c>
      <c r="E40" s="4">
        <v>264</v>
      </c>
      <c r="F40" s="4">
        <v>264</v>
      </c>
      <c r="G40" s="4"/>
      <c r="H40" s="4"/>
      <c r="I40" s="4"/>
      <c r="J40" s="4"/>
      <c r="K40" s="4"/>
      <c r="L40" s="4">
        <v>74</v>
      </c>
      <c r="M40" s="4">
        <v>54</v>
      </c>
      <c r="N40" s="4"/>
      <c r="O40" s="4">
        <v>128</v>
      </c>
      <c r="P40" s="4">
        <v>128</v>
      </c>
      <c r="Q40" s="4">
        <v>2</v>
      </c>
      <c r="R40" s="4"/>
      <c r="S40" s="4">
        <v>14</v>
      </c>
      <c r="T40" s="4">
        <v>16</v>
      </c>
      <c r="U40" s="4">
        <v>16</v>
      </c>
      <c r="V40" s="4">
        <v>15</v>
      </c>
      <c r="W40" s="4">
        <v>34</v>
      </c>
      <c r="X40" s="4"/>
      <c r="Y40" s="4">
        <v>49</v>
      </c>
      <c r="Z40" s="4">
        <v>49</v>
      </c>
      <c r="AA40" s="4"/>
      <c r="AB40" s="4"/>
      <c r="AC40" s="4">
        <v>30</v>
      </c>
      <c r="AD40" s="4">
        <v>30</v>
      </c>
      <c r="AE40" s="4">
        <v>30</v>
      </c>
      <c r="AF40" s="4"/>
      <c r="AG40" s="4"/>
      <c r="AH40" s="4"/>
      <c r="AI40" s="4">
        <v>487</v>
      </c>
    </row>
    <row r="41" spans="1:36" x14ac:dyDescent="0.2">
      <c r="A41" s="2" t="s">
        <v>1270</v>
      </c>
      <c r="B41" s="4">
        <v>68</v>
      </c>
      <c r="C41" s="4">
        <v>75</v>
      </c>
      <c r="D41" s="4">
        <v>38</v>
      </c>
      <c r="E41" s="4">
        <v>181</v>
      </c>
      <c r="F41" s="4">
        <v>181</v>
      </c>
      <c r="G41" s="4"/>
      <c r="H41" s="4">
        <v>22</v>
      </c>
      <c r="I41" s="4"/>
      <c r="J41" s="4">
        <v>22</v>
      </c>
      <c r="K41" s="4">
        <v>22</v>
      </c>
      <c r="L41" s="4">
        <v>77</v>
      </c>
      <c r="M41" s="4">
        <v>57</v>
      </c>
      <c r="N41" s="4"/>
      <c r="O41" s="4">
        <v>134</v>
      </c>
      <c r="P41" s="4">
        <v>134</v>
      </c>
      <c r="Q41" s="4"/>
      <c r="R41" s="4"/>
      <c r="S41" s="4"/>
      <c r="T41" s="4"/>
      <c r="U41" s="4"/>
      <c r="V41" s="4"/>
      <c r="W41" s="4">
        <v>41</v>
      </c>
      <c r="X41" s="4"/>
      <c r="Y41" s="4">
        <v>41</v>
      </c>
      <c r="Z41" s="4">
        <v>41</v>
      </c>
      <c r="AA41" s="4">
        <v>48</v>
      </c>
      <c r="AB41" s="4"/>
      <c r="AC41" s="4"/>
      <c r="AD41" s="4">
        <v>48</v>
      </c>
      <c r="AE41" s="4">
        <v>48</v>
      </c>
      <c r="AF41" s="4"/>
      <c r="AG41" s="4"/>
      <c r="AH41" s="4"/>
      <c r="AI41" s="4">
        <v>426</v>
      </c>
    </row>
    <row r="42" spans="1:36" x14ac:dyDescent="0.2">
      <c r="A42" s="2" t="s">
        <v>1295</v>
      </c>
      <c r="B42" s="4">
        <v>74</v>
      </c>
      <c r="C42" s="4"/>
      <c r="D42" s="4"/>
      <c r="E42" s="4">
        <v>74</v>
      </c>
      <c r="F42" s="4">
        <v>74</v>
      </c>
      <c r="G42" s="4"/>
      <c r="H42" s="4"/>
      <c r="I42" s="4">
        <v>26</v>
      </c>
      <c r="J42" s="4">
        <v>26</v>
      </c>
      <c r="K42" s="4">
        <v>26</v>
      </c>
      <c r="L42" s="4"/>
      <c r="M42" s="4">
        <v>86</v>
      </c>
      <c r="N42" s="4"/>
      <c r="O42" s="4">
        <v>86</v>
      </c>
      <c r="P42" s="4">
        <v>86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>
        <v>2</v>
      </c>
      <c r="AB42" s="4"/>
      <c r="AC42" s="4"/>
      <c r="AD42" s="4">
        <v>2</v>
      </c>
      <c r="AE42" s="4">
        <v>2</v>
      </c>
      <c r="AF42" s="4"/>
      <c r="AG42" s="4"/>
      <c r="AH42" s="4"/>
      <c r="AI42" s="4">
        <v>188</v>
      </c>
    </row>
    <row r="43" spans="1:36" x14ac:dyDescent="0.2">
      <c r="A43" s="2" t="s">
        <v>1329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>
        <v>6</v>
      </c>
      <c r="N43" s="4"/>
      <c r="O43" s="4">
        <v>6</v>
      </c>
      <c r="P43" s="4">
        <v>6</v>
      </c>
      <c r="Q43" s="4"/>
      <c r="R43" s="4">
        <v>18</v>
      </c>
      <c r="S43" s="4"/>
      <c r="T43" s="4">
        <v>18</v>
      </c>
      <c r="U43" s="4">
        <v>18</v>
      </c>
      <c r="V43" s="4">
        <v>43</v>
      </c>
      <c r="W43" s="4">
        <v>18</v>
      </c>
      <c r="X43" s="4"/>
      <c r="Y43" s="4">
        <v>61</v>
      </c>
      <c r="Z43" s="4">
        <v>61</v>
      </c>
      <c r="AA43" s="4">
        <v>45</v>
      </c>
      <c r="AB43" s="4"/>
      <c r="AC43" s="4"/>
      <c r="AD43" s="4">
        <v>45</v>
      </c>
      <c r="AE43" s="4">
        <v>45</v>
      </c>
      <c r="AF43" s="4"/>
      <c r="AG43" s="4"/>
      <c r="AH43" s="4"/>
      <c r="AI43" s="4">
        <v>130</v>
      </c>
    </row>
    <row r="44" spans="1:36" x14ac:dyDescent="0.2">
      <c r="A44" s="2" t="s">
        <v>1353</v>
      </c>
      <c r="B44" s="4">
        <v>81</v>
      </c>
      <c r="C44" s="4"/>
      <c r="D44" s="4"/>
      <c r="E44" s="4">
        <v>81</v>
      </c>
      <c r="F44" s="4">
        <v>81</v>
      </c>
      <c r="G44" s="4"/>
      <c r="H44" s="4"/>
      <c r="I44" s="4"/>
      <c r="J44" s="4"/>
      <c r="K44" s="4"/>
      <c r="L44" s="4">
        <v>77</v>
      </c>
      <c r="M44" s="4">
        <v>186</v>
      </c>
      <c r="N44" s="4"/>
      <c r="O44" s="4">
        <v>263</v>
      </c>
      <c r="P44" s="4">
        <v>263</v>
      </c>
      <c r="Q44" s="4">
        <v>30</v>
      </c>
      <c r="R44" s="4"/>
      <c r="S44" s="4"/>
      <c r="T44" s="4">
        <v>30</v>
      </c>
      <c r="U44" s="4">
        <v>30</v>
      </c>
      <c r="V44" s="4"/>
      <c r="W44" s="4">
        <v>24</v>
      </c>
      <c r="X44" s="4"/>
      <c r="Y44" s="4">
        <v>24</v>
      </c>
      <c r="Z44" s="4">
        <v>24</v>
      </c>
      <c r="AA44" s="4"/>
      <c r="AB44" s="4"/>
      <c r="AC44" s="4"/>
      <c r="AD44" s="4"/>
      <c r="AE44" s="4"/>
      <c r="AF44" s="4"/>
      <c r="AG44" s="4"/>
      <c r="AH44" s="4"/>
      <c r="AI44" s="4">
        <v>398</v>
      </c>
    </row>
    <row r="45" spans="1:36" x14ac:dyDescent="0.2">
      <c r="A45" s="2" t="s">
        <v>1354</v>
      </c>
      <c r="B45" s="4">
        <v>134</v>
      </c>
      <c r="C45" s="4"/>
      <c r="D45" s="4">
        <v>85</v>
      </c>
      <c r="E45" s="4">
        <v>219</v>
      </c>
      <c r="F45" s="4">
        <v>219</v>
      </c>
      <c r="G45" s="4"/>
      <c r="H45" s="4">
        <v>50</v>
      </c>
      <c r="I45" s="4"/>
      <c r="J45" s="4">
        <v>50</v>
      </c>
      <c r="K45" s="4">
        <v>50</v>
      </c>
      <c r="L45" s="4">
        <v>73</v>
      </c>
      <c r="M45" s="4">
        <v>24</v>
      </c>
      <c r="N45" s="4"/>
      <c r="O45" s="4">
        <v>97</v>
      </c>
      <c r="P45" s="4">
        <v>97</v>
      </c>
      <c r="Q45" s="4"/>
      <c r="R45" s="4"/>
      <c r="S45" s="4">
        <v>23</v>
      </c>
      <c r="T45" s="4">
        <v>23</v>
      </c>
      <c r="U45" s="4">
        <v>23</v>
      </c>
      <c r="V45" s="4">
        <v>28</v>
      </c>
      <c r="W45" s="4"/>
      <c r="X45" s="4"/>
      <c r="Y45" s="4">
        <v>28</v>
      </c>
      <c r="Z45" s="4">
        <v>28</v>
      </c>
      <c r="AA45" s="4"/>
      <c r="AB45" s="4"/>
      <c r="AC45" s="4"/>
      <c r="AD45" s="4"/>
      <c r="AE45" s="4"/>
      <c r="AF45" s="4"/>
      <c r="AG45" s="4"/>
      <c r="AH45" s="4"/>
      <c r="AI45" s="4">
        <v>417</v>
      </c>
    </row>
    <row r="46" spans="1:36" x14ac:dyDescent="0.2">
      <c r="A46" s="2" t="s">
        <v>1415</v>
      </c>
      <c r="B46" s="4">
        <v>72</v>
      </c>
      <c r="C46" s="4">
        <v>54</v>
      </c>
      <c r="D46" s="4">
        <v>15</v>
      </c>
      <c r="E46" s="4">
        <v>141</v>
      </c>
      <c r="F46" s="4">
        <v>141</v>
      </c>
      <c r="G46" s="4">
        <v>23</v>
      </c>
      <c r="H46" s="4"/>
      <c r="I46" s="4"/>
      <c r="J46" s="4">
        <v>23</v>
      </c>
      <c r="K46" s="4">
        <v>23</v>
      </c>
      <c r="L46" s="4">
        <v>77</v>
      </c>
      <c r="M46" s="4"/>
      <c r="N46" s="4"/>
      <c r="O46" s="4">
        <v>77</v>
      </c>
      <c r="P46" s="4">
        <v>77</v>
      </c>
      <c r="Q46" s="4"/>
      <c r="R46" s="4"/>
      <c r="S46" s="4"/>
      <c r="T46" s="4"/>
      <c r="U46" s="4"/>
      <c r="V46" s="4"/>
      <c r="W46" s="4">
        <v>67</v>
      </c>
      <c r="X46" s="4"/>
      <c r="Y46" s="4">
        <v>67</v>
      </c>
      <c r="Z46" s="4">
        <v>67</v>
      </c>
      <c r="AA46" s="4">
        <v>50</v>
      </c>
      <c r="AB46" s="4"/>
      <c r="AC46" s="4"/>
      <c r="AD46" s="4">
        <v>50</v>
      </c>
      <c r="AE46" s="4">
        <v>50</v>
      </c>
      <c r="AF46" s="4"/>
      <c r="AG46" s="4"/>
      <c r="AH46" s="4"/>
      <c r="AI46" s="4">
        <v>358</v>
      </c>
    </row>
    <row r="47" spans="1:36" x14ac:dyDescent="0.2">
      <c r="A47" s="2" t="s">
        <v>1446</v>
      </c>
      <c r="B47" s="4">
        <v>134</v>
      </c>
      <c r="C47" s="4"/>
      <c r="D47" s="4">
        <v>20</v>
      </c>
      <c r="E47" s="4">
        <v>154</v>
      </c>
      <c r="F47" s="4">
        <v>154</v>
      </c>
      <c r="G47" s="4"/>
      <c r="H47" s="4"/>
      <c r="I47" s="4">
        <v>23</v>
      </c>
      <c r="J47" s="4">
        <v>23</v>
      </c>
      <c r="K47" s="4">
        <v>23</v>
      </c>
      <c r="L47" s="4"/>
      <c r="M47" s="4"/>
      <c r="N47" s="4"/>
      <c r="O47" s="4"/>
      <c r="P47" s="4"/>
      <c r="Q47" s="4"/>
      <c r="R47" s="4"/>
      <c r="S47" s="4">
        <v>42</v>
      </c>
      <c r="T47" s="4">
        <v>42</v>
      </c>
      <c r="U47" s="4">
        <v>42</v>
      </c>
      <c r="V47" s="4">
        <v>46</v>
      </c>
      <c r="W47" s="4"/>
      <c r="X47" s="4">
        <v>29</v>
      </c>
      <c r="Y47" s="4">
        <v>75</v>
      </c>
      <c r="Z47" s="4">
        <v>75</v>
      </c>
      <c r="AA47" s="4"/>
      <c r="AB47" s="4"/>
      <c r="AC47" s="4"/>
      <c r="AD47" s="4"/>
      <c r="AE47" s="4"/>
      <c r="AF47" s="4"/>
      <c r="AG47" s="4"/>
      <c r="AH47" s="4"/>
      <c r="AI47" s="4">
        <v>294</v>
      </c>
    </row>
    <row r="48" spans="1:36" x14ac:dyDescent="0.2">
      <c r="A48" s="2" t="s">
        <v>1474</v>
      </c>
      <c r="B48" s="4">
        <v>79</v>
      </c>
      <c r="C48" s="4"/>
      <c r="D48" s="4"/>
      <c r="E48" s="4">
        <v>79</v>
      </c>
      <c r="F48" s="4">
        <v>79</v>
      </c>
      <c r="G48" s="4">
        <v>27</v>
      </c>
      <c r="H48" s="4"/>
      <c r="I48" s="4"/>
      <c r="J48" s="4">
        <v>27</v>
      </c>
      <c r="K48" s="4">
        <v>27</v>
      </c>
      <c r="L48" s="4">
        <v>71</v>
      </c>
      <c r="M48" s="4">
        <v>130</v>
      </c>
      <c r="N48" s="4">
        <v>71</v>
      </c>
      <c r="O48" s="4">
        <v>272</v>
      </c>
      <c r="P48" s="4">
        <v>272</v>
      </c>
      <c r="Q48" s="4"/>
      <c r="R48" s="4"/>
      <c r="S48" s="4">
        <v>18</v>
      </c>
      <c r="T48" s="4">
        <v>18</v>
      </c>
      <c r="U48" s="4">
        <v>18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>
        <v>396</v>
      </c>
    </row>
    <row r="49" spans="1:35" x14ac:dyDescent="0.2">
      <c r="A49" s="2" t="s">
        <v>1475</v>
      </c>
      <c r="B49" s="4">
        <v>191</v>
      </c>
      <c r="C49" s="4"/>
      <c r="D49" s="4"/>
      <c r="E49" s="4">
        <v>191</v>
      </c>
      <c r="F49" s="4">
        <v>191</v>
      </c>
      <c r="G49" s="4"/>
      <c r="H49" s="4"/>
      <c r="I49" s="4"/>
      <c r="J49" s="4"/>
      <c r="K49" s="4"/>
      <c r="L49" s="4">
        <v>79</v>
      </c>
      <c r="M49" s="4"/>
      <c r="N49" s="4"/>
      <c r="O49" s="4">
        <v>79</v>
      </c>
      <c r="P49" s="4">
        <v>79</v>
      </c>
      <c r="Q49" s="4"/>
      <c r="R49" s="4"/>
      <c r="S49" s="4"/>
      <c r="T49" s="4"/>
      <c r="U49" s="4"/>
      <c r="V49" s="4"/>
      <c r="W49" s="4"/>
      <c r="X49" s="4">
        <v>32</v>
      </c>
      <c r="Y49" s="4">
        <v>32</v>
      </c>
      <c r="Z49" s="4">
        <v>32</v>
      </c>
      <c r="AA49" s="4">
        <v>50</v>
      </c>
      <c r="AB49" s="4">
        <v>30</v>
      </c>
      <c r="AC49" s="4"/>
      <c r="AD49" s="4">
        <v>80</v>
      </c>
      <c r="AE49" s="4">
        <v>80</v>
      </c>
      <c r="AF49" s="4"/>
      <c r="AG49" s="4"/>
      <c r="AH49" s="4"/>
      <c r="AI49" s="4">
        <v>382</v>
      </c>
    </row>
    <row r="50" spans="1:35" x14ac:dyDescent="0.2">
      <c r="A50" s="2" t="s">
        <v>1476</v>
      </c>
      <c r="B50" s="4">
        <v>79</v>
      </c>
      <c r="C50" s="4"/>
      <c r="D50" s="4"/>
      <c r="E50" s="4">
        <v>79</v>
      </c>
      <c r="F50" s="4">
        <v>79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>
        <v>17</v>
      </c>
      <c r="T50" s="4">
        <v>17</v>
      </c>
      <c r="U50" s="4">
        <v>17</v>
      </c>
      <c r="V50" s="4"/>
      <c r="W50" s="4">
        <v>31</v>
      </c>
      <c r="X50" s="4"/>
      <c r="Y50" s="4">
        <v>31</v>
      </c>
      <c r="Z50" s="4">
        <v>31</v>
      </c>
      <c r="AA50" s="4"/>
      <c r="AB50" s="4"/>
      <c r="AC50" s="4"/>
      <c r="AD50" s="4"/>
      <c r="AE50" s="4"/>
      <c r="AF50" s="4"/>
      <c r="AG50" s="4"/>
      <c r="AH50" s="4"/>
      <c r="AI50" s="4">
        <v>127</v>
      </c>
    </row>
    <row r="51" spans="1:35" x14ac:dyDescent="0.2">
      <c r="A51" s="2" t="s">
        <v>1477</v>
      </c>
      <c r="B51" s="4">
        <v>123</v>
      </c>
      <c r="C51" s="4"/>
      <c r="D51" s="4">
        <v>71</v>
      </c>
      <c r="E51" s="4">
        <v>194</v>
      </c>
      <c r="F51" s="4">
        <v>194</v>
      </c>
      <c r="G51" s="4">
        <v>21</v>
      </c>
      <c r="H51" s="4">
        <v>29</v>
      </c>
      <c r="I51" s="4"/>
      <c r="J51" s="4">
        <v>50</v>
      </c>
      <c r="K51" s="4">
        <v>50</v>
      </c>
      <c r="L51" s="4">
        <v>48</v>
      </c>
      <c r="M51" s="4">
        <v>89</v>
      </c>
      <c r="N51" s="4">
        <v>100</v>
      </c>
      <c r="O51" s="4">
        <v>237</v>
      </c>
      <c r="P51" s="4">
        <v>237</v>
      </c>
      <c r="Q51" s="4"/>
      <c r="R51" s="4"/>
      <c r="S51" s="4">
        <v>38</v>
      </c>
      <c r="T51" s="4">
        <v>38</v>
      </c>
      <c r="U51" s="4">
        <v>38</v>
      </c>
      <c r="V51" s="4"/>
      <c r="W51" s="4">
        <v>31</v>
      </c>
      <c r="X51" s="4">
        <v>35</v>
      </c>
      <c r="Y51" s="4">
        <v>66</v>
      </c>
      <c r="Z51" s="4">
        <v>66</v>
      </c>
      <c r="AA51" s="4"/>
      <c r="AB51" s="4">
        <v>30</v>
      </c>
      <c r="AC51" s="4">
        <v>30</v>
      </c>
      <c r="AD51" s="4">
        <v>60</v>
      </c>
      <c r="AE51" s="4">
        <v>60</v>
      </c>
      <c r="AF51" s="4"/>
      <c r="AG51" s="4"/>
      <c r="AH51" s="4"/>
      <c r="AI51" s="4">
        <v>645</v>
      </c>
    </row>
    <row r="52" spans="1:35" x14ac:dyDescent="0.2">
      <c r="A52" s="2" t="s">
        <v>1596</v>
      </c>
      <c r="B52" s="4">
        <v>82</v>
      </c>
      <c r="C52" s="4">
        <v>76</v>
      </c>
      <c r="D52" s="4"/>
      <c r="E52" s="4">
        <v>158</v>
      </c>
      <c r="F52" s="4">
        <v>158</v>
      </c>
      <c r="G52" s="4"/>
      <c r="H52" s="4">
        <v>21</v>
      </c>
      <c r="I52" s="4"/>
      <c r="J52" s="4">
        <v>21</v>
      </c>
      <c r="K52" s="4">
        <v>21</v>
      </c>
      <c r="L52" s="4"/>
      <c r="M52" s="4">
        <v>114</v>
      </c>
      <c r="N52" s="4"/>
      <c r="O52" s="4">
        <v>114</v>
      </c>
      <c r="P52" s="4">
        <v>114</v>
      </c>
      <c r="Q52" s="4"/>
      <c r="R52" s="4"/>
      <c r="S52" s="4">
        <v>22</v>
      </c>
      <c r="T52" s="4">
        <v>22</v>
      </c>
      <c r="U52" s="4">
        <v>22</v>
      </c>
      <c r="V52" s="4">
        <v>30</v>
      </c>
      <c r="W52" s="4"/>
      <c r="X52" s="4"/>
      <c r="Y52" s="4">
        <v>30</v>
      </c>
      <c r="Z52" s="4">
        <v>30</v>
      </c>
      <c r="AA52" s="4">
        <v>42</v>
      </c>
      <c r="AB52" s="4"/>
      <c r="AC52" s="4"/>
      <c r="AD52" s="4">
        <v>42</v>
      </c>
      <c r="AE52" s="4">
        <v>42</v>
      </c>
      <c r="AF52" s="4"/>
      <c r="AG52" s="4"/>
      <c r="AH52" s="4"/>
      <c r="AI52" s="4">
        <v>387</v>
      </c>
    </row>
    <row r="53" spans="1:35" x14ac:dyDescent="0.2">
      <c r="A53" s="2" t="s">
        <v>1626</v>
      </c>
      <c r="B53" s="4">
        <v>77</v>
      </c>
      <c r="C53" s="4"/>
      <c r="D53" s="4">
        <v>68</v>
      </c>
      <c r="E53" s="4">
        <v>145</v>
      </c>
      <c r="F53" s="4">
        <v>145</v>
      </c>
      <c r="G53" s="4"/>
      <c r="H53" s="4">
        <v>24</v>
      </c>
      <c r="I53" s="4">
        <v>25</v>
      </c>
      <c r="J53" s="4">
        <v>49</v>
      </c>
      <c r="K53" s="4">
        <v>49</v>
      </c>
      <c r="L53" s="4"/>
      <c r="M53" s="4">
        <v>69</v>
      </c>
      <c r="N53" s="4"/>
      <c r="O53" s="4">
        <v>69</v>
      </c>
      <c r="P53" s="4">
        <v>69</v>
      </c>
      <c r="Q53" s="4">
        <v>22</v>
      </c>
      <c r="R53" s="4">
        <v>21</v>
      </c>
      <c r="S53" s="4">
        <v>17</v>
      </c>
      <c r="T53" s="4">
        <v>60</v>
      </c>
      <c r="U53" s="4">
        <v>60</v>
      </c>
      <c r="V53" s="4">
        <v>20</v>
      </c>
      <c r="W53" s="4">
        <v>75</v>
      </c>
      <c r="X53" s="4">
        <v>37</v>
      </c>
      <c r="Y53" s="4">
        <v>132</v>
      </c>
      <c r="Z53" s="4">
        <v>132</v>
      </c>
      <c r="AA53" s="4">
        <v>8</v>
      </c>
      <c r="AB53" s="4"/>
      <c r="AC53" s="4"/>
      <c r="AD53" s="4">
        <v>8</v>
      </c>
      <c r="AE53" s="4">
        <v>8</v>
      </c>
      <c r="AF53" s="4"/>
      <c r="AG53" s="4"/>
      <c r="AH53" s="4"/>
      <c r="AI53" s="4">
        <v>463</v>
      </c>
    </row>
    <row r="54" spans="1:35" x14ac:dyDescent="0.2">
      <c r="A54" s="2" t="s">
        <v>1655</v>
      </c>
      <c r="B54" s="4">
        <v>122</v>
      </c>
      <c r="C54" s="4"/>
      <c r="D54" s="4"/>
      <c r="E54" s="4">
        <v>122</v>
      </c>
      <c r="F54" s="4">
        <v>122</v>
      </c>
      <c r="G54" s="4"/>
      <c r="H54" s="4"/>
      <c r="I54" s="4"/>
      <c r="J54" s="4"/>
      <c r="K54" s="4"/>
      <c r="L54" s="4">
        <v>138</v>
      </c>
      <c r="M54" s="4">
        <v>141</v>
      </c>
      <c r="N54" s="4"/>
      <c r="O54" s="4">
        <v>279</v>
      </c>
      <c r="P54" s="4">
        <v>279</v>
      </c>
      <c r="Q54" s="4">
        <v>8</v>
      </c>
      <c r="R54" s="4"/>
      <c r="S54" s="4"/>
      <c r="T54" s="4">
        <v>8</v>
      </c>
      <c r="U54" s="4">
        <v>8</v>
      </c>
      <c r="V54" s="4">
        <v>30</v>
      </c>
      <c r="W54" s="4"/>
      <c r="X54" s="4"/>
      <c r="Y54" s="4">
        <v>30</v>
      </c>
      <c r="Z54" s="4">
        <v>30</v>
      </c>
      <c r="AA54" s="4">
        <v>4</v>
      </c>
      <c r="AB54" s="4"/>
      <c r="AC54" s="4"/>
      <c r="AD54" s="4">
        <v>4</v>
      </c>
      <c r="AE54" s="4">
        <v>4</v>
      </c>
      <c r="AF54" s="4"/>
      <c r="AG54" s="4"/>
      <c r="AH54" s="4"/>
      <c r="AI54" s="4">
        <v>443</v>
      </c>
    </row>
    <row r="55" spans="1:35" x14ac:dyDescent="0.2">
      <c r="A55" s="2" t="s">
        <v>1680</v>
      </c>
      <c r="B55" s="4">
        <v>236</v>
      </c>
      <c r="C55" s="4"/>
      <c r="D55" s="4"/>
      <c r="E55" s="4">
        <v>236</v>
      </c>
      <c r="F55" s="4">
        <v>236</v>
      </c>
      <c r="G55" s="4"/>
      <c r="H55" s="4"/>
      <c r="I55" s="4"/>
      <c r="J55" s="4"/>
      <c r="K55" s="4"/>
      <c r="L55" s="4">
        <v>23</v>
      </c>
      <c r="M55" s="4">
        <v>27</v>
      </c>
      <c r="N55" s="4"/>
      <c r="O55" s="4">
        <v>50</v>
      </c>
      <c r="P55" s="4">
        <v>50</v>
      </c>
      <c r="Q55" s="4">
        <v>26</v>
      </c>
      <c r="R55" s="4"/>
      <c r="S55" s="4">
        <v>26</v>
      </c>
      <c r="T55" s="4">
        <v>52</v>
      </c>
      <c r="U55" s="4">
        <v>52</v>
      </c>
      <c r="V55" s="4">
        <v>29</v>
      </c>
      <c r="W55" s="4">
        <v>28</v>
      </c>
      <c r="X55" s="4"/>
      <c r="Y55" s="4">
        <v>57</v>
      </c>
      <c r="Z55" s="4">
        <v>57</v>
      </c>
      <c r="AA55" s="4"/>
      <c r="AB55" s="4"/>
      <c r="AC55" s="4"/>
      <c r="AD55" s="4"/>
      <c r="AE55" s="4"/>
      <c r="AF55" s="4"/>
      <c r="AG55" s="4"/>
      <c r="AH55" s="4"/>
      <c r="AI55" s="4">
        <v>395</v>
      </c>
    </row>
    <row r="56" spans="1:35" x14ac:dyDescent="0.2">
      <c r="A56" s="2" t="s">
        <v>1715</v>
      </c>
      <c r="B56" s="4">
        <v>18</v>
      </c>
      <c r="C56" s="4"/>
      <c r="D56" s="4">
        <v>78</v>
      </c>
      <c r="E56" s="4">
        <v>96</v>
      </c>
      <c r="F56" s="4">
        <v>96</v>
      </c>
      <c r="G56" s="4">
        <v>25</v>
      </c>
      <c r="H56" s="4"/>
      <c r="I56" s="4"/>
      <c r="J56" s="4">
        <v>25</v>
      </c>
      <c r="K56" s="4">
        <v>25</v>
      </c>
      <c r="L56" s="4"/>
      <c r="M56" s="4"/>
      <c r="N56" s="4"/>
      <c r="O56" s="4"/>
      <c r="P56" s="4"/>
      <c r="Q56" s="4"/>
      <c r="R56" s="4"/>
      <c r="S56" s="4">
        <v>20</v>
      </c>
      <c r="T56" s="4">
        <v>20</v>
      </c>
      <c r="U56" s="4">
        <v>20</v>
      </c>
      <c r="V56" s="4"/>
      <c r="W56" s="4">
        <v>32</v>
      </c>
      <c r="X56" s="4"/>
      <c r="Y56" s="4">
        <v>32</v>
      </c>
      <c r="Z56" s="4">
        <v>32</v>
      </c>
      <c r="AA56" s="4"/>
      <c r="AB56" s="4"/>
      <c r="AC56" s="4">
        <v>31</v>
      </c>
      <c r="AD56" s="4">
        <v>31</v>
      </c>
      <c r="AE56" s="4">
        <v>31</v>
      </c>
      <c r="AF56" s="4"/>
      <c r="AG56" s="4"/>
      <c r="AH56" s="4"/>
      <c r="AI56" s="4">
        <v>204</v>
      </c>
    </row>
    <row r="57" spans="1:35" x14ac:dyDescent="0.2">
      <c r="A57" s="2" t="s">
        <v>1743</v>
      </c>
      <c r="B57" s="4">
        <v>109</v>
      </c>
      <c r="C57" s="4"/>
      <c r="D57" s="4"/>
      <c r="E57" s="4">
        <v>109</v>
      </c>
      <c r="F57" s="4">
        <v>109</v>
      </c>
      <c r="G57" s="4">
        <v>6</v>
      </c>
      <c r="H57" s="4"/>
      <c r="I57" s="4"/>
      <c r="J57" s="4">
        <v>6</v>
      </c>
      <c r="K57" s="4">
        <v>6</v>
      </c>
      <c r="L57" s="4">
        <v>75</v>
      </c>
      <c r="M57" s="4">
        <v>120</v>
      </c>
      <c r="N57" s="4"/>
      <c r="O57" s="4">
        <v>195</v>
      </c>
      <c r="P57" s="4">
        <v>195</v>
      </c>
      <c r="Q57" s="4"/>
      <c r="R57" s="4"/>
      <c r="S57" s="4">
        <v>26</v>
      </c>
      <c r="T57" s="4">
        <v>26</v>
      </c>
      <c r="U57" s="4">
        <v>26</v>
      </c>
      <c r="V57" s="4"/>
      <c r="W57" s="4">
        <v>36</v>
      </c>
      <c r="X57" s="4">
        <v>23</v>
      </c>
      <c r="Y57" s="4">
        <v>59</v>
      </c>
      <c r="Z57" s="4">
        <v>59</v>
      </c>
      <c r="AA57" s="4">
        <v>77</v>
      </c>
      <c r="AB57" s="4"/>
      <c r="AC57" s="4"/>
      <c r="AD57" s="4">
        <v>77</v>
      </c>
      <c r="AE57" s="4">
        <v>77</v>
      </c>
      <c r="AF57" s="4"/>
      <c r="AG57" s="4"/>
      <c r="AH57" s="4"/>
      <c r="AI57" s="4">
        <v>472</v>
      </c>
    </row>
    <row r="58" spans="1:35" x14ac:dyDescent="0.2">
      <c r="A58" s="2" t="s">
        <v>1773</v>
      </c>
      <c r="B58" s="4">
        <v>155</v>
      </c>
      <c r="C58" s="4"/>
      <c r="D58" s="4"/>
      <c r="E58" s="4">
        <v>155</v>
      </c>
      <c r="F58" s="4">
        <v>155</v>
      </c>
      <c r="G58" s="4"/>
      <c r="H58" s="4"/>
      <c r="I58" s="4"/>
      <c r="J58" s="4"/>
      <c r="K58" s="4"/>
      <c r="L58" s="4"/>
      <c r="M58" s="4">
        <v>167</v>
      </c>
      <c r="N58" s="4"/>
      <c r="O58" s="4">
        <v>167</v>
      </c>
      <c r="P58" s="4">
        <v>167</v>
      </c>
      <c r="Q58" s="4"/>
      <c r="R58" s="4"/>
      <c r="S58" s="4">
        <v>23</v>
      </c>
      <c r="T58" s="4">
        <v>23</v>
      </c>
      <c r="U58" s="4">
        <v>23</v>
      </c>
      <c r="V58" s="4">
        <v>26</v>
      </c>
      <c r="W58" s="4"/>
      <c r="X58" s="4"/>
      <c r="Y58" s="4">
        <v>26</v>
      </c>
      <c r="Z58" s="4">
        <v>26</v>
      </c>
      <c r="AA58" s="4"/>
      <c r="AB58" s="4"/>
      <c r="AC58" s="4">
        <v>19</v>
      </c>
      <c r="AD58" s="4">
        <v>19</v>
      </c>
      <c r="AE58" s="4">
        <v>19</v>
      </c>
      <c r="AF58" s="4"/>
      <c r="AG58" s="4"/>
      <c r="AH58" s="4"/>
      <c r="AI58" s="4">
        <v>390</v>
      </c>
    </row>
    <row r="59" spans="1:35" x14ac:dyDescent="0.2">
      <c r="A59" s="2" t="s">
        <v>1798</v>
      </c>
      <c r="B59" s="4">
        <v>64</v>
      </c>
      <c r="C59" s="4"/>
      <c r="D59" s="4"/>
      <c r="E59" s="4">
        <v>64</v>
      </c>
      <c r="F59" s="4">
        <v>64</v>
      </c>
      <c r="G59" s="4"/>
      <c r="H59" s="4"/>
      <c r="I59" s="4"/>
      <c r="J59" s="4"/>
      <c r="K59" s="4"/>
      <c r="L59" s="4"/>
      <c r="M59" s="4">
        <v>113</v>
      </c>
      <c r="N59" s="4">
        <v>49</v>
      </c>
      <c r="O59" s="4">
        <v>162</v>
      </c>
      <c r="P59" s="4">
        <v>162</v>
      </c>
      <c r="Q59" s="4"/>
      <c r="R59" s="4">
        <v>19</v>
      </c>
      <c r="S59" s="4">
        <v>21</v>
      </c>
      <c r="T59" s="4">
        <v>40</v>
      </c>
      <c r="U59" s="4">
        <v>40</v>
      </c>
      <c r="V59" s="4">
        <v>28</v>
      </c>
      <c r="W59" s="4">
        <v>30</v>
      </c>
      <c r="X59" s="4"/>
      <c r="Y59" s="4">
        <v>58</v>
      </c>
      <c r="Z59" s="4">
        <v>58</v>
      </c>
      <c r="AA59" s="4">
        <v>23</v>
      </c>
      <c r="AB59" s="4">
        <v>50</v>
      </c>
      <c r="AC59" s="4"/>
      <c r="AD59" s="4">
        <v>73</v>
      </c>
      <c r="AE59" s="4">
        <v>73</v>
      </c>
      <c r="AF59" s="4"/>
      <c r="AG59" s="4"/>
      <c r="AH59" s="4"/>
      <c r="AI59" s="4">
        <v>397</v>
      </c>
    </row>
    <row r="60" spans="1:35" x14ac:dyDescent="0.2">
      <c r="A60" s="2" t="s">
        <v>1834</v>
      </c>
      <c r="B60" s="4">
        <v>60</v>
      </c>
      <c r="C60" s="4"/>
      <c r="D60" s="4">
        <v>64</v>
      </c>
      <c r="E60" s="4">
        <v>124</v>
      </c>
      <c r="F60" s="4">
        <v>124</v>
      </c>
      <c r="G60" s="4"/>
      <c r="H60" s="4"/>
      <c r="I60" s="4"/>
      <c r="J60" s="4"/>
      <c r="K60" s="4"/>
      <c r="L60" s="4">
        <v>57</v>
      </c>
      <c r="M60" s="4">
        <v>41</v>
      </c>
      <c r="N60" s="4"/>
      <c r="O60" s="4">
        <v>98</v>
      </c>
      <c r="P60" s="4">
        <v>98</v>
      </c>
      <c r="Q60" s="4"/>
      <c r="R60" s="4"/>
      <c r="S60" s="4">
        <v>1</v>
      </c>
      <c r="T60" s="4">
        <v>1</v>
      </c>
      <c r="U60" s="4">
        <v>1</v>
      </c>
      <c r="V60" s="4"/>
      <c r="W60" s="4">
        <v>7</v>
      </c>
      <c r="X60" s="4"/>
      <c r="Y60" s="4">
        <v>7</v>
      </c>
      <c r="Z60" s="4">
        <v>7</v>
      </c>
      <c r="AA60" s="4">
        <v>47</v>
      </c>
      <c r="AB60" s="4"/>
      <c r="AC60" s="4"/>
      <c r="AD60" s="4">
        <v>47</v>
      </c>
      <c r="AE60" s="4">
        <v>47</v>
      </c>
      <c r="AF60" s="4"/>
      <c r="AG60" s="4"/>
      <c r="AH60" s="4"/>
      <c r="AI60" s="4">
        <v>277</v>
      </c>
    </row>
    <row r="61" spans="1:35" x14ac:dyDescent="0.2">
      <c r="A61" s="2" t="s">
        <v>1858</v>
      </c>
      <c r="B61" s="4">
        <v>73</v>
      </c>
      <c r="C61" s="4"/>
      <c r="D61" s="4">
        <v>86</v>
      </c>
      <c r="E61" s="4">
        <v>159</v>
      </c>
      <c r="F61" s="4">
        <v>159</v>
      </c>
      <c r="G61" s="4">
        <v>30</v>
      </c>
      <c r="H61" s="4"/>
      <c r="I61" s="4"/>
      <c r="J61" s="4">
        <v>30</v>
      </c>
      <c r="K61" s="4">
        <v>30</v>
      </c>
      <c r="L61" s="4">
        <v>133</v>
      </c>
      <c r="M61" s="4"/>
      <c r="N61" s="4">
        <v>44</v>
      </c>
      <c r="O61" s="4">
        <v>177</v>
      </c>
      <c r="P61" s="4">
        <v>177</v>
      </c>
      <c r="Q61" s="4"/>
      <c r="R61" s="4">
        <v>24</v>
      </c>
      <c r="S61" s="4"/>
      <c r="T61" s="4">
        <v>24</v>
      </c>
      <c r="U61" s="4">
        <v>24</v>
      </c>
      <c r="V61" s="4"/>
      <c r="W61" s="4"/>
      <c r="X61" s="4"/>
      <c r="Y61" s="4"/>
      <c r="Z61" s="4"/>
      <c r="AA61" s="4"/>
      <c r="AB61" s="4"/>
      <c r="AC61" s="4">
        <v>40</v>
      </c>
      <c r="AD61" s="4">
        <v>40</v>
      </c>
      <c r="AE61" s="4">
        <v>40</v>
      </c>
      <c r="AF61" s="4"/>
      <c r="AG61" s="4"/>
      <c r="AH61" s="4"/>
      <c r="AI61" s="4">
        <v>430</v>
      </c>
    </row>
    <row r="62" spans="1:35" x14ac:dyDescent="0.2">
      <c r="A62" s="2" t="s">
        <v>1859</v>
      </c>
      <c r="B62" s="4">
        <v>114</v>
      </c>
      <c r="C62" s="4">
        <v>76</v>
      </c>
      <c r="D62" s="4"/>
      <c r="E62" s="4">
        <v>190</v>
      </c>
      <c r="F62" s="4">
        <v>190</v>
      </c>
      <c r="G62" s="4"/>
      <c r="H62" s="4"/>
      <c r="I62" s="4"/>
      <c r="J62" s="4"/>
      <c r="K62" s="4"/>
      <c r="L62" s="4">
        <v>57</v>
      </c>
      <c r="M62" s="4">
        <v>57</v>
      </c>
      <c r="N62" s="4"/>
      <c r="O62" s="4">
        <v>114</v>
      </c>
      <c r="P62" s="4">
        <v>114</v>
      </c>
      <c r="Q62" s="4"/>
      <c r="R62" s="4">
        <v>20</v>
      </c>
      <c r="S62" s="4">
        <v>26</v>
      </c>
      <c r="T62" s="4">
        <v>46</v>
      </c>
      <c r="U62" s="4">
        <v>46</v>
      </c>
      <c r="V62" s="4">
        <v>34</v>
      </c>
      <c r="W62" s="4">
        <v>32</v>
      </c>
      <c r="X62" s="4"/>
      <c r="Y62" s="4">
        <v>66</v>
      </c>
      <c r="Z62" s="4">
        <v>66</v>
      </c>
      <c r="AA62" s="4"/>
      <c r="AB62" s="4"/>
      <c r="AC62" s="4"/>
      <c r="AD62" s="4"/>
      <c r="AE62" s="4"/>
      <c r="AF62" s="4"/>
      <c r="AG62" s="4"/>
      <c r="AH62" s="4"/>
      <c r="AI62" s="4">
        <v>416</v>
      </c>
    </row>
    <row r="63" spans="1:35" x14ac:dyDescent="0.2">
      <c r="A63" s="2" t="s">
        <v>1922</v>
      </c>
      <c r="B63" s="4">
        <v>147</v>
      </c>
      <c r="C63" s="4"/>
      <c r="D63" s="4"/>
      <c r="E63" s="4">
        <v>147</v>
      </c>
      <c r="F63" s="4">
        <v>147</v>
      </c>
      <c r="G63" s="4"/>
      <c r="H63" s="4">
        <v>23</v>
      </c>
      <c r="I63" s="4"/>
      <c r="J63" s="4">
        <v>23</v>
      </c>
      <c r="K63" s="4">
        <v>23</v>
      </c>
      <c r="L63" s="4"/>
      <c r="M63" s="4"/>
      <c r="N63" s="4"/>
      <c r="O63" s="4"/>
      <c r="P63" s="4"/>
      <c r="Q63" s="4">
        <v>44</v>
      </c>
      <c r="R63" s="4">
        <v>6</v>
      </c>
      <c r="S63" s="4">
        <v>23</v>
      </c>
      <c r="T63" s="4">
        <v>73</v>
      </c>
      <c r="U63" s="4">
        <v>73</v>
      </c>
      <c r="V63" s="4">
        <v>44</v>
      </c>
      <c r="W63" s="4">
        <v>62</v>
      </c>
      <c r="X63" s="4">
        <v>33</v>
      </c>
      <c r="Y63" s="4">
        <v>139</v>
      </c>
      <c r="Z63" s="4">
        <v>139</v>
      </c>
      <c r="AA63" s="4"/>
      <c r="AB63" s="4"/>
      <c r="AC63" s="4"/>
      <c r="AD63" s="4"/>
      <c r="AE63" s="4"/>
      <c r="AF63" s="4"/>
      <c r="AG63" s="4"/>
      <c r="AH63" s="4"/>
      <c r="AI63" s="4">
        <v>382</v>
      </c>
    </row>
    <row r="64" spans="1:35" x14ac:dyDescent="0.2">
      <c r="A64" s="2" t="s">
        <v>1953</v>
      </c>
      <c r="B64" s="4">
        <v>135</v>
      </c>
      <c r="C64" s="4"/>
      <c r="D64" s="4"/>
      <c r="E64" s="4">
        <v>135</v>
      </c>
      <c r="F64" s="4">
        <v>135</v>
      </c>
      <c r="G64" s="4"/>
      <c r="H64" s="4"/>
      <c r="I64" s="4"/>
      <c r="J64" s="4"/>
      <c r="K64" s="4"/>
      <c r="L64" s="4"/>
      <c r="M64" s="4">
        <v>48</v>
      </c>
      <c r="N64" s="4">
        <v>53</v>
      </c>
      <c r="O64" s="4">
        <v>101</v>
      </c>
      <c r="P64" s="4">
        <v>101</v>
      </c>
      <c r="Q64" s="4"/>
      <c r="R64" s="4"/>
      <c r="S64" s="4">
        <v>38</v>
      </c>
      <c r="T64" s="4">
        <v>38</v>
      </c>
      <c r="U64" s="4">
        <v>38</v>
      </c>
      <c r="V64" s="4">
        <v>25</v>
      </c>
      <c r="W64" s="4">
        <v>32</v>
      </c>
      <c r="X64" s="4"/>
      <c r="Y64" s="4">
        <v>57</v>
      </c>
      <c r="Z64" s="4">
        <v>57</v>
      </c>
      <c r="AA64" s="4"/>
      <c r="AB64" s="4"/>
      <c r="AC64" s="4"/>
      <c r="AD64" s="4"/>
      <c r="AE64" s="4"/>
      <c r="AF64" s="4"/>
      <c r="AG64" s="4"/>
      <c r="AH64" s="4"/>
      <c r="AI64" s="4">
        <v>331</v>
      </c>
    </row>
    <row r="65" spans="1:35" x14ac:dyDescent="0.2">
      <c r="A65" s="2" t="s">
        <v>1983</v>
      </c>
      <c r="B65" s="4">
        <v>219</v>
      </c>
      <c r="C65" s="4"/>
      <c r="D65" s="4"/>
      <c r="E65" s="4">
        <v>219</v>
      </c>
      <c r="F65" s="4">
        <v>219</v>
      </c>
      <c r="G65" s="4"/>
      <c r="H65" s="4">
        <v>49</v>
      </c>
      <c r="I65" s="4"/>
      <c r="J65" s="4">
        <v>49</v>
      </c>
      <c r="K65" s="4">
        <v>49</v>
      </c>
      <c r="L65" s="4">
        <v>73</v>
      </c>
      <c r="M65" s="4">
        <v>138</v>
      </c>
      <c r="N65" s="4"/>
      <c r="O65" s="4">
        <v>211</v>
      </c>
      <c r="P65" s="4">
        <v>211</v>
      </c>
      <c r="Q65" s="4">
        <v>37</v>
      </c>
      <c r="R65" s="4"/>
      <c r="S65" s="4">
        <v>17</v>
      </c>
      <c r="T65" s="4">
        <v>54</v>
      </c>
      <c r="U65" s="4">
        <v>54</v>
      </c>
      <c r="V65" s="4"/>
      <c r="W65" s="4"/>
      <c r="X65" s="4"/>
      <c r="Y65" s="4"/>
      <c r="Z65" s="4"/>
      <c r="AA65" s="4"/>
      <c r="AB65" s="4"/>
      <c r="AC65" s="4">
        <v>43</v>
      </c>
      <c r="AD65" s="4">
        <v>43</v>
      </c>
      <c r="AE65" s="4">
        <v>43</v>
      </c>
      <c r="AF65" s="4"/>
      <c r="AG65" s="4"/>
      <c r="AH65" s="4"/>
      <c r="AI65" s="4">
        <v>576</v>
      </c>
    </row>
    <row r="66" spans="1:35" x14ac:dyDescent="0.2">
      <c r="A66" s="2" t="s">
        <v>2007</v>
      </c>
      <c r="B66" s="4">
        <v>85</v>
      </c>
      <c r="C66" s="4">
        <v>80</v>
      </c>
      <c r="D66" s="4">
        <v>74</v>
      </c>
      <c r="E66" s="4">
        <v>239</v>
      </c>
      <c r="F66" s="4">
        <v>239</v>
      </c>
      <c r="G66" s="4">
        <v>22</v>
      </c>
      <c r="H66" s="4"/>
      <c r="I66" s="4"/>
      <c r="J66" s="4">
        <v>22</v>
      </c>
      <c r="K66" s="4">
        <v>22</v>
      </c>
      <c r="L66" s="4">
        <v>119</v>
      </c>
      <c r="M66" s="4"/>
      <c r="N66" s="4"/>
      <c r="O66" s="4">
        <v>119</v>
      </c>
      <c r="P66" s="4">
        <v>119</v>
      </c>
      <c r="Q66" s="4"/>
      <c r="R66" s="4"/>
      <c r="S66" s="4">
        <v>10</v>
      </c>
      <c r="T66" s="4">
        <v>10</v>
      </c>
      <c r="U66" s="4">
        <v>10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>
        <v>390</v>
      </c>
    </row>
    <row r="67" spans="1:35" x14ac:dyDescent="0.2">
      <c r="A67" s="2" t="s">
        <v>2042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>
        <v>73</v>
      </c>
      <c r="N67" s="4"/>
      <c r="O67" s="4">
        <v>73</v>
      </c>
      <c r="P67" s="4">
        <v>73</v>
      </c>
      <c r="Q67" s="4"/>
      <c r="R67" s="4"/>
      <c r="S67" s="4"/>
      <c r="T67" s="4"/>
      <c r="U67" s="4"/>
      <c r="V67" s="4">
        <v>68</v>
      </c>
      <c r="W67" s="4">
        <v>57</v>
      </c>
      <c r="X67" s="4">
        <v>31</v>
      </c>
      <c r="Y67" s="4">
        <v>156</v>
      </c>
      <c r="Z67" s="4">
        <v>156</v>
      </c>
      <c r="AA67" s="4">
        <v>31</v>
      </c>
      <c r="AB67" s="4"/>
      <c r="AC67" s="4">
        <v>7</v>
      </c>
      <c r="AD67" s="4">
        <v>38</v>
      </c>
      <c r="AE67" s="4">
        <v>38</v>
      </c>
      <c r="AF67" s="4"/>
      <c r="AG67" s="4"/>
      <c r="AH67" s="4"/>
      <c r="AI67" s="4">
        <v>267</v>
      </c>
    </row>
    <row r="68" spans="1:35" x14ac:dyDescent="0.2">
      <c r="A68" s="2" t="s">
        <v>2073</v>
      </c>
      <c r="B68" s="4">
        <v>165</v>
      </c>
      <c r="C68" s="4"/>
      <c r="D68" s="4"/>
      <c r="E68" s="4">
        <v>165</v>
      </c>
      <c r="F68" s="4">
        <v>165</v>
      </c>
      <c r="G68" s="4">
        <v>26</v>
      </c>
      <c r="H68" s="4">
        <v>41</v>
      </c>
      <c r="I68" s="4"/>
      <c r="J68" s="4">
        <v>67</v>
      </c>
      <c r="K68" s="4">
        <v>67</v>
      </c>
      <c r="L68" s="4">
        <v>123</v>
      </c>
      <c r="M68" s="4">
        <v>112</v>
      </c>
      <c r="N68" s="4"/>
      <c r="O68" s="4">
        <v>235</v>
      </c>
      <c r="P68" s="4">
        <v>235</v>
      </c>
      <c r="Q68" s="4"/>
      <c r="R68" s="4"/>
      <c r="S68" s="4">
        <v>17</v>
      </c>
      <c r="T68" s="4">
        <v>17</v>
      </c>
      <c r="U68" s="4">
        <v>17</v>
      </c>
      <c r="V68" s="4"/>
      <c r="W68" s="4">
        <v>28</v>
      </c>
      <c r="X68" s="4"/>
      <c r="Y68" s="4">
        <v>28</v>
      </c>
      <c r="Z68" s="4">
        <v>28</v>
      </c>
      <c r="AA68" s="4">
        <v>43</v>
      </c>
      <c r="AB68" s="4"/>
      <c r="AC68" s="4"/>
      <c r="AD68" s="4">
        <v>43</v>
      </c>
      <c r="AE68" s="4">
        <v>43</v>
      </c>
      <c r="AF68" s="4"/>
      <c r="AG68" s="4"/>
      <c r="AH68" s="4"/>
      <c r="AI68" s="4">
        <v>555</v>
      </c>
    </row>
    <row r="69" spans="1:35" x14ac:dyDescent="0.2">
      <c r="A69" s="2" t="s">
        <v>2103</v>
      </c>
      <c r="B69" s="4"/>
      <c r="C69" s="4">
        <v>76</v>
      </c>
      <c r="D69" s="4"/>
      <c r="E69" s="4">
        <v>76</v>
      </c>
      <c r="F69" s="4">
        <v>76</v>
      </c>
      <c r="G69" s="4"/>
      <c r="H69" s="4"/>
      <c r="I69" s="4">
        <v>21</v>
      </c>
      <c r="J69" s="4">
        <v>21</v>
      </c>
      <c r="K69" s="4">
        <v>21</v>
      </c>
      <c r="L69" s="4"/>
      <c r="M69" s="4"/>
      <c r="N69" s="4">
        <v>69</v>
      </c>
      <c r="O69" s="4">
        <v>69</v>
      </c>
      <c r="P69" s="4">
        <v>69</v>
      </c>
      <c r="Q69" s="4"/>
      <c r="R69" s="4">
        <v>17</v>
      </c>
      <c r="S69" s="4">
        <v>83</v>
      </c>
      <c r="T69" s="4">
        <v>100</v>
      </c>
      <c r="U69" s="4">
        <v>100</v>
      </c>
      <c r="V69" s="4"/>
      <c r="W69" s="4"/>
      <c r="X69" s="4">
        <v>25</v>
      </c>
      <c r="Y69" s="4">
        <v>25</v>
      </c>
      <c r="Z69" s="4">
        <v>25</v>
      </c>
      <c r="AA69" s="4">
        <v>14</v>
      </c>
      <c r="AB69" s="4">
        <v>37</v>
      </c>
      <c r="AC69" s="4">
        <v>45</v>
      </c>
      <c r="AD69" s="4">
        <v>96</v>
      </c>
      <c r="AE69" s="4">
        <v>96</v>
      </c>
      <c r="AF69" s="4"/>
      <c r="AG69" s="4"/>
      <c r="AH69" s="4"/>
      <c r="AI69" s="4">
        <v>387</v>
      </c>
    </row>
    <row r="70" spans="1:35" x14ac:dyDescent="0.2">
      <c r="A70" s="2" t="s">
        <v>2128</v>
      </c>
      <c r="B70" s="4">
        <v>65</v>
      </c>
      <c r="C70" s="4"/>
      <c r="D70" s="4">
        <v>73</v>
      </c>
      <c r="E70" s="4">
        <v>138</v>
      </c>
      <c r="F70" s="4">
        <v>138</v>
      </c>
      <c r="G70" s="4">
        <v>24</v>
      </c>
      <c r="H70" s="4"/>
      <c r="I70" s="4"/>
      <c r="J70" s="4">
        <v>24</v>
      </c>
      <c r="K70" s="4">
        <v>24</v>
      </c>
      <c r="L70" s="4"/>
      <c r="M70" s="4">
        <v>160</v>
      </c>
      <c r="N70" s="4"/>
      <c r="O70" s="4">
        <v>160</v>
      </c>
      <c r="P70" s="4">
        <v>160</v>
      </c>
      <c r="Q70" s="4"/>
      <c r="R70" s="4"/>
      <c r="S70" s="4"/>
      <c r="T70" s="4"/>
      <c r="U70" s="4"/>
      <c r="V70" s="4"/>
      <c r="W70" s="4">
        <v>26</v>
      </c>
      <c r="X70" s="4">
        <v>22</v>
      </c>
      <c r="Y70" s="4">
        <v>48</v>
      </c>
      <c r="Z70" s="4">
        <v>48</v>
      </c>
      <c r="AA70" s="4"/>
      <c r="AB70" s="4"/>
      <c r="AC70" s="4"/>
      <c r="AD70" s="4"/>
      <c r="AE70" s="4"/>
      <c r="AF70" s="4"/>
      <c r="AG70" s="4"/>
      <c r="AH70" s="4"/>
      <c r="AI70" s="4">
        <v>370</v>
      </c>
    </row>
    <row r="71" spans="1:35" x14ac:dyDescent="0.2">
      <c r="A71" s="2" t="s">
        <v>2157</v>
      </c>
      <c r="B71" s="4">
        <v>180</v>
      </c>
      <c r="C71" s="4">
        <v>71</v>
      </c>
      <c r="D71" s="4">
        <v>77</v>
      </c>
      <c r="E71" s="4">
        <v>328</v>
      </c>
      <c r="F71" s="4">
        <v>328</v>
      </c>
      <c r="G71" s="4"/>
      <c r="H71" s="4">
        <v>25</v>
      </c>
      <c r="I71" s="4"/>
      <c r="J71" s="4">
        <v>25</v>
      </c>
      <c r="K71" s="4">
        <v>25</v>
      </c>
      <c r="L71" s="4">
        <v>121</v>
      </c>
      <c r="M71" s="4">
        <v>47</v>
      </c>
      <c r="N71" s="4">
        <v>87</v>
      </c>
      <c r="O71" s="4">
        <v>255</v>
      </c>
      <c r="P71" s="4">
        <v>255</v>
      </c>
      <c r="Q71" s="4">
        <v>26</v>
      </c>
      <c r="R71" s="4">
        <v>26</v>
      </c>
      <c r="S71" s="4">
        <v>73</v>
      </c>
      <c r="T71" s="4">
        <v>125</v>
      </c>
      <c r="U71" s="4">
        <v>125</v>
      </c>
      <c r="V71" s="4"/>
      <c r="W71" s="4">
        <v>26</v>
      </c>
      <c r="X71" s="4">
        <v>35</v>
      </c>
      <c r="Y71" s="4">
        <v>61</v>
      </c>
      <c r="Z71" s="4">
        <v>61</v>
      </c>
      <c r="AA71" s="4">
        <v>43</v>
      </c>
      <c r="AB71" s="4">
        <v>31</v>
      </c>
      <c r="AC71" s="4"/>
      <c r="AD71" s="4">
        <v>74</v>
      </c>
      <c r="AE71" s="4">
        <v>74</v>
      </c>
      <c r="AF71" s="4"/>
      <c r="AG71" s="4"/>
      <c r="AH71" s="4"/>
      <c r="AI71" s="4">
        <v>868</v>
      </c>
    </row>
    <row r="72" spans="1:35" x14ac:dyDescent="0.2">
      <c r="A72" s="2" t="s">
        <v>2158</v>
      </c>
      <c r="B72" s="4"/>
      <c r="C72" s="4"/>
      <c r="D72" s="4"/>
      <c r="E72" s="4"/>
      <c r="F72" s="4"/>
      <c r="G72" s="4"/>
      <c r="H72" s="4">
        <v>29</v>
      </c>
      <c r="I72" s="4">
        <v>23</v>
      </c>
      <c r="J72" s="4">
        <v>52</v>
      </c>
      <c r="K72" s="4">
        <v>52</v>
      </c>
      <c r="L72" s="4">
        <v>54</v>
      </c>
      <c r="M72" s="4">
        <v>122</v>
      </c>
      <c r="N72" s="4"/>
      <c r="O72" s="4">
        <v>176</v>
      </c>
      <c r="P72" s="4">
        <v>176</v>
      </c>
      <c r="Q72" s="4"/>
      <c r="R72" s="4">
        <v>19</v>
      </c>
      <c r="S72" s="4"/>
      <c r="T72" s="4">
        <v>19</v>
      </c>
      <c r="U72" s="4">
        <v>19</v>
      </c>
      <c r="V72" s="4">
        <v>23</v>
      </c>
      <c r="W72" s="4">
        <v>27</v>
      </c>
      <c r="X72" s="4"/>
      <c r="Y72" s="4">
        <v>50</v>
      </c>
      <c r="Z72" s="4">
        <v>50</v>
      </c>
      <c r="AA72" s="4"/>
      <c r="AB72" s="4"/>
      <c r="AC72" s="4"/>
      <c r="AD72" s="4"/>
      <c r="AE72" s="4"/>
      <c r="AF72" s="4"/>
      <c r="AG72" s="4"/>
      <c r="AH72" s="4"/>
      <c r="AI72" s="4">
        <v>297</v>
      </c>
    </row>
    <row r="73" spans="1:35" x14ac:dyDescent="0.2">
      <c r="A73" s="2" t="s">
        <v>2222</v>
      </c>
      <c r="B73" s="4">
        <v>274</v>
      </c>
      <c r="C73" s="4"/>
      <c r="D73" s="4">
        <v>75</v>
      </c>
      <c r="E73" s="4">
        <v>349</v>
      </c>
      <c r="F73" s="4">
        <v>349</v>
      </c>
      <c r="G73" s="4"/>
      <c r="H73" s="4">
        <v>25</v>
      </c>
      <c r="I73" s="4"/>
      <c r="J73" s="4">
        <v>25</v>
      </c>
      <c r="K73" s="4">
        <v>25</v>
      </c>
      <c r="L73" s="4"/>
      <c r="M73" s="4">
        <v>52</v>
      </c>
      <c r="N73" s="4">
        <v>60</v>
      </c>
      <c r="O73" s="4">
        <v>112</v>
      </c>
      <c r="P73" s="4">
        <v>112</v>
      </c>
      <c r="Q73" s="4">
        <v>16</v>
      </c>
      <c r="R73" s="4"/>
      <c r="S73" s="4">
        <v>14</v>
      </c>
      <c r="T73" s="4">
        <v>30</v>
      </c>
      <c r="U73" s="4">
        <v>30</v>
      </c>
      <c r="V73" s="4">
        <v>24</v>
      </c>
      <c r="W73" s="4">
        <v>62</v>
      </c>
      <c r="X73" s="4"/>
      <c r="Y73" s="4">
        <v>86</v>
      </c>
      <c r="Z73" s="4">
        <v>86</v>
      </c>
      <c r="AA73" s="4">
        <v>38</v>
      </c>
      <c r="AB73" s="4"/>
      <c r="AC73" s="4">
        <v>41</v>
      </c>
      <c r="AD73" s="4">
        <v>79</v>
      </c>
      <c r="AE73" s="4">
        <v>79</v>
      </c>
      <c r="AF73" s="4"/>
      <c r="AG73" s="4"/>
      <c r="AH73" s="4"/>
      <c r="AI73" s="4">
        <v>681</v>
      </c>
    </row>
    <row r="74" spans="1:35" x14ac:dyDescent="0.2">
      <c r="A74" s="2" t="s">
        <v>2252</v>
      </c>
      <c r="B74" s="4">
        <v>141</v>
      </c>
      <c r="C74" s="4"/>
      <c r="D74" s="4"/>
      <c r="E74" s="4">
        <v>141</v>
      </c>
      <c r="F74" s="4">
        <v>141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>
        <v>19</v>
      </c>
      <c r="R74" s="4"/>
      <c r="S74" s="4">
        <v>28</v>
      </c>
      <c r="T74" s="4">
        <v>47</v>
      </c>
      <c r="U74" s="4">
        <v>47</v>
      </c>
      <c r="V74" s="4"/>
      <c r="W74" s="4"/>
      <c r="X74" s="4">
        <v>51</v>
      </c>
      <c r="Y74" s="4">
        <v>51</v>
      </c>
      <c r="Z74" s="4">
        <v>51</v>
      </c>
      <c r="AA74" s="4">
        <v>18</v>
      </c>
      <c r="AB74" s="4"/>
      <c r="AC74" s="4"/>
      <c r="AD74" s="4">
        <v>18</v>
      </c>
      <c r="AE74" s="4">
        <v>18</v>
      </c>
      <c r="AF74" s="4"/>
      <c r="AG74" s="4"/>
      <c r="AH74" s="4"/>
      <c r="AI74" s="4">
        <v>257</v>
      </c>
    </row>
    <row r="75" spans="1:35" x14ac:dyDescent="0.2">
      <c r="A75" s="2" t="s">
        <v>2277</v>
      </c>
      <c r="B75" s="4">
        <v>60</v>
      </c>
      <c r="C75" s="4"/>
      <c r="D75" s="4"/>
      <c r="E75" s="4">
        <v>60</v>
      </c>
      <c r="F75" s="4">
        <v>60</v>
      </c>
      <c r="G75" s="4"/>
      <c r="H75" s="4">
        <v>39</v>
      </c>
      <c r="I75" s="4"/>
      <c r="J75" s="4">
        <v>39</v>
      </c>
      <c r="K75" s="4">
        <v>39</v>
      </c>
      <c r="L75" s="4">
        <v>73</v>
      </c>
      <c r="M75" s="4">
        <v>160</v>
      </c>
      <c r="N75" s="4"/>
      <c r="O75" s="4">
        <v>233</v>
      </c>
      <c r="P75" s="4">
        <v>233</v>
      </c>
      <c r="Q75" s="4"/>
      <c r="R75" s="4"/>
      <c r="S75" s="4"/>
      <c r="T75" s="4"/>
      <c r="U75" s="4"/>
      <c r="V75" s="4">
        <v>25</v>
      </c>
      <c r="W75" s="4">
        <v>27</v>
      </c>
      <c r="X75" s="4"/>
      <c r="Y75" s="4">
        <v>52</v>
      </c>
      <c r="Z75" s="4">
        <v>52</v>
      </c>
      <c r="AA75" s="4"/>
      <c r="AB75" s="4"/>
      <c r="AC75" s="4"/>
      <c r="AD75" s="4"/>
      <c r="AE75" s="4"/>
      <c r="AF75" s="4"/>
      <c r="AG75" s="4"/>
      <c r="AH75" s="4"/>
      <c r="AI75" s="4">
        <v>384</v>
      </c>
    </row>
    <row r="76" spans="1:35" x14ac:dyDescent="0.2">
      <c r="A76" s="2" t="s">
        <v>2278</v>
      </c>
      <c r="B76" s="4">
        <v>149</v>
      </c>
      <c r="C76" s="4">
        <v>63</v>
      </c>
      <c r="D76" s="4"/>
      <c r="E76" s="4">
        <v>212</v>
      </c>
      <c r="F76" s="4">
        <v>212</v>
      </c>
      <c r="G76" s="4"/>
      <c r="H76" s="4">
        <v>20</v>
      </c>
      <c r="I76" s="4"/>
      <c r="J76" s="4">
        <v>20</v>
      </c>
      <c r="K76" s="4">
        <v>20</v>
      </c>
      <c r="L76" s="4">
        <v>74</v>
      </c>
      <c r="M76" s="4">
        <v>67</v>
      </c>
      <c r="N76" s="4">
        <v>65</v>
      </c>
      <c r="O76" s="4">
        <v>206</v>
      </c>
      <c r="P76" s="4">
        <v>206</v>
      </c>
      <c r="Q76" s="4"/>
      <c r="R76" s="4"/>
      <c r="S76" s="4">
        <v>16</v>
      </c>
      <c r="T76" s="4">
        <v>16</v>
      </c>
      <c r="U76" s="4">
        <v>16</v>
      </c>
      <c r="V76" s="4">
        <v>27</v>
      </c>
      <c r="W76" s="4">
        <v>52</v>
      </c>
      <c r="X76" s="4"/>
      <c r="Y76" s="4">
        <v>79</v>
      </c>
      <c r="Z76" s="4">
        <v>79</v>
      </c>
      <c r="AA76" s="4">
        <v>35</v>
      </c>
      <c r="AB76" s="4"/>
      <c r="AC76" s="4"/>
      <c r="AD76" s="4">
        <v>35</v>
      </c>
      <c r="AE76" s="4">
        <v>35</v>
      </c>
      <c r="AF76" s="4"/>
      <c r="AG76" s="4"/>
      <c r="AH76" s="4"/>
      <c r="AI76" s="4">
        <v>568</v>
      </c>
    </row>
    <row r="77" spans="1:35" x14ac:dyDescent="0.2">
      <c r="A77" s="2" t="s">
        <v>2340</v>
      </c>
      <c r="B77" s="4"/>
      <c r="C77" s="4"/>
      <c r="D77" s="4">
        <v>71</v>
      </c>
      <c r="E77" s="4">
        <v>71</v>
      </c>
      <c r="F77" s="4">
        <v>71</v>
      </c>
      <c r="G77" s="4"/>
      <c r="H77" s="4"/>
      <c r="I77" s="4"/>
      <c r="J77" s="4"/>
      <c r="K77" s="4"/>
      <c r="L77" s="4"/>
      <c r="M77" s="4">
        <v>138</v>
      </c>
      <c r="N77" s="4"/>
      <c r="O77" s="4">
        <v>138</v>
      </c>
      <c r="P77" s="4">
        <v>138</v>
      </c>
      <c r="Q77" s="4"/>
      <c r="R77" s="4">
        <v>20</v>
      </c>
      <c r="S77" s="4">
        <v>41</v>
      </c>
      <c r="T77" s="4">
        <v>61</v>
      </c>
      <c r="U77" s="4">
        <v>61</v>
      </c>
      <c r="V77" s="4"/>
      <c r="W77" s="4">
        <v>35</v>
      </c>
      <c r="X77" s="4"/>
      <c r="Y77" s="4">
        <v>35</v>
      </c>
      <c r="Z77" s="4">
        <v>35</v>
      </c>
      <c r="AA77" s="4">
        <v>35</v>
      </c>
      <c r="AB77" s="4"/>
      <c r="AC77" s="4"/>
      <c r="AD77" s="4">
        <v>35</v>
      </c>
      <c r="AE77" s="4">
        <v>35</v>
      </c>
      <c r="AF77" s="4"/>
      <c r="AG77" s="4"/>
      <c r="AH77" s="4"/>
      <c r="AI77" s="4">
        <v>340</v>
      </c>
    </row>
    <row r="78" spans="1:35" x14ac:dyDescent="0.2">
      <c r="A78" s="2" t="s">
        <v>2370</v>
      </c>
      <c r="B78" s="4">
        <v>307</v>
      </c>
      <c r="C78" s="4">
        <v>37</v>
      </c>
      <c r="D78" s="4"/>
      <c r="E78" s="4">
        <v>344</v>
      </c>
      <c r="F78" s="4">
        <v>344</v>
      </c>
      <c r="G78" s="4"/>
      <c r="H78" s="4"/>
      <c r="I78" s="4">
        <v>31</v>
      </c>
      <c r="J78" s="4">
        <v>31</v>
      </c>
      <c r="K78" s="4">
        <v>31</v>
      </c>
      <c r="L78" s="4"/>
      <c r="M78" s="4">
        <v>65</v>
      </c>
      <c r="N78" s="4"/>
      <c r="O78" s="4">
        <v>65</v>
      </c>
      <c r="P78" s="4">
        <v>65</v>
      </c>
      <c r="Q78" s="4">
        <v>18</v>
      </c>
      <c r="R78" s="4"/>
      <c r="S78" s="4">
        <v>24</v>
      </c>
      <c r="T78" s="4">
        <v>42</v>
      </c>
      <c r="U78" s="4">
        <v>42</v>
      </c>
      <c r="V78" s="4">
        <v>27</v>
      </c>
      <c r="W78" s="4">
        <v>33</v>
      </c>
      <c r="X78" s="4"/>
      <c r="Y78" s="4">
        <v>60</v>
      </c>
      <c r="Z78" s="4">
        <v>60</v>
      </c>
      <c r="AA78" s="4">
        <v>30</v>
      </c>
      <c r="AB78" s="4">
        <v>31</v>
      </c>
      <c r="AC78" s="4">
        <v>33</v>
      </c>
      <c r="AD78" s="4">
        <v>94</v>
      </c>
      <c r="AE78" s="4">
        <v>94</v>
      </c>
      <c r="AF78" s="4"/>
      <c r="AG78" s="4"/>
      <c r="AH78" s="4"/>
      <c r="AI78" s="4">
        <v>636</v>
      </c>
    </row>
    <row r="79" spans="1:35" x14ac:dyDescent="0.2">
      <c r="A79" s="2" t="s">
        <v>2403</v>
      </c>
      <c r="B79" s="4"/>
      <c r="C79" s="4">
        <v>44</v>
      </c>
      <c r="D79" s="4">
        <v>77</v>
      </c>
      <c r="E79" s="4">
        <v>121</v>
      </c>
      <c r="F79" s="4">
        <v>121</v>
      </c>
      <c r="G79" s="4"/>
      <c r="H79" s="4">
        <v>27</v>
      </c>
      <c r="I79" s="4">
        <v>19</v>
      </c>
      <c r="J79" s="4">
        <v>46</v>
      </c>
      <c r="K79" s="4">
        <v>46</v>
      </c>
      <c r="L79" s="4"/>
      <c r="M79" s="4">
        <v>69</v>
      </c>
      <c r="N79" s="4">
        <v>57</v>
      </c>
      <c r="O79" s="4">
        <v>126</v>
      </c>
      <c r="P79" s="4">
        <v>126</v>
      </c>
      <c r="Q79" s="4"/>
      <c r="R79" s="4">
        <v>37</v>
      </c>
      <c r="S79" s="4">
        <v>99</v>
      </c>
      <c r="T79" s="4">
        <v>136</v>
      </c>
      <c r="U79" s="4">
        <v>136</v>
      </c>
      <c r="V79" s="4"/>
      <c r="W79" s="4">
        <v>26</v>
      </c>
      <c r="X79" s="4">
        <v>30</v>
      </c>
      <c r="Y79" s="4">
        <v>56</v>
      </c>
      <c r="Z79" s="4">
        <v>56</v>
      </c>
      <c r="AA79" s="4">
        <v>8</v>
      </c>
      <c r="AB79" s="4"/>
      <c r="AC79" s="4"/>
      <c r="AD79" s="4">
        <v>8</v>
      </c>
      <c r="AE79" s="4">
        <v>8</v>
      </c>
      <c r="AF79" s="4"/>
      <c r="AG79" s="4"/>
      <c r="AH79" s="4"/>
      <c r="AI79" s="4">
        <v>493</v>
      </c>
    </row>
    <row r="80" spans="1:35" x14ac:dyDescent="0.2">
      <c r="A80" s="2" t="s">
        <v>2395</v>
      </c>
      <c r="B80" s="4">
        <v>77</v>
      </c>
      <c r="C80" s="4"/>
      <c r="D80" s="4"/>
      <c r="E80" s="4">
        <v>77</v>
      </c>
      <c r="F80" s="4">
        <v>77</v>
      </c>
      <c r="G80" s="4"/>
      <c r="H80" s="4"/>
      <c r="I80" s="4"/>
      <c r="J80" s="4"/>
      <c r="K80" s="4"/>
      <c r="L80" s="4">
        <v>49</v>
      </c>
      <c r="M80" s="4">
        <v>124</v>
      </c>
      <c r="N80" s="4"/>
      <c r="O80" s="4">
        <v>173</v>
      </c>
      <c r="P80" s="4">
        <v>173</v>
      </c>
      <c r="Q80" s="4"/>
      <c r="R80" s="4"/>
      <c r="S80" s="4"/>
      <c r="T80" s="4"/>
      <c r="U80" s="4"/>
      <c r="V80" s="4"/>
      <c r="W80" s="4">
        <v>28</v>
      </c>
      <c r="X80" s="4"/>
      <c r="Y80" s="4">
        <v>28</v>
      </c>
      <c r="Z80" s="4">
        <v>28</v>
      </c>
      <c r="AA80" s="4">
        <v>45</v>
      </c>
      <c r="AB80" s="4"/>
      <c r="AC80" s="4"/>
      <c r="AD80" s="4">
        <v>45</v>
      </c>
      <c r="AE80" s="4">
        <v>45</v>
      </c>
      <c r="AF80" s="4"/>
      <c r="AG80" s="4"/>
      <c r="AH80" s="4"/>
      <c r="AI80" s="4">
        <v>323</v>
      </c>
    </row>
    <row r="81" spans="1:35" x14ac:dyDescent="0.2">
      <c r="A81" s="2" t="s">
        <v>2458</v>
      </c>
      <c r="B81" s="4">
        <v>223</v>
      </c>
      <c r="C81" s="4"/>
      <c r="D81" s="4">
        <v>52</v>
      </c>
      <c r="E81" s="4">
        <v>275</v>
      </c>
      <c r="F81" s="4">
        <v>275</v>
      </c>
      <c r="G81" s="4"/>
      <c r="H81" s="4">
        <v>29</v>
      </c>
      <c r="I81" s="4"/>
      <c r="J81" s="4">
        <v>29</v>
      </c>
      <c r="K81" s="4">
        <v>29</v>
      </c>
      <c r="L81" s="4">
        <v>119</v>
      </c>
      <c r="M81" s="4">
        <v>67</v>
      </c>
      <c r="N81" s="4">
        <v>35</v>
      </c>
      <c r="O81" s="4">
        <v>221</v>
      </c>
      <c r="P81" s="4">
        <v>221</v>
      </c>
      <c r="Q81" s="4"/>
      <c r="R81" s="4"/>
      <c r="S81" s="4"/>
      <c r="T81" s="4"/>
      <c r="U81" s="4"/>
      <c r="V81" s="4">
        <v>25</v>
      </c>
      <c r="W81" s="4"/>
      <c r="X81" s="4"/>
      <c r="Y81" s="4">
        <v>25</v>
      </c>
      <c r="Z81" s="4">
        <v>25</v>
      </c>
      <c r="AA81" s="4"/>
      <c r="AB81" s="4">
        <v>19</v>
      </c>
      <c r="AC81" s="4">
        <v>17</v>
      </c>
      <c r="AD81" s="4">
        <v>36</v>
      </c>
      <c r="AE81" s="4">
        <v>36</v>
      </c>
      <c r="AF81" s="4"/>
      <c r="AG81" s="4"/>
      <c r="AH81" s="4"/>
      <c r="AI81" s="4">
        <v>586</v>
      </c>
    </row>
    <row r="82" spans="1:35" x14ac:dyDescent="0.2">
      <c r="A82" s="2" t="s">
        <v>1058</v>
      </c>
      <c r="B82" s="4">
        <v>6962</v>
      </c>
      <c r="C82" s="4">
        <v>1246</v>
      </c>
      <c r="D82" s="4">
        <v>1538</v>
      </c>
      <c r="E82" s="4">
        <v>9746</v>
      </c>
      <c r="F82" s="4">
        <v>9746</v>
      </c>
      <c r="G82" s="4">
        <v>388</v>
      </c>
      <c r="H82" s="4">
        <v>655</v>
      </c>
      <c r="I82" s="4">
        <v>196</v>
      </c>
      <c r="J82" s="4">
        <v>1239</v>
      </c>
      <c r="K82" s="4">
        <v>1239</v>
      </c>
      <c r="L82" s="4">
        <v>2812</v>
      </c>
      <c r="M82" s="4">
        <v>4777</v>
      </c>
      <c r="N82" s="4">
        <v>914</v>
      </c>
      <c r="O82" s="4">
        <v>8503</v>
      </c>
      <c r="P82" s="4">
        <v>8503</v>
      </c>
      <c r="Q82" s="4">
        <v>326</v>
      </c>
      <c r="R82" s="4">
        <v>312</v>
      </c>
      <c r="S82" s="4">
        <v>1318</v>
      </c>
      <c r="T82" s="4">
        <v>1956</v>
      </c>
      <c r="U82" s="4">
        <v>1956</v>
      </c>
      <c r="V82" s="4">
        <v>921</v>
      </c>
      <c r="W82" s="4">
        <v>1605</v>
      </c>
      <c r="X82" s="4">
        <v>488</v>
      </c>
      <c r="Y82" s="4">
        <v>3014</v>
      </c>
      <c r="Z82" s="4">
        <v>3014</v>
      </c>
      <c r="AA82" s="4">
        <v>1093</v>
      </c>
      <c r="AB82" s="4">
        <v>382</v>
      </c>
      <c r="AC82" s="4">
        <v>469</v>
      </c>
      <c r="AD82" s="4">
        <v>1944</v>
      </c>
      <c r="AE82" s="4">
        <v>1944</v>
      </c>
      <c r="AF82" s="4"/>
      <c r="AG82" s="4"/>
      <c r="AH82" s="4"/>
      <c r="AI82" s="4">
        <v>26402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07F3-8059-514D-87AB-3A9A1F46D71B}">
  <dimension ref="A3:AO87"/>
  <sheetViews>
    <sheetView workbookViewId="0">
      <pane ySplit="5" topLeftCell="A51" activePane="bottomLeft" state="frozen"/>
      <selection pane="bottomLeft" activeCell="J51" sqref="J51"/>
    </sheetView>
  </sheetViews>
  <sheetFormatPr baseColWidth="10" defaultRowHeight="16" x14ac:dyDescent="0.2"/>
  <cols>
    <col min="1" max="1" width="35.33203125" bestFit="1" customWidth="1"/>
    <col min="2" max="2" width="16" bestFit="1" customWidth="1"/>
    <col min="3" max="3" width="6.1640625" bestFit="1" customWidth="1"/>
    <col min="4" max="5" width="5.1640625" bestFit="1" customWidth="1"/>
    <col min="6" max="6" width="9" hidden="1" customWidth="1"/>
    <col min="7" max="7" width="11.6640625" hidden="1" customWidth="1"/>
    <col min="8" max="8" width="9.33203125" bestFit="1" customWidth="1"/>
    <col min="9" max="11" width="5.1640625" bestFit="1" customWidth="1"/>
    <col min="12" max="12" width="11.1640625" hidden="1" customWidth="1"/>
    <col min="13" max="13" width="11.6640625" hidden="1" customWidth="1"/>
    <col min="14" max="14" width="9.5" bestFit="1" customWidth="1"/>
    <col min="15" max="16" width="6.1640625" bestFit="1" customWidth="1"/>
    <col min="17" max="17" width="5.1640625" bestFit="1" customWidth="1"/>
    <col min="18" max="18" width="11.83203125" hidden="1" customWidth="1"/>
    <col min="19" max="19" width="11.6640625" hidden="1" customWidth="1"/>
    <col min="20" max="20" width="9.5" bestFit="1" customWidth="1"/>
    <col min="21" max="23" width="5.1640625" bestFit="1" customWidth="1"/>
    <col min="24" max="24" width="11.83203125" hidden="1" customWidth="1"/>
    <col min="25" max="25" width="11.6640625" hidden="1" customWidth="1"/>
    <col min="26" max="26" width="9.33203125" bestFit="1" customWidth="1"/>
    <col min="27" max="29" width="5.1640625" bestFit="1" customWidth="1"/>
    <col min="30" max="30" width="10.6640625" hidden="1" customWidth="1"/>
    <col min="31" max="31" width="11.6640625" hidden="1" customWidth="1"/>
    <col min="32" max="32" width="11.6640625" bestFit="1" customWidth="1"/>
    <col min="33" max="35" width="5.1640625" bestFit="1" customWidth="1"/>
    <col min="36" max="36" width="14" hidden="1" customWidth="1"/>
    <col min="37" max="37" width="11.6640625" hidden="1" customWidth="1"/>
    <col min="38" max="38" width="9" hidden="1" customWidth="1"/>
    <col min="39" max="40" width="11.33203125" hidden="1" customWidth="1"/>
    <col min="41" max="41" width="10.5" hidden="1" customWidth="1"/>
  </cols>
  <sheetData>
    <row r="3" spans="1:41" x14ac:dyDescent="0.2">
      <c r="A3" s="1" t="s">
        <v>1074</v>
      </c>
      <c r="B3" s="1" t="s">
        <v>1059</v>
      </c>
    </row>
    <row r="4" spans="1:41" x14ac:dyDescent="0.2">
      <c r="B4" t="s">
        <v>122</v>
      </c>
      <c r="G4" t="s">
        <v>1061</v>
      </c>
      <c r="H4" t="s">
        <v>125</v>
      </c>
      <c r="M4" t="s">
        <v>1062</v>
      </c>
      <c r="N4" t="s">
        <v>127</v>
      </c>
      <c r="S4" t="s">
        <v>1063</v>
      </c>
      <c r="T4" t="s">
        <v>129</v>
      </c>
      <c r="Y4" t="s">
        <v>1064</v>
      </c>
      <c r="Z4" t="s">
        <v>131</v>
      </c>
      <c r="AE4" t="s">
        <v>1065</v>
      </c>
      <c r="AF4" t="s">
        <v>133</v>
      </c>
      <c r="AK4" t="s">
        <v>1066</v>
      </c>
      <c r="AL4" t="s">
        <v>1057</v>
      </c>
      <c r="AN4" t="s">
        <v>1067</v>
      </c>
      <c r="AO4" t="s">
        <v>1058</v>
      </c>
    </row>
    <row r="5" spans="1:41" x14ac:dyDescent="0.2">
      <c r="B5" t="s">
        <v>123</v>
      </c>
      <c r="F5" t="s">
        <v>1072</v>
      </c>
      <c r="H5" t="s">
        <v>126</v>
      </c>
      <c r="L5" t="s">
        <v>1070</v>
      </c>
      <c r="N5" t="s">
        <v>128</v>
      </c>
      <c r="R5" t="s">
        <v>1073</v>
      </c>
      <c r="T5" t="s">
        <v>130</v>
      </c>
      <c r="X5" t="s">
        <v>1069</v>
      </c>
      <c r="Z5" t="s">
        <v>132</v>
      </c>
      <c r="AD5" t="s">
        <v>1068</v>
      </c>
      <c r="AF5" t="s">
        <v>134</v>
      </c>
      <c r="AJ5" t="s">
        <v>1071</v>
      </c>
      <c r="AL5" t="s">
        <v>1057</v>
      </c>
      <c r="AM5" t="s">
        <v>1067</v>
      </c>
    </row>
    <row r="6" spans="1:41" x14ac:dyDescent="0.2">
      <c r="A6" s="1" t="s">
        <v>1056</v>
      </c>
      <c r="B6" t="s">
        <v>35</v>
      </c>
      <c r="C6" t="s">
        <v>112</v>
      </c>
      <c r="D6" t="s">
        <v>114</v>
      </c>
      <c r="E6" t="s">
        <v>116</v>
      </c>
      <c r="H6" t="s">
        <v>35</v>
      </c>
      <c r="I6" t="s">
        <v>112</v>
      </c>
      <c r="J6" t="s">
        <v>114</v>
      </c>
      <c r="K6" t="s">
        <v>116</v>
      </c>
      <c r="N6" t="s">
        <v>35</v>
      </c>
      <c r="O6" t="s">
        <v>112</v>
      </c>
      <c r="P6" t="s">
        <v>114</v>
      </c>
      <c r="Q6" t="s">
        <v>116</v>
      </c>
      <c r="T6" t="s">
        <v>35</v>
      </c>
      <c r="U6" t="s">
        <v>112</v>
      </c>
      <c r="V6" t="s">
        <v>114</v>
      </c>
      <c r="W6" t="s">
        <v>116</v>
      </c>
      <c r="Z6" t="s">
        <v>35</v>
      </c>
      <c r="AA6" t="s">
        <v>112</v>
      </c>
      <c r="AB6" t="s">
        <v>114</v>
      </c>
      <c r="AC6" t="s">
        <v>116</v>
      </c>
      <c r="AF6" t="s">
        <v>35</v>
      </c>
      <c r="AG6" t="s">
        <v>112</v>
      </c>
      <c r="AH6" t="s">
        <v>114</v>
      </c>
      <c r="AI6" t="s">
        <v>116</v>
      </c>
      <c r="AL6" t="s">
        <v>1057</v>
      </c>
    </row>
    <row r="7" spans="1:41" x14ac:dyDescent="0.2">
      <c r="A7" s="2" t="s">
        <v>28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/>
      <c r="AM7" s="4"/>
      <c r="AN7" s="4"/>
      <c r="AO7" s="4">
        <v>0</v>
      </c>
    </row>
    <row r="8" spans="1:41" x14ac:dyDescent="0.2">
      <c r="A8" s="2" t="s">
        <v>33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/>
      <c r="AM8" s="4"/>
      <c r="AN8" s="4"/>
      <c r="AO8" s="4">
        <v>0</v>
      </c>
    </row>
    <row r="9" spans="1:41" x14ac:dyDescent="0.2">
      <c r="A9" s="2" t="s">
        <v>36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/>
      <c r="AM9" s="4"/>
      <c r="AN9" s="4"/>
      <c r="AO9" s="4">
        <v>0</v>
      </c>
    </row>
    <row r="10" spans="1:41" x14ac:dyDescent="0.2">
      <c r="A10" s="2" t="s">
        <v>39</v>
      </c>
      <c r="B10" s="4">
        <v>1161</v>
      </c>
      <c r="C10" s="4">
        <v>0</v>
      </c>
      <c r="D10" s="4">
        <v>0</v>
      </c>
      <c r="E10" s="4">
        <v>0</v>
      </c>
      <c r="F10" s="4">
        <v>1161</v>
      </c>
      <c r="G10" s="4">
        <v>1161</v>
      </c>
      <c r="H10" s="4">
        <v>452</v>
      </c>
      <c r="I10" s="4">
        <v>0</v>
      </c>
      <c r="J10" s="4">
        <v>0</v>
      </c>
      <c r="K10" s="4">
        <v>0</v>
      </c>
      <c r="L10" s="4">
        <v>452</v>
      </c>
      <c r="M10" s="4">
        <v>452</v>
      </c>
      <c r="N10" s="4">
        <v>1023</v>
      </c>
      <c r="O10" s="4">
        <v>0</v>
      </c>
      <c r="P10" s="4">
        <v>0</v>
      </c>
      <c r="Q10" s="4">
        <v>0</v>
      </c>
      <c r="R10" s="4">
        <v>1023</v>
      </c>
      <c r="S10" s="4">
        <v>1023</v>
      </c>
      <c r="T10" s="4">
        <v>391</v>
      </c>
      <c r="U10" s="4">
        <v>0</v>
      </c>
      <c r="V10" s="4">
        <v>0</v>
      </c>
      <c r="W10" s="4">
        <v>0</v>
      </c>
      <c r="X10" s="4">
        <v>391</v>
      </c>
      <c r="Y10" s="4">
        <v>391</v>
      </c>
      <c r="Z10" s="4">
        <v>497</v>
      </c>
      <c r="AA10" s="4">
        <v>0</v>
      </c>
      <c r="AB10" s="4">
        <v>0</v>
      </c>
      <c r="AC10" s="4">
        <v>0</v>
      </c>
      <c r="AD10" s="4">
        <v>497</v>
      </c>
      <c r="AE10" s="4">
        <v>497</v>
      </c>
      <c r="AF10" s="4">
        <v>386</v>
      </c>
      <c r="AG10" s="4">
        <v>0</v>
      </c>
      <c r="AH10" s="4">
        <v>0</v>
      </c>
      <c r="AI10" s="4">
        <v>0</v>
      </c>
      <c r="AJ10" s="4">
        <v>386</v>
      </c>
      <c r="AK10" s="4">
        <v>386</v>
      </c>
      <c r="AL10" s="4"/>
      <c r="AM10" s="4"/>
      <c r="AN10" s="4"/>
      <c r="AO10" s="4">
        <v>3910</v>
      </c>
    </row>
    <row r="11" spans="1:41" x14ac:dyDescent="0.2">
      <c r="A11" s="2" t="s">
        <v>42</v>
      </c>
      <c r="B11" s="4">
        <v>806</v>
      </c>
      <c r="C11" s="4">
        <v>230</v>
      </c>
      <c r="D11" s="4">
        <v>60</v>
      </c>
      <c r="E11" s="4">
        <v>65</v>
      </c>
      <c r="F11" s="4">
        <v>1161</v>
      </c>
      <c r="G11" s="4">
        <v>1161</v>
      </c>
      <c r="H11" s="4">
        <v>312</v>
      </c>
      <c r="I11" s="4">
        <v>60</v>
      </c>
      <c r="J11" s="4">
        <v>60</v>
      </c>
      <c r="K11" s="4">
        <v>20</v>
      </c>
      <c r="L11" s="4">
        <v>452</v>
      </c>
      <c r="M11" s="4">
        <v>452</v>
      </c>
      <c r="N11" s="4">
        <v>713</v>
      </c>
      <c r="O11" s="4">
        <v>115</v>
      </c>
      <c r="P11" s="4">
        <v>110</v>
      </c>
      <c r="Q11" s="4">
        <v>85</v>
      </c>
      <c r="R11" s="4">
        <v>1023</v>
      </c>
      <c r="S11" s="4">
        <v>1023</v>
      </c>
      <c r="T11" s="4">
        <v>256</v>
      </c>
      <c r="U11" s="4">
        <v>35</v>
      </c>
      <c r="V11" s="4">
        <v>15</v>
      </c>
      <c r="W11" s="4">
        <v>85</v>
      </c>
      <c r="X11" s="4">
        <v>391</v>
      </c>
      <c r="Y11" s="4">
        <v>391</v>
      </c>
      <c r="Z11" s="4">
        <v>337</v>
      </c>
      <c r="AA11" s="4">
        <v>60</v>
      </c>
      <c r="AB11" s="4">
        <v>70</v>
      </c>
      <c r="AC11" s="4">
        <v>30</v>
      </c>
      <c r="AD11" s="4">
        <v>497</v>
      </c>
      <c r="AE11" s="4">
        <v>497</v>
      </c>
      <c r="AF11" s="4">
        <v>261</v>
      </c>
      <c r="AG11" s="4">
        <v>70</v>
      </c>
      <c r="AH11" s="4">
        <v>25</v>
      </c>
      <c r="AI11" s="4">
        <v>30</v>
      </c>
      <c r="AJ11" s="4">
        <v>386</v>
      </c>
      <c r="AK11" s="4">
        <v>386</v>
      </c>
      <c r="AL11" s="4"/>
      <c r="AM11" s="4"/>
      <c r="AN11" s="4"/>
      <c r="AO11" s="4">
        <v>3910</v>
      </c>
    </row>
    <row r="12" spans="1:41" x14ac:dyDescent="0.2">
      <c r="A12" s="2" t="s">
        <v>45</v>
      </c>
      <c r="B12" s="4">
        <v>806</v>
      </c>
      <c r="C12" s="4">
        <v>149</v>
      </c>
      <c r="D12" s="4">
        <v>0</v>
      </c>
      <c r="E12" s="4">
        <v>65</v>
      </c>
      <c r="F12" s="4">
        <v>1020</v>
      </c>
      <c r="G12" s="4">
        <v>1020</v>
      </c>
      <c r="H12" s="4">
        <v>312</v>
      </c>
      <c r="I12" s="4">
        <v>60</v>
      </c>
      <c r="J12" s="4">
        <v>60</v>
      </c>
      <c r="K12" s="4">
        <v>20</v>
      </c>
      <c r="L12" s="4">
        <v>452</v>
      </c>
      <c r="M12" s="4">
        <v>452</v>
      </c>
      <c r="N12" s="4">
        <v>713</v>
      </c>
      <c r="O12" s="4">
        <v>115</v>
      </c>
      <c r="P12" s="4">
        <v>44</v>
      </c>
      <c r="Q12" s="4">
        <v>85</v>
      </c>
      <c r="R12" s="4">
        <v>957</v>
      </c>
      <c r="S12" s="4">
        <v>957</v>
      </c>
      <c r="T12" s="4">
        <v>256</v>
      </c>
      <c r="U12" s="4">
        <v>35</v>
      </c>
      <c r="V12" s="4">
        <v>15</v>
      </c>
      <c r="W12" s="4">
        <v>70</v>
      </c>
      <c r="X12" s="4">
        <v>376</v>
      </c>
      <c r="Y12" s="4">
        <v>376</v>
      </c>
      <c r="Z12" s="4">
        <v>337</v>
      </c>
      <c r="AA12" s="4">
        <v>60</v>
      </c>
      <c r="AB12" s="4">
        <v>70</v>
      </c>
      <c r="AC12" s="4">
        <v>30</v>
      </c>
      <c r="AD12" s="4">
        <v>497</v>
      </c>
      <c r="AE12" s="4">
        <v>497</v>
      </c>
      <c r="AF12" s="4">
        <v>261</v>
      </c>
      <c r="AG12" s="4">
        <v>70</v>
      </c>
      <c r="AH12" s="4">
        <v>25</v>
      </c>
      <c r="AI12" s="4">
        <v>30</v>
      </c>
      <c r="AJ12" s="4">
        <v>386</v>
      </c>
      <c r="AK12" s="4">
        <v>386</v>
      </c>
      <c r="AL12" s="4"/>
      <c r="AM12" s="4"/>
      <c r="AN12" s="4"/>
      <c r="AO12" s="4">
        <v>3688</v>
      </c>
    </row>
    <row r="13" spans="1:41" x14ac:dyDescent="0.2">
      <c r="A13" s="2" t="s">
        <v>48</v>
      </c>
      <c r="B13" s="4">
        <v>666</v>
      </c>
      <c r="C13" s="4">
        <v>157</v>
      </c>
      <c r="D13" s="4">
        <v>60</v>
      </c>
      <c r="E13" s="4">
        <v>65</v>
      </c>
      <c r="F13" s="4">
        <v>948</v>
      </c>
      <c r="G13" s="4">
        <v>948</v>
      </c>
      <c r="H13" s="4">
        <v>313</v>
      </c>
      <c r="I13" s="4">
        <v>60</v>
      </c>
      <c r="J13" s="4">
        <v>60</v>
      </c>
      <c r="K13" s="4">
        <v>20</v>
      </c>
      <c r="L13" s="4">
        <v>453</v>
      </c>
      <c r="M13" s="4">
        <v>453</v>
      </c>
      <c r="N13" s="4">
        <v>648</v>
      </c>
      <c r="O13" s="4">
        <v>71</v>
      </c>
      <c r="P13" s="4">
        <v>66</v>
      </c>
      <c r="Q13" s="4">
        <v>85</v>
      </c>
      <c r="R13" s="4">
        <v>870</v>
      </c>
      <c r="S13" s="4">
        <v>870</v>
      </c>
      <c r="T13" s="4">
        <v>242</v>
      </c>
      <c r="U13" s="4">
        <v>35</v>
      </c>
      <c r="V13" s="4">
        <v>0</v>
      </c>
      <c r="W13" s="4">
        <v>79</v>
      </c>
      <c r="X13" s="4">
        <v>356</v>
      </c>
      <c r="Y13" s="4">
        <v>356</v>
      </c>
      <c r="Z13" s="4">
        <v>338</v>
      </c>
      <c r="AA13" s="4">
        <v>60</v>
      </c>
      <c r="AB13" s="4">
        <v>70</v>
      </c>
      <c r="AC13" s="4">
        <v>30</v>
      </c>
      <c r="AD13" s="4">
        <v>498</v>
      </c>
      <c r="AE13" s="4">
        <v>498</v>
      </c>
      <c r="AF13" s="4">
        <v>262</v>
      </c>
      <c r="AG13" s="4">
        <v>70</v>
      </c>
      <c r="AH13" s="4">
        <v>25</v>
      </c>
      <c r="AI13" s="4">
        <v>30</v>
      </c>
      <c r="AJ13" s="4">
        <v>387</v>
      </c>
      <c r="AK13" s="4">
        <v>387</v>
      </c>
      <c r="AL13" s="4"/>
      <c r="AM13" s="4"/>
      <c r="AN13" s="4"/>
      <c r="AO13" s="4">
        <v>3512</v>
      </c>
    </row>
    <row r="14" spans="1:41" x14ac:dyDescent="0.2">
      <c r="A14" s="2" t="s">
        <v>51</v>
      </c>
      <c r="B14" s="4">
        <v>734</v>
      </c>
      <c r="C14" s="4">
        <v>176</v>
      </c>
      <c r="D14" s="4">
        <v>60</v>
      </c>
      <c r="E14" s="4">
        <v>65</v>
      </c>
      <c r="F14" s="4">
        <v>1035</v>
      </c>
      <c r="G14" s="4">
        <v>1035</v>
      </c>
      <c r="H14" s="4">
        <v>313</v>
      </c>
      <c r="I14" s="4">
        <v>40</v>
      </c>
      <c r="J14" s="4">
        <v>60</v>
      </c>
      <c r="K14" s="4">
        <v>20</v>
      </c>
      <c r="L14" s="4">
        <v>433</v>
      </c>
      <c r="M14" s="4">
        <v>433</v>
      </c>
      <c r="N14" s="4">
        <v>626</v>
      </c>
      <c r="O14" s="4">
        <v>44</v>
      </c>
      <c r="P14" s="4">
        <v>45</v>
      </c>
      <c r="Q14" s="4">
        <v>85</v>
      </c>
      <c r="R14" s="4">
        <v>800</v>
      </c>
      <c r="S14" s="4">
        <v>800</v>
      </c>
      <c r="T14" s="4">
        <v>236</v>
      </c>
      <c r="U14" s="4">
        <v>35</v>
      </c>
      <c r="V14" s="4">
        <v>15</v>
      </c>
      <c r="W14" s="4">
        <v>68</v>
      </c>
      <c r="X14" s="4">
        <v>354</v>
      </c>
      <c r="Y14" s="4">
        <v>354</v>
      </c>
      <c r="Z14" s="4">
        <v>338</v>
      </c>
      <c r="AA14" s="4">
        <v>60</v>
      </c>
      <c r="AB14" s="4">
        <v>70</v>
      </c>
      <c r="AC14" s="4">
        <v>30</v>
      </c>
      <c r="AD14" s="4">
        <v>498</v>
      </c>
      <c r="AE14" s="4">
        <v>498</v>
      </c>
      <c r="AF14" s="4">
        <v>262</v>
      </c>
      <c r="AG14" s="4">
        <v>70</v>
      </c>
      <c r="AH14" s="4">
        <v>25</v>
      </c>
      <c r="AI14" s="4">
        <v>30</v>
      </c>
      <c r="AJ14" s="4">
        <v>387</v>
      </c>
      <c r="AK14" s="4">
        <v>387</v>
      </c>
      <c r="AL14" s="4"/>
      <c r="AM14" s="4"/>
      <c r="AN14" s="4"/>
      <c r="AO14" s="4">
        <v>3507</v>
      </c>
    </row>
    <row r="15" spans="1:41" x14ac:dyDescent="0.2">
      <c r="A15" s="2" t="s">
        <v>54</v>
      </c>
      <c r="B15" s="4">
        <v>680</v>
      </c>
      <c r="C15" s="4">
        <v>54</v>
      </c>
      <c r="D15" s="4">
        <v>0</v>
      </c>
      <c r="E15" s="4">
        <v>65</v>
      </c>
      <c r="F15" s="4">
        <v>799</v>
      </c>
      <c r="G15" s="4">
        <v>799</v>
      </c>
      <c r="H15" s="4">
        <v>293</v>
      </c>
      <c r="I15" s="4">
        <v>60</v>
      </c>
      <c r="J15" s="4">
        <v>60</v>
      </c>
      <c r="K15" s="4">
        <v>20</v>
      </c>
      <c r="L15" s="4">
        <v>433</v>
      </c>
      <c r="M15" s="4">
        <v>433</v>
      </c>
      <c r="N15" s="4">
        <v>490</v>
      </c>
      <c r="O15" s="4">
        <v>71</v>
      </c>
      <c r="P15" s="4">
        <v>110</v>
      </c>
      <c r="Q15" s="4">
        <v>41</v>
      </c>
      <c r="R15" s="4">
        <v>712</v>
      </c>
      <c r="S15" s="4">
        <v>712</v>
      </c>
      <c r="T15" s="4">
        <v>219</v>
      </c>
      <c r="U15" s="4">
        <v>35</v>
      </c>
      <c r="V15" s="4">
        <v>15</v>
      </c>
      <c r="W15" s="4">
        <v>49</v>
      </c>
      <c r="X15" s="4">
        <v>318</v>
      </c>
      <c r="Y15" s="4">
        <v>318</v>
      </c>
      <c r="Z15" s="4">
        <v>338</v>
      </c>
      <c r="AA15" s="4">
        <v>60</v>
      </c>
      <c r="AB15" s="4">
        <v>70</v>
      </c>
      <c r="AC15" s="4">
        <v>30</v>
      </c>
      <c r="AD15" s="4">
        <v>498</v>
      </c>
      <c r="AE15" s="4">
        <v>498</v>
      </c>
      <c r="AF15" s="4">
        <v>262</v>
      </c>
      <c r="AG15" s="4">
        <v>70</v>
      </c>
      <c r="AH15" s="4">
        <v>25</v>
      </c>
      <c r="AI15" s="4">
        <v>30</v>
      </c>
      <c r="AJ15" s="4">
        <v>387</v>
      </c>
      <c r="AK15" s="4">
        <v>387</v>
      </c>
      <c r="AL15" s="4"/>
      <c r="AM15" s="4"/>
      <c r="AN15" s="4"/>
      <c r="AO15" s="4">
        <v>3147</v>
      </c>
    </row>
    <row r="16" spans="1:41" x14ac:dyDescent="0.2">
      <c r="A16" s="2" t="s">
        <v>57</v>
      </c>
      <c r="B16" s="4">
        <v>444</v>
      </c>
      <c r="C16" s="4">
        <v>176</v>
      </c>
      <c r="D16" s="4">
        <v>60</v>
      </c>
      <c r="E16" s="4">
        <v>65</v>
      </c>
      <c r="F16" s="4">
        <v>745</v>
      </c>
      <c r="G16" s="4">
        <v>745</v>
      </c>
      <c r="H16" s="4">
        <v>293</v>
      </c>
      <c r="I16" s="4">
        <v>60</v>
      </c>
      <c r="J16" s="4">
        <v>60</v>
      </c>
      <c r="K16" s="4">
        <v>20</v>
      </c>
      <c r="L16" s="4">
        <v>433</v>
      </c>
      <c r="M16" s="4">
        <v>433</v>
      </c>
      <c r="N16" s="4">
        <v>402</v>
      </c>
      <c r="O16" s="4">
        <v>58</v>
      </c>
      <c r="P16" s="4">
        <v>0</v>
      </c>
      <c r="Q16" s="4">
        <v>85</v>
      </c>
      <c r="R16" s="4">
        <v>545</v>
      </c>
      <c r="S16" s="4">
        <v>545</v>
      </c>
      <c r="T16" s="4">
        <v>183</v>
      </c>
      <c r="U16" s="4">
        <v>35</v>
      </c>
      <c r="V16" s="4">
        <v>15</v>
      </c>
      <c r="W16" s="4">
        <v>62</v>
      </c>
      <c r="X16" s="4">
        <v>295</v>
      </c>
      <c r="Y16" s="4">
        <v>295</v>
      </c>
      <c r="Z16" s="4">
        <v>338</v>
      </c>
      <c r="AA16" s="4">
        <v>34</v>
      </c>
      <c r="AB16" s="4">
        <v>39</v>
      </c>
      <c r="AC16" s="4">
        <v>30</v>
      </c>
      <c r="AD16" s="4">
        <v>441</v>
      </c>
      <c r="AE16" s="4">
        <v>441</v>
      </c>
      <c r="AF16" s="4">
        <v>262</v>
      </c>
      <c r="AG16" s="4">
        <v>70</v>
      </c>
      <c r="AH16" s="4">
        <v>25</v>
      </c>
      <c r="AI16" s="4">
        <v>30</v>
      </c>
      <c r="AJ16" s="4">
        <v>387</v>
      </c>
      <c r="AK16" s="4">
        <v>387</v>
      </c>
      <c r="AL16" s="4"/>
      <c r="AM16" s="4"/>
      <c r="AN16" s="4"/>
      <c r="AO16" s="4">
        <v>2846</v>
      </c>
    </row>
    <row r="17" spans="1:41" x14ac:dyDescent="0.2">
      <c r="A17" s="2" t="s">
        <v>59</v>
      </c>
      <c r="B17" s="4">
        <v>390</v>
      </c>
      <c r="C17" s="4">
        <v>230</v>
      </c>
      <c r="D17" s="4">
        <v>60</v>
      </c>
      <c r="E17" s="4">
        <v>65</v>
      </c>
      <c r="F17" s="4">
        <v>745</v>
      </c>
      <c r="G17" s="4">
        <v>745</v>
      </c>
      <c r="H17" s="4">
        <v>293</v>
      </c>
      <c r="I17" s="4">
        <v>41</v>
      </c>
      <c r="J17" s="4">
        <v>60</v>
      </c>
      <c r="K17" s="4">
        <v>20</v>
      </c>
      <c r="L17" s="4">
        <v>414</v>
      </c>
      <c r="M17" s="4">
        <v>414</v>
      </c>
      <c r="N17" s="4">
        <v>235</v>
      </c>
      <c r="O17" s="4">
        <v>115</v>
      </c>
      <c r="P17" s="4">
        <v>110</v>
      </c>
      <c r="Q17" s="4">
        <v>85</v>
      </c>
      <c r="R17" s="4">
        <v>545</v>
      </c>
      <c r="S17" s="4">
        <v>545</v>
      </c>
      <c r="T17" s="4">
        <v>160</v>
      </c>
      <c r="U17" s="4">
        <v>35</v>
      </c>
      <c r="V17" s="4">
        <v>15</v>
      </c>
      <c r="W17" s="4">
        <v>85</v>
      </c>
      <c r="X17" s="4">
        <v>295</v>
      </c>
      <c r="Y17" s="4">
        <v>295</v>
      </c>
      <c r="Z17" s="4">
        <v>281</v>
      </c>
      <c r="AA17" s="4">
        <v>54</v>
      </c>
      <c r="AB17" s="4">
        <v>70</v>
      </c>
      <c r="AC17" s="4">
        <v>30</v>
      </c>
      <c r="AD17" s="4">
        <v>435</v>
      </c>
      <c r="AE17" s="4">
        <v>435</v>
      </c>
      <c r="AF17" s="4">
        <v>262</v>
      </c>
      <c r="AG17" s="4">
        <v>70</v>
      </c>
      <c r="AH17" s="4">
        <v>25</v>
      </c>
      <c r="AI17" s="4">
        <v>30</v>
      </c>
      <c r="AJ17" s="4">
        <v>387</v>
      </c>
      <c r="AK17" s="4">
        <v>387</v>
      </c>
      <c r="AL17" s="4"/>
      <c r="AM17" s="4"/>
      <c r="AN17" s="4"/>
      <c r="AO17" s="4">
        <v>2821</v>
      </c>
    </row>
    <row r="18" spans="1:41" x14ac:dyDescent="0.2">
      <c r="A18" s="2" t="s">
        <v>61</v>
      </c>
      <c r="B18" s="4">
        <v>350</v>
      </c>
      <c r="C18" s="4">
        <v>88</v>
      </c>
      <c r="D18" s="4">
        <v>43</v>
      </c>
      <c r="E18" s="4">
        <v>14</v>
      </c>
      <c r="F18" s="4">
        <v>495</v>
      </c>
      <c r="G18" s="4">
        <v>495</v>
      </c>
      <c r="H18" s="4">
        <v>264</v>
      </c>
      <c r="I18" s="4">
        <v>50</v>
      </c>
      <c r="J18" s="4">
        <v>60</v>
      </c>
      <c r="K18" s="4">
        <v>40</v>
      </c>
      <c r="L18" s="4">
        <v>414</v>
      </c>
      <c r="M18" s="4">
        <v>414</v>
      </c>
      <c r="N18" s="4">
        <v>190</v>
      </c>
      <c r="O18" s="4">
        <v>120</v>
      </c>
      <c r="P18" s="4">
        <v>150</v>
      </c>
      <c r="Q18" s="4">
        <v>85</v>
      </c>
      <c r="R18" s="4">
        <v>545</v>
      </c>
      <c r="S18" s="4">
        <v>545</v>
      </c>
      <c r="T18" s="4">
        <v>115</v>
      </c>
      <c r="U18" s="4">
        <v>40</v>
      </c>
      <c r="V18" s="4">
        <v>40</v>
      </c>
      <c r="W18" s="4">
        <v>100</v>
      </c>
      <c r="X18" s="4">
        <v>295</v>
      </c>
      <c r="Y18" s="4">
        <v>295</v>
      </c>
      <c r="Z18" s="4">
        <v>265</v>
      </c>
      <c r="AA18" s="4">
        <v>38</v>
      </c>
      <c r="AB18" s="4">
        <v>70</v>
      </c>
      <c r="AC18" s="4">
        <v>40</v>
      </c>
      <c r="AD18" s="4">
        <v>413</v>
      </c>
      <c r="AE18" s="4">
        <v>413</v>
      </c>
      <c r="AF18" s="4">
        <v>237</v>
      </c>
      <c r="AG18" s="4">
        <v>70</v>
      </c>
      <c r="AH18" s="4">
        <v>40</v>
      </c>
      <c r="AI18" s="4">
        <v>40</v>
      </c>
      <c r="AJ18" s="4">
        <v>387</v>
      </c>
      <c r="AK18" s="4">
        <v>387</v>
      </c>
      <c r="AL18" s="4"/>
      <c r="AM18" s="4"/>
      <c r="AN18" s="4"/>
      <c r="AO18" s="4">
        <v>2549</v>
      </c>
    </row>
    <row r="19" spans="1:41" x14ac:dyDescent="0.2">
      <c r="A19" s="2" t="s">
        <v>63</v>
      </c>
      <c r="B19" s="4">
        <v>542</v>
      </c>
      <c r="C19" s="4">
        <v>220</v>
      </c>
      <c r="D19" s="4">
        <v>100</v>
      </c>
      <c r="E19" s="4">
        <v>50</v>
      </c>
      <c r="F19" s="4">
        <v>912</v>
      </c>
      <c r="G19" s="4">
        <v>912</v>
      </c>
      <c r="H19" s="4">
        <v>303</v>
      </c>
      <c r="I19" s="4">
        <v>50</v>
      </c>
      <c r="J19" s="4">
        <v>5</v>
      </c>
      <c r="K19" s="4">
        <v>40</v>
      </c>
      <c r="L19" s="4">
        <v>398</v>
      </c>
      <c r="M19" s="4">
        <v>398</v>
      </c>
      <c r="N19" s="4">
        <v>669</v>
      </c>
      <c r="O19" s="4">
        <v>120</v>
      </c>
      <c r="P19" s="4">
        <v>65</v>
      </c>
      <c r="Q19" s="4">
        <v>85</v>
      </c>
      <c r="R19" s="4">
        <v>939</v>
      </c>
      <c r="S19" s="4">
        <v>939</v>
      </c>
      <c r="T19" s="4">
        <v>212</v>
      </c>
      <c r="U19" s="4">
        <v>40</v>
      </c>
      <c r="V19" s="4">
        <v>40</v>
      </c>
      <c r="W19" s="4">
        <v>100</v>
      </c>
      <c r="X19" s="4">
        <v>392</v>
      </c>
      <c r="Y19" s="4">
        <v>392</v>
      </c>
      <c r="Z19" s="4">
        <v>306</v>
      </c>
      <c r="AA19" s="4">
        <v>57</v>
      </c>
      <c r="AB19" s="4">
        <v>70</v>
      </c>
      <c r="AC19" s="4">
        <v>40</v>
      </c>
      <c r="AD19" s="4">
        <v>473</v>
      </c>
      <c r="AE19" s="4">
        <v>473</v>
      </c>
      <c r="AF19" s="4">
        <v>237</v>
      </c>
      <c r="AG19" s="4">
        <v>70</v>
      </c>
      <c r="AH19" s="4">
        <v>40</v>
      </c>
      <c r="AI19" s="4">
        <v>40</v>
      </c>
      <c r="AJ19" s="4">
        <v>387</v>
      </c>
      <c r="AK19" s="4">
        <v>387</v>
      </c>
      <c r="AL19" s="4"/>
      <c r="AM19" s="4"/>
      <c r="AN19" s="4"/>
      <c r="AO19" s="4">
        <v>3501</v>
      </c>
    </row>
    <row r="20" spans="1:41" x14ac:dyDescent="0.2">
      <c r="A20" s="2" t="s">
        <v>65</v>
      </c>
      <c r="B20" s="4">
        <v>542</v>
      </c>
      <c r="C20" s="4">
        <v>18</v>
      </c>
      <c r="D20" s="4">
        <v>32</v>
      </c>
      <c r="E20" s="4">
        <v>0</v>
      </c>
      <c r="F20" s="4">
        <v>592</v>
      </c>
      <c r="G20" s="4">
        <v>592</v>
      </c>
      <c r="H20" s="4">
        <v>268</v>
      </c>
      <c r="I20" s="4">
        <v>50</v>
      </c>
      <c r="J20" s="4">
        <v>40</v>
      </c>
      <c r="K20" s="4">
        <v>40</v>
      </c>
      <c r="L20" s="4">
        <v>398</v>
      </c>
      <c r="M20" s="4">
        <v>398</v>
      </c>
      <c r="N20" s="4">
        <v>584</v>
      </c>
      <c r="O20" s="4">
        <v>58</v>
      </c>
      <c r="P20" s="4">
        <v>85</v>
      </c>
      <c r="Q20" s="4">
        <v>85</v>
      </c>
      <c r="R20" s="4">
        <v>812</v>
      </c>
      <c r="S20" s="4">
        <v>812</v>
      </c>
      <c r="T20" s="4">
        <v>212</v>
      </c>
      <c r="U20" s="4">
        <v>40</v>
      </c>
      <c r="V20" s="4">
        <v>40</v>
      </c>
      <c r="W20" s="4">
        <v>100</v>
      </c>
      <c r="X20" s="4">
        <v>392</v>
      </c>
      <c r="Y20" s="4">
        <v>392</v>
      </c>
      <c r="Z20" s="4">
        <v>303</v>
      </c>
      <c r="AA20" s="4">
        <v>37</v>
      </c>
      <c r="AB20" s="4">
        <v>34</v>
      </c>
      <c r="AC20" s="4">
        <v>40</v>
      </c>
      <c r="AD20" s="4">
        <v>414</v>
      </c>
      <c r="AE20" s="4">
        <v>414</v>
      </c>
      <c r="AF20" s="4">
        <v>237</v>
      </c>
      <c r="AG20" s="4">
        <v>70</v>
      </c>
      <c r="AH20" s="4">
        <v>40</v>
      </c>
      <c r="AI20" s="4">
        <v>40</v>
      </c>
      <c r="AJ20" s="4">
        <v>387</v>
      </c>
      <c r="AK20" s="4">
        <v>387</v>
      </c>
      <c r="AL20" s="4"/>
      <c r="AM20" s="4"/>
      <c r="AN20" s="4"/>
      <c r="AO20" s="4">
        <v>2995</v>
      </c>
    </row>
    <row r="21" spans="1:41" x14ac:dyDescent="0.2">
      <c r="A21" s="2" t="s">
        <v>67</v>
      </c>
      <c r="B21" s="4">
        <v>222</v>
      </c>
      <c r="C21" s="4">
        <v>202</v>
      </c>
      <c r="D21" s="4">
        <v>100</v>
      </c>
      <c r="E21" s="4">
        <v>50</v>
      </c>
      <c r="F21" s="4">
        <v>574</v>
      </c>
      <c r="G21" s="4">
        <v>574</v>
      </c>
      <c r="H21" s="4">
        <v>268</v>
      </c>
      <c r="I21" s="4">
        <v>21</v>
      </c>
      <c r="J21" s="4">
        <v>40</v>
      </c>
      <c r="K21" s="4">
        <v>40</v>
      </c>
      <c r="L21" s="4">
        <v>369</v>
      </c>
      <c r="M21" s="4">
        <v>369</v>
      </c>
      <c r="N21" s="4">
        <v>457</v>
      </c>
      <c r="O21" s="4">
        <v>69</v>
      </c>
      <c r="P21" s="4">
        <v>88</v>
      </c>
      <c r="Q21" s="4">
        <v>85</v>
      </c>
      <c r="R21" s="4">
        <v>699</v>
      </c>
      <c r="S21" s="4">
        <v>699</v>
      </c>
      <c r="T21" s="4">
        <v>212</v>
      </c>
      <c r="U21" s="4">
        <v>40</v>
      </c>
      <c r="V21" s="4">
        <v>40</v>
      </c>
      <c r="W21" s="4">
        <v>66</v>
      </c>
      <c r="X21" s="4">
        <v>358</v>
      </c>
      <c r="Y21" s="4">
        <v>358</v>
      </c>
      <c r="Z21" s="4">
        <v>244</v>
      </c>
      <c r="AA21" s="4">
        <v>23</v>
      </c>
      <c r="AB21" s="4">
        <v>36</v>
      </c>
      <c r="AC21" s="4">
        <v>40</v>
      </c>
      <c r="AD21" s="4">
        <v>343</v>
      </c>
      <c r="AE21" s="4">
        <v>343</v>
      </c>
      <c r="AF21" s="4">
        <v>237</v>
      </c>
      <c r="AG21" s="4">
        <v>70</v>
      </c>
      <c r="AH21" s="4">
        <v>40</v>
      </c>
      <c r="AI21" s="4">
        <v>40</v>
      </c>
      <c r="AJ21" s="4">
        <v>387</v>
      </c>
      <c r="AK21" s="4">
        <v>387</v>
      </c>
      <c r="AL21" s="4"/>
      <c r="AM21" s="4"/>
      <c r="AN21" s="4"/>
      <c r="AO21" s="4">
        <v>2730</v>
      </c>
    </row>
    <row r="22" spans="1:41" x14ac:dyDescent="0.2">
      <c r="A22" s="2" t="s">
        <v>69</v>
      </c>
      <c r="B22" s="4">
        <v>204</v>
      </c>
      <c r="C22" s="4">
        <v>156</v>
      </c>
      <c r="D22" s="4">
        <v>100</v>
      </c>
      <c r="E22" s="4">
        <v>50</v>
      </c>
      <c r="F22" s="4">
        <v>510</v>
      </c>
      <c r="G22" s="4">
        <v>510</v>
      </c>
      <c r="H22" s="4">
        <v>239</v>
      </c>
      <c r="I22" s="4">
        <v>50</v>
      </c>
      <c r="J22" s="4">
        <v>40</v>
      </c>
      <c r="K22" s="4">
        <v>40</v>
      </c>
      <c r="L22" s="4">
        <v>369</v>
      </c>
      <c r="M22" s="4">
        <v>369</v>
      </c>
      <c r="N22" s="4">
        <v>344</v>
      </c>
      <c r="O22" s="4">
        <v>60</v>
      </c>
      <c r="P22" s="4">
        <v>97</v>
      </c>
      <c r="Q22" s="4">
        <v>85</v>
      </c>
      <c r="R22" s="4">
        <v>586</v>
      </c>
      <c r="S22" s="4">
        <v>586</v>
      </c>
      <c r="T22" s="4">
        <v>178</v>
      </c>
      <c r="U22" s="4">
        <v>19</v>
      </c>
      <c r="V22" s="4">
        <v>17</v>
      </c>
      <c r="W22" s="4">
        <v>51</v>
      </c>
      <c r="X22" s="4">
        <v>265</v>
      </c>
      <c r="Y22" s="4">
        <v>265</v>
      </c>
      <c r="Z22" s="4">
        <v>173</v>
      </c>
      <c r="AA22" s="4">
        <v>60</v>
      </c>
      <c r="AB22" s="4">
        <v>34</v>
      </c>
      <c r="AC22" s="4">
        <v>40</v>
      </c>
      <c r="AD22" s="4">
        <v>307</v>
      </c>
      <c r="AE22" s="4">
        <v>307</v>
      </c>
      <c r="AF22" s="4">
        <v>237</v>
      </c>
      <c r="AG22" s="4">
        <v>70</v>
      </c>
      <c r="AH22" s="4">
        <v>40</v>
      </c>
      <c r="AI22" s="4">
        <v>40</v>
      </c>
      <c r="AJ22" s="4">
        <v>387</v>
      </c>
      <c r="AK22" s="4">
        <v>387</v>
      </c>
      <c r="AL22" s="4"/>
      <c r="AM22" s="4"/>
      <c r="AN22" s="4"/>
      <c r="AO22" s="4">
        <v>2424</v>
      </c>
    </row>
    <row r="23" spans="1:41" x14ac:dyDescent="0.2">
      <c r="A23" s="2" t="s">
        <v>71</v>
      </c>
      <c r="B23" s="4">
        <v>728</v>
      </c>
      <c r="C23" s="4">
        <v>64</v>
      </c>
      <c r="D23" s="4">
        <v>100</v>
      </c>
      <c r="E23" s="4">
        <v>50</v>
      </c>
      <c r="F23" s="4">
        <v>942</v>
      </c>
      <c r="G23" s="4">
        <v>942</v>
      </c>
      <c r="H23" s="4">
        <v>323</v>
      </c>
      <c r="I23" s="4">
        <v>50</v>
      </c>
      <c r="J23" s="4">
        <v>21</v>
      </c>
      <c r="K23" s="4">
        <v>40</v>
      </c>
      <c r="L23" s="4">
        <v>434</v>
      </c>
      <c r="M23" s="4">
        <v>434</v>
      </c>
      <c r="N23" s="4">
        <v>556</v>
      </c>
      <c r="O23" s="4">
        <v>60</v>
      </c>
      <c r="P23" s="4">
        <v>102</v>
      </c>
      <c r="Q23" s="4">
        <v>85</v>
      </c>
      <c r="R23" s="4">
        <v>803</v>
      </c>
      <c r="S23" s="4">
        <v>803</v>
      </c>
      <c r="T23" s="4">
        <v>119</v>
      </c>
      <c r="U23" s="4">
        <v>40</v>
      </c>
      <c r="V23" s="4">
        <v>40</v>
      </c>
      <c r="W23" s="4">
        <v>100</v>
      </c>
      <c r="X23" s="4">
        <v>299</v>
      </c>
      <c r="Y23" s="4">
        <v>299</v>
      </c>
      <c r="Z23" s="4">
        <v>292</v>
      </c>
      <c r="AA23" s="4">
        <v>29</v>
      </c>
      <c r="AB23" s="4">
        <v>70</v>
      </c>
      <c r="AC23" s="4">
        <v>40</v>
      </c>
      <c r="AD23" s="4">
        <v>431</v>
      </c>
      <c r="AE23" s="4">
        <v>431</v>
      </c>
      <c r="AF23" s="4">
        <v>237</v>
      </c>
      <c r="AG23" s="4">
        <v>0</v>
      </c>
      <c r="AH23" s="4">
        <v>5</v>
      </c>
      <c r="AI23" s="4">
        <v>40</v>
      </c>
      <c r="AJ23" s="4">
        <v>282</v>
      </c>
      <c r="AK23" s="4">
        <v>282</v>
      </c>
      <c r="AL23" s="4"/>
      <c r="AM23" s="4"/>
      <c r="AN23" s="4"/>
      <c r="AO23" s="4">
        <v>3191</v>
      </c>
    </row>
    <row r="24" spans="1:41" x14ac:dyDescent="0.2">
      <c r="A24" s="2" t="s">
        <v>73</v>
      </c>
      <c r="B24" s="4">
        <v>572</v>
      </c>
      <c r="C24" s="4">
        <v>220</v>
      </c>
      <c r="D24" s="4">
        <v>100</v>
      </c>
      <c r="E24" s="4">
        <v>50</v>
      </c>
      <c r="F24" s="4">
        <v>942</v>
      </c>
      <c r="G24" s="4">
        <v>942</v>
      </c>
      <c r="H24" s="4">
        <v>304</v>
      </c>
      <c r="I24" s="4">
        <v>50</v>
      </c>
      <c r="J24" s="4">
        <v>40</v>
      </c>
      <c r="K24" s="4">
        <v>40</v>
      </c>
      <c r="L24" s="4">
        <v>434</v>
      </c>
      <c r="M24" s="4">
        <v>434</v>
      </c>
      <c r="N24" s="4">
        <v>448</v>
      </c>
      <c r="O24" s="4">
        <v>120</v>
      </c>
      <c r="P24" s="4">
        <v>82</v>
      </c>
      <c r="Q24" s="4">
        <v>85</v>
      </c>
      <c r="R24" s="4">
        <v>735</v>
      </c>
      <c r="S24" s="4">
        <v>735</v>
      </c>
      <c r="T24" s="4">
        <v>119</v>
      </c>
      <c r="U24" s="4">
        <v>40</v>
      </c>
      <c r="V24" s="4">
        <v>40</v>
      </c>
      <c r="W24" s="4">
        <v>77</v>
      </c>
      <c r="X24" s="4">
        <v>276</v>
      </c>
      <c r="Y24" s="4">
        <v>276</v>
      </c>
      <c r="Z24" s="4">
        <v>261</v>
      </c>
      <c r="AA24" s="4">
        <v>60</v>
      </c>
      <c r="AB24" s="4">
        <v>42</v>
      </c>
      <c r="AC24" s="4">
        <v>40</v>
      </c>
      <c r="AD24" s="4">
        <v>403</v>
      </c>
      <c r="AE24" s="4">
        <v>403</v>
      </c>
      <c r="AF24" s="4">
        <v>142</v>
      </c>
      <c r="AG24" s="4">
        <v>60</v>
      </c>
      <c r="AH24" s="4">
        <v>40</v>
      </c>
      <c r="AI24" s="4">
        <v>7</v>
      </c>
      <c r="AJ24" s="4">
        <v>249</v>
      </c>
      <c r="AK24" s="4">
        <v>249</v>
      </c>
      <c r="AL24" s="4"/>
      <c r="AM24" s="4"/>
      <c r="AN24" s="4"/>
      <c r="AO24" s="4">
        <v>3039</v>
      </c>
    </row>
    <row r="25" spans="1:41" x14ac:dyDescent="0.2">
      <c r="A25" s="2" t="s">
        <v>75</v>
      </c>
      <c r="B25" s="4">
        <v>572</v>
      </c>
      <c r="C25" s="4">
        <v>87</v>
      </c>
      <c r="D25" s="4">
        <v>100</v>
      </c>
      <c r="E25" s="4">
        <v>0</v>
      </c>
      <c r="F25" s="4">
        <v>759</v>
      </c>
      <c r="G25" s="4">
        <v>759</v>
      </c>
      <c r="H25" s="4">
        <v>304</v>
      </c>
      <c r="I25" s="4">
        <v>32</v>
      </c>
      <c r="J25" s="4">
        <v>40</v>
      </c>
      <c r="K25" s="4">
        <v>40</v>
      </c>
      <c r="L25" s="4">
        <v>416</v>
      </c>
      <c r="M25" s="4">
        <v>416</v>
      </c>
      <c r="N25" s="4">
        <v>380</v>
      </c>
      <c r="O25" s="4">
        <v>55</v>
      </c>
      <c r="P25" s="4">
        <v>123</v>
      </c>
      <c r="Q25" s="4">
        <v>30</v>
      </c>
      <c r="R25" s="4">
        <v>588</v>
      </c>
      <c r="S25" s="4">
        <v>588</v>
      </c>
      <c r="T25" s="4">
        <v>96</v>
      </c>
      <c r="U25" s="4">
        <v>40</v>
      </c>
      <c r="V25" s="4">
        <v>40</v>
      </c>
      <c r="W25" s="4">
        <v>76</v>
      </c>
      <c r="X25" s="4">
        <v>252</v>
      </c>
      <c r="Y25" s="4">
        <v>252</v>
      </c>
      <c r="Z25" s="4">
        <v>233</v>
      </c>
      <c r="AA25" s="4">
        <v>60</v>
      </c>
      <c r="AB25" s="4">
        <v>42</v>
      </c>
      <c r="AC25" s="4">
        <v>40</v>
      </c>
      <c r="AD25" s="4">
        <v>375</v>
      </c>
      <c r="AE25" s="4">
        <v>375</v>
      </c>
      <c r="AF25" s="4">
        <v>109</v>
      </c>
      <c r="AG25" s="4">
        <v>19</v>
      </c>
      <c r="AH25" s="4">
        <v>40</v>
      </c>
      <c r="AI25" s="4">
        <v>40</v>
      </c>
      <c r="AJ25" s="4">
        <v>208</v>
      </c>
      <c r="AK25" s="4">
        <v>208</v>
      </c>
      <c r="AL25" s="4"/>
      <c r="AM25" s="4"/>
      <c r="AN25" s="4"/>
      <c r="AO25" s="4">
        <v>2598</v>
      </c>
    </row>
    <row r="26" spans="1:41" x14ac:dyDescent="0.2">
      <c r="A26" s="2" t="s">
        <v>77</v>
      </c>
      <c r="B26" s="4">
        <v>389</v>
      </c>
      <c r="C26" s="4">
        <v>207</v>
      </c>
      <c r="D26" s="4">
        <v>100</v>
      </c>
      <c r="E26" s="4">
        <v>50</v>
      </c>
      <c r="F26" s="4">
        <v>746</v>
      </c>
      <c r="G26" s="4">
        <v>746</v>
      </c>
      <c r="H26" s="4">
        <v>286</v>
      </c>
      <c r="I26" s="4">
        <v>50</v>
      </c>
      <c r="J26" s="4">
        <v>15</v>
      </c>
      <c r="K26" s="4">
        <v>40</v>
      </c>
      <c r="L26" s="4">
        <v>391</v>
      </c>
      <c r="M26" s="4">
        <v>391</v>
      </c>
      <c r="N26" s="4">
        <v>268</v>
      </c>
      <c r="O26" s="4">
        <v>120</v>
      </c>
      <c r="P26" s="4">
        <v>27</v>
      </c>
      <c r="Q26" s="4">
        <v>50</v>
      </c>
      <c r="R26" s="4">
        <v>465</v>
      </c>
      <c r="S26" s="4">
        <v>465</v>
      </c>
      <c r="T26" s="4">
        <v>72</v>
      </c>
      <c r="U26" s="4">
        <v>40</v>
      </c>
      <c r="V26" s="4">
        <v>40</v>
      </c>
      <c r="W26" s="4">
        <v>75</v>
      </c>
      <c r="X26" s="4">
        <v>227</v>
      </c>
      <c r="Y26" s="4">
        <v>227</v>
      </c>
      <c r="Z26" s="4">
        <v>205</v>
      </c>
      <c r="AA26" s="4">
        <v>60</v>
      </c>
      <c r="AB26" s="4">
        <v>70</v>
      </c>
      <c r="AC26" s="4">
        <v>5</v>
      </c>
      <c r="AD26" s="4">
        <v>340</v>
      </c>
      <c r="AE26" s="4">
        <v>340</v>
      </c>
      <c r="AF26" s="4">
        <v>68</v>
      </c>
      <c r="AG26" s="4">
        <v>41</v>
      </c>
      <c r="AH26" s="4">
        <v>40</v>
      </c>
      <c r="AI26" s="4">
        <v>40</v>
      </c>
      <c r="AJ26" s="4">
        <v>189</v>
      </c>
      <c r="AK26" s="4">
        <v>189</v>
      </c>
      <c r="AL26" s="4"/>
      <c r="AM26" s="4"/>
      <c r="AN26" s="4"/>
      <c r="AO26" s="4">
        <v>2358</v>
      </c>
    </row>
    <row r="27" spans="1:41" x14ac:dyDescent="0.2">
      <c r="A27" s="2" t="s">
        <v>79</v>
      </c>
      <c r="B27" s="4">
        <v>376</v>
      </c>
      <c r="C27" s="4">
        <v>220</v>
      </c>
      <c r="D27" s="4">
        <v>100</v>
      </c>
      <c r="E27" s="4">
        <v>0</v>
      </c>
      <c r="F27" s="4">
        <v>696</v>
      </c>
      <c r="G27" s="4">
        <v>696</v>
      </c>
      <c r="H27" s="4">
        <v>261</v>
      </c>
      <c r="I27" s="4">
        <v>50</v>
      </c>
      <c r="J27" s="4">
        <v>40</v>
      </c>
      <c r="K27" s="4">
        <v>40</v>
      </c>
      <c r="L27" s="4">
        <v>391</v>
      </c>
      <c r="M27" s="4">
        <v>391</v>
      </c>
      <c r="N27" s="4">
        <v>145</v>
      </c>
      <c r="O27" s="4">
        <v>120</v>
      </c>
      <c r="P27" s="4">
        <v>123</v>
      </c>
      <c r="Q27" s="4">
        <v>50</v>
      </c>
      <c r="R27" s="4">
        <v>438</v>
      </c>
      <c r="S27" s="4">
        <v>438</v>
      </c>
      <c r="T27" s="4">
        <v>47</v>
      </c>
      <c r="U27" s="4">
        <v>40</v>
      </c>
      <c r="V27" s="4">
        <v>40</v>
      </c>
      <c r="W27" s="4">
        <v>100</v>
      </c>
      <c r="X27" s="4">
        <v>227</v>
      </c>
      <c r="Y27" s="4">
        <v>227</v>
      </c>
      <c r="Z27" s="4">
        <v>170</v>
      </c>
      <c r="AA27" s="4">
        <v>60</v>
      </c>
      <c r="AB27" s="4">
        <v>70</v>
      </c>
      <c r="AC27" s="4">
        <v>40</v>
      </c>
      <c r="AD27" s="4">
        <v>340</v>
      </c>
      <c r="AE27" s="4">
        <v>340</v>
      </c>
      <c r="AF27" s="4">
        <v>49</v>
      </c>
      <c r="AG27" s="4">
        <v>60</v>
      </c>
      <c r="AH27" s="4">
        <v>40</v>
      </c>
      <c r="AI27" s="4">
        <v>40</v>
      </c>
      <c r="AJ27" s="4">
        <v>189</v>
      </c>
      <c r="AK27" s="4">
        <v>189</v>
      </c>
      <c r="AL27" s="4"/>
      <c r="AM27" s="4"/>
      <c r="AN27" s="4"/>
      <c r="AO27" s="4">
        <v>2281</v>
      </c>
    </row>
    <row r="28" spans="1:41" x14ac:dyDescent="0.2">
      <c r="A28" s="2" t="s">
        <v>81</v>
      </c>
      <c r="B28" s="4">
        <v>301</v>
      </c>
      <c r="C28" s="4">
        <v>220</v>
      </c>
      <c r="D28" s="4">
        <v>100</v>
      </c>
      <c r="E28" s="4">
        <v>75</v>
      </c>
      <c r="F28" s="4">
        <v>696</v>
      </c>
      <c r="G28" s="4">
        <v>696</v>
      </c>
      <c r="H28" s="4">
        <v>261</v>
      </c>
      <c r="I28" s="4">
        <v>50</v>
      </c>
      <c r="J28" s="4">
        <v>40</v>
      </c>
      <c r="K28" s="4">
        <v>40</v>
      </c>
      <c r="L28" s="4">
        <v>391</v>
      </c>
      <c r="M28" s="4">
        <v>391</v>
      </c>
      <c r="N28" s="4">
        <v>38</v>
      </c>
      <c r="O28" s="4">
        <v>150</v>
      </c>
      <c r="P28" s="4">
        <v>175</v>
      </c>
      <c r="Q28" s="4">
        <v>75</v>
      </c>
      <c r="R28" s="4">
        <v>438</v>
      </c>
      <c r="S28" s="4">
        <v>438</v>
      </c>
      <c r="T28" s="4">
        <v>47</v>
      </c>
      <c r="U28" s="4">
        <v>40</v>
      </c>
      <c r="V28" s="4">
        <v>40</v>
      </c>
      <c r="W28" s="4">
        <v>77</v>
      </c>
      <c r="X28" s="4">
        <v>204</v>
      </c>
      <c r="Y28" s="4">
        <v>204</v>
      </c>
      <c r="Z28" s="4">
        <v>170</v>
      </c>
      <c r="AA28" s="4">
        <v>60</v>
      </c>
      <c r="AB28" s="4">
        <v>37</v>
      </c>
      <c r="AC28" s="4">
        <v>40</v>
      </c>
      <c r="AD28" s="4">
        <v>307</v>
      </c>
      <c r="AE28" s="4">
        <v>307</v>
      </c>
      <c r="AF28" s="4">
        <v>49</v>
      </c>
      <c r="AG28" s="4">
        <v>60</v>
      </c>
      <c r="AH28" s="4">
        <v>40</v>
      </c>
      <c r="AI28" s="4">
        <v>40</v>
      </c>
      <c r="AJ28" s="4">
        <v>189</v>
      </c>
      <c r="AK28" s="4">
        <v>189</v>
      </c>
      <c r="AL28" s="4"/>
      <c r="AM28" s="4"/>
      <c r="AN28" s="4"/>
      <c r="AO28" s="4">
        <v>2225</v>
      </c>
    </row>
    <row r="29" spans="1:41" x14ac:dyDescent="0.2">
      <c r="A29" s="2" t="s">
        <v>83</v>
      </c>
      <c r="B29" s="4">
        <v>717</v>
      </c>
      <c r="C29" s="4">
        <v>219</v>
      </c>
      <c r="D29" s="4">
        <v>100</v>
      </c>
      <c r="E29" s="4">
        <v>75</v>
      </c>
      <c r="F29" s="4">
        <v>1111</v>
      </c>
      <c r="G29" s="4">
        <v>1111</v>
      </c>
      <c r="H29" s="4">
        <v>323</v>
      </c>
      <c r="I29" s="4">
        <v>50</v>
      </c>
      <c r="J29" s="4">
        <v>19</v>
      </c>
      <c r="K29" s="4">
        <v>40</v>
      </c>
      <c r="L29" s="4">
        <v>432</v>
      </c>
      <c r="M29" s="4">
        <v>432</v>
      </c>
      <c r="N29" s="4">
        <v>597</v>
      </c>
      <c r="O29" s="4">
        <v>150</v>
      </c>
      <c r="P29" s="4">
        <v>119</v>
      </c>
      <c r="Q29" s="4">
        <v>75</v>
      </c>
      <c r="R29" s="4">
        <v>941</v>
      </c>
      <c r="S29" s="4">
        <v>941</v>
      </c>
      <c r="T29" s="4">
        <v>189</v>
      </c>
      <c r="U29" s="4">
        <v>40</v>
      </c>
      <c r="V29" s="4">
        <v>40</v>
      </c>
      <c r="W29" s="4">
        <v>100</v>
      </c>
      <c r="X29" s="4">
        <v>369</v>
      </c>
      <c r="Y29" s="4">
        <v>369</v>
      </c>
      <c r="Z29" s="4">
        <v>295</v>
      </c>
      <c r="AA29" s="4">
        <v>60</v>
      </c>
      <c r="AB29" s="4">
        <v>40</v>
      </c>
      <c r="AC29" s="4">
        <v>40</v>
      </c>
      <c r="AD29" s="4">
        <v>435</v>
      </c>
      <c r="AE29" s="4">
        <v>435</v>
      </c>
      <c r="AF29" s="4">
        <v>247</v>
      </c>
      <c r="AG29" s="4">
        <v>60</v>
      </c>
      <c r="AH29" s="4">
        <v>40</v>
      </c>
      <c r="AI29" s="4">
        <v>40</v>
      </c>
      <c r="AJ29" s="4">
        <v>387</v>
      </c>
      <c r="AK29" s="4">
        <v>387</v>
      </c>
      <c r="AL29" s="4"/>
      <c r="AM29" s="4"/>
      <c r="AN29" s="4"/>
      <c r="AO29" s="4">
        <v>3675</v>
      </c>
    </row>
    <row r="30" spans="1:41" x14ac:dyDescent="0.2">
      <c r="A30" s="2" t="s">
        <v>85</v>
      </c>
      <c r="B30" s="4">
        <v>716</v>
      </c>
      <c r="C30" s="4">
        <v>72</v>
      </c>
      <c r="D30" s="4">
        <v>100</v>
      </c>
      <c r="E30" s="4">
        <v>75</v>
      </c>
      <c r="F30" s="4">
        <v>963</v>
      </c>
      <c r="G30" s="4">
        <v>963</v>
      </c>
      <c r="H30" s="4">
        <v>302</v>
      </c>
      <c r="I30" s="4">
        <v>50</v>
      </c>
      <c r="J30" s="4">
        <v>40</v>
      </c>
      <c r="K30" s="4">
        <v>40</v>
      </c>
      <c r="L30" s="4">
        <v>432</v>
      </c>
      <c r="M30" s="4">
        <v>432</v>
      </c>
      <c r="N30" s="4">
        <v>541</v>
      </c>
      <c r="O30" s="4">
        <v>92</v>
      </c>
      <c r="P30" s="4">
        <v>114</v>
      </c>
      <c r="Q30" s="4">
        <v>75</v>
      </c>
      <c r="R30" s="4">
        <v>822</v>
      </c>
      <c r="S30" s="4">
        <v>822</v>
      </c>
      <c r="T30" s="4">
        <v>189</v>
      </c>
      <c r="U30" s="4">
        <v>40</v>
      </c>
      <c r="V30" s="4">
        <v>40</v>
      </c>
      <c r="W30" s="4">
        <v>100</v>
      </c>
      <c r="X30" s="4">
        <v>369</v>
      </c>
      <c r="Y30" s="4">
        <v>369</v>
      </c>
      <c r="Z30" s="4">
        <v>265</v>
      </c>
      <c r="AA30" s="4">
        <v>60</v>
      </c>
      <c r="AB30" s="4">
        <v>70</v>
      </c>
      <c r="AC30" s="4">
        <v>40</v>
      </c>
      <c r="AD30" s="4">
        <v>435</v>
      </c>
      <c r="AE30" s="4">
        <v>435</v>
      </c>
      <c r="AF30" s="4">
        <v>247</v>
      </c>
      <c r="AG30" s="4">
        <v>0</v>
      </c>
      <c r="AH30" s="4">
        <v>40</v>
      </c>
      <c r="AI30" s="4">
        <v>40</v>
      </c>
      <c r="AJ30" s="4">
        <v>327</v>
      </c>
      <c r="AK30" s="4">
        <v>327</v>
      </c>
      <c r="AL30" s="4"/>
      <c r="AM30" s="4"/>
      <c r="AN30" s="4"/>
      <c r="AO30" s="4">
        <v>3348</v>
      </c>
    </row>
    <row r="31" spans="1:41" x14ac:dyDescent="0.2">
      <c r="A31" s="2" t="s">
        <v>87</v>
      </c>
      <c r="B31" s="4">
        <v>568</v>
      </c>
      <c r="C31" s="4">
        <v>148</v>
      </c>
      <c r="D31" s="4">
        <v>100</v>
      </c>
      <c r="E31" s="4">
        <v>0</v>
      </c>
      <c r="F31" s="4">
        <v>816</v>
      </c>
      <c r="G31" s="4">
        <v>816</v>
      </c>
      <c r="H31" s="4">
        <v>302</v>
      </c>
      <c r="I31" s="4">
        <v>50</v>
      </c>
      <c r="J31" s="4">
        <v>40</v>
      </c>
      <c r="K31" s="4">
        <v>40</v>
      </c>
      <c r="L31" s="4">
        <v>432</v>
      </c>
      <c r="M31" s="4">
        <v>432</v>
      </c>
      <c r="N31" s="4">
        <v>422</v>
      </c>
      <c r="O31" s="4">
        <v>150</v>
      </c>
      <c r="P31" s="4">
        <v>71</v>
      </c>
      <c r="Q31" s="4">
        <v>75</v>
      </c>
      <c r="R31" s="4">
        <v>718</v>
      </c>
      <c r="S31" s="4">
        <v>718</v>
      </c>
      <c r="T31" s="4">
        <v>189</v>
      </c>
      <c r="U31" s="4">
        <v>40</v>
      </c>
      <c r="V31" s="4">
        <v>18</v>
      </c>
      <c r="W31" s="4">
        <v>78</v>
      </c>
      <c r="X31" s="4">
        <v>325</v>
      </c>
      <c r="Y31" s="4">
        <v>325</v>
      </c>
      <c r="Z31" s="4">
        <v>265</v>
      </c>
      <c r="AA31" s="4">
        <v>13</v>
      </c>
      <c r="AB31" s="4">
        <v>46</v>
      </c>
      <c r="AC31" s="4">
        <v>40</v>
      </c>
      <c r="AD31" s="4">
        <v>364</v>
      </c>
      <c r="AE31" s="4">
        <v>364</v>
      </c>
      <c r="AF31" s="4">
        <v>187</v>
      </c>
      <c r="AG31" s="4">
        <v>60</v>
      </c>
      <c r="AH31" s="4">
        <v>40</v>
      </c>
      <c r="AI31" s="4">
        <v>5</v>
      </c>
      <c r="AJ31" s="4">
        <v>292</v>
      </c>
      <c r="AK31" s="4">
        <v>292</v>
      </c>
      <c r="AL31" s="4"/>
      <c r="AM31" s="4"/>
      <c r="AN31" s="4"/>
      <c r="AO31" s="4">
        <v>2947</v>
      </c>
    </row>
    <row r="32" spans="1:41" x14ac:dyDescent="0.2">
      <c r="A32" s="2" t="s">
        <v>89</v>
      </c>
      <c r="B32" s="4">
        <v>421</v>
      </c>
      <c r="C32" s="4">
        <v>209</v>
      </c>
      <c r="D32" s="4">
        <v>100</v>
      </c>
      <c r="E32" s="4">
        <v>75</v>
      </c>
      <c r="F32" s="4">
        <v>805</v>
      </c>
      <c r="G32" s="4">
        <v>805</v>
      </c>
      <c r="H32" s="4">
        <v>302</v>
      </c>
      <c r="I32" s="4">
        <v>21</v>
      </c>
      <c r="J32" s="4">
        <v>40</v>
      </c>
      <c r="K32" s="4">
        <v>40</v>
      </c>
      <c r="L32" s="4">
        <v>403</v>
      </c>
      <c r="M32" s="4">
        <v>403</v>
      </c>
      <c r="N32" s="4">
        <v>318</v>
      </c>
      <c r="O32" s="4">
        <v>150</v>
      </c>
      <c r="P32" s="4">
        <v>175</v>
      </c>
      <c r="Q32" s="4">
        <v>75</v>
      </c>
      <c r="R32" s="4">
        <v>718</v>
      </c>
      <c r="S32" s="4">
        <v>718</v>
      </c>
      <c r="T32" s="4">
        <v>145</v>
      </c>
      <c r="U32" s="4">
        <v>40</v>
      </c>
      <c r="V32" s="4">
        <v>40</v>
      </c>
      <c r="W32" s="4">
        <v>100</v>
      </c>
      <c r="X32" s="4">
        <v>325</v>
      </c>
      <c r="Y32" s="4">
        <v>325</v>
      </c>
      <c r="Z32" s="4">
        <v>194</v>
      </c>
      <c r="AA32" s="4">
        <v>47</v>
      </c>
      <c r="AB32" s="4">
        <v>24</v>
      </c>
      <c r="AC32" s="4">
        <v>40</v>
      </c>
      <c r="AD32" s="4">
        <v>305</v>
      </c>
      <c r="AE32" s="4">
        <v>305</v>
      </c>
      <c r="AF32" s="4">
        <v>152</v>
      </c>
      <c r="AG32" s="4">
        <v>60</v>
      </c>
      <c r="AH32" s="4">
        <v>1</v>
      </c>
      <c r="AI32" s="4">
        <v>35</v>
      </c>
      <c r="AJ32" s="4">
        <v>248</v>
      </c>
      <c r="AK32" s="4">
        <v>248</v>
      </c>
      <c r="AL32" s="4"/>
      <c r="AM32" s="4"/>
      <c r="AN32" s="4"/>
      <c r="AO32" s="4">
        <v>2804</v>
      </c>
    </row>
    <row r="33" spans="1:41" x14ac:dyDescent="0.2">
      <c r="A33" s="2" t="s">
        <v>91</v>
      </c>
      <c r="B33" s="4">
        <v>410</v>
      </c>
      <c r="C33" s="4">
        <v>150</v>
      </c>
      <c r="D33" s="4">
        <v>73</v>
      </c>
      <c r="E33" s="4">
        <v>75</v>
      </c>
      <c r="F33" s="4">
        <v>708</v>
      </c>
      <c r="G33" s="4">
        <v>708</v>
      </c>
      <c r="H33" s="4">
        <v>273</v>
      </c>
      <c r="I33" s="4">
        <v>50</v>
      </c>
      <c r="J33" s="4">
        <v>40</v>
      </c>
      <c r="K33" s="4">
        <v>40</v>
      </c>
      <c r="L33" s="4">
        <v>403</v>
      </c>
      <c r="M33" s="4">
        <v>403</v>
      </c>
      <c r="N33" s="4">
        <v>318</v>
      </c>
      <c r="O33" s="4">
        <v>98</v>
      </c>
      <c r="P33" s="4">
        <v>175</v>
      </c>
      <c r="Q33" s="4">
        <v>75</v>
      </c>
      <c r="R33" s="4">
        <v>666</v>
      </c>
      <c r="S33" s="4">
        <v>666</v>
      </c>
      <c r="T33" s="4">
        <v>145</v>
      </c>
      <c r="U33" s="4">
        <v>40</v>
      </c>
      <c r="V33" s="4">
        <v>40</v>
      </c>
      <c r="W33" s="4">
        <v>100</v>
      </c>
      <c r="X33" s="4">
        <v>325</v>
      </c>
      <c r="Y33" s="4">
        <v>325</v>
      </c>
      <c r="Z33" s="4">
        <v>135</v>
      </c>
      <c r="AA33" s="4">
        <v>60</v>
      </c>
      <c r="AB33" s="4">
        <v>70</v>
      </c>
      <c r="AC33" s="4">
        <v>40</v>
      </c>
      <c r="AD33" s="4">
        <v>305</v>
      </c>
      <c r="AE33" s="4">
        <v>305</v>
      </c>
      <c r="AF33" s="4">
        <v>108</v>
      </c>
      <c r="AG33" s="4">
        <v>14</v>
      </c>
      <c r="AH33" s="4">
        <v>40</v>
      </c>
      <c r="AI33" s="4">
        <v>40</v>
      </c>
      <c r="AJ33" s="4">
        <v>202</v>
      </c>
      <c r="AK33" s="4">
        <v>202</v>
      </c>
      <c r="AL33" s="4"/>
      <c r="AM33" s="4"/>
      <c r="AN33" s="4"/>
      <c r="AO33" s="4">
        <v>2609</v>
      </c>
    </row>
    <row r="34" spans="1:41" x14ac:dyDescent="0.2">
      <c r="A34" s="2" t="s">
        <v>93</v>
      </c>
      <c r="B34" s="4">
        <v>708</v>
      </c>
      <c r="C34" s="4">
        <v>79</v>
      </c>
      <c r="D34" s="4">
        <v>100</v>
      </c>
      <c r="E34" s="4">
        <v>75</v>
      </c>
      <c r="F34" s="4">
        <v>962</v>
      </c>
      <c r="G34" s="4">
        <v>962</v>
      </c>
      <c r="H34" s="4">
        <v>273</v>
      </c>
      <c r="I34" s="4">
        <v>29</v>
      </c>
      <c r="J34" s="4">
        <v>40</v>
      </c>
      <c r="K34" s="4">
        <v>40</v>
      </c>
      <c r="L34" s="4">
        <v>382</v>
      </c>
      <c r="M34" s="4">
        <v>382</v>
      </c>
      <c r="N34" s="4">
        <v>748</v>
      </c>
      <c r="O34" s="4">
        <v>96</v>
      </c>
      <c r="P34" s="4">
        <v>66</v>
      </c>
      <c r="Q34" s="4">
        <v>75</v>
      </c>
      <c r="R34" s="4">
        <v>985</v>
      </c>
      <c r="S34" s="4">
        <v>985</v>
      </c>
      <c r="T34" s="4">
        <v>145</v>
      </c>
      <c r="U34" s="4">
        <v>40</v>
      </c>
      <c r="V34" s="4">
        <v>40</v>
      </c>
      <c r="W34" s="4">
        <v>100</v>
      </c>
      <c r="X34" s="4">
        <v>325</v>
      </c>
      <c r="Y34" s="4">
        <v>325</v>
      </c>
      <c r="Z34" s="4">
        <v>280</v>
      </c>
      <c r="AA34" s="4">
        <v>60</v>
      </c>
      <c r="AB34" s="4">
        <v>14</v>
      </c>
      <c r="AC34" s="4">
        <v>40</v>
      </c>
      <c r="AD34" s="4">
        <v>394</v>
      </c>
      <c r="AE34" s="4">
        <v>394</v>
      </c>
      <c r="AF34" s="4">
        <v>314</v>
      </c>
      <c r="AG34" s="4">
        <v>60</v>
      </c>
      <c r="AH34" s="4">
        <v>40</v>
      </c>
      <c r="AI34" s="4">
        <v>40</v>
      </c>
      <c r="AJ34" s="4">
        <v>454</v>
      </c>
      <c r="AK34" s="4">
        <v>454</v>
      </c>
      <c r="AL34" s="4"/>
      <c r="AM34" s="4"/>
      <c r="AN34" s="4"/>
      <c r="AO34" s="4">
        <v>3502</v>
      </c>
    </row>
    <row r="35" spans="1:41" x14ac:dyDescent="0.2">
      <c r="A35" s="2" t="s">
        <v>95</v>
      </c>
      <c r="B35" s="4">
        <v>567</v>
      </c>
      <c r="C35" s="4">
        <v>149</v>
      </c>
      <c r="D35" s="4">
        <v>39</v>
      </c>
      <c r="E35" s="4">
        <v>19</v>
      </c>
      <c r="F35" s="4">
        <v>774</v>
      </c>
      <c r="G35" s="4">
        <v>774</v>
      </c>
      <c r="H35" s="4">
        <v>252</v>
      </c>
      <c r="I35" s="4">
        <v>50</v>
      </c>
      <c r="J35" s="4">
        <v>11</v>
      </c>
      <c r="K35" s="4">
        <v>40</v>
      </c>
      <c r="L35" s="4">
        <v>353</v>
      </c>
      <c r="M35" s="4">
        <v>353</v>
      </c>
      <c r="N35" s="4">
        <v>585</v>
      </c>
      <c r="O35" s="4">
        <v>150</v>
      </c>
      <c r="P35" s="4">
        <v>109</v>
      </c>
      <c r="Q35" s="4">
        <v>75</v>
      </c>
      <c r="R35" s="4">
        <v>919</v>
      </c>
      <c r="S35" s="4">
        <v>919</v>
      </c>
      <c r="T35" s="4">
        <v>145</v>
      </c>
      <c r="U35" s="4">
        <v>40</v>
      </c>
      <c r="V35" s="4">
        <v>40</v>
      </c>
      <c r="W35" s="4">
        <v>100</v>
      </c>
      <c r="X35" s="4">
        <v>325</v>
      </c>
      <c r="Y35" s="4">
        <v>325</v>
      </c>
      <c r="Z35" s="4">
        <v>224</v>
      </c>
      <c r="AA35" s="4">
        <v>60</v>
      </c>
      <c r="AB35" s="4">
        <v>56</v>
      </c>
      <c r="AC35" s="4">
        <v>40</v>
      </c>
      <c r="AD35" s="4">
        <v>380</v>
      </c>
      <c r="AE35" s="4">
        <v>380</v>
      </c>
      <c r="AF35" s="4">
        <v>314</v>
      </c>
      <c r="AG35" s="4">
        <v>60</v>
      </c>
      <c r="AH35" s="4">
        <v>0</v>
      </c>
      <c r="AI35" s="4">
        <v>40</v>
      </c>
      <c r="AJ35" s="4">
        <v>414</v>
      </c>
      <c r="AK35" s="4">
        <v>414</v>
      </c>
      <c r="AL35" s="4"/>
      <c r="AM35" s="4"/>
      <c r="AN35" s="4"/>
      <c r="AO35" s="4">
        <v>3165</v>
      </c>
    </row>
    <row r="36" spans="1:41" x14ac:dyDescent="0.2">
      <c r="A36" s="2" t="s">
        <v>97</v>
      </c>
      <c r="B36" s="4">
        <v>379</v>
      </c>
      <c r="C36" s="4">
        <v>145</v>
      </c>
      <c r="D36" s="4">
        <v>61</v>
      </c>
      <c r="E36" s="4">
        <v>75</v>
      </c>
      <c r="F36" s="4">
        <v>660</v>
      </c>
      <c r="G36" s="4">
        <v>660</v>
      </c>
      <c r="H36" s="4">
        <v>223</v>
      </c>
      <c r="I36" s="4">
        <v>50</v>
      </c>
      <c r="J36" s="4">
        <v>40</v>
      </c>
      <c r="K36" s="4">
        <v>40</v>
      </c>
      <c r="L36" s="4">
        <v>353</v>
      </c>
      <c r="M36" s="4">
        <v>353</v>
      </c>
      <c r="N36" s="4">
        <v>519</v>
      </c>
      <c r="O36" s="4">
        <v>100</v>
      </c>
      <c r="P36" s="4">
        <v>66</v>
      </c>
      <c r="Q36" s="4">
        <v>75</v>
      </c>
      <c r="R36" s="4">
        <v>760</v>
      </c>
      <c r="S36" s="4">
        <v>760</v>
      </c>
      <c r="T36" s="4">
        <v>145</v>
      </c>
      <c r="U36" s="4">
        <v>22</v>
      </c>
      <c r="V36" s="4">
        <v>40</v>
      </c>
      <c r="W36" s="4">
        <v>78</v>
      </c>
      <c r="X36" s="4">
        <v>285</v>
      </c>
      <c r="Y36" s="4">
        <v>285</v>
      </c>
      <c r="Z36" s="4">
        <v>210</v>
      </c>
      <c r="AA36" s="4">
        <v>31</v>
      </c>
      <c r="AB36" s="4">
        <v>14</v>
      </c>
      <c r="AC36" s="4">
        <v>40</v>
      </c>
      <c r="AD36" s="4">
        <v>295</v>
      </c>
      <c r="AE36" s="4">
        <v>295</v>
      </c>
      <c r="AF36" s="4">
        <v>274</v>
      </c>
      <c r="AG36" s="4">
        <v>60</v>
      </c>
      <c r="AH36" s="4">
        <v>40</v>
      </c>
      <c r="AI36" s="4">
        <v>40</v>
      </c>
      <c r="AJ36" s="4">
        <v>414</v>
      </c>
      <c r="AK36" s="4">
        <v>414</v>
      </c>
      <c r="AL36" s="4"/>
      <c r="AM36" s="4"/>
      <c r="AN36" s="4"/>
      <c r="AO36" s="4">
        <v>2767</v>
      </c>
    </row>
    <row r="37" spans="1:41" x14ac:dyDescent="0.2">
      <c r="A37" s="2" t="s">
        <v>907</v>
      </c>
      <c r="B37" s="4">
        <v>265</v>
      </c>
      <c r="C37" s="4">
        <v>79</v>
      </c>
      <c r="D37" s="4">
        <v>100</v>
      </c>
      <c r="E37" s="4">
        <v>75</v>
      </c>
      <c r="F37" s="4">
        <v>519</v>
      </c>
      <c r="G37" s="4">
        <v>519</v>
      </c>
      <c r="H37" s="4">
        <v>223</v>
      </c>
      <c r="I37" s="4">
        <v>27</v>
      </c>
      <c r="J37" s="4">
        <v>40</v>
      </c>
      <c r="K37" s="4">
        <v>40</v>
      </c>
      <c r="L37" s="4">
        <v>330</v>
      </c>
      <c r="M37" s="4">
        <v>330</v>
      </c>
      <c r="N37" s="4">
        <v>360</v>
      </c>
      <c r="O37" s="4">
        <v>150</v>
      </c>
      <c r="P37" s="4">
        <v>123</v>
      </c>
      <c r="Q37" s="4">
        <v>75</v>
      </c>
      <c r="R37" s="4">
        <v>708</v>
      </c>
      <c r="S37" s="4">
        <v>708</v>
      </c>
      <c r="T37" s="4">
        <v>105</v>
      </c>
      <c r="U37" s="4">
        <v>40</v>
      </c>
      <c r="V37" s="4">
        <v>40</v>
      </c>
      <c r="W37" s="4">
        <v>82</v>
      </c>
      <c r="X37" s="4">
        <v>267</v>
      </c>
      <c r="Y37" s="4">
        <v>267</v>
      </c>
      <c r="Z37" s="4">
        <v>125</v>
      </c>
      <c r="AA37" s="4">
        <v>60</v>
      </c>
      <c r="AB37" s="4">
        <v>56</v>
      </c>
      <c r="AC37" s="4">
        <v>40</v>
      </c>
      <c r="AD37" s="4">
        <v>281</v>
      </c>
      <c r="AE37" s="4">
        <v>281</v>
      </c>
      <c r="AF37" s="4">
        <v>274</v>
      </c>
      <c r="AG37" s="4">
        <v>19</v>
      </c>
      <c r="AH37" s="4">
        <v>40</v>
      </c>
      <c r="AI37" s="4">
        <v>10</v>
      </c>
      <c r="AJ37" s="4">
        <v>343</v>
      </c>
      <c r="AK37" s="4">
        <v>343</v>
      </c>
      <c r="AL37" s="4"/>
      <c r="AM37" s="4"/>
      <c r="AN37" s="4"/>
      <c r="AO37" s="4">
        <v>2448</v>
      </c>
    </row>
    <row r="38" spans="1:41" x14ac:dyDescent="0.2">
      <c r="A38" s="2" t="s">
        <v>1057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x14ac:dyDescent="0.2">
      <c r="A39" s="2" t="s">
        <v>1093</v>
      </c>
      <c r="B39" s="4">
        <v>49</v>
      </c>
      <c r="C39" s="4">
        <v>252</v>
      </c>
      <c r="D39" s="4">
        <v>43</v>
      </c>
      <c r="E39" s="4">
        <v>47</v>
      </c>
      <c r="F39" s="4">
        <v>391</v>
      </c>
      <c r="G39" s="4">
        <v>391</v>
      </c>
      <c r="H39" s="4">
        <v>210</v>
      </c>
      <c r="I39" s="4">
        <v>30</v>
      </c>
      <c r="J39" s="4">
        <v>30</v>
      </c>
      <c r="K39" s="4">
        <v>40</v>
      </c>
      <c r="L39" s="4">
        <v>310</v>
      </c>
      <c r="M39" s="4">
        <v>310</v>
      </c>
      <c r="N39" s="4">
        <v>273</v>
      </c>
      <c r="O39" s="4">
        <v>20</v>
      </c>
      <c r="P39" s="4">
        <v>87</v>
      </c>
      <c r="Q39" s="4">
        <v>0</v>
      </c>
      <c r="R39" s="4">
        <v>380</v>
      </c>
      <c r="S39" s="4">
        <v>380</v>
      </c>
      <c r="T39" s="4">
        <v>105</v>
      </c>
      <c r="U39" s="4">
        <v>40</v>
      </c>
      <c r="V39" s="4">
        <v>40</v>
      </c>
      <c r="W39" s="4">
        <v>35</v>
      </c>
      <c r="X39" s="4">
        <v>220</v>
      </c>
      <c r="Y39" s="4">
        <v>220</v>
      </c>
      <c r="Z39" s="4">
        <v>106</v>
      </c>
      <c r="AA39" s="4">
        <v>60</v>
      </c>
      <c r="AB39" s="4">
        <v>19</v>
      </c>
      <c r="AC39" s="4">
        <v>0</v>
      </c>
      <c r="AD39" s="4">
        <v>185</v>
      </c>
      <c r="AE39" s="4">
        <v>185</v>
      </c>
      <c r="AF39" s="4">
        <v>223</v>
      </c>
      <c r="AG39" s="4">
        <v>31</v>
      </c>
      <c r="AH39" s="4">
        <v>40</v>
      </c>
      <c r="AI39" s="4">
        <v>30</v>
      </c>
      <c r="AJ39" s="4">
        <v>324</v>
      </c>
      <c r="AK39" s="4">
        <v>324</v>
      </c>
      <c r="AL39" s="4"/>
      <c r="AM39" s="4"/>
      <c r="AN39" s="4"/>
      <c r="AO39" s="4">
        <v>1810</v>
      </c>
    </row>
    <row r="40" spans="1:41" x14ac:dyDescent="0.2">
      <c r="A40" s="2" t="s">
        <v>1122</v>
      </c>
      <c r="B40" s="4">
        <v>0</v>
      </c>
      <c r="C40" s="4">
        <v>137</v>
      </c>
      <c r="D40" s="4">
        <v>65</v>
      </c>
      <c r="E40" s="4">
        <v>20</v>
      </c>
      <c r="F40" s="4">
        <v>222</v>
      </c>
      <c r="G40" s="4">
        <v>222</v>
      </c>
      <c r="H40" s="4">
        <v>190</v>
      </c>
      <c r="I40" s="4">
        <v>30</v>
      </c>
      <c r="J40" s="4">
        <v>44</v>
      </c>
      <c r="K40" s="4">
        <v>40</v>
      </c>
      <c r="L40" s="4">
        <v>304</v>
      </c>
      <c r="M40" s="4">
        <v>304</v>
      </c>
      <c r="N40" s="4">
        <v>0</v>
      </c>
      <c r="O40" s="4">
        <v>118</v>
      </c>
      <c r="P40" s="4">
        <v>160</v>
      </c>
      <c r="Q40" s="4">
        <v>45</v>
      </c>
      <c r="R40" s="4">
        <v>323</v>
      </c>
      <c r="S40" s="4">
        <v>323</v>
      </c>
      <c r="T40" s="4">
        <v>80</v>
      </c>
      <c r="U40" s="4">
        <v>40</v>
      </c>
      <c r="V40" s="4">
        <v>40</v>
      </c>
      <c r="W40" s="4">
        <v>25</v>
      </c>
      <c r="X40" s="4">
        <v>185</v>
      </c>
      <c r="Y40" s="4">
        <v>185</v>
      </c>
      <c r="Z40" s="4">
        <v>20</v>
      </c>
      <c r="AA40" s="4">
        <v>28</v>
      </c>
      <c r="AB40" s="4">
        <v>75</v>
      </c>
      <c r="AC40" s="4">
        <v>30</v>
      </c>
      <c r="AD40" s="4">
        <v>153</v>
      </c>
      <c r="AE40" s="4">
        <v>153</v>
      </c>
      <c r="AF40" s="4">
        <v>204</v>
      </c>
      <c r="AG40" s="4">
        <v>50</v>
      </c>
      <c r="AH40" s="4">
        <v>40</v>
      </c>
      <c r="AI40" s="4">
        <v>30</v>
      </c>
      <c r="AJ40" s="4">
        <v>324</v>
      </c>
      <c r="AK40" s="4">
        <v>324</v>
      </c>
      <c r="AL40" s="4"/>
      <c r="AM40" s="4"/>
      <c r="AN40" s="4"/>
      <c r="AO40" s="4">
        <v>1511</v>
      </c>
    </row>
    <row r="41" spans="1:41" x14ac:dyDescent="0.2">
      <c r="A41" s="2" t="s">
        <v>1151</v>
      </c>
      <c r="B41" s="4">
        <v>881</v>
      </c>
      <c r="C41" s="4">
        <v>55</v>
      </c>
      <c r="D41" s="4">
        <v>65</v>
      </c>
      <c r="E41" s="4">
        <v>0</v>
      </c>
      <c r="F41" s="4">
        <v>1001</v>
      </c>
      <c r="G41" s="4">
        <v>1001</v>
      </c>
      <c r="H41" s="4">
        <v>184</v>
      </c>
      <c r="I41" s="4">
        <v>30</v>
      </c>
      <c r="J41" s="4">
        <v>50</v>
      </c>
      <c r="K41" s="4">
        <v>12</v>
      </c>
      <c r="L41" s="4">
        <v>276</v>
      </c>
      <c r="M41" s="4">
        <v>276</v>
      </c>
      <c r="N41" s="4">
        <v>492</v>
      </c>
      <c r="O41" s="4">
        <v>48</v>
      </c>
      <c r="P41" s="4">
        <v>0</v>
      </c>
      <c r="Q41" s="4">
        <v>45</v>
      </c>
      <c r="R41" s="4">
        <v>585</v>
      </c>
      <c r="S41" s="4">
        <v>585</v>
      </c>
      <c r="T41" s="4">
        <v>45</v>
      </c>
      <c r="U41" s="4">
        <v>40</v>
      </c>
      <c r="V41" s="4">
        <v>40</v>
      </c>
      <c r="W41" s="4">
        <v>60</v>
      </c>
      <c r="X41" s="4">
        <v>185</v>
      </c>
      <c r="Y41" s="4">
        <v>185</v>
      </c>
      <c r="Z41" s="4">
        <v>169</v>
      </c>
      <c r="AA41" s="4">
        <v>48</v>
      </c>
      <c r="AB41" s="4">
        <v>24</v>
      </c>
      <c r="AC41" s="4">
        <v>30</v>
      </c>
      <c r="AD41" s="4">
        <v>271</v>
      </c>
      <c r="AE41" s="4">
        <v>271</v>
      </c>
      <c r="AF41" s="4">
        <v>204</v>
      </c>
      <c r="AG41" s="4">
        <v>50</v>
      </c>
      <c r="AH41" s="4">
        <v>0</v>
      </c>
      <c r="AI41" s="4">
        <v>30</v>
      </c>
      <c r="AJ41" s="4">
        <v>284</v>
      </c>
      <c r="AK41" s="4">
        <v>284</v>
      </c>
      <c r="AL41" s="4"/>
      <c r="AM41" s="4"/>
      <c r="AN41" s="4"/>
      <c r="AO41" s="4">
        <v>2602</v>
      </c>
    </row>
    <row r="42" spans="1:41" x14ac:dyDescent="0.2">
      <c r="A42" s="2" t="s">
        <v>1180</v>
      </c>
      <c r="B42" s="4">
        <v>531</v>
      </c>
      <c r="C42" s="4">
        <v>270</v>
      </c>
      <c r="D42" s="4">
        <v>35</v>
      </c>
      <c r="E42" s="4">
        <v>100</v>
      </c>
      <c r="F42" s="4">
        <v>936</v>
      </c>
      <c r="G42" s="4">
        <v>936</v>
      </c>
      <c r="H42" s="4">
        <v>166</v>
      </c>
      <c r="I42" s="4">
        <v>30</v>
      </c>
      <c r="J42" s="4">
        <v>50</v>
      </c>
      <c r="K42" s="4">
        <v>30</v>
      </c>
      <c r="L42" s="4">
        <v>276</v>
      </c>
      <c r="M42" s="4">
        <v>276</v>
      </c>
      <c r="N42" s="4">
        <v>175</v>
      </c>
      <c r="O42" s="4">
        <v>150</v>
      </c>
      <c r="P42" s="4">
        <v>210</v>
      </c>
      <c r="Q42" s="4">
        <v>50</v>
      </c>
      <c r="R42" s="4">
        <v>585</v>
      </c>
      <c r="S42" s="4">
        <v>585</v>
      </c>
      <c r="T42" s="4">
        <v>45</v>
      </c>
      <c r="U42" s="4">
        <v>40</v>
      </c>
      <c r="V42" s="4">
        <v>17</v>
      </c>
      <c r="W42" s="4">
        <v>0</v>
      </c>
      <c r="X42" s="4">
        <v>102</v>
      </c>
      <c r="Y42" s="4">
        <v>102</v>
      </c>
      <c r="Z42" s="4">
        <v>116</v>
      </c>
      <c r="AA42" s="4">
        <v>50</v>
      </c>
      <c r="AB42" s="4">
        <v>75</v>
      </c>
      <c r="AC42" s="4">
        <v>0</v>
      </c>
      <c r="AD42" s="4">
        <v>241</v>
      </c>
      <c r="AE42" s="4">
        <v>241</v>
      </c>
      <c r="AF42" s="4">
        <v>174</v>
      </c>
      <c r="AG42" s="4">
        <v>39</v>
      </c>
      <c r="AH42" s="4">
        <v>30</v>
      </c>
      <c r="AI42" s="4">
        <v>0</v>
      </c>
      <c r="AJ42" s="4">
        <v>243</v>
      </c>
      <c r="AK42" s="4">
        <v>243</v>
      </c>
      <c r="AL42" s="4"/>
      <c r="AM42" s="4"/>
      <c r="AN42" s="4"/>
      <c r="AO42" s="4">
        <v>2383</v>
      </c>
    </row>
    <row r="43" spans="1:41" x14ac:dyDescent="0.2">
      <c r="A43" s="2" t="s">
        <v>1210</v>
      </c>
      <c r="B43" s="4">
        <v>466</v>
      </c>
      <c r="C43" s="4">
        <v>68</v>
      </c>
      <c r="D43" s="4">
        <v>100</v>
      </c>
      <c r="E43" s="4">
        <v>100</v>
      </c>
      <c r="F43" s="4">
        <v>734</v>
      </c>
      <c r="G43" s="4">
        <v>734</v>
      </c>
      <c r="H43" s="4">
        <v>166</v>
      </c>
      <c r="I43" s="4">
        <v>30</v>
      </c>
      <c r="J43" s="4">
        <v>50</v>
      </c>
      <c r="K43" s="4">
        <v>30</v>
      </c>
      <c r="L43" s="4">
        <v>276</v>
      </c>
      <c r="M43" s="4">
        <v>276</v>
      </c>
      <c r="N43" s="4">
        <v>175</v>
      </c>
      <c r="O43" s="4">
        <v>150</v>
      </c>
      <c r="P43" s="4">
        <v>76</v>
      </c>
      <c r="Q43" s="4">
        <v>0</v>
      </c>
      <c r="R43" s="4">
        <v>401</v>
      </c>
      <c r="S43" s="4">
        <v>401</v>
      </c>
      <c r="T43" s="4">
        <v>0</v>
      </c>
      <c r="U43" s="4">
        <v>22</v>
      </c>
      <c r="V43" s="4">
        <v>25</v>
      </c>
      <c r="W43" s="4">
        <v>36</v>
      </c>
      <c r="X43" s="4">
        <v>83</v>
      </c>
      <c r="Y43" s="4">
        <v>83</v>
      </c>
      <c r="Z43" s="4">
        <v>86</v>
      </c>
      <c r="AA43" s="4">
        <v>50</v>
      </c>
      <c r="AB43" s="4">
        <v>50</v>
      </c>
      <c r="AC43" s="4">
        <v>30</v>
      </c>
      <c r="AD43" s="4">
        <v>216</v>
      </c>
      <c r="AE43" s="4">
        <v>216</v>
      </c>
      <c r="AF43" s="4">
        <v>133</v>
      </c>
      <c r="AG43" s="4">
        <v>50</v>
      </c>
      <c r="AH43" s="4">
        <v>30</v>
      </c>
      <c r="AI43" s="4">
        <v>30</v>
      </c>
      <c r="AJ43" s="4">
        <v>243</v>
      </c>
      <c r="AK43" s="4">
        <v>243</v>
      </c>
      <c r="AL43" s="4"/>
      <c r="AM43" s="4"/>
      <c r="AN43" s="4"/>
      <c r="AO43" s="4">
        <v>1953</v>
      </c>
    </row>
    <row r="44" spans="1:41" x14ac:dyDescent="0.2">
      <c r="A44" s="2" t="s">
        <v>1240</v>
      </c>
      <c r="B44" s="4">
        <v>264</v>
      </c>
      <c r="C44" s="4">
        <v>202</v>
      </c>
      <c r="D44" s="4">
        <v>0</v>
      </c>
      <c r="E44" s="4">
        <v>100</v>
      </c>
      <c r="F44" s="4">
        <v>566</v>
      </c>
      <c r="G44" s="4">
        <v>566</v>
      </c>
      <c r="H44" s="4">
        <v>166</v>
      </c>
      <c r="I44" s="4">
        <v>5</v>
      </c>
      <c r="J44" s="4">
        <v>23</v>
      </c>
      <c r="K44" s="4">
        <v>30</v>
      </c>
      <c r="L44" s="4">
        <v>224</v>
      </c>
      <c r="M44" s="4">
        <v>224</v>
      </c>
      <c r="N44" s="4">
        <v>0</v>
      </c>
      <c r="O44" s="4">
        <v>151</v>
      </c>
      <c r="P44" s="4">
        <v>203</v>
      </c>
      <c r="Q44" s="4">
        <v>47</v>
      </c>
      <c r="R44" s="4">
        <v>401</v>
      </c>
      <c r="S44" s="4">
        <v>401</v>
      </c>
      <c r="T44" s="4">
        <v>0</v>
      </c>
      <c r="U44" s="4">
        <v>2</v>
      </c>
      <c r="V44" s="4">
        <v>23</v>
      </c>
      <c r="W44" s="4">
        <v>14</v>
      </c>
      <c r="X44" s="4">
        <v>39</v>
      </c>
      <c r="Y44" s="4">
        <v>39</v>
      </c>
      <c r="Z44" s="4">
        <v>61</v>
      </c>
      <c r="AA44" s="4">
        <v>15</v>
      </c>
      <c r="AB44" s="4">
        <v>75</v>
      </c>
      <c r="AC44" s="4">
        <v>30</v>
      </c>
      <c r="AD44" s="4">
        <v>181</v>
      </c>
      <c r="AE44" s="4">
        <v>181</v>
      </c>
      <c r="AF44" s="4">
        <v>133</v>
      </c>
      <c r="AG44" s="4">
        <v>0</v>
      </c>
      <c r="AH44" s="4">
        <v>30</v>
      </c>
      <c r="AI44" s="4">
        <v>30</v>
      </c>
      <c r="AJ44" s="4">
        <v>193</v>
      </c>
      <c r="AK44" s="4">
        <v>193</v>
      </c>
      <c r="AL44" s="4"/>
      <c r="AM44" s="4"/>
      <c r="AN44" s="4"/>
      <c r="AO44" s="4">
        <v>1604</v>
      </c>
    </row>
    <row r="45" spans="1:41" x14ac:dyDescent="0.2">
      <c r="A45" s="2" t="s">
        <v>1270</v>
      </c>
      <c r="B45" s="4">
        <v>96</v>
      </c>
      <c r="C45" s="4">
        <v>68</v>
      </c>
      <c r="D45" s="4">
        <v>100</v>
      </c>
      <c r="E45" s="4">
        <v>38</v>
      </c>
      <c r="F45" s="4">
        <v>302</v>
      </c>
      <c r="G45" s="4">
        <v>302</v>
      </c>
      <c r="H45" s="4">
        <v>114</v>
      </c>
      <c r="I45" s="4">
        <v>30</v>
      </c>
      <c r="J45" s="4">
        <v>50</v>
      </c>
      <c r="K45" s="4">
        <v>30</v>
      </c>
      <c r="L45" s="4">
        <v>224</v>
      </c>
      <c r="M45" s="4">
        <v>224</v>
      </c>
      <c r="N45" s="4">
        <v>0</v>
      </c>
      <c r="O45" s="4">
        <v>77</v>
      </c>
      <c r="P45" s="4">
        <v>149</v>
      </c>
      <c r="Q45" s="4">
        <v>47</v>
      </c>
      <c r="R45" s="4">
        <v>273</v>
      </c>
      <c r="S45" s="4">
        <v>273</v>
      </c>
      <c r="T45" s="4">
        <v>0</v>
      </c>
      <c r="U45" s="4">
        <v>0</v>
      </c>
      <c r="V45" s="4">
        <v>23</v>
      </c>
      <c r="W45" s="4">
        <v>0</v>
      </c>
      <c r="X45" s="4">
        <v>23</v>
      </c>
      <c r="Y45" s="4">
        <v>23</v>
      </c>
      <c r="Z45" s="4">
        <v>26</v>
      </c>
      <c r="AA45" s="4">
        <v>35</v>
      </c>
      <c r="AB45" s="4">
        <v>41</v>
      </c>
      <c r="AC45" s="4">
        <v>30</v>
      </c>
      <c r="AD45" s="4">
        <v>132</v>
      </c>
      <c r="AE45" s="4">
        <v>132</v>
      </c>
      <c r="AF45" s="4">
        <v>83</v>
      </c>
      <c r="AG45" s="4">
        <v>50</v>
      </c>
      <c r="AH45" s="4">
        <v>30</v>
      </c>
      <c r="AI45" s="4">
        <v>0</v>
      </c>
      <c r="AJ45" s="4">
        <v>163</v>
      </c>
      <c r="AK45" s="4">
        <v>163</v>
      </c>
      <c r="AL45" s="4"/>
      <c r="AM45" s="4"/>
      <c r="AN45" s="4"/>
      <c r="AO45" s="4">
        <v>1117</v>
      </c>
    </row>
    <row r="46" spans="1:41" x14ac:dyDescent="0.2">
      <c r="A46" s="2" t="s">
        <v>1295</v>
      </c>
      <c r="B46" s="4">
        <v>0</v>
      </c>
      <c r="C46" s="4">
        <v>74</v>
      </c>
      <c r="D46" s="4">
        <v>25</v>
      </c>
      <c r="E46" s="4">
        <v>22</v>
      </c>
      <c r="F46" s="4">
        <v>121</v>
      </c>
      <c r="G46" s="4">
        <v>121</v>
      </c>
      <c r="H46" s="4">
        <v>114</v>
      </c>
      <c r="I46" s="4">
        <v>30</v>
      </c>
      <c r="J46" s="4">
        <v>28</v>
      </c>
      <c r="K46" s="4">
        <v>30</v>
      </c>
      <c r="L46" s="4">
        <v>202</v>
      </c>
      <c r="M46" s="4">
        <v>202</v>
      </c>
      <c r="N46" s="4">
        <v>0</v>
      </c>
      <c r="O46" s="4">
        <v>0</v>
      </c>
      <c r="P46" s="4">
        <v>92</v>
      </c>
      <c r="Q46" s="4">
        <v>47</v>
      </c>
      <c r="R46" s="4">
        <v>139</v>
      </c>
      <c r="S46" s="4">
        <v>139</v>
      </c>
      <c r="T46" s="4">
        <v>0</v>
      </c>
      <c r="U46" s="4">
        <v>0</v>
      </c>
      <c r="V46" s="4">
        <v>23</v>
      </c>
      <c r="W46" s="4">
        <v>0</v>
      </c>
      <c r="X46" s="4">
        <v>23</v>
      </c>
      <c r="Y46" s="4">
        <v>23</v>
      </c>
      <c r="Z46" s="4">
        <v>0</v>
      </c>
      <c r="AA46" s="4">
        <v>43</v>
      </c>
      <c r="AB46" s="4">
        <v>18</v>
      </c>
      <c r="AC46" s="4">
        <v>30</v>
      </c>
      <c r="AD46" s="4">
        <v>91</v>
      </c>
      <c r="AE46" s="4">
        <v>91</v>
      </c>
      <c r="AF46" s="4">
        <v>53</v>
      </c>
      <c r="AG46" s="4">
        <v>2</v>
      </c>
      <c r="AH46" s="4">
        <v>30</v>
      </c>
      <c r="AI46" s="4">
        <v>30</v>
      </c>
      <c r="AJ46" s="4">
        <v>115</v>
      </c>
      <c r="AK46" s="4">
        <v>115</v>
      </c>
      <c r="AL46" s="4"/>
      <c r="AM46" s="4"/>
      <c r="AN46" s="4"/>
      <c r="AO46" s="4">
        <v>691</v>
      </c>
    </row>
    <row r="47" spans="1:41" x14ac:dyDescent="0.2">
      <c r="A47" s="2" t="s">
        <v>1329</v>
      </c>
      <c r="B47" s="4">
        <v>1400</v>
      </c>
      <c r="C47" s="4">
        <v>0</v>
      </c>
      <c r="D47" s="4">
        <v>25</v>
      </c>
      <c r="E47" s="4">
        <v>22</v>
      </c>
      <c r="F47" s="4">
        <v>1447</v>
      </c>
      <c r="G47" s="4">
        <v>1447</v>
      </c>
      <c r="H47" s="4">
        <v>192</v>
      </c>
      <c r="I47" s="4">
        <v>30</v>
      </c>
      <c r="J47" s="4">
        <v>50</v>
      </c>
      <c r="K47" s="4">
        <v>4</v>
      </c>
      <c r="L47" s="4">
        <v>276</v>
      </c>
      <c r="M47" s="4">
        <v>276</v>
      </c>
      <c r="N47" s="4">
        <v>1200</v>
      </c>
      <c r="O47" s="4">
        <v>0</v>
      </c>
      <c r="P47" s="4">
        <v>6</v>
      </c>
      <c r="Q47" s="4">
        <v>47</v>
      </c>
      <c r="R47" s="4">
        <v>1253</v>
      </c>
      <c r="S47" s="4">
        <v>1253</v>
      </c>
      <c r="T47" s="4">
        <v>253</v>
      </c>
      <c r="U47" s="4">
        <v>0</v>
      </c>
      <c r="V47" s="4">
        <v>23</v>
      </c>
      <c r="W47" s="4">
        <v>0</v>
      </c>
      <c r="X47" s="4">
        <v>276</v>
      </c>
      <c r="Y47" s="4">
        <v>276</v>
      </c>
      <c r="Z47" s="4">
        <v>450</v>
      </c>
      <c r="AA47" s="4">
        <v>43</v>
      </c>
      <c r="AB47" s="4">
        <v>18</v>
      </c>
      <c r="AC47" s="4">
        <v>30</v>
      </c>
      <c r="AD47" s="4">
        <v>541</v>
      </c>
      <c r="AE47" s="4">
        <v>541</v>
      </c>
      <c r="AF47" s="4">
        <v>262</v>
      </c>
      <c r="AG47" s="4">
        <v>48</v>
      </c>
      <c r="AH47" s="4">
        <v>30</v>
      </c>
      <c r="AI47" s="4">
        <v>30</v>
      </c>
      <c r="AJ47" s="4">
        <v>370</v>
      </c>
      <c r="AK47" s="4">
        <v>370</v>
      </c>
      <c r="AL47" s="4"/>
      <c r="AM47" s="4"/>
      <c r="AN47" s="4"/>
      <c r="AO47" s="4">
        <v>4163</v>
      </c>
    </row>
    <row r="48" spans="1:41" x14ac:dyDescent="0.2">
      <c r="A48" s="2" t="s">
        <v>1353</v>
      </c>
      <c r="B48" s="4">
        <v>977</v>
      </c>
      <c r="C48" s="4">
        <v>270</v>
      </c>
      <c r="D48" s="4">
        <v>100</v>
      </c>
      <c r="E48" s="4">
        <v>100</v>
      </c>
      <c r="F48" s="4">
        <v>1447</v>
      </c>
      <c r="G48" s="4">
        <v>1447</v>
      </c>
      <c r="H48" s="4">
        <v>166</v>
      </c>
      <c r="I48" s="4">
        <v>30</v>
      </c>
      <c r="J48" s="4">
        <v>50</v>
      </c>
      <c r="K48" s="4">
        <v>30</v>
      </c>
      <c r="L48" s="4">
        <v>276</v>
      </c>
      <c r="M48" s="4">
        <v>276</v>
      </c>
      <c r="N48" s="4">
        <v>843</v>
      </c>
      <c r="O48" s="4">
        <v>150</v>
      </c>
      <c r="P48" s="4">
        <v>204</v>
      </c>
      <c r="Q48" s="4">
        <v>50</v>
      </c>
      <c r="R48" s="4">
        <v>1247</v>
      </c>
      <c r="S48" s="4">
        <v>1247</v>
      </c>
      <c r="T48" s="4">
        <v>156</v>
      </c>
      <c r="U48" s="4">
        <v>30</v>
      </c>
      <c r="V48" s="4">
        <v>12</v>
      </c>
      <c r="W48" s="4">
        <v>60</v>
      </c>
      <c r="X48" s="4">
        <v>258</v>
      </c>
      <c r="Y48" s="4">
        <v>258</v>
      </c>
      <c r="Z48" s="4">
        <v>386</v>
      </c>
      <c r="AA48" s="4">
        <v>7</v>
      </c>
      <c r="AB48" s="4">
        <v>57</v>
      </c>
      <c r="AC48" s="4">
        <v>30</v>
      </c>
      <c r="AD48" s="4">
        <v>480</v>
      </c>
      <c r="AE48" s="4">
        <v>480</v>
      </c>
      <c r="AF48" s="4">
        <v>260</v>
      </c>
      <c r="AG48" s="4">
        <v>5</v>
      </c>
      <c r="AH48" s="4">
        <v>30</v>
      </c>
      <c r="AI48" s="4">
        <v>30</v>
      </c>
      <c r="AJ48" s="4">
        <v>325</v>
      </c>
      <c r="AK48" s="4">
        <v>325</v>
      </c>
      <c r="AL48" s="4"/>
      <c r="AM48" s="4"/>
      <c r="AN48" s="4"/>
      <c r="AO48" s="4">
        <v>4033</v>
      </c>
    </row>
    <row r="49" spans="1:41" x14ac:dyDescent="0.2">
      <c r="A49" s="2" t="s">
        <v>1354</v>
      </c>
      <c r="B49" s="4">
        <v>977</v>
      </c>
      <c r="C49" s="4">
        <v>189</v>
      </c>
      <c r="D49" s="4">
        <v>100</v>
      </c>
      <c r="E49" s="4">
        <v>100</v>
      </c>
      <c r="F49" s="4">
        <v>1366</v>
      </c>
      <c r="G49" s="4">
        <v>1366</v>
      </c>
      <c r="H49" s="4">
        <v>166</v>
      </c>
      <c r="I49" s="4">
        <v>30</v>
      </c>
      <c r="J49" s="4">
        <v>50</v>
      </c>
      <c r="K49" s="4">
        <v>30</v>
      </c>
      <c r="L49" s="4">
        <v>276</v>
      </c>
      <c r="M49" s="4">
        <v>276</v>
      </c>
      <c r="N49" s="4">
        <v>837</v>
      </c>
      <c r="O49" s="4">
        <v>73</v>
      </c>
      <c r="P49" s="4">
        <v>24</v>
      </c>
      <c r="Q49" s="4">
        <v>50</v>
      </c>
      <c r="R49" s="4">
        <v>984</v>
      </c>
      <c r="S49" s="4">
        <v>984</v>
      </c>
      <c r="T49" s="4">
        <v>138</v>
      </c>
      <c r="U49" s="4">
        <v>0</v>
      </c>
      <c r="V49" s="4">
        <v>30</v>
      </c>
      <c r="W49" s="4">
        <v>60</v>
      </c>
      <c r="X49" s="4">
        <v>228</v>
      </c>
      <c r="Y49" s="4">
        <v>228</v>
      </c>
      <c r="Z49" s="4">
        <v>325</v>
      </c>
      <c r="AA49" s="4">
        <v>50</v>
      </c>
      <c r="AB49" s="4">
        <v>51</v>
      </c>
      <c r="AC49" s="4">
        <v>30</v>
      </c>
      <c r="AD49" s="4">
        <v>456</v>
      </c>
      <c r="AE49" s="4">
        <v>456</v>
      </c>
      <c r="AF49" s="4">
        <v>215</v>
      </c>
      <c r="AG49" s="4">
        <v>50</v>
      </c>
      <c r="AH49" s="4">
        <v>30</v>
      </c>
      <c r="AI49" s="4">
        <v>30</v>
      </c>
      <c r="AJ49" s="4">
        <v>325</v>
      </c>
      <c r="AK49" s="4">
        <v>325</v>
      </c>
      <c r="AL49" s="4"/>
      <c r="AM49" s="4"/>
      <c r="AN49" s="4"/>
      <c r="AO49" s="4">
        <v>3635</v>
      </c>
    </row>
    <row r="50" spans="1:41" x14ac:dyDescent="0.2">
      <c r="A50" s="2" t="s">
        <v>1415</v>
      </c>
      <c r="B50" s="4">
        <v>896</v>
      </c>
      <c r="C50" s="4">
        <v>136</v>
      </c>
      <c r="D50" s="4">
        <v>100</v>
      </c>
      <c r="E50" s="4">
        <v>15</v>
      </c>
      <c r="F50" s="4">
        <v>1147</v>
      </c>
      <c r="G50" s="4">
        <v>1147</v>
      </c>
      <c r="H50" s="4">
        <v>166</v>
      </c>
      <c r="I50" s="4">
        <v>30</v>
      </c>
      <c r="J50" s="4">
        <v>0</v>
      </c>
      <c r="K50" s="4">
        <v>30</v>
      </c>
      <c r="L50" s="4">
        <v>226</v>
      </c>
      <c r="M50" s="4">
        <v>226</v>
      </c>
      <c r="N50" s="4">
        <v>524</v>
      </c>
      <c r="O50" s="4">
        <v>77</v>
      </c>
      <c r="P50" s="4">
        <v>186</v>
      </c>
      <c r="Q50" s="4">
        <v>100</v>
      </c>
      <c r="R50" s="4">
        <v>887</v>
      </c>
      <c r="S50" s="4">
        <v>887</v>
      </c>
      <c r="T50" s="4">
        <v>108</v>
      </c>
      <c r="U50" s="4">
        <v>30</v>
      </c>
      <c r="V50" s="4">
        <v>30</v>
      </c>
      <c r="W50" s="4">
        <v>37</v>
      </c>
      <c r="X50" s="4">
        <v>205</v>
      </c>
      <c r="Y50" s="4">
        <v>205</v>
      </c>
      <c r="Z50" s="4">
        <v>281</v>
      </c>
      <c r="AA50" s="4">
        <v>22</v>
      </c>
      <c r="AB50" s="4">
        <v>75</v>
      </c>
      <c r="AC50" s="4">
        <v>50</v>
      </c>
      <c r="AD50" s="4">
        <v>428</v>
      </c>
      <c r="AE50" s="4">
        <v>428</v>
      </c>
      <c r="AF50" s="4">
        <v>215</v>
      </c>
      <c r="AG50" s="4">
        <v>50</v>
      </c>
      <c r="AH50" s="4">
        <v>30</v>
      </c>
      <c r="AI50" s="4">
        <v>30</v>
      </c>
      <c r="AJ50" s="4">
        <v>325</v>
      </c>
      <c r="AK50" s="4">
        <v>325</v>
      </c>
      <c r="AL50" s="4"/>
      <c r="AM50" s="4"/>
      <c r="AN50" s="4"/>
      <c r="AO50" s="4">
        <v>3218</v>
      </c>
    </row>
    <row r="51" spans="1:41" x14ac:dyDescent="0.2">
      <c r="A51" s="2" t="s">
        <v>1446</v>
      </c>
      <c r="B51" s="4">
        <v>677</v>
      </c>
      <c r="C51" s="4">
        <v>198</v>
      </c>
      <c r="D51" s="4">
        <v>46</v>
      </c>
      <c r="E51" s="4">
        <v>85</v>
      </c>
      <c r="F51" s="4">
        <v>1006</v>
      </c>
      <c r="G51" s="4">
        <v>1006</v>
      </c>
      <c r="H51" s="4">
        <v>116</v>
      </c>
      <c r="I51" s="4">
        <v>7</v>
      </c>
      <c r="J51" s="4">
        <v>50</v>
      </c>
      <c r="K51" s="4">
        <v>30</v>
      </c>
      <c r="L51" s="4">
        <v>203</v>
      </c>
      <c r="M51" s="4">
        <v>203</v>
      </c>
      <c r="N51" s="4">
        <v>427</v>
      </c>
      <c r="O51" s="4">
        <v>73</v>
      </c>
      <c r="P51" s="4">
        <v>210</v>
      </c>
      <c r="Q51" s="4">
        <v>100</v>
      </c>
      <c r="R51" s="4">
        <v>810</v>
      </c>
      <c r="S51" s="4">
        <v>810</v>
      </c>
      <c r="T51" s="4">
        <v>85</v>
      </c>
      <c r="U51" s="4">
        <v>30</v>
      </c>
      <c r="V51" s="4">
        <v>30</v>
      </c>
      <c r="W51" s="4">
        <v>60</v>
      </c>
      <c r="X51" s="4">
        <v>205</v>
      </c>
      <c r="Y51" s="4">
        <v>205</v>
      </c>
      <c r="Z51" s="4">
        <v>253</v>
      </c>
      <c r="AA51" s="4">
        <v>50</v>
      </c>
      <c r="AB51" s="4">
        <v>8</v>
      </c>
      <c r="AC51" s="4">
        <v>50</v>
      </c>
      <c r="AD51" s="4">
        <v>361</v>
      </c>
      <c r="AE51" s="4">
        <v>361</v>
      </c>
      <c r="AF51" s="4">
        <v>215</v>
      </c>
      <c r="AG51" s="4">
        <v>0</v>
      </c>
      <c r="AH51" s="4">
        <v>30</v>
      </c>
      <c r="AI51" s="4">
        <v>30</v>
      </c>
      <c r="AJ51" s="4">
        <v>275</v>
      </c>
      <c r="AK51" s="4">
        <v>275</v>
      </c>
      <c r="AL51" s="4"/>
      <c r="AM51" s="4"/>
      <c r="AN51" s="4"/>
      <c r="AO51" s="4">
        <v>2860</v>
      </c>
    </row>
    <row r="52" spans="1:41" x14ac:dyDescent="0.2">
      <c r="A52" s="2" t="s">
        <v>1474</v>
      </c>
      <c r="B52" s="4">
        <v>536</v>
      </c>
      <c r="C52" s="4">
        <v>136</v>
      </c>
      <c r="D52" s="4">
        <v>100</v>
      </c>
      <c r="E52" s="4">
        <v>80</v>
      </c>
      <c r="F52" s="4">
        <v>852</v>
      </c>
      <c r="G52" s="4">
        <v>852</v>
      </c>
      <c r="H52" s="4">
        <v>93</v>
      </c>
      <c r="I52" s="4">
        <v>30</v>
      </c>
      <c r="J52" s="4">
        <v>50</v>
      </c>
      <c r="K52" s="4">
        <v>7</v>
      </c>
      <c r="L52" s="4">
        <v>180</v>
      </c>
      <c r="M52" s="4">
        <v>180</v>
      </c>
      <c r="N52" s="4">
        <v>350</v>
      </c>
      <c r="O52" s="4">
        <v>150</v>
      </c>
      <c r="P52" s="4">
        <v>210</v>
      </c>
      <c r="Q52" s="4">
        <v>100</v>
      </c>
      <c r="R52" s="4">
        <v>810</v>
      </c>
      <c r="S52" s="4">
        <v>810</v>
      </c>
      <c r="T52" s="4">
        <v>85</v>
      </c>
      <c r="U52" s="4">
        <v>30</v>
      </c>
      <c r="V52" s="4">
        <v>30</v>
      </c>
      <c r="W52" s="4">
        <v>18</v>
      </c>
      <c r="X52" s="4">
        <v>163</v>
      </c>
      <c r="Y52" s="4">
        <v>163</v>
      </c>
      <c r="Z52" s="4">
        <v>186</v>
      </c>
      <c r="AA52" s="4">
        <v>4</v>
      </c>
      <c r="AB52" s="4">
        <v>75</v>
      </c>
      <c r="AC52" s="4">
        <v>21</v>
      </c>
      <c r="AD52" s="4">
        <v>286</v>
      </c>
      <c r="AE52" s="4">
        <v>286</v>
      </c>
      <c r="AF52" s="4">
        <v>165</v>
      </c>
      <c r="AG52" s="4">
        <v>50</v>
      </c>
      <c r="AH52" s="4">
        <v>30</v>
      </c>
      <c r="AI52" s="4">
        <v>30</v>
      </c>
      <c r="AJ52" s="4">
        <v>275</v>
      </c>
      <c r="AK52" s="4">
        <v>275</v>
      </c>
      <c r="AL52" s="4"/>
      <c r="AM52" s="4"/>
      <c r="AN52" s="4"/>
      <c r="AO52" s="4">
        <v>2566</v>
      </c>
    </row>
    <row r="53" spans="1:41" x14ac:dyDescent="0.2">
      <c r="A53" s="2" t="s">
        <v>1475</v>
      </c>
      <c r="B53" s="4">
        <v>382</v>
      </c>
      <c r="C53" s="4">
        <v>191</v>
      </c>
      <c r="D53" s="4">
        <v>100</v>
      </c>
      <c r="E53" s="4">
        <v>100</v>
      </c>
      <c r="F53" s="4">
        <v>773</v>
      </c>
      <c r="G53" s="4">
        <v>773</v>
      </c>
      <c r="H53" s="4">
        <v>70</v>
      </c>
      <c r="I53" s="4">
        <v>3</v>
      </c>
      <c r="J53" s="4">
        <v>50</v>
      </c>
      <c r="K53" s="4">
        <v>30</v>
      </c>
      <c r="L53" s="4">
        <v>153</v>
      </c>
      <c r="M53" s="4">
        <v>153</v>
      </c>
      <c r="N53" s="4">
        <v>350</v>
      </c>
      <c r="O53" s="4">
        <v>79</v>
      </c>
      <c r="P53" s="4">
        <v>80</v>
      </c>
      <c r="Q53" s="4">
        <v>29</v>
      </c>
      <c r="R53" s="4">
        <v>538</v>
      </c>
      <c r="S53" s="4">
        <v>538</v>
      </c>
      <c r="T53" s="4">
        <v>43</v>
      </c>
      <c r="U53" s="4">
        <v>30</v>
      </c>
      <c r="V53" s="4">
        <v>30</v>
      </c>
      <c r="W53" s="4">
        <v>42</v>
      </c>
      <c r="X53" s="4">
        <v>145</v>
      </c>
      <c r="Y53" s="4">
        <v>145</v>
      </c>
      <c r="Z53" s="4">
        <v>111</v>
      </c>
      <c r="AA53" s="4">
        <v>50</v>
      </c>
      <c r="AB53" s="4">
        <v>75</v>
      </c>
      <c r="AC53" s="4">
        <v>50</v>
      </c>
      <c r="AD53" s="4">
        <v>286</v>
      </c>
      <c r="AE53" s="4">
        <v>286</v>
      </c>
      <c r="AF53" s="4">
        <v>165</v>
      </c>
      <c r="AG53" s="4">
        <v>50</v>
      </c>
      <c r="AH53" s="4">
        <v>30</v>
      </c>
      <c r="AI53" s="4">
        <v>30</v>
      </c>
      <c r="AJ53" s="4">
        <v>275</v>
      </c>
      <c r="AK53" s="4">
        <v>275</v>
      </c>
      <c r="AL53" s="4"/>
      <c r="AM53" s="4"/>
      <c r="AN53" s="4"/>
      <c r="AO53" s="4">
        <v>2170</v>
      </c>
    </row>
    <row r="54" spans="1:41" x14ac:dyDescent="0.2">
      <c r="A54" s="2" t="s">
        <v>1476</v>
      </c>
      <c r="B54" s="4">
        <v>303</v>
      </c>
      <c r="C54" s="4">
        <v>79</v>
      </c>
      <c r="D54" s="4">
        <v>100</v>
      </c>
      <c r="E54" s="4">
        <v>100</v>
      </c>
      <c r="F54" s="4">
        <v>582</v>
      </c>
      <c r="G54" s="4">
        <v>582</v>
      </c>
      <c r="H54" s="4">
        <v>43</v>
      </c>
      <c r="I54" s="4">
        <v>30</v>
      </c>
      <c r="J54" s="4">
        <v>50</v>
      </c>
      <c r="K54" s="4">
        <v>30</v>
      </c>
      <c r="L54" s="4">
        <v>153</v>
      </c>
      <c r="M54" s="4">
        <v>153</v>
      </c>
      <c r="N54" s="4">
        <v>78</v>
      </c>
      <c r="O54" s="4">
        <v>71</v>
      </c>
      <c r="P54" s="4">
        <v>210</v>
      </c>
      <c r="Q54" s="4">
        <v>100</v>
      </c>
      <c r="R54" s="4">
        <v>459</v>
      </c>
      <c r="S54" s="4">
        <v>459</v>
      </c>
      <c r="T54" s="4">
        <v>25</v>
      </c>
      <c r="U54" s="4">
        <v>30</v>
      </c>
      <c r="V54" s="4">
        <v>30</v>
      </c>
      <c r="W54" s="4">
        <v>60</v>
      </c>
      <c r="X54" s="4">
        <v>145</v>
      </c>
      <c r="Y54" s="4">
        <v>145</v>
      </c>
      <c r="Z54" s="4">
        <v>111</v>
      </c>
      <c r="AA54" s="4">
        <v>50</v>
      </c>
      <c r="AB54" s="4">
        <v>75</v>
      </c>
      <c r="AC54" s="4">
        <v>18</v>
      </c>
      <c r="AD54" s="4">
        <v>254</v>
      </c>
      <c r="AE54" s="4">
        <v>254</v>
      </c>
      <c r="AF54" s="4">
        <v>165</v>
      </c>
      <c r="AG54" s="4">
        <v>0</v>
      </c>
      <c r="AH54" s="4">
        <v>0</v>
      </c>
      <c r="AI54" s="4">
        <v>30</v>
      </c>
      <c r="AJ54" s="4">
        <v>195</v>
      </c>
      <c r="AK54" s="4">
        <v>195</v>
      </c>
      <c r="AL54" s="4"/>
      <c r="AM54" s="4"/>
      <c r="AN54" s="4"/>
      <c r="AO54" s="4">
        <v>1788</v>
      </c>
    </row>
    <row r="55" spans="1:41" x14ac:dyDescent="0.2">
      <c r="A55" s="2" t="s">
        <v>1477</v>
      </c>
      <c r="B55" s="4">
        <v>660</v>
      </c>
      <c r="C55" s="4">
        <v>191</v>
      </c>
      <c r="D55" s="4">
        <v>100</v>
      </c>
      <c r="E55" s="4">
        <v>100</v>
      </c>
      <c r="F55" s="4">
        <v>1051</v>
      </c>
      <c r="G55" s="4">
        <v>1051</v>
      </c>
      <c r="H55" s="4">
        <v>43</v>
      </c>
      <c r="I55" s="4">
        <v>30</v>
      </c>
      <c r="J55" s="4">
        <v>50</v>
      </c>
      <c r="K55" s="4">
        <v>30</v>
      </c>
      <c r="L55" s="4">
        <v>153</v>
      </c>
      <c r="M55" s="4">
        <v>153</v>
      </c>
      <c r="N55" s="4">
        <v>390</v>
      </c>
      <c r="O55" s="4">
        <v>149</v>
      </c>
      <c r="P55" s="4">
        <v>210</v>
      </c>
      <c r="Q55" s="4">
        <v>100</v>
      </c>
      <c r="R55" s="4">
        <v>849</v>
      </c>
      <c r="S55" s="4">
        <v>849</v>
      </c>
      <c r="T55" s="4">
        <v>162</v>
      </c>
      <c r="U55" s="4">
        <v>30</v>
      </c>
      <c r="V55" s="4">
        <v>30</v>
      </c>
      <c r="W55" s="4">
        <v>43</v>
      </c>
      <c r="X55" s="4">
        <v>265</v>
      </c>
      <c r="Y55" s="4">
        <v>265</v>
      </c>
      <c r="Z55" s="4">
        <v>243</v>
      </c>
      <c r="AA55" s="4">
        <v>50</v>
      </c>
      <c r="AB55" s="4">
        <v>44</v>
      </c>
      <c r="AC55" s="4">
        <v>50</v>
      </c>
      <c r="AD55" s="4">
        <v>387</v>
      </c>
      <c r="AE55" s="4">
        <v>387</v>
      </c>
      <c r="AF55" s="4">
        <v>110</v>
      </c>
      <c r="AG55" s="4">
        <v>50</v>
      </c>
      <c r="AH55" s="4">
        <v>30</v>
      </c>
      <c r="AI55" s="4">
        <v>30</v>
      </c>
      <c r="AJ55" s="4">
        <v>220</v>
      </c>
      <c r="AK55" s="4">
        <v>220</v>
      </c>
      <c r="AL55" s="4"/>
      <c r="AM55" s="4"/>
      <c r="AN55" s="4"/>
      <c r="AO55" s="4">
        <v>2925</v>
      </c>
    </row>
    <row r="56" spans="1:41" x14ac:dyDescent="0.2">
      <c r="A56" s="2" t="s">
        <v>1596</v>
      </c>
      <c r="B56" s="4">
        <v>581</v>
      </c>
      <c r="C56" s="4">
        <v>147</v>
      </c>
      <c r="D56" s="4">
        <v>100</v>
      </c>
      <c r="E56" s="4">
        <v>29</v>
      </c>
      <c r="F56" s="4">
        <v>857</v>
      </c>
      <c r="G56" s="4">
        <v>857</v>
      </c>
      <c r="H56" s="4">
        <v>43</v>
      </c>
      <c r="I56" s="4">
        <v>9</v>
      </c>
      <c r="J56" s="4">
        <v>21</v>
      </c>
      <c r="K56" s="4">
        <v>30</v>
      </c>
      <c r="L56" s="4">
        <v>103</v>
      </c>
      <c r="M56" s="4">
        <v>103</v>
      </c>
      <c r="N56" s="4">
        <v>389</v>
      </c>
      <c r="O56" s="4">
        <v>102</v>
      </c>
      <c r="P56" s="4">
        <v>121</v>
      </c>
      <c r="Q56" s="4">
        <v>0</v>
      </c>
      <c r="R56" s="4">
        <v>612</v>
      </c>
      <c r="S56" s="4">
        <v>612</v>
      </c>
      <c r="T56" s="4">
        <v>145</v>
      </c>
      <c r="U56" s="4">
        <v>30</v>
      </c>
      <c r="V56" s="4">
        <v>30</v>
      </c>
      <c r="W56" s="4">
        <v>22</v>
      </c>
      <c r="X56" s="4">
        <v>227</v>
      </c>
      <c r="Y56" s="4">
        <v>227</v>
      </c>
      <c r="Z56" s="4">
        <v>212</v>
      </c>
      <c r="AA56" s="4">
        <v>50</v>
      </c>
      <c r="AB56" s="4">
        <v>44</v>
      </c>
      <c r="AC56" s="4">
        <v>15</v>
      </c>
      <c r="AD56" s="4">
        <v>321</v>
      </c>
      <c r="AE56" s="4">
        <v>321</v>
      </c>
      <c r="AF56" s="4">
        <v>110</v>
      </c>
      <c r="AG56" s="4">
        <v>50</v>
      </c>
      <c r="AH56" s="4">
        <v>0</v>
      </c>
      <c r="AI56" s="4">
        <v>0</v>
      </c>
      <c r="AJ56" s="4">
        <v>160</v>
      </c>
      <c r="AK56" s="4">
        <v>160</v>
      </c>
      <c r="AL56" s="4"/>
      <c r="AM56" s="4"/>
      <c r="AN56" s="4"/>
      <c r="AO56" s="4">
        <v>2280</v>
      </c>
    </row>
    <row r="57" spans="1:41" x14ac:dyDescent="0.2">
      <c r="A57" s="2" t="s">
        <v>1626</v>
      </c>
      <c r="B57" s="4">
        <v>387</v>
      </c>
      <c r="C57" s="4">
        <v>188</v>
      </c>
      <c r="D57" s="4">
        <v>24</v>
      </c>
      <c r="E57" s="4">
        <v>100</v>
      </c>
      <c r="F57" s="4">
        <v>699</v>
      </c>
      <c r="G57" s="4">
        <v>699</v>
      </c>
      <c r="H57" s="4">
        <v>0</v>
      </c>
      <c r="I57" s="4">
        <v>28</v>
      </c>
      <c r="J57" s="4">
        <v>24</v>
      </c>
      <c r="K57" s="4">
        <v>30</v>
      </c>
      <c r="L57" s="4">
        <v>82</v>
      </c>
      <c r="M57" s="4">
        <v>82</v>
      </c>
      <c r="N57" s="4">
        <v>152</v>
      </c>
      <c r="O57" s="4">
        <v>150</v>
      </c>
      <c r="P57" s="4">
        <v>96</v>
      </c>
      <c r="Q57" s="4">
        <v>100</v>
      </c>
      <c r="R57" s="4">
        <v>498</v>
      </c>
      <c r="S57" s="4">
        <v>498</v>
      </c>
      <c r="T57" s="4">
        <v>107</v>
      </c>
      <c r="U57" s="4">
        <v>30</v>
      </c>
      <c r="V57" s="4">
        <v>30</v>
      </c>
      <c r="W57" s="4">
        <v>38</v>
      </c>
      <c r="X57" s="4">
        <v>205</v>
      </c>
      <c r="Y57" s="4">
        <v>205</v>
      </c>
      <c r="Z57" s="4">
        <v>146</v>
      </c>
      <c r="AA57" s="4">
        <v>20</v>
      </c>
      <c r="AB57" s="4">
        <v>75</v>
      </c>
      <c r="AC57" s="4">
        <v>50</v>
      </c>
      <c r="AD57" s="4">
        <v>291</v>
      </c>
      <c r="AE57" s="4">
        <v>291</v>
      </c>
      <c r="AF57" s="4">
        <v>50</v>
      </c>
      <c r="AG57" s="4">
        <v>8</v>
      </c>
      <c r="AH57" s="4">
        <v>30</v>
      </c>
      <c r="AI57" s="4">
        <v>30</v>
      </c>
      <c r="AJ57" s="4">
        <v>118</v>
      </c>
      <c r="AK57" s="4">
        <v>118</v>
      </c>
      <c r="AL57" s="4"/>
      <c r="AM57" s="4"/>
      <c r="AN57" s="4"/>
      <c r="AO57" s="4">
        <v>1893</v>
      </c>
    </row>
    <row r="58" spans="1:41" x14ac:dyDescent="0.2">
      <c r="A58" s="2" t="s">
        <v>1655</v>
      </c>
      <c r="B58" s="4">
        <v>229</v>
      </c>
      <c r="C58" s="4">
        <v>193</v>
      </c>
      <c r="D58" s="4">
        <v>100</v>
      </c>
      <c r="E58" s="4">
        <v>32</v>
      </c>
      <c r="F58" s="4">
        <v>554</v>
      </c>
      <c r="G58" s="4">
        <v>554</v>
      </c>
      <c r="H58" s="4">
        <v>0</v>
      </c>
      <c r="I58" s="4">
        <v>28</v>
      </c>
      <c r="J58" s="4">
        <v>0</v>
      </c>
      <c r="K58" s="4">
        <v>5</v>
      </c>
      <c r="L58" s="4">
        <v>33</v>
      </c>
      <c r="M58" s="4">
        <v>33</v>
      </c>
      <c r="N58" s="4">
        <v>38</v>
      </c>
      <c r="O58" s="4">
        <v>150</v>
      </c>
      <c r="P58" s="4">
        <v>141</v>
      </c>
      <c r="Q58" s="4">
        <v>100</v>
      </c>
      <c r="R58" s="4">
        <v>429</v>
      </c>
      <c r="S58" s="4">
        <v>429</v>
      </c>
      <c r="T58" s="4">
        <v>85</v>
      </c>
      <c r="U58" s="4">
        <v>8</v>
      </c>
      <c r="V58" s="4">
        <v>9</v>
      </c>
      <c r="W58" s="4">
        <v>43</v>
      </c>
      <c r="X58" s="4">
        <v>145</v>
      </c>
      <c r="Y58" s="4">
        <v>145</v>
      </c>
      <c r="Z58" s="4">
        <v>116</v>
      </c>
      <c r="AA58" s="4">
        <v>30</v>
      </c>
      <c r="AB58" s="4">
        <v>0</v>
      </c>
      <c r="AC58" s="4">
        <v>13</v>
      </c>
      <c r="AD58" s="4">
        <v>159</v>
      </c>
      <c r="AE58" s="4">
        <v>159</v>
      </c>
      <c r="AF58" s="4">
        <v>8</v>
      </c>
      <c r="AG58" s="4">
        <v>42</v>
      </c>
      <c r="AH58" s="4">
        <v>30</v>
      </c>
      <c r="AI58" s="4">
        <v>30</v>
      </c>
      <c r="AJ58" s="4">
        <v>110</v>
      </c>
      <c r="AK58" s="4">
        <v>110</v>
      </c>
      <c r="AL58" s="4"/>
      <c r="AM58" s="4"/>
      <c r="AN58" s="4"/>
      <c r="AO58" s="4">
        <v>1430</v>
      </c>
    </row>
    <row r="59" spans="1:41" x14ac:dyDescent="0.2">
      <c r="A59" s="2" t="s">
        <v>1680</v>
      </c>
      <c r="B59" s="4">
        <v>0</v>
      </c>
      <c r="C59" s="4">
        <v>254</v>
      </c>
      <c r="D59" s="4">
        <v>100</v>
      </c>
      <c r="E59" s="4">
        <v>78</v>
      </c>
      <c r="F59" s="4">
        <v>432</v>
      </c>
      <c r="G59" s="4">
        <v>432</v>
      </c>
      <c r="H59" s="4">
        <v>0</v>
      </c>
      <c r="I59" s="4">
        <v>28</v>
      </c>
      <c r="J59" s="4">
        <v>0</v>
      </c>
      <c r="K59" s="4">
        <v>5</v>
      </c>
      <c r="L59" s="4">
        <v>33</v>
      </c>
      <c r="M59" s="4">
        <v>33</v>
      </c>
      <c r="N59" s="4">
        <v>0</v>
      </c>
      <c r="O59" s="4">
        <v>23</v>
      </c>
      <c r="P59" s="4">
        <v>27</v>
      </c>
      <c r="Q59" s="4">
        <v>100</v>
      </c>
      <c r="R59" s="4">
        <v>150</v>
      </c>
      <c r="S59" s="4">
        <v>150</v>
      </c>
      <c r="T59" s="4">
        <v>0</v>
      </c>
      <c r="U59" s="4">
        <v>26</v>
      </c>
      <c r="V59" s="4">
        <v>34</v>
      </c>
      <c r="W59" s="4">
        <v>77</v>
      </c>
      <c r="X59" s="4">
        <v>137</v>
      </c>
      <c r="Y59" s="4">
        <v>137</v>
      </c>
      <c r="Z59" s="4">
        <v>0</v>
      </c>
      <c r="AA59" s="4">
        <v>29</v>
      </c>
      <c r="AB59" s="4">
        <v>60</v>
      </c>
      <c r="AC59" s="4">
        <v>40</v>
      </c>
      <c r="AD59" s="4">
        <v>129</v>
      </c>
      <c r="AE59" s="4">
        <v>129</v>
      </c>
      <c r="AF59" s="4">
        <v>0</v>
      </c>
      <c r="AG59" s="4">
        <v>43</v>
      </c>
      <c r="AH59" s="4">
        <v>32</v>
      </c>
      <c r="AI59" s="4">
        <v>31</v>
      </c>
      <c r="AJ59" s="4">
        <v>106</v>
      </c>
      <c r="AK59" s="4">
        <v>106</v>
      </c>
      <c r="AL59" s="4"/>
      <c r="AM59" s="4"/>
      <c r="AN59" s="4"/>
      <c r="AO59" s="4">
        <v>987</v>
      </c>
    </row>
    <row r="60" spans="1:41" x14ac:dyDescent="0.2">
      <c r="A60" s="2" t="s">
        <v>1715</v>
      </c>
      <c r="B60" s="4">
        <v>701</v>
      </c>
      <c r="C60" s="4">
        <v>18</v>
      </c>
      <c r="D60" s="4">
        <v>100</v>
      </c>
      <c r="E60" s="4">
        <v>78</v>
      </c>
      <c r="F60" s="4">
        <v>897</v>
      </c>
      <c r="G60" s="4">
        <v>897</v>
      </c>
      <c r="H60" s="4">
        <v>18</v>
      </c>
      <c r="I60" s="4">
        <v>28</v>
      </c>
      <c r="J60" s="4">
        <v>0</v>
      </c>
      <c r="K60" s="4">
        <v>5</v>
      </c>
      <c r="L60" s="4">
        <v>51</v>
      </c>
      <c r="M60" s="4">
        <v>51</v>
      </c>
      <c r="N60" s="4">
        <v>702</v>
      </c>
      <c r="O60" s="4">
        <v>0</v>
      </c>
      <c r="P60" s="4">
        <v>0</v>
      </c>
      <c r="Q60" s="4">
        <v>100</v>
      </c>
      <c r="R60" s="4">
        <v>802</v>
      </c>
      <c r="S60" s="4">
        <v>802</v>
      </c>
      <c r="T60" s="4">
        <v>95</v>
      </c>
      <c r="U60" s="4">
        <v>0</v>
      </c>
      <c r="V60" s="4">
        <v>34</v>
      </c>
      <c r="W60" s="4">
        <v>51</v>
      </c>
      <c r="X60" s="4">
        <v>180</v>
      </c>
      <c r="Y60" s="4">
        <v>180</v>
      </c>
      <c r="Z60" s="4">
        <v>159</v>
      </c>
      <c r="AA60" s="4">
        <v>0</v>
      </c>
      <c r="AB60" s="4">
        <v>32</v>
      </c>
      <c r="AC60" s="4">
        <v>40</v>
      </c>
      <c r="AD60" s="4">
        <v>231</v>
      </c>
      <c r="AE60" s="4">
        <v>231</v>
      </c>
      <c r="AF60" s="4">
        <v>182</v>
      </c>
      <c r="AG60" s="4">
        <v>43</v>
      </c>
      <c r="AH60" s="4">
        <v>32</v>
      </c>
      <c r="AI60" s="4">
        <v>31</v>
      </c>
      <c r="AJ60" s="4">
        <v>288</v>
      </c>
      <c r="AK60" s="4">
        <v>288</v>
      </c>
      <c r="AL60" s="4"/>
      <c r="AM60" s="4"/>
      <c r="AN60" s="4"/>
      <c r="AO60" s="4">
        <v>2449</v>
      </c>
    </row>
    <row r="61" spans="1:41" x14ac:dyDescent="0.2">
      <c r="A61" s="2" t="s">
        <v>1743</v>
      </c>
      <c r="B61" s="4">
        <v>0</v>
      </c>
      <c r="C61" s="4">
        <v>630</v>
      </c>
      <c r="D61" s="4">
        <v>100</v>
      </c>
      <c r="E61" s="4">
        <v>71</v>
      </c>
      <c r="F61" s="4">
        <v>801</v>
      </c>
      <c r="G61" s="4">
        <v>801</v>
      </c>
      <c r="H61" s="4">
        <v>0</v>
      </c>
      <c r="I61" s="4">
        <v>6</v>
      </c>
      <c r="J61" s="4">
        <v>10</v>
      </c>
      <c r="K61" s="4">
        <v>10</v>
      </c>
      <c r="L61" s="4">
        <v>26</v>
      </c>
      <c r="M61" s="4">
        <v>26</v>
      </c>
      <c r="N61" s="4">
        <v>52</v>
      </c>
      <c r="O61" s="4">
        <v>250</v>
      </c>
      <c r="P61" s="4">
        <v>400</v>
      </c>
      <c r="Q61" s="4">
        <v>100</v>
      </c>
      <c r="R61" s="4">
        <v>802</v>
      </c>
      <c r="S61" s="4">
        <v>802</v>
      </c>
      <c r="T61" s="4">
        <v>0</v>
      </c>
      <c r="U61" s="4">
        <v>42</v>
      </c>
      <c r="V61" s="4">
        <v>47</v>
      </c>
      <c r="W61" s="4">
        <v>71</v>
      </c>
      <c r="X61" s="4">
        <v>160</v>
      </c>
      <c r="Y61" s="4">
        <v>160</v>
      </c>
      <c r="Z61" s="4">
        <v>0</v>
      </c>
      <c r="AA61" s="4">
        <v>62</v>
      </c>
      <c r="AB61" s="4">
        <v>73</v>
      </c>
      <c r="AC61" s="4">
        <v>64</v>
      </c>
      <c r="AD61" s="4">
        <v>199</v>
      </c>
      <c r="AE61" s="4">
        <v>199</v>
      </c>
      <c r="AF61" s="4">
        <v>88</v>
      </c>
      <c r="AG61" s="4">
        <v>100</v>
      </c>
      <c r="AH61" s="4">
        <v>50</v>
      </c>
      <c r="AI61" s="4">
        <v>19</v>
      </c>
      <c r="AJ61" s="4">
        <v>257</v>
      </c>
      <c r="AK61" s="4">
        <v>257</v>
      </c>
      <c r="AL61" s="4"/>
      <c r="AM61" s="4"/>
      <c r="AN61" s="4"/>
      <c r="AO61" s="4">
        <v>2245</v>
      </c>
    </row>
    <row r="62" spans="1:41" x14ac:dyDescent="0.2">
      <c r="A62" s="2" t="s">
        <v>1773</v>
      </c>
      <c r="B62" s="4">
        <v>0</v>
      </c>
      <c r="C62" s="4">
        <v>521</v>
      </c>
      <c r="D62" s="4">
        <v>100</v>
      </c>
      <c r="E62" s="4">
        <v>71</v>
      </c>
      <c r="F62" s="4">
        <v>692</v>
      </c>
      <c r="G62" s="4">
        <v>692</v>
      </c>
      <c r="H62" s="4">
        <v>0</v>
      </c>
      <c r="I62" s="4">
        <v>0</v>
      </c>
      <c r="J62" s="4">
        <v>10</v>
      </c>
      <c r="K62" s="4">
        <v>10</v>
      </c>
      <c r="L62" s="4">
        <v>20</v>
      </c>
      <c r="M62" s="4">
        <v>20</v>
      </c>
      <c r="N62" s="4">
        <v>52</v>
      </c>
      <c r="O62" s="4">
        <v>175</v>
      </c>
      <c r="P62" s="4">
        <v>280</v>
      </c>
      <c r="Q62" s="4">
        <v>100</v>
      </c>
      <c r="R62" s="4">
        <v>607</v>
      </c>
      <c r="S62" s="4">
        <v>607</v>
      </c>
      <c r="T62" s="4">
        <v>0</v>
      </c>
      <c r="U62" s="4">
        <v>42</v>
      </c>
      <c r="V62" s="4">
        <v>47</v>
      </c>
      <c r="W62" s="4">
        <v>45</v>
      </c>
      <c r="X62" s="4">
        <v>134</v>
      </c>
      <c r="Y62" s="4">
        <v>134</v>
      </c>
      <c r="Z62" s="4">
        <v>0</v>
      </c>
      <c r="AA62" s="4">
        <v>62</v>
      </c>
      <c r="AB62" s="4">
        <v>37</v>
      </c>
      <c r="AC62" s="4">
        <v>41</v>
      </c>
      <c r="AD62" s="4">
        <v>140</v>
      </c>
      <c r="AE62" s="4">
        <v>140</v>
      </c>
      <c r="AF62" s="4">
        <v>88</v>
      </c>
      <c r="AG62" s="4">
        <v>23</v>
      </c>
      <c r="AH62" s="4">
        <v>50</v>
      </c>
      <c r="AI62" s="4">
        <v>19</v>
      </c>
      <c r="AJ62" s="4">
        <v>180</v>
      </c>
      <c r="AK62" s="4">
        <v>180</v>
      </c>
      <c r="AL62" s="4"/>
      <c r="AM62" s="4"/>
      <c r="AN62" s="4"/>
      <c r="AO62" s="4">
        <v>1773</v>
      </c>
    </row>
    <row r="63" spans="1:41" x14ac:dyDescent="0.2">
      <c r="A63" s="2" t="s">
        <v>1798</v>
      </c>
      <c r="B63" s="4">
        <v>0</v>
      </c>
      <c r="C63" s="4">
        <v>366</v>
      </c>
      <c r="D63" s="4">
        <v>100</v>
      </c>
      <c r="E63" s="4">
        <v>71</v>
      </c>
      <c r="F63" s="4">
        <v>537</v>
      </c>
      <c r="G63" s="4">
        <v>537</v>
      </c>
      <c r="H63" s="4">
        <v>0</v>
      </c>
      <c r="I63" s="4">
        <v>0</v>
      </c>
      <c r="J63" s="4">
        <v>10</v>
      </c>
      <c r="K63" s="4">
        <v>10</v>
      </c>
      <c r="L63" s="4">
        <v>20</v>
      </c>
      <c r="M63" s="4">
        <v>20</v>
      </c>
      <c r="N63" s="4">
        <v>52</v>
      </c>
      <c r="O63" s="4">
        <v>175</v>
      </c>
      <c r="P63" s="4">
        <v>113</v>
      </c>
      <c r="Q63" s="4">
        <v>100</v>
      </c>
      <c r="R63" s="4">
        <v>440</v>
      </c>
      <c r="S63" s="4">
        <v>440</v>
      </c>
      <c r="T63" s="4">
        <v>0</v>
      </c>
      <c r="U63" s="4">
        <v>42</v>
      </c>
      <c r="V63" s="4">
        <v>47</v>
      </c>
      <c r="W63" s="4">
        <v>22</v>
      </c>
      <c r="X63" s="4">
        <v>111</v>
      </c>
      <c r="Y63" s="4">
        <v>111</v>
      </c>
      <c r="Z63" s="4">
        <v>0</v>
      </c>
      <c r="AA63" s="4">
        <v>36</v>
      </c>
      <c r="AB63" s="4">
        <v>37</v>
      </c>
      <c r="AC63" s="4">
        <v>41</v>
      </c>
      <c r="AD63" s="4">
        <v>114</v>
      </c>
      <c r="AE63" s="4">
        <v>114</v>
      </c>
      <c r="AF63" s="4">
        <v>88</v>
      </c>
      <c r="AG63" s="4">
        <v>23</v>
      </c>
      <c r="AH63" s="4">
        <v>50</v>
      </c>
      <c r="AI63" s="4">
        <v>0</v>
      </c>
      <c r="AJ63" s="4">
        <v>161</v>
      </c>
      <c r="AK63" s="4">
        <v>161</v>
      </c>
      <c r="AL63" s="4"/>
      <c r="AM63" s="4"/>
      <c r="AN63" s="4"/>
      <c r="AO63" s="4">
        <v>1383</v>
      </c>
    </row>
    <row r="64" spans="1:41" x14ac:dyDescent="0.2">
      <c r="A64" s="2" t="s">
        <v>1834</v>
      </c>
      <c r="B64" s="4">
        <v>699</v>
      </c>
      <c r="C64" s="4">
        <v>302</v>
      </c>
      <c r="D64" s="4">
        <v>100</v>
      </c>
      <c r="E64" s="4">
        <v>71</v>
      </c>
      <c r="F64" s="4">
        <v>1172</v>
      </c>
      <c r="G64" s="4">
        <v>1172</v>
      </c>
      <c r="H64" s="4">
        <v>224</v>
      </c>
      <c r="I64" s="4">
        <v>0</v>
      </c>
      <c r="J64" s="4">
        <v>10</v>
      </c>
      <c r="K64" s="4">
        <v>10</v>
      </c>
      <c r="L64" s="4">
        <v>244</v>
      </c>
      <c r="M64" s="4">
        <v>244</v>
      </c>
      <c r="N64" s="4">
        <v>448</v>
      </c>
      <c r="O64" s="4">
        <v>186</v>
      </c>
      <c r="P64" s="4">
        <v>41</v>
      </c>
      <c r="Q64" s="4">
        <v>51</v>
      </c>
      <c r="R64" s="4">
        <v>726</v>
      </c>
      <c r="S64" s="4">
        <v>726</v>
      </c>
      <c r="T64" s="4">
        <v>140</v>
      </c>
      <c r="U64" s="4">
        <v>42</v>
      </c>
      <c r="V64" s="4">
        <v>28</v>
      </c>
      <c r="W64" s="4">
        <v>1</v>
      </c>
      <c r="X64" s="4">
        <v>211</v>
      </c>
      <c r="Y64" s="4">
        <v>211</v>
      </c>
      <c r="Z64" s="4">
        <v>301</v>
      </c>
      <c r="AA64" s="4">
        <v>8</v>
      </c>
      <c r="AB64" s="4">
        <v>7</v>
      </c>
      <c r="AC64" s="4">
        <v>41</v>
      </c>
      <c r="AD64" s="4">
        <v>357</v>
      </c>
      <c r="AE64" s="4">
        <v>357</v>
      </c>
      <c r="AF64" s="4">
        <v>43</v>
      </c>
      <c r="AG64" s="4">
        <v>54</v>
      </c>
      <c r="AH64" s="4">
        <v>0</v>
      </c>
      <c r="AI64" s="4">
        <v>34</v>
      </c>
      <c r="AJ64" s="4">
        <v>131</v>
      </c>
      <c r="AK64" s="4">
        <v>131</v>
      </c>
      <c r="AL64" s="4"/>
      <c r="AM64" s="4"/>
      <c r="AN64" s="4"/>
      <c r="AO64" s="4">
        <v>2841</v>
      </c>
    </row>
    <row r="65" spans="1:41" x14ac:dyDescent="0.2">
      <c r="A65" s="2" t="s">
        <v>1858</v>
      </c>
      <c r="B65" s="4">
        <v>272</v>
      </c>
      <c r="C65" s="4">
        <v>590</v>
      </c>
      <c r="D65" s="4">
        <v>100</v>
      </c>
      <c r="E65" s="4">
        <v>86</v>
      </c>
      <c r="F65" s="4">
        <v>1048</v>
      </c>
      <c r="G65" s="4">
        <v>1048</v>
      </c>
      <c r="H65" s="4">
        <v>69</v>
      </c>
      <c r="I65" s="4">
        <v>50</v>
      </c>
      <c r="J65" s="4">
        <v>75</v>
      </c>
      <c r="K65" s="4">
        <v>50</v>
      </c>
      <c r="L65" s="4">
        <v>244</v>
      </c>
      <c r="M65" s="4">
        <v>244</v>
      </c>
      <c r="N65" s="4">
        <v>0</v>
      </c>
      <c r="O65" s="4">
        <v>190</v>
      </c>
      <c r="P65" s="4">
        <v>341</v>
      </c>
      <c r="Q65" s="4">
        <v>97</v>
      </c>
      <c r="R65" s="4">
        <v>628</v>
      </c>
      <c r="S65" s="4">
        <v>628</v>
      </c>
      <c r="T65" s="4">
        <v>11</v>
      </c>
      <c r="U65" s="4">
        <v>50</v>
      </c>
      <c r="V65" s="4">
        <v>50</v>
      </c>
      <c r="W65" s="4">
        <v>99</v>
      </c>
      <c r="X65" s="4">
        <v>210</v>
      </c>
      <c r="Y65" s="4">
        <v>210</v>
      </c>
      <c r="Z65" s="4">
        <v>27</v>
      </c>
      <c r="AA65" s="4">
        <v>100</v>
      </c>
      <c r="AB65" s="4">
        <v>143</v>
      </c>
      <c r="AC65" s="4">
        <v>80</v>
      </c>
      <c r="AD65" s="4">
        <v>350</v>
      </c>
      <c r="AE65" s="4">
        <v>350</v>
      </c>
      <c r="AF65" s="4">
        <v>0</v>
      </c>
      <c r="AG65" s="4">
        <v>25</v>
      </c>
      <c r="AH65" s="4">
        <v>19</v>
      </c>
      <c r="AI65" s="4">
        <v>40</v>
      </c>
      <c r="AJ65" s="4">
        <v>84</v>
      </c>
      <c r="AK65" s="4">
        <v>84</v>
      </c>
      <c r="AL65" s="4"/>
      <c r="AM65" s="4"/>
      <c r="AN65" s="4"/>
      <c r="AO65" s="4">
        <v>2564</v>
      </c>
    </row>
    <row r="66" spans="1:41" x14ac:dyDescent="0.2">
      <c r="A66" s="2" t="s">
        <v>1859</v>
      </c>
      <c r="B66" s="4">
        <v>272</v>
      </c>
      <c r="C66" s="4">
        <v>517</v>
      </c>
      <c r="D66" s="4">
        <v>100</v>
      </c>
      <c r="E66" s="4">
        <v>0</v>
      </c>
      <c r="F66" s="4">
        <v>889</v>
      </c>
      <c r="G66" s="4">
        <v>889</v>
      </c>
      <c r="H66" s="4">
        <v>69</v>
      </c>
      <c r="I66" s="4">
        <v>20</v>
      </c>
      <c r="J66" s="4">
        <v>75</v>
      </c>
      <c r="K66" s="4">
        <v>50</v>
      </c>
      <c r="L66" s="4">
        <v>214</v>
      </c>
      <c r="M66" s="4">
        <v>214</v>
      </c>
      <c r="N66" s="4">
        <v>0</v>
      </c>
      <c r="O66" s="4">
        <v>57</v>
      </c>
      <c r="P66" s="4">
        <v>341</v>
      </c>
      <c r="Q66" s="4">
        <v>53</v>
      </c>
      <c r="R66" s="4">
        <v>451</v>
      </c>
      <c r="S66" s="4">
        <v>451</v>
      </c>
      <c r="T66" s="4">
        <v>11</v>
      </c>
      <c r="U66" s="4">
        <v>50</v>
      </c>
      <c r="V66" s="4">
        <v>26</v>
      </c>
      <c r="W66" s="4">
        <v>99</v>
      </c>
      <c r="X66" s="4">
        <v>186</v>
      </c>
      <c r="Y66" s="4">
        <v>186</v>
      </c>
      <c r="Z66" s="4">
        <v>27</v>
      </c>
      <c r="AA66" s="4">
        <v>100</v>
      </c>
      <c r="AB66" s="4">
        <v>143</v>
      </c>
      <c r="AC66" s="4">
        <v>80</v>
      </c>
      <c r="AD66" s="4">
        <v>350</v>
      </c>
      <c r="AE66" s="4">
        <v>350</v>
      </c>
      <c r="AF66" s="4">
        <v>0</v>
      </c>
      <c r="AG66" s="4">
        <v>25</v>
      </c>
      <c r="AH66" s="4">
        <v>19</v>
      </c>
      <c r="AI66" s="4">
        <v>0</v>
      </c>
      <c r="AJ66" s="4">
        <v>44</v>
      </c>
      <c r="AK66" s="4">
        <v>44</v>
      </c>
      <c r="AL66" s="4"/>
      <c r="AM66" s="4"/>
      <c r="AN66" s="4"/>
      <c r="AO66" s="4">
        <v>2134</v>
      </c>
    </row>
    <row r="67" spans="1:41" x14ac:dyDescent="0.2">
      <c r="A67" s="2" t="s">
        <v>1922</v>
      </c>
      <c r="B67" s="4">
        <v>272</v>
      </c>
      <c r="C67" s="4">
        <v>403</v>
      </c>
      <c r="D67" s="4">
        <v>24</v>
      </c>
      <c r="E67" s="4">
        <v>0</v>
      </c>
      <c r="F67" s="4">
        <v>699</v>
      </c>
      <c r="G67" s="4">
        <v>699</v>
      </c>
      <c r="H67" s="4">
        <v>69</v>
      </c>
      <c r="I67" s="4">
        <v>20</v>
      </c>
      <c r="J67" s="4">
        <v>75</v>
      </c>
      <c r="K67" s="4">
        <v>50</v>
      </c>
      <c r="L67" s="4">
        <v>214</v>
      </c>
      <c r="M67" s="4">
        <v>214</v>
      </c>
      <c r="N67" s="4">
        <v>0</v>
      </c>
      <c r="O67" s="4">
        <v>0</v>
      </c>
      <c r="P67" s="4">
        <v>284</v>
      </c>
      <c r="Q67" s="4">
        <v>53</v>
      </c>
      <c r="R67" s="4">
        <v>337</v>
      </c>
      <c r="S67" s="4">
        <v>337</v>
      </c>
      <c r="T67" s="4">
        <v>11</v>
      </c>
      <c r="U67" s="4">
        <v>50</v>
      </c>
      <c r="V67" s="4">
        <v>6</v>
      </c>
      <c r="W67" s="4">
        <v>73</v>
      </c>
      <c r="X67" s="4">
        <v>140</v>
      </c>
      <c r="Y67" s="4">
        <v>140</v>
      </c>
      <c r="Z67" s="4">
        <v>27</v>
      </c>
      <c r="AA67" s="4">
        <v>66</v>
      </c>
      <c r="AB67" s="4">
        <v>111</v>
      </c>
      <c r="AC67" s="4">
        <v>80</v>
      </c>
      <c r="AD67" s="4">
        <v>284</v>
      </c>
      <c r="AE67" s="4">
        <v>284</v>
      </c>
      <c r="AF67" s="4">
        <v>0</v>
      </c>
      <c r="AG67" s="4">
        <v>25</v>
      </c>
      <c r="AH67" s="4">
        <v>19</v>
      </c>
      <c r="AI67" s="4">
        <v>0</v>
      </c>
      <c r="AJ67" s="4">
        <v>44</v>
      </c>
      <c r="AK67" s="4">
        <v>44</v>
      </c>
      <c r="AL67" s="4"/>
      <c r="AM67" s="4"/>
      <c r="AN67" s="4"/>
      <c r="AO67" s="4">
        <v>1718</v>
      </c>
    </row>
    <row r="68" spans="1:41" x14ac:dyDescent="0.2">
      <c r="A68" s="2" t="s">
        <v>1953</v>
      </c>
      <c r="B68" s="4">
        <v>452</v>
      </c>
      <c r="C68" s="4">
        <v>399</v>
      </c>
      <c r="D68" s="4">
        <v>67</v>
      </c>
      <c r="E68" s="4">
        <v>86</v>
      </c>
      <c r="F68" s="4">
        <v>1004</v>
      </c>
      <c r="G68" s="4">
        <v>1004</v>
      </c>
      <c r="H68" s="4">
        <v>45</v>
      </c>
      <c r="I68" s="4">
        <v>50</v>
      </c>
      <c r="J68" s="4">
        <v>52</v>
      </c>
      <c r="K68" s="4">
        <v>50</v>
      </c>
      <c r="L68" s="4">
        <v>197</v>
      </c>
      <c r="M68" s="4">
        <v>197</v>
      </c>
      <c r="N68" s="4">
        <v>622</v>
      </c>
      <c r="O68" s="4">
        <v>0</v>
      </c>
      <c r="P68" s="4">
        <v>284</v>
      </c>
      <c r="Q68" s="4">
        <v>53</v>
      </c>
      <c r="R68" s="4">
        <v>959</v>
      </c>
      <c r="S68" s="4">
        <v>959</v>
      </c>
      <c r="T68" s="4">
        <v>90</v>
      </c>
      <c r="U68" s="4">
        <v>7</v>
      </c>
      <c r="V68" s="4">
        <v>6</v>
      </c>
      <c r="W68" s="4">
        <v>54</v>
      </c>
      <c r="X68" s="4">
        <v>157</v>
      </c>
      <c r="Y68" s="4">
        <v>157</v>
      </c>
      <c r="Z68" s="4">
        <v>150</v>
      </c>
      <c r="AA68" s="4">
        <v>35</v>
      </c>
      <c r="AB68" s="4">
        <v>63</v>
      </c>
      <c r="AC68" s="4">
        <v>47</v>
      </c>
      <c r="AD68" s="4">
        <v>295</v>
      </c>
      <c r="AE68" s="4">
        <v>295</v>
      </c>
      <c r="AF68" s="4">
        <v>216</v>
      </c>
      <c r="AG68" s="4">
        <v>25</v>
      </c>
      <c r="AH68" s="4">
        <v>19</v>
      </c>
      <c r="AI68" s="4">
        <v>0</v>
      </c>
      <c r="AJ68" s="4">
        <v>260</v>
      </c>
      <c r="AK68" s="4">
        <v>260</v>
      </c>
      <c r="AL68" s="4"/>
      <c r="AM68" s="4"/>
      <c r="AN68" s="4"/>
      <c r="AO68" s="4">
        <v>2872</v>
      </c>
    </row>
    <row r="69" spans="1:41" x14ac:dyDescent="0.2">
      <c r="A69" s="2" t="s">
        <v>1983</v>
      </c>
      <c r="B69" s="4">
        <v>104</v>
      </c>
      <c r="C69" s="4">
        <v>515</v>
      </c>
      <c r="D69" s="4">
        <v>100</v>
      </c>
      <c r="E69" s="4">
        <v>150</v>
      </c>
      <c r="F69" s="4">
        <v>869</v>
      </c>
      <c r="G69" s="4">
        <v>869</v>
      </c>
      <c r="H69" s="4">
        <v>22</v>
      </c>
      <c r="I69" s="4">
        <v>50</v>
      </c>
      <c r="J69" s="4">
        <v>75</v>
      </c>
      <c r="K69" s="4">
        <v>50</v>
      </c>
      <c r="L69" s="4">
        <v>197</v>
      </c>
      <c r="M69" s="4">
        <v>197</v>
      </c>
      <c r="N69" s="4">
        <v>159</v>
      </c>
      <c r="O69" s="4">
        <v>350</v>
      </c>
      <c r="P69" s="4">
        <v>302</v>
      </c>
      <c r="Q69" s="4">
        <v>47</v>
      </c>
      <c r="R69" s="4">
        <v>858</v>
      </c>
      <c r="S69" s="4">
        <v>858</v>
      </c>
      <c r="T69" s="4">
        <v>0</v>
      </c>
      <c r="U69" s="4">
        <v>37</v>
      </c>
      <c r="V69" s="4">
        <v>35</v>
      </c>
      <c r="W69" s="4">
        <v>47</v>
      </c>
      <c r="X69" s="4">
        <v>119</v>
      </c>
      <c r="Y69" s="4">
        <v>119</v>
      </c>
      <c r="Z69" s="4">
        <v>0</v>
      </c>
      <c r="AA69" s="4">
        <v>73</v>
      </c>
      <c r="AB69" s="4">
        <v>87</v>
      </c>
      <c r="AC69" s="4">
        <v>78</v>
      </c>
      <c r="AD69" s="4">
        <v>238</v>
      </c>
      <c r="AE69" s="4">
        <v>238</v>
      </c>
      <c r="AF69" s="4">
        <v>60</v>
      </c>
      <c r="AG69" s="4">
        <v>100</v>
      </c>
      <c r="AH69" s="4">
        <v>50</v>
      </c>
      <c r="AI69" s="4">
        <v>50</v>
      </c>
      <c r="AJ69" s="4">
        <v>260</v>
      </c>
      <c r="AK69" s="4">
        <v>260</v>
      </c>
      <c r="AL69" s="4"/>
      <c r="AM69" s="4"/>
      <c r="AN69" s="4"/>
      <c r="AO69" s="4">
        <v>2541</v>
      </c>
    </row>
    <row r="70" spans="1:41" x14ac:dyDescent="0.2">
      <c r="A70" s="2" t="s">
        <v>2007</v>
      </c>
      <c r="B70" s="4">
        <v>104</v>
      </c>
      <c r="C70" s="4">
        <v>296</v>
      </c>
      <c r="D70" s="4">
        <v>100</v>
      </c>
      <c r="E70" s="4">
        <v>150</v>
      </c>
      <c r="F70" s="4">
        <v>650</v>
      </c>
      <c r="G70" s="4">
        <v>650</v>
      </c>
      <c r="H70" s="4">
        <v>22</v>
      </c>
      <c r="I70" s="4">
        <v>50</v>
      </c>
      <c r="J70" s="4">
        <v>26</v>
      </c>
      <c r="K70" s="4">
        <v>50</v>
      </c>
      <c r="L70" s="4">
        <v>148</v>
      </c>
      <c r="M70" s="4">
        <v>148</v>
      </c>
      <c r="N70" s="4">
        <v>159</v>
      </c>
      <c r="O70" s="4">
        <v>277</v>
      </c>
      <c r="P70" s="4">
        <v>164</v>
      </c>
      <c r="Q70" s="4">
        <v>47</v>
      </c>
      <c r="R70" s="4">
        <v>647</v>
      </c>
      <c r="S70" s="4">
        <v>647</v>
      </c>
      <c r="T70" s="4">
        <v>0</v>
      </c>
      <c r="U70" s="4">
        <v>0</v>
      </c>
      <c r="V70" s="4">
        <v>35</v>
      </c>
      <c r="W70" s="4">
        <v>30</v>
      </c>
      <c r="X70" s="4">
        <v>65</v>
      </c>
      <c r="Y70" s="4">
        <v>65</v>
      </c>
      <c r="Z70" s="4">
        <v>0</v>
      </c>
      <c r="AA70" s="4">
        <v>73</v>
      </c>
      <c r="AB70" s="4">
        <v>87</v>
      </c>
      <c r="AC70" s="4">
        <v>78</v>
      </c>
      <c r="AD70" s="4">
        <v>238</v>
      </c>
      <c r="AE70" s="4">
        <v>238</v>
      </c>
      <c r="AF70" s="4">
        <v>60</v>
      </c>
      <c r="AG70" s="4">
        <v>100</v>
      </c>
      <c r="AH70" s="4">
        <v>50</v>
      </c>
      <c r="AI70" s="4">
        <v>7</v>
      </c>
      <c r="AJ70" s="4">
        <v>217</v>
      </c>
      <c r="AK70" s="4">
        <v>217</v>
      </c>
      <c r="AL70" s="4"/>
      <c r="AM70" s="4"/>
      <c r="AN70" s="4"/>
      <c r="AO70" s="4">
        <v>1965</v>
      </c>
    </row>
    <row r="71" spans="1:41" x14ac:dyDescent="0.2">
      <c r="A71" s="2" t="s">
        <v>2042</v>
      </c>
      <c r="B71" s="4">
        <v>104</v>
      </c>
      <c r="C71" s="4">
        <v>211</v>
      </c>
      <c r="D71" s="4">
        <v>20</v>
      </c>
      <c r="E71" s="4">
        <v>76</v>
      </c>
      <c r="F71" s="4">
        <v>411</v>
      </c>
      <c r="G71" s="4">
        <v>411</v>
      </c>
      <c r="H71" s="4">
        <v>22</v>
      </c>
      <c r="I71" s="4">
        <v>28</v>
      </c>
      <c r="J71" s="4">
        <v>26</v>
      </c>
      <c r="K71" s="4">
        <v>50</v>
      </c>
      <c r="L71" s="4">
        <v>126</v>
      </c>
      <c r="M71" s="4">
        <v>126</v>
      </c>
      <c r="N71" s="4">
        <v>159</v>
      </c>
      <c r="O71" s="4">
        <v>158</v>
      </c>
      <c r="P71" s="4">
        <v>164</v>
      </c>
      <c r="Q71" s="4">
        <v>47</v>
      </c>
      <c r="R71" s="4">
        <v>528</v>
      </c>
      <c r="S71" s="4">
        <v>528</v>
      </c>
      <c r="T71" s="4">
        <v>0</v>
      </c>
      <c r="U71" s="4">
        <v>0</v>
      </c>
      <c r="V71" s="4">
        <v>35</v>
      </c>
      <c r="W71" s="4">
        <v>20</v>
      </c>
      <c r="X71" s="4">
        <v>55</v>
      </c>
      <c r="Y71" s="4">
        <v>55</v>
      </c>
      <c r="Z71" s="4">
        <v>0</v>
      </c>
      <c r="AA71" s="4">
        <v>73</v>
      </c>
      <c r="AB71" s="4">
        <v>87</v>
      </c>
      <c r="AC71" s="4">
        <v>78</v>
      </c>
      <c r="AD71" s="4">
        <v>238</v>
      </c>
      <c r="AE71" s="4">
        <v>238</v>
      </c>
      <c r="AF71" s="4">
        <v>60</v>
      </c>
      <c r="AG71" s="4">
        <v>100</v>
      </c>
      <c r="AH71" s="4">
        <v>50</v>
      </c>
      <c r="AI71" s="4">
        <v>7</v>
      </c>
      <c r="AJ71" s="4">
        <v>217</v>
      </c>
      <c r="AK71" s="4">
        <v>217</v>
      </c>
      <c r="AL71" s="4"/>
      <c r="AM71" s="4"/>
      <c r="AN71" s="4"/>
      <c r="AO71" s="4">
        <v>1575</v>
      </c>
    </row>
    <row r="72" spans="1:41" x14ac:dyDescent="0.2">
      <c r="A72" s="2" t="s">
        <v>2073</v>
      </c>
      <c r="B72" s="4">
        <v>781</v>
      </c>
      <c r="C72" s="4">
        <v>288</v>
      </c>
      <c r="D72" s="4">
        <v>35</v>
      </c>
      <c r="E72" s="4">
        <v>88</v>
      </c>
      <c r="F72" s="4">
        <v>1192</v>
      </c>
      <c r="G72" s="4">
        <v>1192</v>
      </c>
      <c r="H72" s="4">
        <v>103</v>
      </c>
      <c r="I72" s="4">
        <v>35</v>
      </c>
      <c r="J72" s="4">
        <v>41</v>
      </c>
      <c r="K72" s="4">
        <v>50</v>
      </c>
      <c r="L72" s="4">
        <v>229</v>
      </c>
      <c r="M72" s="4">
        <v>229</v>
      </c>
      <c r="N72" s="4">
        <v>592</v>
      </c>
      <c r="O72" s="4">
        <v>229</v>
      </c>
      <c r="P72" s="4">
        <v>160</v>
      </c>
      <c r="Q72" s="4">
        <v>66</v>
      </c>
      <c r="R72" s="4">
        <v>1047</v>
      </c>
      <c r="S72" s="4">
        <v>1047</v>
      </c>
      <c r="T72" s="4">
        <v>231</v>
      </c>
      <c r="U72" s="4">
        <v>0</v>
      </c>
      <c r="V72" s="4">
        <v>35</v>
      </c>
      <c r="W72" s="4">
        <v>20</v>
      </c>
      <c r="X72" s="4">
        <v>286</v>
      </c>
      <c r="Y72" s="4">
        <v>286</v>
      </c>
      <c r="Z72" s="4">
        <v>322</v>
      </c>
      <c r="AA72" s="4">
        <v>5</v>
      </c>
      <c r="AB72" s="4">
        <v>30</v>
      </c>
      <c r="AC72" s="4">
        <v>47</v>
      </c>
      <c r="AD72" s="4">
        <v>404</v>
      </c>
      <c r="AE72" s="4">
        <v>404</v>
      </c>
      <c r="AF72" s="4">
        <v>107</v>
      </c>
      <c r="AG72" s="4">
        <v>69</v>
      </c>
      <c r="AH72" s="4">
        <v>50</v>
      </c>
      <c r="AI72" s="4">
        <v>43</v>
      </c>
      <c r="AJ72" s="4">
        <v>269</v>
      </c>
      <c r="AK72" s="4">
        <v>269</v>
      </c>
      <c r="AL72" s="4"/>
      <c r="AM72" s="4"/>
      <c r="AN72" s="4"/>
      <c r="AO72" s="4">
        <v>3427</v>
      </c>
    </row>
    <row r="73" spans="1:41" x14ac:dyDescent="0.2">
      <c r="A73" s="2" t="s">
        <v>2103</v>
      </c>
      <c r="B73" s="4">
        <v>292</v>
      </c>
      <c r="C73" s="4">
        <v>485</v>
      </c>
      <c r="D73" s="4">
        <v>100</v>
      </c>
      <c r="E73" s="4">
        <v>150</v>
      </c>
      <c r="F73" s="4">
        <v>1027</v>
      </c>
      <c r="G73" s="4">
        <v>1027</v>
      </c>
      <c r="H73" s="4">
        <v>54</v>
      </c>
      <c r="I73" s="4">
        <v>24</v>
      </c>
      <c r="J73" s="4">
        <v>34</v>
      </c>
      <c r="K73" s="4">
        <v>50</v>
      </c>
      <c r="L73" s="4">
        <v>162</v>
      </c>
      <c r="M73" s="4">
        <v>162</v>
      </c>
      <c r="N73" s="4">
        <v>247</v>
      </c>
      <c r="O73" s="4">
        <v>227</v>
      </c>
      <c r="P73" s="4">
        <v>238</v>
      </c>
      <c r="Q73" s="4">
        <v>100</v>
      </c>
      <c r="R73" s="4">
        <v>812</v>
      </c>
      <c r="S73" s="4">
        <v>812</v>
      </c>
      <c r="T73" s="4">
        <v>86</v>
      </c>
      <c r="U73" s="4">
        <v>50</v>
      </c>
      <c r="V73" s="4">
        <v>50</v>
      </c>
      <c r="W73" s="4">
        <v>83</v>
      </c>
      <c r="X73" s="4">
        <v>269</v>
      </c>
      <c r="Y73" s="4">
        <v>269</v>
      </c>
      <c r="Z73" s="4">
        <v>104</v>
      </c>
      <c r="AA73" s="4">
        <v>100</v>
      </c>
      <c r="AB73" s="4">
        <v>92</v>
      </c>
      <c r="AC73" s="4">
        <v>80</v>
      </c>
      <c r="AD73" s="4">
        <v>376</v>
      </c>
      <c r="AE73" s="4">
        <v>376</v>
      </c>
      <c r="AF73" s="4">
        <v>69</v>
      </c>
      <c r="AG73" s="4">
        <v>57</v>
      </c>
      <c r="AH73" s="4">
        <v>50</v>
      </c>
      <c r="AI73" s="4">
        <v>50</v>
      </c>
      <c r="AJ73" s="4">
        <v>226</v>
      </c>
      <c r="AK73" s="4">
        <v>226</v>
      </c>
      <c r="AL73" s="4"/>
      <c r="AM73" s="4"/>
      <c r="AN73" s="4"/>
      <c r="AO73" s="4">
        <v>2872</v>
      </c>
    </row>
    <row r="74" spans="1:41" x14ac:dyDescent="0.2">
      <c r="A74" s="2" t="s">
        <v>2128</v>
      </c>
      <c r="B74" s="4">
        <v>292</v>
      </c>
      <c r="C74" s="4">
        <v>485</v>
      </c>
      <c r="D74" s="4">
        <v>24</v>
      </c>
      <c r="E74" s="4">
        <v>150</v>
      </c>
      <c r="F74" s="4">
        <v>951</v>
      </c>
      <c r="G74" s="4">
        <v>951</v>
      </c>
      <c r="H74" s="4">
        <v>54</v>
      </c>
      <c r="I74" s="4">
        <v>24</v>
      </c>
      <c r="J74" s="4">
        <v>34</v>
      </c>
      <c r="K74" s="4">
        <v>29</v>
      </c>
      <c r="L74" s="4">
        <v>141</v>
      </c>
      <c r="M74" s="4">
        <v>141</v>
      </c>
      <c r="N74" s="4">
        <v>247</v>
      </c>
      <c r="O74" s="4">
        <v>227</v>
      </c>
      <c r="P74" s="4">
        <v>238</v>
      </c>
      <c r="Q74" s="4">
        <v>31</v>
      </c>
      <c r="R74" s="4">
        <v>743</v>
      </c>
      <c r="S74" s="4">
        <v>743</v>
      </c>
      <c r="T74" s="4">
        <v>86</v>
      </c>
      <c r="U74" s="4">
        <v>50</v>
      </c>
      <c r="V74" s="4">
        <v>33</v>
      </c>
      <c r="W74" s="4">
        <v>0</v>
      </c>
      <c r="X74" s="4">
        <v>169</v>
      </c>
      <c r="Y74" s="4">
        <v>169</v>
      </c>
      <c r="Z74" s="4">
        <v>104</v>
      </c>
      <c r="AA74" s="4">
        <v>100</v>
      </c>
      <c r="AB74" s="4">
        <v>92</v>
      </c>
      <c r="AC74" s="4">
        <v>55</v>
      </c>
      <c r="AD74" s="4">
        <v>351</v>
      </c>
      <c r="AE74" s="4">
        <v>351</v>
      </c>
      <c r="AF74" s="4">
        <v>69</v>
      </c>
      <c r="AG74" s="4">
        <v>43</v>
      </c>
      <c r="AH74" s="4">
        <v>13</v>
      </c>
      <c r="AI74" s="4">
        <v>5</v>
      </c>
      <c r="AJ74" s="4">
        <v>130</v>
      </c>
      <c r="AK74" s="4">
        <v>130</v>
      </c>
      <c r="AL74" s="4"/>
      <c r="AM74" s="4"/>
      <c r="AN74" s="4"/>
      <c r="AO74" s="4">
        <v>2485</v>
      </c>
    </row>
    <row r="75" spans="1:41" x14ac:dyDescent="0.2">
      <c r="A75" s="2" t="s">
        <v>2157</v>
      </c>
      <c r="B75" s="4">
        <v>674</v>
      </c>
      <c r="C75" s="4">
        <v>585</v>
      </c>
      <c r="D75" s="4">
        <v>100</v>
      </c>
      <c r="E75" s="4">
        <v>77</v>
      </c>
      <c r="F75" s="4">
        <v>1436</v>
      </c>
      <c r="G75" s="4">
        <v>1436</v>
      </c>
      <c r="H75" s="4">
        <v>138</v>
      </c>
      <c r="I75" s="4">
        <v>16</v>
      </c>
      <c r="J75" s="4">
        <v>60</v>
      </c>
      <c r="K75" s="4">
        <v>41</v>
      </c>
      <c r="L75" s="4">
        <v>255</v>
      </c>
      <c r="M75" s="4">
        <v>255</v>
      </c>
      <c r="N75" s="4">
        <v>638</v>
      </c>
      <c r="O75" s="4">
        <v>327</v>
      </c>
      <c r="P75" s="4">
        <v>169</v>
      </c>
      <c r="Q75" s="4">
        <v>87</v>
      </c>
      <c r="R75" s="4">
        <v>1221</v>
      </c>
      <c r="S75" s="4">
        <v>1221</v>
      </c>
      <c r="T75" s="4">
        <v>81</v>
      </c>
      <c r="U75" s="4">
        <v>51</v>
      </c>
      <c r="V75" s="4">
        <v>45</v>
      </c>
      <c r="W75" s="4">
        <v>73</v>
      </c>
      <c r="X75" s="4">
        <v>250</v>
      </c>
      <c r="Y75" s="4">
        <v>250</v>
      </c>
      <c r="Z75" s="4">
        <v>235</v>
      </c>
      <c r="AA75" s="4">
        <v>100</v>
      </c>
      <c r="AB75" s="4">
        <v>94</v>
      </c>
      <c r="AC75" s="4">
        <v>58</v>
      </c>
      <c r="AD75" s="4">
        <v>487</v>
      </c>
      <c r="AE75" s="4">
        <v>487</v>
      </c>
      <c r="AF75" s="4">
        <v>124</v>
      </c>
      <c r="AG75" s="4">
        <v>72</v>
      </c>
      <c r="AH75" s="4">
        <v>31</v>
      </c>
      <c r="AI75" s="4">
        <v>27</v>
      </c>
      <c r="AJ75" s="4">
        <v>254</v>
      </c>
      <c r="AK75" s="4">
        <v>254</v>
      </c>
      <c r="AL75" s="4"/>
      <c r="AM75" s="4"/>
      <c r="AN75" s="4"/>
      <c r="AO75" s="4">
        <v>3903</v>
      </c>
    </row>
    <row r="76" spans="1:41" x14ac:dyDescent="0.2">
      <c r="A76" s="2" t="s">
        <v>2158</v>
      </c>
      <c r="B76" s="4">
        <v>674</v>
      </c>
      <c r="C76" s="4">
        <v>405</v>
      </c>
      <c r="D76" s="4">
        <v>29</v>
      </c>
      <c r="E76" s="4">
        <v>0</v>
      </c>
      <c r="F76" s="4">
        <v>1108</v>
      </c>
      <c r="G76" s="4">
        <v>1108</v>
      </c>
      <c r="H76" s="4">
        <v>138</v>
      </c>
      <c r="I76" s="4">
        <v>16</v>
      </c>
      <c r="J76" s="4">
        <v>35</v>
      </c>
      <c r="K76" s="4">
        <v>41</v>
      </c>
      <c r="L76" s="4">
        <v>230</v>
      </c>
      <c r="M76" s="4">
        <v>230</v>
      </c>
      <c r="N76" s="4">
        <v>638</v>
      </c>
      <c r="O76" s="4">
        <v>206</v>
      </c>
      <c r="P76" s="4">
        <v>122</v>
      </c>
      <c r="Q76" s="4">
        <v>0</v>
      </c>
      <c r="R76" s="4">
        <v>966</v>
      </c>
      <c r="S76" s="4">
        <v>966</v>
      </c>
      <c r="T76" s="4">
        <v>81</v>
      </c>
      <c r="U76" s="4">
        <v>25</v>
      </c>
      <c r="V76" s="4">
        <v>19</v>
      </c>
      <c r="W76" s="4">
        <v>0</v>
      </c>
      <c r="X76" s="4">
        <v>125</v>
      </c>
      <c r="Y76" s="4">
        <v>125</v>
      </c>
      <c r="Z76" s="4">
        <v>235</v>
      </c>
      <c r="AA76" s="4">
        <v>100</v>
      </c>
      <c r="AB76" s="4">
        <v>68</v>
      </c>
      <c r="AC76" s="4">
        <v>23</v>
      </c>
      <c r="AD76" s="4">
        <v>426</v>
      </c>
      <c r="AE76" s="4">
        <v>426</v>
      </c>
      <c r="AF76" s="4">
        <v>124</v>
      </c>
      <c r="AG76" s="4">
        <v>29</v>
      </c>
      <c r="AH76" s="4">
        <v>0</v>
      </c>
      <c r="AI76" s="4">
        <v>27</v>
      </c>
      <c r="AJ76" s="4">
        <v>180</v>
      </c>
      <c r="AK76" s="4">
        <v>180</v>
      </c>
      <c r="AL76" s="4"/>
      <c r="AM76" s="4"/>
      <c r="AN76" s="4"/>
      <c r="AO76" s="4">
        <v>3035</v>
      </c>
    </row>
    <row r="77" spans="1:41" x14ac:dyDescent="0.2">
      <c r="A77" s="2" t="s">
        <v>2222</v>
      </c>
      <c r="B77" s="4">
        <v>208</v>
      </c>
      <c r="C77" s="4">
        <v>650</v>
      </c>
      <c r="D77" s="4">
        <v>100</v>
      </c>
      <c r="E77" s="4">
        <v>150</v>
      </c>
      <c r="F77" s="4">
        <v>1108</v>
      </c>
      <c r="G77" s="4">
        <v>1108</v>
      </c>
      <c r="H77" s="4">
        <v>55</v>
      </c>
      <c r="I77" s="4">
        <v>50</v>
      </c>
      <c r="J77" s="4">
        <v>46</v>
      </c>
      <c r="K77" s="4">
        <v>27</v>
      </c>
      <c r="L77" s="4">
        <v>178</v>
      </c>
      <c r="M77" s="4">
        <v>178</v>
      </c>
      <c r="N77" s="4">
        <v>166</v>
      </c>
      <c r="O77" s="4">
        <v>296</v>
      </c>
      <c r="P77" s="4">
        <v>228</v>
      </c>
      <c r="Q77" s="4">
        <v>100</v>
      </c>
      <c r="R77" s="4">
        <v>790</v>
      </c>
      <c r="S77" s="4">
        <v>790</v>
      </c>
      <c r="T77" s="4">
        <v>0</v>
      </c>
      <c r="U77" s="4">
        <v>35</v>
      </c>
      <c r="V77" s="4">
        <v>13</v>
      </c>
      <c r="W77" s="4">
        <v>58</v>
      </c>
      <c r="X77" s="4">
        <v>106</v>
      </c>
      <c r="Y77" s="4">
        <v>106</v>
      </c>
      <c r="Z77" s="4">
        <v>126</v>
      </c>
      <c r="AA77" s="4">
        <v>77</v>
      </c>
      <c r="AB77" s="4">
        <v>93</v>
      </c>
      <c r="AC77" s="4">
        <v>80</v>
      </c>
      <c r="AD77" s="4">
        <v>376</v>
      </c>
      <c r="AE77" s="4">
        <v>376</v>
      </c>
      <c r="AF77" s="4">
        <v>0</v>
      </c>
      <c r="AG77" s="4">
        <v>91</v>
      </c>
      <c r="AH77" s="4">
        <v>43</v>
      </c>
      <c r="AI77" s="4">
        <v>46</v>
      </c>
      <c r="AJ77" s="4">
        <v>180</v>
      </c>
      <c r="AK77" s="4">
        <v>180</v>
      </c>
      <c r="AL77" s="4"/>
      <c r="AM77" s="4"/>
      <c r="AN77" s="4"/>
      <c r="AO77" s="4">
        <v>2738</v>
      </c>
    </row>
    <row r="78" spans="1:41" x14ac:dyDescent="0.2">
      <c r="A78" s="2" t="s">
        <v>2252</v>
      </c>
      <c r="B78" s="4">
        <v>208</v>
      </c>
      <c r="C78" s="4">
        <v>376</v>
      </c>
      <c r="D78" s="4">
        <v>100</v>
      </c>
      <c r="E78" s="4">
        <v>75</v>
      </c>
      <c r="F78" s="4">
        <v>759</v>
      </c>
      <c r="G78" s="4">
        <v>759</v>
      </c>
      <c r="H78" s="4">
        <v>55</v>
      </c>
      <c r="I78" s="4">
        <v>50</v>
      </c>
      <c r="J78" s="4">
        <v>21</v>
      </c>
      <c r="K78" s="4">
        <v>27</v>
      </c>
      <c r="L78" s="4">
        <v>153</v>
      </c>
      <c r="M78" s="4">
        <v>153</v>
      </c>
      <c r="N78" s="4">
        <v>166</v>
      </c>
      <c r="O78" s="4">
        <v>296</v>
      </c>
      <c r="P78" s="4">
        <v>176</v>
      </c>
      <c r="Q78" s="4">
        <v>40</v>
      </c>
      <c r="R78" s="4">
        <v>678</v>
      </c>
      <c r="S78" s="4">
        <v>678</v>
      </c>
      <c r="T78" s="4">
        <v>0</v>
      </c>
      <c r="U78" s="4">
        <v>19</v>
      </c>
      <c r="V78" s="4">
        <v>13</v>
      </c>
      <c r="W78" s="4">
        <v>44</v>
      </c>
      <c r="X78" s="4">
        <v>76</v>
      </c>
      <c r="Y78" s="4">
        <v>76</v>
      </c>
      <c r="Z78" s="4">
        <v>126</v>
      </c>
      <c r="AA78" s="4">
        <v>53</v>
      </c>
      <c r="AB78" s="4">
        <v>31</v>
      </c>
      <c r="AC78" s="4">
        <v>80</v>
      </c>
      <c r="AD78" s="4">
        <v>290</v>
      </c>
      <c r="AE78" s="4">
        <v>290</v>
      </c>
      <c r="AF78" s="4">
        <v>0</v>
      </c>
      <c r="AG78" s="4">
        <v>53</v>
      </c>
      <c r="AH78" s="4">
        <v>43</v>
      </c>
      <c r="AI78" s="4">
        <v>5</v>
      </c>
      <c r="AJ78" s="4">
        <v>101</v>
      </c>
      <c r="AK78" s="4">
        <v>101</v>
      </c>
      <c r="AL78" s="4"/>
      <c r="AM78" s="4"/>
      <c r="AN78" s="4"/>
      <c r="AO78" s="4">
        <v>2057</v>
      </c>
    </row>
    <row r="79" spans="1:41" x14ac:dyDescent="0.2">
      <c r="A79" s="2" t="s">
        <v>2277</v>
      </c>
      <c r="B79" s="4">
        <v>542</v>
      </c>
      <c r="C79" s="4">
        <v>399</v>
      </c>
      <c r="D79" s="4">
        <v>100</v>
      </c>
      <c r="E79" s="4">
        <v>119</v>
      </c>
      <c r="F79" s="4">
        <v>1160</v>
      </c>
      <c r="G79" s="4">
        <v>1160</v>
      </c>
      <c r="H79" s="4">
        <v>122</v>
      </c>
      <c r="I79" s="4">
        <v>51</v>
      </c>
      <c r="J79" s="4">
        <v>59</v>
      </c>
      <c r="K79" s="4">
        <v>43</v>
      </c>
      <c r="L79" s="4">
        <v>275</v>
      </c>
      <c r="M79" s="4">
        <v>275</v>
      </c>
      <c r="N79" s="4">
        <v>660</v>
      </c>
      <c r="O79" s="4">
        <v>328</v>
      </c>
      <c r="P79" s="4">
        <v>276</v>
      </c>
      <c r="Q79" s="4">
        <v>74</v>
      </c>
      <c r="R79" s="4">
        <v>1338</v>
      </c>
      <c r="S79" s="4">
        <v>1338</v>
      </c>
      <c r="T79" s="4">
        <v>294</v>
      </c>
      <c r="U79" s="4">
        <v>0</v>
      </c>
      <c r="V79" s="4">
        <v>13</v>
      </c>
      <c r="W79" s="4">
        <v>16</v>
      </c>
      <c r="X79" s="4">
        <v>323</v>
      </c>
      <c r="Y79" s="4">
        <v>323</v>
      </c>
      <c r="Z79" s="4">
        <v>184</v>
      </c>
      <c r="AA79" s="4">
        <v>97</v>
      </c>
      <c r="AB79" s="4">
        <v>113</v>
      </c>
      <c r="AC79" s="4">
        <v>29</v>
      </c>
      <c r="AD79" s="4">
        <v>423</v>
      </c>
      <c r="AE79" s="4">
        <v>423</v>
      </c>
      <c r="AF79" s="4">
        <v>170</v>
      </c>
      <c r="AG79" s="4">
        <v>35</v>
      </c>
      <c r="AH79" s="4">
        <v>43</v>
      </c>
      <c r="AI79" s="4">
        <v>5</v>
      </c>
      <c r="AJ79" s="4">
        <v>253</v>
      </c>
      <c r="AK79" s="4">
        <v>253</v>
      </c>
      <c r="AL79" s="4"/>
      <c r="AM79" s="4"/>
      <c r="AN79" s="4"/>
      <c r="AO79" s="4">
        <v>3772</v>
      </c>
    </row>
    <row r="80" spans="1:41" x14ac:dyDescent="0.2">
      <c r="A80" s="2" t="s">
        <v>2278</v>
      </c>
      <c r="B80" s="4">
        <v>542</v>
      </c>
      <c r="C80" s="4">
        <v>339</v>
      </c>
      <c r="D80" s="4">
        <v>100</v>
      </c>
      <c r="E80" s="4">
        <v>119</v>
      </c>
      <c r="F80" s="4">
        <v>1100</v>
      </c>
      <c r="G80" s="4">
        <v>1100</v>
      </c>
      <c r="H80" s="4">
        <v>122</v>
      </c>
      <c r="I80" s="4">
        <v>51</v>
      </c>
      <c r="J80" s="4">
        <v>20</v>
      </c>
      <c r="K80" s="4">
        <v>43</v>
      </c>
      <c r="L80" s="4">
        <v>236</v>
      </c>
      <c r="M80" s="4">
        <v>236</v>
      </c>
      <c r="N80" s="4">
        <v>660</v>
      </c>
      <c r="O80" s="4">
        <v>255</v>
      </c>
      <c r="P80" s="4">
        <v>116</v>
      </c>
      <c r="Q80" s="4">
        <v>74</v>
      </c>
      <c r="R80" s="4">
        <v>1105</v>
      </c>
      <c r="S80" s="4">
        <v>1105</v>
      </c>
      <c r="T80" s="4">
        <v>294</v>
      </c>
      <c r="U80" s="4">
        <v>0</v>
      </c>
      <c r="V80" s="4">
        <v>13</v>
      </c>
      <c r="W80" s="4">
        <v>16</v>
      </c>
      <c r="X80" s="4">
        <v>323</v>
      </c>
      <c r="Y80" s="4">
        <v>323</v>
      </c>
      <c r="Z80" s="4">
        <v>184</v>
      </c>
      <c r="AA80" s="4">
        <v>72</v>
      </c>
      <c r="AB80" s="4">
        <v>86</v>
      </c>
      <c r="AC80" s="4">
        <v>29</v>
      </c>
      <c r="AD80" s="4">
        <v>371</v>
      </c>
      <c r="AE80" s="4">
        <v>371</v>
      </c>
      <c r="AF80" s="4">
        <v>170</v>
      </c>
      <c r="AG80" s="4">
        <v>35</v>
      </c>
      <c r="AH80" s="4">
        <v>43</v>
      </c>
      <c r="AI80" s="4">
        <v>5</v>
      </c>
      <c r="AJ80" s="4">
        <v>253</v>
      </c>
      <c r="AK80" s="4">
        <v>253</v>
      </c>
      <c r="AL80" s="4"/>
      <c r="AM80" s="4"/>
      <c r="AN80" s="4"/>
      <c r="AO80" s="4">
        <v>3388</v>
      </c>
    </row>
    <row r="81" spans="1:41" x14ac:dyDescent="0.2">
      <c r="A81" s="2" t="s">
        <v>2340</v>
      </c>
      <c r="B81" s="4">
        <v>200</v>
      </c>
      <c r="C81" s="4">
        <v>501</v>
      </c>
      <c r="D81" s="4">
        <v>37</v>
      </c>
      <c r="E81" s="4">
        <v>150</v>
      </c>
      <c r="F81" s="4">
        <v>888</v>
      </c>
      <c r="G81" s="4">
        <v>888</v>
      </c>
      <c r="H81" s="4">
        <v>60</v>
      </c>
      <c r="I81" s="4">
        <v>51</v>
      </c>
      <c r="J81" s="4">
        <v>55</v>
      </c>
      <c r="K81" s="4">
        <v>50</v>
      </c>
      <c r="L81" s="4">
        <v>216</v>
      </c>
      <c r="M81" s="4">
        <v>216</v>
      </c>
      <c r="N81" s="4">
        <v>305</v>
      </c>
      <c r="O81" s="4">
        <v>276</v>
      </c>
      <c r="P81" s="4">
        <v>283</v>
      </c>
      <c r="Q81" s="4">
        <v>35</v>
      </c>
      <c r="R81" s="4">
        <v>899</v>
      </c>
      <c r="S81" s="4">
        <v>899</v>
      </c>
      <c r="T81" s="4">
        <v>73</v>
      </c>
      <c r="U81" s="4">
        <v>50</v>
      </c>
      <c r="V81" s="4">
        <v>50</v>
      </c>
      <c r="W81" s="4">
        <v>134</v>
      </c>
      <c r="X81" s="4">
        <v>307</v>
      </c>
      <c r="Y81" s="4">
        <v>307</v>
      </c>
      <c r="Z81" s="4">
        <v>71</v>
      </c>
      <c r="AA81" s="4">
        <v>73</v>
      </c>
      <c r="AB81" s="4">
        <v>68</v>
      </c>
      <c r="AC81" s="4">
        <v>80</v>
      </c>
      <c r="AD81" s="4">
        <v>292</v>
      </c>
      <c r="AE81" s="4">
        <v>292</v>
      </c>
      <c r="AF81" s="4">
        <v>53</v>
      </c>
      <c r="AG81" s="4">
        <v>65</v>
      </c>
      <c r="AH81" s="4">
        <v>50</v>
      </c>
      <c r="AI81" s="4">
        <v>50</v>
      </c>
      <c r="AJ81" s="4">
        <v>218</v>
      </c>
      <c r="AK81" s="4">
        <v>218</v>
      </c>
      <c r="AL81" s="4"/>
      <c r="AM81" s="4"/>
      <c r="AN81" s="4"/>
      <c r="AO81" s="4">
        <v>2820</v>
      </c>
    </row>
    <row r="82" spans="1:41" x14ac:dyDescent="0.2">
      <c r="A82" s="2" t="s">
        <v>2370</v>
      </c>
      <c r="B82" s="4">
        <v>200</v>
      </c>
      <c r="C82" s="4">
        <v>501</v>
      </c>
      <c r="D82" s="4">
        <v>37</v>
      </c>
      <c r="E82" s="4">
        <v>79</v>
      </c>
      <c r="F82" s="4">
        <v>817</v>
      </c>
      <c r="G82" s="4">
        <v>817</v>
      </c>
      <c r="H82" s="4">
        <v>60</v>
      </c>
      <c r="I82" s="4">
        <v>51</v>
      </c>
      <c r="J82" s="4">
        <v>55</v>
      </c>
      <c r="K82" s="4">
        <v>50</v>
      </c>
      <c r="L82" s="4">
        <v>216</v>
      </c>
      <c r="M82" s="4">
        <v>216</v>
      </c>
      <c r="N82" s="4">
        <v>305</v>
      </c>
      <c r="O82" s="4">
        <v>276</v>
      </c>
      <c r="P82" s="4">
        <v>145</v>
      </c>
      <c r="Q82" s="4">
        <v>35</v>
      </c>
      <c r="R82" s="4">
        <v>761</v>
      </c>
      <c r="S82" s="4">
        <v>761</v>
      </c>
      <c r="T82" s="4">
        <v>73</v>
      </c>
      <c r="U82" s="4">
        <v>50</v>
      </c>
      <c r="V82" s="4">
        <v>30</v>
      </c>
      <c r="W82" s="4">
        <v>93</v>
      </c>
      <c r="X82" s="4">
        <v>246</v>
      </c>
      <c r="Y82" s="4">
        <v>246</v>
      </c>
      <c r="Z82" s="4">
        <v>71</v>
      </c>
      <c r="AA82" s="4">
        <v>73</v>
      </c>
      <c r="AB82" s="4">
        <v>33</v>
      </c>
      <c r="AC82" s="4">
        <v>80</v>
      </c>
      <c r="AD82" s="4">
        <v>257</v>
      </c>
      <c r="AE82" s="4">
        <v>257</v>
      </c>
      <c r="AF82" s="4">
        <v>53</v>
      </c>
      <c r="AG82" s="4">
        <v>30</v>
      </c>
      <c r="AH82" s="4">
        <v>50</v>
      </c>
      <c r="AI82" s="4">
        <v>50</v>
      </c>
      <c r="AJ82" s="4">
        <v>183</v>
      </c>
      <c r="AK82" s="4">
        <v>183</v>
      </c>
      <c r="AL82" s="4"/>
      <c r="AM82" s="4"/>
      <c r="AN82" s="4"/>
      <c r="AO82" s="4">
        <v>2480</v>
      </c>
    </row>
    <row r="83" spans="1:41" x14ac:dyDescent="0.2">
      <c r="A83" s="2" t="s">
        <v>2403</v>
      </c>
      <c r="B83" s="4">
        <v>0</v>
      </c>
      <c r="C83" s="4">
        <v>300</v>
      </c>
      <c r="D83" s="4">
        <v>44</v>
      </c>
      <c r="E83" s="4">
        <v>129</v>
      </c>
      <c r="F83" s="4">
        <v>473</v>
      </c>
      <c r="G83" s="4">
        <v>473</v>
      </c>
      <c r="H83" s="4">
        <v>40</v>
      </c>
      <c r="I83" s="4">
        <v>51</v>
      </c>
      <c r="J83" s="4">
        <v>75</v>
      </c>
      <c r="K83" s="4">
        <v>19</v>
      </c>
      <c r="L83" s="4">
        <v>185</v>
      </c>
      <c r="M83" s="4">
        <v>185</v>
      </c>
      <c r="N83" s="4">
        <v>0</v>
      </c>
      <c r="O83" s="4">
        <v>342</v>
      </c>
      <c r="P83" s="4">
        <v>262</v>
      </c>
      <c r="Q83" s="4">
        <v>92</v>
      </c>
      <c r="R83" s="4">
        <v>696</v>
      </c>
      <c r="S83" s="4">
        <v>696</v>
      </c>
      <c r="T83" s="4">
        <v>0</v>
      </c>
      <c r="U83" s="4">
        <v>33</v>
      </c>
      <c r="V83" s="4">
        <v>48</v>
      </c>
      <c r="W83" s="4">
        <v>123</v>
      </c>
      <c r="X83" s="4">
        <v>204</v>
      </c>
      <c r="Y83" s="4">
        <v>204</v>
      </c>
      <c r="Z83" s="4">
        <v>0</v>
      </c>
      <c r="AA83" s="4">
        <v>63</v>
      </c>
      <c r="AB83" s="4">
        <v>54</v>
      </c>
      <c r="AC83" s="4">
        <v>80</v>
      </c>
      <c r="AD83" s="4">
        <v>197</v>
      </c>
      <c r="AE83" s="4">
        <v>197</v>
      </c>
      <c r="AF83" s="4">
        <v>0</v>
      </c>
      <c r="AG83" s="4">
        <v>53</v>
      </c>
      <c r="AH83" s="4">
        <v>19</v>
      </c>
      <c r="AI83" s="4">
        <v>17</v>
      </c>
      <c r="AJ83" s="4">
        <v>89</v>
      </c>
      <c r="AK83" s="4">
        <v>89</v>
      </c>
      <c r="AL83" s="4"/>
      <c r="AM83" s="4"/>
      <c r="AN83" s="4"/>
      <c r="AO83" s="4">
        <v>1844</v>
      </c>
    </row>
    <row r="84" spans="1:41" x14ac:dyDescent="0.2">
      <c r="A84" s="2" t="s">
        <v>2395</v>
      </c>
      <c r="B84" s="4">
        <v>0</v>
      </c>
      <c r="C84" s="4">
        <v>300</v>
      </c>
      <c r="D84" s="4">
        <v>0</v>
      </c>
      <c r="E84" s="4">
        <v>52</v>
      </c>
      <c r="F84" s="4">
        <v>352</v>
      </c>
      <c r="G84" s="4">
        <v>352</v>
      </c>
      <c r="H84" s="4">
        <v>40</v>
      </c>
      <c r="I84" s="4">
        <v>51</v>
      </c>
      <c r="J84" s="4">
        <v>48</v>
      </c>
      <c r="K84" s="4">
        <v>0</v>
      </c>
      <c r="L84" s="4">
        <v>139</v>
      </c>
      <c r="M84" s="4">
        <v>139</v>
      </c>
      <c r="N84" s="4">
        <v>0</v>
      </c>
      <c r="O84" s="4">
        <v>342</v>
      </c>
      <c r="P84" s="4">
        <v>193</v>
      </c>
      <c r="Q84" s="4">
        <v>35</v>
      </c>
      <c r="R84" s="4">
        <v>570</v>
      </c>
      <c r="S84" s="4">
        <v>570</v>
      </c>
      <c r="T84" s="4">
        <v>0</v>
      </c>
      <c r="U84" s="4">
        <v>33</v>
      </c>
      <c r="V84" s="4">
        <v>11</v>
      </c>
      <c r="W84" s="4">
        <v>24</v>
      </c>
      <c r="X84" s="4">
        <v>68</v>
      </c>
      <c r="Y84" s="4">
        <v>68</v>
      </c>
      <c r="Z84" s="4">
        <v>0</v>
      </c>
      <c r="AA84" s="4">
        <v>63</v>
      </c>
      <c r="AB84" s="4">
        <v>28</v>
      </c>
      <c r="AC84" s="4">
        <v>50</v>
      </c>
      <c r="AD84" s="4">
        <v>141</v>
      </c>
      <c r="AE84" s="4">
        <v>141</v>
      </c>
      <c r="AF84" s="4">
        <v>0</v>
      </c>
      <c r="AG84" s="4">
        <v>45</v>
      </c>
      <c r="AH84" s="4">
        <v>19</v>
      </c>
      <c r="AI84" s="4">
        <v>17</v>
      </c>
      <c r="AJ84" s="4">
        <v>81</v>
      </c>
      <c r="AK84" s="4">
        <v>81</v>
      </c>
      <c r="AL84" s="4"/>
      <c r="AM84" s="4"/>
      <c r="AN84" s="4"/>
      <c r="AO84" s="4">
        <v>1351</v>
      </c>
    </row>
    <row r="85" spans="1:41" x14ac:dyDescent="0.2">
      <c r="A85" s="2" t="s">
        <v>2458</v>
      </c>
      <c r="B85" s="4">
        <v>833</v>
      </c>
      <c r="C85" s="4">
        <v>223</v>
      </c>
      <c r="D85" s="4">
        <v>0</v>
      </c>
      <c r="E85" s="4">
        <v>52</v>
      </c>
      <c r="F85" s="4">
        <v>1108</v>
      </c>
      <c r="G85" s="4">
        <v>1108</v>
      </c>
      <c r="H85" s="4">
        <v>84</v>
      </c>
      <c r="I85" s="4">
        <v>52</v>
      </c>
      <c r="J85" s="4">
        <v>62</v>
      </c>
      <c r="K85" s="4">
        <v>25</v>
      </c>
      <c r="L85" s="4">
        <v>223</v>
      </c>
      <c r="M85" s="4">
        <v>223</v>
      </c>
      <c r="N85" s="4">
        <v>689</v>
      </c>
      <c r="O85" s="4">
        <v>293</v>
      </c>
      <c r="P85" s="4">
        <v>69</v>
      </c>
      <c r="Q85" s="4">
        <v>35</v>
      </c>
      <c r="R85" s="4">
        <v>1086</v>
      </c>
      <c r="S85" s="4">
        <v>1086</v>
      </c>
      <c r="T85" s="4">
        <v>154</v>
      </c>
      <c r="U85" s="4">
        <v>33</v>
      </c>
      <c r="V85" s="4">
        <v>11</v>
      </c>
      <c r="W85" s="4">
        <v>24</v>
      </c>
      <c r="X85" s="4">
        <v>222</v>
      </c>
      <c r="Y85" s="4">
        <v>222</v>
      </c>
      <c r="Z85" s="4">
        <v>303</v>
      </c>
      <c r="AA85" s="4">
        <v>63</v>
      </c>
      <c r="AB85" s="4">
        <v>0</v>
      </c>
      <c r="AC85" s="4">
        <v>50</v>
      </c>
      <c r="AD85" s="4">
        <v>416</v>
      </c>
      <c r="AE85" s="4">
        <v>416</v>
      </c>
      <c r="AF85" s="4">
        <v>167</v>
      </c>
      <c r="AG85" s="4">
        <v>0</v>
      </c>
      <c r="AH85" s="4">
        <v>19</v>
      </c>
      <c r="AI85" s="4">
        <v>17</v>
      </c>
      <c r="AJ85" s="4">
        <v>203</v>
      </c>
      <c r="AK85" s="4">
        <v>203</v>
      </c>
      <c r="AL85" s="4"/>
      <c r="AM85" s="4"/>
      <c r="AN85" s="4"/>
      <c r="AO85" s="4">
        <v>3258</v>
      </c>
    </row>
    <row r="86" spans="1:41" x14ac:dyDescent="0.2">
      <c r="A86" s="2" t="s">
        <v>2489</v>
      </c>
      <c r="B86" s="4">
        <v>208</v>
      </c>
      <c r="C86" s="4">
        <v>427</v>
      </c>
      <c r="D86" s="4">
        <v>100</v>
      </c>
      <c r="E86" s="4">
        <v>98</v>
      </c>
      <c r="F86" s="4">
        <v>833</v>
      </c>
      <c r="G86" s="4">
        <v>833</v>
      </c>
      <c r="H86" s="4">
        <v>46</v>
      </c>
      <c r="I86" s="4">
        <v>52</v>
      </c>
      <c r="J86" s="4">
        <v>46</v>
      </c>
      <c r="K86" s="4">
        <v>50</v>
      </c>
      <c r="L86" s="4">
        <v>194</v>
      </c>
      <c r="M86" s="4">
        <v>194</v>
      </c>
      <c r="N86" s="4">
        <v>286</v>
      </c>
      <c r="O86" s="4">
        <v>231</v>
      </c>
      <c r="P86" s="4">
        <v>283</v>
      </c>
      <c r="Q86" s="4">
        <v>65</v>
      </c>
      <c r="R86" s="4">
        <v>865</v>
      </c>
      <c r="S86" s="4">
        <v>865</v>
      </c>
      <c r="T86" s="4">
        <v>0</v>
      </c>
      <c r="U86" s="4">
        <v>48</v>
      </c>
      <c r="V86" s="4">
        <v>44</v>
      </c>
      <c r="W86" s="4">
        <v>130</v>
      </c>
      <c r="X86" s="4">
        <v>222</v>
      </c>
      <c r="Y86" s="4">
        <v>222</v>
      </c>
      <c r="Z86" s="4">
        <v>116</v>
      </c>
      <c r="AA86" s="4">
        <v>75</v>
      </c>
      <c r="AB86" s="4">
        <v>120</v>
      </c>
      <c r="AC86" s="4">
        <v>80</v>
      </c>
      <c r="AD86" s="4">
        <v>391</v>
      </c>
      <c r="AE86" s="4">
        <v>391</v>
      </c>
      <c r="AF86" s="4">
        <v>3</v>
      </c>
      <c r="AG86" s="4">
        <v>100</v>
      </c>
      <c r="AH86" s="4">
        <v>31</v>
      </c>
      <c r="AI86" s="4">
        <v>33</v>
      </c>
      <c r="AJ86" s="4">
        <v>167</v>
      </c>
      <c r="AK86" s="4">
        <v>167</v>
      </c>
      <c r="AL86" s="4"/>
      <c r="AM86" s="4"/>
      <c r="AN86" s="4"/>
      <c r="AO86" s="4">
        <v>2672</v>
      </c>
    </row>
    <row r="87" spans="1:41" x14ac:dyDescent="0.2">
      <c r="A87" s="2" t="s">
        <v>1058</v>
      </c>
      <c r="B87" s="4">
        <v>34162</v>
      </c>
      <c r="C87" s="4">
        <v>18454</v>
      </c>
      <c r="D87" s="4">
        <v>5493</v>
      </c>
      <c r="E87" s="4">
        <v>5154</v>
      </c>
      <c r="F87" s="4">
        <v>63263</v>
      </c>
      <c r="G87" s="4">
        <v>63263</v>
      </c>
      <c r="H87" s="4">
        <v>12274</v>
      </c>
      <c r="I87" s="4">
        <v>2716</v>
      </c>
      <c r="J87" s="4">
        <v>3016</v>
      </c>
      <c r="K87" s="4">
        <v>2413</v>
      </c>
      <c r="L87" s="4">
        <v>20419</v>
      </c>
      <c r="M87" s="4">
        <v>20419</v>
      </c>
      <c r="N87" s="4">
        <v>28034</v>
      </c>
      <c r="O87" s="4">
        <v>10707</v>
      </c>
      <c r="P87" s="4">
        <v>10994</v>
      </c>
      <c r="Q87" s="4">
        <v>5000</v>
      </c>
      <c r="R87" s="4">
        <v>54735</v>
      </c>
      <c r="S87" s="4">
        <v>54735</v>
      </c>
      <c r="T87" s="4">
        <v>8247</v>
      </c>
      <c r="U87" s="4">
        <v>2333</v>
      </c>
      <c r="V87" s="4">
        <v>2248</v>
      </c>
      <c r="W87" s="4">
        <v>4438</v>
      </c>
      <c r="X87" s="4">
        <v>17266</v>
      </c>
      <c r="Y87" s="4">
        <v>17266</v>
      </c>
      <c r="Z87" s="4">
        <v>13695</v>
      </c>
      <c r="AA87" s="4">
        <v>3969</v>
      </c>
      <c r="AB87" s="4">
        <v>4367</v>
      </c>
      <c r="AC87" s="4">
        <v>3251</v>
      </c>
      <c r="AD87" s="4">
        <v>25282</v>
      </c>
      <c r="AE87" s="4">
        <v>25282</v>
      </c>
      <c r="AF87" s="4">
        <v>11315</v>
      </c>
      <c r="AG87" s="4">
        <v>3611</v>
      </c>
      <c r="AH87" s="4">
        <v>2335</v>
      </c>
      <c r="AI87" s="4">
        <v>2052</v>
      </c>
      <c r="AJ87" s="4">
        <v>19313</v>
      </c>
      <c r="AK87" s="4">
        <v>19313</v>
      </c>
      <c r="AL87" s="4"/>
      <c r="AM87" s="4"/>
      <c r="AN87" s="4"/>
      <c r="AO87" s="4">
        <v>200278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83FC-CF3A-174B-B73B-6434E3F3A95B}">
  <dimension ref="A3:Q17"/>
  <sheetViews>
    <sheetView topLeftCell="B1" workbookViewId="0">
      <selection activeCell="M24" sqref="M24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16.83203125" bestFit="1" customWidth="1"/>
    <col min="4" max="4" width="11.6640625" bestFit="1" customWidth="1"/>
    <col min="5" max="5" width="16.83203125" bestFit="1" customWidth="1"/>
    <col min="6" max="6" width="11.6640625" bestFit="1" customWidth="1"/>
    <col min="7" max="7" width="16.83203125" bestFit="1" customWidth="1"/>
    <col min="8" max="8" width="11.6640625" bestFit="1" customWidth="1"/>
    <col min="9" max="9" width="16.83203125" bestFit="1" customWidth="1"/>
    <col min="10" max="10" width="11.6640625" bestFit="1" customWidth="1"/>
    <col min="11" max="11" width="16.83203125" bestFit="1" customWidth="1"/>
    <col min="12" max="12" width="11.6640625" bestFit="1" customWidth="1"/>
    <col min="13" max="13" width="16.83203125" bestFit="1" customWidth="1"/>
    <col min="14" max="14" width="11.6640625" bestFit="1" customWidth="1"/>
    <col min="15" max="15" width="16.83203125" bestFit="1" customWidth="1"/>
    <col min="16" max="16" width="16" bestFit="1" customWidth="1"/>
    <col min="17" max="17" width="21.1640625" bestFit="1" customWidth="1"/>
  </cols>
  <sheetData>
    <row r="3" spans="1:17" x14ac:dyDescent="0.2">
      <c r="B3" s="1" t="s">
        <v>1059</v>
      </c>
    </row>
    <row r="4" spans="1:17" x14ac:dyDescent="0.2">
      <c r="B4" t="s">
        <v>122</v>
      </c>
      <c r="D4" t="s">
        <v>125</v>
      </c>
      <c r="F4" t="s">
        <v>127</v>
      </c>
      <c r="H4" t="s">
        <v>129</v>
      </c>
      <c r="J4" t="s">
        <v>131</v>
      </c>
      <c r="L4" t="s">
        <v>133</v>
      </c>
      <c r="N4" t="s">
        <v>1057</v>
      </c>
      <c r="P4" t="s">
        <v>1472</v>
      </c>
      <c r="Q4" t="s">
        <v>1473</v>
      </c>
    </row>
    <row r="5" spans="1:17" x14ac:dyDescent="0.2">
      <c r="A5" s="1" t="s">
        <v>1056</v>
      </c>
      <c r="B5" t="s">
        <v>1471</v>
      </c>
      <c r="C5" t="s">
        <v>1470</v>
      </c>
      <c r="D5" t="s">
        <v>1471</v>
      </c>
      <c r="E5" t="s">
        <v>1470</v>
      </c>
      <c r="F5" t="s">
        <v>1471</v>
      </c>
      <c r="G5" t="s">
        <v>1470</v>
      </c>
      <c r="H5" t="s">
        <v>1471</v>
      </c>
      <c r="I5" t="s">
        <v>1470</v>
      </c>
      <c r="J5" t="s">
        <v>1471</v>
      </c>
      <c r="K5" t="s">
        <v>1470</v>
      </c>
      <c r="L5" t="s">
        <v>1471</v>
      </c>
      <c r="M5" t="s">
        <v>1470</v>
      </c>
      <c r="N5" t="s">
        <v>1471</v>
      </c>
      <c r="O5" t="s">
        <v>1470</v>
      </c>
    </row>
    <row r="6" spans="1:17" x14ac:dyDescent="0.2">
      <c r="A6" s="2" t="s">
        <v>27</v>
      </c>
      <c r="B6" s="4">
        <v>13071.650000000001</v>
      </c>
      <c r="C6" s="4">
        <v>16377.300000000001</v>
      </c>
      <c r="D6" s="4">
        <v>2848.17</v>
      </c>
      <c r="E6" s="4">
        <v>3329.8199999999997</v>
      </c>
      <c r="F6" s="4">
        <v>14324.130000000001</v>
      </c>
      <c r="G6" s="4">
        <v>18568.150000000001</v>
      </c>
      <c r="H6" s="4">
        <v>9423.24</v>
      </c>
      <c r="I6" s="4">
        <v>11102.56</v>
      </c>
      <c r="J6" s="4">
        <v>3820.32</v>
      </c>
      <c r="K6" s="4">
        <v>4464.1799999999994</v>
      </c>
      <c r="L6" s="4"/>
      <c r="M6" s="4"/>
      <c r="N6" s="4"/>
      <c r="O6" s="4"/>
      <c r="P6" s="4">
        <v>43487.51</v>
      </c>
      <c r="Q6" s="4">
        <v>53842.01</v>
      </c>
    </row>
    <row r="7" spans="1:17" x14ac:dyDescent="0.2">
      <c r="A7" s="2" t="s">
        <v>32</v>
      </c>
      <c r="B7" s="4">
        <v>24863.319999999996</v>
      </c>
      <c r="C7" s="4">
        <v>30934.899999999998</v>
      </c>
      <c r="D7" s="4">
        <v>10682.74</v>
      </c>
      <c r="E7" s="4">
        <v>11779.279999999999</v>
      </c>
      <c r="F7" s="4">
        <v>24109.789999999997</v>
      </c>
      <c r="G7" s="4">
        <v>31037.77</v>
      </c>
      <c r="H7" s="4">
        <v>16822.91</v>
      </c>
      <c r="I7" s="4">
        <v>19183.599999999999</v>
      </c>
      <c r="J7" s="4">
        <v>19037.95</v>
      </c>
      <c r="K7" s="4">
        <v>21421.72</v>
      </c>
      <c r="L7" s="4">
        <v>8668.4399999999987</v>
      </c>
      <c r="M7" s="4">
        <v>9900</v>
      </c>
      <c r="N7" s="4"/>
      <c r="O7" s="4"/>
      <c r="P7" s="4">
        <v>104185.15</v>
      </c>
      <c r="Q7" s="4">
        <v>124257.26999999999</v>
      </c>
    </row>
    <row r="8" spans="1:17" x14ac:dyDescent="0.2">
      <c r="A8" s="2" t="s">
        <v>35</v>
      </c>
      <c r="B8" s="4">
        <v>23200.039999999997</v>
      </c>
      <c r="C8" s="4">
        <v>28997.799999999996</v>
      </c>
      <c r="D8" s="4">
        <v>9010.98</v>
      </c>
      <c r="E8" s="4">
        <v>9923.64</v>
      </c>
      <c r="F8" s="4">
        <v>20345.560000000001</v>
      </c>
      <c r="G8" s="4">
        <v>25257.960000000003</v>
      </c>
      <c r="H8" s="4">
        <v>10546.310000000001</v>
      </c>
      <c r="I8" s="4">
        <v>12050</v>
      </c>
      <c r="J8" s="4">
        <v>22079.62</v>
      </c>
      <c r="K8" s="4">
        <v>24775.279999999995</v>
      </c>
      <c r="L8" s="4">
        <v>12994.029999999999</v>
      </c>
      <c r="M8" s="4">
        <v>14800</v>
      </c>
      <c r="N8" s="4"/>
      <c r="O8" s="4"/>
      <c r="P8" s="4">
        <v>98176.54</v>
      </c>
      <c r="Q8" s="4">
        <v>115804.68</v>
      </c>
    </row>
    <row r="9" spans="1:17" x14ac:dyDescent="0.2">
      <c r="A9" s="2" t="s">
        <v>38</v>
      </c>
      <c r="B9" s="4">
        <v>31747.73</v>
      </c>
      <c r="C9" s="4">
        <v>38519.909999999996</v>
      </c>
      <c r="D9" s="4">
        <v>11276.579999999998</v>
      </c>
      <c r="E9" s="4">
        <v>12299.98</v>
      </c>
      <c r="F9" s="4">
        <v>30441.570000000003</v>
      </c>
      <c r="G9" s="4">
        <v>36642.340000000011</v>
      </c>
      <c r="H9" s="4">
        <v>22077.719999999998</v>
      </c>
      <c r="I9" s="4">
        <v>23993.959999999995</v>
      </c>
      <c r="J9" s="4">
        <v>25635.229999999996</v>
      </c>
      <c r="K9" s="4">
        <v>28169.4</v>
      </c>
      <c r="L9" s="4">
        <v>12090.39</v>
      </c>
      <c r="M9" s="4">
        <v>13337.5</v>
      </c>
      <c r="N9" s="4"/>
      <c r="O9" s="4"/>
      <c r="P9" s="4">
        <v>133269.22</v>
      </c>
      <c r="Q9" s="4">
        <v>152963.09</v>
      </c>
    </row>
    <row r="10" spans="1:17" x14ac:dyDescent="0.2">
      <c r="A10" s="2" t="s">
        <v>41</v>
      </c>
      <c r="B10" s="4">
        <v>33454.19999999999</v>
      </c>
      <c r="C10" s="4">
        <v>40607.379999999997</v>
      </c>
      <c r="D10" s="4">
        <v>17751.149999999998</v>
      </c>
      <c r="E10" s="4">
        <v>19408.41</v>
      </c>
      <c r="F10" s="4">
        <v>31579.720000000005</v>
      </c>
      <c r="G10" s="4">
        <v>37991.599999999999</v>
      </c>
      <c r="H10" s="4">
        <v>20925.350000000002</v>
      </c>
      <c r="I10" s="4">
        <v>22895</v>
      </c>
      <c r="J10" s="4">
        <v>29407.910000000003</v>
      </c>
      <c r="K10" s="4">
        <v>32528.950000000004</v>
      </c>
      <c r="L10" s="4">
        <v>10482.6</v>
      </c>
      <c r="M10" s="4">
        <v>11640</v>
      </c>
      <c r="N10" s="4"/>
      <c r="O10" s="4"/>
      <c r="P10" s="4">
        <v>143600.93000000002</v>
      </c>
      <c r="Q10" s="4">
        <v>165071.34</v>
      </c>
    </row>
    <row r="11" spans="1:17" x14ac:dyDescent="0.2">
      <c r="A11" s="2" t="s">
        <v>44</v>
      </c>
      <c r="B11" s="4">
        <v>32670.719999999998</v>
      </c>
      <c r="C11" s="4">
        <v>39508.36</v>
      </c>
      <c r="D11" s="4">
        <v>6138.07</v>
      </c>
      <c r="E11" s="4">
        <v>6709.08</v>
      </c>
      <c r="F11" s="4">
        <v>32596.93</v>
      </c>
      <c r="G11" s="4">
        <v>39060.900000000009</v>
      </c>
      <c r="H11" s="4">
        <v>26277.420000000002</v>
      </c>
      <c r="I11" s="4">
        <v>28664.539999999997</v>
      </c>
      <c r="J11" s="4">
        <v>28814.080000000005</v>
      </c>
      <c r="K11" s="4">
        <v>31791.180000000008</v>
      </c>
      <c r="L11" s="4">
        <v>12743.840000000002</v>
      </c>
      <c r="M11" s="4">
        <v>14113.5</v>
      </c>
      <c r="N11" s="4"/>
      <c r="O11" s="4"/>
      <c r="P11" s="4">
        <v>139241.06</v>
      </c>
      <c r="Q11" s="4">
        <v>159847.56</v>
      </c>
    </row>
    <row r="12" spans="1:17" x14ac:dyDescent="0.2">
      <c r="A12" s="2" t="s">
        <v>47</v>
      </c>
      <c r="B12" s="4">
        <v>38407.620000000003</v>
      </c>
      <c r="C12" s="4">
        <v>46468.820000000014</v>
      </c>
      <c r="D12" s="4">
        <v>20821.149999999998</v>
      </c>
      <c r="E12" s="4">
        <v>22762.949999999997</v>
      </c>
      <c r="F12" s="4">
        <v>39670.73000000001</v>
      </c>
      <c r="G12" s="4">
        <v>47520.950000000012</v>
      </c>
      <c r="H12" s="4">
        <v>32952.300000000003</v>
      </c>
      <c r="I12" s="4">
        <v>35990.94</v>
      </c>
      <c r="J12" s="4">
        <v>31032.25</v>
      </c>
      <c r="K12" s="4">
        <v>34272.770000000004</v>
      </c>
      <c r="L12" s="4">
        <v>16360.16</v>
      </c>
      <c r="M12" s="4">
        <v>18090.5</v>
      </c>
      <c r="N12" s="4"/>
      <c r="O12" s="4"/>
      <c r="P12" s="4">
        <v>179244.21000000002</v>
      </c>
      <c r="Q12" s="4">
        <v>205106.93000000005</v>
      </c>
    </row>
    <row r="13" spans="1:17" x14ac:dyDescent="0.2">
      <c r="A13" s="2" t="s">
        <v>1057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">
      <c r="A14" s="2" t="s">
        <v>50</v>
      </c>
      <c r="B14" s="4">
        <v>30254.219999999994</v>
      </c>
      <c r="C14" s="4">
        <v>36662.18</v>
      </c>
      <c r="D14" s="4">
        <v>12050.73</v>
      </c>
      <c r="E14" s="4">
        <v>13178.55</v>
      </c>
      <c r="F14" s="4">
        <v>30448.14000000001</v>
      </c>
      <c r="G14" s="4">
        <v>36544.9</v>
      </c>
      <c r="H14" s="4">
        <v>25286.46</v>
      </c>
      <c r="I14" s="4">
        <v>27657.159999999996</v>
      </c>
      <c r="J14" s="4">
        <v>23423.690000000002</v>
      </c>
      <c r="K14" s="4">
        <v>25889.019999999997</v>
      </c>
      <c r="L14" s="4">
        <v>11850.3</v>
      </c>
      <c r="M14" s="4">
        <v>13143.5</v>
      </c>
      <c r="N14" s="4"/>
      <c r="O14" s="4"/>
      <c r="P14" s="4">
        <v>133313.54</v>
      </c>
      <c r="Q14" s="4">
        <v>153075.31</v>
      </c>
    </row>
    <row r="15" spans="1:17" x14ac:dyDescent="0.2">
      <c r="A15" s="2" t="s">
        <v>1058</v>
      </c>
      <c r="B15" s="4">
        <v>227669.49999999997</v>
      </c>
      <c r="C15" s="4">
        <v>278076.65000000002</v>
      </c>
      <c r="D15" s="4">
        <v>90579.569999999992</v>
      </c>
      <c r="E15" s="4">
        <v>99391.71</v>
      </c>
      <c r="F15" s="4">
        <v>223516.57000000004</v>
      </c>
      <c r="G15" s="4">
        <v>272624.57000000007</v>
      </c>
      <c r="H15" s="4">
        <v>164311.71</v>
      </c>
      <c r="I15" s="4">
        <v>181537.75999999998</v>
      </c>
      <c r="J15" s="4">
        <v>183251.05</v>
      </c>
      <c r="K15" s="4">
        <v>203312.50000000003</v>
      </c>
      <c r="L15" s="4">
        <v>85189.760000000009</v>
      </c>
      <c r="M15" s="4">
        <v>95025</v>
      </c>
      <c r="N15" s="4"/>
      <c r="O15" s="4"/>
      <c r="P15" s="4">
        <v>974518.16000000015</v>
      </c>
      <c r="Q15" s="4">
        <v>1129968.19</v>
      </c>
    </row>
    <row r="16" spans="1:17" x14ac:dyDescent="0.2">
      <c r="C16">
        <f>GETPIVOTDATA("Sum of NET_VALUE",$A$3,"SIM_ROUND","08","MATERIAL_NUMBER","DD-T01")-GETPIVOTDATA("Sum of COST",$A$3,"SIM_ROUND","08","MATERIAL_NUMBER","DD-T01")</f>
        <v>6407.9600000000064</v>
      </c>
      <c r="E16">
        <f>GETPIVOTDATA("Sum of NET_VALUE",$A$3,"SIM_ROUND","08","MATERIAL_NUMBER","DD-T02")-GETPIVOTDATA("Sum of COST",$A$3,"SIM_ROUND","08","MATERIAL_NUMBER","DD-T02")</f>
        <v>1127.8199999999997</v>
      </c>
      <c r="G16">
        <f>GETPIVOTDATA("Sum of NET_VALUE",$A$3,"SIM_ROUND","08","MATERIAL_NUMBER","DD-T03")-GETPIVOTDATA("Sum of COST",$A$3,"SIM_ROUND","08","MATERIAL_NUMBER","DD-T03")</f>
        <v>6096.7599999999911</v>
      </c>
      <c r="I16">
        <f>GETPIVOTDATA("Sum of NET_VALUE",$A$3,"SIM_ROUND","08","MATERIAL_NUMBER","DD-T04")-GETPIVOTDATA("Sum of COST",$A$3,"SIM_ROUND","08","MATERIAL_NUMBER","DD-T04")</f>
        <v>2370.6999999999971</v>
      </c>
      <c r="K16">
        <f>GETPIVOTDATA("Sum of NET_VALUE",$A$3,"SIM_ROUND","08","MATERIAL_NUMBER","DD-T05")-GETPIVOTDATA("Sum of COST",$A$3,"SIM_ROUND","08","MATERIAL_NUMBER","DD-T05")</f>
        <v>2465.3299999999945</v>
      </c>
      <c r="M16">
        <f>GETPIVOTDATA("Sum of NET_VALUE",$A$3,"SIM_ROUND","08","MATERIAL_NUMBER","DD-T06")-GETPIVOTDATA("Sum of COST",$A$3,"SIM_ROUND","08","MATERIAL_NUMBER","DD-T06")</f>
        <v>1293.2000000000007</v>
      </c>
      <c r="P16">
        <f>SUM(C16,E16,G16,I16,K16,M16)</f>
        <v>19761.76999999999</v>
      </c>
    </row>
    <row r="17" spans="3:16" x14ac:dyDescent="0.2">
      <c r="C17" s="5">
        <f>C16/GETPIVOTDATA("Sum of NET_VALUE",$A$3,"SIM_ROUND","08","MATERIAL_NUMBER","DD-T01")</f>
        <v>0.17478393265212289</v>
      </c>
      <c r="E17" s="5">
        <f>E16/GETPIVOTDATA("Sum of NET_VALUE",$A$3,"SIM_ROUND","08","MATERIAL_NUMBER","DD-T02")</f>
        <v>8.5579976552807385E-2</v>
      </c>
      <c r="G17" s="5">
        <f>G16/GETPIVOTDATA("Sum of NET_VALUE",$A$3,"SIM_ROUND","08","MATERIAL_NUMBER","DD-T03")</f>
        <v>0.16682929765849655</v>
      </c>
      <c r="I17" s="5">
        <f>I16/GETPIVOTDATA("Sum of NET_VALUE",$A$3,"SIM_ROUND","08","MATERIAL_NUMBER","DD-T04")</f>
        <v>8.5717405547062586E-2</v>
      </c>
      <c r="K17" s="5">
        <f>K16/GETPIVOTDATA("Sum of NET_VALUE",$A$3,"SIM_ROUND","08","MATERIAL_NUMBER","DD-T05")</f>
        <v>9.5226856791025494E-2</v>
      </c>
      <c r="M17" s="5">
        <f>M16/GETPIVOTDATA("Sum of NET_VALUE",$A$3,"SIM_ROUND","08","MATERIAL_NUMBER","DD-T06")</f>
        <v>9.8390839578498937E-2</v>
      </c>
      <c r="P17" s="5">
        <f>P16/GETPIVOTDATA("Sum of COST",$A$3,"SIM_ROUND","08")</f>
        <v>0.14823528052739421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F809-727D-6040-8E09-B7670499FA6B}">
  <dimension ref="A1:V682"/>
  <sheetViews>
    <sheetView topLeftCell="A415" workbookViewId="0">
      <selection activeCell="F415" sqref="A1:XFD1048576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22.8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4.1640625" bestFit="1" customWidth="1"/>
    <col min="10" max="10" width="12.1640625" bestFit="1" customWidth="1"/>
    <col min="11" max="11" width="21.33203125" bestFit="1" customWidth="1"/>
    <col min="12" max="12" width="8.1640625" bestFit="1" customWidth="1"/>
    <col min="13" max="13" width="25" bestFit="1" customWidth="1"/>
    <col min="14" max="14" width="20.33203125" bestFit="1" customWidth="1"/>
    <col min="15" max="15" width="24.6640625" bestFit="1" customWidth="1"/>
    <col min="16" max="16" width="11.83203125" bestFit="1" customWidth="1"/>
    <col min="17" max="17" width="22.33203125" bestFit="1" customWidth="1"/>
    <col min="18" max="18" width="7.5" bestFit="1" customWidth="1"/>
    <col min="19" max="19" width="12.83203125" bestFit="1" customWidth="1"/>
    <col min="20" max="20" width="13.1640625" bestFit="1" customWidth="1"/>
    <col min="21" max="21" width="8.1640625" bestFit="1" customWidth="1"/>
    <col min="22" max="22" width="13.1640625" bestFit="1" customWidth="1"/>
  </cols>
  <sheetData>
    <row r="1" spans="1:22" x14ac:dyDescent="0.2">
      <c r="A1" t="s">
        <v>0</v>
      </c>
      <c r="B1" t="s">
        <v>1</v>
      </c>
      <c r="C1" t="s">
        <v>162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950</v>
      </c>
      <c r="J1" t="s">
        <v>951</v>
      </c>
      <c r="K1" t="s">
        <v>155</v>
      </c>
      <c r="L1" t="s">
        <v>931</v>
      </c>
      <c r="M1" t="s">
        <v>163</v>
      </c>
      <c r="N1" t="s">
        <v>8</v>
      </c>
      <c r="O1" t="s">
        <v>9</v>
      </c>
      <c r="P1" t="s">
        <v>10</v>
      </c>
      <c r="Q1" t="s">
        <v>952</v>
      </c>
      <c r="R1" t="s">
        <v>11</v>
      </c>
      <c r="S1" t="s">
        <v>953</v>
      </c>
      <c r="T1" t="s">
        <v>933</v>
      </c>
      <c r="U1" t="s">
        <v>954</v>
      </c>
      <c r="V1" t="s">
        <v>24</v>
      </c>
    </row>
    <row r="2" spans="1:22" x14ac:dyDescent="0.2">
      <c r="A2" s="4" t="s">
        <v>25</v>
      </c>
      <c r="B2">
        <v>1</v>
      </c>
      <c r="C2" s="4" t="s">
        <v>26</v>
      </c>
      <c r="D2" s="4" t="s">
        <v>27</v>
      </c>
      <c r="E2" s="4" t="s">
        <v>41</v>
      </c>
      <c r="F2" s="4" t="s">
        <v>42</v>
      </c>
      <c r="G2">
        <v>1</v>
      </c>
      <c r="H2">
        <v>5</v>
      </c>
      <c r="I2" s="4" t="s">
        <v>955</v>
      </c>
      <c r="J2" s="4" t="s">
        <v>956</v>
      </c>
      <c r="K2" s="4" t="s">
        <v>112</v>
      </c>
      <c r="L2" s="4" t="s">
        <v>113</v>
      </c>
      <c r="M2" s="4" t="s">
        <v>108</v>
      </c>
      <c r="N2" s="4" t="s">
        <v>122</v>
      </c>
      <c r="O2" s="4" t="s">
        <v>123</v>
      </c>
      <c r="P2">
        <v>81</v>
      </c>
      <c r="Q2">
        <v>81</v>
      </c>
      <c r="R2" s="4" t="s">
        <v>158</v>
      </c>
      <c r="S2">
        <v>29.35</v>
      </c>
      <c r="T2">
        <v>2377.35</v>
      </c>
      <c r="U2">
        <v>1870.29</v>
      </c>
      <c r="V2" s="4" t="s">
        <v>30</v>
      </c>
    </row>
    <row r="3" spans="1:22" x14ac:dyDescent="0.2">
      <c r="A3" s="4" t="s">
        <v>31</v>
      </c>
      <c r="B3">
        <v>2</v>
      </c>
      <c r="C3" s="4" t="s">
        <v>26</v>
      </c>
      <c r="D3" s="4" t="s">
        <v>27</v>
      </c>
      <c r="E3" s="4" t="s">
        <v>41</v>
      </c>
      <c r="F3" s="4" t="s">
        <v>42</v>
      </c>
      <c r="G3">
        <v>1</v>
      </c>
      <c r="H3">
        <v>5</v>
      </c>
      <c r="I3" s="4" t="s">
        <v>957</v>
      </c>
      <c r="J3" s="4" t="s">
        <v>956</v>
      </c>
      <c r="K3" s="4" t="s">
        <v>114</v>
      </c>
      <c r="L3" s="4" t="s">
        <v>115</v>
      </c>
      <c r="M3" s="4" t="s">
        <v>108</v>
      </c>
      <c r="N3" s="4" t="s">
        <v>122</v>
      </c>
      <c r="O3" s="4" t="s">
        <v>123</v>
      </c>
      <c r="P3">
        <v>60</v>
      </c>
      <c r="Q3">
        <v>60</v>
      </c>
      <c r="R3" s="4" t="s">
        <v>158</v>
      </c>
      <c r="S3">
        <v>29.35</v>
      </c>
      <c r="T3">
        <v>1761</v>
      </c>
      <c r="U3">
        <v>1385.4</v>
      </c>
      <c r="V3" s="4" t="s">
        <v>30</v>
      </c>
    </row>
    <row r="4" spans="1:22" x14ac:dyDescent="0.2">
      <c r="A4" s="4" t="s">
        <v>34</v>
      </c>
      <c r="B4">
        <v>3</v>
      </c>
      <c r="C4" s="4" t="s">
        <v>26</v>
      </c>
      <c r="D4" s="4" t="s">
        <v>27</v>
      </c>
      <c r="E4" s="4" t="s">
        <v>41</v>
      </c>
      <c r="F4" s="4" t="s">
        <v>42</v>
      </c>
      <c r="G4">
        <v>1</v>
      </c>
      <c r="H4">
        <v>5</v>
      </c>
      <c r="I4" s="4" t="s">
        <v>958</v>
      </c>
      <c r="J4" s="4" t="s">
        <v>956</v>
      </c>
      <c r="K4" s="4" t="s">
        <v>114</v>
      </c>
      <c r="L4" s="4" t="s">
        <v>115</v>
      </c>
      <c r="M4" s="4" t="s">
        <v>108</v>
      </c>
      <c r="N4" s="4" t="s">
        <v>127</v>
      </c>
      <c r="O4" s="4" t="s">
        <v>128</v>
      </c>
      <c r="P4">
        <v>66</v>
      </c>
      <c r="Q4">
        <v>66</v>
      </c>
      <c r="R4" s="4" t="s">
        <v>158</v>
      </c>
      <c r="S4">
        <v>34.07</v>
      </c>
      <c r="T4">
        <v>2248.62</v>
      </c>
      <c r="U4">
        <v>1716.66</v>
      </c>
      <c r="V4" s="4" t="s">
        <v>30</v>
      </c>
    </row>
    <row r="5" spans="1:22" x14ac:dyDescent="0.2">
      <c r="A5" s="4" t="s">
        <v>37</v>
      </c>
      <c r="B5">
        <v>4</v>
      </c>
      <c r="C5" s="4" t="s">
        <v>26</v>
      </c>
      <c r="D5" s="4" t="s">
        <v>27</v>
      </c>
      <c r="E5" s="4" t="s">
        <v>41</v>
      </c>
      <c r="F5" s="4" t="s">
        <v>42</v>
      </c>
      <c r="G5">
        <v>1</v>
      </c>
      <c r="H5">
        <v>5</v>
      </c>
      <c r="I5" s="4" t="s">
        <v>959</v>
      </c>
      <c r="J5" s="4" t="s">
        <v>956</v>
      </c>
      <c r="K5" s="4" t="s">
        <v>116</v>
      </c>
      <c r="L5" s="4" t="s">
        <v>117</v>
      </c>
      <c r="M5" s="4" t="s">
        <v>108</v>
      </c>
      <c r="N5" s="4" t="s">
        <v>129</v>
      </c>
      <c r="O5" s="4" t="s">
        <v>130</v>
      </c>
      <c r="P5">
        <v>15</v>
      </c>
      <c r="Q5">
        <v>15</v>
      </c>
      <c r="R5" s="4" t="s">
        <v>158</v>
      </c>
      <c r="S5">
        <v>99.13</v>
      </c>
      <c r="T5">
        <v>1486.95</v>
      </c>
      <c r="U5">
        <v>1247.7</v>
      </c>
      <c r="V5" s="4" t="s">
        <v>30</v>
      </c>
    </row>
    <row r="6" spans="1:22" x14ac:dyDescent="0.2">
      <c r="A6" s="4" t="s">
        <v>40</v>
      </c>
      <c r="B6">
        <v>5</v>
      </c>
      <c r="C6" s="4" t="s">
        <v>26</v>
      </c>
      <c r="D6" s="4" t="s">
        <v>27</v>
      </c>
      <c r="E6" s="4" t="s">
        <v>44</v>
      </c>
      <c r="F6" s="4" t="s">
        <v>45</v>
      </c>
      <c r="G6">
        <v>2</v>
      </c>
      <c r="H6">
        <v>6</v>
      </c>
      <c r="I6" s="4" t="s">
        <v>960</v>
      </c>
      <c r="J6" s="4" t="s">
        <v>956</v>
      </c>
      <c r="K6" s="4" t="s">
        <v>112</v>
      </c>
      <c r="L6" s="4" t="s">
        <v>113</v>
      </c>
      <c r="M6" s="4" t="s">
        <v>108</v>
      </c>
      <c r="N6" s="4" t="s">
        <v>122</v>
      </c>
      <c r="O6" s="4" t="s">
        <v>123</v>
      </c>
      <c r="P6">
        <v>1</v>
      </c>
      <c r="Q6">
        <v>1</v>
      </c>
      <c r="R6" s="4" t="s">
        <v>158</v>
      </c>
      <c r="S6">
        <v>29.35</v>
      </c>
      <c r="T6">
        <v>29.35</v>
      </c>
      <c r="U6">
        <v>23.16</v>
      </c>
      <c r="V6" s="4" t="s">
        <v>30</v>
      </c>
    </row>
    <row r="7" spans="1:22" x14ac:dyDescent="0.2">
      <c r="A7" s="4" t="s">
        <v>43</v>
      </c>
      <c r="B7">
        <v>6</v>
      </c>
      <c r="C7" s="4" t="s">
        <v>26</v>
      </c>
      <c r="D7" s="4" t="s">
        <v>27</v>
      </c>
      <c r="E7" s="4" t="s">
        <v>44</v>
      </c>
      <c r="F7" s="4" t="s">
        <v>45</v>
      </c>
      <c r="G7">
        <v>2</v>
      </c>
      <c r="H7">
        <v>6</v>
      </c>
      <c r="I7" s="4" t="s">
        <v>961</v>
      </c>
      <c r="J7" s="4" t="s">
        <v>956</v>
      </c>
      <c r="K7" s="4" t="s">
        <v>112</v>
      </c>
      <c r="L7" s="4" t="s">
        <v>113</v>
      </c>
      <c r="M7" s="4" t="s">
        <v>108</v>
      </c>
      <c r="N7" s="4" t="s">
        <v>122</v>
      </c>
      <c r="O7" s="4" t="s">
        <v>123</v>
      </c>
      <c r="P7">
        <v>72</v>
      </c>
      <c r="Q7">
        <v>72</v>
      </c>
      <c r="R7" s="4" t="s">
        <v>158</v>
      </c>
      <c r="S7">
        <v>29.35</v>
      </c>
      <c r="T7">
        <v>2113.1999999999998</v>
      </c>
      <c r="U7">
        <v>1667.52</v>
      </c>
      <c r="V7" s="4" t="s">
        <v>30</v>
      </c>
    </row>
    <row r="8" spans="1:22" x14ac:dyDescent="0.2">
      <c r="A8" s="4" t="s">
        <v>46</v>
      </c>
      <c r="B8">
        <v>7</v>
      </c>
      <c r="C8" s="4" t="s">
        <v>26</v>
      </c>
      <c r="D8" s="4" t="s">
        <v>27</v>
      </c>
      <c r="E8" s="4" t="s">
        <v>44</v>
      </c>
      <c r="F8" s="4" t="s">
        <v>45</v>
      </c>
      <c r="G8">
        <v>2</v>
      </c>
      <c r="H8">
        <v>6</v>
      </c>
      <c r="I8" s="4" t="s">
        <v>961</v>
      </c>
      <c r="J8" s="4" t="s">
        <v>962</v>
      </c>
      <c r="K8" s="4" t="s">
        <v>112</v>
      </c>
      <c r="L8" s="4" t="s">
        <v>113</v>
      </c>
      <c r="M8" s="4" t="s">
        <v>108</v>
      </c>
      <c r="N8" s="4" t="s">
        <v>127</v>
      </c>
      <c r="O8" s="4" t="s">
        <v>128</v>
      </c>
      <c r="P8">
        <v>44</v>
      </c>
      <c r="Q8">
        <v>44</v>
      </c>
      <c r="R8" s="4" t="s">
        <v>158</v>
      </c>
      <c r="S8">
        <v>34.07</v>
      </c>
      <c r="T8">
        <v>1499.08</v>
      </c>
      <c r="U8">
        <v>1148.4000000000001</v>
      </c>
      <c r="V8" s="4" t="s">
        <v>30</v>
      </c>
    </row>
    <row r="9" spans="1:22" x14ac:dyDescent="0.2">
      <c r="A9" s="4" t="s">
        <v>49</v>
      </c>
      <c r="B9">
        <v>8</v>
      </c>
      <c r="C9" s="4" t="s">
        <v>26</v>
      </c>
      <c r="D9" s="4" t="s">
        <v>27</v>
      </c>
      <c r="E9" s="4" t="s">
        <v>44</v>
      </c>
      <c r="F9" s="4" t="s">
        <v>45</v>
      </c>
      <c r="G9">
        <v>2</v>
      </c>
      <c r="H9">
        <v>6</v>
      </c>
      <c r="I9" s="4" t="s">
        <v>963</v>
      </c>
      <c r="J9" s="4" t="s">
        <v>964</v>
      </c>
      <c r="K9" s="4" t="s">
        <v>114</v>
      </c>
      <c r="L9" s="4" t="s">
        <v>115</v>
      </c>
      <c r="M9" s="4" t="s">
        <v>108</v>
      </c>
      <c r="N9" s="4" t="s">
        <v>127</v>
      </c>
      <c r="O9" s="4" t="s">
        <v>128</v>
      </c>
      <c r="P9">
        <v>44</v>
      </c>
      <c r="Q9">
        <v>44</v>
      </c>
      <c r="R9" s="4" t="s">
        <v>158</v>
      </c>
      <c r="S9">
        <v>34.07</v>
      </c>
      <c r="T9">
        <v>1499.08</v>
      </c>
      <c r="U9">
        <v>1148.4000000000001</v>
      </c>
      <c r="V9" s="4" t="s">
        <v>30</v>
      </c>
    </row>
    <row r="10" spans="1:22" x14ac:dyDescent="0.2">
      <c r="A10" s="4" t="s">
        <v>52</v>
      </c>
      <c r="B10">
        <v>9</v>
      </c>
      <c r="C10" s="4" t="s">
        <v>26</v>
      </c>
      <c r="D10" s="4" t="s">
        <v>27</v>
      </c>
      <c r="E10" s="4" t="s">
        <v>44</v>
      </c>
      <c r="F10" s="4" t="s">
        <v>45</v>
      </c>
      <c r="G10">
        <v>2</v>
      </c>
      <c r="H10">
        <v>6</v>
      </c>
      <c r="I10" s="4" t="s">
        <v>963</v>
      </c>
      <c r="J10" s="4" t="s">
        <v>956</v>
      </c>
      <c r="K10" s="4" t="s">
        <v>114</v>
      </c>
      <c r="L10" s="4" t="s">
        <v>115</v>
      </c>
      <c r="M10" s="4" t="s">
        <v>108</v>
      </c>
      <c r="N10" s="4" t="s">
        <v>129</v>
      </c>
      <c r="O10" s="4" t="s">
        <v>130</v>
      </c>
      <c r="P10">
        <v>15</v>
      </c>
      <c r="Q10">
        <v>15</v>
      </c>
      <c r="R10" s="4" t="s">
        <v>158</v>
      </c>
      <c r="S10">
        <v>99.13</v>
      </c>
      <c r="T10">
        <v>1486.95</v>
      </c>
      <c r="U10">
        <v>1258.5</v>
      </c>
      <c r="V10" s="4" t="s">
        <v>30</v>
      </c>
    </row>
    <row r="11" spans="1:22" x14ac:dyDescent="0.2">
      <c r="A11" s="4" t="s">
        <v>55</v>
      </c>
      <c r="B11">
        <v>10</v>
      </c>
      <c r="C11" s="4" t="s">
        <v>26</v>
      </c>
      <c r="D11" s="4" t="s">
        <v>27</v>
      </c>
      <c r="E11" s="4" t="s">
        <v>44</v>
      </c>
      <c r="F11" s="4" t="s">
        <v>45</v>
      </c>
      <c r="G11">
        <v>2</v>
      </c>
      <c r="H11">
        <v>6</v>
      </c>
      <c r="I11" s="4" t="s">
        <v>965</v>
      </c>
      <c r="J11" s="4" t="s">
        <v>956</v>
      </c>
      <c r="K11" s="4" t="s">
        <v>116</v>
      </c>
      <c r="L11" s="4" t="s">
        <v>117</v>
      </c>
      <c r="M11" s="4" t="s">
        <v>108</v>
      </c>
      <c r="N11" s="4" t="s">
        <v>129</v>
      </c>
      <c r="O11" s="4" t="s">
        <v>130</v>
      </c>
      <c r="P11">
        <v>6</v>
      </c>
      <c r="Q11">
        <v>6</v>
      </c>
      <c r="R11" s="4" t="s">
        <v>158</v>
      </c>
      <c r="S11">
        <v>99.13</v>
      </c>
      <c r="T11">
        <v>594.78</v>
      </c>
      <c r="U11">
        <v>503.4</v>
      </c>
      <c r="V11" s="4" t="s">
        <v>30</v>
      </c>
    </row>
    <row r="12" spans="1:22" x14ac:dyDescent="0.2">
      <c r="A12" s="4" t="s">
        <v>58</v>
      </c>
      <c r="B12">
        <v>11</v>
      </c>
      <c r="C12" s="4" t="s">
        <v>26</v>
      </c>
      <c r="D12" s="4" t="s">
        <v>27</v>
      </c>
      <c r="E12" s="4" t="s">
        <v>47</v>
      </c>
      <c r="F12" s="4" t="s">
        <v>48</v>
      </c>
      <c r="G12">
        <v>2</v>
      </c>
      <c r="H12">
        <v>7</v>
      </c>
      <c r="I12" s="4" t="s">
        <v>966</v>
      </c>
      <c r="J12" s="4" t="s">
        <v>964</v>
      </c>
      <c r="K12" s="4" t="s">
        <v>112</v>
      </c>
      <c r="L12" s="4" t="s">
        <v>113</v>
      </c>
      <c r="M12" s="4" t="s">
        <v>108</v>
      </c>
      <c r="N12" s="4" t="s">
        <v>122</v>
      </c>
      <c r="O12" s="4" t="s">
        <v>123</v>
      </c>
      <c r="P12">
        <v>54</v>
      </c>
      <c r="Q12">
        <v>54</v>
      </c>
      <c r="R12" s="4" t="s">
        <v>158</v>
      </c>
      <c r="S12">
        <v>29.35</v>
      </c>
      <c r="T12">
        <v>1584.9</v>
      </c>
      <c r="U12">
        <v>1275.48</v>
      </c>
      <c r="V12" s="4" t="s">
        <v>30</v>
      </c>
    </row>
    <row r="13" spans="1:22" x14ac:dyDescent="0.2">
      <c r="A13" s="4" t="s">
        <v>60</v>
      </c>
      <c r="B13">
        <v>12</v>
      </c>
      <c r="C13" s="4" t="s">
        <v>26</v>
      </c>
      <c r="D13" s="4" t="s">
        <v>27</v>
      </c>
      <c r="E13" s="4" t="s">
        <v>47</v>
      </c>
      <c r="F13" s="4" t="s">
        <v>48</v>
      </c>
      <c r="G13">
        <v>2</v>
      </c>
      <c r="H13">
        <v>7</v>
      </c>
      <c r="I13" s="4" t="s">
        <v>966</v>
      </c>
      <c r="J13" s="4" t="s">
        <v>956</v>
      </c>
      <c r="K13" s="4" t="s">
        <v>112</v>
      </c>
      <c r="L13" s="4" t="s">
        <v>113</v>
      </c>
      <c r="M13" s="4" t="s">
        <v>108</v>
      </c>
      <c r="N13" s="4" t="s">
        <v>125</v>
      </c>
      <c r="O13" s="4" t="s">
        <v>126</v>
      </c>
      <c r="P13">
        <v>20</v>
      </c>
      <c r="Q13">
        <v>20</v>
      </c>
      <c r="R13" s="4" t="s">
        <v>158</v>
      </c>
      <c r="S13">
        <v>85.38</v>
      </c>
      <c r="T13">
        <v>1707.6</v>
      </c>
      <c r="U13">
        <v>1460.6</v>
      </c>
      <c r="V13" s="4" t="s">
        <v>30</v>
      </c>
    </row>
    <row r="14" spans="1:22" x14ac:dyDescent="0.2">
      <c r="A14" s="4" t="s">
        <v>62</v>
      </c>
      <c r="B14">
        <v>13</v>
      </c>
      <c r="C14" s="4" t="s">
        <v>26</v>
      </c>
      <c r="D14" s="4" t="s">
        <v>27</v>
      </c>
      <c r="E14" s="4" t="s">
        <v>47</v>
      </c>
      <c r="F14" s="4" t="s">
        <v>48</v>
      </c>
      <c r="G14">
        <v>2</v>
      </c>
      <c r="H14">
        <v>7</v>
      </c>
      <c r="I14" s="4" t="s">
        <v>966</v>
      </c>
      <c r="J14" s="4" t="s">
        <v>967</v>
      </c>
      <c r="K14" s="4" t="s">
        <v>112</v>
      </c>
      <c r="L14" s="4" t="s">
        <v>113</v>
      </c>
      <c r="M14" s="4" t="s">
        <v>108</v>
      </c>
      <c r="N14" s="4" t="s">
        <v>127</v>
      </c>
      <c r="O14" s="4" t="s">
        <v>128</v>
      </c>
      <c r="P14">
        <v>10</v>
      </c>
      <c r="Q14">
        <v>10</v>
      </c>
      <c r="R14" s="4" t="s">
        <v>158</v>
      </c>
      <c r="S14">
        <v>34.07</v>
      </c>
      <c r="T14">
        <v>340.7</v>
      </c>
      <c r="U14">
        <v>263.7</v>
      </c>
      <c r="V14" s="4" t="s">
        <v>30</v>
      </c>
    </row>
    <row r="15" spans="1:22" x14ac:dyDescent="0.2">
      <c r="A15" s="4" t="s">
        <v>64</v>
      </c>
      <c r="B15">
        <v>14</v>
      </c>
      <c r="C15" s="4" t="s">
        <v>26</v>
      </c>
      <c r="D15" s="4" t="s">
        <v>27</v>
      </c>
      <c r="E15" s="4" t="s">
        <v>47</v>
      </c>
      <c r="F15" s="4" t="s">
        <v>48</v>
      </c>
      <c r="G15">
        <v>2</v>
      </c>
      <c r="H15">
        <v>7</v>
      </c>
      <c r="I15" s="4" t="s">
        <v>966</v>
      </c>
      <c r="J15" s="4" t="s">
        <v>962</v>
      </c>
      <c r="K15" s="4" t="s">
        <v>112</v>
      </c>
      <c r="L15" s="4" t="s">
        <v>113</v>
      </c>
      <c r="M15" s="4" t="s">
        <v>108</v>
      </c>
      <c r="N15" s="4" t="s">
        <v>127</v>
      </c>
      <c r="O15" s="4" t="s">
        <v>128</v>
      </c>
      <c r="P15">
        <v>61</v>
      </c>
      <c r="Q15">
        <v>61</v>
      </c>
      <c r="R15" s="4" t="s">
        <v>158</v>
      </c>
      <c r="S15">
        <v>34.07</v>
      </c>
      <c r="T15">
        <v>2078.27</v>
      </c>
      <c r="U15">
        <v>1608.57</v>
      </c>
      <c r="V15" s="4" t="s">
        <v>30</v>
      </c>
    </row>
    <row r="16" spans="1:22" x14ac:dyDescent="0.2">
      <c r="A16" s="4" t="s">
        <v>66</v>
      </c>
      <c r="B16">
        <v>15</v>
      </c>
      <c r="C16" s="4" t="s">
        <v>26</v>
      </c>
      <c r="D16" s="4" t="s">
        <v>27</v>
      </c>
      <c r="E16" s="4" t="s">
        <v>47</v>
      </c>
      <c r="F16" s="4" t="s">
        <v>48</v>
      </c>
      <c r="G16">
        <v>2</v>
      </c>
      <c r="H16">
        <v>7</v>
      </c>
      <c r="I16" s="4" t="s">
        <v>968</v>
      </c>
      <c r="J16" s="4" t="s">
        <v>956</v>
      </c>
      <c r="K16" s="4" t="s">
        <v>114</v>
      </c>
      <c r="L16" s="4" t="s">
        <v>115</v>
      </c>
      <c r="M16" s="4" t="s">
        <v>108</v>
      </c>
      <c r="N16" s="4" t="s">
        <v>127</v>
      </c>
      <c r="O16" s="4" t="s">
        <v>128</v>
      </c>
      <c r="P16">
        <v>65</v>
      </c>
      <c r="Q16">
        <v>65</v>
      </c>
      <c r="R16" s="4" t="s">
        <v>158</v>
      </c>
      <c r="S16">
        <v>34.07</v>
      </c>
      <c r="T16">
        <v>2214.5500000000002</v>
      </c>
      <c r="U16">
        <v>1714.05</v>
      </c>
      <c r="V16" s="4" t="s">
        <v>30</v>
      </c>
    </row>
    <row r="17" spans="1:22" x14ac:dyDescent="0.2">
      <c r="A17" s="4" t="s">
        <v>68</v>
      </c>
      <c r="B17">
        <v>16</v>
      </c>
      <c r="C17" s="4" t="s">
        <v>26</v>
      </c>
      <c r="D17" s="4" t="s">
        <v>27</v>
      </c>
      <c r="E17" s="4" t="s">
        <v>47</v>
      </c>
      <c r="F17" s="4" t="s">
        <v>48</v>
      </c>
      <c r="G17">
        <v>2</v>
      </c>
      <c r="H17">
        <v>7</v>
      </c>
      <c r="I17" s="4" t="s">
        <v>969</v>
      </c>
      <c r="J17" s="4" t="s">
        <v>956</v>
      </c>
      <c r="K17" s="4" t="s">
        <v>116</v>
      </c>
      <c r="L17" s="4" t="s">
        <v>117</v>
      </c>
      <c r="M17" s="4" t="s">
        <v>108</v>
      </c>
      <c r="N17" s="4" t="s">
        <v>129</v>
      </c>
      <c r="O17" s="4" t="s">
        <v>130</v>
      </c>
      <c r="P17">
        <v>17</v>
      </c>
      <c r="Q17">
        <v>17</v>
      </c>
      <c r="R17" s="4" t="s">
        <v>158</v>
      </c>
      <c r="S17">
        <v>99.13</v>
      </c>
      <c r="T17">
        <v>1685.21</v>
      </c>
      <c r="U17">
        <v>1434.63</v>
      </c>
      <c r="V17" s="4" t="s">
        <v>30</v>
      </c>
    </row>
    <row r="18" spans="1:22" x14ac:dyDescent="0.2">
      <c r="A18" s="4" t="s">
        <v>70</v>
      </c>
      <c r="B18">
        <v>17</v>
      </c>
      <c r="C18" s="4" t="s">
        <v>26</v>
      </c>
      <c r="D18" s="4" t="s">
        <v>27</v>
      </c>
      <c r="E18" s="4" t="s">
        <v>50</v>
      </c>
      <c r="F18" s="4" t="s">
        <v>51</v>
      </c>
      <c r="G18">
        <v>2</v>
      </c>
      <c r="H18">
        <v>8</v>
      </c>
      <c r="I18" s="4" t="s">
        <v>971</v>
      </c>
      <c r="J18" s="4" t="s">
        <v>956</v>
      </c>
      <c r="K18" s="4" t="s">
        <v>112</v>
      </c>
      <c r="L18" s="4" t="s">
        <v>113</v>
      </c>
      <c r="M18" s="4" t="s">
        <v>108</v>
      </c>
      <c r="N18" s="4" t="s">
        <v>122</v>
      </c>
      <c r="O18" s="4" t="s">
        <v>123</v>
      </c>
      <c r="P18">
        <v>81</v>
      </c>
      <c r="Q18">
        <v>81</v>
      </c>
      <c r="R18" s="4" t="s">
        <v>158</v>
      </c>
      <c r="S18">
        <v>29.35</v>
      </c>
      <c r="T18">
        <v>2377.35</v>
      </c>
      <c r="U18">
        <v>1913.22</v>
      </c>
      <c r="V18" s="4" t="s">
        <v>30</v>
      </c>
    </row>
    <row r="19" spans="1:22" x14ac:dyDescent="0.2">
      <c r="A19" s="4" t="s">
        <v>72</v>
      </c>
      <c r="B19">
        <v>18</v>
      </c>
      <c r="C19" s="4" t="s">
        <v>26</v>
      </c>
      <c r="D19" s="4" t="s">
        <v>27</v>
      </c>
      <c r="E19" s="4" t="s">
        <v>50</v>
      </c>
      <c r="F19" s="4" t="s">
        <v>51</v>
      </c>
      <c r="G19">
        <v>2</v>
      </c>
      <c r="H19">
        <v>8</v>
      </c>
      <c r="I19" s="4" t="s">
        <v>970</v>
      </c>
      <c r="J19" s="4" t="s">
        <v>956</v>
      </c>
      <c r="K19" s="4" t="s">
        <v>112</v>
      </c>
      <c r="L19" s="4" t="s">
        <v>113</v>
      </c>
      <c r="M19" s="4" t="s">
        <v>108</v>
      </c>
      <c r="N19" s="4" t="s">
        <v>122</v>
      </c>
      <c r="O19" s="4" t="s">
        <v>123</v>
      </c>
      <c r="P19">
        <v>76</v>
      </c>
      <c r="Q19">
        <v>76</v>
      </c>
      <c r="R19" s="4" t="s">
        <v>158</v>
      </c>
      <c r="S19">
        <v>29.35</v>
      </c>
      <c r="T19">
        <v>2230.6</v>
      </c>
      <c r="U19">
        <v>1795.12</v>
      </c>
      <c r="V19" s="4" t="s">
        <v>30</v>
      </c>
    </row>
    <row r="20" spans="1:22" x14ac:dyDescent="0.2">
      <c r="A20" s="4" t="s">
        <v>74</v>
      </c>
      <c r="B20">
        <v>19</v>
      </c>
      <c r="C20" s="4" t="s">
        <v>26</v>
      </c>
      <c r="D20" s="4" t="s">
        <v>27</v>
      </c>
      <c r="E20" s="4" t="s">
        <v>50</v>
      </c>
      <c r="F20" s="4" t="s">
        <v>51</v>
      </c>
      <c r="G20">
        <v>2</v>
      </c>
      <c r="H20">
        <v>8</v>
      </c>
      <c r="I20" s="4" t="s">
        <v>970</v>
      </c>
      <c r="J20" s="4" t="s">
        <v>962</v>
      </c>
      <c r="K20" s="4" t="s">
        <v>112</v>
      </c>
      <c r="L20" s="4" t="s">
        <v>113</v>
      </c>
      <c r="M20" s="4" t="s">
        <v>108</v>
      </c>
      <c r="N20" s="4" t="s">
        <v>122</v>
      </c>
      <c r="O20" s="4" t="s">
        <v>123</v>
      </c>
      <c r="P20">
        <v>19</v>
      </c>
      <c r="Q20">
        <v>19</v>
      </c>
      <c r="R20" s="4" t="s">
        <v>158</v>
      </c>
      <c r="S20">
        <v>29.35</v>
      </c>
      <c r="T20">
        <v>557.65</v>
      </c>
      <c r="U20">
        <v>448.78</v>
      </c>
      <c r="V20" s="4" t="s">
        <v>30</v>
      </c>
    </row>
    <row r="21" spans="1:22" x14ac:dyDescent="0.2">
      <c r="A21" s="4" t="s">
        <v>76</v>
      </c>
      <c r="B21">
        <v>20</v>
      </c>
      <c r="C21" s="4" t="s">
        <v>26</v>
      </c>
      <c r="D21" s="4" t="s">
        <v>27</v>
      </c>
      <c r="E21" s="4" t="s">
        <v>50</v>
      </c>
      <c r="F21" s="4" t="s">
        <v>51</v>
      </c>
      <c r="G21">
        <v>2</v>
      </c>
      <c r="H21">
        <v>8</v>
      </c>
      <c r="I21" s="4" t="s">
        <v>971</v>
      </c>
      <c r="J21" s="4" t="s">
        <v>962</v>
      </c>
      <c r="K21" s="4" t="s">
        <v>112</v>
      </c>
      <c r="L21" s="4" t="s">
        <v>113</v>
      </c>
      <c r="M21" s="4" t="s">
        <v>108</v>
      </c>
      <c r="N21" s="4" t="s">
        <v>127</v>
      </c>
      <c r="O21" s="4" t="s">
        <v>128</v>
      </c>
      <c r="P21">
        <v>44</v>
      </c>
      <c r="Q21">
        <v>44</v>
      </c>
      <c r="R21" s="4" t="s">
        <v>158</v>
      </c>
      <c r="S21">
        <v>34.07</v>
      </c>
      <c r="T21">
        <v>1499.08</v>
      </c>
      <c r="U21">
        <v>1160.28</v>
      </c>
      <c r="V21" s="4" t="s">
        <v>30</v>
      </c>
    </row>
    <row r="22" spans="1:22" x14ac:dyDescent="0.2">
      <c r="A22" s="4" t="s">
        <v>78</v>
      </c>
      <c r="B22">
        <v>21</v>
      </c>
      <c r="C22" s="4" t="s">
        <v>26</v>
      </c>
      <c r="D22" s="4" t="s">
        <v>27</v>
      </c>
      <c r="E22" s="4" t="s">
        <v>50</v>
      </c>
      <c r="F22" s="4" t="s">
        <v>51</v>
      </c>
      <c r="G22">
        <v>2</v>
      </c>
      <c r="H22">
        <v>8</v>
      </c>
      <c r="I22" s="4" t="s">
        <v>972</v>
      </c>
      <c r="J22" s="4" t="s">
        <v>956</v>
      </c>
      <c r="K22" s="4" t="s">
        <v>114</v>
      </c>
      <c r="L22" s="4" t="s">
        <v>115</v>
      </c>
      <c r="M22" s="4" t="s">
        <v>108</v>
      </c>
      <c r="N22" s="4" t="s">
        <v>122</v>
      </c>
      <c r="O22" s="4" t="s">
        <v>123</v>
      </c>
      <c r="P22">
        <v>60</v>
      </c>
      <c r="Q22">
        <v>60</v>
      </c>
      <c r="R22" s="4" t="s">
        <v>158</v>
      </c>
      <c r="S22">
        <v>29.35</v>
      </c>
      <c r="T22">
        <v>1761</v>
      </c>
      <c r="U22">
        <v>1417.2</v>
      </c>
      <c r="V22" s="4" t="s">
        <v>30</v>
      </c>
    </row>
    <row r="23" spans="1:22" x14ac:dyDescent="0.2">
      <c r="A23" s="4" t="s">
        <v>80</v>
      </c>
      <c r="B23">
        <v>22</v>
      </c>
      <c r="C23" s="4" t="s">
        <v>26</v>
      </c>
      <c r="D23" s="4" t="s">
        <v>27</v>
      </c>
      <c r="E23" s="4" t="s">
        <v>50</v>
      </c>
      <c r="F23" s="4" t="s">
        <v>51</v>
      </c>
      <c r="G23">
        <v>2</v>
      </c>
      <c r="H23">
        <v>8</v>
      </c>
      <c r="I23" s="4" t="s">
        <v>973</v>
      </c>
      <c r="J23" s="4" t="s">
        <v>956</v>
      </c>
      <c r="K23" s="4" t="s">
        <v>116</v>
      </c>
      <c r="L23" s="4" t="s">
        <v>117</v>
      </c>
      <c r="M23" s="4" t="s">
        <v>108</v>
      </c>
      <c r="N23" s="4" t="s">
        <v>127</v>
      </c>
      <c r="O23" s="4" t="s">
        <v>128</v>
      </c>
      <c r="P23">
        <v>44</v>
      </c>
      <c r="Q23">
        <v>44</v>
      </c>
      <c r="R23" s="4" t="s">
        <v>158</v>
      </c>
      <c r="S23">
        <v>34.07</v>
      </c>
      <c r="T23">
        <v>1499.08</v>
      </c>
      <c r="U23">
        <v>1160.28</v>
      </c>
      <c r="V23" s="4" t="s">
        <v>30</v>
      </c>
    </row>
    <row r="24" spans="1:22" x14ac:dyDescent="0.2">
      <c r="A24" s="4" t="s">
        <v>82</v>
      </c>
      <c r="B24">
        <v>23</v>
      </c>
      <c r="C24" s="4" t="s">
        <v>26</v>
      </c>
      <c r="D24" s="4" t="s">
        <v>27</v>
      </c>
      <c r="E24" s="4" t="s">
        <v>50</v>
      </c>
      <c r="F24" s="4" t="s">
        <v>51</v>
      </c>
      <c r="G24">
        <v>2</v>
      </c>
      <c r="H24">
        <v>8</v>
      </c>
      <c r="I24" s="4" t="s">
        <v>974</v>
      </c>
      <c r="J24" s="4" t="s">
        <v>956</v>
      </c>
      <c r="K24" s="4" t="s">
        <v>116</v>
      </c>
      <c r="L24" s="4" t="s">
        <v>117</v>
      </c>
      <c r="M24" s="4" t="s">
        <v>108</v>
      </c>
      <c r="N24" s="4" t="s">
        <v>129</v>
      </c>
      <c r="O24" s="4" t="s">
        <v>130</v>
      </c>
      <c r="P24">
        <v>17</v>
      </c>
      <c r="Q24">
        <v>17</v>
      </c>
      <c r="R24" s="4" t="s">
        <v>158</v>
      </c>
      <c r="S24">
        <v>99.13</v>
      </c>
      <c r="T24">
        <v>1685.21</v>
      </c>
      <c r="U24">
        <v>1434.63</v>
      </c>
      <c r="V24" s="4" t="s">
        <v>30</v>
      </c>
    </row>
    <row r="25" spans="1:22" x14ac:dyDescent="0.2">
      <c r="A25" s="4" t="s">
        <v>84</v>
      </c>
      <c r="B25">
        <v>24</v>
      </c>
      <c r="C25" s="4" t="s">
        <v>26</v>
      </c>
      <c r="D25" s="4" t="s">
        <v>27</v>
      </c>
      <c r="E25" s="4" t="s">
        <v>50</v>
      </c>
      <c r="F25" s="4" t="s">
        <v>51</v>
      </c>
      <c r="G25">
        <v>2</v>
      </c>
      <c r="H25">
        <v>8</v>
      </c>
      <c r="I25" s="4" t="s">
        <v>973</v>
      </c>
      <c r="J25" s="4" t="s">
        <v>962</v>
      </c>
      <c r="K25" s="4" t="s">
        <v>116</v>
      </c>
      <c r="L25" s="4" t="s">
        <v>117</v>
      </c>
      <c r="M25" s="4" t="s">
        <v>108</v>
      </c>
      <c r="N25" s="4" t="s">
        <v>129</v>
      </c>
      <c r="O25" s="4" t="s">
        <v>130</v>
      </c>
      <c r="P25">
        <v>19</v>
      </c>
      <c r="Q25">
        <v>19</v>
      </c>
      <c r="R25" s="4" t="s">
        <v>158</v>
      </c>
      <c r="S25">
        <v>99.13</v>
      </c>
      <c r="T25">
        <v>1883.47</v>
      </c>
      <c r="U25">
        <v>1603.41</v>
      </c>
      <c r="V25" s="4" t="s">
        <v>30</v>
      </c>
    </row>
    <row r="26" spans="1:22" x14ac:dyDescent="0.2">
      <c r="A26" s="4" t="s">
        <v>86</v>
      </c>
      <c r="B26">
        <v>25</v>
      </c>
      <c r="C26" s="4" t="s">
        <v>26</v>
      </c>
      <c r="D26" s="4" t="s">
        <v>27</v>
      </c>
      <c r="E26" s="4" t="s">
        <v>53</v>
      </c>
      <c r="F26" s="4" t="s">
        <v>54</v>
      </c>
      <c r="G26">
        <v>2</v>
      </c>
      <c r="H26">
        <v>9</v>
      </c>
      <c r="I26" s="4" t="s">
        <v>975</v>
      </c>
      <c r="J26" s="4" t="s">
        <v>956</v>
      </c>
      <c r="K26" s="4" t="s">
        <v>112</v>
      </c>
      <c r="L26" s="4" t="s">
        <v>113</v>
      </c>
      <c r="M26" s="4" t="s">
        <v>108</v>
      </c>
      <c r="N26" s="4" t="s">
        <v>122</v>
      </c>
      <c r="O26" s="4" t="s">
        <v>123</v>
      </c>
      <c r="P26">
        <v>54</v>
      </c>
      <c r="Q26">
        <v>54</v>
      </c>
      <c r="R26" s="4" t="s">
        <v>158</v>
      </c>
      <c r="S26">
        <v>29.35</v>
      </c>
      <c r="T26">
        <v>1584.9</v>
      </c>
      <c r="U26">
        <v>1275.48</v>
      </c>
      <c r="V26" s="4" t="s">
        <v>30</v>
      </c>
    </row>
    <row r="27" spans="1:22" x14ac:dyDescent="0.2">
      <c r="A27" s="4" t="s">
        <v>88</v>
      </c>
      <c r="B27">
        <v>26</v>
      </c>
      <c r="C27" s="4" t="s">
        <v>26</v>
      </c>
      <c r="D27" s="4" t="s">
        <v>27</v>
      </c>
      <c r="E27" s="4" t="s">
        <v>53</v>
      </c>
      <c r="F27" s="4" t="s">
        <v>54</v>
      </c>
      <c r="G27">
        <v>2</v>
      </c>
      <c r="H27">
        <v>9</v>
      </c>
      <c r="I27" s="4" t="s">
        <v>976</v>
      </c>
      <c r="J27" s="4" t="s">
        <v>956</v>
      </c>
      <c r="K27" s="4" t="s">
        <v>112</v>
      </c>
      <c r="L27" s="4" t="s">
        <v>113</v>
      </c>
      <c r="M27" s="4" t="s">
        <v>108</v>
      </c>
      <c r="N27" s="4" t="s">
        <v>127</v>
      </c>
      <c r="O27" s="4" t="s">
        <v>128</v>
      </c>
      <c r="P27">
        <v>57</v>
      </c>
      <c r="Q27">
        <v>57</v>
      </c>
      <c r="R27" s="4" t="s">
        <v>158</v>
      </c>
      <c r="S27">
        <v>34.07</v>
      </c>
      <c r="T27">
        <v>1941.99</v>
      </c>
      <c r="U27">
        <v>1503.09</v>
      </c>
      <c r="V27" s="4" t="s">
        <v>30</v>
      </c>
    </row>
    <row r="28" spans="1:22" x14ac:dyDescent="0.2">
      <c r="A28" s="4" t="s">
        <v>90</v>
      </c>
      <c r="B28">
        <v>27</v>
      </c>
      <c r="C28" s="4" t="s">
        <v>26</v>
      </c>
      <c r="D28" s="4" t="s">
        <v>27</v>
      </c>
      <c r="E28" s="4" t="s">
        <v>53</v>
      </c>
      <c r="F28" s="4" t="s">
        <v>54</v>
      </c>
      <c r="G28">
        <v>2</v>
      </c>
      <c r="H28">
        <v>9</v>
      </c>
      <c r="I28" s="4" t="s">
        <v>976</v>
      </c>
      <c r="J28" s="4" t="s">
        <v>962</v>
      </c>
      <c r="K28" s="4" t="s">
        <v>112</v>
      </c>
      <c r="L28" s="4" t="s">
        <v>113</v>
      </c>
      <c r="M28" s="4" t="s">
        <v>108</v>
      </c>
      <c r="N28" s="4" t="s">
        <v>131</v>
      </c>
      <c r="O28" s="4" t="s">
        <v>132</v>
      </c>
      <c r="P28">
        <v>26</v>
      </c>
      <c r="Q28">
        <v>26</v>
      </c>
      <c r="R28" s="4" t="s">
        <v>158</v>
      </c>
      <c r="S28">
        <v>70.86</v>
      </c>
      <c r="T28">
        <v>1842.36</v>
      </c>
      <c r="U28">
        <v>1576.64</v>
      </c>
      <c r="V28" s="4" t="s">
        <v>30</v>
      </c>
    </row>
    <row r="29" spans="1:22" x14ac:dyDescent="0.2">
      <c r="A29" s="4" t="s">
        <v>92</v>
      </c>
      <c r="B29">
        <v>28</v>
      </c>
      <c r="C29" s="4" t="s">
        <v>26</v>
      </c>
      <c r="D29" s="4" t="s">
        <v>27</v>
      </c>
      <c r="E29" s="4" t="s">
        <v>53</v>
      </c>
      <c r="F29" s="4" t="s">
        <v>54</v>
      </c>
      <c r="G29">
        <v>2</v>
      </c>
      <c r="H29">
        <v>9</v>
      </c>
      <c r="I29" s="4" t="s">
        <v>977</v>
      </c>
      <c r="J29" s="4" t="s">
        <v>964</v>
      </c>
      <c r="K29" s="4" t="s">
        <v>114</v>
      </c>
      <c r="L29" s="4" t="s">
        <v>115</v>
      </c>
      <c r="M29" s="4" t="s">
        <v>108</v>
      </c>
      <c r="N29" s="4" t="s">
        <v>127</v>
      </c>
      <c r="O29" s="4" t="s">
        <v>128</v>
      </c>
      <c r="P29">
        <v>54</v>
      </c>
      <c r="Q29">
        <v>54</v>
      </c>
      <c r="R29" s="4" t="s">
        <v>158</v>
      </c>
      <c r="S29">
        <v>34.07</v>
      </c>
      <c r="T29">
        <v>1839.78</v>
      </c>
      <c r="U29">
        <v>1423.98</v>
      </c>
      <c r="V29" s="4" t="s">
        <v>30</v>
      </c>
    </row>
    <row r="30" spans="1:22" x14ac:dyDescent="0.2">
      <c r="A30" s="4" t="s">
        <v>94</v>
      </c>
      <c r="B30">
        <v>29</v>
      </c>
      <c r="C30" s="4" t="s">
        <v>26</v>
      </c>
      <c r="D30" s="4" t="s">
        <v>27</v>
      </c>
      <c r="E30" s="4" t="s">
        <v>53</v>
      </c>
      <c r="F30" s="4" t="s">
        <v>54</v>
      </c>
      <c r="G30">
        <v>2</v>
      </c>
      <c r="H30">
        <v>9</v>
      </c>
      <c r="I30" s="4" t="s">
        <v>977</v>
      </c>
      <c r="J30" s="4" t="s">
        <v>962</v>
      </c>
      <c r="K30" s="4" t="s">
        <v>114</v>
      </c>
      <c r="L30" s="4" t="s">
        <v>115</v>
      </c>
      <c r="M30" s="4" t="s">
        <v>108</v>
      </c>
      <c r="N30" s="4" t="s">
        <v>127</v>
      </c>
      <c r="O30" s="4" t="s">
        <v>128</v>
      </c>
      <c r="P30">
        <v>56</v>
      </c>
      <c r="Q30">
        <v>56</v>
      </c>
      <c r="R30" s="4" t="s">
        <v>158</v>
      </c>
      <c r="S30">
        <v>34.07</v>
      </c>
      <c r="T30">
        <v>1907.92</v>
      </c>
      <c r="U30">
        <v>1476.72</v>
      </c>
      <c r="V30" s="4" t="s">
        <v>30</v>
      </c>
    </row>
    <row r="31" spans="1:22" x14ac:dyDescent="0.2">
      <c r="A31" s="4" t="s">
        <v>96</v>
      </c>
      <c r="B31">
        <v>30</v>
      </c>
      <c r="C31" s="4" t="s">
        <v>26</v>
      </c>
      <c r="D31" s="4" t="s">
        <v>27</v>
      </c>
      <c r="E31" s="4" t="s">
        <v>53</v>
      </c>
      <c r="F31" s="4" t="s">
        <v>54</v>
      </c>
      <c r="G31">
        <v>2</v>
      </c>
      <c r="H31">
        <v>9</v>
      </c>
      <c r="I31" s="4" t="s">
        <v>977</v>
      </c>
      <c r="J31" s="4" t="s">
        <v>956</v>
      </c>
      <c r="K31" s="4" t="s">
        <v>114</v>
      </c>
      <c r="L31" s="4" t="s">
        <v>115</v>
      </c>
      <c r="M31" s="4" t="s">
        <v>108</v>
      </c>
      <c r="N31" s="4" t="s">
        <v>131</v>
      </c>
      <c r="O31" s="4" t="s">
        <v>132</v>
      </c>
      <c r="P31">
        <v>31</v>
      </c>
      <c r="Q31">
        <v>31</v>
      </c>
      <c r="R31" s="4" t="s">
        <v>158</v>
      </c>
      <c r="S31">
        <v>70.86</v>
      </c>
      <c r="T31">
        <v>2196.66</v>
      </c>
      <c r="U31">
        <v>1879.84</v>
      </c>
      <c r="V31" s="4" t="s">
        <v>30</v>
      </c>
    </row>
    <row r="32" spans="1:22" x14ac:dyDescent="0.2">
      <c r="A32" s="4" t="s">
        <v>215</v>
      </c>
      <c r="B32">
        <v>31</v>
      </c>
      <c r="C32" s="4" t="s">
        <v>26</v>
      </c>
      <c r="D32" s="4" t="s">
        <v>27</v>
      </c>
      <c r="E32" s="4" t="s">
        <v>53</v>
      </c>
      <c r="F32" s="4" t="s">
        <v>54</v>
      </c>
      <c r="G32">
        <v>2</v>
      </c>
      <c r="H32">
        <v>9</v>
      </c>
      <c r="I32" s="4" t="s">
        <v>978</v>
      </c>
      <c r="J32" s="4" t="s">
        <v>956</v>
      </c>
      <c r="K32" s="4" t="s">
        <v>116</v>
      </c>
      <c r="L32" s="4" t="s">
        <v>117</v>
      </c>
      <c r="M32" s="4" t="s">
        <v>108</v>
      </c>
      <c r="N32" s="4" t="s">
        <v>129</v>
      </c>
      <c r="O32" s="4" t="s">
        <v>130</v>
      </c>
      <c r="P32">
        <v>23</v>
      </c>
      <c r="Q32">
        <v>23</v>
      </c>
      <c r="R32" s="4" t="s">
        <v>158</v>
      </c>
      <c r="S32">
        <v>99.13</v>
      </c>
      <c r="T32">
        <v>2279.9899999999998</v>
      </c>
      <c r="U32">
        <v>1940.97</v>
      </c>
      <c r="V32" s="4" t="s">
        <v>30</v>
      </c>
    </row>
    <row r="33" spans="1:22" x14ac:dyDescent="0.2">
      <c r="A33" s="4" t="s">
        <v>216</v>
      </c>
      <c r="B33">
        <v>32</v>
      </c>
      <c r="C33" s="4" t="s">
        <v>26</v>
      </c>
      <c r="D33" s="4" t="s">
        <v>27</v>
      </c>
      <c r="E33" s="4" t="s">
        <v>56</v>
      </c>
      <c r="F33" s="4" t="s">
        <v>57</v>
      </c>
      <c r="G33">
        <v>2</v>
      </c>
      <c r="H33">
        <v>10</v>
      </c>
      <c r="I33" s="4" t="s">
        <v>979</v>
      </c>
      <c r="J33" s="4" t="s">
        <v>962</v>
      </c>
      <c r="K33" s="4" t="s">
        <v>112</v>
      </c>
      <c r="L33" s="4" t="s">
        <v>113</v>
      </c>
      <c r="M33" s="4" t="s">
        <v>108</v>
      </c>
      <c r="N33" s="4" t="s">
        <v>125</v>
      </c>
      <c r="O33" s="4" t="s">
        <v>126</v>
      </c>
      <c r="P33">
        <v>19</v>
      </c>
      <c r="Q33">
        <v>19</v>
      </c>
      <c r="R33" s="4" t="s">
        <v>158</v>
      </c>
      <c r="S33">
        <v>85.38</v>
      </c>
      <c r="T33">
        <v>1622.22</v>
      </c>
      <c r="U33">
        <v>1387.57</v>
      </c>
      <c r="V33" s="4" t="s">
        <v>30</v>
      </c>
    </row>
    <row r="34" spans="1:22" x14ac:dyDescent="0.2">
      <c r="A34" s="4" t="s">
        <v>217</v>
      </c>
      <c r="B34">
        <v>33</v>
      </c>
      <c r="C34" s="4" t="s">
        <v>26</v>
      </c>
      <c r="D34" s="4" t="s">
        <v>27</v>
      </c>
      <c r="E34" s="4" t="s">
        <v>56</v>
      </c>
      <c r="F34" s="4" t="s">
        <v>57</v>
      </c>
      <c r="G34">
        <v>2</v>
      </c>
      <c r="H34">
        <v>10</v>
      </c>
      <c r="I34" s="4" t="s">
        <v>979</v>
      </c>
      <c r="J34" s="4" t="s">
        <v>956</v>
      </c>
      <c r="K34" s="4" t="s">
        <v>112</v>
      </c>
      <c r="L34" s="4" t="s">
        <v>113</v>
      </c>
      <c r="M34" s="4" t="s">
        <v>108</v>
      </c>
      <c r="N34" s="4" t="s">
        <v>131</v>
      </c>
      <c r="O34" s="4" t="s">
        <v>132</v>
      </c>
      <c r="P34">
        <v>6</v>
      </c>
      <c r="Q34">
        <v>6</v>
      </c>
      <c r="R34" s="4" t="s">
        <v>158</v>
      </c>
      <c r="S34">
        <v>70.86</v>
      </c>
      <c r="T34">
        <v>425.16</v>
      </c>
      <c r="U34">
        <v>363.84</v>
      </c>
      <c r="V34" s="4" t="s">
        <v>30</v>
      </c>
    </row>
    <row r="35" spans="1:22" x14ac:dyDescent="0.2">
      <c r="A35" s="4" t="s">
        <v>218</v>
      </c>
      <c r="B35">
        <v>34</v>
      </c>
      <c r="C35" s="4" t="s">
        <v>26</v>
      </c>
      <c r="D35" s="4" t="s">
        <v>32</v>
      </c>
      <c r="E35" s="4" t="s">
        <v>27</v>
      </c>
      <c r="F35" s="4" t="s">
        <v>59</v>
      </c>
      <c r="G35">
        <v>3</v>
      </c>
      <c r="H35">
        <v>11</v>
      </c>
      <c r="I35" s="4" t="s">
        <v>981</v>
      </c>
      <c r="J35" s="4" t="s">
        <v>956</v>
      </c>
      <c r="K35" s="4" t="s">
        <v>112</v>
      </c>
      <c r="L35" s="4" t="s">
        <v>113</v>
      </c>
      <c r="M35" s="4" t="s">
        <v>108</v>
      </c>
      <c r="N35" s="4" t="s">
        <v>122</v>
      </c>
      <c r="O35" s="4" t="s">
        <v>123</v>
      </c>
      <c r="P35">
        <v>64</v>
      </c>
      <c r="Q35">
        <v>64</v>
      </c>
      <c r="R35" s="4" t="s">
        <v>158</v>
      </c>
      <c r="S35">
        <v>29.35</v>
      </c>
      <c r="T35">
        <v>1878.4</v>
      </c>
      <c r="U35">
        <v>1511.68</v>
      </c>
      <c r="V35" s="4" t="s">
        <v>30</v>
      </c>
    </row>
    <row r="36" spans="1:22" x14ac:dyDescent="0.2">
      <c r="A36" s="4" t="s">
        <v>219</v>
      </c>
      <c r="B36">
        <v>35</v>
      </c>
      <c r="C36" s="4" t="s">
        <v>26</v>
      </c>
      <c r="D36" s="4" t="s">
        <v>32</v>
      </c>
      <c r="E36" s="4" t="s">
        <v>27</v>
      </c>
      <c r="F36" s="4" t="s">
        <v>59</v>
      </c>
      <c r="G36">
        <v>3</v>
      </c>
      <c r="H36">
        <v>11</v>
      </c>
      <c r="I36" s="4" t="s">
        <v>980</v>
      </c>
      <c r="J36" s="4" t="s">
        <v>962</v>
      </c>
      <c r="K36" s="4" t="s">
        <v>112</v>
      </c>
      <c r="L36" s="4" t="s">
        <v>113</v>
      </c>
      <c r="M36" s="4" t="s">
        <v>108</v>
      </c>
      <c r="N36" s="4" t="s">
        <v>122</v>
      </c>
      <c r="O36" s="4" t="s">
        <v>123</v>
      </c>
      <c r="P36">
        <v>71</v>
      </c>
      <c r="Q36">
        <v>71</v>
      </c>
      <c r="R36" s="4" t="s">
        <v>158</v>
      </c>
      <c r="S36">
        <v>29.35</v>
      </c>
      <c r="T36">
        <v>2083.85</v>
      </c>
      <c r="U36">
        <v>1677.02</v>
      </c>
      <c r="V36" s="4" t="s">
        <v>30</v>
      </c>
    </row>
    <row r="37" spans="1:22" x14ac:dyDescent="0.2">
      <c r="A37" s="4" t="s">
        <v>220</v>
      </c>
      <c r="B37">
        <v>36</v>
      </c>
      <c r="C37" s="4" t="s">
        <v>26</v>
      </c>
      <c r="D37" s="4" t="s">
        <v>32</v>
      </c>
      <c r="E37" s="4" t="s">
        <v>27</v>
      </c>
      <c r="F37" s="4" t="s">
        <v>59</v>
      </c>
      <c r="G37">
        <v>3</v>
      </c>
      <c r="H37">
        <v>11</v>
      </c>
      <c r="I37" s="4" t="s">
        <v>980</v>
      </c>
      <c r="J37" s="4" t="s">
        <v>964</v>
      </c>
      <c r="K37" s="4" t="s">
        <v>112</v>
      </c>
      <c r="L37" s="4" t="s">
        <v>113</v>
      </c>
      <c r="M37" s="4" t="s">
        <v>108</v>
      </c>
      <c r="N37" s="4" t="s">
        <v>122</v>
      </c>
      <c r="O37" s="4" t="s">
        <v>123</v>
      </c>
      <c r="P37">
        <v>7</v>
      </c>
      <c r="Q37">
        <v>7</v>
      </c>
      <c r="R37" s="4" t="s">
        <v>158</v>
      </c>
      <c r="S37">
        <v>29.35</v>
      </c>
      <c r="T37">
        <v>205.45</v>
      </c>
      <c r="U37">
        <v>165.34</v>
      </c>
      <c r="V37" s="4" t="s">
        <v>30</v>
      </c>
    </row>
    <row r="38" spans="1:22" x14ac:dyDescent="0.2">
      <c r="A38" s="4" t="s">
        <v>221</v>
      </c>
      <c r="B38">
        <v>37</v>
      </c>
      <c r="C38" s="4" t="s">
        <v>26</v>
      </c>
      <c r="D38" s="4" t="s">
        <v>32</v>
      </c>
      <c r="E38" s="4" t="s">
        <v>27</v>
      </c>
      <c r="F38" s="4" t="s">
        <v>59</v>
      </c>
      <c r="G38">
        <v>3</v>
      </c>
      <c r="H38">
        <v>11</v>
      </c>
      <c r="I38" s="4" t="s">
        <v>980</v>
      </c>
      <c r="J38" s="4" t="s">
        <v>956</v>
      </c>
      <c r="K38" s="4" t="s">
        <v>112</v>
      </c>
      <c r="L38" s="4" t="s">
        <v>113</v>
      </c>
      <c r="M38" s="4" t="s">
        <v>108</v>
      </c>
      <c r="N38" s="4" t="s">
        <v>131</v>
      </c>
      <c r="O38" s="4" t="s">
        <v>132</v>
      </c>
      <c r="P38">
        <v>22</v>
      </c>
      <c r="Q38">
        <v>22</v>
      </c>
      <c r="R38" s="4" t="s">
        <v>158</v>
      </c>
      <c r="S38">
        <v>68.44</v>
      </c>
      <c r="T38">
        <v>1505.68</v>
      </c>
      <c r="U38">
        <v>1334.08</v>
      </c>
      <c r="V38" s="4" t="s">
        <v>30</v>
      </c>
    </row>
    <row r="39" spans="1:22" x14ac:dyDescent="0.2">
      <c r="A39" s="4" t="s">
        <v>222</v>
      </c>
      <c r="B39">
        <v>38</v>
      </c>
      <c r="C39" s="4" t="s">
        <v>26</v>
      </c>
      <c r="D39" s="4" t="s">
        <v>32</v>
      </c>
      <c r="E39" s="4" t="s">
        <v>27</v>
      </c>
      <c r="F39" s="4" t="s">
        <v>59</v>
      </c>
      <c r="G39">
        <v>3</v>
      </c>
      <c r="H39">
        <v>11</v>
      </c>
      <c r="I39" s="4" t="s">
        <v>982</v>
      </c>
      <c r="J39" s="4" t="s">
        <v>956</v>
      </c>
      <c r="K39" s="4" t="s">
        <v>114</v>
      </c>
      <c r="L39" s="4" t="s">
        <v>115</v>
      </c>
      <c r="M39" s="4" t="s">
        <v>108</v>
      </c>
      <c r="N39" s="4" t="s">
        <v>122</v>
      </c>
      <c r="O39" s="4" t="s">
        <v>123</v>
      </c>
      <c r="P39">
        <v>57</v>
      </c>
      <c r="Q39">
        <v>57</v>
      </c>
      <c r="R39" s="4" t="s">
        <v>158</v>
      </c>
      <c r="S39">
        <v>29.35</v>
      </c>
      <c r="T39">
        <v>1672.95</v>
      </c>
      <c r="U39">
        <v>1346.34</v>
      </c>
      <c r="V39" s="4" t="s">
        <v>30</v>
      </c>
    </row>
    <row r="40" spans="1:22" x14ac:dyDescent="0.2">
      <c r="A40" s="4" t="s">
        <v>223</v>
      </c>
      <c r="B40">
        <v>39</v>
      </c>
      <c r="C40" s="4" t="s">
        <v>26</v>
      </c>
      <c r="D40" s="4" t="s">
        <v>32</v>
      </c>
      <c r="E40" s="4" t="s">
        <v>27</v>
      </c>
      <c r="F40" s="4" t="s">
        <v>59</v>
      </c>
      <c r="G40">
        <v>3</v>
      </c>
      <c r="H40">
        <v>11</v>
      </c>
      <c r="I40" s="4" t="s">
        <v>983</v>
      </c>
      <c r="J40" s="4" t="s">
        <v>956</v>
      </c>
      <c r="K40" s="4" t="s">
        <v>116</v>
      </c>
      <c r="L40" s="4" t="s">
        <v>117</v>
      </c>
      <c r="M40" s="4" t="s">
        <v>108</v>
      </c>
      <c r="N40" s="4" t="s">
        <v>122</v>
      </c>
      <c r="O40" s="4" t="s">
        <v>123</v>
      </c>
      <c r="P40">
        <v>51</v>
      </c>
      <c r="Q40">
        <v>51</v>
      </c>
      <c r="R40" s="4" t="s">
        <v>158</v>
      </c>
      <c r="S40">
        <v>29.35</v>
      </c>
      <c r="T40">
        <v>1496.85</v>
      </c>
      <c r="U40">
        <v>1204.6199999999999</v>
      </c>
      <c r="V40" s="4" t="s">
        <v>30</v>
      </c>
    </row>
    <row r="41" spans="1:22" x14ac:dyDescent="0.2">
      <c r="A41" s="4" t="s">
        <v>224</v>
      </c>
      <c r="B41">
        <v>40</v>
      </c>
      <c r="C41" s="4" t="s">
        <v>26</v>
      </c>
      <c r="D41" s="4" t="s">
        <v>32</v>
      </c>
      <c r="E41" s="4" t="s">
        <v>32</v>
      </c>
      <c r="F41" s="4" t="s">
        <v>61</v>
      </c>
      <c r="G41">
        <v>3</v>
      </c>
      <c r="H41">
        <v>12</v>
      </c>
      <c r="I41" s="4" t="s">
        <v>984</v>
      </c>
      <c r="J41" s="4" t="s">
        <v>956</v>
      </c>
      <c r="K41" s="4" t="s">
        <v>112</v>
      </c>
      <c r="L41" s="4" t="s">
        <v>113</v>
      </c>
      <c r="M41" s="4" t="s">
        <v>108</v>
      </c>
      <c r="N41" s="4" t="s">
        <v>131</v>
      </c>
      <c r="O41" s="4" t="s">
        <v>132</v>
      </c>
      <c r="P41">
        <v>3</v>
      </c>
      <c r="Q41">
        <v>3</v>
      </c>
      <c r="R41" s="4" t="s">
        <v>158</v>
      </c>
      <c r="S41">
        <v>68.44</v>
      </c>
      <c r="T41">
        <v>205.32</v>
      </c>
      <c r="U41">
        <v>182.25</v>
      </c>
      <c r="V41" s="4" t="s">
        <v>30</v>
      </c>
    </row>
    <row r="42" spans="1:22" x14ac:dyDescent="0.2">
      <c r="A42" s="4" t="s">
        <v>225</v>
      </c>
      <c r="B42">
        <v>41</v>
      </c>
      <c r="C42" s="4" t="s">
        <v>26</v>
      </c>
      <c r="D42" s="4" t="s">
        <v>32</v>
      </c>
      <c r="E42" s="4" t="s">
        <v>32</v>
      </c>
      <c r="F42" s="4" t="s">
        <v>61</v>
      </c>
      <c r="G42">
        <v>3</v>
      </c>
      <c r="H42">
        <v>12</v>
      </c>
      <c r="I42" s="4" t="s">
        <v>986</v>
      </c>
      <c r="J42" s="4" t="s">
        <v>956</v>
      </c>
      <c r="K42" s="4" t="s">
        <v>114</v>
      </c>
      <c r="L42" s="4" t="s">
        <v>115</v>
      </c>
      <c r="M42" s="4" t="s">
        <v>108</v>
      </c>
      <c r="N42" s="4" t="s">
        <v>125</v>
      </c>
      <c r="O42" s="4" t="s">
        <v>126</v>
      </c>
      <c r="P42">
        <v>27</v>
      </c>
      <c r="Q42">
        <v>27</v>
      </c>
      <c r="R42" s="4" t="s">
        <v>158</v>
      </c>
      <c r="S42">
        <v>80.680000000000007</v>
      </c>
      <c r="T42">
        <v>2178.36</v>
      </c>
      <c r="U42">
        <v>1973.97</v>
      </c>
      <c r="V42" s="4" t="s">
        <v>30</v>
      </c>
    </row>
    <row r="43" spans="1:22" x14ac:dyDescent="0.2">
      <c r="A43" s="4" t="s">
        <v>226</v>
      </c>
      <c r="B43">
        <v>42</v>
      </c>
      <c r="C43" s="4" t="s">
        <v>26</v>
      </c>
      <c r="D43" s="4" t="s">
        <v>32</v>
      </c>
      <c r="E43" s="4" t="s">
        <v>32</v>
      </c>
      <c r="F43" s="4" t="s">
        <v>61</v>
      </c>
      <c r="G43">
        <v>3</v>
      </c>
      <c r="H43">
        <v>12</v>
      </c>
      <c r="I43" s="4" t="s">
        <v>985</v>
      </c>
      <c r="J43" s="4" t="s">
        <v>962</v>
      </c>
      <c r="K43" s="4" t="s">
        <v>114</v>
      </c>
      <c r="L43" s="4" t="s">
        <v>115</v>
      </c>
      <c r="M43" s="4" t="s">
        <v>108</v>
      </c>
      <c r="N43" s="4" t="s">
        <v>125</v>
      </c>
      <c r="O43" s="4" t="s">
        <v>126</v>
      </c>
      <c r="P43">
        <v>28</v>
      </c>
      <c r="Q43">
        <v>28</v>
      </c>
      <c r="R43" s="4" t="s">
        <v>158</v>
      </c>
      <c r="S43">
        <v>80.680000000000007</v>
      </c>
      <c r="T43">
        <v>2259.04</v>
      </c>
      <c r="U43">
        <v>2047.08</v>
      </c>
      <c r="V43" s="4" t="s">
        <v>30</v>
      </c>
    </row>
    <row r="44" spans="1:22" x14ac:dyDescent="0.2">
      <c r="A44" s="4" t="s">
        <v>227</v>
      </c>
      <c r="B44">
        <v>43</v>
      </c>
      <c r="C44" s="4" t="s">
        <v>26</v>
      </c>
      <c r="D44" s="4" t="s">
        <v>32</v>
      </c>
      <c r="E44" s="4" t="s">
        <v>32</v>
      </c>
      <c r="F44" s="4" t="s">
        <v>61</v>
      </c>
      <c r="G44">
        <v>3</v>
      </c>
      <c r="H44">
        <v>12</v>
      </c>
      <c r="I44" s="4" t="s">
        <v>985</v>
      </c>
      <c r="J44" s="4" t="s">
        <v>956</v>
      </c>
      <c r="K44" s="4" t="s">
        <v>114</v>
      </c>
      <c r="L44" s="4" t="s">
        <v>115</v>
      </c>
      <c r="M44" s="4" t="s">
        <v>108</v>
      </c>
      <c r="N44" s="4" t="s">
        <v>127</v>
      </c>
      <c r="O44" s="4" t="s">
        <v>128</v>
      </c>
      <c r="P44">
        <v>63</v>
      </c>
      <c r="Q44">
        <v>63</v>
      </c>
      <c r="R44" s="4" t="s">
        <v>158</v>
      </c>
      <c r="S44">
        <v>34.07</v>
      </c>
      <c r="T44">
        <v>2146.41</v>
      </c>
      <c r="U44">
        <v>1666.98</v>
      </c>
      <c r="V44" s="4" t="s">
        <v>30</v>
      </c>
    </row>
    <row r="45" spans="1:22" x14ac:dyDescent="0.2">
      <c r="A45" s="4" t="s">
        <v>228</v>
      </c>
      <c r="B45">
        <v>44</v>
      </c>
      <c r="C45" s="4" t="s">
        <v>26</v>
      </c>
      <c r="D45" s="4" t="s">
        <v>32</v>
      </c>
      <c r="E45" s="4" t="s">
        <v>32</v>
      </c>
      <c r="F45" s="4" t="s">
        <v>61</v>
      </c>
      <c r="G45">
        <v>3</v>
      </c>
      <c r="H45">
        <v>12</v>
      </c>
      <c r="I45" s="4" t="s">
        <v>985</v>
      </c>
      <c r="J45" s="4" t="s">
        <v>964</v>
      </c>
      <c r="K45" s="4" t="s">
        <v>114</v>
      </c>
      <c r="L45" s="4" t="s">
        <v>115</v>
      </c>
      <c r="M45" s="4" t="s">
        <v>108</v>
      </c>
      <c r="N45" s="4" t="s">
        <v>127</v>
      </c>
      <c r="O45" s="4" t="s">
        <v>128</v>
      </c>
      <c r="P45">
        <v>22</v>
      </c>
      <c r="Q45">
        <v>22</v>
      </c>
      <c r="R45" s="4" t="s">
        <v>158</v>
      </c>
      <c r="S45">
        <v>34.07</v>
      </c>
      <c r="T45">
        <v>749.54</v>
      </c>
      <c r="U45">
        <v>582.12</v>
      </c>
      <c r="V45" s="4" t="s">
        <v>30</v>
      </c>
    </row>
    <row r="46" spans="1:22" x14ac:dyDescent="0.2">
      <c r="A46" s="4" t="s">
        <v>229</v>
      </c>
      <c r="B46">
        <v>45</v>
      </c>
      <c r="C46" s="4" t="s">
        <v>26</v>
      </c>
      <c r="D46" s="4" t="s">
        <v>32</v>
      </c>
      <c r="E46" s="4" t="s">
        <v>35</v>
      </c>
      <c r="F46" s="4" t="s">
        <v>63</v>
      </c>
      <c r="G46">
        <v>3</v>
      </c>
      <c r="H46">
        <v>13</v>
      </c>
      <c r="I46" s="4" t="s">
        <v>987</v>
      </c>
      <c r="J46" s="4" t="s">
        <v>988</v>
      </c>
      <c r="K46" s="4" t="s">
        <v>112</v>
      </c>
      <c r="L46" s="4" t="s">
        <v>113</v>
      </c>
      <c r="M46" s="4" t="s">
        <v>108</v>
      </c>
      <c r="N46" s="4" t="s">
        <v>122</v>
      </c>
      <c r="O46" s="4" t="s">
        <v>123</v>
      </c>
      <c r="P46">
        <v>56</v>
      </c>
      <c r="Q46">
        <v>56</v>
      </c>
      <c r="R46" s="4" t="s">
        <v>158</v>
      </c>
      <c r="S46">
        <v>29.35</v>
      </c>
      <c r="T46">
        <v>1643.6</v>
      </c>
      <c r="U46">
        <v>1321.6</v>
      </c>
      <c r="V46" s="4" t="s">
        <v>30</v>
      </c>
    </row>
    <row r="47" spans="1:22" x14ac:dyDescent="0.2">
      <c r="A47" s="4" t="s">
        <v>230</v>
      </c>
      <c r="B47">
        <v>46</v>
      </c>
      <c r="C47" s="4" t="s">
        <v>26</v>
      </c>
      <c r="D47" s="4" t="s">
        <v>32</v>
      </c>
      <c r="E47" s="4" t="s">
        <v>35</v>
      </c>
      <c r="F47" s="4" t="s">
        <v>63</v>
      </c>
      <c r="G47">
        <v>3</v>
      </c>
      <c r="H47">
        <v>13</v>
      </c>
      <c r="I47" s="4" t="s">
        <v>987</v>
      </c>
      <c r="J47" s="4" t="s">
        <v>962</v>
      </c>
      <c r="K47" s="4" t="s">
        <v>112</v>
      </c>
      <c r="L47" s="4" t="s">
        <v>113</v>
      </c>
      <c r="M47" s="4" t="s">
        <v>108</v>
      </c>
      <c r="N47" s="4" t="s">
        <v>122</v>
      </c>
      <c r="O47" s="4" t="s">
        <v>123</v>
      </c>
      <c r="P47">
        <v>83</v>
      </c>
      <c r="Q47">
        <v>83</v>
      </c>
      <c r="R47" s="4" t="s">
        <v>158</v>
      </c>
      <c r="S47">
        <v>29.35</v>
      </c>
      <c r="T47">
        <v>2436.0500000000002</v>
      </c>
      <c r="U47">
        <v>1958.8</v>
      </c>
      <c r="V47" s="4" t="s">
        <v>30</v>
      </c>
    </row>
    <row r="48" spans="1:22" x14ac:dyDescent="0.2">
      <c r="A48" s="4" t="s">
        <v>231</v>
      </c>
      <c r="B48">
        <v>47</v>
      </c>
      <c r="C48" s="4" t="s">
        <v>26</v>
      </c>
      <c r="D48" s="4" t="s">
        <v>32</v>
      </c>
      <c r="E48" s="4" t="s">
        <v>35</v>
      </c>
      <c r="F48" s="4" t="s">
        <v>63</v>
      </c>
      <c r="G48">
        <v>3</v>
      </c>
      <c r="H48">
        <v>13</v>
      </c>
      <c r="I48" s="4" t="s">
        <v>987</v>
      </c>
      <c r="J48" s="4" t="s">
        <v>967</v>
      </c>
      <c r="K48" s="4" t="s">
        <v>112</v>
      </c>
      <c r="L48" s="4" t="s">
        <v>113</v>
      </c>
      <c r="M48" s="4" t="s">
        <v>108</v>
      </c>
      <c r="N48" s="4" t="s">
        <v>122</v>
      </c>
      <c r="O48" s="4" t="s">
        <v>123</v>
      </c>
      <c r="P48">
        <v>63</v>
      </c>
      <c r="Q48">
        <v>63</v>
      </c>
      <c r="R48" s="4" t="s">
        <v>158</v>
      </c>
      <c r="S48">
        <v>29.35</v>
      </c>
      <c r="T48">
        <v>1849.05</v>
      </c>
      <c r="U48">
        <v>1486.8</v>
      </c>
      <c r="V48" s="4" t="s">
        <v>30</v>
      </c>
    </row>
    <row r="49" spans="1:22" x14ac:dyDescent="0.2">
      <c r="A49" s="4" t="s">
        <v>232</v>
      </c>
      <c r="B49">
        <v>48</v>
      </c>
      <c r="C49" s="4" t="s">
        <v>26</v>
      </c>
      <c r="D49" s="4" t="s">
        <v>32</v>
      </c>
      <c r="E49" s="4" t="s">
        <v>35</v>
      </c>
      <c r="F49" s="4" t="s">
        <v>63</v>
      </c>
      <c r="G49">
        <v>3</v>
      </c>
      <c r="H49">
        <v>13</v>
      </c>
      <c r="I49" s="4" t="s">
        <v>987</v>
      </c>
      <c r="J49" s="4" t="s">
        <v>956</v>
      </c>
      <c r="K49" s="4" t="s">
        <v>112</v>
      </c>
      <c r="L49" s="4" t="s">
        <v>113</v>
      </c>
      <c r="M49" s="4" t="s">
        <v>108</v>
      </c>
      <c r="N49" s="4" t="s">
        <v>127</v>
      </c>
      <c r="O49" s="4" t="s">
        <v>128</v>
      </c>
      <c r="P49">
        <v>62</v>
      </c>
      <c r="Q49">
        <v>62</v>
      </c>
      <c r="R49" s="4" t="s">
        <v>158</v>
      </c>
      <c r="S49">
        <v>34.07</v>
      </c>
      <c r="T49">
        <v>2112.34</v>
      </c>
      <c r="U49">
        <v>1640.52</v>
      </c>
      <c r="V49" s="4" t="s">
        <v>30</v>
      </c>
    </row>
    <row r="50" spans="1:22" x14ac:dyDescent="0.2">
      <c r="A50" s="4" t="s">
        <v>233</v>
      </c>
      <c r="B50">
        <v>49</v>
      </c>
      <c r="C50" s="4" t="s">
        <v>26</v>
      </c>
      <c r="D50" s="4" t="s">
        <v>32</v>
      </c>
      <c r="E50" s="4" t="s">
        <v>35</v>
      </c>
      <c r="F50" s="4" t="s">
        <v>63</v>
      </c>
      <c r="G50">
        <v>3</v>
      </c>
      <c r="H50">
        <v>13</v>
      </c>
      <c r="I50" s="4" t="s">
        <v>987</v>
      </c>
      <c r="J50" s="4" t="s">
        <v>964</v>
      </c>
      <c r="K50" s="4" t="s">
        <v>112</v>
      </c>
      <c r="L50" s="4" t="s">
        <v>113</v>
      </c>
      <c r="M50" s="4" t="s">
        <v>108</v>
      </c>
      <c r="N50" s="4" t="s">
        <v>131</v>
      </c>
      <c r="O50" s="4" t="s">
        <v>132</v>
      </c>
      <c r="P50">
        <v>23</v>
      </c>
      <c r="Q50">
        <v>23</v>
      </c>
      <c r="R50" s="4" t="s">
        <v>158</v>
      </c>
      <c r="S50">
        <v>68.44</v>
      </c>
      <c r="T50">
        <v>1574.12</v>
      </c>
      <c r="U50">
        <v>1397.25</v>
      </c>
      <c r="V50" s="4" t="s">
        <v>30</v>
      </c>
    </row>
    <row r="51" spans="1:22" x14ac:dyDescent="0.2">
      <c r="A51" s="4" t="s">
        <v>234</v>
      </c>
      <c r="B51">
        <v>50</v>
      </c>
      <c r="C51" s="4" t="s">
        <v>26</v>
      </c>
      <c r="D51" s="4" t="s">
        <v>32</v>
      </c>
      <c r="E51" s="4" t="s">
        <v>35</v>
      </c>
      <c r="F51" s="4" t="s">
        <v>63</v>
      </c>
      <c r="G51">
        <v>3</v>
      </c>
      <c r="H51">
        <v>13</v>
      </c>
      <c r="I51" s="4" t="s">
        <v>989</v>
      </c>
      <c r="J51" s="4" t="s">
        <v>964</v>
      </c>
      <c r="K51" s="4" t="s">
        <v>114</v>
      </c>
      <c r="L51" s="4" t="s">
        <v>115</v>
      </c>
      <c r="M51" s="4" t="s">
        <v>108</v>
      </c>
      <c r="N51" s="4" t="s">
        <v>122</v>
      </c>
      <c r="O51" s="4" t="s">
        <v>123</v>
      </c>
      <c r="P51">
        <v>68</v>
      </c>
      <c r="Q51">
        <v>68</v>
      </c>
      <c r="R51" s="4" t="s">
        <v>158</v>
      </c>
      <c r="S51">
        <v>29.35</v>
      </c>
      <c r="T51">
        <v>1995.8</v>
      </c>
      <c r="U51">
        <v>1604.8</v>
      </c>
      <c r="V51" s="4" t="s">
        <v>30</v>
      </c>
    </row>
    <row r="52" spans="1:22" x14ac:dyDescent="0.2">
      <c r="A52" s="4" t="s">
        <v>235</v>
      </c>
      <c r="B52">
        <v>51</v>
      </c>
      <c r="C52" s="4" t="s">
        <v>26</v>
      </c>
      <c r="D52" s="4" t="s">
        <v>32</v>
      </c>
      <c r="E52" s="4" t="s">
        <v>35</v>
      </c>
      <c r="F52" s="4" t="s">
        <v>63</v>
      </c>
      <c r="G52">
        <v>3</v>
      </c>
      <c r="H52">
        <v>13</v>
      </c>
      <c r="I52" s="4" t="s">
        <v>989</v>
      </c>
      <c r="J52" s="4" t="s">
        <v>956</v>
      </c>
      <c r="K52" s="4" t="s">
        <v>114</v>
      </c>
      <c r="L52" s="4" t="s">
        <v>115</v>
      </c>
      <c r="M52" s="4" t="s">
        <v>108</v>
      </c>
      <c r="N52" s="4" t="s">
        <v>127</v>
      </c>
      <c r="O52" s="4" t="s">
        <v>128</v>
      </c>
      <c r="P52">
        <v>65</v>
      </c>
      <c r="Q52">
        <v>65</v>
      </c>
      <c r="R52" s="4" t="s">
        <v>158</v>
      </c>
      <c r="S52">
        <v>34.07</v>
      </c>
      <c r="T52">
        <v>2214.5500000000002</v>
      </c>
      <c r="U52">
        <v>1719.9</v>
      </c>
      <c r="V52" s="4" t="s">
        <v>30</v>
      </c>
    </row>
    <row r="53" spans="1:22" x14ac:dyDescent="0.2">
      <c r="A53" s="4" t="s">
        <v>236</v>
      </c>
      <c r="B53">
        <v>52</v>
      </c>
      <c r="C53" s="4" t="s">
        <v>26</v>
      </c>
      <c r="D53" s="4" t="s">
        <v>32</v>
      </c>
      <c r="E53" s="4" t="s">
        <v>35</v>
      </c>
      <c r="F53" s="4" t="s">
        <v>63</v>
      </c>
      <c r="G53">
        <v>3</v>
      </c>
      <c r="H53">
        <v>13</v>
      </c>
      <c r="I53" s="4" t="s">
        <v>989</v>
      </c>
      <c r="J53" s="4" t="s">
        <v>962</v>
      </c>
      <c r="K53" s="4" t="s">
        <v>114</v>
      </c>
      <c r="L53" s="4" t="s">
        <v>115</v>
      </c>
      <c r="M53" s="4" t="s">
        <v>108</v>
      </c>
      <c r="N53" s="4" t="s">
        <v>131</v>
      </c>
      <c r="O53" s="4" t="s">
        <v>132</v>
      </c>
      <c r="P53">
        <v>36</v>
      </c>
      <c r="Q53">
        <v>36</v>
      </c>
      <c r="R53" s="4" t="s">
        <v>158</v>
      </c>
      <c r="S53">
        <v>68.44</v>
      </c>
      <c r="T53">
        <v>2463.84</v>
      </c>
      <c r="U53">
        <v>2187</v>
      </c>
      <c r="V53" s="4" t="s">
        <v>30</v>
      </c>
    </row>
    <row r="54" spans="1:22" x14ac:dyDescent="0.2">
      <c r="A54" s="4" t="s">
        <v>237</v>
      </c>
      <c r="B54">
        <v>53</v>
      </c>
      <c r="C54" s="4" t="s">
        <v>26</v>
      </c>
      <c r="D54" s="4" t="s">
        <v>32</v>
      </c>
      <c r="E54" s="4" t="s">
        <v>35</v>
      </c>
      <c r="F54" s="4" t="s">
        <v>63</v>
      </c>
      <c r="G54">
        <v>3</v>
      </c>
      <c r="H54">
        <v>13</v>
      </c>
      <c r="I54" s="4" t="s">
        <v>990</v>
      </c>
      <c r="J54" s="4" t="s">
        <v>956</v>
      </c>
      <c r="K54" s="4" t="s">
        <v>116</v>
      </c>
      <c r="L54" s="4" t="s">
        <v>117</v>
      </c>
      <c r="M54" s="4" t="s">
        <v>108</v>
      </c>
      <c r="N54" s="4" t="s">
        <v>122</v>
      </c>
      <c r="O54" s="4" t="s">
        <v>123</v>
      </c>
      <c r="P54">
        <v>50</v>
      </c>
      <c r="Q54">
        <v>50</v>
      </c>
      <c r="R54" s="4" t="s">
        <v>158</v>
      </c>
      <c r="S54">
        <v>29.35</v>
      </c>
      <c r="T54">
        <v>1467.5</v>
      </c>
      <c r="U54">
        <v>1180</v>
      </c>
      <c r="V54" s="4" t="s">
        <v>30</v>
      </c>
    </row>
    <row r="55" spans="1:22" x14ac:dyDescent="0.2">
      <c r="A55" s="4" t="s">
        <v>238</v>
      </c>
      <c r="B55">
        <v>54</v>
      </c>
      <c r="C55" s="4" t="s">
        <v>26</v>
      </c>
      <c r="D55" s="4" t="s">
        <v>32</v>
      </c>
      <c r="E55" s="4" t="s">
        <v>38</v>
      </c>
      <c r="F55" s="4" t="s">
        <v>65</v>
      </c>
      <c r="G55">
        <v>3</v>
      </c>
      <c r="H55">
        <v>14</v>
      </c>
      <c r="I55" s="4" t="s">
        <v>991</v>
      </c>
      <c r="J55" s="4" t="s">
        <v>962</v>
      </c>
      <c r="K55" s="4" t="s">
        <v>112</v>
      </c>
      <c r="L55" s="4" t="s">
        <v>113</v>
      </c>
      <c r="M55" s="4" t="s">
        <v>108</v>
      </c>
      <c r="N55" s="4" t="s">
        <v>122</v>
      </c>
      <c r="O55" s="4" t="s">
        <v>123</v>
      </c>
      <c r="P55">
        <v>18</v>
      </c>
      <c r="Q55">
        <v>18</v>
      </c>
      <c r="R55" s="4" t="s">
        <v>158</v>
      </c>
      <c r="S55">
        <v>29.35</v>
      </c>
      <c r="T55">
        <v>528.29999999999995</v>
      </c>
      <c r="U55">
        <v>424.8</v>
      </c>
      <c r="V55" s="4" t="s">
        <v>30</v>
      </c>
    </row>
    <row r="56" spans="1:22" x14ac:dyDescent="0.2">
      <c r="A56" s="4" t="s">
        <v>239</v>
      </c>
      <c r="B56">
        <v>55</v>
      </c>
      <c r="C56" s="4" t="s">
        <v>26</v>
      </c>
      <c r="D56" s="4" t="s">
        <v>32</v>
      </c>
      <c r="E56" s="4" t="s">
        <v>38</v>
      </c>
      <c r="F56" s="4" t="s">
        <v>65</v>
      </c>
      <c r="G56">
        <v>3</v>
      </c>
      <c r="H56">
        <v>14</v>
      </c>
      <c r="I56" s="4" t="s">
        <v>991</v>
      </c>
      <c r="J56" s="4" t="s">
        <v>956</v>
      </c>
      <c r="K56" s="4" t="s">
        <v>112</v>
      </c>
      <c r="L56" s="4" t="s">
        <v>113</v>
      </c>
      <c r="M56" s="4" t="s">
        <v>108</v>
      </c>
      <c r="N56" s="4" t="s">
        <v>125</v>
      </c>
      <c r="O56" s="4" t="s">
        <v>126</v>
      </c>
      <c r="P56">
        <v>29</v>
      </c>
      <c r="Q56">
        <v>29</v>
      </c>
      <c r="R56" s="4" t="s">
        <v>158</v>
      </c>
      <c r="S56">
        <v>80.680000000000007</v>
      </c>
      <c r="T56">
        <v>2339.7199999999998</v>
      </c>
      <c r="U56">
        <v>2120.19</v>
      </c>
      <c r="V56" s="4" t="s">
        <v>30</v>
      </c>
    </row>
    <row r="57" spans="1:22" x14ac:dyDescent="0.2">
      <c r="A57" s="4" t="s">
        <v>240</v>
      </c>
      <c r="B57">
        <v>56</v>
      </c>
      <c r="C57" s="4" t="s">
        <v>26</v>
      </c>
      <c r="D57" s="4" t="s">
        <v>32</v>
      </c>
      <c r="E57" s="4" t="s">
        <v>38</v>
      </c>
      <c r="F57" s="4" t="s">
        <v>65</v>
      </c>
      <c r="G57">
        <v>3</v>
      </c>
      <c r="H57">
        <v>14</v>
      </c>
      <c r="I57" s="4" t="s">
        <v>992</v>
      </c>
      <c r="J57" s="4" t="s">
        <v>962</v>
      </c>
      <c r="K57" s="4" t="s">
        <v>112</v>
      </c>
      <c r="L57" s="4" t="s">
        <v>113</v>
      </c>
      <c r="M57" s="4" t="s">
        <v>108</v>
      </c>
      <c r="N57" s="4" t="s">
        <v>127</v>
      </c>
      <c r="O57" s="4" t="s">
        <v>128</v>
      </c>
      <c r="P57">
        <v>51</v>
      </c>
      <c r="Q57">
        <v>51</v>
      </c>
      <c r="R57" s="4" t="s">
        <v>158</v>
      </c>
      <c r="S57">
        <v>34.07</v>
      </c>
      <c r="T57">
        <v>1737.57</v>
      </c>
      <c r="U57">
        <v>1349.46</v>
      </c>
      <c r="V57" s="4" t="s">
        <v>30</v>
      </c>
    </row>
    <row r="58" spans="1:22" x14ac:dyDescent="0.2">
      <c r="A58" s="4" t="s">
        <v>241</v>
      </c>
      <c r="B58">
        <v>57</v>
      </c>
      <c r="C58" s="4" t="s">
        <v>26</v>
      </c>
      <c r="D58" s="4" t="s">
        <v>32</v>
      </c>
      <c r="E58" s="4" t="s">
        <v>38</v>
      </c>
      <c r="F58" s="4" t="s">
        <v>65</v>
      </c>
      <c r="G58">
        <v>3</v>
      </c>
      <c r="H58">
        <v>14</v>
      </c>
      <c r="I58" s="4" t="s">
        <v>992</v>
      </c>
      <c r="J58" s="4" t="s">
        <v>956</v>
      </c>
      <c r="K58" s="4" t="s">
        <v>112</v>
      </c>
      <c r="L58" s="4" t="s">
        <v>113</v>
      </c>
      <c r="M58" s="4" t="s">
        <v>108</v>
      </c>
      <c r="N58" s="4" t="s">
        <v>131</v>
      </c>
      <c r="O58" s="4" t="s">
        <v>132</v>
      </c>
      <c r="P58">
        <v>31</v>
      </c>
      <c r="Q58">
        <v>31</v>
      </c>
      <c r="R58" s="4" t="s">
        <v>158</v>
      </c>
      <c r="S58">
        <v>68.44</v>
      </c>
      <c r="T58">
        <v>2121.64</v>
      </c>
      <c r="U58">
        <v>1883.25</v>
      </c>
      <c r="V58" s="4" t="s">
        <v>30</v>
      </c>
    </row>
    <row r="59" spans="1:22" x14ac:dyDescent="0.2">
      <c r="A59" s="4" t="s">
        <v>242</v>
      </c>
      <c r="B59">
        <v>58</v>
      </c>
      <c r="C59" s="4" t="s">
        <v>26</v>
      </c>
      <c r="D59" s="4" t="s">
        <v>32</v>
      </c>
      <c r="E59" s="4" t="s">
        <v>38</v>
      </c>
      <c r="F59" s="4" t="s">
        <v>65</v>
      </c>
      <c r="G59">
        <v>3</v>
      </c>
      <c r="H59">
        <v>14</v>
      </c>
      <c r="I59" s="4" t="s">
        <v>991</v>
      </c>
      <c r="J59" s="4" t="s">
        <v>964</v>
      </c>
      <c r="K59" s="4" t="s">
        <v>112</v>
      </c>
      <c r="L59" s="4" t="s">
        <v>113</v>
      </c>
      <c r="M59" s="4" t="s">
        <v>108</v>
      </c>
      <c r="N59" s="4" t="s">
        <v>131</v>
      </c>
      <c r="O59" s="4" t="s">
        <v>132</v>
      </c>
      <c r="P59">
        <v>6</v>
      </c>
      <c r="Q59">
        <v>6</v>
      </c>
      <c r="R59" s="4" t="s">
        <v>158</v>
      </c>
      <c r="S59">
        <v>68.44</v>
      </c>
      <c r="T59">
        <v>410.64</v>
      </c>
      <c r="U59">
        <v>364.5</v>
      </c>
      <c r="V59" s="4" t="s">
        <v>30</v>
      </c>
    </row>
    <row r="60" spans="1:22" x14ac:dyDescent="0.2">
      <c r="A60" s="4" t="s">
        <v>243</v>
      </c>
      <c r="B60">
        <v>59</v>
      </c>
      <c r="C60" s="4" t="s">
        <v>26</v>
      </c>
      <c r="D60" s="4" t="s">
        <v>32</v>
      </c>
      <c r="E60" s="4" t="s">
        <v>38</v>
      </c>
      <c r="F60" s="4" t="s">
        <v>65</v>
      </c>
      <c r="G60">
        <v>3</v>
      </c>
      <c r="H60">
        <v>14</v>
      </c>
      <c r="I60" s="4" t="s">
        <v>993</v>
      </c>
      <c r="J60" s="4" t="s">
        <v>956</v>
      </c>
      <c r="K60" s="4" t="s">
        <v>114</v>
      </c>
      <c r="L60" s="4" t="s">
        <v>115</v>
      </c>
      <c r="M60" s="4" t="s">
        <v>108</v>
      </c>
      <c r="N60" s="4" t="s">
        <v>127</v>
      </c>
      <c r="O60" s="4" t="s">
        <v>128</v>
      </c>
      <c r="P60">
        <v>62</v>
      </c>
      <c r="Q60">
        <v>62</v>
      </c>
      <c r="R60" s="4" t="s">
        <v>158</v>
      </c>
      <c r="S60">
        <v>34.07</v>
      </c>
      <c r="T60">
        <v>2112.34</v>
      </c>
      <c r="U60">
        <v>1640.52</v>
      </c>
      <c r="V60" s="4" t="s">
        <v>30</v>
      </c>
    </row>
    <row r="61" spans="1:22" x14ac:dyDescent="0.2">
      <c r="A61" s="4" t="s">
        <v>244</v>
      </c>
      <c r="B61">
        <v>60</v>
      </c>
      <c r="C61" s="4" t="s">
        <v>26</v>
      </c>
      <c r="D61" s="4" t="s">
        <v>32</v>
      </c>
      <c r="E61" s="4" t="s">
        <v>38</v>
      </c>
      <c r="F61" s="4" t="s">
        <v>65</v>
      </c>
      <c r="G61">
        <v>3</v>
      </c>
      <c r="H61">
        <v>14</v>
      </c>
      <c r="I61" s="4" t="s">
        <v>994</v>
      </c>
      <c r="J61" s="4" t="s">
        <v>956</v>
      </c>
      <c r="K61" s="4" t="s">
        <v>114</v>
      </c>
      <c r="L61" s="4" t="s">
        <v>115</v>
      </c>
      <c r="M61" s="4" t="s">
        <v>108</v>
      </c>
      <c r="N61" s="4" t="s">
        <v>131</v>
      </c>
      <c r="O61" s="4" t="s">
        <v>132</v>
      </c>
      <c r="P61">
        <v>34</v>
      </c>
      <c r="Q61">
        <v>34</v>
      </c>
      <c r="R61" s="4" t="s">
        <v>158</v>
      </c>
      <c r="S61">
        <v>68.44</v>
      </c>
      <c r="T61">
        <v>2326.96</v>
      </c>
      <c r="U61">
        <v>2065.5</v>
      </c>
      <c r="V61" s="4" t="s">
        <v>30</v>
      </c>
    </row>
    <row r="62" spans="1:22" x14ac:dyDescent="0.2">
      <c r="A62" s="4" t="s">
        <v>245</v>
      </c>
      <c r="B62">
        <v>61</v>
      </c>
      <c r="C62" s="4" t="s">
        <v>26</v>
      </c>
      <c r="D62" s="4" t="s">
        <v>32</v>
      </c>
      <c r="E62" s="4" t="s">
        <v>38</v>
      </c>
      <c r="F62" s="4" t="s">
        <v>65</v>
      </c>
      <c r="G62">
        <v>3</v>
      </c>
      <c r="H62">
        <v>14</v>
      </c>
      <c r="I62" s="4" t="s">
        <v>996</v>
      </c>
      <c r="J62" s="4" t="s">
        <v>956</v>
      </c>
      <c r="K62" s="4" t="s">
        <v>116</v>
      </c>
      <c r="L62" s="4" t="s">
        <v>117</v>
      </c>
      <c r="M62" s="4" t="s">
        <v>108</v>
      </c>
      <c r="N62" s="4" t="s">
        <v>129</v>
      </c>
      <c r="O62" s="4" t="s">
        <v>130</v>
      </c>
      <c r="P62">
        <v>17</v>
      </c>
      <c r="Q62">
        <v>17</v>
      </c>
      <c r="R62" s="4" t="s">
        <v>158</v>
      </c>
      <c r="S62">
        <v>96.4</v>
      </c>
      <c r="T62">
        <v>1638.8</v>
      </c>
      <c r="U62">
        <v>1437.01</v>
      </c>
      <c r="V62" s="4" t="s">
        <v>30</v>
      </c>
    </row>
    <row r="63" spans="1:22" x14ac:dyDescent="0.2">
      <c r="A63" s="4" t="s">
        <v>246</v>
      </c>
      <c r="B63">
        <v>62</v>
      </c>
      <c r="C63" s="4" t="s">
        <v>26</v>
      </c>
      <c r="D63" s="4" t="s">
        <v>32</v>
      </c>
      <c r="E63" s="4" t="s">
        <v>38</v>
      </c>
      <c r="F63" s="4" t="s">
        <v>65</v>
      </c>
      <c r="G63">
        <v>3</v>
      </c>
      <c r="H63">
        <v>14</v>
      </c>
      <c r="I63" s="4" t="s">
        <v>995</v>
      </c>
      <c r="J63" s="4" t="s">
        <v>956</v>
      </c>
      <c r="K63" s="4" t="s">
        <v>116</v>
      </c>
      <c r="L63" s="4" t="s">
        <v>117</v>
      </c>
      <c r="M63" s="4" t="s">
        <v>108</v>
      </c>
      <c r="N63" s="4" t="s">
        <v>129</v>
      </c>
      <c r="O63" s="4" t="s">
        <v>130</v>
      </c>
      <c r="P63">
        <v>17</v>
      </c>
      <c r="Q63">
        <v>17</v>
      </c>
      <c r="R63" s="4" t="s">
        <v>158</v>
      </c>
      <c r="S63">
        <v>96.4</v>
      </c>
      <c r="T63">
        <v>1638.8</v>
      </c>
      <c r="U63">
        <v>1437.01</v>
      </c>
      <c r="V63" s="4" t="s">
        <v>30</v>
      </c>
    </row>
    <row r="64" spans="1:22" x14ac:dyDescent="0.2">
      <c r="A64" s="4" t="s">
        <v>247</v>
      </c>
      <c r="B64">
        <v>63</v>
      </c>
      <c r="C64" s="4" t="s">
        <v>26</v>
      </c>
      <c r="D64" s="4" t="s">
        <v>32</v>
      </c>
      <c r="E64" s="4" t="s">
        <v>41</v>
      </c>
      <c r="F64" s="4" t="s">
        <v>67</v>
      </c>
      <c r="G64">
        <v>3</v>
      </c>
      <c r="H64">
        <v>15</v>
      </c>
      <c r="I64" s="4" t="s">
        <v>997</v>
      </c>
      <c r="J64" s="4" t="s">
        <v>956</v>
      </c>
      <c r="K64" s="4" t="s">
        <v>112</v>
      </c>
      <c r="L64" s="4" t="s">
        <v>113</v>
      </c>
      <c r="M64" s="4" t="s">
        <v>108</v>
      </c>
      <c r="N64" s="4" t="s">
        <v>122</v>
      </c>
      <c r="O64" s="4" t="s">
        <v>123</v>
      </c>
      <c r="P64">
        <v>64</v>
      </c>
      <c r="Q64">
        <v>64</v>
      </c>
      <c r="R64" s="4" t="s">
        <v>158</v>
      </c>
      <c r="S64">
        <v>29.35</v>
      </c>
      <c r="T64">
        <v>1878.4</v>
      </c>
      <c r="U64">
        <v>1510.4</v>
      </c>
      <c r="V64" s="4" t="s">
        <v>30</v>
      </c>
    </row>
    <row r="65" spans="1:22" x14ac:dyDescent="0.2">
      <c r="A65" s="4" t="s">
        <v>248</v>
      </c>
      <c r="B65">
        <v>64</v>
      </c>
      <c r="C65" s="4" t="s">
        <v>26</v>
      </c>
      <c r="D65" s="4" t="s">
        <v>32</v>
      </c>
      <c r="E65" s="4" t="s">
        <v>41</v>
      </c>
      <c r="F65" s="4" t="s">
        <v>67</v>
      </c>
      <c r="G65">
        <v>3</v>
      </c>
      <c r="H65">
        <v>15</v>
      </c>
      <c r="I65" s="4" t="s">
        <v>998</v>
      </c>
      <c r="J65" s="4" t="s">
        <v>956</v>
      </c>
      <c r="K65" s="4" t="s">
        <v>112</v>
      </c>
      <c r="L65" s="4" t="s">
        <v>113</v>
      </c>
      <c r="M65" s="4" t="s">
        <v>108</v>
      </c>
      <c r="N65" s="4" t="s">
        <v>127</v>
      </c>
      <c r="O65" s="4" t="s">
        <v>128</v>
      </c>
      <c r="P65">
        <v>60</v>
      </c>
      <c r="Q65">
        <v>60</v>
      </c>
      <c r="R65" s="4" t="s">
        <v>158</v>
      </c>
      <c r="S65">
        <v>34.07</v>
      </c>
      <c r="T65">
        <v>2044.2</v>
      </c>
      <c r="U65">
        <v>1587.6</v>
      </c>
      <c r="V65" s="4" t="s">
        <v>30</v>
      </c>
    </row>
    <row r="66" spans="1:22" x14ac:dyDescent="0.2">
      <c r="A66" s="4" t="s">
        <v>249</v>
      </c>
      <c r="B66">
        <v>65</v>
      </c>
      <c r="C66" s="4" t="s">
        <v>26</v>
      </c>
      <c r="D66" s="4" t="s">
        <v>32</v>
      </c>
      <c r="E66" s="4" t="s">
        <v>41</v>
      </c>
      <c r="F66" s="4" t="s">
        <v>67</v>
      </c>
      <c r="G66">
        <v>3</v>
      </c>
      <c r="H66">
        <v>15</v>
      </c>
      <c r="I66" s="4" t="s">
        <v>997</v>
      </c>
      <c r="J66" s="4" t="s">
        <v>962</v>
      </c>
      <c r="K66" s="4" t="s">
        <v>112</v>
      </c>
      <c r="L66" s="4" t="s">
        <v>113</v>
      </c>
      <c r="M66" s="4" t="s">
        <v>108</v>
      </c>
      <c r="N66" s="4" t="s">
        <v>129</v>
      </c>
      <c r="O66" s="4" t="s">
        <v>130</v>
      </c>
      <c r="P66">
        <v>21</v>
      </c>
      <c r="Q66">
        <v>21</v>
      </c>
      <c r="R66" s="4" t="s">
        <v>158</v>
      </c>
      <c r="S66">
        <v>96.4</v>
      </c>
      <c r="T66">
        <v>2024.4</v>
      </c>
      <c r="U66">
        <v>1775.13</v>
      </c>
      <c r="V66" s="4" t="s">
        <v>30</v>
      </c>
    </row>
    <row r="67" spans="1:22" x14ac:dyDescent="0.2">
      <c r="A67" s="4" t="s">
        <v>250</v>
      </c>
      <c r="B67">
        <v>66</v>
      </c>
      <c r="C67" s="4" t="s">
        <v>26</v>
      </c>
      <c r="D67" s="4" t="s">
        <v>32</v>
      </c>
      <c r="E67" s="4" t="s">
        <v>41</v>
      </c>
      <c r="F67" s="4" t="s">
        <v>67</v>
      </c>
      <c r="G67">
        <v>3</v>
      </c>
      <c r="H67">
        <v>15</v>
      </c>
      <c r="I67" s="4" t="s">
        <v>999</v>
      </c>
      <c r="J67" s="4" t="s">
        <v>956</v>
      </c>
      <c r="K67" s="4" t="s">
        <v>114</v>
      </c>
      <c r="L67" s="4" t="s">
        <v>115</v>
      </c>
      <c r="M67" s="4" t="s">
        <v>108</v>
      </c>
      <c r="N67" s="4" t="s">
        <v>127</v>
      </c>
      <c r="O67" s="4" t="s">
        <v>128</v>
      </c>
      <c r="P67">
        <v>53</v>
      </c>
      <c r="Q67">
        <v>53</v>
      </c>
      <c r="R67" s="4" t="s">
        <v>158</v>
      </c>
      <c r="S67">
        <v>34.07</v>
      </c>
      <c r="T67">
        <v>1805.71</v>
      </c>
      <c r="U67">
        <v>1402.38</v>
      </c>
      <c r="V67" s="4" t="s">
        <v>30</v>
      </c>
    </row>
    <row r="68" spans="1:22" x14ac:dyDescent="0.2">
      <c r="A68" s="4" t="s">
        <v>251</v>
      </c>
      <c r="B68">
        <v>67</v>
      </c>
      <c r="C68" s="4" t="s">
        <v>26</v>
      </c>
      <c r="D68" s="4" t="s">
        <v>32</v>
      </c>
      <c r="E68" s="4" t="s">
        <v>41</v>
      </c>
      <c r="F68" s="4" t="s">
        <v>67</v>
      </c>
      <c r="G68">
        <v>3</v>
      </c>
      <c r="H68">
        <v>15</v>
      </c>
      <c r="I68" s="4" t="s">
        <v>1000</v>
      </c>
      <c r="J68" s="4" t="s">
        <v>956</v>
      </c>
      <c r="K68" s="4" t="s">
        <v>114</v>
      </c>
      <c r="L68" s="4" t="s">
        <v>115</v>
      </c>
      <c r="M68" s="4" t="s">
        <v>108</v>
      </c>
      <c r="N68" s="4" t="s">
        <v>129</v>
      </c>
      <c r="O68" s="4" t="s">
        <v>130</v>
      </c>
      <c r="P68">
        <v>23</v>
      </c>
      <c r="Q68">
        <v>23</v>
      </c>
      <c r="R68" s="4" t="s">
        <v>158</v>
      </c>
      <c r="S68">
        <v>96.4</v>
      </c>
      <c r="T68">
        <v>2217.1999999999998</v>
      </c>
      <c r="U68">
        <v>1944.19</v>
      </c>
      <c r="V68" s="4" t="s">
        <v>30</v>
      </c>
    </row>
    <row r="69" spans="1:22" x14ac:dyDescent="0.2">
      <c r="A69" s="4" t="s">
        <v>252</v>
      </c>
      <c r="B69">
        <v>68</v>
      </c>
      <c r="C69" s="4" t="s">
        <v>26</v>
      </c>
      <c r="D69" s="4" t="s">
        <v>32</v>
      </c>
      <c r="E69" s="4" t="s">
        <v>41</v>
      </c>
      <c r="F69" s="4" t="s">
        <v>67</v>
      </c>
      <c r="G69">
        <v>3</v>
      </c>
      <c r="H69">
        <v>15</v>
      </c>
      <c r="I69" s="4" t="s">
        <v>1000</v>
      </c>
      <c r="J69" s="4" t="s">
        <v>962</v>
      </c>
      <c r="K69" s="4" t="s">
        <v>114</v>
      </c>
      <c r="L69" s="4" t="s">
        <v>115</v>
      </c>
      <c r="M69" s="4" t="s">
        <v>108</v>
      </c>
      <c r="N69" s="4" t="s">
        <v>131</v>
      </c>
      <c r="O69" s="4" t="s">
        <v>132</v>
      </c>
      <c r="P69">
        <v>36</v>
      </c>
      <c r="Q69">
        <v>36</v>
      </c>
      <c r="R69" s="4" t="s">
        <v>158</v>
      </c>
      <c r="S69">
        <v>68.44</v>
      </c>
      <c r="T69">
        <v>2463.84</v>
      </c>
      <c r="U69">
        <v>2187</v>
      </c>
      <c r="V69" s="4" t="s">
        <v>30</v>
      </c>
    </row>
    <row r="70" spans="1:22" x14ac:dyDescent="0.2">
      <c r="A70" s="4" t="s">
        <v>253</v>
      </c>
      <c r="B70">
        <v>69</v>
      </c>
      <c r="C70" s="4" t="s">
        <v>26</v>
      </c>
      <c r="D70" s="4" t="s">
        <v>32</v>
      </c>
      <c r="E70" s="4" t="s">
        <v>41</v>
      </c>
      <c r="F70" s="4" t="s">
        <v>67</v>
      </c>
      <c r="G70">
        <v>3</v>
      </c>
      <c r="H70">
        <v>15</v>
      </c>
      <c r="I70" s="4" t="s">
        <v>1001</v>
      </c>
      <c r="J70" s="4" t="s">
        <v>956</v>
      </c>
      <c r="K70" s="4" t="s">
        <v>116</v>
      </c>
      <c r="L70" s="4" t="s">
        <v>117</v>
      </c>
      <c r="M70" s="4" t="s">
        <v>108</v>
      </c>
      <c r="N70" s="4" t="s">
        <v>129</v>
      </c>
      <c r="O70" s="4" t="s">
        <v>130</v>
      </c>
      <c r="P70">
        <v>25</v>
      </c>
      <c r="Q70">
        <v>25</v>
      </c>
      <c r="R70" s="4" t="s">
        <v>158</v>
      </c>
      <c r="S70">
        <v>96.4</v>
      </c>
      <c r="T70">
        <v>2410</v>
      </c>
      <c r="U70">
        <v>2113.25</v>
      </c>
      <c r="V70" s="4" t="s">
        <v>30</v>
      </c>
    </row>
    <row r="71" spans="1:22" x14ac:dyDescent="0.2">
      <c r="A71" s="4" t="s">
        <v>254</v>
      </c>
      <c r="B71">
        <v>70</v>
      </c>
      <c r="C71" s="4" t="s">
        <v>26</v>
      </c>
      <c r="D71" s="4" t="s">
        <v>32</v>
      </c>
      <c r="E71" s="4" t="s">
        <v>41</v>
      </c>
      <c r="F71" s="4" t="s">
        <v>67</v>
      </c>
      <c r="G71">
        <v>3</v>
      </c>
      <c r="H71">
        <v>15</v>
      </c>
      <c r="I71" s="4" t="s">
        <v>1001</v>
      </c>
      <c r="J71" s="4" t="s">
        <v>962</v>
      </c>
      <c r="K71" s="4" t="s">
        <v>116</v>
      </c>
      <c r="L71" s="4" t="s">
        <v>117</v>
      </c>
      <c r="M71" s="4" t="s">
        <v>108</v>
      </c>
      <c r="N71" s="4" t="s">
        <v>129</v>
      </c>
      <c r="O71" s="4" t="s">
        <v>130</v>
      </c>
      <c r="P71">
        <v>24</v>
      </c>
      <c r="Q71">
        <v>24</v>
      </c>
      <c r="R71" s="4" t="s">
        <v>158</v>
      </c>
      <c r="S71">
        <v>96.4</v>
      </c>
      <c r="T71">
        <v>2313.6</v>
      </c>
      <c r="U71">
        <v>2028.72</v>
      </c>
      <c r="V71" s="4" t="s">
        <v>30</v>
      </c>
    </row>
    <row r="72" spans="1:22" x14ac:dyDescent="0.2">
      <c r="A72" s="4" t="s">
        <v>255</v>
      </c>
      <c r="B72">
        <v>71</v>
      </c>
      <c r="C72" s="4" t="s">
        <v>26</v>
      </c>
      <c r="D72" s="4" t="s">
        <v>32</v>
      </c>
      <c r="E72" s="4" t="s">
        <v>44</v>
      </c>
      <c r="F72" s="4" t="s">
        <v>69</v>
      </c>
      <c r="G72">
        <v>4</v>
      </c>
      <c r="H72">
        <v>16</v>
      </c>
      <c r="I72" s="4" t="s">
        <v>1002</v>
      </c>
      <c r="J72" s="4" t="s">
        <v>967</v>
      </c>
      <c r="K72" s="4" t="s">
        <v>112</v>
      </c>
      <c r="L72" s="4" t="s">
        <v>113</v>
      </c>
      <c r="M72" s="4" t="s">
        <v>108</v>
      </c>
      <c r="N72" s="4" t="s">
        <v>122</v>
      </c>
      <c r="O72" s="4" t="s">
        <v>123</v>
      </c>
      <c r="P72">
        <v>27</v>
      </c>
      <c r="Q72">
        <v>27</v>
      </c>
      <c r="R72" s="4" t="s">
        <v>158</v>
      </c>
      <c r="S72">
        <v>29.35</v>
      </c>
      <c r="T72">
        <v>792.45</v>
      </c>
      <c r="U72">
        <v>636.12</v>
      </c>
      <c r="V72" s="4" t="s">
        <v>30</v>
      </c>
    </row>
    <row r="73" spans="1:22" x14ac:dyDescent="0.2">
      <c r="A73" s="4" t="s">
        <v>256</v>
      </c>
      <c r="B73">
        <v>72</v>
      </c>
      <c r="C73" s="4" t="s">
        <v>26</v>
      </c>
      <c r="D73" s="4" t="s">
        <v>32</v>
      </c>
      <c r="E73" s="4" t="s">
        <v>44</v>
      </c>
      <c r="F73" s="4" t="s">
        <v>69</v>
      </c>
      <c r="G73">
        <v>4</v>
      </c>
      <c r="H73">
        <v>16</v>
      </c>
      <c r="I73" s="4" t="s">
        <v>1002</v>
      </c>
      <c r="J73" s="4" t="s">
        <v>962</v>
      </c>
      <c r="K73" s="4" t="s">
        <v>112</v>
      </c>
      <c r="L73" s="4" t="s">
        <v>113</v>
      </c>
      <c r="M73" s="4" t="s">
        <v>108</v>
      </c>
      <c r="N73" s="4" t="s">
        <v>122</v>
      </c>
      <c r="O73" s="4" t="s">
        <v>123</v>
      </c>
      <c r="P73">
        <v>73</v>
      </c>
      <c r="Q73">
        <v>73</v>
      </c>
      <c r="R73" s="4" t="s">
        <v>158</v>
      </c>
      <c r="S73">
        <v>29.35</v>
      </c>
      <c r="T73">
        <v>2142.5500000000002</v>
      </c>
      <c r="U73">
        <v>1719.88</v>
      </c>
      <c r="V73" s="4" t="s">
        <v>30</v>
      </c>
    </row>
    <row r="74" spans="1:22" x14ac:dyDescent="0.2">
      <c r="A74" s="4" t="s">
        <v>257</v>
      </c>
      <c r="B74">
        <v>73</v>
      </c>
      <c r="C74" s="4" t="s">
        <v>26</v>
      </c>
      <c r="D74" s="4" t="s">
        <v>32</v>
      </c>
      <c r="E74" s="4" t="s">
        <v>44</v>
      </c>
      <c r="F74" s="4" t="s">
        <v>69</v>
      </c>
      <c r="G74">
        <v>4</v>
      </c>
      <c r="H74">
        <v>16</v>
      </c>
      <c r="I74" s="4" t="s">
        <v>1003</v>
      </c>
      <c r="J74" s="4" t="s">
        <v>956</v>
      </c>
      <c r="K74" s="4" t="s">
        <v>112</v>
      </c>
      <c r="L74" s="4" t="s">
        <v>113</v>
      </c>
      <c r="M74" s="4" t="s">
        <v>108</v>
      </c>
      <c r="N74" s="4" t="s">
        <v>122</v>
      </c>
      <c r="O74" s="4" t="s">
        <v>123</v>
      </c>
      <c r="P74">
        <v>56</v>
      </c>
      <c r="Q74">
        <v>56</v>
      </c>
      <c r="R74" s="4" t="s">
        <v>158</v>
      </c>
      <c r="S74">
        <v>29.35</v>
      </c>
      <c r="T74">
        <v>1643.6</v>
      </c>
      <c r="U74">
        <v>1319.36</v>
      </c>
      <c r="V74" s="4" t="s">
        <v>30</v>
      </c>
    </row>
    <row r="75" spans="1:22" x14ac:dyDescent="0.2">
      <c r="A75" s="4" t="s">
        <v>258</v>
      </c>
      <c r="B75">
        <v>74</v>
      </c>
      <c r="C75" s="4" t="s">
        <v>26</v>
      </c>
      <c r="D75" s="4" t="s">
        <v>32</v>
      </c>
      <c r="E75" s="4" t="s">
        <v>44</v>
      </c>
      <c r="F75" s="4" t="s">
        <v>69</v>
      </c>
      <c r="G75">
        <v>4</v>
      </c>
      <c r="H75">
        <v>16</v>
      </c>
      <c r="I75" s="4" t="s">
        <v>1003</v>
      </c>
      <c r="J75" s="4" t="s">
        <v>964</v>
      </c>
      <c r="K75" s="4" t="s">
        <v>112</v>
      </c>
      <c r="L75" s="4" t="s">
        <v>113</v>
      </c>
      <c r="M75" s="4" t="s">
        <v>108</v>
      </c>
      <c r="N75" s="4" t="s">
        <v>127</v>
      </c>
      <c r="O75" s="4" t="s">
        <v>128</v>
      </c>
      <c r="P75">
        <v>60</v>
      </c>
      <c r="Q75">
        <v>60</v>
      </c>
      <c r="R75" s="4" t="s">
        <v>158</v>
      </c>
      <c r="S75">
        <v>34.07</v>
      </c>
      <c r="T75">
        <v>2044.2</v>
      </c>
      <c r="U75">
        <v>1588.2</v>
      </c>
      <c r="V75" s="4" t="s">
        <v>30</v>
      </c>
    </row>
    <row r="76" spans="1:22" x14ac:dyDescent="0.2">
      <c r="A76" s="4" t="s">
        <v>259</v>
      </c>
      <c r="B76">
        <v>75</v>
      </c>
      <c r="C76" s="4" t="s">
        <v>26</v>
      </c>
      <c r="D76" s="4" t="s">
        <v>32</v>
      </c>
      <c r="E76" s="4" t="s">
        <v>44</v>
      </c>
      <c r="F76" s="4" t="s">
        <v>69</v>
      </c>
      <c r="G76">
        <v>4</v>
      </c>
      <c r="H76">
        <v>16</v>
      </c>
      <c r="I76" s="4" t="s">
        <v>1002</v>
      </c>
      <c r="J76" s="4" t="s">
        <v>964</v>
      </c>
      <c r="K76" s="4" t="s">
        <v>112</v>
      </c>
      <c r="L76" s="4" t="s">
        <v>113</v>
      </c>
      <c r="M76" s="4" t="s">
        <v>108</v>
      </c>
      <c r="N76" s="4" t="s">
        <v>131</v>
      </c>
      <c r="O76" s="4" t="s">
        <v>132</v>
      </c>
      <c r="P76">
        <v>31</v>
      </c>
      <c r="Q76">
        <v>31</v>
      </c>
      <c r="R76" s="4" t="s">
        <v>158</v>
      </c>
      <c r="S76">
        <v>68.44</v>
      </c>
      <c r="T76">
        <v>2121.64</v>
      </c>
      <c r="U76">
        <v>1889.76</v>
      </c>
      <c r="V76" s="4" t="s">
        <v>30</v>
      </c>
    </row>
    <row r="77" spans="1:22" x14ac:dyDescent="0.2">
      <c r="A77" s="4" t="s">
        <v>260</v>
      </c>
      <c r="B77">
        <v>76</v>
      </c>
      <c r="C77" s="4" t="s">
        <v>26</v>
      </c>
      <c r="D77" s="4" t="s">
        <v>32</v>
      </c>
      <c r="E77" s="4" t="s">
        <v>44</v>
      </c>
      <c r="F77" s="4" t="s">
        <v>69</v>
      </c>
      <c r="G77">
        <v>4</v>
      </c>
      <c r="H77">
        <v>16</v>
      </c>
      <c r="I77" s="4" t="s">
        <v>1002</v>
      </c>
      <c r="J77" s="4" t="s">
        <v>956</v>
      </c>
      <c r="K77" s="4" t="s">
        <v>112</v>
      </c>
      <c r="L77" s="4" t="s">
        <v>113</v>
      </c>
      <c r="M77" s="4" t="s">
        <v>108</v>
      </c>
      <c r="N77" s="4" t="s">
        <v>133</v>
      </c>
      <c r="O77" s="4" t="s">
        <v>134</v>
      </c>
      <c r="P77">
        <v>23</v>
      </c>
      <c r="Q77">
        <v>23</v>
      </c>
      <c r="R77" s="4" t="s">
        <v>158</v>
      </c>
      <c r="S77">
        <v>50</v>
      </c>
      <c r="T77">
        <v>1150</v>
      </c>
      <c r="U77">
        <v>1006.94</v>
      </c>
      <c r="V77" s="4" t="s">
        <v>30</v>
      </c>
    </row>
    <row r="78" spans="1:22" x14ac:dyDescent="0.2">
      <c r="A78" s="4" t="s">
        <v>261</v>
      </c>
      <c r="B78">
        <v>77</v>
      </c>
      <c r="C78" s="4" t="s">
        <v>26</v>
      </c>
      <c r="D78" s="4" t="s">
        <v>32</v>
      </c>
      <c r="E78" s="4" t="s">
        <v>44</v>
      </c>
      <c r="F78" s="4" t="s">
        <v>69</v>
      </c>
      <c r="G78">
        <v>4</v>
      </c>
      <c r="H78">
        <v>16</v>
      </c>
      <c r="I78" s="4" t="s">
        <v>1003</v>
      </c>
      <c r="J78" s="4" t="s">
        <v>962</v>
      </c>
      <c r="K78" s="4" t="s">
        <v>112</v>
      </c>
      <c r="L78" s="4" t="s">
        <v>113</v>
      </c>
      <c r="M78" s="4" t="s">
        <v>108</v>
      </c>
      <c r="N78" s="4" t="s">
        <v>133</v>
      </c>
      <c r="O78" s="4" t="s">
        <v>134</v>
      </c>
      <c r="P78">
        <v>47</v>
      </c>
      <c r="Q78">
        <v>47</v>
      </c>
      <c r="R78" s="4" t="s">
        <v>158</v>
      </c>
      <c r="S78">
        <v>50</v>
      </c>
      <c r="T78">
        <v>2350</v>
      </c>
      <c r="U78">
        <v>2057.66</v>
      </c>
      <c r="V78" s="4" t="s">
        <v>30</v>
      </c>
    </row>
    <row r="79" spans="1:22" x14ac:dyDescent="0.2">
      <c r="A79" s="4" t="s">
        <v>262</v>
      </c>
      <c r="B79">
        <v>78</v>
      </c>
      <c r="C79" s="4" t="s">
        <v>26</v>
      </c>
      <c r="D79" s="4" t="s">
        <v>32</v>
      </c>
      <c r="E79" s="4" t="s">
        <v>44</v>
      </c>
      <c r="F79" s="4" t="s">
        <v>69</v>
      </c>
      <c r="G79">
        <v>4</v>
      </c>
      <c r="H79">
        <v>16</v>
      </c>
      <c r="I79" s="4" t="s">
        <v>1004</v>
      </c>
      <c r="J79" s="4" t="s">
        <v>956</v>
      </c>
      <c r="K79" s="4" t="s">
        <v>114</v>
      </c>
      <c r="L79" s="4" t="s">
        <v>115</v>
      </c>
      <c r="M79" s="4" t="s">
        <v>108</v>
      </c>
      <c r="N79" s="4" t="s">
        <v>125</v>
      </c>
      <c r="O79" s="4" t="s">
        <v>126</v>
      </c>
      <c r="P79">
        <v>19</v>
      </c>
      <c r="Q79">
        <v>19</v>
      </c>
      <c r="R79" s="4" t="s">
        <v>158</v>
      </c>
      <c r="S79">
        <v>80.680000000000007</v>
      </c>
      <c r="T79">
        <v>1532.92</v>
      </c>
      <c r="U79">
        <v>1391.75</v>
      </c>
      <c r="V79" s="4" t="s">
        <v>30</v>
      </c>
    </row>
    <row r="80" spans="1:22" x14ac:dyDescent="0.2">
      <c r="A80" s="4" t="s">
        <v>263</v>
      </c>
      <c r="B80">
        <v>79</v>
      </c>
      <c r="C80" s="4" t="s">
        <v>26</v>
      </c>
      <c r="D80" s="4" t="s">
        <v>32</v>
      </c>
      <c r="E80" s="4" t="s">
        <v>44</v>
      </c>
      <c r="F80" s="4" t="s">
        <v>69</v>
      </c>
      <c r="G80">
        <v>4</v>
      </c>
      <c r="H80">
        <v>16</v>
      </c>
      <c r="I80" s="4" t="s">
        <v>1004</v>
      </c>
      <c r="J80" s="4" t="s">
        <v>1005</v>
      </c>
      <c r="K80" s="4" t="s">
        <v>114</v>
      </c>
      <c r="L80" s="4" t="s">
        <v>115</v>
      </c>
      <c r="M80" s="4" t="s">
        <v>108</v>
      </c>
      <c r="N80" s="4" t="s">
        <v>127</v>
      </c>
      <c r="O80" s="4" t="s">
        <v>128</v>
      </c>
      <c r="P80">
        <v>44</v>
      </c>
      <c r="Q80">
        <v>44</v>
      </c>
      <c r="R80" s="4" t="s">
        <v>158</v>
      </c>
      <c r="S80">
        <v>34.07</v>
      </c>
      <c r="T80">
        <v>1499.08</v>
      </c>
      <c r="U80">
        <v>1164.68</v>
      </c>
      <c r="V80" s="4" t="s">
        <v>30</v>
      </c>
    </row>
    <row r="81" spans="1:22" x14ac:dyDescent="0.2">
      <c r="A81" s="4" t="s">
        <v>264</v>
      </c>
      <c r="B81">
        <v>80</v>
      </c>
      <c r="C81" s="4" t="s">
        <v>26</v>
      </c>
      <c r="D81" s="4" t="s">
        <v>32</v>
      </c>
      <c r="E81" s="4" t="s">
        <v>44</v>
      </c>
      <c r="F81" s="4" t="s">
        <v>69</v>
      </c>
      <c r="G81">
        <v>4</v>
      </c>
      <c r="H81">
        <v>16</v>
      </c>
      <c r="I81" s="4" t="s">
        <v>1004</v>
      </c>
      <c r="J81" s="4" t="s">
        <v>1006</v>
      </c>
      <c r="K81" s="4" t="s">
        <v>114</v>
      </c>
      <c r="L81" s="4" t="s">
        <v>115</v>
      </c>
      <c r="M81" s="4" t="s">
        <v>108</v>
      </c>
      <c r="N81" s="4" t="s">
        <v>127</v>
      </c>
      <c r="O81" s="4" t="s">
        <v>128</v>
      </c>
      <c r="P81">
        <v>4</v>
      </c>
      <c r="Q81">
        <v>4</v>
      </c>
      <c r="R81" s="4" t="s">
        <v>158</v>
      </c>
      <c r="S81">
        <v>34.07</v>
      </c>
      <c r="T81">
        <v>136.28</v>
      </c>
      <c r="U81">
        <v>105.88</v>
      </c>
      <c r="V81" s="4" t="s">
        <v>30</v>
      </c>
    </row>
    <row r="82" spans="1:22" x14ac:dyDescent="0.2">
      <c r="A82" s="4" t="s">
        <v>265</v>
      </c>
      <c r="B82">
        <v>81</v>
      </c>
      <c r="C82" s="4" t="s">
        <v>26</v>
      </c>
      <c r="D82" s="4" t="s">
        <v>32</v>
      </c>
      <c r="E82" s="4" t="s">
        <v>44</v>
      </c>
      <c r="F82" s="4" t="s">
        <v>69</v>
      </c>
      <c r="G82">
        <v>4</v>
      </c>
      <c r="H82">
        <v>16</v>
      </c>
      <c r="I82" s="4" t="s">
        <v>1004</v>
      </c>
      <c r="J82" s="4" t="s">
        <v>962</v>
      </c>
      <c r="K82" s="4" t="s">
        <v>114</v>
      </c>
      <c r="L82" s="4" t="s">
        <v>115</v>
      </c>
      <c r="M82" s="4" t="s">
        <v>108</v>
      </c>
      <c r="N82" s="4" t="s">
        <v>133</v>
      </c>
      <c r="O82" s="4" t="s">
        <v>134</v>
      </c>
      <c r="P82">
        <v>35</v>
      </c>
      <c r="Q82">
        <v>35</v>
      </c>
      <c r="R82" s="4" t="s">
        <v>158</v>
      </c>
      <c r="S82">
        <v>50</v>
      </c>
      <c r="T82">
        <v>1750</v>
      </c>
      <c r="U82">
        <v>1532.3</v>
      </c>
      <c r="V82" s="4" t="s">
        <v>30</v>
      </c>
    </row>
    <row r="83" spans="1:22" x14ac:dyDescent="0.2">
      <c r="A83" s="4" t="s">
        <v>266</v>
      </c>
      <c r="B83">
        <v>82</v>
      </c>
      <c r="C83" s="4" t="s">
        <v>26</v>
      </c>
      <c r="D83" s="4" t="s">
        <v>32</v>
      </c>
      <c r="E83" s="4" t="s">
        <v>47</v>
      </c>
      <c r="F83" s="4" t="s">
        <v>71</v>
      </c>
      <c r="G83">
        <v>4</v>
      </c>
      <c r="H83">
        <v>17</v>
      </c>
      <c r="I83" s="4" t="s">
        <v>1007</v>
      </c>
      <c r="J83" s="4" t="s">
        <v>956</v>
      </c>
      <c r="K83" s="4" t="s">
        <v>114</v>
      </c>
      <c r="L83" s="4" t="s">
        <v>115</v>
      </c>
      <c r="M83" s="4" t="s">
        <v>108</v>
      </c>
      <c r="N83" s="4" t="s">
        <v>127</v>
      </c>
      <c r="O83" s="4" t="s">
        <v>128</v>
      </c>
      <c r="P83">
        <v>68</v>
      </c>
      <c r="Q83">
        <v>68</v>
      </c>
      <c r="R83" s="4" t="s">
        <v>158</v>
      </c>
      <c r="S83">
        <v>34.07</v>
      </c>
      <c r="T83">
        <v>2316.7600000000002</v>
      </c>
      <c r="U83">
        <v>1799.96</v>
      </c>
      <c r="V83" s="4" t="s">
        <v>30</v>
      </c>
    </row>
    <row r="84" spans="1:22" x14ac:dyDescent="0.2">
      <c r="A84" s="4" t="s">
        <v>267</v>
      </c>
      <c r="B84">
        <v>83</v>
      </c>
      <c r="C84" s="4" t="s">
        <v>26</v>
      </c>
      <c r="D84" s="4" t="s">
        <v>32</v>
      </c>
      <c r="E84" s="4" t="s">
        <v>47</v>
      </c>
      <c r="F84" s="4" t="s">
        <v>71</v>
      </c>
      <c r="G84">
        <v>4</v>
      </c>
      <c r="H84">
        <v>17</v>
      </c>
      <c r="I84" s="4" t="s">
        <v>1007</v>
      </c>
      <c r="J84" s="4" t="s">
        <v>962</v>
      </c>
      <c r="K84" s="4" t="s">
        <v>114</v>
      </c>
      <c r="L84" s="4" t="s">
        <v>115</v>
      </c>
      <c r="M84" s="4" t="s">
        <v>108</v>
      </c>
      <c r="N84" s="4" t="s">
        <v>131</v>
      </c>
      <c r="O84" s="4" t="s">
        <v>132</v>
      </c>
      <c r="P84">
        <v>28</v>
      </c>
      <c r="Q84">
        <v>28</v>
      </c>
      <c r="R84" s="4" t="s">
        <v>158</v>
      </c>
      <c r="S84">
        <v>68.44</v>
      </c>
      <c r="T84">
        <v>1916.32</v>
      </c>
      <c r="U84">
        <v>1706.88</v>
      </c>
      <c r="V84" s="4" t="s">
        <v>30</v>
      </c>
    </row>
    <row r="85" spans="1:22" x14ac:dyDescent="0.2">
      <c r="A85" s="4" t="s">
        <v>268</v>
      </c>
      <c r="B85">
        <v>84</v>
      </c>
      <c r="C85" s="4" t="s">
        <v>26</v>
      </c>
      <c r="D85" s="4" t="s">
        <v>32</v>
      </c>
      <c r="E85" s="4" t="s">
        <v>47</v>
      </c>
      <c r="F85" s="4" t="s">
        <v>71</v>
      </c>
      <c r="G85">
        <v>4</v>
      </c>
      <c r="H85">
        <v>17</v>
      </c>
      <c r="I85" s="4" t="s">
        <v>1008</v>
      </c>
      <c r="J85" s="4" t="s">
        <v>956</v>
      </c>
      <c r="K85" s="4" t="s">
        <v>116</v>
      </c>
      <c r="L85" s="4" t="s">
        <v>117</v>
      </c>
      <c r="M85" s="4" t="s">
        <v>108</v>
      </c>
      <c r="N85" s="4" t="s">
        <v>129</v>
      </c>
      <c r="O85" s="4" t="s">
        <v>130</v>
      </c>
      <c r="P85">
        <v>23</v>
      </c>
      <c r="Q85">
        <v>23</v>
      </c>
      <c r="R85" s="4" t="s">
        <v>158</v>
      </c>
      <c r="S85">
        <v>96.4</v>
      </c>
      <c r="T85">
        <v>2217.1999999999998</v>
      </c>
      <c r="U85">
        <v>1944.65</v>
      </c>
      <c r="V85" s="4" t="s">
        <v>30</v>
      </c>
    </row>
    <row r="86" spans="1:22" x14ac:dyDescent="0.2">
      <c r="A86" s="4" t="s">
        <v>269</v>
      </c>
      <c r="B86">
        <v>85</v>
      </c>
      <c r="C86" s="4" t="s">
        <v>26</v>
      </c>
      <c r="D86" s="4" t="s">
        <v>32</v>
      </c>
      <c r="E86" s="4" t="s">
        <v>47</v>
      </c>
      <c r="F86" s="4" t="s">
        <v>71</v>
      </c>
      <c r="G86">
        <v>4</v>
      </c>
      <c r="H86">
        <v>17</v>
      </c>
      <c r="I86" s="4" t="s">
        <v>1008</v>
      </c>
      <c r="J86" s="4" t="s">
        <v>962</v>
      </c>
      <c r="K86" s="4" t="s">
        <v>116</v>
      </c>
      <c r="L86" s="4" t="s">
        <v>117</v>
      </c>
      <c r="M86" s="4" t="s">
        <v>108</v>
      </c>
      <c r="N86" s="4" t="s">
        <v>133</v>
      </c>
      <c r="O86" s="4" t="s">
        <v>134</v>
      </c>
      <c r="P86">
        <v>33</v>
      </c>
      <c r="Q86">
        <v>33</v>
      </c>
      <c r="R86" s="4" t="s">
        <v>158</v>
      </c>
      <c r="S86">
        <v>50</v>
      </c>
      <c r="T86">
        <v>1650</v>
      </c>
      <c r="U86">
        <v>1444.74</v>
      </c>
      <c r="V86" s="4" t="s">
        <v>30</v>
      </c>
    </row>
    <row r="87" spans="1:22" x14ac:dyDescent="0.2">
      <c r="A87" s="4" t="s">
        <v>270</v>
      </c>
      <c r="B87">
        <v>86</v>
      </c>
      <c r="C87" s="4" t="s">
        <v>26</v>
      </c>
      <c r="D87" s="4" t="s">
        <v>32</v>
      </c>
      <c r="E87" s="4" t="s">
        <v>50</v>
      </c>
      <c r="F87" s="4" t="s">
        <v>73</v>
      </c>
      <c r="G87">
        <v>4</v>
      </c>
      <c r="H87">
        <v>18</v>
      </c>
      <c r="I87" s="4" t="s">
        <v>1009</v>
      </c>
      <c r="J87" s="4" t="s">
        <v>962</v>
      </c>
      <c r="K87" s="4" t="s">
        <v>112</v>
      </c>
      <c r="L87" s="4" t="s">
        <v>113</v>
      </c>
      <c r="M87" s="4" t="s">
        <v>108</v>
      </c>
      <c r="N87" s="4" t="s">
        <v>122</v>
      </c>
      <c r="O87" s="4" t="s">
        <v>123</v>
      </c>
      <c r="P87">
        <v>77</v>
      </c>
      <c r="Q87">
        <v>77</v>
      </c>
      <c r="R87" s="4" t="s">
        <v>158</v>
      </c>
      <c r="S87">
        <v>29.35</v>
      </c>
      <c r="T87">
        <v>2259.9499999999998</v>
      </c>
      <c r="U87">
        <v>1814.12</v>
      </c>
      <c r="V87" s="4" t="s">
        <v>30</v>
      </c>
    </row>
    <row r="88" spans="1:22" x14ac:dyDescent="0.2">
      <c r="A88" s="4" t="s">
        <v>271</v>
      </c>
      <c r="B88">
        <v>87</v>
      </c>
      <c r="C88" s="4" t="s">
        <v>26</v>
      </c>
      <c r="D88" s="4" t="s">
        <v>32</v>
      </c>
      <c r="E88" s="4" t="s">
        <v>50</v>
      </c>
      <c r="F88" s="4" t="s">
        <v>73</v>
      </c>
      <c r="G88">
        <v>4</v>
      </c>
      <c r="H88">
        <v>18</v>
      </c>
      <c r="I88" s="4" t="s">
        <v>1010</v>
      </c>
      <c r="J88" s="4" t="s">
        <v>956</v>
      </c>
      <c r="K88" s="4" t="s">
        <v>112</v>
      </c>
      <c r="L88" s="4" t="s">
        <v>113</v>
      </c>
      <c r="M88" s="4" t="s">
        <v>108</v>
      </c>
      <c r="N88" s="4" t="s">
        <v>122</v>
      </c>
      <c r="O88" s="4" t="s">
        <v>123</v>
      </c>
      <c r="P88">
        <v>56</v>
      </c>
      <c r="Q88">
        <v>56</v>
      </c>
      <c r="R88" s="4" t="s">
        <v>158</v>
      </c>
      <c r="S88">
        <v>29.35</v>
      </c>
      <c r="T88">
        <v>1643.6</v>
      </c>
      <c r="U88">
        <v>1319.36</v>
      </c>
      <c r="V88" s="4" t="s">
        <v>30</v>
      </c>
    </row>
    <row r="89" spans="1:22" x14ac:dyDescent="0.2">
      <c r="A89" s="4" t="s">
        <v>272</v>
      </c>
      <c r="B89">
        <v>88</v>
      </c>
      <c r="C89" s="4" t="s">
        <v>26</v>
      </c>
      <c r="D89" s="4" t="s">
        <v>32</v>
      </c>
      <c r="E89" s="4" t="s">
        <v>50</v>
      </c>
      <c r="F89" s="4" t="s">
        <v>73</v>
      </c>
      <c r="G89">
        <v>4</v>
      </c>
      <c r="H89">
        <v>18</v>
      </c>
      <c r="I89" s="4" t="s">
        <v>1009</v>
      </c>
      <c r="J89" s="4" t="s">
        <v>964</v>
      </c>
      <c r="K89" s="4" t="s">
        <v>112</v>
      </c>
      <c r="L89" s="4" t="s">
        <v>113</v>
      </c>
      <c r="M89" s="4" t="s">
        <v>108</v>
      </c>
      <c r="N89" s="4" t="s">
        <v>125</v>
      </c>
      <c r="O89" s="4" t="s">
        <v>126</v>
      </c>
      <c r="P89">
        <v>18</v>
      </c>
      <c r="Q89">
        <v>18</v>
      </c>
      <c r="R89" s="4" t="s">
        <v>158</v>
      </c>
      <c r="S89">
        <v>80.680000000000007</v>
      </c>
      <c r="T89">
        <v>1452.24</v>
      </c>
      <c r="U89">
        <v>1318.5</v>
      </c>
      <c r="V89" s="4" t="s">
        <v>30</v>
      </c>
    </row>
    <row r="90" spans="1:22" x14ac:dyDescent="0.2">
      <c r="A90" s="4" t="s">
        <v>273</v>
      </c>
      <c r="B90">
        <v>89</v>
      </c>
      <c r="C90" s="4" t="s">
        <v>26</v>
      </c>
      <c r="D90" s="4" t="s">
        <v>32</v>
      </c>
      <c r="E90" s="4" t="s">
        <v>50</v>
      </c>
      <c r="F90" s="4" t="s">
        <v>73</v>
      </c>
      <c r="G90">
        <v>4</v>
      </c>
      <c r="H90">
        <v>18</v>
      </c>
      <c r="I90" s="4" t="s">
        <v>1010</v>
      </c>
      <c r="J90" s="4" t="s">
        <v>962</v>
      </c>
      <c r="K90" s="4" t="s">
        <v>112</v>
      </c>
      <c r="L90" s="4" t="s">
        <v>113</v>
      </c>
      <c r="M90" s="4" t="s">
        <v>108</v>
      </c>
      <c r="N90" s="4" t="s">
        <v>127</v>
      </c>
      <c r="O90" s="4" t="s">
        <v>128</v>
      </c>
      <c r="P90">
        <v>65</v>
      </c>
      <c r="Q90">
        <v>65</v>
      </c>
      <c r="R90" s="4" t="s">
        <v>158</v>
      </c>
      <c r="S90">
        <v>34.07</v>
      </c>
      <c r="T90">
        <v>2214.5500000000002</v>
      </c>
      <c r="U90">
        <v>1720.55</v>
      </c>
      <c r="V90" s="4" t="s">
        <v>30</v>
      </c>
    </row>
    <row r="91" spans="1:22" x14ac:dyDescent="0.2">
      <c r="A91" s="4" t="s">
        <v>274</v>
      </c>
      <c r="B91">
        <v>90</v>
      </c>
      <c r="C91" s="4" t="s">
        <v>26</v>
      </c>
      <c r="D91" s="4" t="s">
        <v>32</v>
      </c>
      <c r="E91" s="4" t="s">
        <v>50</v>
      </c>
      <c r="F91" s="4" t="s">
        <v>73</v>
      </c>
      <c r="G91">
        <v>4</v>
      </c>
      <c r="H91">
        <v>18</v>
      </c>
      <c r="I91" s="4" t="s">
        <v>1009</v>
      </c>
      <c r="J91" s="4" t="s">
        <v>956</v>
      </c>
      <c r="K91" s="4" t="s">
        <v>112</v>
      </c>
      <c r="L91" s="4" t="s">
        <v>113</v>
      </c>
      <c r="M91" s="4" t="s">
        <v>108</v>
      </c>
      <c r="N91" s="4" t="s">
        <v>133</v>
      </c>
      <c r="O91" s="4" t="s">
        <v>134</v>
      </c>
      <c r="P91">
        <v>41</v>
      </c>
      <c r="Q91">
        <v>41</v>
      </c>
      <c r="R91" s="4" t="s">
        <v>158</v>
      </c>
      <c r="S91">
        <v>50</v>
      </c>
      <c r="T91">
        <v>2050</v>
      </c>
      <c r="U91">
        <v>1794.98</v>
      </c>
      <c r="V91" s="4" t="s">
        <v>30</v>
      </c>
    </row>
    <row r="92" spans="1:22" x14ac:dyDescent="0.2">
      <c r="A92" s="4" t="s">
        <v>275</v>
      </c>
      <c r="B92">
        <v>91</v>
      </c>
      <c r="C92" s="4" t="s">
        <v>26</v>
      </c>
      <c r="D92" s="4" t="s">
        <v>32</v>
      </c>
      <c r="E92" s="4" t="s">
        <v>50</v>
      </c>
      <c r="F92" s="4" t="s">
        <v>73</v>
      </c>
      <c r="G92">
        <v>4</v>
      </c>
      <c r="H92">
        <v>18</v>
      </c>
      <c r="I92" s="4" t="s">
        <v>1011</v>
      </c>
      <c r="J92" s="4" t="s">
        <v>956</v>
      </c>
      <c r="K92" s="4" t="s">
        <v>114</v>
      </c>
      <c r="L92" s="4" t="s">
        <v>115</v>
      </c>
      <c r="M92" s="4" t="s">
        <v>108</v>
      </c>
      <c r="N92" s="4" t="s">
        <v>127</v>
      </c>
      <c r="O92" s="4" t="s">
        <v>128</v>
      </c>
      <c r="P92">
        <v>27</v>
      </c>
      <c r="Q92">
        <v>27</v>
      </c>
      <c r="R92" s="4" t="s">
        <v>158</v>
      </c>
      <c r="S92">
        <v>34.07</v>
      </c>
      <c r="T92">
        <v>919.89</v>
      </c>
      <c r="U92">
        <v>714.69</v>
      </c>
      <c r="V92" s="4" t="s">
        <v>30</v>
      </c>
    </row>
    <row r="93" spans="1:22" x14ac:dyDescent="0.2">
      <c r="A93" s="4" t="s">
        <v>276</v>
      </c>
      <c r="B93">
        <v>92</v>
      </c>
      <c r="C93" s="4" t="s">
        <v>26</v>
      </c>
      <c r="D93" s="4" t="s">
        <v>32</v>
      </c>
      <c r="E93" s="4" t="s">
        <v>50</v>
      </c>
      <c r="F93" s="4" t="s">
        <v>73</v>
      </c>
      <c r="G93">
        <v>4</v>
      </c>
      <c r="H93">
        <v>18</v>
      </c>
      <c r="I93" s="4" t="s">
        <v>1012</v>
      </c>
      <c r="J93" s="4" t="s">
        <v>956</v>
      </c>
      <c r="K93" s="4" t="s">
        <v>114</v>
      </c>
      <c r="L93" s="4" t="s">
        <v>115</v>
      </c>
      <c r="M93" s="4" t="s">
        <v>108</v>
      </c>
      <c r="N93" s="4" t="s">
        <v>131</v>
      </c>
      <c r="O93" s="4" t="s">
        <v>132</v>
      </c>
      <c r="P93">
        <v>28</v>
      </c>
      <c r="Q93">
        <v>28</v>
      </c>
      <c r="R93" s="4" t="s">
        <v>158</v>
      </c>
      <c r="S93">
        <v>68.44</v>
      </c>
      <c r="T93">
        <v>1916.32</v>
      </c>
      <c r="U93">
        <v>1706.88</v>
      </c>
      <c r="V93" s="4" t="s">
        <v>30</v>
      </c>
    </row>
    <row r="94" spans="1:22" x14ac:dyDescent="0.2">
      <c r="A94" s="4" t="s">
        <v>277</v>
      </c>
      <c r="B94">
        <v>93</v>
      </c>
      <c r="C94" s="4" t="s">
        <v>26</v>
      </c>
      <c r="D94" s="4" t="s">
        <v>32</v>
      </c>
      <c r="E94" s="4" t="s">
        <v>50</v>
      </c>
      <c r="F94" s="4" t="s">
        <v>73</v>
      </c>
      <c r="G94">
        <v>4</v>
      </c>
      <c r="H94">
        <v>18</v>
      </c>
      <c r="I94" s="4" t="s">
        <v>1013</v>
      </c>
      <c r="J94" s="4" t="s">
        <v>964</v>
      </c>
      <c r="K94" s="4" t="s">
        <v>116</v>
      </c>
      <c r="L94" s="4" t="s">
        <v>117</v>
      </c>
      <c r="M94" s="4" t="s">
        <v>108</v>
      </c>
      <c r="N94" s="4" t="s">
        <v>122</v>
      </c>
      <c r="O94" s="4" t="s">
        <v>123</v>
      </c>
      <c r="P94">
        <v>50</v>
      </c>
      <c r="Q94">
        <v>50</v>
      </c>
      <c r="R94" s="4" t="s">
        <v>158</v>
      </c>
      <c r="S94">
        <v>29.35</v>
      </c>
      <c r="T94">
        <v>1467.5</v>
      </c>
      <c r="U94">
        <v>1178</v>
      </c>
      <c r="V94" s="4" t="s">
        <v>30</v>
      </c>
    </row>
    <row r="95" spans="1:22" x14ac:dyDescent="0.2">
      <c r="A95" s="4" t="s">
        <v>278</v>
      </c>
      <c r="B95">
        <v>94</v>
      </c>
      <c r="C95" s="4" t="s">
        <v>26</v>
      </c>
      <c r="D95" s="4" t="s">
        <v>32</v>
      </c>
      <c r="E95" s="4" t="s">
        <v>50</v>
      </c>
      <c r="F95" s="4" t="s">
        <v>73</v>
      </c>
      <c r="G95">
        <v>4</v>
      </c>
      <c r="H95">
        <v>18</v>
      </c>
      <c r="I95" s="4" t="s">
        <v>1013</v>
      </c>
      <c r="J95" s="4" t="s">
        <v>956</v>
      </c>
      <c r="K95" s="4" t="s">
        <v>116</v>
      </c>
      <c r="L95" s="4" t="s">
        <v>117</v>
      </c>
      <c r="M95" s="4" t="s">
        <v>108</v>
      </c>
      <c r="N95" s="4" t="s">
        <v>127</v>
      </c>
      <c r="O95" s="4" t="s">
        <v>128</v>
      </c>
      <c r="P95">
        <v>55</v>
      </c>
      <c r="Q95">
        <v>55</v>
      </c>
      <c r="R95" s="4" t="s">
        <v>158</v>
      </c>
      <c r="S95">
        <v>34.07</v>
      </c>
      <c r="T95">
        <v>1873.85</v>
      </c>
      <c r="U95">
        <v>1455.85</v>
      </c>
      <c r="V95" s="4" t="s">
        <v>30</v>
      </c>
    </row>
    <row r="96" spans="1:22" x14ac:dyDescent="0.2">
      <c r="A96" s="4" t="s">
        <v>279</v>
      </c>
      <c r="B96">
        <v>95</v>
      </c>
      <c r="C96" s="4" t="s">
        <v>26</v>
      </c>
      <c r="D96" s="4" t="s">
        <v>32</v>
      </c>
      <c r="E96" s="4" t="s">
        <v>50</v>
      </c>
      <c r="F96" s="4" t="s">
        <v>73</v>
      </c>
      <c r="G96">
        <v>4</v>
      </c>
      <c r="H96">
        <v>18</v>
      </c>
      <c r="I96" s="4" t="s">
        <v>1013</v>
      </c>
      <c r="J96" s="4" t="s">
        <v>962</v>
      </c>
      <c r="K96" s="4" t="s">
        <v>116</v>
      </c>
      <c r="L96" s="4" t="s">
        <v>117</v>
      </c>
      <c r="M96" s="4" t="s">
        <v>108</v>
      </c>
      <c r="N96" s="4" t="s">
        <v>129</v>
      </c>
      <c r="O96" s="4" t="s">
        <v>130</v>
      </c>
      <c r="P96">
        <v>24</v>
      </c>
      <c r="Q96">
        <v>24</v>
      </c>
      <c r="R96" s="4" t="s">
        <v>158</v>
      </c>
      <c r="S96">
        <v>96.4</v>
      </c>
      <c r="T96">
        <v>2313.6</v>
      </c>
      <c r="U96">
        <v>2029.2</v>
      </c>
      <c r="V96" s="4" t="s">
        <v>30</v>
      </c>
    </row>
    <row r="97" spans="1:22" x14ac:dyDescent="0.2">
      <c r="A97" s="4" t="s">
        <v>280</v>
      </c>
      <c r="B97">
        <v>96</v>
      </c>
      <c r="C97" s="4" t="s">
        <v>26</v>
      </c>
      <c r="D97" s="4" t="s">
        <v>32</v>
      </c>
      <c r="E97" s="4" t="s">
        <v>53</v>
      </c>
      <c r="F97" s="4" t="s">
        <v>75</v>
      </c>
      <c r="G97">
        <v>4</v>
      </c>
      <c r="H97">
        <v>19</v>
      </c>
      <c r="I97" s="4" t="s">
        <v>1014</v>
      </c>
      <c r="J97" s="4" t="s">
        <v>956</v>
      </c>
      <c r="K97" s="4" t="s">
        <v>112</v>
      </c>
      <c r="L97" s="4" t="s">
        <v>113</v>
      </c>
      <c r="M97" s="4" t="s">
        <v>108</v>
      </c>
      <c r="N97" s="4" t="s">
        <v>122</v>
      </c>
      <c r="O97" s="4" t="s">
        <v>123</v>
      </c>
      <c r="P97">
        <v>13</v>
      </c>
      <c r="Q97">
        <v>13</v>
      </c>
      <c r="R97" s="4" t="s">
        <v>158</v>
      </c>
      <c r="S97">
        <v>29.35</v>
      </c>
      <c r="T97">
        <v>381.55</v>
      </c>
      <c r="U97">
        <v>306.27999999999997</v>
      </c>
      <c r="V97" s="4" t="s">
        <v>30</v>
      </c>
    </row>
    <row r="98" spans="1:22" x14ac:dyDescent="0.2">
      <c r="A98" s="4" t="s">
        <v>281</v>
      </c>
      <c r="B98">
        <v>97</v>
      </c>
      <c r="C98" s="4" t="s">
        <v>26</v>
      </c>
      <c r="D98" s="4" t="s">
        <v>32</v>
      </c>
      <c r="E98" s="4" t="s">
        <v>53</v>
      </c>
      <c r="F98" s="4" t="s">
        <v>75</v>
      </c>
      <c r="G98">
        <v>4</v>
      </c>
      <c r="H98">
        <v>19</v>
      </c>
      <c r="I98" s="4" t="s">
        <v>1015</v>
      </c>
      <c r="J98" s="4" t="s">
        <v>956</v>
      </c>
      <c r="K98" s="4" t="s">
        <v>112</v>
      </c>
      <c r="L98" s="4" t="s">
        <v>113</v>
      </c>
      <c r="M98" s="4" t="s">
        <v>108</v>
      </c>
      <c r="N98" s="4" t="s">
        <v>133</v>
      </c>
      <c r="O98" s="4" t="s">
        <v>134</v>
      </c>
      <c r="P98">
        <v>19</v>
      </c>
      <c r="Q98">
        <v>19</v>
      </c>
      <c r="R98" s="4" t="s">
        <v>158</v>
      </c>
      <c r="S98">
        <v>50</v>
      </c>
      <c r="T98">
        <v>950</v>
      </c>
      <c r="U98">
        <v>831.82</v>
      </c>
      <c r="V98" s="4" t="s">
        <v>30</v>
      </c>
    </row>
    <row r="99" spans="1:22" x14ac:dyDescent="0.2">
      <c r="A99" s="4" t="s">
        <v>282</v>
      </c>
      <c r="B99">
        <v>98</v>
      </c>
      <c r="C99" s="4" t="s">
        <v>26</v>
      </c>
      <c r="D99" s="4" t="s">
        <v>32</v>
      </c>
      <c r="E99" s="4" t="s">
        <v>53</v>
      </c>
      <c r="F99" s="4" t="s">
        <v>75</v>
      </c>
      <c r="G99">
        <v>4</v>
      </c>
      <c r="H99">
        <v>19</v>
      </c>
      <c r="I99" s="4" t="s">
        <v>1016</v>
      </c>
      <c r="J99" s="4" t="s">
        <v>962</v>
      </c>
      <c r="K99" s="4" t="s">
        <v>114</v>
      </c>
      <c r="L99" s="4" t="s">
        <v>115</v>
      </c>
      <c r="M99" s="4" t="s">
        <v>108</v>
      </c>
      <c r="N99" s="4" t="s">
        <v>125</v>
      </c>
      <c r="O99" s="4" t="s">
        <v>126</v>
      </c>
      <c r="P99">
        <v>25</v>
      </c>
      <c r="Q99">
        <v>25</v>
      </c>
      <c r="R99" s="4" t="s">
        <v>158</v>
      </c>
      <c r="S99">
        <v>80.680000000000007</v>
      </c>
      <c r="T99">
        <v>2017</v>
      </c>
      <c r="U99">
        <v>1831.25</v>
      </c>
      <c r="V99" s="4" t="s">
        <v>30</v>
      </c>
    </row>
    <row r="100" spans="1:22" x14ac:dyDescent="0.2">
      <c r="A100" s="4" t="s">
        <v>283</v>
      </c>
      <c r="B100">
        <v>99</v>
      </c>
      <c r="C100" s="4" t="s">
        <v>26</v>
      </c>
      <c r="D100" s="4" t="s">
        <v>32</v>
      </c>
      <c r="E100" s="4" t="s">
        <v>53</v>
      </c>
      <c r="F100" s="4" t="s">
        <v>75</v>
      </c>
      <c r="G100">
        <v>4</v>
      </c>
      <c r="H100">
        <v>19</v>
      </c>
      <c r="I100" s="4" t="s">
        <v>1016</v>
      </c>
      <c r="J100" s="4" t="s">
        <v>964</v>
      </c>
      <c r="K100" s="4" t="s">
        <v>114</v>
      </c>
      <c r="L100" s="4" t="s">
        <v>115</v>
      </c>
      <c r="M100" s="4" t="s">
        <v>108</v>
      </c>
      <c r="N100" s="4" t="s">
        <v>127</v>
      </c>
      <c r="O100" s="4" t="s">
        <v>128</v>
      </c>
      <c r="P100">
        <v>22</v>
      </c>
      <c r="Q100">
        <v>22</v>
      </c>
      <c r="R100" s="4" t="s">
        <v>158</v>
      </c>
      <c r="S100">
        <v>34.07</v>
      </c>
      <c r="T100">
        <v>749.54</v>
      </c>
      <c r="U100">
        <v>582.34</v>
      </c>
      <c r="V100" s="4" t="s">
        <v>30</v>
      </c>
    </row>
    <row r="101" spans="1:22" x14ac:dyDescent="0.2">
      <c r="A101" s="4" t="s">
        <v>284</v>
      </c>
      <c r="B101">
        <v>100</v>
      </c>
      <c r="C101" s="4" t="s">
        <v>26</v>
      </c>
      <c r="D101" s="4" t="s">
        <v>32</v>
      </c>
      <c r="E101" s="4" t="s">
        <v>53</v>
      </c>
      <c r="F101" s="4" t="s">
        <v>75</v>
      </c>
      <c r="G101">
        <v>4</v>
      </c>
      <c r="H101">
        <v>19</v>
      </c>
      <c r="I101" s="4" t="s">
        <v>1016</v>
      </c>
      <c r="J101" s="4" t="s">
        <v>956</v>
      </c>
      <c r="K101" s="4" t="s">
        <v>114</v>
      </c>
      <c r="L101" s="4" t="s">
        <v>115</v>
      </c>
      <c r="M101" s="4" t="s">
        <v>108</v>
      </c>
      <c r="N101" s="4" t="s">
        <v>127</v>
      </c>
      <c r="O101" s="4" t="s">
        <v>128</v>
      </c>
      <c r="P101">
        <v>48</v>
      </c>
      <c r="Q101">
        <v>48</v>
      </c>
      <c r="R101" s="4" t="s">
        <v>158</v>
      </c>
      <c r="S101">
        <v>34.07</v>
      </c>
      <c r="T101">
        <v>1635.36</v>
      </c>
      <c r="U101">
        <v>1270.56</v>
      </c>
      <c r="V101" s="4" t="s">
        <v>30</v>
      </c>
    </row>
    <row r="102" spans="1:22" x14ac:dyDescent="0.2">
      <c r="A102" s="4" t="s">
        <v>285</v>
      </c>
      <c r="B102">
        <v>101</v>
      </c>
      <c r="C102" s="4" t="s">
        <v>26</v>
      </c>
      <c r="D102" s="4" t="s">
        <v>32</v>
      </c>
      <c r="E102" s="4" t="s">
        <v>53</v>
      </c>
      <c r="F102" s="4" t="s">
        <v>75</v>
      </c>
      <c r="G102">
        <v>4</v>
      </c>
      <c r="H102">
        <v>19</v>
      </c>
      <c r="I102" s="4" t="s">
        <v>1016</v>
      </c>
      <c r="J102" s="4" t="s">
        <v>1017</v>
      </c>
      <c r="K102" s="4" t="s">
        <v>114</v>
      </c>
      <c r="L102" s="4" t="s">
        <v>115</v>
      </c>
      <c r="M102" s="4" t="s">
        <v>108</v>
      </c>
      <c r="N102" s="4" t="s">
        <v>127</v>
      </c>
      <c r="O102" s="4" t="s">
        <v>128</v>
      </c>
      <c r="P102">
        <v>53</v>
      </c>
      <c r="Q102">
        <v>53</v>
      </c>
      <c r="R102" s="4" t="s">
        <v>158</v>
      </c>
      <c r="S102">
        <v>34.07</v>
      </c>
      <c r="T102">
        <v>1805.71</v>
      </c>
      <c r="U102">
        <v>1402.91</v>
      </c>
      <c r="V102" s="4" t="s">
        <v>30</v>
      </c>
    </row>
    <row r="103" spans="1:22" x14ac:dyDescent="0.2">
      <c r="A103" s="4" t="s">
        <v>286</v>
      </c>
      <c r="B103">
        <v>102</v>
      </c>
      <c r="C103" s="4" t="s">
        <v>26</v>
      </c>
      <c r="D103" s="4" t="s">
        <v>32</v>
      </c>
      <c r="E103" s="4" t="s">
        <v>53</v>
      </c>
      <c r="F103" s="4" t="s">
        <v>75</v>
      </c>
      <c r="G103">
        <v>4</v>
      </c>
      <c r="H103">
        <v>19</v>
      </c>
      <c r="I103" s="4" t="s">
        <v>1018</v>
      </c>
      <c r="J103" s="4" t="s">
        <v>956</v>
      </c>
      <c r="K103" s="4" t="s">
        <v>116</v>
      </c>
      <c r="L103" s="4" t="s">
        <v>117</v>
      </c>
      <c r="M103" s="4" t="s">
        <v>108</v>
      </c>
      <c r="N103" s="4" t="s">
        <v>129</v>
      </c>
      <c r="O103" s="4" t="s">
        <v>130</v>
      </c>
      <c r="P103">
        <v>25</v>
      </c>
      <c r="Q103">
        <v>25</v>
      </c>
      <c r="R103" s="4" t="s">
        <v>158</v>
      </c>
      <c r="S103">
        <v>96.4</v>
      </c>
      <c r="T103">
        <v>2410</v>
      </c>
      <c r="U103">
        <v>2113.75</v>
      </c>
      <c r="V103" s="4" t="s">
        <v>30</v>
      </c>
    </row>
    <row r="104" spans="1:22" x14ac:dyDescent="0.2">
      <c r="A104" s="4" t="s">
        <v>287</v>
      </c>
      <c r="B104">
        <v>103</v>
      </c>
      <c r="C104" s="4" t="s">
        <v>26</v>
      </c>
      <c r="D104" s="4" t="s">
        <v>32</v>
      </c>
      <c r="E104" s="4" t="s">
        <v>53</v>
      </c>
      <c r="F104" s="4" t="s">
        <v>75</v>
      </c>
      <c r="G104">
        <v>4</v>
      </c>
      <c r="H104">
        <v>19</v>
      </c>
      <c r="I104" s="4" t="s">
        <v>1019</v>
      </c>
      <c r="J104" s="4" t="s">
        <v>956</v>
      </c>
      <c r="K104" s="4" t="s">
        <v>116</v>
      </c>
      <c r="L104" s="4" t="s">
        <v>117</v>
      </c>
      <c r="M104" s="4" t="s">
        <v>108</v>
      </c>
      <c r="N104" s="4" t="s">
        <v>131</v>
      </c>
      <c r="O104" s="4" t="s">
        <v>132</v>
      </c>
      <c r="P104">
        <v>35</v>
      </c>
      <c r="Q104">
        <v>35</v>
      </c>
      <c r="R104" s="4" t="s">
        <v>158</v>
      </c>
      <c r="S104">
        <v>68.44</v>
      </c>
      <c r="T104">
        <v>2395.4</v>
      </c>
      <c r="U104">
        <v>2133.6</v>
      </c>
      <c r="V104" s="4" t="s">
        <v>30</v>
      </c>
    </row>
    <row r="105" spans="1:22" x14ac:dyDescent="0.2">
      <c r="A105" s="4" t="s">
        <v>288</v>
      </c>
      <c r="B105">
        <v>104</v>
      </c>
      <c r="C105" s="4" t="s">
        <v>26</v>
      </c>
      <c r="D105" s="4" t="s">
        <v>32</v>
      </c>
      <c r="E105" s="4" t="s">
        <v>56</v>
      </c>
      <c r="F105" s="4" t="s">
        <v>77</v>
      </c>
      <c r="G105">
        <v>4</v>
      </c>
      <c r="H105">
        <v>20</v>
      </c>
      <c r="I105" s="4" t="s">
        <v>1020</v>
      </c>
      <c r="J105" s="4" t="s">
        <v>956</v>
      </c>
      <c r="K105" s="4" t="s">
        <v>114</v>
      </c>
      <c r="L105" s="4" t="s">
        <v>115</v>
      </c>
      <c r="M105" s="4" t="s">
        <v>108</v>
      </c>
      <c r="N105" s="4" t="s">
        <v>127</v>
      </c>
      <c r="O105" s="4" t="s">
        <v>128</v>
      </c>
      <c r="P105">
        <v>27</v>
      </c>
      <c r="Q105">
        <v>27</v>
      </c>
      <c r="R105" s="4" t="s">
        <v>158</v>
      </c>
      <c r="S105">
        <v>34.07</v>
      </c>
      <c r="T105">
        <v>919.89</v>
      </c>
      <c r="U105">
        <v>714.69</v>
      </c>
      <c r="V105" s="4" t="s">
        <v>30</v>
      </c>
    </row>
    <row r="106" spans="1:22" x14ac:dyDescent="0.2">
      <c r="A106" s="4" t="s">
        <v>289</v>
      </c>
      <c r="B106">
        <v>105</v>
      </c>
      <c r="C106" s="4" t="s">
        <v>26</v>
      </c>
      <c r="D106" s="4" t="s">
        <v>32</v>
      </c>
      <c r="E106" s="4" t="s">
        <v>56</v>
      </c>
      <c r="F106" s="4" t="s">
        <v>77</v>
      </c>
      <c r="G106">
        <v>4</v>
      </c>
      <c r="H106">
        <v>20</v>
      </c>
      <c r="I106" s="4" t="s">
        <v>1021</v>
      </c>
      <c r="J106" s="4" t="s">
        <v>956</v>
      </c>
      <c r="K106" s="4" t="s">
        <v>116</v>
      </c>
      <c r="L106" s="4" t="s">
        <v>117</v>
      </c>
      <c r="M106" s="4" t="s">
        <v>108</v>
      </c>
      <c r="N106" s="4" t="s">
        <v>122</v>
      </c>
      <c r="O106" s="4" t="s">
        <v>123</v>
      </c>
      <c r="P106">
        <v>50</v>
      </c>
      <c r="Q106">
        <v>50</v>
      </c>
      <c r="R106" s="4" t="s">
        <v>158</v>
      </c>
      <c r="S106">
        <v>29.35</v>
      </c>
      <c r="T106">
        <v>1467.5</v>
      </c>
      <c r="U106">
        <v>1178</v>
      </c>
      <c r="V106" s="4" t="s">
        <v>30</v>
      </c>
    </row>
    <row r="107" spans="1:22" x14ac:dyDescent="0.2">
      <c r="A107" s="4" t="s">
        <v>290</v>
      </c>
      <c r="B107">
        <v>106</v>
      </c>
      <c r="C107" s="4" t="s">
        <v>26</v>
      </c>
      <c r="D107" s="4" t="s">
        <v>35</v>
      </c>
      <c r="E107" s="4" t="s">
        <v>27</v>
      </c>
      <c r="F107" s="4" t="s">
        <v>79</v>
      </c>
      <c r="G107">
        <v>5</v>
      </c>
      <c r="H107">
        <v>21</v>
      </c>
      <c r="I107" s="4" t="s">
        <v>1022</v>
      </c>
      <c r="J107" s="4" t="s">
        <v>956</v>
      </c>
      <c r="K107" s="4" t="s">
        <v>114</v>
      </c>
      <c r="L107" s="4" t="s">
        <v>115</v>
      </c>
      <c r="M107" s="4" t="s">
        <v>108</v>
      </c>
      <c r="N107" s="4" t="s">
        <v>131</v>
      </c>
      <c r="O107" s="4" t="s">
        <v>132</v>
      </c>
      <c r="P107">
        <v>33</v>
      </c>
      <c r="Q107">
        <v>33</v>
      </c>
      <c r="R107" s="4" t="s">
        <v>158</v>
      </c>
      <c r="S107">
        <v>68.44</v>
      </c>
      <c r="T107">
        <v>2258.52</v>
      </c>
      <c r="U107">
        <v>2011.68</v>
      </c>
      <c r="V107" s="4" t="s">
        <v>30</v>
      </c>
    </row>
    <row r="108" spans="1:22" x14ac:dyDescent="0.2">
      <c r="A108" s="4" t="s">
        <v>291</v>
      </c>
      <c r="B108">
        <v>107</v>
      </c>
      <c r="C108" s="4" t="s">
        <v>26</v>
      </c>
      <c r="D108" s="4" t="s">
        <v>35</v>
      </c>
      <c r="E108" s="4" t="s">
        <v>27</v>
      </c>
      <c r="F108" s="4" t="s">
        <v>79</v>
      </c>
      <c r="G108">
        <v>5</v>
      </c>
      <c r="H108">
        <v>21</v>
      </c>
      <c r="I108" s="4" t="s">
        <v>1023</v>
      </c>
      <c r="J108" s="4" t="s">
        <v>956</v>
      </c>
      <c r="K108" s="4" t="s">
        <v>116</v>
      </c>
      <c r="L108" s="4" t="s">
        <v>117</v>
      </c>
      <c r="M108" s="4" t="s">
        <v>108</v>
      </c>
      <c r="N108" s="4" t="s">
        <v>129</v>
      </c>
      <c r="O108" s="4" t="s">
        <v>130</v>
      </c>
      <c r="P108">
        <v>23</v>
      </c>
      <c r="Q108">
        <v>23</v>
      </c>
      <c r="R108" s="4" t="s">
        <v>158</v>
      </c>
      <c r="S108">
        <v>96.4</v>
      </c>
      <c r="T108">
        <v>2217.1999999999998</v>
      </c>
      <c r="U108">
        <v>1944.65</v>
      </c>
      <c r="V108" s="4" t="s">
        <v>30</v>
      </c>
    </row>
    <row r="109" spans="1:22" x14ac:dyDescent="0.2">
      <c r="A109" s="4" t="s">
        <v>292</v>
      </c>
      <c r="B109">
        <v>108</v>
      </c>
      <c r="C109" s="4" t="s">
        <v>26</v>
      </c>
      <c r="D109" s="4" t="s">
        <v>35</v>
      </c>
      <c r="E109" s="4" t="s">
        <v>32</v>
      </c>
      <c r="F109" s="4" t="s">
        <v>81</v>
      </c>
      <c r="G109">
        <v>5</v>
      </c>
      <c r="H109">
        <v>22</v>
      </c>
      <c r="I109" s="4" t="s">
        <v>1024</v>
      </c>
      <c r="J109" s="4" t="s">
        <v>956</v>
      </c>
      <c r="K109" s="4" t="s">
        <v>112</v>
      </c>
      <c r="L109" s="4" t="s">
        <v>113</v>
      </c>
      <c r="M109" s="4" t="s">
        <v>108</v>
      </c>
      <c r="N109" s="4" t="s">
        <v>122</v>
      </c>
      <c r="O109" s="4" t="s">
        <v>123</v>
      </c>
      <c r="P109">
        <v>1</v>
      </c>
      <c r="Q109">
        <v>1</v>
      </c>
      <c r="R109" s="4" t="s">
        <v>158</v>
      </c>
      <c r="S109">
        <v>29.35</v>
      </c>
      <c r="T109">
        <v>29.35</v>
      </c>
      <c r="U109">
        <v>23.47</v>
      </c>
      <c r="V109" s="4" t="s">
        <v>30</v>
      </c>
    </row>
    <row r="110" spans="1:22" x14ac:dyDescent="0.2">
      <c r="A110" s="4" t="s">
        <v>293</v>
      </c>
      <c r="B110">
        <v>109</v>
      </c>
      <c r="C110" s="4" t="s">
        <v>26</v>
      </c>
      <c r="D110" s="4" t="s">
        <v>35</v>
      </c>
      <c r="E110" s="4" t="s">
        <v>32</v>
      </c>
      <c r="F110" s="4" t="s">
        <v>81</v>
      </c>
      <c r="G110">
        <v>5</v>
      </c>
      <c r="H110">
        <v>22</v>
      </c>
      <c r="I110" s="4" t="s">
        <v>1025</v>
      </c>
      <c r="J110" s="4" t="s">
        <v>956</v>
      </c>
      <c r="K110" s="4" t="s">
        <v>114</v>
      </c>
      <c r="L110" s="4" t="s">
        <v>115</v>
      </c>
      <c r="M110" s="4" t="s">
        <v>108</v>
      </c>
      <c r="N110" s="4" t="s">
        <v>125</v>
      </c>
      <c r="O110" s="4" t="s">
        <v>126</v>
      </c>
      <c r="P110">
        <v>7</v>
      </c>
      <c r="Q110">
        <v>7</v>
      </c>
      <c r="R110" s="4" t="s">
        <v>158</v>
      </c>
      <c r="S110">
        <v>80.680000000000007</v>
      </c>
      <c r="T110">
        <v>564.76</v>
      </c>
      <c r="U110">
        <v>512.82000000000005</v>
      </c>
      <c r="V110" s="4" t="s">
        <v>30</v>
      </c>
    </row>
    <row r="111" spans="1:22" x14ac:dyDescent="0.2">
      <c r="A111" s="4" t="s">
        <v>294</v>
      </c>
      <c r="B111">
        <v>110</v>
      </c>
      <c r="C111" s="4" t="s">
        <v>26</v>
      </c>
      <c r="D111" s="4" t="s">
        <v>35</v>
      </c>
      <c r="E111" s="4" t="s">
        <v>32</v>
      </c>
      <c r="F111" s="4" t="s">
        <v>81</v>
      </c>
      <c r="G111">
        <v>5</v>
      </c>
      <c r="H111">
        <v>22</v>
      </c>
      <c r="I111" s="4" t="s">
        <v>1026</v>
      </c>
      <c r="J111" s="4" t="s">
        <v>962</v>
      </c>
      <c r="K111" s="4" t="s">
        <v>114</v>
      </c>
      <c r="L111" s="4" t="s">
        <v>115</v>
      </c>
      <c r="M111" s="4" t="s">
        <v>108</v>
      </c>
      <c r="N111" s="4" t="s">
        <v>125</v>
      </c>
      <c r="O111" s="4" t="s">
        <v>126</v>
      </c>
      <c r="P111">
        <v>14</v>
      </c>
      <c r="Q111">
        <v>14</v>
      </c>
      <c r="R111" s="4" t="s">
        <v>158</v>
      </c>
      <c r="S111">
        <v>80.680000000000007</v>
      </c>
      <c r="T111">
        <v>1129.52</v>
      </c>
      <c r="U111">
        <v>1025.6400000000001</v>
      </c>
      <c r="V111" s="4" t="s">
        <v>30</v>
      </c>
    </row>
    <row r="112" spans="1:22" x14ac:dyDescent="0.2">
      <c r="A112" s="4" t="s">
        <v>295</v>
      </c>
      <c r="B112">
        <v>111</v>
      </c>
      <c r="C112" s="4" t="s">
        <v>26</v>
      </c>
      <c r="D112" s="4" t="s">
        <v>35</v>
      </c>
      <c r="E112" s="4" t="s">
        <v>32</v>
      </c>
      <c r="F112" s="4" t="s">
        <v>81</v>
      </c>
      <c r="G112">
        <v>5</v>
      </c>
      <c r="H112">
        <v>22</v>
      </c>
      <c r="I112" s="4" t="s">
        <v>1026</v>
      </c>
      <c r="J112" s="4" t="s">
        <v>956</v>
      </c>
      <c r="K112" s="4" t="s">
        <v>114</v>
      </c>
      <c r="L112" s="4" t="s">
        <v>115</v>
      </c>
      <c r="M112" s="4" t="s">
        <v>108</v>
      </c>
      <c r="N112" s="4" t="s">
        <v>127</v>
      </c>
      <c r="O112" s="4" t="s">
        <v>128</v>
      </c>
      <c r="P112">
        <v>56</v>
      </c>
      <c r="Q112">
        <v>56</v>
      </c>
      <c r="R112" s="4" t="s">
        <v>158</v>
      </c>
      <c r="S112">
        <v>32.76</v>
      </c>
      <c r="T112">
        <v>1834.56</v>
      </c>
      <c r="U112">
        <v>1476.16</v>
      </c>
      <c r="V112" s="4" t="s">
        <v>30</v>
      </c>
    </row>
    <row r="113" spans="1:22" x14ac:dyDescent="0.2">
      <c r="A113" s="4" t="s">
        <v>296</v>
      </c>
      <c r="B113">
        <v>112</v>
      </c>
      <c r="C113" s="4" t="s">
        <v>26</v>
      </c>
      <c r="D113" s="4" t="s">
        <v>35</v>
      </c>
      <c r="E113" s="4" t="s">
        <v>32</v>
      </c>
      <c r="F113" s="4" t="s">
        <v>81</v>
      </c>
      <c r="G113">
        <v>5</v>
      </c>
      <c r="H113">
        <v>22</v>
      </c>
      <c r="I113" s="4" t="s">
        <v>1025</v>
      </c>
      <c r="J113" s="4" t="s">
        <v>962</v>
      </c>
      <c r="K113" s="4" t="s">
        <v>114</v>
      </c>
      <c r="L113" s="4" t="s">
        <v>115</v>
      </c>
      <c r="M113" s="4" t="s">
        <v>108</v>
      </c>
      <c r="N113" s="4" t="s">
        <v>131</v>
      </c>
      <c r="O113" s="4" t="s">
        <v>132</v>
      </c>
      <c r="P113">
        <v>30</v>
      </c>
      <c r="Q113">
        <v>30</v>
      </c>
      <c r="R113" s="4" t="s">
        <v>158</v>
      </c>
      <c r="S113">
        <v>68.44</v>
      </c>
      <c r="T113">
        <v>2053.1999999999998</v>
      </c>
      <c r="U113">
        <v>1827.9</v>
      </c>
      <c r="V113" s="4" t="s">
        <v>30</v>
      </c>
    </row>
    <row r="114" spans="1:22" x14ac:dyDescent="0.2">
      <c r="A114" s="4" t="s">
        <v>297</v>
      </c>
      <c r="B114">
        <v>113</v>
      </c>
      <c r="C114" s="4" t="s">
        <v>26</v>
      </c>
      <c r="D114" s="4" t="s">
        <v>35</v>
      </c>
      <c r="E114" s="4" t="s">
        <v>35</v>
      </c>
      <c r="F114" s="4" t="s">
        <v>83</v>
      </c>
      <c r="G114">
        <v>5</v>
      </c>
      <c r="H114">
        <v>23</v>
      </c>
      <c r="I114" s="4" t="s">
        <v>1027</v>
      </c>
      <c r="J114" s="4" t="s">
        <v>962</v>
      </c>
      <c r="K114" s="4" t="s">
        <v>112</v>
      </c>
      <c r="L114" s="4" t="s">
        <v>113</v>
      </c>
      <c r="M114" s="4" t="s">
        <v>108</v>
      </c>
      <c r="N114" s="4" t="s">
        <v>122</v>
      </c>
      <c r="O114" s="4" t="s">
        <v>123</v>
      </c>
      <c r="P114">
        <v>71</v>
      </c>
      <c r="Q114">
        <v>71</v>
      </c>
      <c r="R114" s="4" t="s">
        <v>158</v>
      </c>
      <c r="S114">
        <v>29.35</v>
      </c>
      <c r="T114">
        <v>2083.85</v>
      </c>
      <c r="U114">
        <v>1666.37</v>
      </c>
      <c r="V114" s="4" t="s">
        <v>30</v>
      </c>
    </row>
    <row r="115" spans="1:22" x14ac:dyDescent="0.2">
      <c r="A115" s="4" t="s">
        <v>298</v>
      </c>
      <c r="B115">
        <v>114</v>
      </c>
      <c r="C115" s="4" t="s">
        <v>26</v>
      </c>
      <c r="D115" s="4" t="s">
        <v>35</v>
      </c>
      <c r="E115" s="4" t="s">
        <v>35</v>
      </c>
      <c r="F115" s="4" t="s">
        <v>83</v>
      </c>
      <c r="G115">
        <v>5</v>
      </c>
      <c r="H115">
        <v>23</v>
      </c>
      <c r="I115" s="4" t="s">
        <v>1027</v>
      </c>
      <c r="J115" s="4" t="s">
        <v>1006</v>
      </c>
      <c r="K115" s="4" t="s">
        <v>112</v>
      </c>
      <c r="L115" s="4" t="s">
        <v>113</v>
      </c>
      <c r="M115" s="4" t="s">
        <v>108</v>
      </c>
      <c r="N115" s="4" t="s">
        <v>122</v>
      </c>
      <c r="O115" s="4" t="s">
        <v>123</v>
      </c>
      <c r="P115">
        <v>77</v>
      </c>
      <c r="Q115">
        <v>77</v>
      </c>
      <c r="R115" s="4" t="s">
        <v>158</v>
      </c>
      <c r="S115">
        <v>29.35</v>
      </c>
      <c r="T115">
        <v>2259.9499999999998</v>
      </c>
      <c r="U115">
        <v>1807.19</v>
      </c>
      <c r="V115" s="4" t="s">
        <v>30</v>
      </c>
    </row>
    <row r="116" spans="1:22" x14ac:dyDescent="0.2">
      <c r="A116" s="4" t="s">
        <v>299</v>
      </c>
      <c r="B116">
        <v>115</v>
      </c>
      <c r="C116" s="4" t="s">
        <v>26</v>
      </c>
      <c r="D116" s="4" t="s">
        <v>35</v>
      </c>
      <c r="E116" s="4" t="s">
        <v>35</v>
      </c>
      <c r="F116" s="4" t="s">
        <v>83</v>
      </c>
      <c r="G116">
        <v>5</v>
      </c>
      <c r="H116">
        <v>23</v>
      </c>
      <c r="I116" s="4" t="s">
        <v>1027</v>
      </c>
      <c r="J116" s="4" t="s">
        <v>956</v>
      </c>
      <c r="K116" s="4" t="s">
        <v>112</v>
      </c>
      <c r="L116" s="4" t="s">
        <v>113</v>
      </c>
      <c r="M116" s="4" t="s">
        <v>108</v>
      </c>
      <c r="N116" s="4" t="s">
        <v>127</v>
      </c>
      <c r="O116" s="4" t="s">
        <v>128</v>
      </c>
      <c r="P116">
        <v>58</v>
      </c>
      <c r="Q116">
        <v>58</v>
      </c>
      <c r="R116" s="4" t="s">
        <v>158</v>
      </c>
      <c r="S116">
        <v>32.76</v>
      </c>
      <c r="T116">
        <v>1900.08</v>
      </c>
      <c r="U116">
        <v>1528.88</v>
      </c>
      <c r="V116" s="4" t="s">
        <v>30</v>
      </c>
    </row>
    <row r="117" spans="1:22" x14ac:dyDescent="0.2">
      <c r="A117" s="4" t="s">
        <v>300</v>
      </c>
      <c r="B117">
        <v>116</v>
      </c>
      <c r="C117" s="4" t="s">
        <v>26</v>
      </c>
      <c r="D117" s="4" t="s">
        <v>35</v>
      </c>
      <c r="E117" s="4" t="s">
        <v>35</v>
      </c>
      <c r="F117" s="4" t="s">
        <v>83</v>
      </c>
      <c r="G117">
        <v>5</v>
      </c>
      <c r="H117">
        <v>23</v>
      </c>
      <c r="I117" s="4" t="s">
        <v>1027</v>
      </c>
      <c r="J117" s="4" t="s">
        <v>1005</v>
      </c>
      <c r="K117" s="4" t="s">
        <v>112</v>
      </c>
      <c r="L117" s="4" t="s">
        <v>113</v>
      </c>
      <c r="M117" s="4" t="s">
        <v>108</v>
      </c>
      <c r="N117" s="4" t="s">
        <v>133</v>
      </c>
      <c r="O117" s="4" t="s">
        <v>134</v>
      </c>
      <c r="P117">
        <v>44</v>
      </c>
      <c r="Q117">
        <v>44</v>
      </c>
      <c r="R117" s="4" t="s">
        <v>158</v>
      </c>
      <c r="S117">
        <v>50</v>
      </c>
      <c r="T117">
        <v>2200</v>
      </c>
      <c r="U117">
        <v>1928.08</v>
      </c>
      <c r="V117" s="4" t="s">
        <v>30</v>
      </c>
    </row>
    <row r="118" spans="1:22" x14ac:dyDescent="0.2">
      <c r="A118" s="4" t="s">
        <v>301</v>
      </c>
      <c r="B118">
        <v>117</v>
      </c>
      <c r="C118" s="4" t="s">
        <v>26</v>
      </c>
      <c r="D118" s="4" t="s">
        <v>35</v>
      </c>
      <c r="E118" s="4" t="s">
        <v>35</v>
      </c>
      <c r="F118" s="4" t="s">
        <v>83</v>
      </c>
      <c r="G118">
        <v>5</v>
      </c>
      <c r="H118">
        <v>23</v>
      </c>
      <c r="I118" s="4" t="s">
        <v>1027</v>
      </c>
      <c r="J118" s="4" t="s">
        <v>1017</v>
      </c>
      <c r="K118" s="4" t="s">
        <v>112</v>
      </c>
      <c r="L118" s="4" t="s">
        <v>113</v>
      </c>
      <c r="M118" s="4" t="s">
        <v>108</v>
      </c>
      <c r="N118" s="4" t="s">
        <v>133</v>
      </c>
      <c r="O118" s="4" t="s">
        <v>134</v>
      </c>
      <c r="P118">
        <v>16</v>
      </c>
      <c r="Q118">
        <v>16</v>
      </c>
      <c r="R118" s="4" t="s">
        <v>158</v>
      </c>
      <c r="S118">
        <v>50</v>
      </c>
      <c r="T118">
        <v>800</v>
      </c>
      <c r="U118">
        <v>701.12</v>
      </c>
      <c r="V118" s="4" t="s">
        <v>30</v>
      </c>
    </row>
    <row r="119" spans="1:22" x14ac:dyDescent="0.2">
      <c r="A119" s="4" t="s">
        <v>302</v>
      </c>
      <c r="B119">
        <v>118</v>
      </c>
      <c r="C119" s="4" t="s">
        <v>26</v>
      </c>
      <c r="D119" s="4" t="s">
        <v>35</v>
      </c>
      <c r="E119" s="4" t="s">
        <v>35</v>
      </c>
      <c r="F119" s="4" t="s">
        <v>83</v>
      </c>
      <c r="G119">
        <v>5</v>
      </c>
      <c r="H119">
        <v>23</v>
      </c>
      <c r="I119" s="4" t="s">
        <v>1028</v>
      </c>
      <c r="J119" s="4" t="s">
        <v>956</v>
      </c>
      <c r="K119" s="4" t="s">
        <v>114</v>
      </c>
      <c r="L119" s="4" t="s">
        <v>115</v>
      </c>
      <c r="M119" s="4" t="s">
        <v>108</v>
      </c>
      <c r="N119" s="4" t="s">
        <v>127</v>
      </c>
      <c r="O119" s="4" t="s">
        <v>128</v>
      </c>
      <c r="P119">
        <v>61</v>
      </c>
      <c r="Q119">
        <v>61</v>
      </c>
      <c r="R119" s="4" t="s">
        <v>158</v>
      </c>
      <c r="S119">
        <v>32.76</v>
      </c>
      <c r="T119">
        <v>1998.36</v>
      </c>
      <c r="U119">
        <v>1607.96</v>
      </c>
      <c r="V119" s="4" t="s">
        <v>30</v>
      </c>
    </row>
    <row r="120" spans="1:22" x14ac:dyDescent="0.2">
      <c r="A120" s="4" t="s">
        <v>303</v>
      </c>
      <c r="B120">
        <v>119</v>
      </c>
      <c r="C120" s="4" t="s">
        <v>26</v>
      </c>
      <c r="D120" s="4" t="s">
        <v>35</v>
      </c>
      <c r="E120" s="4" t="s">
        <v>38</v>
      </c>
      <c r="F120" s="4" t="s">
        <v>85</v>
      </c>
      <c r="G120">
        <v>5</v>
      </c>
      <c r="H120">
        <v>24</v>
      </c>
      <c r="I120" s="4" t="s">
        <v>1029</v>
      </c>
      <c r="J120" s="4" t="s">
        <v>956</v>
      </c>
      <c r="K120" s="4" t="s">
        <v>112</v>
      </c>
      <c r="L120" s="4" t="s">
        <v>113</v>
      </c>
      <c r="M120" s="4" t="s">
        <v>108</v>
      </c>
      <c r="N120" s="4" t="s">
        <v>122</v>
      </c>
      <c r="O120" s="4" t="s">
        <v>123</v>
      </c>
      <c r="P120">
        <v>63</v>
      </c>
      <c r="Q120">
        <v>63</v>
      </c>
      <c r="R120" s="4" t="s">
        <v>158</v>
      </c>
      <c r="S120">
        <v>29.35</v>
      </c>
      <c r="T120">
        <v>1849.05</v>
      </c>
      <c r="U120">
        <v>1478.61</v>
      </c>
      <c r="V120" s="4" t="s">
        <v>30</v>
      </c>
    </row>
    <row r="121" spans="1:22" x14ac:dyDescent="0.2">
      <c r="A121" s="4" t="s">
        <v>304</v>
      </c>
      <c r="B121">
        <v>120</v>
      </c>
      <c r="C121" s="4" t="s">
        <v>26</v>
      </c>
      <c r="D121" s="4" t="s">
        <v>35</v>
      </c>
      <c r="E121" s="4" t="s">
        <v>38</v>
      </c>
      <c r="F121" s="4" t="s">
        <v>85</v>
      </c>
      <c r="G121">
        <v>5</v>
      </c>
      <c r="H121">
        <v>24</v>
      </c>
      <c r="I121" s="4" t="s">
        <v>1030</v>
      </c>
      <c r="J121" s="4" t="s">
        <v>956</v>
      </c>
      <c r="K121" s="4" t="s">
        <v>112</v>
      </c>
      <c r="L121" s="4" t="s">
        <v>113</v>
      </c>
      <c r="M121" s="4" t="s">
        <v>108</v>
      </c>
      <c r="N121" s="4" t="s">
        <v>122</v>
      </c>
      <c r="O121" s="4" t="s">
        <v>123</v>
      </c>
      <c r="P121">
        <v>9</v>
      </c>
      <c r="Q121">
        <v>9</v>
      </c>
      <c r="R121" s="4" t="s">
        <v>158</v>
      </c>
      <c r="S121">
        <v>29.35</v>
      </c>
      <c r="T121">
        <v>264.14999999999998</v>
      </c>
      <c r="U121">
        <v>211.23</v>
      </c>
      <c r="V121" s="4" t="s">
        <v>30</v>
      </c>
    </row>
    <row r="122" spans="1:22" x14ac:dyDescent="0.2">
      <c r="A122" s="4" t="s">
        <v>305</v>
      </c>
      <c r="B122">
        <v>121</v>
      </c>
      <c r="C122" s="4" t="s">
        <v>26</v>
      </c>
      <c r="D122" s="4" t="s">
        <v>35</v>
      </c>
      <c r="E122" s="4" t="s">
        <v>38</v>
      </c>
      <c r="F122" s="4" t="s">
        <v>85</v>
      </c>
      <c r="G122">
        <v>5</v>
      </c>
      <c r="H122">
        <v>24</v>
      </c>
      <c r="I122" s="4" t="s">
        <v>1029</v>
      </c>
      <c r="J122" s="4" t="s">
        <v>962</v>
      </c>
      <c r="K122" s="4" t="s">
        <v>112</v>
      </c>
      <c r="L122" s="4" t="s">
        <v>113</v>
      </c>
      <c r="M122" s="4" t="s">
        <v>108</v>
      </c>
      <c r="N122" s="4" t="s">
        <v>131</v>
      </c>
      <c r="O122" s="4" t="s">
        <v>132</v>
      </c>
      <c r="P122">
        <v>22</v>
      </c>
      <c r="Q122">
        <v>22</v>
      </c>
      <c r="R122" s="4" t="s">
        <v>158</v>
      </c>
      <c r="S122">
        <v>68.44</v>
      </c>
      <c r="T122">
        <v>1505.68</v>
      </c>
      <c r="U122">
        <v>1340.46</v>
      </c>
      <c r="V122" s="4" t="s">
        <v>30</v>
      </c>
    </row>
    <row r="123" spans="1:22" x14ac:dyDescent="0.2">
      <c r="A123" s="4" t="s">
        <v>306</v>
      </c>
      <c r="B123">
        <v>122</v>
      </c>
      <c r="C123" s="4" t="s">
        <v>26</v>
      </c>
      <c r="D123" s="4" t="s">
        <v>35</v>
      </c>
      <c r="E123" s="4" t="s">
        <v>38</v>
      </c>
      <c r="F123" s="4" t="s">
        <v>85</v>
      </c>
      <c r="G123">
        <v>5</v>
      </c>
      <c r="H123">
        <v>24</v>
      </c>
      <c r="I123" s="4" t="s">
        <v>1030</v>
      </c>
      <c r="J123" s="4" t="s">
        <v>962</v>
      </c>
      <c r="K123" s="4" t="s">
        <v>112</v>
      </c>
      <c r="L123" s="4" t="s">
        <v>113</v>
      </c>
      <c r="M123" s="4" t="s">
        <v>108</v>
      </c>
      <c r="N123" s="4" t="s">
        <v>131</v>
      </c>
      <c r="O123" s="4" t="s">
        <v>132</v>
      </c>
      <c r="P123">
        <v>25</v>
      </c>
      <c r="Q123">
        <v>25</v>
      </c>
      <c r="R123" s="4" t="s">
        <v>158</v>
      </c>
      <c r="S123">
        <v>68.44</v>
      </c>
      <c r="T123">
        <v>1711</v>
      </c>
      <c r="U123">
        <v>1523.25</v>
      </c>
      <c r="V123" s="4" t="s">
        <v>30</v>
      </c>
    </row>
    <row r="124" spans="1:22" x14ac:dyDescent="0.2">
      <c r="A124" s="4" t="s">
        <v>307</v>
      </c>
      <c r="B124">
        <v>123</v>
      </c>
      <c r="C124" s="4" t="s">
        <v>26</v>
      </c>
      <c r="D124" s="4" t="s">
        <v>35</v>
      </c>
      <c r="E124" s="4" t="s">
        <v>38</v>
      </c>
      <c r="F124" s="4" t="s">
        <v>85</v>
      </c>
      <c r="G124">
        <v>5</v>
      </c>
      <c r="H124">
        <v>24</v>
      </c>
      <c r="I124" s="4" t="s">
        <v>1031</v>
      </c>
      <c r="J124" s="4" t="s">
        <v>956</v>
      </c>
      <c r="K124" s="4" t="s">
        <v>114</v>
      </c>
      <c r="L124" s="4" t="s">
        <v>115</v>
      </c>
      <c r="M124" s="4" t="s">
        <v>108</v>
      </c>
      <c r="N124" s="4" t="s">
        <v>127</v>
      </c>
      <c r="O124" s="4" t="s">
        <v>128</v>
      </c>
      <c r="P124">
        <v>41</v>
      </c>
      <c r="Q124">
        <v>41</v>
      </c>
      <c r="R124" s="4" t="s">
        <v>158</v>
      </c>
      <c r="S124">
        <v>32.76</v>
      </c>
      <c r="T124">
        <v>1343.16</v>
      </c>
      <c r="U124">
        <v>1080.76</v>
      </c>
      <c r="V124" s="4" t="s">
        <v>30</v>
      </c>
    </row>
    <row r="125" spans="1:22" x14ac:dyDescent="0.2">
      <c r="A125" s="4" t="s">
        <v>308</v>
      </c>
      <c r="B125">
        <v>124</v>
      </c>
      <c r="C125" s="4" t="s">
        <v>26</v>
      </c>
      <c r="D125" s="4" t="s">
        <v>35</v>
      </c>
      <c r="E125" s="4" t="s">
        <v>38</v>
      </c>
      <c r="F125" s="4" t="s">
        <v>85</v>
      </c>
      <c r="G125">
        <v>5</v>
      </c>
      <c r="H125">
        <v>24</v>
      </c>
      <c r="I125" s="4" t="s">
        <v>1032</v>
      </c>
      <c r="J125" s="4" t="s">
        <v>956</v>
      </c>
      <c r="K125" s="4" t="s">
        <v>114</v>
      </c>
      <c r="L125" s="4" t="s">
        <v>115</v>
      </c>
      <c r="M125" s="4" t="s">
        <v>108</v>
      </c>
      <c r="N125" s="4" t="s">
        <v>127</v>
      </c>
      <c r="O125" s="4" t="s">
        <v>128</v>
      </c>
      <c r="P125">
        <v>63</v>
      </c>
      <c r="Q125">
        <v>63</v>
      </c>
      <c r="R125" s="4" t="s">
        <v>158</v>
      </c>
      <c r="S125">
        <v>32.76</v>
      </c>
      <c r="T125">
        <v>2063.88</v>
      </c>
      <c r="U125">
        <v>1660.68</v>
      </c>
      <c r="V125" s="4" t="s">
        <v>30</v>
      </c>
    </row>
    <row r="126" spans="1:22" x14ac:dyDescent="0.2">
      <c r="A126" s="4" t="s">
        <v>309</v>
      </c>
      <c r="B126">
        <v>125</v>
      </c>
      <c r="C126" s="4" t="s">
        <v>26</v>
      </c>
      <c r="D126" s="4" t="s">
        <v>35</v>
      </c>
      <c r="E126" s="4" t="s">
        <v>38</v>
      </c>
      <c r="F126" s="4" t="s">
        <v>85</v>
      </c>
      <c r="G126">
        <v>5</v>
      </c>
      <c r="H126">
        <v>24</v>
      </c>
      <c r="I126" s="4" t="s">
        <v>1032</v>
      </c>
      <c r="J126" s="4" t="s">
        <v>962</v>
      </c>
      <c r="K126" s="4" t="s">
        <v>114</v>
      </c>
      <c r="L126" s="4" t="s">
        <v>115</v>
      </c>
      <c r="M126" s="4" t="s">
        <v>108</v>
      </c>
      <c r="N126" s="4" t="s">
        <v>129</v>
      </c>
      <c r="O126" s="4" t="s">
        <v>130</v>
      </c>
      <c r="P126">
        <v>22</v>
      </c>
      <c r="Q126">
        <v>22</v>
      </c>
      <c r="R126" s="4" t="s">
        <v>158</v>
      </c>
      <c r="S126">
        <v>96.4</v>
      </c>
      <c r="T126">
        <v>2120.8000000000002</v>
      </c>
      <c r="U126">
        <v>1855.26</v>
      </c>
      <c r="V126" s="4" t="s">
        <v>30</v>
      </c>
    </row>
    <row r="127" spans="1:22" x14ac:dyDescent="0.2">
      <c r="A127" s="4" t="s">
        <v>310</v>
      </c>
      <c r="B127">
        <v>126</v>
      </c>
      <c r="C127" s="4" t="s">
        <v>26</v>
      </c>
      <c r="D127" s="4" t="s">
        <v>35</v>
      </c>
      <c r="E127" s="4" t="s">
        <v>38</v>
      </c>
      <c r="F127" s="4" t="s">
        <v>85</v>
      </c>
      <c r="G127">
        <v>5</v>
      </c>
      <c r="H127">
        <v>24</v>
      </c>
      <c r="I127" s="4" t="s">
        <v>1032</v>
      </c>
      <c r="J127" s="4" t="s">
        <v>964</v>
      </c>
      <c r="K127" s="4" t="s">
        <v>114</v>
      </c>
      <c r="L127" s="4" t="s">
        <v>115</v>
      </c>
      <c r="M127" s="4" t="s">
        <v>108</v>
      </c>
      <c r="N127" s="4" t="s">
        <v>131</v>
      </c>
      <c r="O127" s="4" t="s">
        <v>132</v>
      </c>
      <c r="P127">
        <v>24</v>
      </c>
      <c r="Q127">
        <v>24</v>
      </c>
      <c r="R127" s="4" t="s">
        <v>158</v>
      </c>
      <c r="S127">
        <v>68.44</v>
      </c>
      <c r="T127">
        <v>1642.56</v>
      </c>
      <c r="U127">
        <v>1462.32</v>
      </c>
      <c r="V127" s="4" t="s">
        <v>30</v>
      </c>
    </row>
    <row r="128" spans="1:22" x14ac:dyDescent="0.2">
      <c r="A128" s="4" t="s">
        <v>311</v>
      </c>
      <c r="B128">
        <v>127</v>
      </c>
      <c r="C128" s="4" t="s">
        <v>26</v>
      </c>
      <c r="D128" s="4" t="s">
        <v>35</v>
      </c>
      <c r="E128" s="4" t="s">
        <v>38</v>
      </c>
      <c r="F128" s="4" t="s">
        <v>85</v>
      </c>
      <c r="G128">
        <v>5</v>
      </c>
      <c r="H128">
        <v>24</v>
      </c>
      <c r="I128" s="4" t="s">
        <v>1033</v>
      </c>
      <c r="J128" s="4" t="s">
        <v>962</v>
      </c>
      <c r="K128" s="4" t="s">
        <v>116</v>
      </c>
      <c r="L128" s="4" t="s">
        <v>117</v>
      </c>
      <c r="M128" s="4" t="s">
        <v>108</v>
      </c>
      <c r="N128" s="4" t="s">
        <v>122</v>
      </c>
      <c r="O128" s="4" t="s">
        <v>123</v>
      </c>
      <c r="P128">
        <v>75</v>
      </c>
      <c r="Q128">
        <v>75</v>
      </c>
      <c r="R128" s="4" t="s">
        <v>158</v>
      </c>
      <c r="S128">
        <v>29.35</v>
      </c>
      <c r="T128">
        <v>2201.25</v>
      </c>
      <c r="U128">
        <v>1760.25</v>
      </c>
      <c r="V128" s="4" t="s">
        <v>30</v>
      </c>
    </row>
    <row r="129" spans="1:22" x14ac:dyDescent="0.2">
      <c r="A129" s="4" t="s">
        <v>312</v>
      </c>
      <c r="B129">
        <v>128</v>
      </c>
      <c r="C129" s="4" t="s">
        <v>26</v>
      </c>
      <c r="D129" s="4" t="s">
        <v>35</v>
      </c>
      <c r="E129" s="4" t="s">
        <v>38</v>
      </c>
      <c r="F129" s="4" t="s">
        <v>85</v>
      </c>
      <c r="G129">
        <v>5</v>
      </c>
      <c r="H129">
        <v>24</v>
      </c>
      <c r="I129" s="4" t="s">
        <v>1033</v>
      </c>
      <c r="J129" s="4" t="s">
        <v>956</v>
      </c>
      <c r="K129" s="4" t="s">
        <v>116</v>
      </c>
      <c r="L129" s="4" t="s">
        <v>117</v>
      </c>
      <c r="M129" s="4" t="s">
        <v>108</v>
      </c>
      <c r="N129" s="4" t="s">
        <v>129</v>
      </c>
      <c r="O129" s="4" t="s">
        <v>130</v>
      </c>
      <c r="P129">
        <v>22</v>
      </c>
      <c r="Q129">
        <v>22</v>
      </c>
      <c r="R129" s="4" t="s">
        <v>158</v>
      </c>
      <c r="S129">
        <v>96.4</v>
      </c>
      <c r="T129">
        <v>2120.8000000000002</v>
      </c>
      <c r="U129">
        <v>1855.26</v>
      </c>
      <c r="V129" s="4" t="s">
        <v>30</v>
      </c>
    </row>
    <row r="130" spans="1:22" x14ac:dyDescent="0.2">
      <c r="A130" s="4" t="s">
        <v>313</v>
      </c>
      <c r="B130">
        <v>129</v>
      </c>
      <c r="C130" s="4" t="s">
        <v>26</v>
      </c>
      <c r="D130" s="4" t="s">
        <v>35</v>
      </c>
      <c r="E130" s="4" t="s">
        <v>38</v>
      </c>
      <c r="F130" s="4" t="s">
        <v>85</v>
      </c>
      <c r="G130">
        <v>5</v>
      </c>
      <c r="H130">
        <v>24</v>
      </c>
      <c r="I130" s="4" t="s">
        <v>1034</v>
      </c>
      <c r="J130" s="4" t="s">
        <v>956</v>
      </c>
      <c r="K130" s="4" t="s">
        <v>116</v>
      </c>
      <c r="L130" s="4" t="s">
        <v>117</v>
      </c>
      <c r="M130" s="4" t="s">
        <v>108</v>
      </c>
      <c r="N130" s="4" t="s">
        <v>133</v>
      </c>
      <c r="O130" s="4" t="s">
        <v>134</v>
      </c>
      <c r="P130">
        <v>35</v>
      </c>
      <c r="Q130">
        <v>35</v>
      </c>
      <c r="R130" s="4" t="s">
        <v>158</v>
      </c>
      <c r="S130">
        <v>50</v>
      </c>
      <c r="T130">
        <v>1750</v>
      </c>
      <c r="U130">
        <v>1533.7</v>
      </c>
      <c r="V130" s="4" t="s">
        <v>30</v>
      </c>
    </row>
    <row r="131" spans="1:22" x14ac:dyDescent="0.2">
      <c r="A131" s="4" t="s">
        <v>314</v>
      </c>
      <c r="B131">
        <v>130</v>
      </c>
      <c r="C131" s="4" t="s">
        <v>26</v>
      </c>
      <c r="D131" s="4" t="s">
        <v>35</v>
      </c>
      <c r="E131" s="4" t="s">
        <v>41</v>
      </c>
      <c r="F131" s="4" t="s">
        <v>87</v>
      </c>
      <c r="G131">
        <v>5</v>
      </c>
      <c r="H131">
        <v>25</v>
      </c>
      <c r="I131" s="4" t="s">
        <v>1035</v>
      </c>
      <c r="J131" s="4" t="s">
        <v>962</v>
      </c>
      <c r="K131" s="4" t="s">
        <v>112</v>
      </c>
      <c r="L131" s="4" t="s">
        <v>113</v>
      </c>
      <c r="M131" s="4" t="s">
        <v>108</v>
      </c>
      <c r="N131" s="4" t="s">
        <v>122</v>
      </c>
      <c r="O131" s="4" t="s">
        <v>123</v>
      </c>
      <c r="P131">
        <v>11</v>
      </c>
      <c r="Q131">
        <v>11</v>
      </c>
      <c r="R131" s="4" t="s">
        <v>158</v>
      </c>
      <c r="S131">
        <v>29.35</v>
      </c>
      <c r="T131">
        <v>322.85000000000002</v>
      </c>
      <c r="U131">
        <v>258.17</v>
      </c>
      <c r="V131" s="4" t="s">
        <v>30</v>
      </c>
    </row>
    <row r="132" spans="1:22" x14ac:dyDescent="0.2">
      <c r="A132" s="4" t="s">
        <v>315</v>
      </c>
      <c r="B132">
        <v>131</v>
      </c>
      <c r="C132" s="4" t="s">
        <v>26</v>
      </c>
      <c r="D132" s="4" t="s">
        <v>35</v>
      </c>
      <c r="E132" s="4" t="s">
        <v>41</v>
      </c>
      <c r="F132" s="4" t="s">
        <v>87</v>
      </c>
      <c r="G132">
        <v>5</v>
      </c>
      <c r="H132">
        <v>25</v>
      </c>
      <c r="I132" s="4" t="s">
        <v>1035</v>
      </c>
      <c r="J132" s="4" t="s">
        <v>964</v>
      </c>
      <c r="K132" s="4" t="s">
        <v>112</v>
      </c>
      <c r="L132" s="4" t="s">
        <v>113</v>
      </c>
      <c r="M132" s="4" t="s">
        <v>108</v>
      </c>
      <c r="N132" s="4" t="s">
        <v>125</v>
      </c>
      <c r="O132" s="4" t="s">
        <v>126</v>
      </c>
      <c r="P132">
        <v>29</v>
      </c>
      <c r="Q132">
        <v>29</v>
      </c>
      <c r="R132" s="4" t="s">
        <v>158</v>
      </c>
      <c r="S132">
        <v>80.680000000000007</v>
      </c>
      <c r="T132">
        <v>2339.7199999999998</v>
      </c>
      <c r="U132">
        <v>2124.54</v>
      </c>
      <c r="V132" s="4" t="s">
        <v>30</v>
      </c>
    </row>
    <row r="133" spans="1:22" x14ac:dyDescent="0.2">
      <c r="A133" s="4" t="s">
        <v>316</v>
      </c>
      <c r="B133">
        <v>132</v>
      </c>
      <c r="C133" s="4" t="s">
        <v>26</v>
      </c>
      <c r="D133" s="4" t="s">
        <v>35</v>
      </c>
      <c r="E133" s="4" t="s">
        <v>41</v>
      </c>
      <c r="F133" s="4" t="s">
        <v>87</v>
      </c>
      <c r="G133">
        <v>5</v>
      </c>
      <c r="H133">
        <v>25</v>
      </c>
      <c r="I133" s="4" t="s">
        <v>1035</v>
      </c>
      <c r="J133" s="4" t="s">
        <v>956</v>
      </c>
      <c r="K133" s="4" t="s">
        <v>112</v>
      </c>
      <c r="L133" s="4" t="s">
        <v>113</v>
      </c>
      <c r="M133" s="4" t="s">
        <v>108</v>
      </c>
      <c r="N133" s="4" t="s">
        <v>131</v>
      </c>
      <c r="O133" s="4" t="s">
        <v>132</v>
      </c>
      <c r="P133">
        <v>13</v>
      </c>
      <c r="Q133">
        <v>13</v>
      </c>
      <c r="R133" s="4" t="s">
        <v>158</v>
      </c>
      <c r="S133">
        <v>68.44</v>
      </c>
      <c r="T133">
        <v>889.72</v>
      </c>
      <c r="U133">
        <v>792.09</v>
      </c>
      <c r="V133" s="4" t="s">
        <v>30</v>
      </c>
    </row>
    <row r="134" spans="1:22" x14ac:dyDescent="0.2">
      <c r="A134" s="4" t="s">
        <v>317</v>
      </c>
      <c r="B134">
        <v>133</v>
      </c>
      <c r="C134" s="4" t="s">
        <v>26</v>
      </c>
      <c r="D134" s="4" t="s">
        <v>35</v>
      </c>
      <c r="E134" s="4" t="s">
        <v>41</v>
      </c>
      <c r="F134" s="4" t="s">
        <v>87</v>
      </c>
      <c r="G134">
        <v>5</v>
      </c>
      <c r="H134">
        <v>25</v>
      </c>
      <c r="I134" s="4" t="s">
        <v>1037</v>
      </c>
      <c r="J134" s="4" t="s">
        <v>956</v>
      </c>
      <c r="K134" s="4" t="s">
        <v>114</v>
      </c>
      <c r="L134" s="4" t="s">
        <v>115</v>
      </c>
      <c r="M134" s="4" t="s">
        <v>108</v>
      </c>
      <c r="N134" s="4" t="s">
        <v>131</v>
      </c>
      <c r="O134" s="4" t="s">
        <v>132</v>
      </c>
      <c r="P134">
        <v>29</v>
      </c>
      <c r="Q134">
        <v>29</v>
      </c>
      <c r="R134" s="4" t="s">
        <v>158</v>
      </c>
      <c r="S134">
        <v>68.44</v>
      </c>
      <c r="T134">
        <v>1984.76</v>
      </c>
      <c r="U134">
        <v>1766.97</v>
      </c>
      <c r="V134" s="4" t="s">
        <v>30</v>
      </c>
    </row>
    <row r="135" spans="1:22" x14ac:dyDescent="0.2">
      <c r="A135" s="4" t="s">
        <v>318</v>
      </c>
      <c r="B135">
        <v>134</v>
      </c>
      <c r="C135" s="4" t="s">
        <v>26</v>
      </c>
      <c r="D135" s="4" t="s">
        <v>35</v>
      </c>
      <c r="E135" s="4" t="s">
        <v>41</v>
      </c>
      <c r="F135" s="4" t="s">
        <v>87</v>
      </c>
      <c r="G135">
        <v>5</v>
      </c>
      <c r="H135">
        <v>25</v>
      </c>
      <c r="I135" s="4" t="s">
        <v>1036</v>
      </c>
      <c r="J135" s="4" t="s">
        <v>956</v>
      </c>
      <c r="K135" s="4" t="s">
        <v>114</v>
      </c>
      <c r="L135" s="4" t="s">
        <v>115</v>
      </c>
      <c r="M135" s="4" t="s">
        <v>108</v>
      </c>
      <c r="N135" s="4" t="s">
        <v>131</v>
      </c>
      <c r="O135" s="4" t="s">
        <v>132</v>
      </c>
      <c r="P135">
        <v>17</v>
      </c>
      <c r="Q135">
        <v>17</v>
      </c>
      <c r="R135" s="4" t="s">
        <v>158</v>
      </c>
      <c r="S135">
        <v>68.44</v>
      </c>
      <c r="T135">
        <v>1163.48</v>
      </c>
      <c r="U135">
        <v>1035.81</v>
      </c>
      <c r="V135" s="4" t="s">
        <v>30</v>
      </c>
    </row>
    <row r="136" spans="1:22" x14ac:dyDescent="0.2">
      <c r="A136" s="4" t="s">
        <v>319</v>
      </c>
      <c r="B136">
        <v>135</v>
      </c>
      <c r="C136" s="4" t="s">
        <v>26</v>
      </c>
      <c r="D136" s="4" t="s">
        <v>35</v>
      </c>
      <c r="E136" s="4" t="s">
        <v>41</v>
      </c>
      <c r="F136" s="4" t="s">
        <v>87</v>
      </c>
      <c r="G136">
        <v>5</v>
      </c>
      <c r="H136">
        <v>25</v>
      </c>
      <c r="I136" s="4" t="s">
        <v>1037</v>
      </c>
      <c r="J136" s="4" t="s">
        <v>962</v>
      </c>
      <c r="K136" s="4" t="s">
        <v>114</v>
      </c>
      <c r="L136" s="4" t="s">
        <v>115</v>
      </c>
      <c r="M136" s="4" t="s">
        <v>108</v>
      </c>
      <c r="N136" s="4" t="s">
        <v>133</v>
      </c>
      <c r="O136" s="4" t="s">
        <v>134</v>
      </c>
      <c r="P136">
        <v>39</v>
      </c>
      <c r="Q136">
        <v>39</v>
      </c>
      <c r="R136" s="4" t="s">
        <v>158</v>
      </c>
      <c r="S136">
        <v>50</v>
      </c>
      <c r="T136">
        <v>1950</v>
      </c>
      <c r="U136">
        <v>1708.98</v>
      </c>
      <c r="V136" s="4" t="s">
        <v>30</v>
      </c>
    </row>
    <row r="137" spans="1:22" x14ac:dyDescent="0.2">
      <c r="A137" s="4" t="s">
        <v>320</v>
      </c>
      <c r="B137">
        <v>136</v>
      </c>
      <c r="C137" s="4" t="s">
        <v>26</v>
      </c>
      <c r="D137" s="4" t="s">
        <v>35</v>
      </c>
      <c r="E137" s="4" t="s">
        <v>41</v>
      </c>
      <c r="F137" s="4" t="s">
        <v>87</v>
      </c>
      <c r="G137">
        <v>5</v>
      </c>
      <c r="H137">
        <v>25</v>
      </c>
      <c r="I137" s="4" t="s">
        <v>1038</v>
      </c>
      <c r="J137" s="4" t="s">
        <v>956</v>
      </c>
      <c r="K137" s="4" t="s">
        <v>116</v>
      </c>
      <c r="L137" s="4" t="s">
        <v>117</v>
      </c>
      <c r="M137" s="4" t="s">
        <v>108</v>
      </c>
      <c r="N137" s="4" t="s">
        <v>133</v>
      </c>
      <c r="O137" s="4" t="s">
        <v>134</v>
      </c>
      <c r="P137">
        <v>5</v>
      </c>
      <c r="Q137">
        <v>5</v>
      </c>
      <c r="R137" s="4" t="s">
        <v>158</v>
      </c>
      <c r="S137">
        <v>50</v>
      </c>
      <c r="T137">
        <v>250</v>
      </c>
      <c r="U137">
        <v>219.1</v>
      </c>
      <c r="V137" s="4" t="s">
        <v>30</v>
      </c>
    </row>
    <row r="138" spans="1:22" x14ac:dyDescent="0.2">
      <c r="A138" s="4" t="s">
        <v>321</v>
      </c>
      <c r="B138">
        <v>137</v>
      </c>
      <c r="C138" s="4" t="s">
        <v>26</v>
      </c>
      <c r="D138" s="4" t="s">
        <v>35</v>
      </c>
      <c r="E138" s="4" t="s">
        <v>44</v>
      </c>
      <c r="F138" s="4" t="s">
        <v>89</v>
      </c>
      <c r="G138">
        <v>6</v>
      </c>
      <c r="H138">
        <v>26</v>
      </c>
      <c r="I138" s="4" t="s">
        <v>1039</v>
      </c>
      <c r="J138" s="4" t="s">
        <v>962</v>
      </c>
      <c r="K138" s="4" t="s">
        <v>112</v>
      </c>
      <c r="L138" s="4" t="s">
        <v>113</v>
      </c>
      <c r="M138" s="4" t="s">
        <v>108</v>
      </c>
      <c r="N138" s="4" t="s">
        <v>122</v>
      </c>
      <c r="O138" s="4" t="s">
        <v>123</v>
      </c>
      <c r="P138">
        <v>70</v>
      </c>
      <c r="Q138">
        <v>70</v>
      </c>
      <c r="R138" s="4" t="s">
        <v>158</v>
      </c>
      <c r="S138">
        <v>29.35</v>
      </c>
      <c r="T138">
        <v>2054.5</v>
      </c>
      <c r="U138">
        <v>1642.9</v>
      </c>
      <c r="V138" s="4" t="s">
        <v>30</v>
      </c>
    </row>
    <row r="139" spans="1:22" x14ac:dyDescent="0.2">
      <c r="A139" s="4" t="s">
        <v>322</v>
      </c>
      <c r="B139">
        <v>138</v>
      </c>
      <c r="C139" s="4" t="s">
        <v>26</v>
      </c>
      <c r="D139" s="4" t="s">
        <v>35</v>
      </c>
      <c r="E139" s="4" t="s">
        <v>44</v>
      </c>
      <c r="F139" s="4" t="s">
        <v>89</v>
      </c>
      <c r="G139">
        <v>6</v>
      </c>
      <c r="H139">
        <v>26</v>
      </c>
      <c r="I139" s="4" t="s">
        <v>1040</v>
      </c>
      <c r="J139" s="4" t="s">
        <v>956</v>
      </c>
      <c r="K139" s="4" t="s">
        <v>112</v>
      </c>
      <c r="L139" s="4" t="s">
        <v>113</v>
      </c>
      <c r="M139" s="4" t="s">
        <v>108</v>
      </c>
      <c r="N139" s="4" t="s">
        <v>127</v>
      </c>
      <c r="O139" s="4" t="s">
        <v>128</v>
      </c>
      <c r="P139">
        <v>52</v>
      </c>
      <c r="Q139">
        <v>52</v>
      </c>
      <c r="R139" s="4" t="s">
        <v>158</v>
      </c>
      <c r="S139">
        <v>32.76</v>
      </c>
      <c r="T139">
        <v>1703.52</v>
      </c>
      <c r="U139">
        <v>1370.72</v>
      </c>
      <c r="V139" s="4" t="s">
        <v>30</v>
      </c>
    </row>
    <row r="140" spans="1:22" x14ac:dyDescent="0.2">
      <c r="A140" s="4" t="s">
        <v>323</v>
      </c>
      <c r="B140">
        <v>139</v>
      </c>
      <c r="C140" s="4" t="s">
        <v>26</v>
      </c>
      <c r="D140" s="4" t="s">
        <v>35</v>
      </c>
      <c r="E140" s="4" t="s">
        <v>44</v>
      </c>
      <c r="F140" s="4" t="s">
        <v>89</v>
      </c>
      <c r="G140">
        <v>6</v>
      </c>
      <c r="H140">
        <v>26</v>
      </c>
      <c r="I140" s="4" t="s">
        <v>1039</v>
      </c>
      <c r="J140" s="4" t="s">
        <v>956</v>
      </c>
      <c r="K140" s="4" t="s">
        <v>112</v>
      </c>
      <c r="L140" s="4" t="s">
        <v>113</v>
      </c>
      <c r="M140" s="4" t="s">
        <v>108</v>
      </c>
      <c r="N140" s="4" t="s">
        <v>133</v>
      </c>
      <c r="O140" s="4" t="s">
        <v>134</v>
      </c>
      <c r="P140">
        <v>46</v>
      </c>
      <c r="Q140">
        <v>46</v>
      </c>
      <c r="R140" s="4" t="s">
        <v>158</v>
      </c>
      <c r="S140">
        <v>50</v>
      </c>
      <c r="T140">
        <v>2300</v>
      </c>
      <c r="U140">
        <v>2015.72</v>
      </c>
      <c r="V140" s="4" t="s">
        <v>30</v>
      </c>
    </row>
    <row r="141" spans="1:22" x14ac:dyDescent="0.2">
      <c r="A141" s="4" t="s">
        <v>324</v>
      </c>
      <c r="B141">
        <v>140</v>
      </c>
      <c r="C141" s="4" t="s">
        <v>26</v>
      </c>
      <c r="D141" s="4" t="s">
        <v>35</v>
      </c>
      <c r="E141" s="4" t="s">
        <v>44</v>
      </c>
      <c r="F141" s="4" t="s">
        <v>89</v>
      </c>
      <c r="G141">
        <v>6</v>
      </c>
      <c r="H141">
        <v>26</v>
      </c>
      <c r="I141" s="4" t="s">
        <v>1041</v>
      </c>
      <c r="J141" s="4" t="s">
        <v>956</v>
      </c>
      <c r="K141" s="4" t="s">
        <v>114</v>
      </c>
      <c r="L141" s="4" t="s">
        <v>115</v>
      </c>
      <c r="M141" s="4" t="s">
        <v>108</v>
      </c>
      <c r="N141" s="4" t="s">
        <v>122</v>
      </c>
      <c r="O141" s="4" t="s">
        <v>123</v>
      </c>
      <c r="P141">
        <v>27</v>
      </c>
      <c r="Q141">
        <v>27</v>
      </c>
      <c r="R141" s="4" t="s">
        <v>158</v>
      </c>
      <c r="S141">
        <v>29.35</v>
      </c>
      <c r="T141">
        <v>792.45</v>
      </c>
      <c r="U141">
        <v>633.69000000000005</v>
      </c>
      <c r="V141" s="4" t="s">
        <v>30</v>
      </c>
    </row>
    <row r="142" spans="1:22" x14ac:dyDescent="0.2">
      <c r="A142" s="4" t="s">
        <v>325</v>
      </c>
      <c r="B142">
        <v>141</v>
      </c>
      <c r="C142" s="4" t="s">
        <v>26</v>
      </c>
      <c r="D142" s="4" t="s">
        <v>35</v>
      </c>
      <c r="E142" s="4" t="s">
        <v>47</v>
      </c>
      <c r="F142" s="4" t="s">
        <v>91</v>
      </c>
      <c r="G142">
        <v>6</v>
      </c>
      <c r="H142">
        <v>27</v>
      </c>
      <c r="I142" s="4" t="s">
        <v>1042</v>
      </c>
      <c r="J142" s="4" t="s">
        <v>956</v>
      </c>
      <c r="K142" s="4" t="s">
        <v>112</v>
      </c>
      <c r="L142" s="4" t="s">
        <v>113</v>
      </c>
      <c r="M142" s="4" t="s">
        <v>108</v>
      </c>
      <c r="N142" s="4" t="s">
        <v>122</v>
      </c>
      <c r="O142" s="4" t="s">
        <v>123</v>
      </c>
      <c r="P142">
        <v>60</v>
      </c>
      <c r="Q142">
        <v>60</v>
      </c>
      <c r="R142" s="4" t="s">
        <v>158</v>
      </c>
      <c r="S142">
        <v>29.35</v>
      </c>
      <c r="T142">
        <v>1761</v>
      </c>
      <c r="U142">
        <v>1409.4</v>
      </c>
      <c r="V142" s="4" t="s">
        <v>30</v>
      </c>
    </row>
    <row r="143" spans="1:22" x14ac:dyDescent="0.2">
      <c r="A143" s="4" t="s">
        <v>326</v>
      </c>
      <c r="B143">
        <v>142</v>
      </c>
      <c r="C143" s="4" t="s">
        <v>26</v>
      </c>
      <c r="D143" s="4" t="s">
        <v>35</v>
      </c>
      <c r="E143" s="4" t="s">
        <v>47</v>
      </c>
      <c r="F143" s="4" t="s">
        <v>91</v>
      </c>
      <c r="G143">
        <v>6</v>
      </c>
      <c r="H143">
        <v>27</v>
      </c>
      <c r="I143" s="4" t="s">
        <v>1043</v>
      </c>
      <c r="J143" s="4" t="s">
        <v>962</v>
      </c>
      <c r="K143" s="4" t="s">
        <v>112</v>
      </c>
      <c r="L143" s="4" t="s">
        <v>113</v>
      </c>
      <c r="M143" s="4" t="s">
        <v>108</v>
      </c>
      <c r="N143" s="4" t="s">
        <v>122</v>
      </c>
      <c r="O143" s="4" t="s">
        <v>123</v>
      </c>
      <c r="P143">
        <v>81</v>
      </c>
      <c r="Q143">
        <v>81</v>
      </c>
      <c r="R143" s="4" t="s">
        <v>158</v>
      </c>
      <c r="S143">
        <v>29.35</v>
      </c>
      <c r="T143">
        <v>2377.35</v>
      </c>
      <c r="U143">
        <v>1902.69</v>
      </c>
      <c r="V143" s="4" t="s">
        <v>30</v>
      </c>
    </row>
    <row r="144" spans="1:22" x14ac:dyDescent="0.2">
      <c r="A144" s="4" t="s">
        <v>327</v>
      </c>
      <c r="B144">
        <v>143</v>
      </c>
      <c r="C144" s="4" t="s">
        <v>26</v>
      </c>
      <c r="D144" s="4" t="s">
        <v>35</v>
      </c>
      <c r="E144" s="4" t="s">
        <v>47</v>
      </c>
      <c r="F144" s="4" t="s">
        <v>91</v>
      </c>
      <c r="G144">
        <v>6</v>
      </c>
      <c r="H144">
        <v>27</v>
      </c>
      <c r="I144" s="4" t="s">
        <v>1043</v>
      </c>
      <c r="J144" s="4" t="s">
        <v>964</v>
      </c>
      <c r="K144" s="4" t="s">
        <v>112</v>
      </c>
      <c r="L144" s="4" t="s">
        <v>113</v>
      </c>
      <c r="M144" s="4" t="s">
        <v>108</v>
      </c>
      <c r="N144" s="4" t="s">
        <v>125</v>
      </c>
      <c r="O144" s="4" t="s">
        <v>126</v>
      </c>
      <c r="P144">
        <v>21</v>
      </c>
      <c r="Q144">
        <v>21</v>
      </c>
      <c r="R144" s="4" t="s">
        <v>158</v>
      </c>
      <c r="S144">
        <v>80.680000000000007</v>
      </c>
      <c r="T144">
        <v>1694.28</v>
      </c>
      <c r="U144">
        <v>1538.46</v>
      </c>
      <c r="V144" s="4" t="s">
        <v>30</v>
      </c>
    </row>
    <row r="145" spans="1:22" x14ac:dyDescent="0.2">
      <c r="A145" s="4" t="s">
        <v>328</v>
      </c>
      <c r="B145">
        <v>144</v>
      </c>
      <c r="C145" s="4" t="s">
        <v>26</v>
      </c>
      <c r="D145" s="4" t="s">
        <v>35</v>
      </c>
      <c r="E145" s="4" t="s">
        <v>47</v>
      </c>
      <c r="F145" s="4" t="s">
        <v>91</v>
      </c>
      <c r="G145">
        <v>6</v>
      </c>
      <c r="H145">
        <v>27</v>
      </c>
      <c r="I145" s="4" t="s">
        <v>1043</v>
      </c>
      <c r="J145" s="4" t="s">
        <v>956</v>
      </c>
      <c r="K145" s="4" t="s">
        <v>112</v>
      </c>
      <c r="L145" s="4" t="s">
        <v>113</v>
      </c>
      <c r="M145" s="4" t="s">
        <v>108</v>
      </c>
      <c r="N145" s="4" t="s">
        <v>127</v>
      </c>
      <c r="O145" s="4" t="s">
        <v>128</v>
      </c>
      <c r="P145">
        <v>54</v>
      </c>
      <c r="Q145">
        <v>54</v>
      </c>
      <c r="R145" s="4" t="s">
        <v>158</v>
      </c>
      <c r="S145">
        <v>32.76</v>
      </c>
      <c r="T145">
        <v>1769.04</v>
      </c>
      <c r="U145">
        <v>1426.14</v>
      </c>
      <c r="V145" s="4" t="s">
        <v>30</v>
      </c>
    </row>
    <row r="146" spans="1:22" x14ac:dyDescent="0.2">
      <c r="A146" s="4" t="s">
        <v>329</v>
      </c>
      <c r="B146">
        <v>145</v>
      </c>
      <c r="C146" s="4" t="s">
        <v>26</v>
      </c>
      <c r="D146" s="4" t="s">
        <v>35</v>
      </c>
      <c r="E146" s="4" t="s">
        <v>47</v>
      </c>
      <c r="F146" s="4" t="s">
        <v>91</v>
      </c>
      <c r="G146">
        <v>6</v>
      </c>
      <c r="H146">
        <v>27</v>
      </c>
      <c r="I146" s="4" t="s">
        <v>1044</v>
      </c>
      <c r="J146" s="4" t="s">
        <v>956</v>
      </c>
      <c r="K146" s="4" t="s">
        <v>114</v>
      </c>
      <c r="L146" s="4" t="s">
        <v>115</v>
      </c>
      <c r="M146" s="4" t="s">
        <v>108</v>
      </c>
      <c r="N146" s="4" t="s">
        <v>127</v>
      </c>
      <c r="O146" s="4" t="s">
        <v>128</v>
      </c>
      <c r="P146">
        <v>74</v>
      </c>
      <c r="Q146">
        <v>74</v>
      </c>
      <c r="R146" s="4" t="s">
        <v>158</v>
      </c>
      <c r="S146">
        <v>32.76</v>
      </c>
      <c r="T146">
        <v>2424.2399999999998</v>
      </c>
      <c r="U146">
        <v>1954.34</v>
      </c>
      <c r="V146" s="4" t="s">
        <v>30</v>
      </c>
    </row>
    <row r="147" spans="1:22" x14ac:dyDescent="0.2">
      <c r="A147" s="4" t="s">
        <v>330</v>
      </c>
      <c r="B147">
        <v>146</v>
      </c>
      <c r="C147" s="4" t="s">
        <v>26</v>
      </c>
      <c r="D147" s="4" t="s">
        <v>35</v>
      </c>
      <c r="E147" s="4" t="s">
        <v>47</v>
      </c>
      <c r="F147" s="4" t="s">
        <v>91</v>
      </c>
      <c r="G147">
        <v>6</v>
      </c>
      <c r="H147">
        <v>27</v>
      </c>
      <c r="I147" s="4" t="s">
        <v>1044</v>
      </c>
      <c r="J147" s="4" t="s">
        <v>962</v>
      </c>
      <c r="K147" s="4" t="s">
        <v>114</v>
      </c>
      <c r="L147" s="4" t="s">
        <v>115</v>
      </c>
      <c r="M147" s="4" t="s">
        <v>108</v>
      </c>
      <c r="N147" s="4" t="s">
        <v>127</v>
      </c>
      <c r="O147" s="4" t="s">
        <v>128</v>
      </c>
      <c r="P147">
        <v>35</v>
      </c>
      <c r="Q147">
        <v>35</v>
      </c>
      <c r="R147" s="4" t="s">
        <v>158</v>
      </c>
      <c r="S147">
        <v>32.76</v>
      </c>
      <c r="T147">
        <v>1146.5999999999999</v>
      </c>
      <c r="U147">
        <v>924.35</v>
      </c>
      <c r="V147" s="4" t="s">
        <v>30</v>
      </c>
    </row>
    <row r="148" spans="1:22" x14ac:dyDescent="0.2">
      <c r="A148" s="4" t="s">
        <v>331</v>
      </c>
      <c r="B148">
        <v>147</v>
      </c>
      <c r="C148" s="4" t="s">
        <v>26</v>
      </c>
      <c r="D148" s="4" t="s">
        <v>35</v>
      </c>
      <c r="E148" s="4" t="s">
        <v>47</v>
      </c>
      <c r="F148" s="4" t="s">
        <v>91</v>
      </c>
      <c r="G148">
        <v>6</v>
      </c>
      <c r="H148">
        <v>27</v>
      </c>
      <c r="I148" s="4" t="s">
        <v>1044</v>
      </c>
      <c r="J148" s="4" t="s">
        <v>1005</v>
      </c>
      <c r="K148" s="4" t="s">
        <v>114</v>
      </c>
      <c r="L148" s="4" t="s">
        <v>115</v>
      </c>
      <c r="M148" s="4" t="s">
        <v>108</v>
      </c>
      <c r="N148" s="4" t="s">
        <v>131</v>
      </c>
      <c r="O148" s="4" t="s">
        <v>132</v>
      </c>
      <c r="P148">
        <v>26</v>
      </c>
      <c r="Q148">
        <v>26</v>
      </c>
      <c r="R148" s="4" t="s">
        <v>158</v>
      </c>
      <c r="S148">
        <v>68.44</v>
      </c>
      <c r="T148">
        <v>1779.44</v>
      </c>
      <c r="U148">
        <v>1587.56</v>
      </c>
      <c r="V148" s="4" t="s">
        <v>30</v>
      </c>
    </row>
    <row r="149" spans="1:22" x14ac:dyDescent="0.2">
      <c r="A149" s="4" t="s">
        <v>332</v>
      </c>
      <c r="B149">
        <v>148</v>
      </c>
      <c r="C149" s="4" t="s">
        <v>26</v>
      </c>
      <c r="D149" s="4" t="s">
        <v>35</v>
      </c>
      <c r="E149" s="4" t="s">
        <v>47</v>
      </c>
      <c r="F149" s="4" t="s">
        <v>91</v>
      </c>
      <c r="G149">
        <v>6</v>
      </c>
      <c r="H149">
        <v>27</v>
      </c>
      <c r="I149" s="4" t="s">
        <v>1044</v>
      </c>
      <c r="J149" s="4" t="s">
        <v>1006</v>
      </c>
      <c r="K149" s="4" t="s">
        <v>114</v>
      </c>
      <c r="L149" s="4" t="s">
        <v>115</v>
      </c>
      <c r="M149" s="4" t="s">
        <v>108</v>
      </c>
      <c r="N149" s="4" t="s">
        <v>131</v>
      </c>
      <c r="O149" s="4" t="s">
        <v>132</v>
      </c>
      <c r="P149">
        <v>30</v>
      </c>
      <c r="Q149">
        <v>30</v>
      </c>
      <c r="R149" s="4" t="s">
        <v>158</v>
      </c>
      <c r="S149">
        <v>68.44</v>
      </c>
      <c r="T149">
        <v>2053.1999999999998</v>
      </c>
      <c r="U149">
        <v>1831.8</v>
      </c>
      <c r="V149" s="4" t="s">
        <v>30</v>
      </c>
    </row>
    <row r="150" spans="1:22" x14ac:dyDescent="0.2">
      <c r="A150" s="4" t="s">
        <v>333</v>
      </c>
      <c r="B150">
        <v>149</v>
      </c>
      <c r="C150" s="4" t="s">
        <v>26</v>
      </c>
      <c r="D150" s="4" t="s">
        <v>35</v>
      </c>
      <c r="E150" s="4" t="s">
        <v>50</v>
      </c>
      <c r="F150" s="4" t="s">
        <v>93</v>
      </c>
      <c r="G150">
        <v>6</v>
      </c>
      <c r="H150">
        <v>28</v>
      </c>
      <c r="I150" s="4" t="s">
        <v>1045</v>
      </c>
      <c r="J150" s="4" t="s">
        <v>956</v>
      </c>
      <c r="K150" s="4" t="s">
        <v>112</v>
      </c>
      <c r="L150" s="4" t="s">
        <v>113</v>
      </c>
      <c r="M150" s="4" t="s">
        <v>108</v>
      </c>
      <c r="N150" s="4" t="s">
        <v>122</v>
      </c>
      <c r="O150" s="4" t="s">
        <v>123</v>
      </c>
      <c r="P150">
        <v>71</v>
      </c>
      <c r="Q150">
        <v>71</v>
      </c>
      <c r="R150" s="4" t="s">
        <v>158</v>
      </c>
      <c r="S150">
        <v>29.35</v>
      </c>
      <c r="T150">
        <v>2083.85</v>
      </c>
      <c r="U150">
        <v>1667.79</v>
      </c>
      <c r="V150" s="4" t="s">
        <v>30</v>
      </c>
    </row>
    <row r="151" spans="1:22" x14ac:dyDescent="0.2">
      <c r="A151" s="4" t="s">
        <v>334</v>
      </c>
      <c r="B151">
        <v>150</v>
      </c>
      <c r="C151" s="4" t="s">
        <v>26</v>
      </c>
      <c r="D151" s="4" t="s">
        <v>35</v>
      </c>
      <c r="E151" s="4" t="s">
        <v>50</v>
      </c>
      <c r="F151" s="4" t="s">
        <v>93</v>
      </c>
      <c r="G151">
        <v>6</v>
      </c>
      <c r="H151">
        <v>28</v>
      </c>
      <c r="I151" s="4" t="s">
        <v>1046</v>
      </c>
      <c r="J151" s="4" t="s">
        <v>964</v>
      </c>
      <c r="K151" s="4" t="s">
        <v>114</v>
      </c>
      <c r="L151" s="4" t="s">
        <v>115</v>
      </c>
      <c r="M151" s="4" t="s">
        <v>108</v>
      </c>
      <c r="N151" s="4" t="s">
        <v>122</v>
      </c>
      <c r="O151" s="4" t="s">
        <v>123</v>
      </c>
      <c r="P151">
        <v>61</v>
      </c>
      <c r="Q151">
        <v>61</v>
      </c>
      <c r="R151" s="4" t="s">
        <v>158</v>
      </c>
      <c r="S151">
        <v>29.35</v>
      </c>
      <c r="T151">
        <v>1790.35</v>
      </c>
      <c r="U151">
        <v>1432.89</v>
      </c>
      <c r="V151" s="4" t="s">
        <v>30</v>
      </c>
    </row>
    <row r="152" spans="1:22" x14ac:dyDescent="0.2">
      <c r="A152" s="4" t="s">
        <v>335</v>
      </c>
      <c r="B152">
        <v>151</v>
      </c>
      <c r="C152" s="4" t="s">
        <v>26</v>
      </c>
      <c r="D152" s="4" t="s">
        <v>35</v>
      </c>
      <c r="E152" s="4" t="s">
        <v>50</v>
      </c>
      <c r="F152" s="4" t="s">
        <v>93</v>
      </c>
      <c r="G152">
        <v>6</v>
      </c>
      <c r="H152">
        <v>28</v>
      </c>
      <c r="I152" s="4" t="s">
        <v>1046</v>
      </c>
      <c r="J152" s="4" t="s">
        <v>962</v>
      </c>
      <c r="K152" s="4" t="s">
        <v>114</v>
      </c>
      <c r="L152" s="4" t="s">
        <v>115</v>
      </c>
      <c r="M152" s="4" t="s">
        <v>108</v>
      </c>
      <c r="N152" s="4" t="s">
        <v>125</v>
      </c>
      <c r="O152" s="4" t="s">
        <v>126</v>
      </c>
      <c r="P152">
        <v>29</v>
      </c>
      <c r="Q152">
        <v>29</v>
      </c>
      <c r="R152" s="4" t="s">
        <v>158</v>
      </c>
      <c r="S152">
        <v>80.680000000000007</v>
      </c>
      <c r="T152">
        <v>2339.7199999999998</v>
      </c>
      <c r="U152">
        <v>2124.54</v>
      </c>
      <c r="V152" s="4" t="s">
        <v>30</v>
      </c>
    </row>
    <row r="153" spans="1:22" x14ac:dyDescent="0.2">
      <c r="A153" s="4" t="s">
        <v>336</v>
      </c>
      <c r="B153">
        <v>152</v>
      </c>
      <c r="C153" s="4" t="s">
        <v>26</v>
      </c>
      <c r="D153" s="4" t="s">
        <v>35</v>
      </c>
      <c r="E153" s="4" t="s">
        <v>50</v>
      </c>
      <c r="F153" s="4" t="s">
        <v>93</v>
      </c>
      <c r="G153">
        <v>6</v>
      </c>
      <c r="H153">
        <v>28</v>
      </c>
      <c r="I153" s="4" t="s">
        <v>1046</v>
      </c>
      <c r="J153" s="4" t="s">
        <v>956</v>
      </c>
      <c r="K153" s="4" t="s">
        <v>114</v>
      </c>
      <c r="L153" s="4" t="s">
        <v>115</v>
      </c>
      <c r="M153" s="4" t="s">
        <v>108</v>
      </c>
      <c r="N153" s="4" t="s">
        <v>127</v>
      </c>
      <c r="O153" s="4" t="s">
        <v>128</v>
      </c>
      <c r="P153">
        <v>66</v>
      </c>
      <c r="Q153">
        <v>66</v>
      </c>
      <c r="R153" s="4" t="s">
        <v>158</v>
      </c>
      <c r="S153">
        <v>32.76</v>
      </c>
      <c r="T153">
        <v>2162.16</v>
      </c>
      <c r="U153">
        <v>1743.06</v>
      </c>
      <c r="V153" s="4" t="s">
        <v>30</v>
      </c>
    </row>
    <row r="154" spans="1:22" x14ac:dyDescent="0.2">
      <c r="A154" s="4" t="s">
        <v>337</v>
      </c>
      <c r="B154">
        <v>153</v>
      </c>
      <c r="C154" s="4" t="s">
        <v>26</v>
      </c>
      <c r="D154" s="4" t="s">
        <v>35</v>
      </c>
      <c r="E154" s="4" t="s">
        <v>50</v>
      </c>
      <c r="F154" s="4" t="s">
        <v>93</v>
      </c>
      <c r="G154">
        <v>6</v>
      </c>
      <c r="H154">
        <v>28</v>
      </c>
      <c r="I154" s="4" t="s">
        <v>1047</v>
      </c>
      <c r="J154" s="4" t="s">
        <v>956</v>
      </c>
      <c r="K154" s="4" t="s">
        <v>114</v>
      </c>
      <c r="L154" s="4" t="s">
        <v>115</v>
      </c>
      <c r="M154" s="4" t="s">
        <v>108</v>
      </c>
      <c r="N154" s="4" t="s">
        <v>131</v>
      </c>
      <c r="O154" s="4" t="s">
        <v>132</v>
      </c>
      <c r="P154">
        <v>14</v>
      </c>
      <c r="Q154">
        <v>14</v>
      </c>
      <c r="R154" s="4" t="s">
        <v>158</v>
      </c>
      <c r="S154">
        <v>68.44</v>
      </c>
      <c r="T154">
        <v>958.16</v>
      </c>
      <c r="U154">
        <v>854.84</v>
      </c>
      <c r="V154" s="4" t="s">
        <v>30</v>
      </c>
    </row>
    <row r="155" spans="1:22" x14ac:dyDescent="0.2">
      <c r="A155" s="4" t="s">
        <v>338</v>
      </c>
      <c r="B155">
        <v>154</v>
      </c>
      <c r="C155" s="4" t="s">
        <v>26</v>
      </c>
      <c r="D155" s="4" t="s">
        <v>35</v>
      </c>
      <c r="E155" s="4" t="s">
        <v>50</v>
      </c>
      <c r="F155" s="4" t="s">
        <v>93</v>
      </c>
      <c r="G155">
        <v>6</v>
      </c>
      <c r="H155">
        <v>28</v>
      </c>
      <c r="I155" s="4" t="s">
        <v>1046</v>
      </c>
      <c r="J155" s="4" t="s">
        <v>967</v>
      </c>
      <c r="K155" s="4" t="s">
        <v>114</v>
      </c>
      <c r="L155" s="4" t="s">
        <v>115</v>
      </c>
      <c r="M155" s="4" t="s">
        <v>108</v>
      </c>
      <c r="N155" s="4" t="s">
        <v>133</v>
      </c>
      <c r="O155" s="4" t="s">
        <v>134</v>
      </c>
      <c r="P155">
        <v>40</v>
      </c>
      <c r="Q155">
        <v>40</v>
      </c>
      <c r="R155" s="4" t="s">
        <v>158</v>
      </c>
      <c r="S155">
        <v>50</v>
      </c>
      <c r="T155">
        <v>2000</v>
      </c>
      <c r="U155">
        <v>1761.2</v>
      </c>
      <c r="V155" s="4" t="s">
        <v>30</v>
      </c>
    </row>
    <row r="156" spans="1:22" x14ac:dyDescent="0.2">
      <c r="A156" s="4" t="s">
        <v>339</v>
      </c>
      <c r="B156">
        <v>155</v>
      </c>
      <c r="C156" s="4" t="s">
        <v>26</v>
      </c>
      <c r="D156" s="4" t="s">
        <v>35</v>
      </c>
      <c r="E156" s="4" t="s">
        <v>50</v>
      </c>
      <c r="F156" s="4" t="s">
        <v>93</v>
      </c>
      <c r="G156">
        <v>6</v>
      </c>
      <c r="H156">
        <v>28</v>
      </c>
      <c r="I156" s="4" t="s">
        <v>1048</v>
      </c>
      <c r="J156" s="4" t="s">
        <v>956</v>
      </c>
      <c r="K156" s="4" t="s">
        <v>116</v>
      </c>
      <c r="L156" s="4" t="s">
        <v>117</v>
      </c>
      <c r="M156" s="4" t="s">
        <v>108</v>
      </c>
      <c r="N156" s="4" t="s">
        <v>122</v>
      </c>
      <c r="O156" s="4" t="s">
        <v>123</v>
      </c>
      <c r="P156">
        <v>56</v>
      </c>
      <c r="Q156">
        <v>56</v>
      </c>
      <c r="R156" s="4" t="s">
        <v>158</v>
      </c>
      <c r="S156">
        <v>29.35</v>
      </c>
      <c r="T156">
        <v>1643.6</v>
      </c>
      <c r="U156">
        <v>1315.44</v>
      </c>
      <c r="V156" s="4" t="s">
        <v>30</v>
      </c>
    </row>
    <row r="157" spans="1:22" x14ac:dyDescent="0.2">
      <c r="A157" s="4" t="s">
        <v>340</v>
      </c>
      <c r="B157">
        <v>156</v>
      </c>
      <c r="C157" s="4" t="s">
        <v>26</v>
      </c>
      <c r="D157" s="4" t="s">
        <v>35</v>
      </c>
      <c r="E157" s="4" t="s">
        <v>53</v>
      </c>
      <c r="F157" s="4" t="s">
        <v>95</v>
      </c>
      <c r="G157">
        <v>6</v>
      </c>
      <c r="H157">
        <v>29</v>
      </c>
      <c r="I157" s="4" t="s">
        <v>1049</v>
      </c>
      <c r="J157" s="4" t="s">
        <v>956</v>
      </c>
      <c r="K157" s="4" t="s">
        <v>112</v>
      </c>
      <c r="L157" s="4" t="s">
        <v>113</v>
      </c>
      <c r="M157" s="4" t="s">
        <v>108</v>
      </c>
      <c r="N157" s="4" t="s">
        <v>122</v>
      </c>
      <c r="O157" s="4" t="s">
        <v>123</v>
      </c>
      <c r="P157">
        <v>75</v>
      </c>
      <c r="Q157">
        <v>75</v>
      </c>
      <c r="R157" s="4" t="s">
        <v>158</v>
      </c>
      <c r="S157">
        <v>29.35</v>
      </c>
      <c r="T157">
        <v>2201.25</v>
      </c>
      <c r="U157">
        <v>1761.75</v>
      </c>
      <c r="V157" s="4" t="s">
        <v>30</v>
      </c>
    </row>
    <row r="158" spans="1:22" x14ac:dyDescent="0.2">
      <c r="A158" s="4" t="s">
        <v>341</v>
      </c>
      <c r="B158">
        <v>157</v>
      </c>
      <c r="C158" s="4" t="s">
        <v>26</v>
      </c>
      <c r="D158" s="4" t="s">
        <v>35</v>
      </c>
      <c r="E158" s="4" t="s">
        <v>53</v>
      </c>
      <c r="F158" s="4" t="s">
        <v>95</v>
      </c>
      <c r="G158">
        <v>6</v>
      </c>
      <c r="H158">
        <v>29</v>
      </c>
      <c r="I158" s="4" t="s">
        <v>1049</v>
      </c>
      <c r="J158" s="4" t="s">
        <v>964</v>
      </c>
      <c r="K158" s="4" t="s">
        <v>112</v>
      </c>
      <c r="L158" s="4" t="s">
        <v>113</v>
      </c>
      <c r="M158" s="4" t="s">
        <v>108</v>
      </c>
      <c r="N158" s="4" t="s">
        <v>127</v>
      </c>
      <c r="O158" s="4" t="s">
        <v>128</v>
      </c>
      <c r="P158">
        <v>50</v>
      </c>
      <c r="Q158">
        <v>50</v>
      </c>
      <c r="R158" s="4" t="s">
        <v>158</v>
      </c>
      <c r="S158">
        <v>32.76</v>
      </c>
      <c r="T158">
        <v>1638</v>
      </c>
      <c r="U158">
        <v>1320.5</v>
      </c>
      <c r="V158" s="4" t="s">
        <v>30</v>
      </c>
    </row>
    <row r="159" spans="1:22" x14ac:dyDescent="0.2">
      <c r="A159" s="4" t="s">
        <v>342</v>
      </c>
      <c r="B159">
        <v>158</v>
      </c>
      <c r="C159" s="4" t="s">
        <v>26</v>
      </c>
      <c r="D159" s="4" t="s">
        <v>35</v>
      </c>
      <c r="E159" s="4" t="s">
        <v>53</v>
      </c>
      <c r="F159" s="4" t="s">
        <v>95</v>
      </c>
      <c r="G159">
        <v>6</v>
      </c>
      <c r="H159">
        <v>29</v>
      </c>
      <c r="I159" s="4" t="s">
        <v>1049</v>
      </c>
      <c r="J159" s="4" t="s">
        <v>967</v>
      </c>
      <c r="K159" s="4" t="s">
        <v>112</v>
      </c>
      <c r="L159" s="4" t="s">
        <v>113</v>
      </c>
      <c r="M159" s="4" t="s">
        <v>108</v>
      </c>
      <c r="N159" s="4" t="s">
        <v>129</v>
      </c>
      <c r="O159" s="4" t="s">
        <v>130</v>
      </c>
      <c r="P159">
        <v>18</v>
      </c>
      <c r="Q159">
        <v>18</v>
      </c>
      <c r="R159" s="4" t="s">
        <v>158</v>
      </c>
      <c r="S159">
        <v>96.4</v>
      </c>
      <c r="T159">
        <v>1735.2</v>
      </c>
      <c r="U159">
        <v>1517.94</v>
      </c>
      <c r="V159" s="4" t="s">
        <v>30</v>
      </c>
    </row>
    <row r="160" spans="1:22" x14ac:dyDescent="0.2">
      <c r="A160" s="4" t="s">
        <v>343</v>
      </c>
      <c r="B160">
        <v>159</v>
      </c>
      <c r="C160" s="4" t="s">
        <v>26</v>
      </c>
      <c r="D160" s="4" t="s">
        <v>35</v>
      </c>
      <c r="E160" s="4" t="s">
        <v>53</v>
      </c>
      <c r="F160" s="4" t="s">
        <v>95</v>
      </c>
      <c r="G160">
        <v>6</v>
      </c>
      <c r="H160">
        <v>29</v>
      </c>
      <c r="I160" s="4" t="s">
        <v>1049</v>
      </c>
      <c r="J160" s="4" t="s">
        <v>962</v>
      </c>
      <c r="K160" s="4" t="s">
        <v>112</v>
      </c>
      <c r="L160" s="4" t="s">
        <v>113</v>
      </c>
      <c r="M160" s="4" t="s">
        <v>108</v>
      </c>
      <c r="N160" s="4" t="s">
        <v>131</v>
      </c>
      <c r="O160" s="4" t="s">
        <v>132</v>
      </c>
      <c r="P160">
        <v>29</v>
      </c>
      <c r="Q160">
        <v>29</v>
      </c>
      <c r="R160" s="4" t="s">
        <v>158</v>
      </c>
      <c r="S160">
        <v>68.44</v>
      </c>
      <c r="T160">
        <v>1984.76</v>
      </c>
      <c r="U160">
        <v>1770.74</v>
      </c>
      <c r="V160" s="4" t="s">
        <v>30</v>
      </c>
    </row>
    <row r="161" spans="1:22" x14ac:dyDescent="0.2">
      <c r="A161" s="4" t="s">
        <v>344</v>
      </c>
      <c r="B161">
        <v>160</v>
      </c>
      <c r="C161" s="4" t="s">
        <v>26</v>
      </c>
      <c r="D161" s="4" t="s">
        <v>35</v>
      </c>
      <c r="E161" s="4" t="s">
        <v>53</v>
      </c>
      <c r="F161" s="4" t="s">
        <v>95</v>
      </c>
      <c r="G161">
        <v>6</v>
      </c>
      <c r="H161">
        <v>29</v>
      </c>
      <c r="I161" s="4" t="s">
        <v>1050</v>
      </c>
      <c r="J161" s="4" t="s">
        <v>1006</v>
      </c>
      <c r="K161" s="4" t="s">
        <v>114</v>
      </c>
      <c r="L161" s="4" t="s">
        <v>115</v>
      </c>
      <c r="M161" s="4" t="s">
        <v>108</v>
      </c>
      <c r="N161" s="4" t="s">
        <v>122</v>
      </c>
      <c r="O161" s="4" t="s">
        <v>123</v>
      </c>
      <c r="P161">
        <v>39</v>
      </c>
      <c r="Q161">
        <v>39</v>
      </c>
      <c r="R161" s="4" t="s">
        <v>158</v>
      </c>
      <c r="S161">
        <v>29.35</v>
      </c>
      <c r="T161">
        <v>1144.6500000000001</v>
      </c>
      <c r="U161">
        <v>916.11</v>
      </c>
      <c r="V161" s="4" t="s">
        <v>30</v>
      </c>
    </row>
    <row r="162" spans="1:22" x14ac:dyDescent="0.2">
      <c r="A162" s="4" t="s">
        <v>345</v>
      </c>
      <c r="B162">
        <v>161</v>
      </c>
      <c r="C162" s="4" t="s">
        <v>26</v>
      </c>
      <c r="D162" s="4" t="s">
        <v>35</v>
      </c>
      <c r="E162" s="4" t="s">
        <v>53</v>
      </c>
      <c r="F162" s="4" t="s">
        <v>95</v>
      </c>
      <c r="G162">
        <v>6</v>
      </c>
      <c r="H162">
        <v>29</v>
      </c>
      <c r="I162" s="4" t="s">
        <v>1050</v>
      </c>
      <c r="J162" s="4" t="s">
        <v>956</v>
      </c>
      <c r="K162" s="4" t="s">
        <v>114</v>
      </c>
      <c r="L162" s="4" t="s">
        <v>115</v>
      </c>
      <c r="M162" s="4" t="s">
        <v>108</v>
      </c>
      <c r="N162" s="4" t="s">
        <v>127</v>
      </c>
      <c r="O162" s="4" t="s">
        <v>128</v>
      </c>
      <c r="P162">
        <v>67</v>
      </c>
      <c r="Q162">
        <v>67</v>
      </c>
      <c r="R162" s="4" t="s">
        <v>158</v>
      </c>
      <c r="S162">
        <v>32.76</v>
      </c>
      <c r="T162">
        <v>2194.92</v>
      </c>
      <c r="U162">
        <v>1769.47</v>
      </c>
      <c r="V162" s="4" t="s">
        <v>30</v>
      </c>
    </row>
    <row r="163" spans="1:22" x14ac:dyDescent="0.2">
      <c r="A163" s="4" t="s">
        <v>346</v>
      </c>
      <c r="B163">
        <v>162</v>
      </c>
      <c r="C163" s="4" t="s">
        <v>26</v>
      </c>
      <c r="D163" s="4" t="s">
        <v>35</v>
      </c>
      <c r="E163" s="4" t="s">
        <v>53</v>
      </c>
      <c r="F163" s="4" t="s">
        <v>95</v>
      </c>
      <c r="G163">
        <v>6</v>
      </c>
      <c r="H163">
        <v>29</v>
      </c>
      <c r="I163" s="4" t="s">
        <v>1050</v>
      </c>
      <c r="J163" s="4" t="s">
        <v>967</v>
      </c>
      <c r="K163" s="4" t="s">
        <v>114</v>
      </c>
      <c r="L163" s="4" t="s">
        <v>115</v>
      </c>
      <c r="M163" s="4" t="s">
        <v>108</v>
      </c>
      <c r="N163" s="4" t="s">
        <v>127</v>
      </c>
      <c r="O163" s="4" t="s">
        <v>128</v>
      </c>
      <c r="P163">
        <v>42</v>
      </c>
      <c r="Q163">
        <v>42</v>
      </c>
      <c r="R163" s="4" t="s">
        <v>158</v>
      </c>
      <c r="S163">
        <v>32.76</v>
      </c>
      <c r="T163">
        <v>1375.92</v>
      </c>
      <c r="U163">
        <v>1109.22</v>
      </c>
      <c r="V163" s="4" t="s">
        <v>30</v>
      </c>
    </row>
    <row r="164" spans="1:22" x14ac:dyDescent="0.2">
      <c r="A164" s="4" t="s">
        <v>347</v>
      </c>
      <c r="B164">
        <v>163</v>
      </c>
      <c r="C164" s="4" t="s">
        <v>26</v>
      </c>
      <c r="D164" s="4" t="s">
        <v>35</v>
      </c>
      <c r="E164" s="4" t="s">
        <v>53</v>
      </c>
      <c r="F164" s="4" t="s">
        <v>95</v>
      </c>
      <c r="G164">
        <v>6</v>
      </c>
      <c r="H164">
        <v>29</v>
      </c>
      <c r="I164" s="4" t="s">
        <v>1050</v>
      </c>
      <c r="J164" s="4" t="s">
        <v>964</v>
      </c>
      <c r="K164" s="4" t="s">
        <v>114</v>
      </c>
      <c r="L164" s="4" t="s">
        <v>115</v>
      </c>
      <c r="M164" s="4" t="s">
        <v>108</v>
      </c>
      <c r="N164" s="4" t="s">
        <v>131</v>
      </c>
      <c r="O164" s="4" t="s">
        <v>132</v>
      </c>
      <c r="P164">
        <v>26</v>
      </c>
      <c r="Q164">
        <v>26</v>
      </c>
      <c r="R164" s="4" t="s">
        <v>158</v>
      </c>
      <c r="S164">
        <v>68.44</v>
      </c>
      <c r="T164">
        <v>1779.44</v>
      </c>
      <c r="U164">
        <v>1587.56</v>
      </c>
      <c r="V164" s="4" t="s">
        <v>30</v>
      </c>
    </row>
    <row r="165" spans="1:22" x14ac:dyDescent="0.2">
      <c r="A165" s="4" t="s">
        <v>348</v>
      </c>
      <c r="B165">
        <v>164</v>
      </c>
      <c r="C165" s="4" t="s">
        <v>26</v>
      </c>
      <c r="D165" s="4" t="s">
        <v>35</v>
      </c>
      <c r="E165" s="4" t="s">
        <v>53</v>
      </c>
      <c r="F165" s="4" t="s">
        <v>95</v>
      </c>
      <c r="G165">
        <v>6</v>
      </c>
      <c r="H165">
        <v>29</v>
      </c>
      <c r="I165" s="4" t="s">
        <v>1050</v>
      </c>
      <c r="J165" s="4" t="s">
        <v>1005</v>
      </c>
      <c r="K165" s="4" t="s">
        <v>114</v>
      </c>
      <c r="L165" s="4" t="s">
        <v>115</v>
      </c>
      <c r="M165" s="4" t="s">
        <v>108</v>
      </c>
      <c r="N165" s="4" t="s">
        <v>131</v>
      </c>
      <c r="O165" s="4" t="s">
        <v>132</v>
      </c>
      <c r="P165">
        <v>30</v>
      </c>
      <c r="Q165">
        <v>30</v>
      </c>
      <c r="R165" s="4" t="s">
        <v>158</v>
      </c>
      <c r="S165">
        <v>68.44</v>
      </c>
      <c r="T165">
        <v>2053.1999999999998</v>
      </c>
      <c r="U165">
        <v>1831.8</v>
      </c>
      <c r="V165" s="4" t="s">
        <v>30</v>
      </c>
    </row>
    <row r="166" spans="1:22" x14ac:dyDescent="0.2">
      <c r="A166" s="4" t="s">
        <v>349</v>
      </c>
      <c r="B166">
        <v>165</v>
      </c>
      <c r="C166" s="4" t="s">
        <v>26</v>
      </c>
      <c r="D166" s="4" t="s">
        <v>35</v>
      </c>
      <c r="E166" s="4" t="s">
        <v>53</v>
      </c>
      <c r="F166" s="4" t="s">
        <v>95</v>
      </c>
      <c r="G166">
        <v>6</v>
      </c>
      <c r="H166">
        <v>29</v>
      </c>
      <c r="I166" s="4" t="s">
        <v>1051</v>
      </c>
      <c r="J166" s="4" t="s">
        <v>956</v>
      </c>
      <c r="K166" s="4" t="s">
        <v>116</v>
      </c>
      <c r="L166" s="4" t="s">
        <v>117</v>
      </c>
      <c r="M166" s="4" t="s">
        <v>108</v>
      </c>
      <c r="N166" s="4" t="s">
        <v>129</v>
      </c>
      <c r="O166" s="4" t="s">
        <v>130</v>
      </c>
      <c r="P166">
        <v>22</v>
      </c>
      <c r="Q166">
        <v>22</v>
      </c>
      <c r="R166" s="4" t="s">
        <v>158</v>
      </c>
      <c r="S166">
        <v>96.4</v>
      </c>
      <c r="T166">
        <v>2120.8000000000002</v>
      </c>
      <c r="U166">
        <v>1855.26</v>
      </c>
      <c r="V166" s="4" t="s">
        <v>30</v>
      </c>
    </row>
    <row r="167" spans="1:22" x14ac:dyDescent="0.2">
      <c r="A167" s="4" t="s">
        <v>350</v>
      </c>
      <c r="B167">
        <v>166</v>
      </c>
      <c r="C167" s="4" t="s">
        <v>26</v>
      </c>
      <c r="D167" s="4" t="s">
        <v>35</v>
      </c>
      <c r="E167" s="4" t="s">
        <v>56</v>
      </c>
      <c r="F167" s="4" t="s">
        <v>97</v>
      </c>
      <c r="G167">
        <v>6</v>
      </c>
      <c r="H167">
        <v>30</v>
      </c>
      <c r="I167" s="4" t="s">
        <v>1052</v>
      </c>
      <c r="J167" s="4" t="s">
        <v>967</v>
      </c>
      <c r="K167" s="4" t="s">
        <v>112</v>
      </c>
      <c r="L167" s="4" t="s">
        <v>113</v>
      </c>
      <c r="M167" s="4" t="s">
        <v>108</v>
      </c>
      <c r="N167" s="4" t="s">
        <v>122</v>
      </c>
      <c r="O167" s="4" t="s">
        <v>123</v>
      </c>
      <c r="P167">
        <v>63</v>
      </c>
      <c r="Q167">
        <v>63</v>
      </c>
      <c r="R167" s="4" t="s">
        <v>158</v>
      </c>
      <c r="S167">
        <v>29.35</v>
      </c>
      <c r="T167">
        <v>1849.05</v>
      </c>
      <c r="U167">
        <v>1479.87</v>
      </c>
      <c r="V167" s="4" t="s">
        <v>30</v>
      </c>
    </row>
    <row r="168" spans="1:22" x14ac:dyDescent="0.2">
      <c r="A168" s="4" t="s">
        <v>351</v>
      </c>
      <c r="B168">
        <v>167</v>
      </c>
      <c r="C168" s="4" t="s">
        <v>26</v>
      </c>
      <c r="D168" s="4" t="s">
        <v>35</v>
      </c>
      <c r="E168" s="4" t="s">
        <v>56</v>
      </c>
      <c r="F168" s="4" t="s">
        <v>97</v>
      </c>
      <c r="G168">
        <v>6</v>
      </c>
      <c r="H168">
        <v>30</v>
      </c>
      <c r="I168" s="4" t="s">
        <v>1052</v>
      </c>
      <c r="J168" s="4" t="s">
        <v>964</v>
      </c>
      <c r="K168" s="4" t="s">
        <v>112</v>
      </c>
      <c r="L168" s="4" t="s">
        <v>113</v>
      </c>
      <c r="M168" s="4" t="s">
        <v>108</v>
      </c>
      <c r="N168" s="4" t="s">
        <v>122</v>
      </c>
      <c r="O168" s="4" t="s">
        <v>123</v>
      </c>
      <c r="P168">
        <v>78</v>
      </c>
      <c r="Q168">
        <v>78</v>
      </c>
      <c r="R168" s="4" t="s">
        <v>158</v>
      </c>
      <c r="S168">
        <v>29.35</v>
      </c>
      <c r="T168">
        <v>2289.3000000000002</v>
      </c>
      <c r="U168">
        <v>1832.22</v>
      </c>
      <c r="V168" s="4" t="s">
        <v>30</v>
      </c>
    </row>
    <row r="169" spans="1:22" x14ac:dyDescent="0.2">
      <c r="A169" s="4" t="s">
        <v>352</v>
      </c>
      <c r="B169">
        <v>168</v>
      </c>
      <c r="C169" s="4" t="s">
        <v>26</v>
      </c>
      <c r="D169" s="4" t="s">
        <v>35</v>
      </c>
      <c r="E169" s="4" t="s">
        <v>56</v>
      </c>
      <c r="F169" s="4" t="s">
        <v>97</v>
      </c>
      <c r="G169">
        <v>6</v>
      </c>
      <c r="H169">
        <v>30</v>
      </c>
      <c r="I169" s="4" t="s">
        <v>1052</v>
      </c>
      <c r="J169" s="4" t="s">
        <v>1005</v>
      </c>
      <c r="K169" s="4" t="s">
        <v>112</v>
      </c>
      <c r="L169" s="4" t="s">
        <v>113</v>
      </c>
      <c r="M169" s="4" t="s">
        <v>108</v>
      </c>
      <c r="N169" s="4" t="s">
        <v>125</v>
      </c>
      <c r="O169" s="4" t="s">
        <v>126</v>
      </c>
      <c r="P169">
        <v>23</v>
      </c>
      <c r="Q169">
        <v>23</v>
      </c>
      <c r="R169" s="4" t="s">
        <v>158</v>
      </c>
      <c r="S169">
        <v>80.680000000000007</v>
      </c>
      <c r="T169">
        <v>1855.64</v>
      </c>
      <c r="U169">
        <v>1684.98</v>
      </c>
      <c r="V169" s="4" t="s">
        <v>30</v>
      </c>
    </row>
    <row r="170" spans="1:22" x14ac:dyDescent="0.2">
      <c r="A170" s="4" t="s">
        <v>353</v>
      </c>
      <c r="B170">
        <v>169</v>
      </c>
      <c r="C170" s="4" t="s">
        <v>26</v>
      </c>
      <c r="D170" s="4" t="s">
        <v>35</v>
      </c>
      <c r="E170" s="4" t="s">
        <v>56</v>
      </c>
      <c r="F170" s="4" t="s">
        <v>97</v>
      </c>
      <c r="G170">
        <v>6</v>
      </c>
      <c r="H170">
        <v>30</v>
      </c>
      <c r="I170" s="4" t="s">
        <v>1052</v>
      </c>
      <c r="J170" s="4" t="s">
        <v>956</v>
      </c>
      <c r="K170" s="4" t="s">
        <v>112</v>
      </c>
      <c r="L170" s="4" t="s">
        <v>113</v>
      </c>
      <c r="M170" s="4" t="s">
        <v>108</v>
      </c>
      <c r="N170" s="4" t="s">
        <v>133</v>
      </c>
      <c r="O170" s="4" t="s">
        <v>134</v>
      </c>
      <c r="P170">
        <v>41</v>
      </c>
      <c r="Q170">
        <v>41</v>
      </c>
      <c r="R170" s="4" t="s">
        <v>158</v>
      </c>
      <c r="S170">
        <v>50</v>
      </c>
      <c r="T170">
        <v>2050</v>
      </c>
      <c r="U170">
        <v>1805.23</v>
      </c>
      <c r="V170" s="4" t="s">
        <v>30</v>
      </c>
    </row>
    <row r="171" spans="1:22" x14ac:dyDescent="0.2">
      <c r="A171" s="4" t="s">
        <v>354</v>
      </c>
      <c r="B171">
        <v>170</v>
      </c>
      <c r="C171" s="4" t="s">
        <v>26</v>
      </c>
      <c r="D171" s="4" t="s">
        <v>35</v>
      </c>
      <c r="E171" s="4" t="s">
        <v>56</v>
      </c>
      <c r="F171" s="4" t="s">
        <v>97</v>
      </c>
      <c r="G171">
        <v>6</v>
      </c>
      <c r="H171">
        <v>30</v>
      </c>
      <c r="I171" s="4" t="s">
        <v>1053</v>
      </c>
      <c r="J171" s="4" t="s">
        <v>956</v>
      </c>
      <c r="K171" s="4" t="s">
        <v>114</v>
      </c>
      <c r="L171" s="4" t="s">
        <v>115</v>
      </c>
      <c r="M171" s="4" t="s">
        <v>108</v>
      </c>
      <c r="N171" s="4" t="s">
        <v>127</v>
      </c>
      <c r="O171" s="4" t="s">
        <v>128</v>
      </c>
      <c r="P171">
        <v>52</v>
      </c>
      <c r="Q171">
        <v>52</v>
      </c>
      <c r="R171" s="4" t="s">
        <v>158</v>
      </c>
      <c r="S171">
        <v>32.76</v>
      </c>
      <c r="T171">
        <v>1703.52</v>
      </c>
      <c r="U171">
        <v>1373.32</v>
      </c>
      <c r="V171" s="4" t="s">
        <v>30</v>
      </c>
    </row>
    <row r="172" spans="1:22" x14ac:dyDescent="0.2">
      <c r="A172" s="4" t="s">
        <v>355</v>
      </c>
      <c r="B172">
        <v>171</v>
      </c>
      <c r="C172" s="4" t="s">
        <v>26</v>
      </c>
      <c r="D172" s="4" t="s">
        <v>35</v>
      </c>
      <c r="E172" s="4" t="s">
        <v>56</v>
      </c>
      <c r="F172" s="4" t="s">
        <v>97</v>
      </c>
      <c r="G172">
        <v>6</v>
      </c>
      <c r="H172">
        <v>30</v>
      </c>
      <c r="I172" s="4" t="s">
        <v>1054</v>
      </c>
      <c r="J172" s="4" t="s">
        <v>956</v>
      </c>
      <c r="K172" s="4" t="s">
        <v>114</v>
      </c>
      <c r="L172" s="4" t="s">
        <v>115</v>
      </c>
      <c r="M172" s="4" t="s">
        <v>108</v>
      </c>
      <c r="N172" s="4" t="s">
        <v>131</v>
      </c>
      <c r="O172" s="4" t="s">
        <v>132</v>
      </c>
      <c r="P172">
        <v>14</v>
      </c>
      <c r="Q172">
        <v>14</v>
      </c>
      <c r="R172" s="4" t="s">
        <v>158</v>
      </c>
      <c r="S172">
        <v>68.44</v>
      </c>
      <c r="T172">
        <v>958.16</v>
      </c>
      <c r="U172">
        <v>854.84</v>
      </c>
      <c r="V172" s="4" t="s">
        <v>30</v>
      </c>
    </row>
    <row r="173" spans="1:22" x14ac:dyDescent="0.2">
      <c r="A173" s="4" t="s">
        <v>356</v>
      </c>
      <c r="B173">
        <v>172</v>
      </c>
      <c r="C173" s="4" t="s">
        <v>26</v>
      </c>
      <c r="D173" s="4" t="s">
        <v>35</v>
      </c>
      <c r="E173" s="4" t="s">
        <v>56</v>
      </c>
      <c r="F173" s="4" t="s">
        <v>97</v>
      </c>
      <c r="G173">
        <v>6</v>
      </c>
      <c r="H173">
        <v>30</v>
      </c>
      <c r="I173" s="4" t="s">
        <v>1055</v>
      </c>
      <c r="J173" s="4" t="s">
        <v>962</v>
      </c>
      <c r="K173" s="4" t="s">
        <v>116</v>
      </c>
      <c r="L173" s="4" t="s">
        <v>117</v>
      </c>
      <c r="M173" s="4" t="s">
        <v>108</v>
      </c>
      <c r="N173" s="4" t="s">
        <v>129</v>
      </c>
      <c r="O173" s="4" t="s">
        <v>130</v>
      </c>
      <c r="P173">
        <v>18</v>
      </c>
      <c r="Q173">
        <v>18</v>
      </c>
      <c r="R173" s="4" t="s">
        <v>158</v>
      </c>
      <c r="S173">
        <v>96.4</v>
      </c>
      <c r="T173">
        <v>1735.2</v>
      </c>
      <c r="U173">
        <v>1517.94</v>
      </c>
      <c r="V173" s="4" t="s">
        <v>30</v>
      </c>
    </row>
    <row r="174" spans="1:22" x14ac:dyDescent="0.2">
      <c r="A174" s="4" t="s">
        <v>357</v>
      </c>
      <c r="B174">
        <v>173</v>
      </c>
      <c r="C174" s="4" t="s">
        <v>26</v>
      </c>
      <c r="D174" s="4" t="s">
        <v>35</v>
      </c>
      <c r="E174" s="4" t="s">
        <v>56</v>
      </c>
      <c r="F174" s="4" t="s">
        <v>97</v>
      </c>
      <c r="G174">
        <v>6</v>
      </c>
      <c r="H174">
        <v>30</v>
      </c>
      <c r="I174" s="4" t="s">
        <v>1055</v>
      </c>
      <c r="J174" s="4" t="s">
        <v>956</v>
      </c>
      <c r="K174" s="4" t="s">
        <v>116</v>
      </c>
      <c r="L174" s="4" t="s">
        <v>117</v>
      </c>
      <c r="M174" s="4" t="s">
        <v>108</v>
      </c>
      <c r="N174" s="4" t="s">
        <v>133</v>
      </c>
      <c r="O174" s="4" t="s">
        <v>134</v>
      </c>
      <c r="P174">
        <v>30</v>
      </c>
      <c r="Q174">
        <v>30</v>
      </c>
      <c r="R174" s="4" t="s">
        <v>158</v>
      </c>
      <c r="S174">
        <v>50</v>
      </c>
      <c r="T174">
        <v>1500</v>
      </c>
      <c r="U174">
        <v>1320.9</v>
      </c>
      <c r="V174" s="4" t="s">
        <v>30</v>
      </c>
    </row>
    <row r="175" spans="1:22" x14ac:dyDescent="0.2">
      <c r="A175" s="4" t="s">
        <v>358</v>
      </c>
      <c r="B175">
        <v>174</v>
      </c>
      <c r="C175" s="4" t="s">
        <v>26</v>
      </c>
      <c r="D175" s="4" t="s">
        <v>38</v>
      </c>
      <c r="E175" s="4" t="s">
        <v>27</v>
      </c>
      <c r="F175" s="4" t="s">
        <v>907</v>
      </c>
      <c r="G175">
        <v>7</v>
      </c>
      <c r="H175">
        <v>31</v>
      </c>
      <c r="I175" s="4" t="s">
        <v>1086</v>
      </c>
      <c r="J175" s="4" t="s">
        <v>956</v>
      </c>
      <c r="K175" s="4" t="s">
        <v>112</v>
      </c>
      <c r="L175" s="4" t="s">
        <v>113</v>
      </c>
      <c r="M175" s="4" t="s">
        <v>108</v>
      </c>
      <c r="N175" s="4" t="s">
        <v>122</v>
      </c>
      <c r="O175" s="4" t="s">
        <v>123</v>
      </c>
      <c r="P175">
        <v>18</v>
      </c>
      <c r="Q175">
        <v>18</v>
      </c>
      <c r="R175" s="4" t="s">
        <v>158</v>
      </c>
      <c r="S175">
        <v>28.47</v>
      </c>
      <c r="T175">
        <v>512.46</v>
      </c>
      <c r="U175">
        <v>422.82</v>
      </c>
      <c r="V175" s="4" t="s">
        <v>30</v>
      </c>
    </row>
    <row r="176" spans="1:22" x14ac:dyDescent="0.2">
      <c r="A176" s="4" t="s">
        <v>359</v>
      </c>
      <c r="B176">
        <v>175</v>
      </c>
      <c r="C176" s="4" t="s">
        <v>26</v>
      </c>
      <c r="D176" s="4" t="s">
        <v>38</v>
      </c>
      <c r="E176" s="4" t="s">
        <v>27</v>
      </c>
      <c r="F176" s="4" t="s">
        <v>907</v>
      </c>
      <c r="G176">
        <v>7</v>
      </c>
      <c r="H176">
        <v>31</v>
      </c>
      <c r="I176" s="4" t="s">
        <v>1086</v>
      </c>
      <c r="J176" s="4" t="s">
        <v>964</v>
      </c>
      <c r="K176" s="4" t="s">
        <v>112</v>
      </c>
      <c r="L176" s="4" t="s">
        <v>113</v>
      </c>
      <c r="M176" s="4" t="s">
        <v>108</v>
      </c>
      <c r="N176" s="4" t="s">
        <v>127</v>
      </c>
      <c r="O176" s="4" t="s">
        <v>128</v>
      </c>
      <c r="P176">
        <v>65</v>
      </c>
      <c r="Q176">
        <v>65</v>
      </c>
      <c r="R176" s="4" t="s">
        <v>158</v>
      </c>
      <c r="S176">
        <v>31.78</v>
      </c>
      <c r="T176">
        <v>2065.6999999999998</v>
      </c>
      <c r="U176">
        <v>1716.65</v>
      </c>
      <c r="V176" s="4" t="s">
        <v>30</v>
      </c>
    </row>
    <row r="177" spans="1:22" x14ac:dyDescent="0.2">
      <c r="A177" s="4" t="s">
        <v>360</v>
      </c>
      <c r="B177">
        <v>176</v>
      </c>
      <c r="C177" s="4" t="s">
        <v>26</v>
      </c>
      <c r="D177" s="4" t="s">
        <v>38</v>
      </c>
      <c r="E177" s="4" t="s">
        <v>27</v>
      </c>
      <c r="F177" s="4" t="s">
        <v>907</v>
      </c>
      <c r="G177">
        <v>7</v>
      </c>
      <c r="H177">
        <v>31</v>
      </c>
      <c r="I177" s="4" t="s">
        <v>1087</v>
      </c>
      <c r="J177" s="4" t="s">
        <v>956</v>
      </c>
      <c r="K177" s="4" t="s">
        <v>112</v>
      </c>
      <c r="L177" s="4" t="s">
        <v>113</v>
      </c>
      <c r="M177" s="4" t="s">
        <v>108</v>
      </c>
      <c r="N177" s="4" t="s">
        <v>127</v>
      </c>
      <c r="O177" s="4" t="s">
        <v>128</v>
      </c>
      <c r="P177">
        <v>65</v>
      </c>
      <c r="Q177">
        <v>65</v>
      </c>
      <c r="R177" s="4" t="s">
        <v>158</v>
      </c>
      <c r="S177">
        <v>31.78</v>
      </c>
      <c r="T177">
        <v>2065.6999999999998</v>
      </c>
      <c r="U177">
        <v>1716.65</v>
      </c>
      <c r="V177" s="4" t="s">
        <v>30</v>
      </c>
    </row>
    <row r="178" spans="1:22" x14ac:dyDescent="0.2">
      <c r="A178" s="4" t="s">
        <v>361</v>
      </c>
      <c r="B178">
        <v>177</v>
      </c>
      <c r="C178" s="4" t="s">
        <v>26</v>
      </c>
      <c r="D178" s="4" t="s">
        <v>38</v>
      </c>
      <c r="E178" s="4" t="s">
        <v>27</v>
      </c>
      <c r="F178" s="4" t="s">
        <v>907</v>
      </c>
      <c r="G178">
        <v>7</v>
      </c>
      <c r="H178">
        <v>31</v>
      </c>
      <c r="I178" s="4" t="s">
        <v>1086</v>
      </c>
      <c r="J178" s="4" t="s">
        <v>962</v>
      </c>
      <c r="K178" s="4" t="s">
        <v>112</v>
      </c>
      <c r="L178" s="4" t="s">
        <v>113</v>
      </c>
      <c r="M178" s="4" t="s">
        <v>108</v>
      </c>
      <c r="N178" s="4" t="s">
        <v>133</v>
      </c>
      <c r="O178" s="4" t="s">
        <v>134</v>
      </c>
      <c r="P178">
        <v>19</v>
      </c>
      <c r="Q178">
        <v>19</v>
      </c>
      <c r="R178" s="4" t="s">
        <v>158</v>
      </c>
      <c r="S178">
        <v>48.5</v>
      </c>
      <c r="T178">
        <v>921.5</v>
      </c>
      <c r="U178">
        <v>836.57</v>
      </c>
      <c r="V178" s="4" t="s">
        <v>30</v>
      </c>
    </row>
    <row r="179" spans="1:22" x14ac:dyDescent="0.2">
      <c r="A179" s="4" t="s">
        <v>362</v>
      </c>
      <c r="B179">
        <v>178</v>
      </c>
      <c r="C179" s="4" t="s">
        <v>26</v>
      </c>
      <c r="D179" s="4" t="s">
        <v>38</v>
      </c>
      <c r="E179" s="4" t="s">
        <v>27</v>
      </c>
      <c r="F179" s="4" t="s">
        <v>907</v>
      </c>
      <c r="G179">
        <v>7</v>
      </c>
      <c r="H179">
        <v>31</v>
      </c>
      <c r="I179" s="4" t="s">
        <v>1088</v>
      </c>
      <c r="J179" s="4" t="s">
        <v>1005</v>
      </c>
      <c r="K179" s="4" t="s">
        <v>114</v>
      </c>
      <c r="L179" s="4" t="s">
        <v>115</v>
      </c>
      <c r="M179" s="4" t="s">
        <v>108</v>
      </c>
      <c r="N179" s="4" t="s">
        <v>122</v>
      </c>
      <c r="O179" s="4" t="s">
        <v>123</v>
      </c>
      <c r="P179">
        <v>57</v>
      </c>
      <c r="Q179">
        <v>57</v>
      </c>
      <c r="R179" s="4" t="s">
        <v>158</v>
      </c>
      <c r="S179">
        <v>28.47</v>
      </c>
      <c r="T179">
        <v>1622.79</v>
      </c>
      <c r="U179">
        <v>1338.93</v>
      </c>
      <c r="V179" s="4" t="s">
        <v>30</v>
      </c>
    </row>
    <row r="180" spans="1:22" x14ac:dyDescent="0.2">
      <c r="A180" s="4" t="s">
        <v>363</v>
      </c>
      <c r="B180">
        <v>179</v>
      </c>
      <c r="C180" s="4" t="s">
        <v>26</v>
      </c>
      <c r="D180" s="4" t="s">
        <v>38</v>
      </c>
      <c r="E180" s="4" t="s">
        <v>27</v>
      </c>
      <c r="F180" s="4" t="s">
        <v>907</v>
      </c>
      <c r="G180">
        <v>7</v>
      </c>
      <c r="H180">
        <v>31</v>
      </c>
      <c r="I180" s="4" t="s">
        <v>1088</v>
      </c>
      <c r="J180" s="4" t="s">
        <v>967</v>
      </c>
      <c r="K180" s="4" t="s">
        <v>114</v>
      </c>
      <c r="L180" s="4" t="s">
        <v>115</v>
      </c>
      <c r="M180" s="4" t="s">
        <v>108</v>
      </c>
      <c r="N180" s="4" t="s">
        <v>125</v>
      </c>
      <c r="O180" s="4" t="s">
        <v>126</v>
      </c>
      <c r="P180">
        <v>20</v>
      </c>
      <c r="Q180">
        <v>20</v>
      </c>
      <c r="R180" s="4" t="s">
        <v>158</v>
      </c>
      <c r="S180">
        <v>79.87</v>
      </c>
      <c r="T180">
        <v>1597.4</v>
      </c>
      <c r="U180">
        <v>1465.2</v>
      </c>
      <c r="V180" s="4" t="s">
        <v>30</v>
      </c>
    </row>
    <row r="181" spans="1:22" x14ac:dyDescent="0.2">
      <c r="A181" s="4" t="s">
        <v>364</v>
      </c>
      <c r="B181">
        <v>180</v>
      </c>
      <c r="C181" s="4" t="s">
        <v>26</v>
      </c>
      <c r="D181" s="4" t="s">
        <v>38</v>
      </c>
      <c r="E181" s="4" t="s">
        <v>27</v>
      </c>
      <c r="F181" s="4" t="s">
        <v>907</v>
      </c>
      <c r="G181">
        <v>7</v>
      </c>
      <c r="H181">
        <v>31</v>
      </c>
      <c r="I181" s="4" t="s">
        <v>1088</v>
      </c>
      <c r="J181" s="4" t="s">
        <v>964</v>
      </c>
      <c r="K181" s="4" t="s">
        <v>114</v>
      </c>
      <c r="L181" s="4" t="s">
        <v>115</v>
      </c>
      <c r="M181" s="4" t="s">
        <v>108</v>
      </c>
      <c r="N181" s="4" t="s">
        <v>127</v>
      </c>
      <c r="O181" s="4" t="s">
        <v>128</v>
      </c>
      <c r="P181">
        <v>69</v>
      </c>
      <c r="Q181">
        <v>69</v>
      </c>
      <c r="R181" s="4" t="s">
        <v>158</v>
      </c>
      <c r="S181">
        <v>31.78</v>
      </c>
      <c r="T181">
        <v>2192.8200000000002</v>
      </c>
      <c r="U181">
        <v>1822.29</v>
      </c>
      <c r="V181" s="4" t="s">
        <v>30</v>
      </c>
    </row>
    <row r="182" spans="1:22" x14ac:dyDescent="0.2">
      <c r="A182" s="4" t="s">
        <v>365</v>
      </c>
      <c r="B182">
        <v>181</v>
      </c>
      <c r="C182" s="4" t="s">
        <v>26</v>
      </c>
      <c r="D182" s="4" t="s">
        <v>38</v>
      </c>
      <c r="E182" s="4" t="s">
        <v>27</v>
      </c>
      <c r="F182" s="4" t="s">
        <v>907</v>
      </c>
      <c r="G182">
        <v>7</v>
      </c>
      <c r="H182">
        <v>31</v>
      </c>
      <c r="I182" s="4" t="s">
        <v>1089</v>
      </c>
      <c r="J182" s="4" t="s">
        <v>956</v>
      </c>
      <c r="K182" s="4" t="s">
        <v>114</v>
      </c>
      <c r="L182" s="4" t="s">
        <v>115</v>
      </c>
      <c r="M182" s="4" t="s">
        <v>108</v>
      </c>
      <c r="N182" s="4" t="s">
        <v>127</v>
      </c>
      <c r="O182" s="4" t="s">
        <v>128</v>
      </c>
      <c r="P182">
        <v>54</v>
      </c>
      <c r="Q182">
        <v>54</v>
      </c>
      <c r="R182" s="4" t="s">
        <v>158</v>
      </c>
      <c r="S182">
        <v>31.78</v>
      </c>
      <c r="T182">
        <v>1716.12</v>
      </c>
      <c r="U182">
        <v>1426.14</v>
      </c>
      <c r="V182" s="4" t="s">
        <v>30</v>
      </c>
    </row>
    <row r="183" spans="1:22" x14ac:dyDescent="0.2">
      <c r="A183" s="4" t="s">
        <v>366</v>
      </c>
      <c r="B183">
        <v>182</v>
      </c>
      <c r="C183" s="4" t="s">
        <v>26</v>
      </c>
      <c r="D183" s="4" t="s">
        <v>38</v>
      </c>
      <c r="E183" s="4" t="s">
        <v>27</v>
      </c>
      <c r="F183" s="4" t="s">
        <v>907</v>
      </c>
      <c r="G183">
        <v>7</v>
      </c>
      <c r="H183">
        <v>31</v>
      </c>
      <c r="I183" s="4" t="s">
        <v>1088</v>
      </c>
      <c r="J183" s="4" t="s">
        <v>956</v>
      </c>
      <c r="K183" s="4" t="s">
        <v>114</v>
      </c>
      <c r="L183" s="4" t="s">
        <v>115</v>
      </c>
      <c r="M183" s="4" t="s">
        <v>108</v>
      </c>
      <c r="N183" s="4" t="s">
        <v>131</v>
      </c>
      <c r="O183" s="4" t="s">
        <v>132</v>
      </c>
      <c r="P183">
        <v>32</v>
      </c>
      <c r="Q183">
        <v>32</v>
      </c>
      <c r="R183" s="4" t="s">
        <v>158</v>
      </c>
      <c r="S183">
        <v>67.069999999999993</v>
      </c>
      <c r="T183">
        <v>2146.2399999999998</v>
      </c>
      <c r="U183">
        <v>1953.92</v>
      </c>
      <c r="V183" s="4" t="s">
        <v>30</v>
      </c>
    </row>
    <row r="184" spans="1:22" x14ac:dyDescent="0.2">
      <c r="A184" s="4" t="s">
        <v>367</v>
      </c>
      <c r="B184">
        <v>183</v>
      </c>
      <c r="C184" s="4" t="s">
        <v>26</v>
      </c>
      <c r="D184" s="4" t="s">
        <v>38</v>
      </c>
      <c r="E184" s="4" t="s">
        <v>27</v>
      </c>
      <c r="F184" s="4" t="s">
        <v>907</v>
      </c>
      <c r="G184">
        <v>7</v>
      </c>
      <c r="H184">
        <v>31</v>
      </c>
      <c r="I184" s="4" t="s">
        <v>1088</v>
      </c>
      <c r="J184" s="4" t="s">
        <v>962</v>
      </c>
      <c r="K184" s="4" t="s">
        <v>114</v>
      </c>
      <c r="L184" s="4" t="s">
        <v>115</v>
      </c>
      <c r="M184" s="4" t="s">
        <v>108</v>
      </c>
      <c r="N184" s="4" t="s">
        <v>131</v>
      </c>
      <c r="O184" s="4" t="s">
        <v>132</v>
      </c>
      <c r="P184">
        <v>24</v>
      </c>
      <c r="Q184">
        <v>24</v>
      </c>
      <c r="R184" s="4" t="s">
        <v>158</v>
      </c>
      <c r="S184">
        <v>67.069999999999993</v>
      </c>
      <c r="T184">
        <v>1609.68</v>
      </c>
      <c r="U184">
        <v>1465.44</v>
      </c>
      <c r="V184" s="4" t="s">
        <v>30</v>
      </c>
    </row>
    <row r="185" spans="1:22" x14ac:dyDescent="0.2">
      <c r="A185" s="4" t="s">
        <v>368</v>
      </c>
      <c r="B185">
        <v>184</v>
      </c>
      <c r="C185" s="4" t="s">
        <v>26</v>
      </c>
      <c r="D185" s="4" t="s">
        <v>38</v>
      </c>
      <c r="E185" s="4" t="s">
        <v>27</v>
      </c>
      <c r="F185" s="4" t="s">
        <v>907</v>
      </c>
      <c r="G185">
        <v>7</v>
      </c>
      <c r="H185">
        <v>31</v>
      </c>
      <c r="I185" s="4" t="s">
        <v>1090</v>
      </c>
      <c r="J185" s="4" t="s">
        <v>956</v>
      </c>
      <c r="K185" s="4" t="s">
        <v>116</v>
      </c>
      <c r="L185" s="4" t="s">
        <v>117</v>
      </c>
      <c r="M185" s="4" t="s">
        <v>108</v>
      </c>
      <c r="N185" s="4" t="s">
        <v>122</v>
      </c>
      <c r="O185" s="4" t="s">
        <v>123</v>
      </c>
      <c r="P185">
        <v>53</v>
      </c>
      <c r="Q185">
        <v>53</v>
      </c>
      <c r="R185" s="4" t="s">
        <v>158</v>
      </c>
      <c r="S185">
        <v>28.47</v>
      </c>
      <c r="T185">
        <v>1508.91</v>
      </c>
      <c r="U185">
        <v>1244.97</v>
      </c>
      <c r="V185" s="4" t="s">
        <v>30</v>
      </c>
    </row>
    <row r="186" spans="1:22" x14ac:dyDescent="0.2">
      <c r="A186" s="4" t="s">
        <v>369</v>
      </c>
      <c r="B186">
        <v>185</v>
      </c>
      <c r="C186" s="4" t="s">
        <v>26</v>
      </c>
      <c r="D186" s="4" t="s">
        <v>38</v>
      </c>
      <c r="E186" s="4" t="s">
        <v>27</v>
      </c>
      <c r="F186" s="4" t="s">
        <v>907</v>
      </c>
      <c r="G186">
        <v>7</v>
      </c>
      <c r="H186">
        <v>31</v>
      </c>
      <c r="I186" s="4" t="s">
        <v>1091</v>
      </c>
      <c r="J186" s="4" t="s">
        <v>962</v>
      </c>
      <c r="K186" s="4" t="s">
        <v>116</v>
      </c>
      <c r="L186" s="4" t="s">
        <v>117</v>
      </c>
      <c r="M186" s="4" t="s">
        <v>108</v>
      </c>
      <c r="N186" s="4" t="s">
        <v>127</v>
      </c>
      <c r="O186" s="4" t="s">
        <v>128</v>
      </c>
      <c r="P186">
        <v>9</v>
      </c>
      <c r="Q186">
        <v>9</v>
      </c>
      <c r="R186" s="4" t="s">
        <v>158</v>
      </c>
      <c r="S186">
        <v>31.78</v>
      </c>
      <c r="T186">
        <v>286.02</v>
      </c>
      <c r="U186">
        <v>237.69</v>
      </c>
      <c r="V186" s="4" t="s">
        <v>30</v>
      </c>
    </row>
    <row r="187" spans="1:22" x14ac:dyDescent="0.2">
      <c r="A187" s="4" t="s">
        <v>370</v>
      </c>
      <c r="B187">
        <v>186</v>
      </c>
      <c r="C187" s="4" t="s">
        <v>26</v>
      </c>
      <c r="D187" s="4" t="s">
        <v>38</v>
      </c>
      <c r="E187" s="4" t="s">
        <v>27</v>
      </c>
      <c r="F187" s="4" t="s">
        <v>907</v>
      </c>
      <c r="G187">
        <v>7</v>
      </c>
      <c r="H187">
        <v>31</v>
      </c>
      <c r="I187" s="4" t="s">
        <v>1090</v>
      </c>
      <c r="J187" s="4" t="s">
        <v>962</v>
      </c>
      <c r="K187" s="4" t="s">
        <v>116</v>
      </c>
      <c r="L187" s="4" t="s">
        <v>117</v>
      </c>
      <c r="M187" s="4" t="s">
        <v>108</v>
      </c>
      <c r="N187" s="4" t="s">
        <v>127</v>
      </c>
      <c r="O187" s="4" t="s">
        <v>128</v>
      </c>
      <c r="P187">
        <v>66</v>
      </c>
      <c r="Q187">
        <v>66</v>
      </c>
      <c r="R187" s="4" t="s">
        <v>158</v>
      </c>
      <c r="S187">
        <v>31.78</v>
      </c>
      <c r="T187">
        <v>2097.48</v>
      </c>
      <c r="U187">
        <v>1743.06</v>
      </c>
      <c r="V187" s="4" t="s">
        <v>30</v>
      </c>
    </row>
    <row r="188" spans="1:22" x14ac:dyDescent="0.2">
      <c r="A188" s="4" t="s">
        <v>371</v>
      </c>
      <c r="B188">
        <v>187</v>
      </c>
      <c r="C188" s="4" t="s">
        <v>26</v>
      </c>
      <c r="D188" s="4" t="s">
        <v>38</v>
      </c>
      <c r="E188" s="4" t="s">
        <v>27</v>
      </c>
      <c r="F188" s="4" t="s">
        <v>907</v>
      </c>
      <c r="G188">
        <v>7</v>
      </c>
      <c r="H188">
        <v>31</v>
      </c>
      <c r="I188" s="4" t="s">
        <v>1091</v>
      </c>
      <c r="J188" s="4" t="s">
        <v>964</v>
      </c>
      <c r="K188" s="4" t="s">
        <v>116</v>
      </c>
      <c r="L188" s="4" t="s">
        <v>117</v>
      </c>
      <c r="M188" s="4" t="s">
        <v>108</v>
      </c>
      <c r="N188" s="4" t="s">
        <v>129</v>
      </c>
      <c r="O188" s="4" t="s">
        <v>130</v>
      </c>
      <c r="P188">
        <v>23</v>
      </c>
      <c r="Q188">
        <v>23</v>
      </c>
      <c r="R188" s="4" t="s">
        <v>158</v>
      </c>
      <c r="S188">
        <v>91.58</v>
      </c>
      <c r="T188">
        <v>2106.34</v>
      </c>
      <c r="U188">
        <v>1939.59</v>
      </c>
      <c r="V188" s="4" t="s">
        <v>30</v>
      </c>
    </row>
    <row r="189" spans="1:22" x14ac:dyDescent="0.2">
      <c r="A189" s="4" t="s">
        <v>372</v>
      </c>
      <c r="B189">
        <v>188</v>
      </c>
      <c r="C189" s="4" t="s">
        <v>26</v>
      </c>
      <c r="D189" s="4" t="s">
        <v>38</v>
      </c>
      <c r="E189" s="4" t="s">
        <v>27</v>
      </c>
      <c r="F189" s="4" t="s">
        <v>907</v>
      </c>
      <c r="G189">
        <v>7</v>
      </c>
      <c r="H189">
        <v>31</v>
      </c>
      <c r="I189" s="4" t="s">
        <v>1091</v>
      </c>
      <c r="J189" s="4" t="s">
        <v>956</v>
      </c>
      <c r="K189" s="4" t="s">
        <v>116</v>
      </c>
      <c r="L189" s="4" t="s">
        <v>117</v>
      </c>
      <c r="M189" s="4" t="s">
        <v>108</v>
      </c>
      <c r="N189" s="4" t="s">
        <v>129</v>
      </c>
      <c r="O189" s="4" t="s">
        <v>130</v>
      </c>
      <c r="P189">
        <v>24</v>
      </c>
      <c r="Q189">
        <v>24</v>
      </c>
      <c r="R189" s="4" t="s">
        <v>158</v>
      </c>
      <c r="S189">
        <v>91.58</v>
      </c>
      <c r="T189">
        <v>2197.92</v>
      </c>
      <c r="U189">
        <v>2023.92</v>
      </c>
      <c r="V189" s="4" t="s">
        <v>30</v>
      </c>
    </row>
    <row r="190" spans="1:22" x14ac:dyDescent="0.2">
      <c r="A190" s="4" t="s">
        <v>373</v>
      </c>
      <c r="B190">
        <v>189</v>
      </c>
      <c r="C190" s="4" t="s">
        <v>26</v>
      </c>
      <c r="D190" s="4" t="s">
        <v>38</v>
      </c>
      <c r="E190" s="4" t="s">
        <v>27</v>
      </c>
      <c r="F190" s="4" t="s">
        <v>907</v>
      </c>
      <c r="G190">
        <v>7</v>
      </c>
      <c r="H190">
        <v>31</v>
      </c>
      <c r="I190" s="4" t="s">
        <v>1091</v>
      </c>
      <c r="J190" s="4" t="s">
        <v>967</v>
      </c>
      <c r="K190" s="4" t="s">
        <v>116</v>
      </c>
      <c r="L190" s="4" t="s">
        <v>117</v>
      </c>
      <c r="M190" s="4" t="s">
        <v>108</v>
      </c>
      <c r="N190" s="4" t="s">
        <v>131</v>
      </c>
      <c r="O190" s="4" t="s">
        <v>132</v>
      </c>
      <c r="P190">
        <v>26</v>
      </c>
      <c r="Q190">
        <v>26</v>
      </c>
      <c r="R190" s="4" t="s">
        <v>158</v>
      </c>
      <c r="S190">
        <v>67.069999999999993</v>
      </c>
      <c r="T190">
        <v>1743.82</v>
      </c>
      <c r="U190">
        <v>1587.56</v>
      </c>
      <c r="V190" s="4" t="s">
        <v>30</v>
      </c>
    </row>
    <row r="191" spans="1:22" x14ac:dyDescent="0.2">
      <c r="A191" s="4" t="s">
        <v>374</v>
      </c>
      <c r="B191">
        <v>190</v>
      </c>
      <c r="C191" s="4" t="s">
        <v>26</v>
      </c>
      <c r="D191" s="4" t="s">
        <v>38</v>
      </c>
      <c r="E191" s="4" t="s">
        <v>27</v>
      </c>
      <c r="F191" s="4" t="s">
        <v>907</v>
      </c>
      <c r="G191">
        <v>7</v>
      </c>
      <c r="H191">
        <v>31</v>
      </c>
      <c r="I191" s="4" t="s">
        <v>1091</v>
      </c>
      <c r="J191" s="4" t="s">
        <v>1005</v>
      </c>
      <c r="K191" s="4" t="s">
        <v>116</v>
      </c>
      <c r="L191" s="4" t="s">
        <v>117</v>
      </c>
      <c r="M191" s="4" t="s">
        <v>108</v>
      </c>
      <c r="N191" s="4" t="s">
        <v>131</v>
      </c>
      <c r="O191" s="4" t="s">
        <v>132</v>
      </c>
      <c r="P191">
        <v>14</v>
      </c>
      <c r="Q191">
        <v>14</v>
      </c>
      <c r="R191" s="4" t="s">
        <v>158</v>
      </c>
      <c r="S191">
        <v>67.069999999999993</v>
      </c>
      <c r="T191">
        <v>938.98</v>
      </c>
      <c r="U191">
        <v>854.84</v>
      </c>
      <c r="V191" s="4" t="s">
        <v>30</v>
      </c>
    </row>
    <row r="192" spans="1:22" x14ac:dyDescent="0.2">
      <c r="A192" s="4" t="s">
        <v>375</v>
      </c>
      <c r="B192">
        <v>191</v>
      </c>
      <c r="C192" s="4" t="s">
        <v>26</v>
      </c>
      <c r="D192" s="4" t="s">
        <v>38</v>
      </c>
      <c r="E192" s="4" t="s">
        <v>32</v>
      </c>
      <c r="F192" s="4" t="s">
        <v>1093</v>
      </c>
      <c r="G192">
        <v>7</v>
      </c>
      <c r="H192">
        <v>32</v>
      </c>
      <c r="I192" s="4" t="s">
        <v>1117</v>
      </c>
      <c r="J192" s="4" t="s">
        <v>956</v>
      </c>
      <c r="K192" s="4" t="s">
        <v>112</v>
      </c>
      <c r="L192" s="4" t="s">
        <v>113</v>
      </c>
      <c r="M192" s="4" t="s">
        <v>108</v>
      </c>
      <c r="N192" s="4" t="s">
        <v>122</v>
      </c>
      <c r="O192" s="4" t="s">
        <v>123</v>
      </c>
      <c r="P192">
        <v>66</v>
      </c>
      <c r="Q192">
        <v>66</v>
      </c>
      <c r="R192" s="4" t="s">
        <v>158</v>
      </c>
      <c r="S192">
        <v>28.47</v>
      </c>
      <c r="T192">
        <v>1879.02</v>
      </c>
      <c r="U192">
        <v>1550.34</v>
      </c>
      <c r="V192" s="4" t="s">
        <v>30</v>
      </c>
    </row>
    <row r="193" spans="1:22" x14ac:dyDescent="0.2">
      <c r="A193" s="4" t="s">
        <v>376</v>
      </c>
      <c r="B193">
        <v>192</v>
      </c>
      <c r="C193" s="4" t="s">
        <v>26</v>
      </c>
      <c r="D193" s="4" t="s">
        <v>38</v>
      </c>
      <c r="E193" s="4" t="s">
        <v>32</v>
      </c>
      <c r="F193" s="4" t="s">
        <v>1093</v>
      </c>
      <c r="G193">
        <v>7</v>
      </c>
      <c r="H193">
        <v>32</v>
      </c>
      <c r="I193" s="4" t="s">
        <v>1117</v>
      </c>
      <c r="J193" s="4" t="s">
        <v>964</v>
      </c>
      <c r="K193" s="4" t="s">
        <v>112</v>
      </c>
      <c r="L193" s="4" t="s">
        <v>113</v>
      </c>
      <c r="M193" s="4" t="s">
        <v>108</v>
      </c>
      <c r="N193" s="4" t="s">
        <v>122</v>
      </c>
      <c r="O193" s="4" t="s">
        <v>123</v>
      </c>
      <c r="P193">
        <v>56</v>
      </c>
      <c r="Q193">
        <v>56</v>
      </c>
      <c r="R193" s="4" t="s">
        <v>158</v>
      </c>
      <c r="S193">
        <v>28.47</v>
      </c>
      <c r="T193">
        <v>1594.32</v>
      </c>
      <c r="U193">
        <v>1315.44</v>
      </c>
      <c r="V193" s="4" t="s">
        <v>30</v>
      </c>
    </row>
    <row r="194" spans="1:22" x14ac:dyDescent="0.2">
      <c r="A194" s="4" t="s">
        <v>377</v>
      </c>
      <c r="B194">
        <v>193</v>
      </c>
      <c r="C194" s="4" t="s">
        <v>26</v>
      </c>
      <c r="D194" s="4" t="s">
        <v>38</v>
      </c>
      <c r="E194" s="4" t="s">
        <v>32</v>
      </c>
      <c r="F194" s="4" t="s">
        <v>1093</v>
      </c>
      <c r="G194">
        <v>7</v>
      </c>
      <c r="H194">
        <v>32</v>
      </c>
      <c r="I194" s="4" t="s">
        <v>1118</v>
      </c>
      <c r="J194" s="4" t="s">
        <v>956</v>
      </c>
      <c r="K194" s="4" t="s">
        <v>112</v>
      </c>
      <c r="L194" s="4" t="s">
        <v>113</v>
      </c>
      <c r="M194" s="4" t="s">
        <v>108</v>
      </c>
      <c r="N194" s="4" t="s">
        <v>127</v>
      </c>
      <c r="O194" s="4" t="s">
        <v>128</v>
      </c>
      <c r="P194">
        <v>20</v>
      </c>
      <c r="Q194">
        <v>20</v>
      </c>
      <c r="R194" s="4" t="s">
        <v>158</v>
      </c>
      <c r="S194">
        <v>31.78</v>
      </c>
      <c r="T194">
        <v>635.6</v>
      </c>
      <c r="U194">
        <v>528.20000000000005</v>
      </c>
      <c r="V194" s="4" t="s">
        <v>30</v>
      </c>
    </row>
    <row r="195" spans="1:22" x14ac:dyDescent="0.2">
      <c r="A195" s="4" t="s">
        <v>378</v>
      </c>
      <c r="B195">
        <v>194</v>
      </c>
      <c r="C195" s="4" t="s">
        <v>26</v>
      </c>
      <c r="D195" s="4" t="s">
        <v>38</v>
      </c>
      <c r="E195" s="4" t="s">
        <v>32</v>
      </c>
      <c r="F195" s="4" t="s">
        <v>1093</v>
      </c>
      <c r="G195">
        <v>7</v>
      </c>
      <c r="H195">
        <v>32</v>
      </c>
      <c r="I195" s="4" t="s">
        <v>1117</v>
      </c>
      <c r="J195" s="4" t="s">
        <v>962</v>
      </c>
      <c r="K195" s="4" t="s">
        <v>112</v>
      </c>
      <c r="L195" s="4" t="s">
        <v>113</v>
      </c>
      <c r="M195" s="4" t="s">
        <v>108</v>
      </c>
      <c r="N195" s="4" t="s">
        <v>131</v>
      </c>
      <c r="O195" s="4" t="s">
        <v>132</v>
      </c>
      <c r="P195">
        <v>32</v>
      </c>
      <c r="Q195">
        <v>32</v>
      </c>
      <c r="R195" s="4" t="s">
        <v>158</v>
      </c>
      <c r="S195">
        <v>67.069999999999993</v>
      </c>
      <c r="T195">
        <v>2146.2399999999998</v>
      </c>
      <c r="U195">
        <v>1953.92</v>
      </c>
      <c r="V195" s="4" t="s">
        <v>30</v>
      </c>
    </row>
    <row r="196" spans="1:22" x14ac:dyDescent="0.2">
      <c r="A196" s="4" t="s">
        <v>379</v>
      </c>
      <c r="B196">
        <v>195</v>
      </c>
      <c r="C196" s="4" t="s">
        <v>26</v>
      </c>
      <c r="D196" s="4" t="s">
        <v>38</v>
      </c>
      <c r="E196" s="4" t="s">
        <v>32</v>
      </c>
      <c r="F196" s="4" t="s">
        <v>1093</v>
      </c>
      <c r="G196">
        <v>7</v>
      </c>
      <c r="H196">
        <v>32</v>
      </c>
      <c r="I196" s="4" t="s">
        <v>1119</v>
      </c>
      <c r="J196" s="4" t="s">
        <v>962</v>
      </c>
      <c r="K196" s="4" t="s">
        <v>114</v>
      </c>
      <c r="L196" s="4" t="s">
        <v>115</v>
      </c>
      <c r="M196" s="4" t="s">
        <v>108</v>
      </c>
      <c r="N196" s="4" t="s">
        <v>125</v>
      </c>
      <c r="O196" s="4" t="s">
        <v>126</v>
      </c>
      <c r="P196">
        <v>6</v>
      </c>
      <c r="Q196">
        <v>6</v>
      </c>
      <c r="R196" s="4" t="s">
        <v>158</v>
      </c>
      <c r="S196">
        <v>79.87</v>
      </c>
      <c r="T196">
        <v>479.22</v>
      </c>
      <c r="U196">
        <v>439.56</v>
      </c>
      <c r="V196" s="4" t="s">
        <v>30</v>
      </c>
    </row>
    <row r="197" spans="1:22" x14ac:dyDescent="0.2">
      <c r="A197" s="4" t="s">
        <v>380</v>
      </c>
      <c r="B197">
        <v>196</v>
      </c>
      <c r="C197" s="4" t="s">
        <v>26</v>
      </c>
      <c r="D197" s="4" t="s">
        <v>38</v>
      </c>
      <c r="E197" s="4" t="s">
        <v>32</v>
      </c>
      <c r="F197" s="4" t="s">
        <v>1093</v>
      </c>
      <c r="G197">
        <v>7</v>
      </c>
      <c r="H197">
        <v>32</v>
      </c>
      <c r="I197" s="4" t="s">
        <v>1119</v>
      </c>
      <c r="J197" s="4" t="s">
        <v>956</v>
      </c>
      <c r="K197" s="4" t="s">
        <v>114</v>
      </c>
      <c r="L197" s="4" t="s">
        <v>115</v>
      </c>
      <c r="M197" s="4" t="s">
        <v>108</v>
      </c>
      <c r="N197" s="4" t="s">
        <v>127</v>
      </c>
      <c r="O197" s="4" t="s">
        <v>128</v>
      </c>
      <c r="P197">
        <v>37</v>
      </c>
      <c r="Q197">
        <v>37</v>
      </c>
      <c r="R197" s="4" t="s">
        <v>158</v>
      </c>
      <c r="S197">
        <v>31.78</v>
      </c>
      <c r="T197">
        <v>1175.8599999999999</v>
      </c>
      <c r="U197">
        <v>977.17</v>
      </c>
      <c r="V197" s="4" t="s">
        <v>30</v>
      </c>
    </row>
    <row r="198" spans="1:22" x14ac:dyDescent="0.2">
      <c r="A198" s="4" t="s">
        <v>381</v>
      </c>
      <c r="B198">
        <v>197</v>
      </c>
      <c r="C198" s="4" t="s">
        <v>26</v>
      </c>
      <c r="D198" s="4" t="s">
        <v>38</v>
      </c>
      <c r="E198" s="4" t="s">
        <v>32</v>
      </c>
      <c r="F198" s="4" t="s">
        <v>1093</v>
      </c>
      <c r="G198">
        <v>7</v>
      </c>
      <c r="H198">
        <v>32</v>
      </c>
      <c r="I198" s="4" t="s">
        <v>1120</v>
      </c>
      <c r="J198" s="4" t="s">
        <v>962</v>
      </c>
      <c r="K198" s="4" t="s">
        <v>116</v>
      </c>
      <c r="L198" s="4" t="s">
        <v>117</v>
      </c>
      <c r="M198" s="4" t="s">
        <v>108</v>
      </c>
      <c r="N198" s="4" t="s">
        <v>122</v>
      </c>
      <c r="O198" s="4" t="s">
        <v>123</v>
      </c>
      <c r="P198">
        <v>47</v>
      </c>
      <c r="Q198">
        <v>47</v>
      </c>
      <c r="R198" s="4" t="s">
        <v>158</v>
      </c>
      <c r="S198">
        <v>28.47</v>
      </c>
      <c r="T198">
        <v>1338.09</v>
      </c>
      <c r="U198">
        <v>1104.03</v>
      </c>
      <c r="V198" s="4" t="s">
        <v>30</v>
      </c>
    </row>
    <row r="199" spans="1:22" x14ac:dyDescent="0.2">
      <c r="A199" s="4" t="s">
        <v>382</v>
      </c>
      <c r="B199">
        <v>198</v>
      </c>
      <c r="C199" s="4" t="s">
        <v>26</v>
      </c>
      <c r="D199" s="4" t="s">
        <v>38</v>
      </c>
      <c r="E199" s="4" t="s">
        <v>32</v>
      </c>
      <c r="F199" s="4" t="s">
        <v>1093</v>
      </c>
      <c r="G199">
        <v>7</v>
      </c>
      <c r="H199">
        <v>32</v>
      </c>
      <c r="I199" s="4" t="s">
        <v>1120</v>
      </c>
      <c r="J199" s="4" t="s">
        <v>964</v>
      </c>
      <c r="K199" s="4" t="s">
        <v>116</v>
      </c>
      <c r="L199" s="4" t="s">
        <v>117</v>
      </c>
      <c r="M199" s="4" t="s">
        <v>108</v>
      </c>
      <c r="N199" s="4" t="s">
        <v>129</v>
      </c>
      <c r="O199" s="4" t="s">
        <v>130</v>
      </c>
      <c r="P199">
        <v>18</v>
      </c>
      <c r="Q199">
        <v>18</v>
      </c>
      <c r="R199" s="4" t="s">
        <v>158</v>
      </c>
      <c r="S199">
        <v>91.58</v>
      </c>
      <c r="T199">
        <v>1648.44</v>
      </c>
      <c r="U199">
        <v>1517.94</v>
      </c>
      <c r="V199" s="4" t="s">
        <v>30</v>
      </c>
    </row>
    <row r="200" spans="1:22" x14ac:dyDescent="0.2">
      <c r="A200" s="4" t="s">
        <v>383</v>
      </c>
      <c r="B200">
        <v>199</v>
      </c>
      <c r="C200" s="4" t="s">
        <v>26</v>
      </c>
      <c r="D200" s="4" t="s">
        <v>38</v>
      </c>
      <c r="E200" s="4" t="s">
        <v>32</v>
      </c>
      <c r="F200" s="4" t="s">
        <v>1093</v>
      </c>
      <c r="G200">
        <v>7</v>
      </c>
      <c r="H200">
        <v>32</v>
      </c>
      <c r="I200" s="4" t="s">
        <v>1120</v>
      </c>
      <c r="J200" s="4" t="s">
        <v>956</v>
      </c>
      <c r="K200" s="4" t="s">
        <v>116</v>
      </c>
      <c r="L200" s="4" t="s">
        <v>117</v>
      </c>
      <c r="M200" s="4" t="s">
        <v>108</v>
      </c>
      <c r="N200" s="4" t="s">
        <v>129</v>
      </c>
      <c r="O200" s="4" t="s">
        <v>130</v>
      </c>
      <c r="P200">
        <v>17</v>
      </c>
      <c r="Q200">
        <v>17</v>
      </c>
      <c r="R200" s="4" t="s">
        <v>158</v>
      </c>
      <c r="S200">
        <v>91.58</v>
      </c>
      <c r="T200">
        <v>1556.86</v>
      </c>
      <c r="U200">
        <v>1433.61</v>
      </c>
      <c r="V200" s="4" t="s">
        <v>30</v>
      </c>
    </row>
    <row r="201" spans="1:22" x14ac:dyDescent="0.2">
      <c r="A201" s="4" t="s">
        <v>384</v>
      </c>
      <c r="B201">
        <v>200</v>
      </c>
      <c r="C201" s="4" t="s">
        <v>26</v>
      </c>
      <c r="D201" s="4" t="s">
        <v>38</v>
      </c>
      <c r="E201" s="4" t="s">
        <v>35</v>
      </c>
      <c r="F201" s="4" t="s">
        <v>1122</v>
      </c>
      <c r="G201">
        <v>7</v>
      </c>
      <c r="H201">
        <v>33</v>
      </c>
      <c r="I201" s="4" t="s">
        <v>1147</v>
      </c>
      <c r="J201" s="4" t="s">
        <v>1005</v>
      </c>
      <c r="K201" s="4" t="s">
        <v>112</v>
      </c>
      <c r="L201" s="4" t="s">
        <v>113</v>
      </c>
      <c r="M201" s="4" t="s">
        <v>108</v>
      </c>
      <c r="N201" s="4" t="s">
        <v>122</v>
      </c>
      <c r="O201" s="4" t="s">
        <v>123</v>
      </c>
      <c r="P201">
        <v>17</v>
      </c>
      <c r="Q201">
        <v>17</v>
      </c>
      <c r="R201" s="4" t="s">
        <v>158</v>
      </c>
      <c r="S201">
        <v>28.47</v>
      </c>
      <c r="T201">
        <v>483.99</v>
      </c>
      <c r="U201">
        <v>399.16</v>
      </c>
      <c r="V201" s="4" t="s">
        <v>30</v>
      </c>
    </row>
    <row r="202" spans="1:22" x14ac:dyDescent="0.2">
      <c r="A202" s="4" t="s">
        <v>385</v>
      </c>
      <c r="B202">
        <v>201</v>
      </c>
      <c r="C202" s="4" t="s">
        <v>26</v>
      </c>
      <c r="D202" s="4" t="s">
        <v>38</v>
      </c>
      <c r="E202" s="4" t="s">
        <v>35</v>
      </c>
      <c r="F202" s="4" t="s">
        <v>1122</v>
      </c>
      <c r="G202">
        <v>7</v>
      </c>
      <c r="H202">
        <v>33</v>
      </c>
      <c r="I202" s="4" t="s">
        <v>1147</v>
      </c>
      <c r="J202" s="4" t="s">
        <v>962</v>
      </c>
      <c r="K202" s="4" t="s">
        <v>112</v>
      </c>
      <c r="L202" s="4" t="s">
        <v>113</v>
      </c>
      <c r="M202" s="4" t="s">
        <v>108</v>
      </c>
      <c r="N202" s="4" t="s">
        <v>122</v>
      </c>
      <c r="O202" s="4" t="s">
        <v>123</v>
      </c>
      <c r="P202">
        <v>65</v>
      </c>
      <c r="Q202">
        <v>65</v>
      </c>
      <c r="R202" s="4" t="s">
        <v>158</v>
      </c>
      <c r="S202">
        <v>28.47</v>
      </c>
      <c r="T202">
        <v>1850.55</v>
      </c>
      <c r="U202">
        <v>1526.2</v>
      </c>
      <c r="V202" s="4" t="s">
        <v>30</v>
      </c>
    </row>
    <row r="203" spans="1:22" x14ac:dyDescent="0.2">
      <c r="A203" s="4" t="s">
        <v>386</v>
      </c>
      <c r="B203">
        <v>202</v>
      </c>
      <c r="C203" s="4" t="s">
        <v>26</v>
      </c>
      <c r="D203" s="4" t="s">
        <v>38</v>
      </c>
      <c r="E203" s="4" t="s">
        <v>35</v>
      </c>
      <c r="F203" s="4" t="s">
        <v>1122</v>
      </c>
      <c r="G203">
        <v>7</v>
      </c>
      <c r="H203">
        <v>33</v>
      </c>
      <c r="I203" s="4" t="s">
        <v>1147</v>
      </c>
      <c r="J203" s="4" t="s">
        <v>956</v>
      </c>
      <c r="K203" s="4" t="s">
        <v>112</v>
      </c>
      <c r="L203" s="4" t="s">
        <v>113</v>
      </c>
      <c r="M203" s="4" t="s">
        <v>108</v>
      </c>
      <c r="N203" s="4" t="s">
        <v>127</v>
      </c>
      <c r="O203" s="4" t="s">
        <v>128</v>
      </c>
      <c r="P203">
        <v>70</v>
      </c>
      <c r="Q203">
        <v>70</v>
      </c>
      <c r="R203" s="4" t="s">
        <v>158</v>
      </c>
      <c r="S203">
        <v>31.78</v>
      </c>
      <c r="T203">
        <v>2224.6</v>
      </c>
      <c r="U203">
        <v>1850.8</v>
      </c>
      <c r="V203" s="4" t="s">
        <v>30</v>
      </c>
    </row>
    <row r="204" spans="1:22" x14ac:dyDescent="0.2">
      <c r="A204" s="4" t="s">
        <v>387</v>
      </c>
      <c r="B204">
        <v>203</v>
      </c>
      <c r="C204" s="4" t="s">
        <v>26</v>
      </c>
      <c r="D204" s="4" t="s">
        <v>38</v>
      </c>
      <c r="E204" s="4" t="s">
        <v>35</v>
      </c>
      <c r="F204" s="4" t="s">
        <v>1122</v>
      </c>
      <c r="G204">
        <v>7</v>
      </c>
      <c r="H204">
        <v>33</v>
      </c>
      <c r="I204" s="4" t="s">
        <v>1148</v>
      </c>
      <c r="J204" s="4" t="s">
        <v>956</v>
      </c>
      <c r="K204" s="4" t="s">
        <v>114</v>
      </c>
      <c r="L204" s="4" t="s">
        <v>115</v>
      </c>
      <c r="M204" s="4" t="s">
        <v>108</v>
      </c>
      <c r="N204" s="4" t="s">
        <v>127</v>
      </c>
      <c r="O204" s="4" t="s">
        <v>128</v>
      </c>
      <c r="P204">
        <v>56</v>
      </c>
      <c r="Q204">
        <v>56</v>
      </c>
      <c r="R204" s="4" t="s">
        <v>158</v>
      </c>
      <c r="S204">
        <v>31.78</v>
      </c>
      <c r="T204">
        <v>1779.68</v>
      </c>
      <c r="U204">
        <v>1480.64</v>
      </c>
      <c r="V204" s="4" t="s">
        <v>30</v>
      </c>
    </row>
    <row r="205" spans="1:22" x14ac:dyDescent="0.2">
      <c r="A205" s="4" t="s">
        <v>388</v>
      </c>
      <c r="B205">
        <v>204</v>
      </c>
      <c r="C205" s="4" t="s">
        <v>26</v>
      </c>
      <c r="D205" s="4" t="s">
        <v>38</v>
      </c>
      <c r="E205" s="4" t="s">
        <v>35</v>
      </c>
      <c r="F205" s="4" t="s">
        <v>1122</v>
      </c>
      <c r="G205">
        <v>7</v>
      </c>
      <c r="H205">
        <v>33</v>
      </c>
      <c r="I205" s="4" t="s">
        <v>1148</v>
      </c>
      <c r="J205" s="4" t="s">
        <v>962</v>
      </c>
      <c r="K205" s="4" t="s">
        <v>114</v>
      </c>
      <c r="L205" s="4" t="s">
        <v>115</v>
      </c>
      <c r="M205" s="4" t="s">
        <v>108</v>
      </c>
      <c r="N205" s="4" t="s">
        <v>127</v>
      </c>
      <c r="O205" s="4" t="s">
        <v>128</v>
      </c>
      <c r="P205">
        <v>58</v>
      </c>
      <c r="Q205">
        <v>58</v>
      </c>
      <c r="R205" s="4" t="s">
        <v>158</v>
      </c>
      <c r="S205">
        <v>31.78</v>
      </c>
      <c r="T205">
        <v>1843.24</v>
      </c>
      <c r="U205">
        <v>1533.52</v>
      </c>
      <c r="V205" s="4" t="s">
        <v>30</v>
      </c>
    </row>
    <row r="206" spans="1:22" x14ac:dyDescent="0.2">
      <c r="A206" s="4" t="s">
        <v>389</v>
      </c>
      <c r="B206">
        <v>205</v>
      </c>
      <c r="C206" s="4" t="s">
        <v>26</v>
      </c>
      <c r="D206" s="4" t="s">
        <v>38</v>
      </c>
      <c r="E206" s="4" t="s">
        <v>35</v>
      </c>
      <c r="F206" s="4" t="s">
        <v>1122</v>
      </c>
      <c r="G206">
        <v>7</v>
      </c>
      <c r="H206">
        <v>33</v>
      </c>
      <c r="I206" s="4" t="s">
        <v>1148</v>
      </c>
      <c r="J206" s="4" t="s">
        <v>967</v>
      </c>
      <c r="K206" s="4" t="s">
        <v>114</v>
      </c>
      <c r="L206" s="4" t="s">
        <v>115</v>
      </c>
      <c r="M206" s="4" t="s">
        <v>108</v>
      </c>
      <c r="N206" s="4" t="s">
        <v>127</v>
      </c>
      <c r="O206" s="4" t="s">
        <v>128</v>
      </c>
      <c r="P206">
        <v>46</v>
      </c>
      <c r="Q206">
        <v>46</v>
      </c>
      <c r="R206" s="4" t="s">
        <v>158</v>
      </c>
      <c r="S206">
        <v>31.78</v>
      </c>
      <c r="T206">
        <v>1461.88</v>
      </c>
      <c r="U206">
        <v>1216.24</v>
      </c>
      <c r="V206" s="4" t="s">
        <v>30</v>
      </c>
    </row>
    <row r="207" spans="1:22" x14ac:dyDescent="0.2">
      <c r="A207" s="4" t="s">
        <v>390</v>
      </c>
      <c r="B207">
        <v>206</v>
      </c>
      <c r="C207" s="4" t="s">
        <v>26</v>
      </c>
      <c r="D207" s="4" t="s">
        <v>38</v>
      </c>
      <c r="E207" s="4" t="s">
        <v>35</v>
      </c>
      <c r="F207" s="4" t="s">
        <v>1122</v>
      </c>
      <c r="G207">
        <v>7</v>
      </c>
      <c r="H207">
        <v>33</v>
      </c>
      <c r="I207" s="4" t="s">
        <v>1148</v>
      </c>
      <c r="J207" s="4" t="s">
        <v>1005</v>
      </c>
      <c r="K207" s="4" t="s">
        <v>114</v>
      </c>
      <c r="L207" s="4" t="s">
        <v>115</v>
      </c>
      <c r="M207" s="4" t="s">
        <v>108</v>
      </c>
      <c r="N207" s="4" t="s">
        <v>131</v>
      </c>
      <c r="O207" s="4" t="s">
        <v>132</v>
      </c>
      <c r="P207">
        <v>14</v>
      </c>
      <c r="Q207">
        <v>14</v>
      </c>
      <c r="R207" s="4" t="s">
        <v>158</v>
      </c>
      <c r="S207">
        <v>67.069999999999993</v>
      </c>
      <c r="T207">
        <v>938.98</v>
      </c>
      <c r="U207">
        <v>856.38</v>
      </c>
      <c r="V207" s="4" t="s">
        <v>30</v>
      </c>
    </row>
    <row r="208" spans="1:22" x14ac:dyDescent="0.2">
      <c r="A208" s="4" t="s">
        <v>391</v>
      </c>
      <c r="B208">
        <v>207</v>
      </c>
      <c r="C208" s="4" t="s">
        <v>26</v>
      </c>
      <c r="D208" s="4" t="s">
        <v>38</v>
      </c>
      <c r="E208" s="4" t="s">
        <v>35</v>
      </c>
      <c r="F208" s="4" t="s">
        <v>1122</v>
      </c>
      <c r="G208">
        <v>7</v>
      </c>
      <c r="H208">
        <v>33</v>
      </c>
      <c r="I208" s="4" t="s">
        <v>1148</v>
      </c>
      <c r="J208" s="4" t="s">
        <v>964</v>
      </c>
      <c r="K208" s="4" t="s">
        <v>114</v>
      </c>
      <c r="L208" s="4" t="s">
        <v>115</v>
      </c>
      <c r="M208" s="4" t="s">
        <v>108</v>
      </c>
      <c r="N208" s="4" t="s">
        <v>131</v>
      </c>
      <c r="O208" s="4" t="s">
        <v>132</v>
      </c>
      <c r="P208">
        <v>37</v>
      </c>
      <c r="Q208">
        <v>37</v>
      </c>
      <c r="R208" s="4" t="s">
        <v>158</v>
      </c>
      <c r="S208">
        <v>67.069999999999993</v>
      </c>
      <c r="T208">
        <v>2481.59</v>
      </c>
      <c r="U208">
        <v>2263.29</v>
      </c>
      <c r="V208" s="4" t="s">
        <v>30</v>
      </c>
    </row>
    <row r="209" spans="1:22" x14ac:dyDescent="0.2">
      <c r="A209" s="4" t="s">
        <v>392</v>
      </c>
      <c r="B209">
        <v>208</v>
      </c>
      <c r="C209" s="4" t="s">
        <v>26</v>
      </c>
      <c r="D209" s="4" t="s">
        <v>38</v>
      </c>
      <c r="E209" s="4" t="s">
        <v>35</v>
      </c>
      <c r="F209" s="4" t="s">
        <v>1122</v>
      </c>
      <c r="G209">
        <v>7</v>
      </c>
      <c r="H209">
        <v>33</v>
      </c>
      <c r="I209" s="4" t="s">
        <v>1148</v>
      </c>
      <c r="J209" s="4" t="s">
        <v>1006</v>
      </c>
      <c r="K209" s="4" t="s">
        <v>114</v>
      </c>
      <c r="L209" s="4" t="s">
        <v>115</v>
      </c>
      <c r="M209" s="4" t="s">
        <v>108</v>
      </c>
      <c r="N209" s="4" t="s">
        <v>133</v>
      </c>
      <c r="O209" s="4" t="s">
        <v>134</v>
      </c>
      <c r="P209">
        <v>40</v>
      </c>
      <c r="Q209">
        <v>40</v>
      </c>
      <c r="R209" s="4" t="s">
        <v>158</v>
      </c>
      <c r="S209">
        <v>48.5</v>
      </c>
      <c r="T209">
        <v>1940</v>
      </c>
      <c r="U209">
        <v>1761.2</v>
      </c>
      <c r="V209" s="4" t="s">
        <v>30</v>
      </c>
    </row>
    <row r="210" spans="1:22" x14ac:dyDescent="0.2">
      <c r="A210" s="4" t="s">
        <v>393</v>
      </c>
      <c r="B210">
        <v>209</v>
      </c>
      <c r="C210" s="4" t="s">
        <v>26</v>
      </c>
      <c r="D210" s="4" t="s">
        <v>38</v>
      </c>
      <c r="E210" s="4" t="s">
        <v>35</v>
      </c>
      <c r="F210" s="4" t="s">
        <v>1122</v>
      </c>
      <c r="G210">
        <v>7</v>
      </c>
      <c r="H210">
        <v>33</v>
      </c>
      <c r="I210" s="4" t="s">
        <v>1149</v>
      </c>
      <c r="J210" s="4" t="s">
        <v>964</v>
      </c>
      <c r="K210" s="4" t="s">
        <v>116</v>
      </c>
      <c r="L210" s="4" t="s">
        <v>117</v>
      </c>
      <c r="M210" s="4" t="s">
        <v>108</v>
      </c>
      <c r="N210" s="4" t="s">
        <v>122</v>
      </c>
      <c r="O210" s="4" t="s">
        <v>123</v>
      </c>
      <c r="P210">
        <v>20</v>
      </c>
      <c r="Q210">
        <v>20</v>
      </c>
      <c r="R210" s="4" t="s">
        <v>158</v>
      </c>
      <c r="S210">
        <v>28.47</v>
      </c>
      <c r="T210">
        <v>569.4</v>
      </c>
      <c r="U210">
        <v>469.6</v>
      </c>
      <c r="V210" s="4" t="s">
        <v>30</v>
      </c>
    </row>
    <row r="211" spans="1:22" x14ac:dyDescent="0.2">
      <c r="A211" s="4" t="s">
        <v>394</v>
      </c>
      <c r="B211">
        <v>210</v>
      </c>
      <c r="C211" s="4" t="s">
        <v>26</v>
      </c>
      <c r="D211" s="4" t="s">
        <v>38</v>
      </c>
      <c r="E211" s="4" t="s">
        <v>35</v>
      </c>
      <c r="F211" s="4" t="s">
        <v>1122</v>
      </c>
      <c r="G211">
        <v>7</v>
      </c>
      <c r="H211">
        <v>33</v>
      </c>
      <c r="I211" s="4" t="s">
        <v>1149</v>
      </c>
      <c r="J211" s="4" t="s">
        <v>956</v>
      </c>
      <c r="K211" s="4" t="s">
        <v>116</v>
      </c>
      <c r="L211" s="4" t="s">
        <v>117</v>
      </c>
      <c r="M211" s="4" t="s">
        <v>108</v>
      </c>
      <c r="N211" s="4" t="s">
        <v>125</v>
      </c>
      <c r="O211" s="4" t="s">
        <v>126</v>
      </c>
      <c r="P211">
        <v>28</v>
      </c>
      <c r="Q211">
        <v>28</v>
      </c>
      <c r="R211" s="4" t="s">
        <v>158</v>
      </c>
      <c r="S211">
        <v>79.87</v>
      </c>
      <c r="T211">
        <v>2236.36</v>
      </c>
      <c r="U211">
        <v>2051.2800000000002</v>
      </c>
      <c r="V211" s="4" t="s">
        <v>30</v>
      </c>
    </row>
    <row r="212" spans="1:22" x14ac:dyDescent="0.2">
      <c r="A212" s="4" t="s">
        <v>395</v>
      </c>
      <c r="B212">
        <v>211</v>
      </c>
      <c r="C212" s="4" t="s">
        <v>26</v>
      </c>
      <c r="D212" s="4" t="s">
        <v>38</v>
      </c>
      <c r="E212" s="4" t="s">
        <v>38</v>
      </c>
      <c r="F212" s="4" t="s">
        <v>1151</v>
      </c>
      <c r="G212">
        <v>7</v>
      </c>
      <c r="H212">
        <v>34</v>
      </c>
      <c r="I212" s="4" t="s">
        <v>1175</v>
      </c>
      <c r="J212" s="4" t="s">
        <v>956</v>
      </c>
      <c r="K212" s="4" t="s">
        <v>112</v>
      </c>
      <c r="L212" s="4" t="s">
        <v>113</v>
      </c>
      <c r="M212" s="4" t="s">
        <v>108</v>
      </c>
      <c r="N212" s="4" t="s">
        <v>133</v>
      </c>
      <c r="O212" s="4" t="s">
        <v>134</v>
      </c>
      <c r="P212">
        <v>11</v>
      </c>
      <c r="Q212">
        <v>11</v>
      </c>
      <c r="R212" s="4" t="s">
        <v>158</v>
      </c>
      <c r="S212">
        <v>48.5</v>
      </c>
      <c r="T212">
        <v>533.5</v>
      </c>
      <c r="U212">
        <v>484.33</v>
      </c>
      <c r="V212" s="4" t="s">
        <v>30</v>
      </c>
    </row>
    <row r="213" spans="1:22" x14ac:dyDescent="0.2">
      <c r="A213" s="4" t="s">
        <v>396</v>
      </c>
      <c r="B213">
        <v>212</v>
      </c>
      <c r="C213" s="4" t="s">
        <v>26</v>
      </c>
      <c r="D213" s="4" t="s">
        <v>38</v>
      </c>
      <c r="E213" s="4" t="s">
        <v>38</v>
      </c>
      <c r="F213" s="4" t="s">
        <v>1151</v>
      </c>
      <c r="G213">
        <v>7</v>
      </c>
      <c r="H213">
        <v>34</v>
      </c>
      <c r="I213" s="4" t="s">
        <v>1176</v>
      </c>
      <c r="J213" s="4" t="s">
        <v>956</v>
      </c>
      <c r="K213" s="4" t="s">
        <v>114</v>
      </c>
      <c r="L213" s="4" t="s">
        <v>115</v>
      </c>
      <c r="M213" s="4" t="s">
        <v>108</v>
      </c>
      <c r="N213" s="4" t="s">
        <v>122</v>
      </c>
      <c r="O213" s="4" t="s">
        <v>123</v>
      </c>
      <c r="P213">
        <v>65</v>
      </c>
      <c r="Q213">
        <v>65</v>
      </c>
      <c r="R213" s="4" t="s">
        <v>158</v>
      </c>
      <c r="S213">
        <v>28.47</v>
      </c>
      <c r="T213">
        <v>1850.55</v>
      </c>
      <c r="U213">
        <v>1526.2</v>
      </c>
      <c r="V213" s="4" t="s">
        <v>30</v>
      </c>
    </row>
    <row r="214" spans="1:22" x14ac:dyDescent="0.2">
      <c r="A214" s="4" t="s">
        <v>397</v>
      </c>
      <c r="B214">
        <v>213</v>
      </c>
      <c r="C214" s="4" t="s">
        <v>26</v>
      </c>
      <c r="D214" s="4" t="s">
        <v>38</v>
      </c>
      <c r="E214" s="4" t="s">
        <v>38</v>
      </c>
      <c r="F214" s="4" t="s">
        <v>1151</v>
      </c>
      <c r="G214">
        <v>7</v>
      </c>
      <c r="H214">
        <v>34</v>
      </c>
      <c r="I214" s="4" t="s">
        <v>1176</v>
      </c>
      <c r="J214" s="4" t="s">
        <v>962</v>
      </c>
      <c r="K214" s="4" t="s">
        <v>114</v>
      </c>
      <c r="L214" s="4" t="s">
        <v>115</v>
      </c>
      <c r="M214" s="4" t="s">
        <v>108</v>
      </c>
      <c r="N214" s="4" t="s">
        <v>129</v>
      </c>
      <c r="O214" s="4" t="s">
        <v>130</v>
      </c>
      <c r="P214">
        <v>23</v>
      </c>
      <c r="Q214">
        <v>23</v>
      </c>
      <c r="R214" s="4" t="s">
        <v>158</v>
      </c>
      <c r="S214">
        <v>91.58</v>
      </c>
      <c r="T214">
        <v>2106.34</v>
      </c>
      <c r="U214">
        <v>1939.59</v>
      </c>
      <c r="V214" s="4" t="s">
        <v>30</v>
      </c>
    </row>
    <row r="215" spans="1:22" x14ac:dyDescent="0.2">
      <c r="A215" s="4" t="s">
        <v>398</v>
      </c>
      <c r="B215">
        <v>214</v>
      </c>
      <c r="C215" s="4" t="s">
        <v>26</v>
      </c>
      <c r="D215" s="4" t="s">
        <v>38</v>
      </c>
      <c r="E215" s="4" t="s">
        <v>38</v>
      </c>
      <c r="F215" s="4" t="s">
        <v>1151</v>
      </c>
      <c r="G215">
        <v>7</v>
      </c>
      <c r="H215">
        <v>34</v>
      </c>
      <c r="I215" s="4" t="s">
        <v>1177</v>
      </c>
      <c r="J215" s="4" t="s">
        <v>962</v>
      </c>
      <c r="K215" s="4" t="s">
        <v>116</v>
      </c>
      <c r="L215" s="4" t="s">
        <v>117</v>
      </c>
      <c r="M215" s="4" t="s">
        <v>108</v>
      </c>
      <c r="N215" s="4" t="s">
        <v>129</v>
      </c>
      <c r="O215" s="4" t="s">
        <v>130</v>
      </c>
      <c r="P215">
        <v>22</v>
      </c>
      <c r="Q215">
        <v>22</v>
      </c>
      <c r="R215" s="4" t="s">
        <v>158</v>
      </c>
      <c r="S215">
        <v>91.58</v>
      </c>
      <c r="T215">
        <v>2014.76</v>
      </c>
      <c r="U215">
        <v>1855.26</v>
      </c>
      <c r="V215" s="4" t="s">
        <v>30</v>
      </c>
    </row>
    <row r="216" spans="1:22" x14ac:dyDescent="0.2">
      <c r="A216" s="4" t="s">
        <v>399</v>
      </c>
      <c r="B216">
        <v>215</v>
      </c>
      <c r="C216" s="4" t="s">
        <v>26</v>
      </c>
      <c r="D216" s="4" t="s">
        <v>38</v>
      </c>
      <c r="E216" s="4" t="s">
        <v>38</v>
      </c>
      <c r="F216" s="4" t="s">
        <v>1151</v>
      </c>
      <c r="G216">
        <v>7</v>
      </c>
      <c r="H216">
        <v>34</v>
      </c>
      <c r="I216" s="4" t="s">
        <v>1178</v>
      </c>
      <c r="J216" s="4" t="s">
        <v>964</v>
      </c>
      <c r="K216" s="4" t="s">
        <v>116</v>
      </c>
      <c r="L216" s="4" t="s">
        <v>117</v>
      </c>
      <c r="M216" s="4" t="s">
        <v>108</v>
      </c>
      <c r="N216" s="4" t="s">
        <v>129</v>
      </c>
      <c r="O216" s="4" t="s">
        <v>130</v>
      </c>
      <c r="P216">
        <v>16</v>
      </c>
      <c r="Q216">
        <v>16</v>
      </c>
      <c r="R216" s="4" t="s">
        <v>158</v>
      </c>
      <c r="S216">
        <v>91.58</v>
      </c>
      <c r="T216">
        <v>1465.28</v>
      </c>
      <c r="U216">
        <v>1349.28</v>
      </c>
      <c r="V216" s="4" t="s">
        <v>30</v>
      </c>
    </row>
    <row r="217" spans="1:22" x14ac:dyDescent="0.2">
      <c r="A217" s="4" t="s">
        <v>400</v>
      </c>
      <c r="B217">
        <v>216</v>
      </c>
      <c r="C217" s="4" t="s">
        <v>26</v>
      </c>
      <c r="D217" s="4" t="s">
        <v>38</v>
      </c>
      <c r="E217" s="4" t="s">
        <v>38</v>
      </c>
      <c r="F217" s="4" t="s">
        <v>1151</v>
      </c>
      <c r="G217">
        <v>7</v>
      </c>
      <c r="H217">
        <v>34</v>
      </c>
      <c r="I217" s="4" t="s">
        <v>1178</v>
      </c>
      <c r="J217" s="4" t="s">
        <v>962</v>
      </c>
      <c r="K217" s="4" t="s">
        <v>116</v>
      </c>
      <c r="L217" s="4" t="s">
        <v>117</v>
      </c>
      <c r="M217" s="4" t="s">
        <v>108</v>
      </c>
      <c r="N217" s="4" t="s">
        <v>129</v>
      </c>
      <c r="O217" s="4" t="s">
        <v>130</v>
      </c>
      <c r="P217">
        <v>22</v>
      </c>
      <c r="Q217">
        <v>22</v>
      </c>
      <c r="R217" s="4" t="s">
        <v>158</v>
      </c>
      <c r="S217">
        <v>91.58</v>
      </c>
      <c r="T217">
        <v>2014.76</v>
      </c>
      <c r="U217">
        <v>1855.26</v>
      </c>
      <c r="V217" s="4" t="s">
        <v>30</v>
      </c>
    </row>
    <row r="218" spans="1:22" x14ac:dyDescent="0.2">
      <c r="A218" s="4" t="s">
        <v>401</v>
      </c>
      <c r="B218">
        <v>217</v>
      </c>
      <c r="C218" s="4" t="s">
        <v>26</v>
      </c>
      <c r="D218" s="4" t="s">
        <v>38</v>
      </c>
      <c r="E218" s="4" t="s">
        <v>38</v>
      </c>
      <c r="F218" s="4" t="s">
        <v>1151</v>
      </c>
      <c r="G218">
        <v>7</v>
      </c>
      <c r="H218">
        <v>34</v>
      </c>
      <c r="I218" s="4" t="s">
        <v>1178</v>
      </c>
      <c r="J218" s="4" t="s">
        <v>956</v>
      </c>
      <c r="K218" s="4" t="s">
        <v>116</v>
      </c>
      <c r="L218" s="4" t="s">
        <v>117</v>
      </c>
      <c r="M218" s="4" t="s">
        <v>108</v>
      </c>
      <c r="N218" s="4" t="s">
        <v>131</v>
      </c>
      <c r="O218" s="4" t="s">
        <v>132</v>
      </c>
      <c r="P218">
        <v>30</v>
      </c>
      <c r="Q218">
        <v>30</v>
      </c>
      <c r="R218" s="4" t="s">
        <v>158</v>
      </c>
      <c r="S218">
        <v>67.069999999999993</v>
      </c>
      <c r="T218">
        <v>2012.1</v>
      </c>
      <c r="U218">
        <v>1835.1</v>
      </c>
      <c r="V218" s="4" t="s">
        <v>30</v>
      </c>
    </row>
    <row r="219" spans="1:22" x14ac:dyDescent="0.2">
      <c r="A219" s="4" t="s">
        <v>402</v>
      </c>
      <c r="B219">
        <v>218</v>
      </c>
      <c r="C219" s="4" t="s">
        <v>26</v>
      </c>
      <c r="D219" s="4" t="s">
        <v>38</v>
      </c>
      <c r="E219" s="4" t="s">
        <v>38</v>
      </c>
      <c r="F219" s="4" t="s">
        <v>1151</v>
      </c>
      <c r="G219">
        <v>7</v>
      </c>
      <c r="H219">
        <v>34</v>
      </c>
      <c r="I219" s="4" t="s">
        <v>1177</v>
      </c>
      <c r="J219" s="4" t="s">
        <v>956</v>
      </c>
      <c r="K219" s="4" t="s">
        <v>116</v>
      </c>
      <c r="L219" s="4" t="s">
        <v>117</v>
      </c>
      <c r="M219" s="4" t="s">
        <v>108</v>
      </c>
      <c r="N219" s="4" t="s">
        <v>133</v>
      </c>
      <c r="O219" s="4" t="s">
        <v>134</v>
      </c>
      <c r="P219">
        <v>30</v>
      </c>
      <c r="Q219">
        <v>30</v>
      </c>
      <c r="R219" s="4" t="s">
        <v>158</v>
      </c>
      <c r="S219">
        <v>48.5</v>
      </c>
      <c r="T219">
        <v>1455</v>
      </c>
      <c r="U219">
        <v>1320.9</v>
      </c>
      <c r="V219" s="4" t="s">
        <v>30</v>
      </c>
    </row>
    <row r="220" spans="1:22" x14ac:dyDescent="0.2">
      <c r="A220" s="4" t="s">
        <v>403</v>
      </c>
      <c r="B220">
        <v>219</v>
      </c>
      <c r="C220" s="4" t="s">
        <v>26</v>
      </c>
      <c r="D220" s="4" t="s">
        <v>38</v>
      </c>
      <c r="E220" s="4" t="s">
        <v>41</v>
      </c>
      <c r="F220" s="4" t="s">
        <v>1180</v>
      </c>
      <c r="G220">
        <v>7</v>
      </c>
      <c r="H220">
        <v>35</v>
      </c>
      <c r="I220" s="4" t="s">
        <v>1204</v>
      </c>
      <c r="J220" s="4" t="s">
        <v>962</v>
      </c>
      <c r="K220" s="4" t="s">
        <v>112</v>
      </c>
      <c r="L220" s="4" t="s">
        <v>113</v>
      </c>
      <c r="M220" s="4" t="s">
        <v>108</v>
      </c>
      <c r="N220" s="4" t="s">
        <v>122</v>
      </c>
      <c r="O220" s="4" t="s">
        <v>123</v>
      </c>
      <c r="P220">
        <v>58</v>
      </c>
      <c r="Q220">
        <v>58</v>
      </c>
      <c r="R220" s="4" t="s">
        <v>158</v>
      </c>
      <c r="S220">
        <v>28.47</v>
      </c>
      <c r="T220">
        <v>1651.26</v>
      </c>
      <c r="U220">
        <v>1361.84</v>
      </c>
      <c r="V220" s="4" t="s">
        <v>30</v>
      </c>
    </row>
    <row r="221" spans="1:22" x14ac:dyDescent="0.2">
      <c r="A221" s="4" t="s">
        <v>404</v>
      </c>
      <c r="B221">
        <v>220</v>
      </c>
      <c r="C221" s="4" t="s">
        <v>26</v>
      </c>
      <c r="D221" s="4" t="s">
        <v>38</v>
      </c>
      <c r="E221" s="4" t="s">
        <v>41</v>
      </c>
      <c r="F221" s="4" t="s">
        <v>1180</v>
      </c>
      <c r="G221">
        <v>7</v>
      </c>
      <c r="H221">
        <v>35</v>
      </c>
      <c r="I221" s="4" t="s">
        <v>1204</v>
      </c>
      <c r="J221" s="4" t="s">
        <v>956</v>
      </c>
      <c r="K221" s="4" t="s">
        <v>112</v>
      </c>
      <c r="L221" s="4" t="s">
        <v>113</v>
      </c>
      <c r="M221" s="4" t="s">
        <v>108</v>
      </c>
      <c r="N221" s="4" t="s">
        <v>122</v>
      </c>
      <c r="O221" s="4" t="s">
        <v>123</v>
      </c>
      <c r="P221">
        <v>72</v>
      </c>
      <c r="Q221">
        <v>72</v>
      </c>
      <c r="R221" s="4" t="s">
        <v>158</v>
      </c>
      <c r="S221">
        <v>28.47</v>
      </c>
      <c r="T221">
        <v>2049.84</v>
      </c>
      <c r="U221">
        <v>1690.56</v>
      </c>
      <c r="V221" s="4" t="s">
        <v>30</v>
      </c>
    </row>
    <row r="222" spans="1:22" x14ac:dyDescent="0.2">
      <c r="A222" s="4" t="s">
        <v>405</v>
      </c>
      <c r="B222">
        <v>221</v>
      </c>
      <c r="C222" s="4" t="s">
        <v>26</v>
      </c>
      <c r="D222" s="4" t="s">
        <v>38</v>
      </c>
      <c r="E222" s="4" t="s">
        <v>41</v>
      </c>
      <c r="F222" s="4" t="s">
        <v>1180</v>
      </c>
      <c r="G222">
        <v>7</v>
      </c>
      <c r="H222">
        <v>35</v>
      </c>
      <c r="I222" s="4" t="s">
        <v>1205</v>
      </c>
      <c r="J222" s="4" t="s">
        <v>962</v>
      </c>
      <c r="K222" s="4" t="s">
        <v>112</v>
      </c>
      <c r="L222" s="4" t="s">
        <v>113</v>
      </c>
      <c r="M222" s="4" t="s">
        <v>108</v>
      </c>
      <c r="N222" s="4" t="s">
        <v>122</v>
      </c>
      <c r="O222" s="4" t="s">
        <v>123</v>
      </c>
      <c r="P222">
        <v>72</v>
      </c>
      <c r="Q222">
        <v>72</v>
      </c>
      <c r="R222" s="4" t="s">
        <v>158</v>
      </c>
      <c r="S222">
        <v>28.47</v>
      </c>
      <c r="T222">
        <v>2049.84</v>
      </c>
      <c r="U222">
        <v>1690.56</v>
      </c>
      <c r="V222" s="4" t="s">
        <v>30</v>
      </c>
    </row>
    <row r="223" spans="1:22" x14ac:dyDescent="0.2">
      <c r="A223" s="4" t="s">
        <v>406</v>
      </c>
      <c r="B223">
        <v>222</v>
      </c>
      <c r="C223" s="4" t="s">
        <v>26</v>
      </c>
      <c r="D223" s="4" t="s">
        <v>38</v>
      </c>
      <c r="E223" s="4" t="s">
        <v>41</v>
      </c>
      <c r="F223" s="4" t="s">
        <v>1180</v>
      </c>
      <c r="G223">
        <v>7</v>
      </c>
      <c r="H223">
        <v>35</v>
      </c>
      <c r="I223" s="4" t="s">
        <v>1205</v>
      </c>
      <c r="J223" s="4" t="s">
        <v>956</v>
      </c>
      <c r="K223" s="4" t="s">
        <v>112</v>
      </c>
      <c r="L223" s="4" t="s">
        <v>113</v>
      </c>
      <c r="M223" s="4" t="s">
        <v>108</v>
      </c>
      <c r="N223" s="4" t="s">
        <v>129</v>
      </c>
      <c r="O223" s="4" t="s">
        <v>130</v>
      </c>
      <c r="P223">
        <v>19</v>
      </c>
      <c r="Q223">
        <v>19</v>
      </c>
      <c r="R223" s="4" t="s">
        <v>158</v>
      </c>
      <c r="S223">
        <v>91.58</v>
      </c>
      <c r="T223">
        <v>1740.02</v>
      </c>
      <c r="U223">
        <v>1602.27</v>
      </c>
      <c r="V223" s="4" t="s">
        <v>30</v>
      </c>
    </row>
    <row r="224" spans="1:22" x14ac:dyDescent="0.2">
      <c r="A224" s="4" t="s">
        <v>407</v>
      </c>
      <c r="B224">
        <v>223</v>
      </c>
      <c r="C224" s="4" t="s">
        <v>26</v>
      </c>
      <c r="D224" s="4" t="s">
        <v>38</v>
      </c>
      <c r="E224" s="4" t="s">
        <v>41</v>
      </c>
      <c r="F224" s="4" t="s">
        <v>1180</v>
      </c>
      <c r="G224">
        <v>7</v>
      </c>
      <c r="H224">
        <v>35</v>
      </c>
      <c r="I224" s="4" t="s">
        <v>1206</v>
      </c>
      <c r="J224" s="4" t="s">
        <v>956</v>
      </c>
      <c r="K224" s="4" t="s">
        <v>114</v>
      </c>
      <c r="L224" s="4" t="s">
        <v>115</v>
      </c>
      <c r="M224" s="4" t="s">
        <v>108</v>
      </c>
      <c r="N224" s="4" t="s">
        <v>127</v>
      </c>
      <c r="O224" s="4" t="s">
        <v>128</v>
      </c>
      <c r="P224">
        <v>68</v>
      </c>
      <c r="Q224">
        <v>68</v>
      </c>
      <c r="R224" s="4" t="s">
        <v>158</v>
      </c>
      <c r="S224">
        <v>31.78</v>
      </c>
      <c r="T224">
        <v>2161.04</v>
      </c>
      <c r="U224">
        <v>1797.92</v>
      </c>
      <c r="V224" s="4" t="s">
        <v>30</v>
      </c>
    </row>
    <row r="225" spans="1:22" x14ac:dyDescent="0.2">
      <c r="A225" s="4" t="s">
        <v>408</v>
      </c>
      <c r="B225">
        <v>224</v>
      </c>
      <c r="C225" s="4" t="s">
        <v>26</v>
      </c>
      <c r="D225" s="4" t="s">
        <v>38</v>
      </c>
      <c r="E225" s="4" t="s">
        <v>41</v>
      </c>
      <c r="F225" s="4" t="s">
        <v>1180</v>
      </c>
      <c r="G225">
        <v>7</v>
      </c>
      <c r="H225">
        <v>35</v>
      </c>
      <c r="I225" s="4" t="s">
        <v>1207</v>
      </c>
      <c r="J225" s="4" t="s">
        <v>956</v>
      </c>
      <c r="K225" s="4" t="s">
        <v>114</v>
      </c>
      <c r="L225" s="4" t="s">
        <v>115</v>
      </c>
      <c r="M225" s="4" t="s">
        <v>108</v>
      </c>
      <c r="N225" s="4" t="s">
        <v>127</v>
      </c>
      <c r="O225" s="4" t="s">
        <v>128</v>
      </c>
      <c r="P225">
        <v>51</v>
      </c>
      <c r="Q225">
        <v>51</v>
      </c>
      <c r="R225" s="4" t="s">
        <v>158</v>
      </c>
      <c r="S225">
        <v>31.78</v>
      </c>
      <c r="T225">
        <v>1620.78</v>
      </c>
      <c r="U225">
        <v>1348.44</v>
      </c>
      <c r="V225" s="4" t="s">
        <v>30</v>
      </c>
    </row>
    <row r="226" spans="1:22" x14ac:dyDescent="0.2">
      <c r="A226" s="4" t="s">
        <v>409</v>
      </c>
      <c r="B226">
        <v>225</v>
      </c>
      <c r="C226" s="4" t="s">
        <v>26</v>
      </c>
      <c r="D226" s="4" t="s">
        <v>38</v>
      </c>
      <c r="E226" s="4" t="s">
        <v>41</v>
      </c>
      <c r="F226" s="4" t="s">
        <v>1180</v>
      </c>
      <c r="G226">
        <v>7</v>
      </c>
      <c r="H226">
        <v>35</v>
      </c>
      <c r="I226" s="4" t="s">
        <v>1207</v>
      </c>
      <c r="J226" s="4" t="s">
        <v>964</v>
      </c>
      <c r="K226" s="4" t="s">
        <v>114</v>
      </c>
      <c r="L226" s="4" t="s">
        <v>115</v>
      </c>
      <c r="M226" s="4" t="s">
        <v>108</v>
      </c>
      <c r="N226" s="4" t="s">
        <v>127</v>
      </c>
      <c r="O226" s="4" t="s">
        <v>128</v>
      </c>
      <c r="P226">
        <v>15</v>
      </c>
      <c r="Q226">
        <v>15</v>
      </c>
      <c r="R226" s="4" t="s">
        <v>158</v>
      </c>
      <c r="S226">
        <v>31.78</v>
      </c>
      <c r="T226">
        <v>476.7</v>
      </c>
      <c r="U226">
        <v>396.6</v>
      </c>
      <c r="V226" s="4" t="s">
        <v>30</v>
      </c>
    </row>
    <row r="227" spans="1:22" x14ac:dyDescent="0.2">
      <c r="A227" s="4" t="s">
        <v>410</v>
      </c>
      <c r="B227">
        <v>226</v>
      </c>
      <c r="C227" s="4" t="s">
        <v>26</v>
      </c>
      <c r="D227" s="4" t="s">
        <v>38</v>
      </c>
      <c r="E227" s="4" t="s">
        <v>41</v>
      </c>
      <c r="F227" s="4" t="s">
        <v>1180</v>
      </c>
      <c r="G227">
        <v>7</v>
      </c>
      <c r="H227">
        <v>35</v>
      </c>
      <c r="I227" s="4" t="s">
        <v>1207</v>
      </c>
      <c r="J227" s="4" t="s">
        <v>962</v>
      </c>
      <c r="K227" s="4" t="s">
        <v>114</v>
      </c>
      <c r="L227" s="4" t="s">
        <v>115</v>
      </c>
      <c r="M227" s="4" t="s">
        <v>108</v>
      </c>
      <c r="N227" s="4" t="s">
        <v>131</v>
      </c>
      <c r="O227" s="4" t="s">
        <v>132</v>
      </c>
      <c r="P227">
        <v>25</v>
      </c>
      <c r="Q227">
        <v>25</v>
      </c>
      <c r="R227" s="4" t="s">
        <v>158</v>
      </c>
      <c r="S227">
        <v>67.069999999999993</v>
      </c>
      <c r="T227">
        <v>1676.75</v>
      </c>
      <c r="U227">
        <v>1529.25</v>
      </c>
      <c r="V227" s="4" t="s">
        <v>30</v>
      </c>
    </row>
    <row r="228" spans="1:22" x14ac:dyDescent="0.2">
      <c r="A228" s="4" t="s">
        <v>411</v>
      </c>
      <c r="B228">
        <v>227</v>
      </c>
      <c r="C228" s="4" t="s">
        <v>26</v>
      </c>
      <c r="D228" s="4" t="s">
        <v>38</v>
      </c>
      <c r="E228" s="4" t="s">
        <v>41</v>
      </c>
      <c r="F228" s="4" t="s">
        <v>1180</v>
      </c>
      <c r="G228">
        <v>7</v>
      </c>
      <c r="H228">
        <v>35</v>
      </c>
      <c r="I228" s="4" t="s">
        <v>1208</v>
      </c>
      <c r="J228" s="4" t="s">
        <v>956</v>
      </c>
      <c r="K228" s="4" t="s">
        <v>116</v>
      </c>
      <c r="L228" s="4" t="s">
        <v>117</v>
      </c>
      <c r="M228" s="4" t="s">
        <v>108</v>
      </c>
      <c r="N228" s="4" t="s">
        <v>127</v>
      </c>
      <c r="O228" s="4" t="s">
        <v>128</v>
      </c>
      <c r="P228">
        <v>50</v>
      </c>
      <c r="Q228">
        <v>50</v>
      </c>
      <c r="R228" s="4" t="s">
        <v>158</v>
      </c>
      <c r="S228">
        <v>31.78</v>
      </c>
      <c r="T228">
        <v>1589</v>
      </c>
      <c r="U228">
        <v>1322</v>
      </c>
      <c r="V228" s="4" t="s">
        <v>30</v>
      </c>
    </row>
    <row r="229" spans="1:22" x14ac:dyDescent="0.2">
      <c r="A229" s="4" t="s">
        <v>412</v>
      </c>
      <c r="B229">
        <v>228</v>
      </c>
      <c r="C229" s="4" t="s">
        <v>26</v>
      </c>
      <c r="D229" s="4" t="s">
        <v>38</v>
      </c>
      <c r="E229" s="4" t="s">
        <v>44</v>
      </c>
      <c r="F229" s="4" t="s">
        <v>1210</v>
      </c>
      <c r="G229">
        <v>8</v>
      </c>
      <c r="H229">
        <v>36</v>
      </c>
      <c r="I229" s="4" t="s">
        <v>1235</v>
      </c>
      <c r="J229" s="4" t="s">
        <v>962</v>
      </c>
      <c r="K229" s="4" t="s">
        <v>112</v>
      </c>
      <c r="L229" s="4" t="s">
        <v>113</v>
      </c>
      <c r="M229" s="4" t="s">
        <v>108</v>
      </c>
      <c r="N229" s="4" t="s">
        <v>122</v>
      </c>
      <c r="O229" s="4" t="s">
        <v>123</v>
      </c>
      <c r="P229">
        <v>68</v>
      </c>
      <c r="Q229">
        <v>68</v>
      </c>
      <c r="R229" s="4" t="s">
        <v>158</v>
      </c>
      <c r="S229">
        <v>28.47</v>
      </c>
      <c r="T229">
        <v>1935.96</v>
      </c>
      <c r="U229">
        <v>1596.64</v>
      </c>
      <c r="V229" s="4" t="s">
        <v>30</v>
      </c>
    </row>
    <row r="230" spans="1:22" x14ac:dyDescent="0.2">
      <c r="A230" s="4" t="s">
        <v>413</v>
      </c>
      <c r="B230">
        <v>229</v>
      </c>
      <c r="C230" s="4" t="s">
        <v>26</v>
      </c>
      <c r="D230" s="4" t="s">
        <v>38</v>
      </c>
      <c r="E230" s="4" t="s">
        <v>44</v>
      </c>
      <c r="F230" s="4" t="s">
        <v>1210</v>
      </c>
      <c r="G230">
        <v>8</v>
      </c>
      <c r="H230">
        <v>36</v>
      </c>
      <c r="I230" s="4" t="s">
        <v>1236</v>
      </c>
      <c r="J230" s="4" t="s">
        <v>956</v>
      </c>
      <c r="K230" s="4" t="s">
        <v>112</v>
      </c>
      <c r="L230" s="4" t="s">
        <v>113</v>
      </c>
      <c r="M230" s="4" t="s">
        <v>108</v>
      </c>
      <c r="N230" s="4" t="s">
        <v>125</v>
      </c>
      <c r="O230" s="4" t="s">
        <v>126</v>
      </c>
      <c r="P230">
        <v>25</v>
      </c>
      <c r="Q230">
        <v>25</v>
      </c>
      <c r="R230" s="4" t="s">
        <v>158</v>
      </c>
      <c r="S230">
        <v>79.87</v>
      </c>
      <c r="T230">
        <v>1996.75</v>
      </c>
      <c r="U230">
        <v>1831.5</v>
      </c>
      <c r="V230" s="4" t="s">
        <v>30</v>
      </c>
    </row>
    <row r="231" spans="1:22" x14ac:dyDescent="0.2">
      <c r="A231" s="4" t="s">
        <v>414</v>
      </c>
      <c r="B231">
        <v>230</v>
      </c>
      <c r="C231" s="4" t="s">
        <v>26</v>
      </c>
      <c r="D231" s="4" t="s">
        <v>38</v>
      </c>
      <c r="E231" s="4" t="s">
        <v>44</v>
      </c>
      <c r="F231" s="4" t="s">
        <v>1210</v>
      </c>
      <c r="G231">
        <v>8</v>
      </c>
      <c r="H231">
        <v>36</v>
      </c>
      <c r="I231" s="4" t="s">
        <v>1236</v>
      </c>
      <c r="J231" s="4" t="s">
        <v>964</v>
      </c>
      <c r="K231" s="4" t="s">
        <v>112</v>
      </c>
      <c r="L231" s="4" t="s">
        <v>113</v>
      </c>
      <c r="M231" s="4" t="s">
        <v>108</v>
      </c>
      <c r="N231" s="4" t="s">
        <v>129</v>
      </c>
      <c r="O231" s="4" t="s">
        <v>130</v>
      </c>
      <c r="P231">
        <v>20</v>
      </c>
      <c r="Q231">
        <v>20</v>
      </c>
      <c r="R231" s="4" t="s">
        <v>158</v>
      </c>
      <c r="S231">
        <v>91.58</v>
      </c>
      <c r="T231">
        <v>1831.6</v>
      </c>
      <c r="U231">
        <v>1686.6</v>
      </c>
      <c r="V231" s="4" t="s">
        <v>30</v>
      </c>
    </row>
    <row r="232" spans="1:22" x14ac:dyDescent="0.2">
      <c r="A232" s="4" t="s">
        <v>415</v>
      </c>
      <c r="B232">
        <v>231</v>
      </c>
      <c r="C232" s="4" t="s">
        <v>26</v>
      </c>
      <c r="D232" s="4" t="s">
        <v>38</v>
      </c>
      <c r="E232" s="4" t="s">
        <v>44</v>
      </c>
      <c r="F232" s="4" t="s">
        <v>1210</v>
      </c>
      <c r="G232">
        <v>8</v>
      </c>
      <c r="H232">
        <v>36</v>
      </c>
      <c r="I232" s="4" t="s">
        <v>1236</v>
      </c>
      <c r="J232" s="4" t="s">
        <v>962</v>
      </c>
      <c r="K232" s="4" t="s">
        <v>112</v>
      </c>
      <c r="L232" s="4" t="s">
        <v>113</v>
      </c>
      <c r="M232" s="4" t="s">
        <v>108</v>
      </c>
      <c r="N232" s="4" t="s">
        <v>131</v>
      </c>
      <c r="O232" s="4" t="s">
        <v>132</v>
      </c>
      <c r="P232">
        <v>35</v>
      </c>
      <c r="Q232">
        <v>35</v>
      </c>
      <c r="R232" s="4" t="s">
        <v>158</v>
      </c>
      <c r="S232">
        <v>67.069999999999993</v>
      </c>
      <c r="T232">
        <v>2347.4499999999998</v>
      </c>
      <c r="U232">
        <v>2140.9499999999998</v>
      </c>
      <c r="V232" s="4" t="s">
        <v>30</v>
      </c>
    </row>
    <row r="233" spans="1:22" x14ac:dyDescent="0.2">
      <c r="A233" s="4" t="s">
        <v>416</v>
      </c>
      <c r="B233">
        <v>232</v>
      </c>
      <c r="C233" s="4" t="s">
        <v>26</v>
      </c>
      <c r="D233" s="4" t="s">
        <v>38</v>
      </c>
      <c r="E233" s="4" t="s">
        <v>44</v>
      </c>
      <c r="F233" s="4" t="s">
        <v>1210</v>
      </c>
      <c r="G233">
        <v>8</v>
      </c>
      <c r="H233">
        <v>36</v>
      </c>
      <c r="I233" s="4" t="s">
        <v>1235</v>
      </c>
      <c r="J233" s="4" t="s">
        <v>956</v>
      </c>
      <c r="K233" s="4" t="s">
        <v>112</v>
      </c>
      <c r="L233" s="4" t="s">
        <v>113</v>
      </c>
      <c r="M233" s="4" t="s">
        <v>108</v>
      </c>
      <c r="N233" s="4" t="s">
        <v>133</v>
      </c>
      <c r="O233" s="4" t="s">
        <v>134</v>
      </c>
      <c r="P233">
        <v>41</v>
      </c>
      <c r="Q233">
        <v>41</v>
      </c>
      <c r="R233" s="4" t="s">
        <v>158</v>
      </c>
      <c r="S233">
        <v>48.5</v>
      </c>
      <c r="T233">
        <v>1988.5</v>
      </c>
      <c r="U233">
        <v>1805.23</v>
      </c>
      <c r="V233" s="4" t="s">
        <v>30</v>
      </c>
    </row>
    <row r="234" spans="1:22" x14ac:dyDescent="0.2">
      <c r="A234" s="4" t="s">
        <v>417</v>
      </c>
      <c r="B234">
        <v>233</v>
      </c>
      <c r="C234" s="4" t="s">
        <v>26</v>
      </c>
      <c r="D234" s="4" t="s">
        <v>38</v>
      </c>
      <c r="E234" s="4" t="s">
        <v>44</v>
      </c>
      <c r="F234" s="4" t="s">
        <v>1210</v>
      </c>
      <c r="G234">
        <v>8</v>
      </c>
      <c r="H234">
        <v>36</v>
      </c>
      <c r="I234" s="4" t="s">
        <v>1235</v>
      </c>
      <c r="J234" s="4" t="s">
        <v>964</v>
      </c>
      <c r="K234" s="4" t="s">
        <v>112</v>
      </c>
      <c r="L234" s="4" t="s">
        <v>113</v>
      </c>
      <c r="M234" s="4" t="s">
        <v>108</v>
      </c>
      <c r="N234" s="4" t="s">
        <v>133</v>
      </c>
      <c r="O234" s="4" t="s">
        <v>134</v>
      </c>
      <c r="P234">
        <v>9</v>
      </c>
      <c r="Q234">
        <v>9</v>
      </c>
      <c r="R234" s="4" t="s">
        <v>158</v>
      </c>
      <c r="S234">
        <v>48.5</v>
      </c>
      <c r="T234">
        <v>436.5</v>
      </c>
      <c r="U234">
        <v>396.27</v>
      </c>
      <c r="V234" s="4" t="s">
        <v>30</v>
      </c>
    </row>
    <row r="235" spans="1:22" x14ac:dyDescent="0.2">
      <c r="A235" s="4" t="s">
        <v>418</v>
      </c>
      <c r="B235">
        <v>234</v>
      </c>
      <c r="C235" s="4" t="s">
        <v>26</v>
      </c>
      <c r="D235" s="4" t="s">
        <v>38</v>
      </c>
      <c r="E235" s="4" t="s">
        <v>44</v>
      </c>
      <c r="F235" s="4" t="s">
        <v>1210</v>
      </c>
      <c r="G235">
        <v>8</v>
      </c>
      <c r="H235">
        <v>36</v>
      </c>
      <c r="I235" s="4" t="s">
        <v>1237</v>
      </c>
      <c r="J235" s="4" t="s">
        <v>964</v>
      </c>
      <c r="K235" s="4" t="s">
        <v>114</v>
      </c>
      <c r="L235" s="4" t="s">
        <v>115</v>
      </c>
      <c r="M235" s="4" t="s">
        <v>108</v>
      </c>
      <c r="N235" s="4" t="s">
        <v>122</v>
      </c>
      <c r="O235" s="4" t="s">
        <v>123</v>
      </c>
      <c r="P235">
        <v>26</v>
      </c>
      <c r="Q235">
        <v>26</v>
      </c>
      <c r="R235" s="4" t="s">
        <v>158</v>
      </c>
      <c r="S235">
        <v>28.47</v>
      </c>
      <c r="T235">
        <v>740.22</v>
      </c>
      <c r="U235">
        <v>610.48</v>
      </c>
      <c r="V235" s="4" t="s">
        <v>30</v>
      </c>
    </row>
    <row r="236" spans="1:22" x14ac:dyDescent="0.2">
      <c r="A236" s="4" t="s">
        <v>419</v>
      </c>
      <c r="B236">
        <v>235</v>
      </c>
      <c r="C236" s="4" t="s">
        <v>26</v>
      </c>
      <c r="D236" s="4" t="s">
        <v>38</v>
      </c>
      <c r="E236" s="4" t="s">
        <v>44</v>
      </c>
      <c r="F236" s="4" t="s">
        <v>1210</v>
      </c>
      <c r="G236">
        <v>8</v>
      </c>
      <c r="H236">
        <v>36</v>
      </c>
      <c r="I236" s="4" t="s">
        <v>1237</v>
      </c>
      <c r="J236" s="4" t="s">
        <v>956</v>
      </c>
      <c r="K236" s="4" t="s">
        <v>114</v>
      </c>
      <c r="L236" s="4" t="s">
        <v>115</v>
      </c>
      <c r="M236" s="4" t="s">
        <v>108</v>
      </c>
      <c r="N236" s="4" t="s">
        <v>122</v>
      </c>
      <c r="O236" s="4" t="s">
        <v>123</v>
      </c>
      <c r="P236">
        <v>74</v>
      </c>
      <c r="Q236">
        <v>74</v>
      </c>
      <c r="R236" s="4" t="s">
        <v>158</v>
      </c>
      <c r="S236">
        <v>28.47</v>
      </c>
      <c r="T236">
        <v>2106.7800000000002</v>
      </c>
      <c r="U236">
        <v>1737.52</v>
      </c>
      <c r="V236" s="4" t="s">
        <v>30</v>
      </c>
    </row>
    <row r="237" spans="1:22" x14ac:dyDescent="0.2">
      <c r="A237" s="4" t="s">
        <v>420</v>
      </c>
      <c r="B237">
        <v>236</v>
      </c>
      <c r="C237" s="4" t="s">
        <v>26</v>
      </c>
      <c r="D237" s="4" t="s">
        <v>38</v>
      </c>
      <c r="E237" s="4" t="s">
        <v>44</v>
      </c>
      <c r="F237" s="4" t="s">
        <v>1210</v>
      </c>
      <c r="G237">
        <v>8</v>
      </c>
      <c r="H237">
        <v>36</v>
      </c>
      <c r="I237" s="4" t="s">
        <v>1237</v>
      </c>
      <c r="J237" s="4" t="s">
        <v>962</v>
      </c>
      <c r="K237" s="4" t="s">
        <v>114</v>
      </c>
      <c r="L237" s="4" t="s">
        <v>115</v>
      </c>
      <c r="M237" s="4" t="s">
        <v>108</v>
      </c>
      <c r="N237" s="4" t="s">
        <v>125</v>
      </c>
      <c r="O237" s="4" t="s">
        <v>126</v>
      </c>
      <c r="P237">
        <v>27</v>
      </c>
      <c r="Q237">
        <v>27</v>
      </c>
      <c r="R237" s="4" t="s">
        <v>158</v>
      </c>
      <c r="S237">
        <v>79.87</v>
      </c>
      <c r="T237">
        <v>2156.4899999999998</v>
      </c>
      <c r="U237">
        <v>1978.02</v>
      </c>
      <c r="V237" s="4" t="s">
        <v>30</v>
      </c>
    </row>
    <row r="238" spans="1:22" x14ac:dyDescent="0.2">
      <c r="A238" s="4" t="s">
        <v>421</v>
      </c>
      <c r="B238">
        <v>237</v>
      </c>
      <c r="C238" s="4" t="s">
        <v>26</v>
      </c>
      <c r="D238" s="4" t="s">
        <v>38</v>
      </c>
      <c r="E238" s="4" t="s">
        <v>44</v>
      </c>
      <c r="F238" s="4" t="s">
        <v>1210</v>
      </c>
      <c r="G238">
        <v>8</v>
      </c>
      <c r="H238">
        <v>36</v>
      </c>
      <c r="I238" s="4" t="s">
        <v>1237</v>
      </c>
      <c r="J238" s="4" t="s">
        <v>967</v>
      </c>
      <c r="K238" s="4" t="s">
        <v>114</v>
      </c>
      <c r="L238" s="4" t="s">
        <v>115</v>
      </c>
      <c r="M238" s="4" t="s">
        <v>108</v>
      </c>
      <c r="N238" s="4" t="s">
        <v>129</v>
      </c>
      <c r="O238" s="4" t="s">
        <v>130</v>
      </c>
      <c r="P238">
        <v>2</v>
      </c>
      <c r="Q238">
        <v>2</v>
      </c>
      <c r="R238" s="4" t="s">
        <v>158</v>
      </c>
      <c r="S238">
        <v>91.58</v>
      </c>
      <c r="T238">
        <v>183.16</v>
      </c>
      <c r="U238">
        <v>168.66</v>
      </c>
      <c r="V238" s="4" t="s">
        <v>30</v>
      </c>
    </row>
    <row r="239" spans="1:22" x14ac:dyDescent="0.2">
      <c r="A239" s="4" t="s">
        <v>422</v>
      </c>
      <c r="B239">
        <v>238</v>
      </c>
      <c r="C239" s="4" t="s">
        <v>26</v>
      </c>
      <c r="D239" s="4" t="s">
        <v>38</v>
      </c>
      <c r="E239" s="4" t="s">
        <v>44</v>
      </c>
      <c r="F239" s="4" t="s">
        <v>1210</v>
      </c>
      <c r="G239">
        <v>8</v>
      </c>
      <c r="H239">
        <v>36</v>
      </c>
      <c r="I239" s="4" t="s">
        <v>1238</v>
      </c>
      <c r="J239" s="4" t="s">
        <v>956</v>
      </c>
      <c r="K239" s="4" t="s">
        <v>116</v>
      </c>
      <c r="L239" s="4" t="s">
        <v>117</v>
      </c>
      <c r="M239" s="4" t="s">
        <v>108</v>
      </c>
      <c r="N239" s="4" t="s">
        <v>129</v>
      </c>
      <c r="O239" s="4" t="s">
        <v>130</v>
      </c>
      <c r="P239">
        <v>22</v>
      </c>
      <c r="Q239">
        <v>22</v>
      </c>
      <c r="R239" s="4" t="s">
        <v>158</v>
      </c>
      <c r="S239">
        <v>91.58</v>
      </c>
      <c r="T239">
        <v>2014.76</v>
      </c>
      <c r="U239">
        <v>1855.26</v>
      </c>
      <c r="V239" s="4" t="s">
        <v>30</v>
      </c>
    </row>
    <row r="240" spans="1:22" x14ac:dyDescent="0.2">
      <c r="A240" s="4" t="s">
        <v>423</v>
      </c>
      <c r="B240">
        <v>239</v>
      </c>
      <c r="C240" s="4" t="s">
        <v>26</v>
      </c>
      <c r="D240" s="4" t="s">
        <v>38</v>
      </c>
      <c r="E240" s="4" t="s">
        <v>47</v>
      </c>
      <c r="F240" s="4" t="s">
        <v>1240</v>
      </c>
      <c r="G240">
        <v>8</v>
      </c>
      <c r="H240">
        <v>37</v>
      </c>
      <c r="I240" s="4" t="s">
        <v>1264</v>
      </c>
      <c r="J240" s="4" t="s">
        <v>956</v>
      </c>
      <c r="K240" s="4" t="s">
        <v>112</v>
      </c>
      <c r="L240" s="4" t="s">
        <v>113</v>
      </c>
      <c r="M240" s="4" t="s">
        <v>108</v>
      </c>
      <c r="N240" s="4" t="s">
        <v>122</v>
      </c>
      <c r="O240" s="4" t="s">
        <v>123</v>
      </c>
      <c r="P240">
        <v>74</v>
      </c>
      <c r="Q240">
        <v>74</v>
      </c>
      <c r="R240" s="4" t="s">
        <v>158</v>
      </c>
      <c r="S240">
        <v>28.47</v>
      </c>
      <c r="T240">
        <v>2106.7800000000002</v>
      </c>
      <c r="U240">
        <v>1737.52</v>
      </c>
      <c r="V240" s="4" t="s">
        <v>30</v>
      </c>
    </row>
    <row r="241" spans="1:22" x14ac:dyDescent="0.2">
      <c r="A241" s="4" t="s">
        <v>424</v>
      </c>
      <c r="B241">
        <v>240</v>
      </c>
      <c r="C241" s="4" t="s">
        <v>26</v>
      </c>
      <c r="D241" s="4" t="s">
        <v>38</v>
      </c>
      <c r="E241" s="4" t="s">
        <v>47</v>
      </c>
      <c r="F241" s="4" t="s">
        <v>1240</v>
      </c>
      <c r="G241">
        <v>8</v>
      </c>
      <c r="H241">
        <v>37</v>
      </c>
      <c r="I241" s="4" t="s">
        <v>1265</v>
      </c>
      <c r="J241" s="4" t="s">
        <v>967</v>
      </c>
      <c r="K241" s="4" t="s">
        <v>112</v>
      </c>
      <c r="L241" s="4" t="s">
        <v>113</v>
      </c>
      <c r="M241" s="4" t="s">
        <v>108</v>
      </c>
      <c r="N241" s="4" t="s">
        <v>122</v>
      </c>
      <c r="O241" s="4" t="s">
        <v>123</v>
      </c>
      <c r="P241">
        <v>85</v>
      </c>
      <c r="Q241">
        <v>85</v>
      </c>
      <c r="R241" s="4" t="s">
        <v>158</v>
      </c>
      <c r="S241">
        <v>28.47</v>
      </c>
      <c r="T241">
        <v>2419.9499999999998</v>
      </c>
      <c r="U241">
        <v>1995.8</v>
      </c>
      <c r="V241" s="4" t="s">
        <v>30</v>
      </c>
    </row>
    <row r="242" spans="1:22" x14ac:dyDescent="0.2">
      <c r="A242" s="4" t="s">
        <v>425</v>
      </c>
      <c r="B242">
        <v>241</v>
      </c>
      <c r="C242" s="4" t="s">
        <v>26</v>
      </c>
      <c r="D242" s="4" t="s">
        <v>38</v>
      </c>
      <c r="E242" s="4" t="s">
        <v>47</v>
      </c>
      <c r="F242" s="4" t="s">
        <v>1240</v>
      </c>
      <c r="G242">
        <v>8</v>
      </c>
      <c r="H242">
        <v>37</v>
      </c>
      <c r="I242" s="4" t="s">
        <v>1264</v>
      </c>
      <c r="J242" s="4" t="s">
        <v>962</v>
      </c>
      <c r="K242" s="4" t="s">
        <v>112</v>
      </c>
      <c r="L242" s="4" t="s">
        <v>113</v>
      </c>
      <c r="M242" s="4" t="s">
        <v>108</v>
      </c>
      <c r="N242" s="4" t="s">
        <v>122</v>
      </c>
      <c r="O242" s="4" t="s">
        <v>123</v>
      </c>
      <c r="P242">
        <v>43</v>
      </c>
      <c r="Q242">
        <v>43</v>
      </c>
      <c r="R242" s="4" t="s">
        <v>158</v>
      </c>
      <c r="S242">
        <v>28.47</v>
      </c>
      <c r="T242">
        <v>1224.21</v>
      </c>
      <c r="U242">
        <v>1009.64</v>
      </c>
      <c r="V242" s="4" t="s">
        <v>30</v>
      </c>
    </row>
    <row r="243" spans="1:22" x14ac:dyDescent="0.2">
      <c r="A243" s="4" t="s">
        <v>426</v>
      </c>
      <c r="B243">
        <v>242</v>
      </c>
      <c r="C243" s="4" t="s">
        <v>26</v>
      </c>
      <c r="D243" s="4" t="s">
        <v>38</v>
      </c>
      <c r="E243" s="4" t="s">
        <v>47</v>
      </c>
      <c r="F243" s="4" t="s">
        <v>1240</v>
      </c>
      <c r="G243">
        <v>8</v>
      </c>
      <c r="H243">
        <v>37</v>
      </c>
      <c r="I243" s="4" t="s">
        <v>1265</v>
      </c>
      <c r="J243" s="4" t="s">
        <v>962</v>
      </c>
      <c r="K243" s="4" t="s">
        <v>112</v>
      </c>
      <c r="L243" s="4" t="s">
        <v>113</v>
      </c>
      <c r="M243" s="4" t="s">
        <v>108</v>
      </c>
      <c r="N243" s="4" t="s">
        <v>127</v>
      </c>
      <c r="O243" s="4" t="s">
        <v>128</v>
      </c>
      <c r="P243">
        <v>74</v>
      </c>
      <c r="Q243">
        <v>74</v>
      </c>
      <c r="R243" s="4" t="s">
        <v>158</v>
      </c>
      <c r="S243">
        <v>31.78</v>
      </c>
      <c r="T243">
        <v>2351.7199999999998</v>
      </c>
      <c r="U243">
        <v>1956.56</v>
      </c>
      <c r="V243" s="4" t="s">
        <v>30</v>
      </c>
    </row>
    <row r="244" spans="1:22" x14ac:dyDescent="0.2">
      <c r="A244" s="4" t="s">
        <v>427</v>
      </c>
      <c r="B244">
        <v>243</v>
      </c>
      <c r="C244" s="4" t="s">
        <v>26</v>
      </c>
      <c r="D244" s="4" t="s">
        <v>38</v>
      </c>
      <c r="E244" s="4" t="s">
        <v>47</v>
      </c>
      <c r="F244" s="4" t="s">
        <v>1240</v>
      </c>
      <c r="G244">
        <v>8</v>
      </c>
      <c r="H244">
        <v>37</v>
      </c>
      <c r="I244" s="4" t="s">
        <v>1265</v>
      </c>
      <c r="J244" s="4" t="s">
        <v>964</v>
      </c>
      <c r="K244" s="4" t="s">
        <v>112</v>
      </c>
      <c r="L244" s="4" t="s">
        <v>113</v>
      </c>
      <c r="M244" s="4" t="s">
        <v>108</v>
      </c>
      <c r="N244" s="4" t="s">
        <v>129</v>
      </c>
      <c r="O244" s="4" t="s">
        <v>130</v>
      </c>
      <c r="P244">
        <v>2</v>
      </c>
      <c r="Q244">
        <v>2</v>
      </c>
      <c r="R244" s="4" t="s">
        <v>158</v>
      </c>
      <c r="S244">
        <v>91.58</v>
      </c>
      <c r="T244">
        <v>183.16</v>
      </c>
      <c r="U244">
        <v>168.66</v>
      </c>
      <c r="V244" s="4" t="s">
        <v>30</v>
      </c>
    </row>
    <row r="245" spans="1:22" x14ac:dyDescent="0.2">
      <c r="A245" s="4" t="s">
        <v>428</v>
      </c>
      <c r="B245">
        <v>244</v>
      </c>
      <c r="C245" s="4" t="s">
        <v>26</v>
      </c>
      <c r="D245" s="4" t="s">
        <v>38</v>
      </c>
      <c r="E245" s="4" t="s">
        <v>47</v>
      </c>
      <c r="F245" s="4" t="s">
        <v>1240</v>
      </c>
      <c r="G245">
        <v>8</v>
      </c>
      <c r="H245">
        <v>37</v>
      </c>
      <c r="I245" s="4" t="s">
        <v>1265</v>
      </c>
      <c r="J245" s="4" t="s">
        <v>956</v>
      </c>
      <c r="K245" s="4" t="s">
        <v>112</v>
      </c>
      <c r="L245" s="4" t="s">
        <v>113</v>
      </c>
      <c r="M245" s="4" t="s">
        <v>108</v>
      </c>
      <c r="N245" s="4" t="s">
        <v>131</v>
      </c>
      <c r="O245" s="4" t="s">
        <v>132</v>
      </c>
      <c r="P245">
        <v>15</v>
      </c>
      <c r="Q245">
        <v>15</v>
      </c>
      <c r="R245" s="4" t="s">
        <v>158</v>
      </c>
      <c r="S245">
        <v>67.069999999999993</v>
      </c>
      <c r="T245">
        <v>1006.05</v>
      </c>
      <c r="U245">
        <v>917.55</v>
      </c>
      <c r="V245" s="4" t="s">
        <v>30</v>
      </c>
    </row>
    <row r="246" spans="1:22" x14ac:dyDescent="0.2">
      <c r="A246" s="4" t="s">
        <v>429</v>
      </c>
      <c r="B246">
        <v>245</v>
      </c>
      <c r="C246" s="4" t="s">
        <v>26</v>
      </c>
      <c r="D246" s="4" t="s">
        <v>38</v>
      </c>
      <c r="E246" s="4" t="s">
        <v>47</v>
      </c>
      <c r="F246" s="4" t="s">
        <v>1240</v>
      </c>
      <c r="G246">
        <v>8</v>
      </c>
      <c r="H246">
        <v>37</v>
      </c>
      <c r="I246" s="4" t="s">
        <v>1266</v>
      </c>
      <c r="J246" s="4" t="s">
        <v>956</v>
      </c>
      <c r="K246" s="4" t="s">
        <v>114</v>
      </c>
      <c r="L246" s="4" t="s">
        <v>115</v>
      </c>
      <c r="M246" s="4" t="s">
        <v>108</v>
      </c>
      <c r="N246" s="4" t="s">
        <v>127</v>
      </c>
      <c r="O246" s="4" t="s">
        <v>128</v>
      </c>
      <c r="P246">
        <v>54</v>
      </c>
      <c r="Q246">
        <v>54</v>
      </c>
      <c r="R246" s="4" t="s">
        <v>158</v>
      </c>
      <c r="S246">
        <v>31.78</v>
      </c>
      <c r="T246">
        <v>1716.12</v>
      </c>
      <c r="U246">
        <v>1427.76</v>
      </c>
      <c r="V246" s="4" t="s">
        <v>30</v>
      </c>
    </row>
    <row r="247" spans="1:22" x14ac:dyDescent="0.2">
      <c r="A247" s="4" t="s">
        <v>430</v>
      </c>
      <c r="B247">
        <v>246</v>
      </c>
      <c r="C247" s="4" t="s">
        <v>26</v>
      </c>
      <c r="D247" s="4" t="s">
        <v>38</v>
      </c>
      <c r="E247" s="4" t="s">
        <v>47</v>
      </c>
      <c r="F247" s="4" t="s">
        <v>1240</v>
      </c>
      <c r="G247">
        <v>8</v>
      </c>
      <c r="H247">
        <v>37</v>
      </c>
      <c r="I247" s="4" t="s">
        <v>1266</v>
      </c>
      <c r="J247" s="4" t="s">
        <v>964</v>
      </c>
      <c r="K247" s="4" t="s">
        <v>114</v>
      </c>
      <c r="L247" s="4" t="s">
        <v>115</v>
      </c>
      <c r="M247" s="4" t="s">
        <v>108</v>
      </c>
      <c r="N247" s="4" t="s">
        <v>131</v>
      </c>
      <c r="O247" s="4" t="s">
        <v>132</v>
      </c>
      <c r="P247">
        <v>34</v>
      </c>
      <c r="Q247">
        <v>34</v>
      </c>
      <c r="R247" s="4" t="s">
        <v>158</v>
      </c>
      <c r="S247">
        <v>67.069999999999993</v>
      </c>
      <c r="T247">
        <v>2280.38</v>
      </c>
      <c r="U247">
        <v>2079.7800000000002</v>
      </c>
      <c r="V247" s="4" t="s">
        <v>30</v>
      </c>
    </row>
    <row r="248" spans="1:22" x14ac:dyDescent="0.2">
      <c r="A248" s="4" t="s">
        <v>431</v>
      </c>
      <c r="B248">
        <v>247</v>
      </c>
      <c r="C248" s="4" t="s">
        <v>26</v>
      </c>
      <c r="D248" s="4" t="s">
        <v>38</v>
      </c>
      <c r="E248" s="4" t="s">
        <v>47</v>
      </c>
      <c r="F248" s="4" t="s">
        <v>1240</v>
      </c>
      <c r="G248">
        <v>8</v>
      </c>
      <c r="H248">
        <v>37</v>
      </c>
      <c r="I248" s="4" t="s">
        <v>1267</v>
      </c>
      <c r="J248" s="4" t="s">
        <v>962</v>
      </c>
      <c r="K248" s="4" t="s">
        <v>116</v>
      </c>
      <c r="L248" s="4" t="s">
        <v>117</v>
      </c>
      <c r="M248" s="4" t="s">
        <v>108</v>
      </c>
      <c r="N248" s="4" t="s">
        <v>122</v>
      </c>
      <c r="O248" s="4" t="s">
        <v>123</v>
      </c>
      <c r="P248">
        <v>62</v>
      </c>
      <c r="Q248">
        <v>62</v>
      </c>
      <c r="R248" s="4" t="s">
        <v>158</v>
      </c>
      <c r="S248">
        <v>28.47</v>
      </c>
      <c r="T248">
        <v>1765.14</v>
      </c>
      <c r="U248">
        <v>1455.76</v>
      </c>
      <c r="V248" s="4" t="s">
        <v>30</v>
      </c>
    </row>
    <row r="249" spans="1:22" x14ac:dyDescent="0.2">
      <c r="A249" s="4" t="s">
        <v>432</v>
      </c>
      <c r="B249">
        <v>248</v>
      </c>
      <c r="C249" s="4" t="s">
        <v>26</v>
      </c>
      <c r="D249" s="4" t="s">
        <v>38</v>
      </c>
      <c r="E249" s="4" t="s">
        <v>47</v>
      </c>
      <c r="F249" s="4" t="s">
        <v>1240</v>
      </c>
      <c r="G249">
        <v>8</v>
      </c>
      <c r="H249">
        <v>37</v>
      </c>
      <c r="I249" s="4" t="s">
        <v>1267</v>
      </c>
      <c r="J249" s="4" t="s">
        <v>956</v>
      </c>
      <c r="K249" s="4" t="s">
        <v>116</v>
      </c>
      <c r="L249" s="4" t="s">
        <v>117</v>
      </c>
      <c r="M249" s="4" t="s">
        <v>108</v>
      </c>
      <c r="N249" s="4" t="s">
        <v>129</v>
      </c>
      <c r="O249" s="4" t="s">
        <v>130</v>
      </c>
      <c r="P249">
        <v>14</v>
      </c>
      <c r="Q249">
        <v>14</v>
      </c>
      <c r="R249" s="4" t="s">
        <v>158</v>
      </c>
      <c r="S249">
        <v>91.58</v>
      </c>
      <c r="T249">
        <v>1282.1199999999999</v>
      </c>
      <c r="U249">
        <v>1180.6199999999999</v>
      </c>
      <c r="V249" s="4" t="s">
        <v>30</v>
      </c>
    </row>
    <row r="250" spans="1:22" x14ac:dyDescent="0.2">
      <c r="A250" s="4" t="s">
        <v>433</v>
      </c>
      <c r="B250">
        <v>249</v>
      </c>
      <c r="C250" s="4" t="s">
        <v>26</v>
      </c>
      <c r="D250" s="4" t="s">
        <v>38</v>
      </c>
      <c r="E250" s="4" t="s">
        <v>47</v>
      </c>
      <c r="F250" s="4" t="s">
        <v>1240</v>
      </c>
      <c r="G250">
        <v>8</v>
      </c>
      <c r="H250">
        <v>37</v>
      </c>
      <c r="I250" s="4" t="s">
        <v>1268</v>
      </c>
      <c r="J250" s="4" t="s">
        <v>956</v>
      </c>
      <c r="K250" s="4" t="s">
        <v>116</v>
      </c>
      <c r="L250" s="4" t="s">
        <v>117</v>
      </c>
      <c r="M250" s="4" t="s">
        <v>108</v>
      </c>
      <c r="N250" s="4" t="s">
        <v>133</v>
      </c>
      <c r="O250" s="4" t="s">
        <v>134</v>
      </c>
      <c r="P250">
        <v>30</v>
      </c>
      <c r="Q250">
        <v>30</v>
      </c>
      <c r="R250" s="4" t="s">
        <v>158</v>
      </c>
      <c r="S250">
        <v>48.5</v>
      </c>
      <c r="T250">
        <v>1455</v>
      </c>
      <c r="U250">
        <v>1320.9</v>
      </c>
      <c r="V250" s="4" t="s">
        <v>30</v>
      </c>
    </row>
    <row r="251" spans="1:22" x14ac:dyDescent="0.2">
      <c r="A251" s="4" t="s">
        <v>434</v>
      </c>
      <c r="B251">
        <v>250</v>
      </c>
      <c r="C251" s="4" t="s">
        <v>26</v>
      </c>
      <c r="D251" s="4" t="s">
        <v>38</v>
      </c>
      <c r="E251" s="4" t="s">
        <v>50</v>
      </c>
      <c r="F251" s="4" t="s">
        <v>1270</v>
      </c>
      <c r="G251">
        <v>8</v>
      </c>
      <c r="H251">
        <v>38</v>
      </c>
      <c r="I251" s="4" t="s">
        <v>1296</v>
      </c>
      <c r="J251" s="4" t="s">
        <v>956</v>
      </c>
      <c r="K251" s="4" t="s">
        <v>112</v>
      </c>
      <c r="L251" s="4" t="s">
        <v>113</v>
      </c>
      <c r="M251" s="4" t="s">
        <v>108</v>
      </c>
      <c r="N251" s="4" t="s">
        <v>122</v>
      </c>
      <c r="O251" s="4" t="s">
        <v>123</v>
      </c>
      <c r="P251">
        <v>68</v>
      </c>
      <c r="Q251">
        <v>68</v>
      </c>
      <c r="R251" s="4" t="s">
        <v>158</v>
      </c>
      <c r="S251">
        <v>28.47</v>
      </c>
      <c r="T251">
        <v>1935.96</v>
      </c>
      <c r="U251">
        <v>1596.64</v>
      </c>
      <c r="V251" s="4" t="s">
        <v>30</v>
      </c>
    </row>
    <row r="252" spans="1:22" x14ac:dyDescent="0.2">
      <c r="A252" s="4" t="s">
        <v>435</v>
      </c>
      <c r="B252">
        <v>251</v>
      </c>
      <c r="C252" s="4" t="s">
        <v>26</v>
      </c>
      <c r="D252" s="4" t="s">
        <v>38</v>
      </c>
      <c r="E252" s="4" t="s">
        <v>50</v>
      </c>
      <c r="F252" s="4" t="s">
        <v>1270</v>
      </c>
      <c r="G252">
        <v>8</v>
      </c>
      <c r="H252">
        <v>38</v>
      </c>
      <c r="I252" s="4" t="s">
        <v>1296</v>
      </c>
      <c r="J252" s="4" t="s">
        <v>962</v>
      </c>
      <c r="K252" s="4" t="s">
        <v>112</v>
      </c>
      <c r="L252" s="4" t="s">
        <v>113</v>
      </c>
      <c r="M252" s="4" t="s">
        <v>108</v>
      </c>
      <c r="N252" s="4" t="s">
        <v>127</v>
      </c>
      <c r="O252" s="4" t="s">
        <v>128</v>
      </c>
      <c r="P252">
        <v>77</v>
      </c>
      <c r="Q252">
        <v>77</v>
      </c>
      <c r="R252" s="4" t="s">
        <v>158</v>
      </c>
      <c r="S252">
        <v>31.78</v>
      </c>
      <c r="T252">
        <v>2447.06</v>
      </c>
      <c r="U252">
        <v>2035.88</v>
      </c>
      <c r="V252" s="4" t="s">
        <v>30</v>
      </c>
    </row>
    <row r="253" spans="1:22" x14ac:dyDescent="0.2">
      <c r="A253" s="4" t="s">
        <v>436</v>
      </c>
      <c r="B253">
        <v>252</v>
      </c>
      <c r="C253" s="4" t="s">
        <v>26</v>
      </c>
      <c r="D253" s="4" t="s">
        <v>38</v>
      </c>
      <c r="E253" s="4" t="s">
        <v>50</v>
      </c>
      <c r="F253" s="4" t="s">
        <v>1270</v>
      </c>
      <c r="G253">
        <v>8</v>
      </c>
      <c r="H253">
        <v>38</v>
      </c>
      <c r="I253" s="4" t="s">
        <v>1296</v>
      </c>
      <c r="J253" s="4" t="s">
        <v>964</v>
      </c>
      <c r="K253" s="4" t="s">
        <v>112</v>
      </c>
      <c r="L253" s="4" t="s">
        <v>113</v>
      </c>
      <c r="M253" s="4" t="s">
        <v>108</v>
      </c>
      <c r="N253" s="4" t="s">
        <v>133</v>
      </c>
      <c r="O253" s="4" t="s">
        <v>134</v>
      </c>
      <c r="P253">
        <v>48</v>
      </c>
      <c r="Q253">
        <v>48</v>
      </c>
      <c r="R253" s="4" t="s">
        <v>158</v>
      </c>
      <c r="S253">
        <v>48.5</v>
      </c>
      <c r="T253">
        <v>2328</v>
      </c>
      <c r="U253">
        <v>2113.44</v>
      </c>
      <c r="V253" s="4" t="s">
        <v>30</v>
      </c>
    </row>
    <row r="254" spans="1:22" x14ac:dyDescent="0.2">
      <c r="A254" s="4" t="s">
        <v>438</v>
      </c>
      <c r="B254">
        <v>253</v>
      </c>
      <c r="C254" s="4" t="s">
        <v>26</v>
      </c>
      <c r="D254" s="4" t="s">
        <v>38</v>
      </c>
      <c r="E254" s="4" t="s">
        <v>50</v>
      </c>
      <c r="F254" s="4" t="s">
        <v>1270</v>
      </c>
      <c r="G254">
        <v>8</v>
      </c>
      <c r="H254">
        <v>38</v>
      </c>
      <c r="I254" s="4" t="s">
        <v>1297</v>
      </c>
      <c r="J254" s="4" t="s">
        <v>962</v>
      </c>
      <c r="K254" s="4" t="s">
        <v>114</v>
      </c>
      <c r="L254" s="4" t="s">
        <v>115</v>
      </c>
      <c r="M254" s="4" t="s">
        <v>108</v>
      </c>
      <c r="N254" s="4" t="s">
        <v>122</v>
      </c>
      <c r="O254" s="4" t="s">
        <v>123</v>
      </c>
      <c r="P254">
        <v>75</v>
      </c>
      <c r="Q254">
        <v>75</v>
      </c>
      <c r="R254" s="4" t="s">
        <v>158</v>
      </c>
      <c r="S254">
        <v>28.47</v>
      </c>
      <c r="T254">
        <v>2135.25</v>
      </c>
      <c r="U254">
        <v>1761</v>
      </c>
      <c r="V254" s="4" t="s">
        <v>30</v>
      </c>
    </row>
    <row r="255" spans="1:22" x14ac:dyDescent="0.2">
      <c r="A255" s="4" t="s">
        <v>439</v>
      </c>
      <c r="B255">
        <v>254</v>
      </c>
      <c r="C255" s="4" t="s">
        <v>26</v>
      </c>
      <c r="D255" s="4" t="s">
        <v>38</v>
      </c>
      <c r="E255" s="4" t="s">
        <v>50</v>
      </c>
      <c r="F255" s="4" t="s">
        <v>1270</v>
      </c>
      <c r="G255">
        <v>8</v>
      </c>
      <c r="H255">
        <v>38</v>
      </c>
      <c r="I255" s="4" t="s">
        <v>1297</v>
      </c>
      <c r="J255" s="4" t="s">
        <v>956</v>
      </c>
      <c r="K255" s="4" t="s">
        <v>114</v>
      </c>
      <c r="L255" s="4" t="s">
        <v>115</v>
      </c>
      <c r="M255" s="4" t="s">
        <v>108</v>
      </c>
      <c r="N255" s="4" t="s">
        <v>125</v>
      </c>
      <c r="O255" s="4" t="s">
        <v>126</v>
      </c>
      <c r="P255">
        <v>22</v>
      </c>
      <c r="Q255">
        <v>22</v>
      </c>
      <c r="R255" s="4" t="s">
        <v>158</v>
      </c>
      <c r="S255">
        <v>79.87</v>
      </c>
      <c r="T255">
        <v>1757.14</v>
      </c>
      <c r="U255">
        <v>1611.72</v>
      </c>
      <c r="V255" s="4" t="s">
        <v>30</v>
      </c>
    </row>
    <row r="256" spans="1:22" x14ac:dyDescent="0.2">
      <c r="A256" s="4" t="s">
        <v>440</v>
      </c>
      <c r="B256">
        <v>255</v>
      </c>
      <c r="C256" s="4" t="s">
        <v>26</v>
      </c>
      <c r="D256" s="4" t="s">
        <v>38</v>
      </c>
      <c r="E256" s="4" t="s">
        <v>50</v>
      </c>
      <c r="F256" s="4" t="s">
        <v>1270</v>
      </c>
      <c r="G256">
        <v>8</v>
      </c>
      <c r="H256">
        <v>38</v>
      </c>
      <c r="I256" s="4" t="s">
        <v>1298</v>
      </c>
      <c r="J256" s="4" t="s">
        <v>962</v>
      </c>
      <c r="K256" s="4" t="s">
        <v>114</v>
      </c>
      <c r="L256" s="4" t="s">
        <v>115</v>
      </c>
      <c r="M256" s="4" t="s">
        <v>108</v>
      </c>
      <c r="N256" s="4" t="s">
        <v>127</v>
      </c>
      <c r="O256" s="4" t="s">
        <v>128</v>
      </c>
      <c r="P256">
        <v>57</v>
      </c>
      <c r="Q256">
        <v>57</v>
      </c>
      <c r="R256" s="4" t="s">
        <v>158</v>
      </c>
      <c r="S256">
        <v>31.78</v>
      </c>
      <c r="T256">
        <v>1811.46</v>
      </c>
      <c r="U256">
        <v>1507.08</v>
      </c>
      <c r="V256" s="4" t="s">
        <v>30</v>
      </c>
    </row>
    <row r="257" spans="1:22" x14ac:dyDescent="0.2">
      <c r="A257" s="4" t="s">
        <v>441</v>
      </c>
      <c r="B257">
        <v>256</v>
      </c>
      <c r="C257" s="4" t="s">
        <v>26</v>
      </c>
      <c r="D257" s="4" t="s">
        <v>38</v>
      </c>
      <c r="E257" s="4" t="s">
        <v>50</v>
      </c>
      <c r="F257" s="4" t="s">
        <v>1270</v>
      </c>
      <c r="G257">
        <v>8</v>
      </c>
      <c r="H257">
        <v>38</v>
      </c>
      <c r="I257" s="4" t="s">
        <v>1298</v>
      </c>
      <c r="J257" s="4" t="s">
        <v>956</v>
      </c>
      <c r="K257" s="4" t="s">
        <v>114</v>
      </c>
      <c r="L257" s="4" t="s">
        <v>115</v>
      </c>
      <c r="M257" s="4" t="s">
        <v>108</v>
      </c>
      <c r="N257" s="4" t="s">
        <v>131</v>
      </c>
      <c r="O257" s="4" t="s">
        <v>132</v>
      </c>
      <c r="P257">
        <v>31</v>
      </c>
      <c r="Q257">
        <v>31</v>
      </c>
      <c r="R257" s="4" t="s">
        <v>158</v>
      </c>
      <c r="S257">
        <v>67.069999999999993</v>
      </c>
      <c r="T257">
        <v>2079.17</v>
      </c>
      <c r="U257">
        <v>1896.27</v>
      </c>
      <c r="V257" s="4" t="s">
        <v>30</v>
      </c>
    </row>
    <row r="258" spans="1:22" x14ac:dyDescent="0.2">
      <c r="A258" s="4" t="s">
        <v>442</v>
      </c>
      <c r="B258">
        <v>257</v>
      </c>
      <c r="C258" s="4" t="s">
        <v>26</v>
      </c>
      <c r="D258" s="4" t="s">
        <v>38</v>
      </c>
      <c r="E258" s="4" t="s">
        <v>50</v>
      </c>
      <c r="F258" s="4" t="s">
        <v>1270</v>
      </c>
      <c r="G258">
        <v>8</v>
      </c>
      <c r="H258">
        <v>38</v>
      </c>
      <c r="I258" s="4" t="s">
        <v>1297</v>
      </c>
      <c r="J258" s="4" t="s">
        <v>964</v>
      </c>
      <c r="K258" s="4" t="s">
        <v>114</v>
      </c>
      <c r="L258" s="4" t="s">
        <v>115</v>
      </c>
      <c r="M258" s="4" t="s">
        <v>108</v>
      </c>
      <c r="N258" s="4" t="s">
        <v>131</v>
      </c>
      <c r="O258" s="4" t="s">
        <v>132</v>
      </c>
      <c r="P258">
        <v>10</v>
      </c>
      <c r="Q258">
        <v>10</v>
      </c>
      <c r="R258" s="4" t="s">
        <v>158</v>
      </c>
      <c r="S258">
        <v>67.069999999999993</v>
      </c>
      <c r="T258">
        <v>670.7</v>
      </c>
      <c r="U258">
        <v>611.70000000000005</v>
      </c>
      <c r="V258" s="4" t="s">
        <v>30</v>
      </c>
    </row>
    <row r="259" spans="1:22" x14ac:dyDescent="0.2">
      <c r="A259" s="4" t="s">
        <v>443</v>
      </c>
      <c r="B259">
        <v>258</v>
      </c>
      <c r="C259" s="4" t="s">
        <v>26</v>
      </c>
      <c r="D259" s="4" t="s">
        <v>38</v>
      </c>
      <c r="E259" s="4" t="s">
        <v>50</v>
      </c>
      <c r="F259" s="4" t="s">
        <v>1270</v>
      </c>
      <c r="G259">
        <v>8</v>
      </c>
      <c r="H259">
        <v>38</v>
      </c>
      <c r="I259" s="4" t="s">
        <v>1299</v>
      </c>
      <c r="J259" s="4" t="s">
        <v>956</v>
      </c>
      <c r="K259" s="4" t="s">
        <v>116</v>
      </c>
      <c r="L259" s="4" t="s">
        <v>117</v>
      </c>
      <c r="M259" s="4" t="s">
        <v>108</v>
      </c>
      <c r="N259" s="4" t="s">
        <v>122</v>
      </c>
      <c r="O259" s="4" t="s">
        <v>123</v>
      </c>
      <c r="P259">
        <v>38</v>
      </c>
      <c r="Q259">
        <v>38</v>
      </c>
      <c r="R259" s="4" t="s">
        <v>158</v>
      </c>
      <c r="S259">
        <v>28.47</v>
      </c>
      <c r="T259">
        <v>1081.8599999999999</v>
      </c>
      <c r="U259">
        <v>892.24</v>
      </c>
      <c r="V259" s="4" t="s">
        <v>30</v>
      </c>
    </row>
    <row r="260" spans="1:22" x14ac:dyDescent="0.2">
      <c r="A260" s="4" t="s">
        <v>444</v>
      </c>
      <c r="B260">
        <v>259</v>
      </c>
      <c r="C260" s="4" t="s">
        <v>26</v>
      </c>
      <c r="D260" s="4" t="s">
        <v>38</v>
      </c>
      <c r="E260" s="4" t="s">
        <v>53</v>
      </c>
      <c r="F260" s="4" t="s">
        <v>1295</v>
      </c>
      <c r="G260">
        <v>8</v>
      </c>
      <c r="H260">
        <v>39</v>
      </c>
      <c r="I260" s="4" t="s">
        <v>1324</v>
      </c>
      <c r="J260" s="4" t="s">
        <v>956</v>
      </c>
      <c r="K260" s="4" t="s">
        <v>112</v>
      </c>
      <c r="L260" s="4" t="s">
        <v>113</v>
      </c>
      <c r="M260" s="4" t="s">
        <v>108</v>
      </c>
      <c r="N260" s="4" t="s">
        <v>122</v>
      </c>
      <c r="O260" s="4" t="s">
        <v>123</v>
      </c>
      <c r="P260">
        <v>74</v>
      </c>
      <c r="Q260">
        <v>74</v>
      </c>
      <c r="R260" s="4" t="s">
        <v>158</v>
      </c>
      <c r="S260">
        <v>28.47</v>
      </c>
      <c r="T260">
        <v>2106.7800000000002</v>
      </c>
      <c r="U260">
        <v>1713.84</v>
      </c>
      <c r="V260" s="4" t="s">
        <v>30</v>
      </c>
    </row>
    <row r="261" spans="1:22" x14ac:dyDescent="0.2">
      <c r="A261" s="4" t="s">
        <v>445</v>
      </c>
      <c r="B261">
        <v>260</v>
      </c>
      <c r="C261" s="4" t="s">
        <v>26</v>
      </c>
      <c r="D261" s="4" t="s">
        <v>38</v>
      </c>
      <c r="E261" s="4" t="s">
        <v>53</v>
      </c>
      <c r="F261" s="4" t="s">
        <v>1295</v>
      </c>
      <c r="G261">
        <v>8</v>
      </c>
      <c r="H261">
        <v>39</v>
      </c>
      <c r="I261" s="4" t="s">
        <v>1325</v>
      </c>
      <c r="J261" s="4" t="s">
        <v>956</v>
      </c>
      <c r="K261" s="4" t="s">
        <v>112</v>
      </c>
      <c r="L261" s="4" t="s">
        <v>113</v>
      </c>
      <c r="M261" s="4" t="s">
        <v>108</v>
      </c>
      <c r="N261" s="4" t="s">
        <v>133</v>
      </c>
      <c r="O261" s="4" t="s">
        <v>134</v>
      </c>
      <c r="P261">
        <v>2</v>
      </c>
      <c r="Q261">
        <v>2</v>
      </c>
      <c r="R261" s="4" t="s">
        <v>158</v>
      </c>
      <c r="S261">
        <v>48.5</v>
      </c>
      <c r="T261">
        <v>97</v>
      </c>
      <c r="U261">
        <v>87.3</v>
      </c>
      <c r="V261" s="4" t="s">
        <v>30</v>
      </c>
    </row>
    <row r="262" spans="1:22" x14ac:dyDescent="0.2">
      <c r="A262" s="4" t="s">
        <v>446</v>
      </c>
      <c r="B262">
        <v>261</v>
      </c>
      <c r="C262" s="4" t="s">
        <v>26</v>
      </c>
      <c r="D262" s="4" t="s">
        <v>38</v>
      </c>
      <c r="E262" s="4" t="s">
        <v>53</v>
      </c>
      <c r="F262" s="4" t="s">
        <v>1295</v>
      </c>
      <c r="G262">
        <v>8</v>
      </c>
      <c r="H262">
        <v>39</v>
      </c>
      <c r="I262" s="4" t="s">
        <v>1326</v>
      </c>
      <c r="J262" s="4" t="s">
        <v>956</v>
      </c>
      <c r="K262" s="4" t="s">
        <v>114</v>
      </c>
      <c r="L262" s="4" t="s">
        <v>115</v>
      </c>
      <c r="M262" s="4" t="s">
        <v>108</v>
      </c>
      <c r="N262" s="4" t="s">
        <v>127</v>
      </c>
      <c r="O262" s="4" t="s">
        <v>128</v>
      </c>
      <c r="P262">
        <v>35</v>
      </c>
      <c r="Q262">
        <v>35</v>
      </c>
      <c r="R262" s="4" t="s">
        <v>158</v>
      </c>
      <c r="S262">
        <v>31.78</v>
      </c>
      <c r="T262">
        <v>1112.3</v>
      </c>
      <c r="U262">
        <v>913.15</v>
      </c>
      <c r="V262" s="4" t="s">
        <v>30</v>
      </c>
    </row>
    <row r="263" spans="1:22" x14ac:dyDescent="0.2">
      <c r="A263" s="4" t="s">
        <v>447</v>
      </c>
      <c r="B263">
        <v>262</v>
      </c>
      <c r="C263" s="4" t="s">
        <v>26</v>
      </c>
      <c r="D263" s="4" t="s">
        <v>38</v>
      </c>
      <c r="E263" s="4" t="s">
        <v>53</v>
      </c>
      <c r="F263" s="4" t="s">
        <v>1295</v>
      </c>
      <c r="G263">
        <v>8</v>
      </c>
      <c r="H263">
        <v>39</v>
      </c>
      <c r="I263" s="4" t="s">
        <v>1326</v>
      </c>
      <c r="J263" s="4" t="s">
        <v>964</v>
      </c>
      <c r="K263" s="4" t="s">
        <v>114</v>
      </c>
      <c r="L263" s="4" t="s">
        <v>115</v>
      </c>
      <c r="M263" s="4" t="s">
        <v>108</v>
      </c>
      <c r="N263" s="4" t="s">
        <v>127</v>
      </c>
      <c r="O263" s="4" t="s">
        <v>128</v>
      </c>
      <c r="P263">
        <v>51</v>
      </c>
      <c r="Q263">
        <v>51</v>
      </c>
      <c r="R263" s="4" t="s">
        <v>158</v>
      </c>
      <c r="S263">
        <v>31.78</v>
      </c>
      <c r="T263">
        <v>1620.78</v>
      </c>
      <c r="U263">
        <v>1330.59</v>
      </c>
      <c r="V263" s="4" t="s">
        <v>30</v>
      </c>
    </row>
    <row r="264" spans="1:22" x14ac:dyDescent="0.2">
      <c r="A264" s="4" t="s">
        <v>448</v>
      </c>
      <c r="B264">
        <v>263</v>
      </c>
      <c r="C264" s="4" t="s">
        <v>26</v>
      </c>
      <c r="D264" s="4" t="s">
        <v>38</v>
      </c>
      <c r="E264" s="4" t="s">
        <v>53</v>
      </c>
      <c r="F264" s="4" t="s">
        <v>1295</v>
      </c>
      <c r="G264">
        <v>8</v>
      </c>
      <c r="H264">
        <v>39</v>
      </c>
      <c r="I264" s="4" t="s">
        <v>1327</v>
      </c>
      <c r="J264" s="4" t="s">
        <v>956</v>
      </c>
      <c r="K264" s="4" t="s">
        <v>116</v>
      </c>
      <c r="L264" s="4" t="s">
        <v>117</v>
      </c>
      <c r="M264" s="4" t="s">
        <v>108</v>
      </c>
      <c r="N264" s="4" t="s">
        <v>125</v>
      </c>
      <c r="O264" s="4" t="s">
        <v>126</v>
      </c>
      <c r="P264">
        <v>26</v>
      </c>
      <c r="Q264">
        <v>26</v>
      </c>
      <c r="R264" s="4" t="s">
        <v>158</v>
      </c>
      <c r="S264">
        <v>79.87</v>
      </c>
      <c r="T264">
        <v>2076.62</v>
      </c>
      <c r="U264">
        <v>1899.3</v>
      </c>
      <c r="V264" s="4" t="s">
        <v>30</v>
      </c>
    </row>
    <row r="265" spans="1:22" x14ac:dyDescent="0.2">
      <c r="A265" s="4" t="s">
        <v>449</v>
      </c>
      <c r="B265">
        <v>264</v>
      </c>
      <c r="C265" s="4" t="s">
        <v>26</v>
      </c>
      <c r="D265" s="4" t="s">
        <v>38</v>
      </c>
      <c r="E265" s="4" t="s">
        <v>56</v>
      </c>
      <c r="F265" s="4" t="s">
        <v>1329</v>
      </c>
      <c r="G265">
        <v>8</v>
      </c>
      <c r="H265">
        <v>40</v>
      </c>
      <c r="I265" s="4" t="s">
        <v>1355</v>
      </c>
      <c r="J265" s="4" t="s">
        <v>956</v>
      </c>
      <c r="K265" s="4" t="s">
        <v>112</v>
      </c>
      <c r="L265" s="4" t="s">
        <v>113</v>
      </c>
      <c r="M265" s="4" t="s">
        <v>108</v>
      </c>
      <c r="N265" s="4" t="s">
        <v>131</v>
      </c>
      <c r="O265" s="4" t="s">
        <v>132</v>
      </c>
      <c r="P265">
        <v>23</v>
      </c>
      <c r="Q265">
        <v>23</v>
      </c>
      <c r="R265" s="4" t="s">
        <v>158</v>
      </c>
      <c r="S265">
        <v>67.069999999999993</v>
      </c>
      <c r="T265">
        <v>1542.61</v>
      </c>
      <c r="U265">
        <v>1391.04</v>
      </c>
      <c r="V265" s="4" t="s">
        <v>30</v>
      </c>
    </row>
    <row r="266" spans="1:22" x14ac:dyDescent="0.2">
      <c r="A266" s="4" t="s">
        <v>450</v>
      </c>
      <c r="B266">
        <v>265</v>
      </c>
      <c r="C266" s="4" t="s">
        <v>26</v>
      </c>
      <c r="D266" s="4" t="s">
        <v>38</v>
      </c>
      <c r="E266" s="4" t="s">
        <v>56</v>
      </c>
      <c r="F266" s="4" t="s">
        <v>1329</v>
      </c>
      <c r="G266">
        <v>8</v>
      </c>
      <c r="H266">
        <v>40</v>
      </c>
      <c r="I266" s="4" t="s">
        <v>1355</v>
      </c>
      <c r="J266" s="4" t="s">
        <v>962</v>
      </c>
      <c r="K266" s="4" t="s">
        <v>112</v>
      </c>
      <c r="L266" s="4" t="s">
        <v>113</v>
      </c>
      <c r="M266" s="4" t="s">
        <v>108</v>
      </c>
      <c r="N266" s="4" t="s">
        <v>131</v>
      </c>
      <c r="O266" s="4" t="s">
        <v>132</v>
      </c>
      <c r="P266">
        <v>20</v>
      </c>
      <c r="Q266">
        <v>20</v>
      </c>
      <c r="R266" s="4" t="s">
        <v>158</v>
      </c>
      <c r="S266">
        <v>67.069999999999993</v>
      </c>
      <c r="T266">
        <v>1341.4</v>
      </c>
      <c r="U266">
        <v>1209.5999999999999</v>
      </c>
      <c r="V266" s="4" t="s">
        <v>30</v>
      </c>
    </row>
    <row r="267" spans="1:22" x14ac:dyDescent="0.2">
      <c r="A267" s="4" t="s">
        <v>451</v>
      </c>
      <c r="B267">
        <v>266</v>
      </c>
      <c r="C267" s="4" t="s">
        <v>26</v>
      </c>
      <c r="D267" s="4" t="s">
        <v>38</v>
      </c>
      <c r="E267" s="4" t="s">
        <v>56</v>
      </c>
      <c r="F267" s="4" t="s">
        <v>1329</v>
      </c>
      <c r="G267">
        <v>8</v>
      </c>
      <c r="H267">
        <v>40</v>
      </c>
      <c r="I267" s="4" t="s">
        <v>1355</v>
      </c>
      <c r="J267" s="4" t="s">
        <v>964</v>
      </c>
      <c r="K267" s="4" t="s">
        <v>112</v>
      </c>
      <c r="L267" s="4" t="s">
        <v>113</v>
      </c>
      <c r="M267" s="4" t="s">
        <v>108</v>
      </c>
      <c r="N267" s="4" t="s">
        <v>133</v>
      </c>
      <c r="O267" s="4" t="s">
        <v>134</v>
      </c>
      <c r="P267">
        <v>45</v>
      </c>
      <c r="Q267">
        <v>45</v>
      </c>
      <c r="R267" s="4" t="s">
        <v>158</v>
      </c>
      <c r="S267">
        <v>48.5</v>
      </c>
      <c r="T267">
        <v>2182.5</v>
      </c>
      <c r="U267">
        <v>1964.25</v>
      </c>
      <c r="V267" s="4" t="s">
        <v>30</v>
      </c>
    </row>
    <row r="268" spans="1:22" x14ac:dyDescent="0.2">
      <c r="A268" s="4" t="s">
        <v>452</v>
      </c>
      <c r="B268">
        <v>267</v>
      </c>
      <c r="C268" s="4" t="s">
        <v>26</v>
      </c>
      <c r="D268" s="4" t="s">
        <v>38</v>
      </c>
      <c r="E268" s="4" t="s">
        <v>56</v>
      </c>
      <c r="F268" s="4" t="s">
        <v>1329</v>
      </c>
      <c r="G268">
        <v>8</v>
      </c>
      <c r="H268">
        <v>40</v>
      </c>
      <c r="I268" s="4" t="s">
        <v>1356</v>
      </c>
      <c r="J268" s="4" t="s">
        <v>956</v>
      </c>
      <c r="K268" s="4" t="s">
        <v>114</v>
      </c>
      <c r="L268" s="4" t="s">
        <v>115</v>
      </c>
      <c r="M268" s="4" t="s">
        <v>108</v>
      </c>
      <c r="N268" s="4" t="s">
        <v>127</v>
      </c>
      <c r="O268" s="4" t="s">
        <v>128</v>
      </c>
      <c r="P268">
        <v>6</v>
      </c>
      <c r="Q268">
        <v>6</v>
      </c>
      <c r="R268" s="4" t="s">
        <v>158</v>
      </c>
      <c r="S268">
        <v>31.78</v>
      </c>
      <c r="T268">
        <v>190.68</v>
      </c>
      <c r="U268">
        <v>156.54</v>
      </c>
      <c r="V268" s="4" t="s">
        <v>30</v>
      </c>
    </row>
    <row r="269" spans="1:22" x14ac:dyDescent="0.2">
      <c r="A269" s="4" t="s">
        <v>453</v>
      </c>
      <c r="B269">
        <v>268</v>
      </c>
      <c r="C269" s="4" t="s">
        <v>26</v>
      </c>
      <c r="D269" s="4" t="s">
        <v>38</v>
      </c>
      <c r="E269" s="4" t="s">
        <v>56</v>
      </c>
      <c r="F269" s="4" t="s">
        <v>1329</v>
      </c>
      <c r="G269">
        <v>8</v>
      </c>
      <c r="H269">
        <v>40</v>
      </c>
      <c r="I269" s="4" t="s">
        <v>1357</v>
      </c>
      <c r="J269" s="4" t="s">
        <v>962</v>
      </c>
      <c r="K269" s="4" t="s">
        <v>114</v>
      </c>
      <c r="L269" s="4" t="s">
        <v>115</v>
      </c>
      <c r="M269" s="4" t="s">
        <v>108</v>
      </c>
      <c r="N269" s="4" t="s">
        <v>129</v>
      </c>
      <c r="O269" s="4" t="s">
        <v>130</v>
      </c>
      <c r="P269">
        <v>18</v>
      </c>
      <c r="Q269">
        <v>18</v>
      </c>
      <c r="R269" s="4" t="s">
        <v>158</v>
      </c>
      <c r="S269">
        <v>91.58</v>
      </c>
      <c r="T269">
        <v>1648.44</v>
      </c>
      <c r="U269">
        <v>1501.2</v>
      </c>
      <c r="V269" s="4" t="s">
        <v>30</v>
      </c>
    </row>
    <row r="270" spans="1:22" x14ac:dyDescent="0.2">
      <c r="A270" s="4" t="s">
        <v>454</v>
      </c>
      <c r="B270">
        <v>269</v>
      </c>
      <c r="C270" s="4" t="s">
        <v>26</v>
      </c>
      <c r="D270" s="4" t="s">
        <v>38</v>
      </c>
      <c r="E270" s="4" t="s">
        <v>56</v>
      </c>
      <c r="F270" s="4" t="s">
        <v>1329</v>
      </c>
      <c r="G270">
        <v>8</v>
      </c>
      <c r="H270">
        <v>40</v>
      </c>
      <c r="I270" s="4" t="s">
        <v>1357</v>
      </c>
      <c r="J270" s="4" t="s">
        <v>956</v>
      </c>
      <c r="K270" s="4" t="s">
        <v>114</v>
      </c>
      <c r="L270" s="4" t="s">
        <v>115</v>
      </c>
      <c r="M270" s="4" t="s">
        <v>108</v>
      </c>
      <c r="N270" s="4" t="s">
        <v>131</v>
      </c>
      <c r="O270" s="4" t="s">
        <v>132</v>
      </c>
      <c r="P270">
        <v>18</v>
      </c>
      <c r="Q270">
        <v>18</v>
      </c>
      <c r="R270" s="4" t="s">
        <v>158</v>
      </c>
      <c r="S270">
        <v>67.069999999999993</v>
      </c>
      <c r="T270">
        <v>1207.26</v>
      </c>
      <c r="U270">
        <v>1088.6400000000001</v>
      </c>
      <c r="V270" s="4" t="s">
        <v>30</v>
      </c>
    </row>
    <row r="271" spans="1:22" x14ac:dyDescent="0.2">
      <c r="A271" s="4" t="s">
        <v>455</v>
      </c>
      <c r="B271">
        <v>270</v>
      </c>
      <c r="C271" s="4" t="s">
        <v>26</v>
      </c>
      <c r="D271" s="4" t="s">
        <v>41</v>
      </c>
      <c r="E271" s="4" t="s">
        <v>27</v>
      </c>
      <c r="F271" s="4" t="s">
        <v>1353</v>
      </c>
      <c r="G271">
        <v>9</v>
      </c>
      <c r="H271">
        <v>41</v>
      </c>
      <c r="I271" s="4" t="s">
        <v>1358</v>
      </c>
      <c r="J271" s="4" t="s">
        <v>956</v>
      </c>
      <c r="K271" s="4" t="s">
        <v>112</v>
      </c>
      <c r="L271" s="4" t="s">
        <v>113</v>
      </c>
      <c r="M271" s="4" t="s">
        <v>108</v>
      </c>
      <c r="N271" s="4" t="s">
        <v>122</v>
      </c>
      <c r="O271" s="4" t="s">
        <v>123</v>
      </c>
      <c r="P271">
        <v>81</v>
      </c>
      <c r="Q271">
        <v>81</v>
      </c>
      <c r="R271" s="4" t="s">
        <v>158</v>
      </c>
      <c r="S271">
        <v>28.18</v>
      </c>
      <c r="T271">
        <v>2282.58</v>
      </c>
      <c r="U271">
        <v>1875.96</v>
      </c>
      <c r="V271" s="4" t="s">
        <v>30</v>
      </c>
    </row>
    <row r="272" spans="1:22" x14ac:dyDescent="0.2">
      <c r="A272" s="4" t="s">
        <v>456</v>
      </c>
      <c r="B272">
        <v>271</v>
      </c>
      <c r="C272" s="4" t="s">
        <v>26</v>
      </c>
      <c r="D272" s="4" t="s">
        <v>41</v>
      </c>
      <c r="E272" s="4" t="s">
        <v>27</v>
      </c>
      <c r="F272" s="4" t="s">
        <v>1353</v>
      </c>
      <c r="G272">
        <v>9</v>
      </c>
      <c r="H272">
        <v>41</v>
      </c>
      <c r="I272" s="4" t="s">
        <v>1359</v>
      </c>
      <c r="J272" s="4" t="s">
        <v>956</v>
      </c>
      <c r="K272" s="4" t="s">
        <v>112</v>
      </c>
      <c r="L272" s="4" t="s">
        <v>113</v>
      </c>
      <c r="M272" s="4" t="s">
        <v>108</v>
      </c>
      <c r="N272" s="4" t="s">
        <v>127</v>
      </c>
      <c r="O272" s="4" t="s">
        <v>128</v>
      </c>
      <c r="P272">
        <v>77</v>
      </c>
      <c r="Q272">
        <v>77</v>
      </c>
      <c r="R272" s="4" t="s">
        <v>158</v>
      </c>
      <c r="S272">
        <v>31.45</v>
      </c>
      <c r="T272">
        <v>2421.65</v>
      </c>
      <c r="U272">
        <v>2008.93</v>
      </c>
      <c r="V272" s="4" t="s">
        <v>30</v>
      </c>
    </row>
    <row r="273" spans="1:22" x14ac:dyDescent="0.2">
      <c r="A273" s="4" t="s">
        <v>457</v>
      </c>
      <c r="B273">
        <v>272</v>
      </c>
      <c r="C273" s="4" t="s">
        <v>26</v>
      </c>
      <c r="D273" s="4" t="s">
        <v>41</v>
      </c>
      <c r="E273" s="4" t="s">
        <v>27</v>
      </c>
      <c r="F273" s="4" t="s">
        <v>1353</v>
      </c>
      <c r="G273">
        <v>9</v>
      </c>
      <c r="H273">
        <v>41</v>
      </c>
      <c r="I273" s="4" t="s">
        <v>1358</v>
      </c>
      <c r="J273" s="4" t="s">
        <v>964</v>
      </c>
      <c r="K273" s="4" t="s">
        <v>112</v>
      </c>
      <c r="L273" s="4" t="s">
        <v>113</v>
      </c>
      <c r="M273" s="4" t="s">
        <v>108</v>
      </c>
      <c r="N273" s="4" t="s">
        <v>129</v>
      </c>
      <c r="O273" s="4" t="s">
        <v>130</v>
      </c>
      <c r="P273">
        <v>10</v>
      </c>
      <c r="Q273">
        <v>10</v>
      </c>
      <c r="R273" s="4" t="s">
        <v>158</v>
      </c>
      <c r="S273">
        <v>91.58</v>
      </c>
      <c r="T273">
        <v>915.8</v>
      </c>
      <c r="U273">
        <v>834</v>
      </c>
      <c r="V273" s="4" t="s">
        <v>30</v>
      </c>
    </row>
    <row r="274" spans="1:22" x14ac:dyDescent="0.2">
      <c r="A274" s="4" t="s">
        <v>458</v>
      </c>
      <c r="B274">
        <v>273</v>
      </c>
      <c r="C274" s="4" t="s">
        <v>26</v>
      </c>
      <c r="D274" s="4" t="s">
        <v>41</v>
      </c>
      <c r="E274" s="4" t="s">
        <v>27</v>
      </c>
      <c r="F274" s="4" t="s">
        <v>1353</v>
      </c>
      <c r="G274">
        <v>9</v>
      </c>
      <c r="H274">
        <v>41</v>
      </c>
      <c r="I274" s="4" t="s">
        <v>1358</v>
      </c>
      <c r="J274" s="4" t="s">
        <v>962</v>
      </c>
      <c r="K274" s="4" t="s">
        <v>112</v>
      </c>
      <c r="L274" s="4" t="s">
        <v>113</v>
      </c>
      <c r="M274" s="4" t="s">
        <v>108</v>
      </c>
      <c r="N274" s="4" t="s">
        <v>129</v>
      </c>
      <c r="O274" s="4" t="s">
        <v>130</v>
      </c>
      <c r="P274">
        <v>20</v>
      </c>
      <c r="Q274">
        <v>20</v>
      </c>
      <c r="R274" s="4" t="s">
        <v>158</v>
      </c>
      <c r="S274">
        <v>91.58</v>
      </c>
      <c r="T274">
        <v>1831.6</v>
      </c>
      <c r="U274">
        <v>1668</v>
      </c>
      <c r="V274" s="4" t="s">
        <v>30</v>
      </c>
    </row>
    <row r="275" spans="1:22" x14ac:dyDescent="0.2">
      <c r="A275" s="4" t="s">
        <v>459</v>
      </c>
      <c r="B275">
        <v>274</v>
      </c>
      <c r="C275" s="4" t="s">
        <v>26</v>
      </c>
      <c r="D275" s="4" t="s">
        <v>41</v>
      </c>
      <c r="E275" s="4" t="s">
        <v>27</v>
      </c>
      <c r="F275" s="4" t="s">
        <v>1353</v>
      </c>
      <c r="G275">
        <v>9</v>
      </c>
      <c r="H275">
        <v>41</v>
      </c>
      <c r="I275" s="4" t="s">
        <v>1360</v>
      </c>
      <c r="J275" s="4" t="s">
        <v>964</v>
      </c>
      <c r="K275" s="4" t="s">
        <v>114</v>
      </c>
      <c r="L275" s="4" t="s">
        <v>115</v>
      </c>
      <c r="M275" s="4" t="s">
        <v>108</v>
      </c>
      <c r="N275" s="4" t="s">
        <v>127</v>
      </c>
      <c r="O275" s="4" t="s">
        <v>128</v>
      </c>
      <c r="P275">
        <v>67</v>
      </c>
      <c r="Q275">
        <v>67</v>
      </c>
      <c r="R275" s="4" t="s">
        <v>158</v>
      </c>
      <c r="S275">
        <v>31.45</v>
      </c>
      <c r="T275">
        <v>2107.15</v>
      </c>
      <c r="U275">
        <v>1748.03</v>
      </c>
      <c r="V275" s="4" t="s">
        <v>30</v>
      </c>
    </row>
    <row r="276" spans="1:22" x14ac:dyDescent="0.2">
      <c r="A276" s="4" t="s">
        <v>460</v>
      </c>
      <c r="B276">
        <v>275</v>
      </c>
      <c r="C276" s="4" t="s">
        <v>26</v>
      </c>
      <c r="D276" s="4" t="s">
        <v>41</v>
      </c>
      <c r="E276" s="4" t="s">
        <v>27</v>
      </c>
      <c r="F276" s="4" t="s">
        <v>1353</v>
      </c>
      <c r="G276">
        <v>9</v>
      </c>
      <c r="H276">
        <v>41</v>
      </c>
      <c r="I276" s="4" t="s">
        <v>1360</v>
      </c>
      <c r="J276" s="4" t="s">
        <v>962</v>
      </c>
      <c r="K276" s="4" t="s">
        <v>114</v>
      </c>
      <c r="L276" s="4" t="s">
        <v>115</v>
      </c>
      <c r="M276" s="4" t="s">
        <v>108</v>
      </c>
      <c r="N276" s="4" t="s">
        <v>127</v>
      </c>
      <c r="O276" s="4" t="s">
        <v>128</v>
      </c>
      <c r="P276">
        <v>66</v>
      </c>
      <c r="Q276">
        <v>66</v>
      </c>
      <c r="R276" s="4" t="s">
        <v>158</v>
      </c>
      <c r="S276">
        <v>31.45</v>
      </c>
      <c r="T276">
        <v>2075.6999999999998</v>
      </c>
      <c r="U276">
        <v>1721.94</v>
      </c>
      <c r="V276" s="4" t="s">
        <v>30</v>
      </c>
    </row>
    <row r="277" spans="1:22" x14ac:dyDescent="0.2">
      <c r="A277" s="4" t="s">
        <v>461</v>
      </c>
      <c r="B277">
        <v>276</v>
      </c>
      <c r="C277" s="4" t="s">
        <v>26</v>
      </c>
      <c r="D277" s="4" t="s">
        <v>41</v>
      </c>
      <c r="E277" s="4" t="s">
        <v>27</v>
      </c>
      <c r="F277" s="4" t="s">
        <v>1353</v>
      </c>
      <c r="G277">
        <v>9</v>
      </c>
      <c r="H277">
        <v>41</v>
      </c>
      <c r="I277" s="4" t="s">
        <v>1361</v>
      </c>
      <c r="J277" s="4" t="s">
        <v>956</v>
      </c>
      <c r="K277" s="4" t="s">
        <v>114</v>
      </c>
      <c r="L277" s="4" t="s">
        <v>115</v>
      </c>
      <c r="M277" s="4" t="s">
        <v>108</v>
      </c>
      <c r="N277" s="4" t="s">
        <v>127</v>
      </c>
      <c r="O277" s="4" t="s">
        <v>128</v>
      </c>
      <c r="P277">
        <v>53</v>
      </c>
      <c r="Q277">
        <v>53</v>
      </c>
      <c r="R277" s="4" t="s">
        <v>158</v>
      </c>
      <c r="S277">
        <v>31.45</v>
      </c>
      <c r="T277">
        <v>1666.85</v>
      </c>
      <c r="U277">
        <v>1382.77</v>
      </c>
      <c r="V277" s="4" t="s">
        <v>30</v>
      </c>
    </row>
    <row r="278" spans="1:22" x14ac:dyDescent="0.2">
      <c r="A278" s="4" t="s">
        <v>462</v>
      </c>
      <c r="B278">
        <v>277</v>
      </c>
      <c r="C278" s="4" t="s">
        <v>26</v>
      </c>
      <c r="D278" s="4" t="s">
        <v>41</v>
      </c>
      <c r="E278" s="4" t="s">
        <v>27</v>
      </c>
      <c r="F278" s="4" t="s">
        <v>1353</v>
      </c>
      <c r="G278">
        <v>9</v>
      </c>
      <c r="H278">
        <v>41</v>
      </c>
      <c r="I278" s="4" t="s">
        <v>1360</v>
      </c>
      <c r="J278" s="4" t="s">
        <v>956</v>
      </c>
      <c r="K278" s="4" t="s">
        <v>114</v>
      </c>
      <c r="L278" s="4" t="s">
        <v>115</v>
      </c>
      <c r="M278" s="4" t="s">
        <v>108</v>
      </c>
      <c r="N278" s="4" t="s">
        <v>131</v>
      </c>
      <c r="O278" s="4" t="s">
        <v>132</v>
      </c>
      <c r="P278">
        <v>24</v>
      </c>
      <c r="Q278">
        <v>24</v>
      </c>
      <c r="R278" s="4" t="s">
        <v>158</v>
      </c>
      <c r="S278">
        <v>67.069999999999993</v>
      </c>
      <c r="T278">
        <v>1609.68</v>
      </c>
      <c r="U278">
        <v>1451.52</v>
      </c>
      <c r="V278" s="4" t="s">
        <v>30</v>
      </c>
    </row>
    <row r="279" spans="1:22" x14ac:dyDescent="0.2">
      <c r="A279" s="4" t="s">
        <v>463</v>
      </c>
      <c r="B279">
        <v>278</v>
      </c>
      <c r="C279" s="4" t="s">
        <v>26</v>
      </c>
      <c r="D279" s="4" t="s">
        <v>41</v>
      </c>
      <c r="E279" s="4" t="s">
        <v>32</v>
      </c>
      <c r="F279" s="4" t="s">
        <v>1354</v>
      </c>
      <c r="G279">
        <v>9</v>
      </c>
      <c r="H279">
        <v>42</v>
      </c>
      <c r="I279" s="4" t="s">
        <v>1363</v>
      </c>
      <c r="J279" s="4" t="s">
        <v>964</v>
      </c>
      <c r="K279" s="4" t="s">
        <v>112</v>
      </c>
      <c r="L279" s="4" t="s">
        <v>113</v>
      </c>
      <c r="M279" s="4" t="s">
        <v>108</v>
      </c>
      <c r="N279" s="4" t="s">
        <v>122</v>
      </c>
      <c r="O279" s="4" t="s">
        <v>123</v>
      </c>
      <c r="P279">
        <v>79</v>
      </c>
      <c r="Q279">
        <v>79</v>
      </c>
      <c r="R279" s="4" t="s">
        <v>158</v>
      </c>
      <c r="S279">
        <v>28.18</v>
      </c>
      <c r="T279">
        <v>2226.2199999999998</v>
      </c>
      <c r="U279">
        <v>1829.64</v>
      </c>
      <c r="V279" s="4" t="s">
        <v>30</v>
      </c>
    </row>
    <row r="280" spans="1:22" x14ac:dyDescent="0.2">
      <c r="A280" s="4" t="s">
        <v>464</v>
      </c>
      <c r="B280">
        <v>279</v>
      </c>
      <c r="C280" s="4" t="s">
        <v>26</v>
      </c>
      <c r="D280" s="4" t="s">
        <v>41</v>
      </c>
      <c r="E280" s="4" t="s">
        <v>32</v>
      </c>
      <c r="F280" s="4" t="s">
        <v>1354</v>
      </c>
      <c r="G280">
        <v>9</v>
      </c>
      <c r="H280">
        <v>42</v>
      </c>
      <c r="I280" s="4" t="s">
        <v>1362</v>
      </c>
      <c r="J280" s="4" t="s">
        <v>962</v>
      </c>
      <c r="K280" s="4" t="s">
        <v>112</v>
      </c>
      <c r="L280" s="4" t="s">
        <v>113</v>
      </c>
      <c r="M280" s="4" t="s">
        <v>108</v>
      </c>
      <c r="N280" s="4" t="s">
        <v>122</v>
      </c>
      <c r="O280" s="4" t="s">
        <v>123</v>
      </c>
      <c r="P280">
        <v>55</v>
      </c>
      <c r="Q280">
        <v>55</v>
      </c>
      <c r="R280" s="4" t="s">
        <v>158</v>
      </c>
      <c r="S280">
        <v>28.18</v>
      </c>
      <c r="T280">
        <v>1549.9</v>
      </c>
      <c r="U280">
        <v>1273.8</v>
      </c>
      <c r="V280" s="4" t="s">
        <v>30</v>
      </c>
    </row>
    <row r="281" spans="1:22" x14ac:dyDescent="0.2">
      <c r="A281" s="4" t="s">
        <v>465</v>
      </c>
      <c r="B281">
        <v>280</v>
      </c>
      <c r="C281" s="4" t="s">
        <v>26</v>
      </c>
      <c r="D281" s="4" t="s">
        <v>41</v>
      </c>
      <c r="E281" s="4" t="s">
        <v>32</v>
      </c>
      <c r="F281" s="4" t="s">
        <v>1354</v>
      </c>
      <c r="G281">
        <v>9</v>
      </c>
      <c r="H281">
        <v>42</v>
      </c>
      <c r="I281" s="4" t="s">
        <v>1363</v>
      </c>
      <c r="J281" s="4" t="s">
        <v>962</v>
      </c>
      <c r="K281" s="4" t="s">
        <v>112</v>
      </c>
      <c r="L281" s="4" t="s">
        <v>113</v>
      </c>
      <c r="M281" s="4" t="s">
        <v>108</v>
      </c>
      <c r="N281" s="4" t="s">
        <v>127</v>
      </c>
      <c r="O281" s="4" t="s">
        <v>128</v>
      </c>
      <c r="P281">
        <v>55</v>
      </c>
      <c r="Q281">
        <v>55</v>
      </c>
      <c r="R281" s="4" t="s">
        <v>158</v>
      </c>
      <c r="S281">
        <v>31.45</v>
      </c>
      <c r="T281">
        <v>1729.75</v>
      </c>
      <c r="U281">
        <v>1434.95</v>
      </c>
      <c r="V281" s="4" t="s">
        <v>30</v>
      </c>
    </row>
    <row r="282" spans="1:22" x14ac:dyDescent="0.2">
      <c r="A282" s="4" t="s">
        <v>466</v>
      </c>
      <c r="B282">
        <v>281</v>
      </c>
      <c r="C282" s="4" t="s">
        <v>26</v>
      </c>
      <c r="D282" s="4" t="s">
        <v>41</v>
      </c>
      <c r="E282" s="4" t="s">
        <v>32</v>
      </c>
      <c r="F282" s="4" t="s">
        <v>1354</v>
      </c>
      <c r="G282">
        <v>9</v>
      </c>
      <c r="H282">
        <v>42</v>
      </c>
      <c r="I282" s="4" t="s">
        <v>1362</v>
      </c>
      <c r="J282" s="4" t="s">
        <v>956</v>
      </c>
      <c r="K282" s="4" t="s">
        <v>112</v>
      </c>
      <c r="L282" s="4" t="s">
        <v>113</v>
      </c>
      <c r="M282" s="4" t="s">
        <v>108</v>
      </c>
      <c r="N282" s="4" t="s">
        <v>127</v>
      </c>
      <c r="O282" s="4" t="s">
        <v>128</v>
      </c>
      <c r="P282">
        <v>18</v>
      </c>
      <c r="Q282">
        <v>18</v>
      </c>
      <c r="R282" s="4" t="s">
        <v>158</v>
      </c>
      <c r="S282">
        <v>31.45</v>
      </c>
      <c r="T282">
        <v>566.1</v>
      </c>
      <c r="U282">
        <v>469.62</v>
      </c>
      <c r="V282" s="4" t="s">
        <v>30</v>
      </c>
    </row>
    <row r="283" spans="1:22" x14ac:dyDescent="0.2">
      <c r="A283" s="4" t="s">
        <v>467</v>
      </c>
      <c r="B283">
        <v>282</v>
      </c>
      <c r="C283" s="4" t="s">
        <v>26</v>
      </c>
      <c r="D283" s="4" t="s">
        <v>41</v>
      </c>
      <c r="E283" s="4" t="s">
        <v>32</v>
      </c>
      <c r="F283" s="4" t="s">
        <v>1354</v>
      </c>
      <c r="G283">
        <v>9</v>
      </c>
      <c r="H283">
        <v>42</v>
      </c>
      <c r="I283" s="4" t="s">
        <v>1363</v>
      </c>
      <c r="J283" s="4" t="s">
        <v>956</v>
      </c>
      <c r="K283" s="4" t="s">
        <v>112</v>
      </c>
      <c r="L283" s="4" t="s">
        <v>113</v>
      </c>
      <c r="M283" s="4" t="s">
        <v>108</v>
      </c>
      <c r="N283" s="4" t="s">
        <v>131</v>
      </c>
      <c r="O283" s="4" t="s">
        <v>132</v>
      </c>
      <c r="P283">
        <v>28</v>
      </c>
      <c r="Q283">
        <v>28</v>
      </c>
      <c r="R283" s="4" t="s">
        <v>158</v>
      </c>
      <c r="S283">
        <v>67.069999999999993</v>
      </c>
      <c r="T283">
        <v>1877.96</v>
      </c>
      <c r="U283">
        <v>1693.44</v>
      </c>
      <c r="V283" s="4" t="s">
        <v>30</v>
      </c>
    </row>
    <row r="284" spans="1:22" x14ac:dyDescent="0.2">
      <c r="A284" s="4" t="s">
        <v>468</v>
      </c>
      <c r="B284">
        <v>283</v>
      </c>
      <c r="C284" s="4" t="s">
        <v>26</v>
      </c>
      <c r="D284" s="4" t="s">
        <v>41</v>
      </c>
      <c r="E284" s="4" t="s">
        <v>32</v>
      </c>
      <c r="F284" s="4" t="s">
        <v>1354</v>
      </c>
      <c r="G284">
        <v>9</v>
      </c>
      <c r="H284">
        <v>42</v>
      </c>
      <c r="I284" s="4" t="s">
        <v>1364</v>
      </c>
      <c r="J284" s="4" t="s">
        <v>964</v>
      </c>
      <c r="K284" s="4" t="s">
        <v>114</v>
      </c>
      <c r="L284" s="4" t="s">
        <v>115</v>
      </c>
      <c r="M284" s="4" t="s">
        <v>108</v>
      </c>
      <c r="N284" s="4" t="s">
        <v>125</v>
      </c>
      <c r="O284" s="4" t="s">
        <v>126</v>
      </c>
      <c r="P284">
        <v>21</v>
      </c>
      <c r="Q284">
        <v>21</v>
      </c>
      <c r="R284" s="4" t="s">
        <v>158</v>
      </c>
      <c r="S284">
        <v>79.87</v>
      </c>
      <c r="T284">
        <v>1677.27</v>
      </c>
      <c r="U284">
        <v>1534.05</v>
      </c>
      <c r="V284" s="4" t="s">
        <v>30</v>
      </c>
    </row>
    <row r="285" spans="1:22" x14ac:dyDescent="0.2">
      <c r="A285" s="4" t="s">
        <v>469</v>
      </c>
      <c r="B285">
        <v>284</v>
      </c>
      <c r="C285" s="4" t="s">
        <v>26</v>
      </c>
      <c r="D285" s="4" t="s">
        <v>41</v>
      </c>
      <c r="E285" s="4" t="s">
        <v>32</v>
      </c>
      <c r="F285" s="4" t="s">
        <v>1354</v>
      </c>
      <c r="G285">
        <v>9</v>
      </c>
      <c r="H285">
        <v>42</v>
      </c>
      <c r="I285" s="4" t="s">
        <v>1364</v>
      </c>
      <c r="J285" s="4" t="s">
        <v>962</v>
      </c>
      <c r="K285" s="4" t="s">
        <v>114</v>
      </c>
      <c r="L285" s="4" t="s">
        <v>115</v>
      </c>
      <c r="M285" s="4" t="s">
        <v>108</v>
      </c>
      <c r="N285" s="4" t="s">
        <v>125</v>
      </c>
      <c r="O285" s="4" t="s">
        <v>126</v>
      </c>
      <c r="P285">
        <v>29</v>
      </c>
      <c r="Q285">
        <v>29</v>
      </c>
      <c r="R285" s="4" t="s">
        <v>158</v>
      </c>
      <c r="S285">
        <v>79.87</v>
      </c>
      <c r="T285">
        <v>2316.23</v>
      </c>
      <c r="U285">
        <v>2118.4499999999998</v>
      </c>
      <c r="V285" s="4" t="s">
        <v>30</v>
      </c>
    </row>
    <row r="286" spans="1:22" x14ac:dyDescent="0.2">
      <c r="A286" s="4" t="s">
        <v>470</v>
      </c>
      <c r="B286">
        <v>285</v>
      </c>
      <c r="C286" s="4" t="s">
        <v>26</v>
      </c>
      <c r="D286" s="4" t="s">
        <v>41</v>
      </c>
      <c r="E286" s="4" t="s">
        <v>32</v>
      </c>
      <c r="F286" s="4" t="s">
        <v>1354</v>
      </c>
      <c r="G286">
        <v>9</v>
      </c>
      <c r="H286">
        <v>42</v>
      </c>
      <c r="I286" s="4" t="s">
        <v>1364</v>
      </c>
      <c r="J286" s="4" t="s">
        <v>956</v>
      </c>
      <c r="K286" s="4" t="s">
        <v>114</v>
      </c>
      <c r="L286" s="4" t="s">
        <v>115</v>
      </c>
      <c r="M286" s="4" t="s">
        <v>108</v>
      </c>
      <c r="N286" s="4" t="s">
        <v>127</v>
      </c>
      <c r="O286" s="4" t="s">
        <v>128</v>
      </c>
      <c r="P286">
        <v>24</v>
      </c>
      <c r="Q286">
        <v>24</v>
      </c>
      <c r="R286" s="4" t="s">
        <v>158</v>
      </c>
      <c r="S286">
        <v>31.45</v>
      </c>
      <c r="T286">
        <v>754.8</v>
      </c>
      <c r="U286">
        <v>626.16</v>
      </c>
      <c r="V286" s="4" t="s">
        <v>30</v>
      </c>
    </row>
    <row r="287" spans="1:22" x14ac:dyDescent="0.2">
      <c r="A287" s="4" t="s">
        <v>471</v>
      </c>
      <c r="B287">
        <v>286</v>
      </c>
      <c r="C287" s="4" t="s">
        <v>26</v>
      </c>
      <c r="D287" s="4" t="s">
        <v>41</v>
      </c>
      <c r="E287" s="4" t="s">
        <v>32</v>
      </c>
      <c r="F287" s="4" t="s">
        <v>1354</v>
      </c>
      <c r="G287">
        <v>9</v>
      </c>
      <c r="H287">
        <v>42</v>
      </c>
      <c r="I287" s="4" t="s">
        <v>1365</v>
      </c>
      <c r="J287" s="4" t="s">
        <v>956</v>
      </c>
      <c r="K287" s="4" t="s">
        <v>116</v>
      </c>
      <c r="L287" s="4" t="s">
        <v>117</v>
      </c>
      <c r="M287" s="4" t="s">
        <v>108</v>
      </c>
      <c r="N287" s="4" t="s">
        <v>122</v>
      </c>
      <c r="O287" s="4" t="s">
        <v>123</v>
      </c>
      <c r="P287">
        <v>85</v>
      </c>
      <c r="Q287">
        <v>85</v>
      </c>
      <c r="R287" s="4" t="s">
        <v>158</v>
      </c>
      <c r="S287">
        <v>28.18</v>
      </c>
      <c r="T287">
        <v>2395.3000000000002</v>
      </c>
      <c r="U287">
        <v>1968.6</v>
      </c>
      <c r="V287" s="4" t="s">
        <v>30</v>
      </c>
    </row>
    <row r="288" spans="1:22" x14ac:dyDescent="0.2">
      <c r="A288" s="4" t="s">
        <v>472</v>
      </c>
      <c r="B288">
        <v>287</v>
      </c>
      <c r="C288" s="4" t="s">
        <v>26</v>
      </c>
      <c r="D288" s="4" t="s">
        <v>41</v>
      </c>
      <c r="E288" s="4" t="s">
        <v>32</v>
      </c>
      <c r="F288" s="4" t="s">
        <v>1354</v>
      </c>
      <c r="G288">
        <v>9</v>
      </c>
      <c r="H288">
        <v>42</v>
      </c>
      <c r="I288" s="4" t="s">
        <v>1365</v>
      </c>
      <c r="J288" s="4" t="s">
        <v>964</v>
      </c>
      <c r="K288" s="4" t="s">
        <v>116</v>
      </c>
      <c r="L288" s="4" t="s">
        <v>117</v>
      </c>
      <c r="M288" s="4" t="s">
        <v>108</v>
      </c>
      <c r="N288" s="4" t="s">
        <v>129</v>
      </c>
      <c r="O288" s="4" t="s">
        <v>130</v>
      </c>
      <c r="P288">
        <v>1</v>
      </c>
      <c r="Q288">
        <v>1</v>
      </c>
      <c r="R288" s="4" t="s">
        <v>158</v>
      </c>
      <c r="S288">
        <v>91.58</v>
      </c>
      <c r="T288">
        <v>91.58</v>
      </c>
      <c r="U288">
        <v>83.4</v>
      </c>
      <c r="V288" s="4" t="s">
        <v>30</v>
      </c>
    </row>
    <row r="289" spans="1:22" x14ac:dyDescent="0.2">
      <c r="A289" s="4" t="s">
        <v>473</v>
      </c>
      <c r="B289">
        <v>288</v>
      </c>
      <c r="C289" s="4" t="s">
        <v>26</v>
      </c>
      <c r="D289" s="4" t="s">
        <v>41</v>
      </c>
      <c r="E289" s="4" t="s">
        <v>32</v>
      </c>
      <c r="F289" s="4" t="s">
        <v>1354</v>
      </c>
      <c r="G289">
        <v>9</v>
      </c>
      <c r="H289">
        <v>42</v>
      </c>
      <c r="I289" s="4" t="s">
        <v>1365</v>
      </c>
      <c r="J289" s="4" t="s">
        <v>962</v>
      </c>
      <c r="K289" s="4" t="s">
        <v>116</v>
      </c>
      <c r="L289" s="4" t="s">
        <v>117</v>
      </c>
      <c r="M289" s="4" t="s">
        <v>108</v>
      </c>
      <c r="N289" s="4" t="s">
        <v>129</v>
      </c>
      <c r="O289" s="4" t="s">
        <v>130</v>
      </c>
      <c r="P289">
        <v>22</v>
      </c>
      <c r="Q289">
        <v>22</v>
      </c>
      <c r="R289" s="4" t="s">
        <v>158</v>
      </c>
      <c r="S289">
        <v>91.58</v>
      </c>
      <c r="T289">
        <v>2014.76</v>
      </c>
      <c r="U289">
        <v>1834.8</v>
      </c>
      <c r="V289" s="4" t="s">
        <v>30</v>
      </c>
    </row>
    <row r="290" spans="1:22" x14ac:dyDescent="0.2">
      <c r="A290" s="4" t="s">
        <v>474</v>
      </c>
      <c r="B290">
        <v>289</v>
      </c>
      <c r="C290" s="4" t="s">
        <v>26</v>
      </c>
      <c r="D290" s="4" t="s">
        <v>41</v>
      </c>
      <c r="E290" s="4" t="s">
        <v>35</v>
      </c>
      <c r="F290" s="4" t="s">
        <v>1415</v>
      </c>
      <c r="G290">
        <v>9</v>
      </c>
      <c r="H290">
        <v>43</v>
      </c>
      <c r="I290" s="4" t="s">
        <v>1440</v>
      </c>
      <c r="J290" s="4" t="s">
        <v>962</v>
      </c>
      <c r="K290" s="4" t="s">
        <v>112</v>
      </c>
      <c r="L290" s="4" t="s">
        <v>113</v>
      </c>
      <c r="M290" s="4" t="s">
        <v>108</v>
      </c>
      <c r="N290" s="4" t="s">
        <v>122</v>
      </c>
      <c r="O290" s="4" t="s">
        <v>123</v>
      </c>
      <c r="P290">
        <v>72</v>
      </c>
      <c r="Q290">
        <v>72</v>
      </c>
      <c r="R290" s="4" t="s">
        <v>158</v>
      </c>
      <c r="S290">
        <v>28.18</v>
      </c>
      <c r="T290">
        <v>2028.96</v>
      </c>
      <c r="U290">
        <v>1667.52</v>
      </c>
      <c r="V290" s="4" t="s">
        <v>30</v>
      </c>
    </row>
    <row r="291" spans="1:22" x14ac:dyDescent="0.2">
      <c r="A291" s="4" t="s">
        <v>475</v>
      </c>
      <c r="B291">
        <v>290</v>
      </c>
      <c r="C291" s="4" t="s">
        <v>26</v>
      </c>
      <c r="D291" s="4" t="s">
        <v>41</v>
      </c>
      <c r="E291" s="4" t="s">
        <v>35</v>
      </c>
      <c r="F291" s="4" t="s">
        <v>1415</v>
      </c>
      <c r="G291">
        <v>9</v>
      </c>
      <c r="H291">
        <v>43</v>
      </c>
      <c r="I291" s="4" t="s">
        <v>1440</v>
      </c>
      <c r="J291" s="4" t="s">
        <v>964</v>
      </c>
      <c r="K291" s="4" t="s">
        <v>112</v>
      </c>
      <c r="L291" s="4" t="s">
        <v>113</v>
      </c>
      <c r="M291" s="4" t="s">
        <v>108</v>
      </c>
      <c r="N291" s="4" t="s">
        <v>125</v>
      </c>
      <c r="O291" s="4" t="s">
        <v>126</v>
      </c>
      <c r="P291">
        <v>23</v>
      </c>
      <c r="Q291">
        <v>23</v>
      </c>
      <c r="R291" s="4" t="s">
        <v>158</v>
      </c>
      <c r="S291">
        <v>79.87</v>
      </c>
      <c r="T291">
        <v>1837.01</v>
      </c>
      <c r="U291">
        <v>1680.15</v>
      </c>
      <c r="V291" s="4" t="s">
        <v>30</v>
      </c>
    </row>
    <row r="292" spans="1:22" x14ac:dyDescent="0.2">
      <c r="A292" s="4" t="s">
        <v>476</v>
      </c>
      <c r="B292">
        <v>291</v>
      </c>
      <c r="C292" s="4" t="s">
        <v>26</v>
      </c>
      <c r="D292" s="4" t="s">
        <v>41</v>
      </c>
      <c r="E292" s="4" t="s">
        <v>35</v>
      </c>
      <c r="F292" s="4" t="s">
        <v>1415</v>
      </c>
      <c r="G292">
        <v>9</v>
      </c>
      <c r="H292">
        <v>43</v>
      </c>
      <c r="I292" s="4" t="s">
        <v>1440</v>
      </c>
      <c r="J292" s="4" t="s">
        <v>1441</v>
      </c>
      <c r="K292" s="4" t="s">
        <v>112</v>
      </c>
      <c r="L292" s="4" t="s">
        <v>113</v>
      </c>
      <c r="M292" s="4" t="s">
        <v>108</v>
      </c>
      <c r="N292" s="4" t="s">
        <v>127</v>
      </c>
      <c r="O292" s="4" t="s">
        <v>128</v>
      </c>
      <c r="P292">
        <v>24</v>
      </c>
      <c r="Q292">
        <v>24</v>
      </c>
      <c r="R292" s="4" t="s">
        <v>158</v>
      </c>
      <c r="S292">
        <v>31.45</v>
      </c>
      <c r="T292">
        <v>754.8</v>
      </c>
      <c r="U292">
        <v>626.16</v>
      </c>
      <c r="V292" s="4" t="s">
        <v>30</v>
      </c>
    </row>
    <row r="293" spans="1:22" x14ac:dyDescent="0.2">
      <c r="A293" s="4" t="s">
        <v>477</v>
      </c>
      <c r="B293">
        <v>292</v>
      </c>
      <c r="C293" s="4" t="s">
        <v>26</v>
      </c>
      <c r="D293" s="4" t="s">
        <v>41</v>
      </c>
      <c r="E293" s="4" t="s">
        <v>35</v>
      </c>
      <c r="F293" s="4" t="s">
        <v>1415</v>
      </c>
      <c r="G293">
        <v>9</v>
      </c>
      <c r="H293">
        <v>43</v>
      </c>
      <c r="I293" s="4" t="s">
        <v>1440</v>
      </c>
      <c r="J293" s="4" t="s">
        <v>956</v>
      </c>
      <c r="K293" s="4" t="s">
        <v>112</v>
      </c>
      <c r="L293" s="4" t="s">
        <v>113</v>
      </c>
      <c r="M293" s="4" t="s">
        <v>108</v>
      </c>
      <c r="N293" s="4" t="s">
        <v>127</v>
      </c>
      <c r="O293" s="4" t="s">
        <v>128</v>
      </c>
      <c r="P293">
        <v>53</v>
      </c>
      <c r="Q293">
        <v>53</v>
      </c>
      <c r="R293" s="4" t="s">
        <v>158</v>
      </c>
      <c r="S293">
        <v>31.45</v>
      </c>
      <c r="T293">
        <v>1666.85</v>
      </c>
      <c r="U293">
        <v>1382.77</v>
      </c>
      <c r="V293" s="4" t="s">
        <v>30</v>
      </c>
    </row>
    <row r="294" spans="1:22" x14ac:dyDescent="0.2">
      <c r="A294" s="4" t="s">
        <v>478</v>
      </c>
      <c r="B294">
        <v>293</v>
      </c>
      <c r="C294" s="4" t="s">
        <v>26</v>
      </c>
      <c r="D294" s="4" t="s">
        <v>41</v>
      </c>
      <c r="E294" s="4" t="s">
        <v>35</v>
      </c>
      <c r="F294" s="4" t="s">
        <v>1415</v>
      </c>
      <c r="G294">
        <v>9</v>
      </c>
      <c r="H294">
        <v>43</v>
      </c>
      <c r="I294" s="4" t="s">
        <v>1440</v>
      </c>
      <c r="J294" s="4" t="s">
        <v>988</v>
      </c>
      <c r="K294" s="4" t="s">
        <v>112</v>
      </c>
      <c r="L294" s="4" t="s">
        <v>113</v>
      </c>
      <c r="M294" s="4" t="s">
        <v>108</v>
      </c>
      <c r="N294" s="4" t="s">
        <v>133</v>
      </c>
      <c r="O294" s="4" t="s">
        <v>134</v>
      </c>
      <c r="P294">
        <v>3</v>
      </c>
      <c r="Q294">
        <v>3</v>
      </c>
      <c r="R294" s="4" t="s">
        <v>158</v>
      </c>
      <c r="S294">
        <v>48.5</v>
      </c>
      <c r="T294">
        <v>145.5</v>
      </c>
      <c r="U294">
        <v>130.94999999999999</v>
      </c>
      <c r="V294" s="4" t="s">
        <v>30</v>
      </c>
    </row>
    <row r="295" spans="1:22" x14ac:dyDescent="0.2">
      <c r="A295" s="4" t="s">
        <v>479</v>
      </c>
      <c r="B295">
        <v>294</v>
      </c>
      <c r="C295" s="4" t="s">
        <v>26</v>
      </c>
      <c r="D295" s="4" t="s">
        <v>41</v>
      </c>
      <c r="E295" s="4" t="s">
        <v>35</v>
      </c>
      <c r="F295" s="4" t="s">
        <v>1415</v>
      </c>
      <c r="G295">
        <v>9</v>
      </c>
      <c r="H295">
        <v>43</v>
      </c>
      <c r="I295" s="4" t="s">
        <v>1440</v>
      </c>
      <c r="J295" s="4" t="s">
        <v>1017</v>
      </c>
      <c r="K295" s="4" t="s">
        <v>112</v>
      </c>
      <c r="L295" s="4" t="s">
        <v>113</v>
      </c>
      <c r="M295" s="4" t="s">
        <v>108</v>
      </c>
      <c r="N295" s="4" t="s">
        <v>133</v>
      </c>
      <c r="O295" s="4" t="s">
        <v>134</v>
      </c>
      <c r="P295">
        <v>47</v>
      </c>
      <c r="Q295">
        <v>47</v>
      </c>
      <c r="R295" s="4" t="s">
        <v>158</v>
      </c>
      <c r="S295">
        <v>48.5</v>
      </c>
      <c r="T295">
        <v>2279.5</v>
      </c>
      <c r="U295">
        <v>2051.5500000000002</v>
      </c>
      <c r="V295" s="4" t="s">
        <v>30</v>
      </c>
    </row>
    <row r="296" spans="1:22" x14ac:dyDescent="0.2">
      <c r="A296" s="4" t="s">
        <v>480</v>
      </c>
      <c r="B296">
        <v>295</v>
      </c>
      <c r="C296" s="4" t="s">
        <v>26</v>
      </c>
      <c r="D296" s="4" t="s">
        <v>41</v>
      </c>
      <c r="E296" s="4" t="s">
        <v>35</v>
      </c>
      <c r="F296" s="4" t="s">
        <v>1415</v>
      </c>
      <c r="G296">
        <v>9</v>
      </c>
      <c r="H296">
        <v>43</v>
      </c>
      <c r="I296" s="4" t="s">
        <v>1442</v>
      </c>
      <c r="J296" s="4" t="s">
        <v>962</v>
      </c>
      <c r="K296" s="4" t="s">
        <v>114</v>
      </c>
      <c r="L296" s="4" t="s">
        <v>115</v>
      </c>
      <c r="M296" s="4" t="s">
        <v>108</v>
      </c>
      <c r="N296" s="4" t="s">
        <v>122</v>
      </c>
      <c r="O296" s="4" t="s">
        <v>123</v>
      </c>
      <c r="P296">
        <v>54</v>
      </c>
      <c r="Q296">
        <v>54</v>
      </c>
      <c r="R296" s="4" t="s">
        <v>158</v>
      </c>
      <c r="S296">
        <v>28.18</v>
      </c>
      <c r="T296">
        <v>1521.72</v>
      </c>
      <c r="U296">
        <v>1250.6400000000001</v>
      </c>
      <c r="V296" s="4" t="s">
        <v>30</v>
      </c>
    </row>
    <row r="297" spans="1:22" x14ac:dyDescent="0.2">
      <c r="A297" s="4" t="s">
        <v>481</v>
      </c>
      <c r="B297">
        <v>296</v>
      </c>
      <c r="C297" s="4" t="s">
        <v>26</v>
      </c>
      <c r="D297" s="4" t="s">
        <v>41</v>
      </c>
      <c r="E297" s="4" t="s">
        <v>35</v>
      </c>
      <c r="F297" s="4" t="s">
        <v>1415</v>
      </c>
      <c r="G297">
        <v>9</v>
      </c>
      <c r="H297">
        <v>43</v>
      </c>
      <c r="I297" s="4" t="s">
        <v>1442</v>
      </c>
      <c r="J297" s="4" t="s">
        <v>956</v>
      </c>
      <c r="K297" s="4" t="s">
        <v>114</v>
      </c>
      <c r="L297" s="4" t="s">
        <v>115</v>
      </c>
      <c r="M297" s="4" t="s">
        <v>108</v>
      </c>
      <c r="N297" s="4" t="s">
        <v>131</v>
      </c>
      <c r="O297" s="4" t="s">
        <v>132</v>
      </c>
      <c r="P297">
        <v>33</v>
      </c>
      <c r="Q297">
        <v>33</v>
      </c>
      <c r="R297" s="4" t="s">
        <v>158</v>
      </c>
      <c r="S297">
        <v>67.069999999999993</v>
      </c>
      <c r="T297">
        <v>2213.31</v>
      </c>
      <c r="U297">
        <v>1995.84</v>
      </c>
      <c r="V297" s="4" t="s">
        <v>30</v>
      </c>
    </row>
    <row r="298" spans="1:22" x14ac:dyDescent="0.2">
      <c r="A298" s="4" t="s">
        <v>482</v>
      </c>
      <c r="B298">
        <v>297</v>
      </c>
      <c r="C298" s="4" t="s">
        <v>26</v>
      </c>
      <c r="D298" s="4" t="s">
        <v>41</v>
      </c>
      <c r="E298" s="4" t="s">
        <v>35</v>
      </c>
      <c r="F298" s="4" t="s">
        <v>1415</v>
      </c>
      <c r="G298">
        <v>9</v>
      </c>
      <c r="H298">
        <v>43</v>
      </c>
      <c r="I298" s="4" t="s">
        <v>1443</v>
      </c>
      <c r="J298" s="4" t="s">
        <v>956</v>
      </c>
      <c r="K298" s="4" t="s">
        <v>114</v>
      </c>
      <c r="L298" s="4" t="s">
        <v>115</v>
      </c>
      <c r="M298" s="4" t="s">
        <v>108</v>
      </c>
      <c r="N298" s="4" t="s">
        <v>131</v>
      </c>
      <c r="O298" s="4" t="s">
        <v>132</v>
      </c>
      <c r="P298">
        <v>34</v>
      </c>
      <c r="Q298">
        <v>34</v>
      </c>
      <c r="R298" s="4" t="s">
        <v>158</v>
      </c>
      <c r="S298">
        <v>67.069999999999993</v>
      </c>
      <c r="T298">
        <v>2280.38</v>
      </c>
      <c r="U298">
        <v>2056.3200000000002</v>
      </c>
      <c r="V298" s="4" t="s">
        <v>30</v>
      </c>
    </row>
    <row r="299" spans="1:22" x14ac:dyDescent="0.2">
      <c r="A299" s="4" t="s">
        <v>483</v>
      </c>
      <c r="B299">
        <v>298</v>
      </c>
      <c r="C299" s="4" t="s">
        <v>26</v>
      </c>
      <c r="D299" s="4" t="s">
        <v>41</v>
      </c>
      <c r="E299" s="4" t="s">
        <v>35</v>
      </c>
      <c r="F299" s="4" t="s">
        <v>1415</v>
      </c>
      <c r="G299">
        <v>9</v>
      </c>
      <c r="H299">
        <v>43</v>
      </c>
      <c r="I299" s="4" t="s">
        <v>1444</v>
      </c>
      <c r="J299" s="4" t="s">
        <v>956</v>
      </c>
      <c r="K299" s="4" t="s">
        <v>116</v>
      </c>
      <c r="L299" s="4" t="s">
        <v>117</v>
      </c>
      <c r="M299" s="4" t="s">
        <v>108</v>
      </c>
      <c r="N299" s="4" t="s">
        <v>122</v>
      </c>
      <c r="O299" s="4" t="s">
        <v>123</v>
      </c>
      <c r="P299">
        <v>15</v>
      </c>
      <c r="Q299">
        <v>15</v>
      </c>
      <c r="R299" s="4" t="s">
        <v>158</v>
      </c>
      <c r="S299">
        <v>28.18</v>
      </c>
      <c r="T299">
        <v>422.7</v>
      </c>
      <c r="U299">
        <v>347.4</v>
      </c>
      <c r="V299" s="4" t="s">
        <v>30</v>
      </c>
    </row>
    <row r="300" spans="1:22" x14ac:dyDescent="0.2">
      <c r="A300" s="4" t="s">
        <v>484</v>
      </c>
      <c r="B300">
        <v>299</v>
      </c>
      <c r="C300" s="4" t="s">
        <v>26</v>
      </c>
      <c r="D300" s="4" t="s">
        <v>41</v>
      </c>
      <c r="E300" s="4" t="s">
        <v>38</v>
      </c>
      <c r="F300" s="4" t="s">
        <v>1446</v>
      </c>
      <c r="G300">
        <v>9</v>
      </c>
      <c r="H300">
        <v>44</v>
      </c>
      <c r="I300" s="4" t="s">
        <v>1478</v>
      </c>
      <c r="J300" s="4" t="s">
        <v>964</v>
      </c>
      <c r="K300" s="4" t="s">
        <v>112</v>
      </c>
      <c r="L300" s="4" t="s">
        <v>113</v>
      </c>
      <c r="M300" s="4" t="s">
        <v>108</v>
      </c>
      <c r="N300" s="4" t="s">
        <v>122</v>
      </c>
      <c r="O300" s="4" t="s">
        <v>123</v>
      </c>
      <c r="P300">
        <v>54</v>
      </c>
      <c r="Q300">
        <v>54</v>
      </c>
      <c r="R300" s="4" t="s">
        <v>158</v>
      </c>
      <c r="S300">
        <v>28.18</v>
      </c>
      <c r="T300">
        <v>1521.72</v>
      </c>
      <c r="U300">
        <v>1250.6400000000001</v>
      </c>
      <c r="V300" s="4" t="s">
        <v>30</v>
      </c>
    </row>
    <row r="301" spans="1:22" x14ac:dyDescent="0.2">
      <c r="A301" s="4" t="s">
        <v>485</v>
      </c>
      <c r="B301">
        <v>300</v>
      </c>
      <c r="C301" s="4" t="s">
        <v>26</v>
      </c>
      <c r="D301" s="4" t="s">
        <v>41</v>
      </c>
      <c r="E301" s="4" t="s">
        <v>38</v>
      </c>
      <c r="F301" s="4" t="s">
        <v>1446</v>
      </c>
      <c r="G301">
        <v>9</v>
      </c>
      <c r="H301">
        <v>44</v>
      </c>
      <c r="I301" s="4" t="s">
        <v>1479</v>
      </c>
      <c r="J301" s="4" t="s">
        <v>956</v>
      </c>
      <c r="K301" s="4" t="s">
        <v>112</v>
      </c>
      <c r="L301" s="4" t="s">
        <v>113</v>
      </c>
      <c r="M301" s="4" t="s">
        <v>108</v>
      </c>
      <c r="N301" s="4" t="s">
        <v>122</v>
      </c>
      <c r="O301" s="4" t="s">
        <v>123</v>
      </c>
      <c r="P301">
        <v>80</v>
      </c>
      <c r="Q301">
        <v>80</v>
      </c>
      <c r="R301" s="4" t="s">
        <v>158</v>
      </c>
      <c r="S301">
        <v>28.18</v>
      </c>
      <c r="T301">
        <v>2254.4</v>
      </c>
      <c r="U301">
        <v>1852.8</v>
      </c>
      <c r="V301" s="4" t="s">
        <v>30</v>
      </c>
    </row>
    <row r="302" spans="1:22" x14ac:dyDescent="0.2">
      <c r="A302" s="4" t="s">
        <v>486</v>
      </c>
      <c r="B302">
        <v>301</v>
      </c>
      <c r="C302" s="4" t="s">
        <v>26</v>
      </c>
      <c r="D302" s="4" t="s">
        <v>41</v>
      </c>
      <c r="E302" s="4" t="s">
        <v>38</v>
      </c>
      <c r="F302" s="4" t="s">
        <v>1446</v>
      </c>
      <c r="G302">
        <v>9</v>
      </c>
      <c r="H302">
        <v>44</v>
      </c>
      <c r="I302" s="4" t="s">
        <v>1478</v>
      </c>
      <c r="J302" s="4" t="s">
        <v>962</v>
      </c>
      <c r="K302" s="4" t="s">
        <v>112</v>
      </c>
      <c r="L302" s="4" t="s">
        <v>113</v>
      </c>
      <c r="M302" s="4" t="s">
        <v>108</v>
      </c>
      <c r="N302" s="4" t="s">
        <v>131</v>
      </c>
      <c r="O302" s="4" t="s">
        <v>132</v>
      </c>
      <c r="P302">
        <v>23</v>
      </c>
      <c r="Q302">
        <v>23</v>
      </c>
      <c r="R302" s="4" t="s">
        <v>158</v>
      </c>
      <c r="S302">
        <v>67.069999999999993</v>
      </c>
      <c r="T302">
        <v>1542.61</v>
      </c>
      <c r="U302">
        <v>1391.04</v>
      </c>
      <c r="V302" s="4" t="s">
        <v>30</v>
      </c>
    </row>
    <row r="303" spans="1:22" x14ac:dyDescent="0.2">
      <c r="A303" s="4" t="s">
        <v>487</v>
      </c>
      <c r="B303">
        <v>302</v>
      </c>
      <c r="C303" s="4" t="s">
        <v>26</v>
      </c>
      <c r="D303" s="4" t="s">
        <v>41</v>
      </c>
      <c r="E303" s="4" t="s">
        <v>38</v>
      </c>
      <c r="F303" s="4" t="s">
        <v>1446</v>
      </c>
      <c r="G303">
        <v>9</v>
      </c>
      <c r="H303">
        <v>44</v>
      </c>
      <c r="I303" s="4" t="s">
        <v>1478</v>
      </c>
      <c r="J303" s="4" t="s">
        <v>956</v>
      </c>
      <c r="K303" s="4" t="s">
        <v>112</v>
      </c>
      <c r="L303" s="4" t="s">
        <v>113</v>
      </c>
      <c r="M303" s="4" t="s">
        <v>108</v>
      </c>
      <c r="N303" s="4" t="s">
        <v>131</v>
      </c>
      <c r="O303" s="4" t="s">
        <v>132</v>
      </c>
      <c r="P303">
        <v>23</v>
      </c>
      <c r="Q303">
        <v>23</v>
      </c>
      <c r="R303" s="4" t="s">
        <v>158</v>
      </c>
      <c r="S303">
        <v>67.069999999999993</v>
      </c>
      <c r="T303">
        <v>1542.61</v>
      </c>
      <c r="U303">
        <v>1391.04</v>
      </c>
      <c r="V303" s="4" t="s">
        <v>30</v>
      </c>
    </row>
    <row r="304" spans="1:22" x14ac:dyDescent="0.2">
      <c r="A304" s="4" t="s">
        <v>488</v>
      </c>
      <c r="B304">
        <v>303</v>
      </c>
      <c r="C304" s="4" t="s">
        <v>26</v>
      </c>
      <c r="D304" s="4" t="s">
        <v>41</v>
      </c>
      <c r="E304" s="4" t="s">
        <v>38</v>
      </c>
      <c r="F304" s="4" t="s">
        <v>1446</v>
      </c>
      <c r="G304">
        <v>9</v>
      </c>
      <c r="H304">
        <v>44</v>
      </c>
      <c r="I304" s="4" t="s">
        <v>1480</v>
      </c>
      <c r="J304" s="4" t="s">
        <v>956</v>
      </c>
      <c r="K304" s="4" t="s">
        <v>116</v>
      </c>
      <c r="L304" s="4" t="s">
        <v>117</v>
      </c>
      <c r="M304" s="4" t="s">
        <v>108</v>
      </c>
      <c r="N304" s="4" t="s">
        <v>122</v>
      </c>
      <c r="O304" s="4" t="s">
        <v>123</v>
      </c>
      <c r="P304">
        <v>20</v>
      </c>
      <c r="Q304">
        <v>20</v>
      </c>
      <c r="R304" s="4" t="s">
        <v>158</v>
      </c>
      <c r="S304">
        <v>28.18</v>
      </c>
      <c r="T304">
        <v>563.6</v>
      </c>
      <c r="U304">
        <v>463.2</v>
      </c>
      <c r="V304" s="4" t="s">
        <v>30</v>
      </c>
    </row>
    <row r="305" spans="1:22" x14ac:dyDescent="0.2">
      <c r="A305" s="4" t="s">
        <v>489</v>
      </c>
      <c r="B305">
        <v>304</v>
      </c>
      <c r="C305" s="4" t="s">
        <v>26</v>
      </c>
      <c r="D305" s="4" t="s">
        <v>41</v>
      </c>
      <c r="E305" s="4" t="s">
        <v>38</v>
      </c>
      <c r="F305" s="4" t="s">
        <v>1446</v>
      </c>
      <c r="G305">
        <v>9</v>
      </c>
      <c r="H305">
        <v>44</v>
      </c>
      <c r="I305" s="4" t="s">
        <v>1481</v>
      </c>
      <c r="J305" s="4" t="s">
        <v>964</v>
      </c>
      <c r="K305" s="4" t="s">
        <v>116</v>
      </c>
      <c r="L305" s="4" t="s">
        <v>117</v>
      </c>
      <c r="M305" s="4" t="s">
        <v>108</v>
      </c>
      <c r="N305" s="4" t="s">
        <v>125</v>
      </c>
      <c r="O305" s="4" t="s">
        <v>126</v>
      </c>
      <c r="P305">
        <v>23</v>
      </c>
      <c r="Q305">
        <v>23</v>
      </c>
      <c r="R305" s="4" t="s">
        <v>158</v>
      </c>
      <c r="S305">
        <v>79.87</v>
      </c>
      <c r="T305">
        <v>1837.01</v>
      </c>
      <c r="U305">
        <v>1680.15</v>
      </c>
      <c r="V305" s="4" t="s">
        <v>30</v>
      </c>
    </row>
    <row r="306" spans="1:22" x14ac:dyDescent="0.2">
      <c r="A306" s="4" t="s">
        <v>490</v>
      </c>
      <c r="B306">
        <v>305</v>
      </c>
      <c r="C306" s="4" t="s">
        <v>26</v>
      </c>
      <c r="D306" s="4" t="s">
        <v>41</v>
      </c>
      <c r="E306" s="4" t="s">
        <v>38</v>
      </c>
      <c r="F306" s="4" t="s">
        <v>1446</v>
      </c>
      <c r="G306">
        <v>9</v>
      </c>
      <c r="H306">
        <v>44</v>
      </c>
      <c r="I306" s="4" t="s">
        <v>1480</v>
      </c>
      <c r="J306" s="4" t="s">
        <v>962</v>
      </c>
      <c r="K306" s="4" t="s">
        <v>116</v>
      </c>
      <c r="L306" s="4" t="s">
        <v>117</v>
      </c>
      <c r="M306" s="4" t="s">
        <v>108</v>
      </c>
      <c r="N306" s="4" t="s">
        <v>129</v>
      </c>
      <c r="O306" s="4" t="s">
        <v>130</v>
      </c>
      <c r="P306">
        <v>21</v>
      </c>
      <c r="Q306">
        <v>21</v>
      </c>
      <c r="R306" s="4" t="s">
        <v>158</v>
      </c>
      <c r="S306">
        <v>91.58</v>
      </c>
      <c r="T306">
        <v>1923.18</v>
      </c>
      <c r="U306">
        <v>1751.4</v>
      </c>
      <c r="V306" s="4" t="s">
        <v>30</v>
      </c>
    </row>
    <row r="307" spans="1:22" x14ac:dyDescent="0.2">
      <c r="A307" s="4" t="s">
        <v>491</v>
      </c>
      <c r="B307">
        <v>306</v>
      </c>
      <c r="C307" s="4" t="s">
        <v>26</v>
      </c>
      <c r="D307" s="4" t="s">
        <v>41</v>
      </c>
      <c r="E307" s="4" t="s">
        <v>38</v>
      </c>
      <c r="F307" s="4" t="s">
        <v>1446</v>
      </c>
      <c r="G307">
        <v>9</v>
      </c>
      <c r="H307">
        <v>44</v>
      </c>
      <c r="I307" s="4" t="s">
        <v>1481</v>
      </c>
      <c r="J307" s="4" t="s">
        <v>962</v>
      </c>
      <c r="K307" s="4" t="s">
        <v>116</v>
      </c>
      <c r="L307" s="4" t="s">
        <v>117</v>
      </c>
      <c r="M307" s="4" t="s">
        <v>108</v>
      </c>
      <c r="N307" s="4" t="s">
        <v>129</v>
      </c>
      <c r="O307" s="4" t="s">
        <v>130</v>
      </c>
      <c r="P307">
        <v>21</v>
      </c>
      <c r="Q307">
        <v>21</v>
      </c>
      <c r="R307" s="4" t="s">
        <v>158</v>
      </c>
      <c r="S307">
        <v>91.58</v>
      </c>
      <c r="T307">
        <v>1923.18</v>
      </c>
      <c r="U307">
        <v>1751.4</v>
      </c>
      <c r="V307" s="4" t="s">
        <v>30</v>
      </c>
    </row>
    <row r="308" spans="1:22" x14ac:dyDescent="0.2">
      <c r="A308" s="4" t="s">
        <v>492</v>
      </c>
      <c r="B308">
        <v>307</v>
      </c>
      <c r="C308" s="4" t="s">
        <v>26</v>
      </c>
      <c r="D308" s="4" t="s">
        <v>41</v>
      </c>
      <c r="E308" s="4" t="s">
        <v>38</v>
      </c>
      <c r="F308" s="4" t="s">
        <v>1446</v>
      </c>
      <c r="G308">
        <v>9</v>
      </c>
      <c r="H308">
        <v>44</v>
      </c>
      <c r="I308" s="4" t="s">
        <v>1481</v>
      </c>
      <c r="J308" s="4" t="s">
        <v>956</v>
      </c>
      <c r="K308" s="4" t="s">
        <v>116</v>
      </c>
      <c r="L308" s="4" t="s">
        <v>117</v>
      </c>
      <c r="M308" s="4" t="s">
        <v>108</v>
      </c>
      <c r="N308" s="4" t="s">
        <v>131</v>
      </c>
      <c r="O308" s="4" t="s">
        <v>132</v>
      </c>
      <c r="P308">
        <v>29</v>
      </c>
      <c r="Q308">
        <v>29</v>
      </c>
      <c r="R308" s="4" t="s">
        <v>158</v>
      </c>
      <c r="S308">
        <v>67.069999999999993</v>
      </c>
      <c r="T308">
        <v>1945.03</v>
      </c>
      <c r="U308">
        <v>1753.92</v>
      </c>
      <c r="V308" s="4" t="s">
        <v>30</v>
      </c>
    </row>
    <row r="309" spans="1:22" x14ac:dyDescent="0.2">
      <c r="A309" s="4" t="s">
        <v>493</v>
      </c>
      <c r="B309">
        <v>308</v>
      </c>
      <c r="C309" s="4" t="s">
        <v>26</v>
      </c>
      <c r="D309" s="4" t="s">
        <v>41</v>
      </c>
      <c r="E309" s="4" t="s">
        <v>41</v>
      </c>
      <c r="F309" s="4" t="s">
        <v>1474</v>
      </c>
      <c r="G309">
        <v>9</v>
      </c>
      <c r="H309">
        <v>45</v>
      </c>
      <c r="I309" s="4" t="s">
        <v>1482</v>
      </c>
      <c r="J309" s="4" t="s">
        <v>956</v>
      </c>
      <c r="K309" s="4" t="s">
        <v>112</v>
      </c>
      <c r="L309" s="4" t="s">
        <v>113</v>
      </c>
      <c r="M309" s="4" t="s">
        <v>108</v>
      </c>
      <c r="N309" s="4" t="s">
        <v>122</v>
      </c>
      <c r="O309" s="4" t="s">
        <v>123</v>
      </c>
      <c r="P309">
        <v>71</v>
      </c>
      <c r="Q309">
        <v>71</v>
      </c>
      <c r="R309" s="4" t="s">
        <v>158</v>
      </c>
      <c r="S309">
        <v>28.18</v>
      </c>
      <c r="T309">
        <v>2000.78</v>
      </c>
      <c r="U309">
        <v>1644.36</v>
      </c>
      <c r="V309" s="4" t="s">
        <v>30</v>
      </c>
    </row>
    <row r="310" spans="1:22" x14ac:dyDescent="0.2">
      <c r="A310" s="4" t="s">
        <v>494</v>
      </c>
      <c r="B310">
        <v>309</v>
      </c>
      <c r="C310" s="4" t="s">
        <v>26</v>
      </c>
      <c r="D310" s="4" t="s">
        <v>41</v>
      </c>
      <c r="E310" s="4" t="s">
        <v>41</v>
      </c>
      <c r="F310" s="4" t="s">
        <v>1474</v>
      </c>
      <c r="G310">
        <v>9</v>
      </c>
      <c r="H310">
        <v>45</v>
      </c>
      <c r="I310" s="4" t="s">
        <v>1482</v>
      </c>
      <c r="J310" s="4" t="s">
        <v>962</v>
      </c>
      <c r="K310" s="4" t="s">
        <v>112</v>
      </c>
      <c r="L310" s="4" t="s">
        <v>113</v>
      </c>
      <c r="M310" s="4" t="s">
        <v>108</v>
      </c>
      <c r="N310" s="4" t="s">
        <v>122</v>
      </c>
      <c r="O310" s="4" t="s">
        <v>123</v>
      </c>
      <c r="P310">
        <v>8</v>
      </c>
      <c r="Q310">
        <v>8</v>
      </c>
      <c r="R310" s="4" t="s">
        <v>158</v>
      </c>
      <c r="S310">
        <v>28.18</v>
      </c>
      <c r="T310">
        <v>225.44</v>
      </c>
      <c r="U310">
        <v>185.28</v>
      </c>
      <c r="V310" s="4" t="s">
        <v>30</v>
      </c>
    </row>
    <row r="311" spans="1:22" x14ac:dyDescent="0.2">
      <c r="A311" s="4" t="s">
        <v>495</v>
      </c>
      <c r="B311">
        <v>310</v>
      </c>
      <c r="C311" s="4" t="s">
        <v>26</v>
      </c>
      <c r="D311" s="4" t="s">
        <v>41</v>
      </c>
      <c r="E311" s="4" t="s">
        <v>41</v>
      </c>
      <c r="F311" s="4" t="s">
        <v>1474</v>
      </c>
      <c r="G311">
        <v>9</v>
      </c>
      <c r="H311">
        <v>45</v>
      </c>
      <c r="I311" s="4" t="s">
        <v>1483</v>
      </c>
      <c r="J311" s="4" t="s">
        <v>962</v>
      </c>
      <c r="K311" s="4" t="s">
        <v>112</v>
      </c>
      <c r="L311" s="4" t="s">
        <v>113</v>
      </c>
      <c r="M311" s="4" t="s">
        <v>108</v>
      </c>
      <c r="N311" s="4" t="s">
        <v>125</v>
      </c>
      <c r="O311" s="4" t="s">
        <v>126</v>
      </c>
      <c r="P311">
        <v>27</v>
      </c>
      <c r="Q311">
        <v>27</v>
      </c>
      <c r="R311" s="4" t="s">
        <v>158</v>
      </c>
      <c r="S311">
        <v>79.87</v>
      </c>
      <c r="T311">
        <v>2156.4899999999998</v>
      </c>
      <c r="U311">
        <v>1972.35</v>
      </c>
      <c r="V311" s="4" t="s">
        <v>30</v>
      </c>
    </row>
    <row r="312" spans="1:22" x14ac:dyDescent="0.2">
      <c r="A312" s="4" t="s">
        <v>496</v>
      </c>
      <c r="B312">
        <v>311</v>
      </c>
      <c r="C312" s="4" t="s">
        <v>26</v>
      </c>
      <c r="D312" s="4" t="s">
        <v>41</v>
      </c>
      <c r="E312" s="4" t="s">
        <v>41</v>
      </c>
      <c r="F312" s="4" t="s">
        <v>1474</v>
      </c>
      <c r="G312">
        <v>9</v>
      </c>
      <c r="H312">
        <v>45</v>
      </c>
      <c r="I312" s="4" t="s">
        <v>1483</v>
      </c>
      <c r="J312" s="4" t="s">
        <v>956</v>
      </c>
      <c r="K312" s="4" t="s">
        <v>112</v>
      </c>
      <c r="L312" s="4" t="s">
        <v>113</v>
      </c>
      <c r="M312" s="4" t="s">
        <v>108</v>
      </c>
      <c r="N312" s="4" t="s">
        <v>127</v>
      </c>
      <c r="O312" s="4" t="s">
        <v>128</v>
      </c>
      <c r="P312">
        <v>71</v>
      </c>
      <c r="Q312">
        <v>71</v>
      </c>
      <c r="R312" s="4" t="s">
        <v>158</v>
      </c>
      <c r="S312">
        <v>31.45</v>
      </c>
      <c r="T312">
        <v>2232.9499999999998</v>
      </c>
      <c r="U312">
        <v>1852.39</v>
      </c>
      <c r="V312" s="4" t="s">
        <v>30</v>
      </c>
    </row>
    <row r="313" spans="1:22" x14ac:dyDescent="0.2">
      <c r="A313" s="4" t="s">
        <v>497</v>
      </c>
      <c r="B313">
        <v>312</v>
      </c>
      <c r="C313" s="4" t="s">
        <v>26</v>
      </c>
      <c r="D313" s="4" t="s">
        <v>41</v>
      </c>
      <c r="E313" s="4" t="s">
        <v>41</v>
      </c>
      <c r="F313" s="4" t="s">
        <v>1474</v>
      </c>
      <c r="G313">
        <v>9</v>
      </c>
      <c r="H313">
        <v>45</v>
      </c>
      <c r="I313" s="4" t="s">
        <v>1484</v>
      </c>
      <c r="J313" s="4" t="s">
        <v>962</v>
      </c>
      <c r="K313" s="4" t="s">
        <v>114</v>
      </c>
      <c r="L313" s="4" t="s">
        <v>115</v>
      </c>
      <c r="M313" s="4" t="s">
        <v>108</v>
      </c>
      <c r="N313" s="4" t="s">
        <v>127</v>
      </c>
      <c r="O313" s="4" t="s">
        <v>128</v>
      </c>
      <c r="P313">
        <v>75</v>
      </c>
      <c r="Q313">
        <v>75</v>
      </c>
      <c r="R313" s="4" t="s">
        <v>158</v>
      </c>
      <c r="S313">
        <v>31.45</v>
      </c>
      <c r="T313">
        <v>2358.75</v>
      </c>
      <c r="U313">
        <v>1956.75</v>
      </c>
      <c r="V313" s="4" t="s">
        <v>30</v>
      </c>
    </row>
    <row r="314" spans="1:22" x14ac:dyDescent="0.2">
      <c r="A314" s="4" t="s">
        <v>498</v>
      </c>
      <c r="B314">
        <v>313</v>
      </c>
      <c r="C314" s="4" t="s">
        <v>26</v>
      </c>
      <c r="D314" s="4" t="s">
        <v>41</v>
      </c>
      <c r="E314" s="4" t="s">
        <v>41</v>
      </c>
      <c r="F314" s="4" t="s">
        <v>1474</v>
      </c>
      <c r="G314">
        <v>9</v>
      </c>
      <c r="H314">
        <v>45</v>
      </c>
      <c r="I314" s="4" t="s">
        <v>1484</v>
      </c>
      <c r="J314" s="4" t="s">
        <v>956</v>
      </c>
      <c r="K314" s="4" t="s">
        <v>114</v>
      </c>
      <c r="L314" s="4" t="s">
        <v>115</v>
      </c>
      <c r="M314" s="4" t="s">
        <v>108</v>
      </c>
      <c r="N314" s="4" t="s">
        <v>127</v>
      </c>
      <c r="O314" s="4" t="s">
        <v>128</v>
      </c>
      <c r="P314">
        <v>55</v>
      </c>
      <c r="Q314">
        <v>55</v>
      </c>
      <c r="R314" s="4" t="s">
        <v>158</v>
      </c>
      <c r="S314">
        <v>31.45</v>
      </c>
      <c r="T314">
        <v>1729.75</v>
      </c>
      <c r="U314">
        <v>1434.95</v>
      </c>
      <c r="V314" s="4" t="s">
        <v>30</v>
      </c>
    </row>
    <row r="315" spans="1:22" x14ac:dyDescent="0.2">
      <c r="A315" s="4" t="s">
        <v>499</v>
      </c>
      <c r="B315">
        <v>314</v>
      </c>
      <c r="C315" s="4" t="s">
        <v>26</v>
      </c>
      <c r="D315" s="4" t="s">
        <v>41</v>
      </c>
      <c r="E315" s="4" t="s">
        <v>41</v>
      </c>
      <c r="F315" s="4" t="s">
        <v>1474</v>
      </c>
      <c r="G315">
        <v>9</v>
      </c>
      <c r="H315">
        <v>45</v>
      </c>
      <c r="I315" s="4" t="s">
        <v>1485</v>
      </c>
      <c r="J315" s="4" t="s">
        <v>956</v>
      </c>
      <c r="K315" s="4" t="s">
        <v>116</v>
      </c>
      <c r="L315" s="4" t="s">
        <v>117</v>
      </c>
      <c r="M315" s="4" t="s">
        <v>108</v>
      </c>
      <c r="N315" s="4" t="s">
        <v>127</v>
      </c>
      <c r="O315" s="4" t="s">
        <v>128</v>
      </c>
      <c r="P315">
        <v>71</v>
      </c>
      <c r="Q315">
        <v>71</v>
      </c>
      <c r="R315" s="4" t="s">
        <v>158</v>
      </c>
      <c r="S315">
        <v>31.45</v>
      </c>
      <c r="T315">
        <v>2232.9499999999998</v>
      </c>
      <c r="U315">
        <v>1852.39</v>
      </c>
      <c r="V315" s="4" t="s">
        <v>30</v>
      </c>
    </row>
    <row r="316" spans="1:22" x14ac:dyDescent="0.2">
      <c r="A316" s="4" t="s">
        <v>500</v>
      </c>
      <c r="B316">
        <v>315</v>
      </c>
      <c r="C316" s="4" t="s">
        <v>26</v>
      </c>
      <c r="D316" s="4" t="s">
        <v>41</v>
      </c>
      <c r="E316" s="4" t="s">
        <v>41</v>
      </c>
      <c r="F316" s="4" t="s">
        <v>1474</v>
      </c>
      <c r="G316">
        <v>9</v>
      </c>
      <c r="H316">
        <v>45</v>
      </c>
      <c r="I316" s="4" t="s">
        <v>1485</v>
      </c>
      <c r="J316" s="4" t="s">
        <v>962</v>
      </c>
      <c r="K316" s="4" t="s">
        <v>116</v>
      </c>
      <c r="L316" s="4" t="s">
        <v>117</v>
      </c>
      <c r="M316" s="4" t="s">
        <v>108</v>
      </c>
      <c r="N316" s="4" t="s">
        <v>129</v>
      </c>
      <c r="O316" s="4" t="s">
        <v>130</v>
      </c>
      <c r="P316">
        <v>18</v>
      </c>
      <c r="Q316">
        <v>18</v>
      </c>
      <c r="R316" s="4" t="s">
        <v>158</v>
      </c>
      <c r="S316">
        <v>91.58</v>
      </c>
      <c r="T316">
        <v>1648.44</v>
      </c>
      <c r="U316">
        <v>1501.2</v>
      </c>
      <c r="V316" s="4" t="s">
        <v>30</v>
      </c>
    </row>
    <row r="317" spans="1:22" x14ac:dyDescent="0.2">
      <c r="A317" s="4" t="s">
        <v>501</v>
      </c>
      <c r="B317">
        <v>316</v>
      </c>
      <c r="C317" s="4" t="s">
        <v>26</v>
      </c>
      <c r="D317" s="4" t="s">
        <v>41</v>
      </c>
      <c r="E317" s="4" t="s">
        <v>44</v>
      </c>
      <c r="F317" s="4" t="s">
        <v>1475</v>
      </c>
      <c r="G317">
        <v>10</v>
      </c>
      <c r="H317">
        <v>46</v>
      </c>
      <c r="I317" s="4" t="s">
        <v>1486</v>
      </c>
      <c r="J317" s="4" t="s">
        <v>956</v>
      </c>
      <c r="K317" s="4" t="s">
        <v>112</v>
      </c>
      <c r="L317" s="4" t="s">
        <v>113</v>
      </c>
      <c r="M317" s="4" t="s">
        <v>108</v>
      </c>
      <c r="N317" s="4" t="s">
        <v>122</v>
      </c>
      <c r="O317" s="4" t="s">
        <v>123</v>
      </c>
      <c r="P317">
        <v>77</v>
      </c>
      <c r="Q317">
        <v>77</v>
      </c>
      <c r="R317" s="4" t="s">
        <v>158</v>
      </c>
      <c r="S317">
        <v>28.18</v>
      </c>
      <c r="T317">
        <v>2169.86</v>
      </c>
      <c r="U317">
        <v>1783.32</v>
      </c>
      <c r="V317" s="4" t="s">
        <v>30</v>
      </c>
    </row>
    <row r="318" spans="1:22" x14ac:dyDescent="0.2">
      <c r="A318" s="4" t="s">
        <v>502</v>
      </c>
      <c r="B318">
        <v>317</v>
      </c>
      <c r="C318" s="4" t="s">
        <v>26</v>
      </c>
      <c r="D318" s="4" t="s">
        <v>41</v>
      </c>
      <c r="E318" s="4" t="s">
        <v>44</v>
      </c>
      <c r="F318" s="4" t="s">
        <v>1475</v>
      </c>
      <c r="G318">
        <v>10</v>
      </c>
      <c r="H318">
        <v>46</v>
      </c>
      <c r="I318" s="4" t="s">
        <v>1486</v>
      </c>
      <c r="J318" s="4" t="s">
        <v>967</v>
      </c>
      <c r="K318" s="4" t="s">
        <v>112</v>
      </c>
      <c r="L318" s="4" t="s">
        <v>113</v>
      </c>
      <c r="M318" s="4" t="s">
        <v>108</v>
      </c>
      <c r="N318" s="4" t="s">
        <v>122</v>
      </c>
      <c r="O318" s="4" t="s">
        <v>123</v>
      </c>
      <c r="P318">
        <v>79</v>
      </c>
      <c r="Q318">
        <v>79</v>
      </c>
      <c r="R318" s="4" t="s">
        <v>158</v>
      </c>
      <c r="S318">
        <v>28.18</v>
      </c>
      <c r="T318">
        <v>2226.2199999999998</v>
      </c>
      <c r="U318">
        <v>1829.64</v>
      </c>
      <c r="V318" s="4" t="s">
        <v>30</v>
      </c>
    </row>
    <row r="319" spans="1:22" x14ac:dyDescent="0.2">
      <c r="A319" s="4" t="s">
        <v>503</v>
      </c>
      <c r="B319">
        <v>318</v>
      </c>
      <c r="C319" s="4" t="s">
        <v>26</v>
      </c>
      <c r="D319" s="4" t="s">
        <v>41</v>
      </c>
      <c r="E319" s="4" t="s">
        <v>44</v>
      </c>
      <c r="F319" s="4" t="s">
        <v>1475</v>
      </c>
      <c r="G319">
        <v>10</v>
      </c>
      <c r="H319">
        <v>46</v>
      </c>
      <c r="I319" s="4" t="s">
        <v>1487</v>
      </c>
      <c r="J319" s="4" t="s">
        <v>956</v>
      </c>
      <c r="K319" s="4" t="s">
        <v>112</v>
      </c>
      <c r="L319" s="4" t="s">
        <v>113</v>
      </c>
      <c r="M319" s="4" t="s">
        <v>108</v>
      </c>
      <c r="N319" s="4" t="s">
        <v>122</v>
      </c>
      <c r="O319" s="4" t="s">
        <v>123</v>
      </c>
      <c r="P319">
        <v>35</v>
      </c>
      <c r="Q319">
        <v>35</v>
      </c>
      <c r="R319" s="4" t="s">
        <v>158</v>
      </c>
      <c r="S319">
        <v>28.18</v>
      </c>
      <c r="T319">
        <v>986.3</v>
      </c>
      <c r="U319">
        <v>810.6</v>
      </c>
      <c r="V319" s="4" t="s">
        <v>30</v>
      </c>
    </row>
    <row r="320" spans="1:22" x14ac:dyDescent="0.2">
      <c r="A320" s="4" t="s">
        <v>504</v>
      </c>
      <c r="B320">
        <v>319</v>
      </c>
      <c r="C320" s="4" t="s">
        <v>26</v>
      </c>
      <c r="D320" s="4" t="s">
        <v>41</v>
      </c>
      <c r="E320" s="4" t="s">
        <v>44</v>
      </c>
      <c r="F320" s="4" t="s">
        <v>1475</v>
      </c>
      <c r="G320">
        <v>10</v>
      </c>
      <c r="H320">
        <v>46</v>
      </c>
      <c r="I320" s="4" t="s">
        <v>1486</v>
      </c>
      <c r="J320" s="4" t="s">
        <v>964</v>
      </c>
      <c r="K320" s="4" t="s">
        <v>112</v>
      </c>
      <c r="L320" s="4" t="s">
        <v>113</v>
      </c>
      <c r="M320" s="4" t="s">
        <v>108</v>
      </c>
      <c r="N320" s="4" t="s">
        <v>127</v>
      </c>
      <c r="O320" s="4" t="s">
        <v>128</v>
      </c>
      <c r="P320">
        <v>70</v>
      </c>
      <c r="Q320">
        <v>70</v>
      </c>
      <c r="R320" s="4" t="s">
        <v>158</v>
      </c>
      <c r="S320">
        <v>31.45</v>
      </c>
      <c r="T320">
        <v>2201.5</v>
      </c>
      <c r="U320">
        <v>1826.3</v>
      </c>
      <c r="V320" s="4" t="s">
        <v>30</v>
      </c>
    </row>
    <row r="321" spans="1:22" x14ac:dyDescent="0.2">
      <c r="A321" s="4" t="s">
        <v>505</v>
      </c>
      <c r="B321">
        <v>320</v>
      </c>
      <c r="C321" s="4" t="s">
        <v>26</v>
      </c>
      <c r="D321" s="4" t="s">
        <v>41</v>
      </c>
      <c r="E321" s="4" t="s">
        <v>44</v>
      </c>
      <c r="F321" s="4" t="s">
        <v>1475</v>
      </c>
      <c r="G321">
        <v>10</v>
      </c>
      <c r="H321">
        <v>46</v>
      </c>
      <c r="I321" s="4" t="s">
        <v>1486</v>
      </c>
      <c r="J321" s="4" t="s">
        <v>1005</v>
      </c>
      <c r="K321" s="4" t="s">
        <v>112</v>
      </c>
      <c r="L321" s="4" t="s">
        <v>113</v>
      </c>
      <c r="M321" s="4" t="s">
        <v>108</v>
      </c>
      <c r="N321" s="4" t="s">
        <v>127</v>
      </c>
      <c r="O321" s="4" t="s">
        <v>128</v>
      </c>
      <c r="P321">
        <v>9</v>
      </c>
      <c r="Q321">
        <v>9</v>
      </c>
      <c r="R321" s="4" t="s">
        <v>158</v>
      </c>
      <c r="S321">
        <v>31.45</v>
      </c>
      <c r="T321">
        <v>283.05</v>
      </c>
      <c r="U321">
        <v>234.81</v>
      </c>
      <c r="V321" s="4" t="s">
        <v>30</v>
      </c>
    </row>
    <row r="322" spans="1:22" x14ac:dyDescent="0.2">
      <c r="A322" s="4" t="s">
        <v>506</v>
      </c>
      <c r="B322">
        <v>321</v>
      </c>
      <c r="C322" s="4" t="s">
        <v>26</v>
      </c>
      <c r="D322" s="4" t="s">
        <v>41</v>
      </c>
      <c r="E322" s="4" t="s">
        <v>44</v>
      </c>
      <c r="F322" s="4" t="s">
        <v>1475</v>
      </c>
      <c r="G322">
        <v>10</v>
      </c>
      <c r="H322">
        <v>46</v>
      </c>
      <c r="I322" s="4" t="s">
        <v>1486</v>
      </c>
      <c r="J322" s="4" t="s">
        <v>962</v>
      </c>
      <c r="K322" s="4" t="s">
        <v>112</v>
      </c>
      <c r="L322" s="4" t="s">
        <v>113</v>
      </c>
      <c r="M322" s="4" t="s">
        <v>108</v>
      </c>
      <c r="N322" s="4" t="s">
        <v>133</v>
      </c>
      <c r="O322" s="4" t="s">
        <v>134</v>
      </c>
      <c r="P322">
        <v>50</v>
      </c>
      <c r="Q322">
        <v>50</v>
      </c>
      <c r="R322" s="4" t="s">
        <v>158</v>
      </c>
      <c r="S322">
        <v>48.5</v>
      </c>
      <c r="T322">
        <v>2425</v>
      </c>
      <c r="U322">
        <v>2182.5</v>
      </c>
      <c r="V322" s="4" t="s">
        <v>30</v>
      </c>
    </row>
    <row r="323" spans="1:22" x14ac:dyDescent="0.2">
      <c r="A323" s="4" t="s">
        <v>507</v>
      </c>
      <c r="B323">
        <v>322</v>
      </c>
      <c r="C323" s="4" t="s">
        <v>26</v>
      </c>
      <c r="D323" s="4" t="s">
        <v>41</v>
      </c>
      <c r="E323" s="4" t="s">
        <v>44</v>
      </c>
      <c r="F323" s="4" t="s">
        <v>1475</v>
      </c>
      <c r="G323">
        <v>10</v>
      </c>
      <c r="H323">
        <v>46</v>
      </c>
      <c r="I323" s="4" t="s">
        <v>1488</v>
      </c>
      <c r="J323" s="4" t="s">
        <v>956</v>
      </c>
      <c r="K323" s="4" t="s">
        <v>114</v>
      </c>
      <c r="L323" s="4" t="s">
        <v>115</v>
      </c>
      <c r="M323" s="4" t="s">
        <v>108</v>
      </c>
      <c r="N323" s="4" t="s">
        <v>133</v>
      </c>
      <c r="O323" s="4" t="s">
        <v>134</v>
      </c>
      <c r="P323">
        <v>30</v>
      </c>
      <c r="Q323">
        <v>30</v>
      </c>
      <c r="R323" s="4" t="s">
        <v>158</v>
      </c>
      <c r="S323">
        <v>48.5</v>
      </c>
      <c r="T323">
        <v>1455</v>
      </c>
      <c r="U323">
        <v>1309.5</v>
      </c>
      <c r="V323" s="4" t="s">
        <v>30</v>
      </c>
    </row>
    <row r="324" spans="1:22" x14ac:dyDescent="0.2">
      <c r="A324" s="4" t="s">
        <v>508</v>
      </c>
      <c r="B324">
        <v>323</v>
      </c>
      <c r="C324" s="4" t="s">
        <v>26</v>
      </c>
      <c r="D324" s="4" t="s">
        <v>41</v>
      </c>
      <c r="E324" s="4" t="s">
        <v>44</v>
      </c>
      <c r="F324" s="4" t="s">
        <v>1475</v>
      </c>
      <c r="G324">
        <v>10</v>
      </c>
      <c r="H324">
        <v>46</v>
      </c>
      <c r="I324" s="4" t="s">
        <v>1489</v>
      </c>
      <c r="J324" s="4" t="s">
        <v>956</v>
      </c>
      <c r="K324" s="4" t="s">
        <v>116</v>
      </c>
      <c r="L324" s="4" t="s">
        <v>117</v>
      </c>
      <c r="M324" s="4" t="s">
        <v>108</v>
      </c>
      <c r="N324" s="4" t="s">
        <v>131</v>
      </c>
      <c r="O324" s="4" t="s">
        <v>132</v>
      </c>
      <c r="P324">
        <v>32</v>
      </c>
      <c r="Q324">
        <v>32</v>
      </c>
      <c r="R324" s="4" t="s">
        <v>158</v>
      </c>
      <c r="S324">
        <v>67.069999999999993</v>
      </c>
      <c r="T324">
        <v>2146.2399999999998</v>
      </c>
      <c r="U324">
        <v>1935.36</v>
      </c>
      <c r="V324" s="4" t="s">
        <v>30</v>
      </c>
    </row>
    <row r="325" spans="1:22" x14ac:dyDescent="0.2">
      <c r="A325" s="4" t="s">
        <v>509</v>
      </c>
      <c r="B325">
        <v>324</v>
      </c>
      <c r="C325" s="4" t="s">
        <v>26</v>
      </c>
      <c r="D325" s="4" t="s">
        <v>41</v>
      </c>
      <c r="E325" s="4" t="s">
        <v>47</v>
      </c>
      <c r="F325" s="4" t="s">
        <v>1476</v>
      </c>
      <c r="G325">
        <v>10</v>
      </c>
      <c r="H325">
        <v>47</v>
      </c>
      <c r="I325" s="4" t="s">
        <v>1490</v>
      </c>
      <c r="J325" s="4" t="s">
        <v>956</v>
      </c>
      <c r="K325" s="4" t="s">
        <v>112</v>
      </c>
      <c r="L325" s="4" t="s">
        <v>113</v>
      </c>
      <c r="M325" s="4" t="s">
        <v>108</v>
      </c>
      <c r="N325" s="4" t="s">
        <v>122</v>
      </c>
      <c r="O325" s="4" t="s">
        <v>123</v>
      </c>
      <c r="P325">
        <v>73</v>
      </c>
      <c r="Q325">
        <v>73</v>
      </c>
      <c r="R325" s="4" t="s">
        <v>158</v>
      </c>
      <c r="S325">
        <v>28.18</v>
      </c>
      <c r="T325">
        <v>2057.14</v>
      </c>
      <c r="U325">
        <v>1700.9</v>
      </c>
      <c r="V325" s="4" t="s">
        <v>30</v>
      </c>
    </row>
    <row r="326" spans="1:22" x14ac:dyDescent="0.2">
      <c r="A326" s="4" t="s">
        <v>510</v>
      </c>
      <c r="B326">
        <v>325</v>
      </c>
      <c r="C326" s="4" t="s">
        <v>26</v>
      </c>
      <c r="D326" s="4" t="s">
        <v>41</v>
      </c>
      <c r="E326" s="4" t="s">
        <v>47</v>
      </c>
      <c r="F326" s="4" t="s">
        <v>1476</v>
      </c>
      <c r="G326">
        <v>10</v>
      </c>
      <c r="H326">
        <v>47</v>
      </c>
      <c r="I326" s="4" t="s">
        <v>1490</v>
      </c>
      <c r="J326" s="4" t="s">
        <v>962</v>
      </c>
      <c r="K326" s="4" t="s">
        <v>112</v>
      </c>
      <c r="L326" s="4" t="s">
        <v>113</v>
      </c>
      <c r="M326" s="4" t="s">
        <v>108</v>
      </c>
      <c r="N326" s="4" t="s">
        <v>122</v>
      </c>
      <c r="O326" s="4" t="s">
        <v>123</v>
      </c>
      <c r="P326">
        <v>6</v>
      </c>
      <c r="Q326">
        <v>6</v>
      </c>
      <c r="R326" s="4" t="s">
        <v>158</v>
      </c>
      <c r="S326">
        <v>28.18</v>
      </c>
      <c r="T326">
        <v>169.08</v>
      </c>
      <c r="U326">
        <v>139.80000000000001</v>
      </c>
      <c r="V326" s="4" t="s">
        <v>30</v>
      </c>
    </row>
    <row r="327" spans="1:22" x14ac:dyDescent="0.2">
      <c r="A327" s="4" t="s">
        <v>511</v>
      </c>
      <c r="B327">
        <v>326</v>
      </c>
      <c r="C327" s="4" t="s">
        <v>26</v>
      </c>
      <c r="D327" s="4" t="s">
        <v>41</v>
      </c>
      <c r="E327" s="4" t="s">
        <v>47</v>
      </c>
      <c r="F327" s="4" t="s">
        <v>1476</v>
      </c>
      <c r="G327">
        <v>10</v>
      </c>
      <c r="H327">
        <v>47</v>
      </c>
      <c r="I327" s="4" t="s">
        <v>1491</v>
      </c>
      <c r="J327" s="4" t="s">
        <v>956</v>
      </c>
      <c r="K327" s="4" t="s">
        <v>114</v>
      </c>
      <c r="L327" s="4" t="s">
        <v>115</v>
      </c>
      <c r="M327" s="4" t="s">
        <v>108</v>
      </c>
      <c r="N327" s="4" t="s">
        <v>131</v>
      </c>
      <c r="O327" s="4" t="s">
        <v>132</v>
      </c>
      <c r="P327">
        <v>31</v>
      </c>
      <c r="Q327">
        <v>31</v>
      </c>
      <c r="R327" s="4" t="s">
        <v>158</v>
      </c>
      <c r="S327">
        <v>67.069999999999993</v>
      </c>
      <c r="T327">
        <v>2079.17</v>
      </c>
      <c r="U327">
        <v>1883.87</v>
      </c>
      <c r="V327" s="4" t="s">
        <v>30</v>
      </c>
    </row>
    <row r="328" spans="1:22" x14ac:dyDescent="0.2">
      <c r="A328" s="4" t="s">
        <v>512</v>
      </c>
      <c r="B328">
        <v>327</v>
      </c>
      <c r="C328" s="4" t="s">
        <v>26</v>
      </c>
      <c r="D328" s="4" t="s">
        <v>41</v>
      </c>
      <c r="E328" s="4" t="s">
        <v>47</v>
      </c>
      <c r="F328" s="4" t="s">
        <v>1476</v>
      </c>
      <c r="G328">
        <v>10</v>
      </c>
      <c r="H328">
        <v>47</v>
      </c>
      <c r="I328" s="4" t="s">
        <v>1492</v>
      </c>
      <c r="J328" s="4" t="s">
        <v>956</v>
      </c>
      <c r="K328" s="4" t="s">
        <v>116</v>
      </c>
      <c r="L328" s="4" t="s">
        <v>117</v>
      </c>
      <c r="M328" s="4" t="s">
        <v>108</v>
      </c>
      <c r="N328" s="4" t="s">
        <v>129</v>
      </c>
      <c r="O328" s="4" t="s">
        <v>130</v>
      </c>
      <c r="P328">
        <v>17</v>
      </c>
      <c r="Q328">
        <v>17</v>
      </c>
      <c r="R328" s="4" t="s">
        <v>158</v>
      </c>
      <c r="S328">
        <v>91.58</v>
      </c>
      <c r="T328">
        <v>1556.86</v>
      </c>
      <c r="U328">
        <v>1427.15</v>
      </c>
      <c r="V328" s="4" t="s">
        <v>30</v>
      </c>
    </row>
    <row r="329" spans="1:22" x14ac:dyDescent="0.2">
      <c r="A329" s="4" t="s">
        <v>513</v>
      </c>
      <c r="B329">
        <v>328</v>
      </c>
      <c r="C329" s="4" t="s">
        <v>26</v>
      </c>
      <c r="D329" s="4" t="s">
        <v>41</v>
      </c>
      <c r="E329" s="4" t="s">
        <v>50</v>
      </c>
      <c r="F329" s="4" t="s">
        <v>1477</v>
      </c>
      <c r="G329">
        <v>10</v>
      </c>
      <c r="H329">
        <v>48</v>
      </c>
      <c r="I329" s="4" t="s">
        <v>1493</v>
      </c>
      <c r="J329" s="4" t="s">
        <v>956</v>
      </c>
      <c r="K329" s="4" t="s">
        <v>112</v>
      </c>
      <c r="L329" s="4" t="s">
        <v>113</v>
      </c>
      <c r="M329" s="4" t="s">
        <v>108</v>
      </c>
      <c r="N329" s="4" t="s">
        <v>122</v>
      </c>
      <c r="O329" s="4" t="s">
        <v>123</v>
      </c>
      <c r="P329">
        <v>57</v>
      </c>
      <c r="Q329">
        <v>57</v>
      </c>
      <c r="R329" s="4" t="s">
        <v>158</v>
      </c>
      <c r="S329">
        <v>28.18</v>
      </c>
      <c r="T329">
        <v>1606.26</v>
      </c>
      <c r="U329">
        <v>1328.1</v>
      </c>
      <c r="V329" s="4" t="s">
        <v>30</v>
      </c>
    </row>
    <row r="330" spans="1:22" x14ac:dyDescent="0.2">
      <c r="A330" s="4" t="s">
        <v>514</v>
      </c>
      <c r="B330">
        <v>329</v>
      </c>
      <c r="C330" s="4" t="s">
        <v>26</v>
      </c>
      <c r="D330" s="4" t="s">
        <v>41</v>
      </c>
      <c r="E330" s="4" t="s">
        <v>50</v>
      </c>
      <c r="F330" s="4" t="s">
        <v>1477</v>
      </c>
      <c r="G330">
        <v>10</v>
      </c>
      <c r="H330">
        <v>48</v>
      </c>
      <c r="I330" s="4" t="s">
        <v>1494</v>
      </c>
      <c r="J330" s="4" t="s">
        <v>956</v>
      </c>
      <c r="K330" s="4" t="s">
        <v>112</v>
      </c>
      <c r="L330" s="4" t="s">
        <v>113</v>
      </c>
      <c r="M330" s="4" t="s">
        <v>108</v>
      </c>
      <c r="N330" s="4" t="s">
        <v>122</v>
      </c>
      <c r="O330" s="4" t="s">
        <v>123</v>
      </c>
      <c r="P330">
        <v>66</v>
      </c>
      <c r="Q330">
        <v>66</v>
      </c>
      <c r="R330" s="4" t="s">
        <v>158</v>
      </c>
      <c r="S330">
        <v>28.18</v>
      </c>
      <c r="T330">
        <v>1859.88</v>
      </c>
      <c r="U330">
        <v>1537.8</v>
      </c>
      <c r="V330" s="4" t="s">
        <v>30</v>
      </c>
    </row>
    <row r="331" spans="1:22" x14ac:dyDescent="0.2">
      <c r="A331" s="4" t="s">
        <v>515</v>
      </c>
      <c r="B331">
        <v>330</v>
      </c>
      <c r="C331" s="4" t="s">
        <v>26</v>
      </c>
      <c r="D331" s="4" t="s">
        <v>41</v>
      </c>
      <c r="E331" s="4" t="s">
        <v>50</v>
      </c>
      <c r="F331" s="4" t="s">
        <v>1477</v>
      </c>
      <c r="G331">
        <v>10</v>
      </c>
      <c r="H331">
        <v>48</v>
      </c>
      <c r="I331" s="4" t="s">
        <v>1493</v>
      </c>
      <c r="J331" s="4" t="s">
        <v>962</v>
      </c>
      <c r="K331" s="4" t="s">
        <v>112</v>
      </c>
      <c r="L331" s="4" t="s">
        <v>113</v>
      </c>
      <c r="M331" s="4" t="s">
        <v>108</v>
      </c>
      <c r="N331" s="4" t="s">
        <v>125</v>
      </c>
      <c r="O331" s="4" t="s">
        <v>126</v>
      </c>
      <c r="P331">
        <v>21</v>
      </c>
      <c r="Q331">
        <v>21</v>
      </c>
      <c r="R331" s="4" t="s">
        <v>158</v>
      </c>
      <c r="S331">
        <v>79.87</v>
      </c>
      <c r="T331">
        <v>1677.27</v>
      </c>
      <c r="U331">
        <v>1534.05</v>
      </c>
      <c r="V331" s="4" t="s">
        <v>30</v>
      </c>
    </row>
    <row r="332" spans="1:22" x14ac:dyDescent="0.2">
      <c r="A332" s="4" t="s">
        <v>516</v>
      </c>
      <c r="B332">
        <v>331</v>
      </c>
      <c r="C332" s="4" t="s">
        <v>26</v>
      </c>
      <c r="D332" s="4" t="s">
        <v>41</v>
      </c>
      <c r="E332" s="4" t="s">
        <v>50</v>
      </c>
      <c r="F332" s="4" t="s">
        <v>1477</v>
      </c>
      <c r="G332">
        <v>10</v>
      </c>
      <c r="H332">
        <v>48</v>
      </c>
      <c r="I332" s="4" t="s">
        <v>1494</v>
      </c>
      <c r="J332" s="4" t="s">
        <v>962</v>
      </c>
      <c r="K332" s="4" t="s">
        <v>112</v>
      </c>
      <c r="L332" s="4" t="s">
        <v>113</v>
      </c>
      <c r="M332" s="4" t="s">
        <v>108</v>
      </c>
      <c r="N332" s="4" t="s">
        <v>127</v>
      </c>
      <c r="O332" s="4" t="s">
        <v>128</v>
      </c>
      <c r="P332">
        <v>48</v>
      </c>
      <c r="Q332">
        <v>48</v>
      </c>
      <c r="R332" s="4" t="s">
        <v>158</v>
      </c>
      <c r="S332">
        <v>31.45</v>
      </c>
      <c r="T332">
        <v>1509.6</v>
      </c>
      <c r="U332">
        <v>1259.52</v>
      </c>
      <c r="V332" s="4" t="s">
        <v>30</v>
      </c>
    </row>
    <row r="333" spans="1:22" x14ac:dyDescent="0.2">
      <c r="A333" s="4" t="s">
        <v>517</v>
      </c>
      <c r="B333">
        <v>332</v>
      </c>
      <c r="C333" s="4" t="s">
        <v>26</v>
      </c>
      <c r="D333" s="4" t="s">
        <v>41</v>
      </c>
      <c r="E333" s="4" t="s">
        <v>50</v>
      </c>
      <c r="F333" s="4" t="s">
        <v>1477</v>
      </c>
      <c r="G333">
        <v>10</v>
      </c>
      <c r="H333">
        <v>48</v>
      </c>
      <c r="I333" s="4" t="s">
        <v>1495</v>
      </c>
      <c r="J333" s="4" t="s">
        <v>956</v>
      </c>
      <c r="K333" s="4" t="s">
        <v>114</v>
      </c>
      <c r="L333" s="4" t="s">
        <v>115</v>
      </c>
      <c r="M333" s="4" t="s">
        <v>108</v>
      </c>
      <c r="N333" s="4" t="s">
        <v>125</v>
      </c>
      <c r="O333" s="4" t="s">
        <v>126</v>
      </c>
      <c r="P333">
        <v>29</v>
      </c>
      <c r="Q333">
        <v>29</v>
      </c>
      <c r="R333" s="4" t="s">
        <v>158</v>
      </c>
      <c r="S333">
        <v>79.87</v>
      </c>
      <c r="T333">
        <v>2316.23</v>
      </c>
      <c r="U333">
        <v>2118.4499999999998</v>
      </c>
      <c r="V333" s="4" t="s">
        <v>30</v>
      </c>
    </row>
    <row r="334" spans="1:22" x14ac:dyDescent="0.2">
      <c r="A334" s="4" t="s">
        <v>518</v>
      </c>
      <c r="B334">
        <v>333</v>
      </c>
      <c r="C334" s="4" t="s">
        <v>26</v>
      </c>
      <c r="D334" s="4" t="s">
        <v>41</v>
      </c>
      <c r="E334" s="4" t="s">
        <v>50</v>
      </c>
      <c r="F334" s="4" t="s">
        <v>1477</v>
      </c>
      <c r="G334">
        <v>10</v>
      </c>
      <c r="H334">
        <v>48</v>
      </c>
      <c r="I334" s="4" t="s">
        <v>1496</v>
      </c>
      <c r="J334" s="4" t="s">
        <v>956</v>
      </c>
      <c r="K334" s="4" t="s">
        <v>114</v>
      </c>
      <c r="L334" s="4" t="s">
        <v>115</v>
      </c>
      <c r="M334" s="4" t="s">
        <v>108</v>
      </c>
      <c r="N334" s="4" t="s">
        <v>127</v>
      </c>
      <c r="O334" s="4" t="s">
        <v>128</v>
      </c>
      <c r="P334">
        <v>20</v>
      </c>
      <c r="Q334">
        <v>20</v>
      </c>
      <c r="R334" s="4" t="s">
        <v>158</v>
      </c>
      <c r="S334">
        <v>31.45</v>
      </c>
      <c r="T334">
        <v>629</v>
      </c>
      <c r="U334">
        <v>524.79999999999995</v>
      </c>
      <c r="V334" s="4" t="s">
        <v>30</v>
      </c>
    </row>
    <row r="335" spans="1:22" x14ac:dyDescent="0.2">
      <c r="A335" s="4" t="s">
        <v>519</v>
      </c>
      <c r="B335">
        <v>334</v>
      </c>
      <c r="C335" s="4" t="s">
        <v>26</v>
      </c>
      <c r="D335" s="4" t="s">
        <v>41</v>
      </c>
      <c r="E335" s="4" t="s">
        <v>50</v>
      </c>
      <c r="F335" s="4" t="s">
        <v>1477</v>
      </c>
      <c r="G335">
        <v>10</v>
      </c>
      <c r="H335">
        <v>48</v>
      </c>
      <c r="I335" s="4" t="s">
        <v>1495</v>
      </c>
      <c r="J335" s="4" t="s">
        <v>964</v>
      </c>
      <c r="K335" s="4" t="s">
        <v>114</v>
      </c>
      <c r="L335" s="4" t="s">
        <v>115</v>
      </c>
      <c r="M335" s="4" t="s">
        <v>108</v>
      </c>
      <c r="N335" s="4" t="s">
        <v>127</v>
      </c>
      <c r="O335" s="4" t="s">
        <v>128</v>
      </c>
      <c r="P335">
        <v>69</v>
      </c>
      <c r="Q335">
        <v>69</v>
      </c>
      <c r="R335" s="4" t="s">
        <v>158</v>
      </c>
      <c r="S335">
        <v>31.45</v>
      </c>
      <c r="T335">
        <v>2170.0500000000002</v>
      </c>
      <c r="U335">
        <v>1810.56</v>
      </c>
      <c r="V335" s="4" t="s">
        <v>30</v>
      </c>
    </row>
    <row r="336" spans="1:22" x14ac:dyDescent="0.2">
      <c r="A336" s="4" t="s">
        <v>520</v>
      </c>
      <c r="B336">
        <v>335</v>
      </c>
      <c r="C336" s="4" t="s">
        <v>26</v>
      </c>
      <c r="D336" s="4" t="s">
        <v>41</v>
      </c>
      <c r="E336" s="4" t="s">
        <v>50</v>
      </c>
      <c r="F336" s="4" t="s">
        <v>1477</v>
      </c>
      <c r="G336">
        <v>10</v>
      </c>
      <c r="H336">
        <v>48</v>
      </c>
      <c r="I336" s="4" t="s">
        <v>1495</v>
      </c>
      <c r="J336" s="4" t="s">
        <v>967</v>
      </c>
      <c r="K336" s="4" t="s">
        <v>114</v>
      </c>
      <c r="L336" s="4" t="s">
        <v>115</v>
      </c>
      <c r="M336" s="4" t="s">
        <v>108</v>
      </c>
      <c r="N336" s="4" t="s">
        <v>131</v>
      </c>
      <c r="O336" s="4" t="s">
        <v>132</v>
      </c>
      <c r="P336">
        <v>31</v>
      </c>
      <c r="Q336">
        <v>31</v>
      </c>
      <c r="R336" s="4" t="s">
        <v>158</v>
      </c>
      <c r="S336">
        <v>67.069999999999993</v>
      </c>
      <c r="T336">
        <v>2079.17</v>
      </c>
      <c r="U336">
        <v>1883.87</v>
      </c>
      <c r="V336" s="4" t="s">
        <v>30</v>
      </c>
    </row>
    <row r="337" spans="1:22" x14ac:dyDescent="0.2">
      <c r="A337" s="4" t="s">
        <v>521</v>
      </c>
      <c r="B337">
        <v>336</v>
      </c>
      <c r="C337" s="4" t="s">
        <v>26</v>
      </c>
      <c r="D337" s="4" t="s">
        <v>41</v>
      </c>
      <c r="E337" s="4" t="s">
        <v>50</v>
      </c>
      <c r="F337" s="4" t="s">
        <v>1477</v>
      </c>
      <c r="G337">
        <v>10</v>
      </c>
      <c r="H337">
        <v>48</v>
      </c>
      <c r="I337" s="4" t="s">
        <v>1495</v>
      </c>
      <c r="J337" s="4" t="s">
        <v>962</v>
      </c>
      <c r="K337" s="4" t="s">
        <v>114</v>
      </c>
      <c r="L337" s="4" t="s">
        <v>115</v>
      </c>
      <c r="M337" s="4" t="s">
        <v>108</v>
      </c>
      <c r="N337" s="4" t="s">
        <v>133</v>
      </c>
      <c r="O337" s="4" t="s">
        <v>134</v>
      </c>
      <c r="P337">
        <v>30</v>
      </c>
      <c r="Q337">
        <v>30</v>
      </c>
      <c r="R337" s="4" t="s">
        <v>158</v>
      </c>
      <c r="S337">
        <v>48.5</v>
      </c>
      <c r="T337">
        <v>1455</v>
      </c>
      <c r="U337">
        <v>1311.3</v>
      </c>
      <c r="V337" s="4" t="s">
        <v>30</v>
      </c>
    </row>
    <row r="338" spans="1:22" x14ac:dyDescent="0.2">
      <c r="A338" s="4" t="s">
        <v>522</v>
      </c>
      <c r="B338">
        <v>337</v>
      </c>
      <c r="C338" s="4" t="s">
        <v>26</v>
      </c>
      <c r="D338" s="4" t="s">
        <v>41</v>
      </c>
      <c r="E338" s="4" t="s">
        <v>50</v>
      </c>
      <c r="F338" s="4" t="s">
        <v>1477</v>
      </c>
      <c r="G338">
        <v>10</v>
      </c>
      <c r="H338">
        <v>48</v>
      </c>
      <c r="I338" s="4" t="s">
        <v>1497</v>
      </c>
      <c r="J338" s="4" t="s">
        <v>1005</v>
      </c>
      <c r="K338" s="4" t="s">
        <v>116</v>
      </c>
      <c r="L338" s="4" t="s">
        <v>117</v>
      </c>
      <c r="M338" s="4" t="s">
        <v>108</v>
      </c>
      <c r="N338" s="4" t="s">
        <v>122</v>
      </c>
      <c r="O338" s="4" t="s">
        <v>123</v>
      </c>
      <c r="P338">
        <v>71</v>
      </c>
      <c r="Q338">
        <v>71</v>
      </c>
      <c r="R338" s="4" t="s">
        <v>158</v>
      </c>
      <c r="S338">
        <v>28.18</v>
      </c>
      <c r="T338">
        <v>2000.78</v>
      </c>
      <c r="U338">
        <v>1654.3</v>
      </c>
      <c r="V338" s="4" t="s">
        <v>30</v>
      </c>
    </row>
    <row r="339" spans="1:22" x14ac:dyDescent="0.2">
      <c r="A339" s="4" t="s">
        <v>523</v>
      </c>
      <c r="B339">
        <v>338</v>
      </c>
      <c r="C339" s="4" t="s">
        <v>26</v>
      </c>
      <c r="D339" s="4" t="s">
        <v>41</v>
      </c>
      <c r="E339" s="4" t="s">
        <v>50</v>
      </c>
      <c r="F339" s="4" t="s">
        <v>1477</v>
      </c>
      <c r="G339">
        <v>10</v>
      </c>
      <c r="H339">
        <v>48</v>
      </c>
      <c r="I339" s="4" t="s">
        <v>1497</v>
      </c>
      <c r="J339" s="4" t="s">
        <v>967</v>
      </c>
      <c r="K339" s="4" t="s">
        <v>116</v>
      </c>
      <c r="L339" s="4" t="s">
        <v>117</v>
      </c>
      <c r="M339" s="4" t="s">
        <v>108</v>
      </c>
      <c r="N339" s="4" t="s">
        <v>127</v>
      </c>
      <c r="O339" s="4" t="s">
        <v>128</v>
      </c>
      <c r="P339">
        <v>57</v>
      </c>
      <c r="Q339">
        <v>57</v>
      </c>
      <c r="R339" s="4" t="s">
        <v>158</v>
      </c>
      <c r="S339">
        <v>31.45</v>
      </c>
      <c r="T339">
        <v>1792.65</v>
      </c>
      <c r="U339">
        <v>1495.68</v>
      </c>
      <c r="V339" s="4" t="s">
        <v>30</v>
      </c>
    </row>
    <row r="340" spans="1:22" x14ac:dyDescent="0.2">
      <c r="A340" s="4" t="s">
        <v>524</v>
      </c>
      <c r="B340">
        <v>339</v>
      </c>
      <c r="C340" s="4" t="s">
        <v>26</v>
      </c>
      <c r="D340" s="4" t="s">
        <v>41</v>
      </c>
      <c r="E340" s="4" t="s">
        <v>50</v>
      </c>
      <c r="F340" s="4" t="s">
        <v>1477</v>
      </c>
      <c r="G340">
        <v>10</v>
      </c>
      <c r="H340">
        <v>48</v>
      </c>
      <c r="I340" s="4" t="s">
        <v>1498</v>
      </c>
      <c r="J340" s="4" t="s">
        <v>956</v>
      </c>
      <c r="K340" s="4" t="s">
        <v>116</v>
      </c>
      <c r="L340" s="4" t="s">
        <v>117</v>
      </c>
      <c r="M340" s="4" t="s">
        <v>108</v>
      </c>
      <c r="N340" s="4" t="s">
        <v>127</v>
      </c>
      <c r="O340" s="4" t="s">
        <v>128</v>
      </c>
      <c r="P340">
        <v>43</v>
      </c>
      <c r="Q340">
        <v>43</v>
      </c>
      <c r="R340" s="4" t="s">
        <v>158</v>
      </c>
      <c r="S340">
        <v>31.45</v>
      </c>
      <c r="T340">
        <v>1352.35</v>
      </c>
      <c r="U340">
        <v>1128.32</v>
      </c>
      <c r="V340" s="4" t="s">
        <v>30</v>
      </c>
    </row>
    <row r="341" spans="1:22" x14ac:dyDescent="0.2">
      <c r="A341" s="4" t="s">
        <v>525</v>
      </c>
      <c r="B341">
        <v>340</v>
      </c>
      <c r="C341" s="4" t="s">
        <v>26</v>
      </c>
      <c r="D341" s="4" t="s">
        <v>41</v>
      </c>
      <c r="E341" s="4" t="s">
        <v>50</v>
      </c>
      <c r="F341" s="4" t="s">
        <v>1477</v>
      </c>
      <c r="G341">
        <v>10</v>
      </c>
      <c r="H341">
        <v>48</v>
      </c>
      <c r="I341" s="4" t="s">
        <v>1497</v>
      </c>
      <c r="J341" s="4" t="s">
        <v>964</v>
      </c>
      <c r="K341" s="4" t="s">
        <v>116</v>
      </c>
      <c r="L341" s="4" t="s">
        <v>117</v>
      </c>
      <c r="M341" s="4" t="s">
        <v>108</v>
      </c>
      <c r="N341" s="4" t="s">
        <v>129</v>
      </c>
      <c r="O341" s="4" t="s">
        <v>130</v>
      </c>
      <c r="P341">
        <v>18</v>
      </c>
      <c r="Q341">
        <v>18</v>
      </c>
      <c r="R341" s="4" t="s">
        <v>158</v>
      </c>
      <c r="S341">
        <v>91.58</v>
      </c>
      <c r="T341">
        <v>1648.44</v>
      </c>
      <c r="U341">
        <v>1511.1</v>
      </c>
      <c r="V341" s="4" t="s">
        <v>30</v>
      </c>
    </row>
    <row r="342" spans="1:22" x14ac:dyDescent="0.2">
      <c r="A342" s="4" t="s">
        <v>526</v>
      </c>
      <c r="B342">
        <v>341</v>
      </c>
      <c r="C342" s="4" t="s">
        <v>26</v>
      </c>
      <c r="D342" s="4" t="s">
        <v>41</v>
      </c>
      <c r="E342" s="4" t="s">
        <v>50</v>
      </c>
      <c r="F342" s="4" t="s">
        <v>1477</v>
      </c>
      <c r="G342">
        <v>10</v>
      </c>
      <c r="H342">
        <v>48</v>
      </c>
      <c r="I342" s="4" t="s">
        <v>1497</v>
      </c>
      <c r="J342" s="4" t="s">
        <v>962</v>
      </c>
      <c r="K342" s="4" t="s">
        <v>116</v>
      </c>
      <c r="L342" s="4" t="s">
        <v>117</v>
      </c>
      <c r="M342" s="4" t="s">
        <v>108</v>
      </c>
      <c r="N342" s="4" t="s">
        <v>129</v>
      </c>
      <c r="O342" s="4" t="s">
        <v>130</v>
      </c>
      <c r="P342">
        <v>20</v>
      </c>
      <c r="Q342">
        <v>20</v>
      </c>
      <c r="R342" s="4" t="s">
        <v>158</v>
      </c>
      <c r="S342">
        <v>91.58</v>
      </c>
      <c r="T342">
        <v>1831.6</v>
      </c>
      <c r="U342">
        <v>1679</v>
      </c>
      <c r="V342" s="4" t="s">
        <v>30</v>
      </c>
    </row>
    <row r="343" spans="1:22" x14ac:dyDescent="0.2">
      <c r="A343" s="4" t="s">
        <v>527</v>
      </c>
      <c r="B343">
        <v>342</v>
      </c>
      <c r="C343" s="4" t="s">
        <v>26</v>
      </c>
      <c r="D343" s="4" t="s">
        <v>41</v>
      </c>
      <c r="E343" s="4" t="s">
        <v>50</v>
      </c>
      <c r="F343" s="4" t="s">
        <v>1477</v>
      </c>
      <c r="G343">
        <v>10</v>
      </c>
      <c r="H343">
        <v>48</v>
      </c>
      <c r="I343" s="4" t="s">
        <v>1497</v>
      </c>
      <c r="J343" s="4" t="s">
        <v>956</v>
      </c>
      <c r="K343" s="4" t="s">
        <v>116</v>
      </c>
      <c r="L343" s="4" t="s">
        <v>117</v>
      </c>
      <c r="M343" s="4" t="s">
        <v>108</v>
      </c>
      <c r="N343" s="4" t="s">
        <v>131</v>
      </c>
      <c r="O343" s="4" t="s">
        <v>132</v>
      </c>
      <c r="P343">
        <v>35</v>
      </c>
      <c r="Q343">
        <v>35</v>
      </c>
      <c r="R343" s="4" t="s">
        <v>158</v>
      </c>
      <c r="S343">
        <v>67.069999999999993</v>
      </c>
      <c r="T343">
        <v>2347.4499999999998</v>
      </c>
      <c r="U343">
        <v>2126.9499999999998</v>
      </c>
      <c r="V343" s="4" t="s">
        <v>30</v>
      </c>
    </row>
    <row r="344" spans="1:22" x14ac:dyDescent="0.2">
      <c r="A344" s="4" t="s">
        <v>528</v>
      </c>
      <c r="B344">
        <v>343</v>
      </c>
      <c r="C344" s="4" t="s">
        <v>26</v>
      </c>
      <c r="D344" s="4" t="s">
        <v>41</v>
      </c>
      <c r="E344" s="4" t="s">
        <v>50</v>
      </c>
      <c r="F344" s="4" t="s">
        <v>1477</v>
      </c>
      <c r="G344">
        <v>10</v>
      </c>
      <c r="H344">
        <v>48</v>
      </c>
      <c r="I344" s="4" t="s">
        <v>1498</v>
      </c>
      <c r="J344" s="4" t="s">
        <v>962</v>
      </c>
      <c r="K344" s="4" t="s">
        <v>116</v>
      </c>
      <c r="L344" s="4" t="s">
        <v>117</v>
      </c>
      <c r="M344" s="4" t="s">
        <v>108</v>
      </c>
      <c r="N344" s="4" t="s">
        <v>133</v>
      </c>
      <c r="O344" s="4" t="s">
        <v>134</v>
      </c>
      <c r="P344">
        <v>30</v>
      </c>
      <c r="Q344">
        <v>30</v>
      </c>
      <c r="R344" s="4" t="s">
        <v>158</v>
      </c>
      <c r="S344">
        <v>48.5</v>
      </c>
      <c r="T344">
        <v>1455</v>
      </c>
      <c r="U344">
        <v>1311.3</v>
      </c>
      <c r="V344" s="4" t="s">
        <v>30</v>
      </c>
    </row>
    <row r="345" spans="1:22" x14ac:dyDescent="0.2">
      <c r="A345" s="4" t="s">
        <v>529</v>
      </c>
      <c r="B345">
        <v>344</v>
      </c>
      <c r="C345" s="4" t="s">
        <v>26</v>
      </c>
      <c r="D345" s="4" t="s">
        <v>41</v>
      </c>
      <c r="E345" s="4" t="s">
        <v>53</v>
      </c>
      <c r="F345" s="4" t="s">
        <v>1596</v>
      </c>
      <c r="G345">
        <v>10</v>
      </c>
      <c r="H345">
        <v>49</v>
      </c>
      <c r="I345" s="4" t="s">
        <v>1621</v>
      </c>
      <c r="J345" s="4" t="s">
        <v>962</v>
      </c>
      <c r="K345" s="4" t="s">
        <v>112</v>
      </c>
      <c r="L345" s="4" t="s">
        <v>113</v>
      </c>
      <c r="M345" s="4" t="s">
        <v>108</v>
      </c>
      <c r="N345" s="4" t="s">
        <v>122</v>
      </c>
      <c r="O345" s="4" t="s">
        <v>123</v>
      </c>
      <c r="P345">
        <v>82</v>
      </c>
      <c r="Q345">
        <v>82</v>
      </c>
      <c r="R345" s="4" t="s">
        <v>158</v>
      </c>
      <c r="S345">
        <v>28.18</v>
      </c>
      <c r="T345">
        <v>2310.7600000000002</v>
      </c>
      <c r="U345">
        <v>1910.6</v>
      </c>
      <c r="V345" s="4" t="s">
        <v>30</v>
      </c>
    </row>
    <row r="346" spans="1:22" x14ac:dyDescent="0.2">
      <c r="A346" s="4" t="s">
        <v>530</v>
      </c>
      <c r="B346">
        <v>345</v>
      </c>
      <c r="C346" s="4" t="s">
        <v>26</v>
      </c>
      <c r="D346" s="4" t="s">
        <v>41</v>
      </c>
      <c r="E346" s="4" t="s">
        <v>53</v>
      </c>
      <c r="F346" s="4" t="s">
        <v>1596</v>
      </c>
      <c r="G346">
        <v>10</v>
      </c>
      <c r="H346">
        <v>49</v>
      </c>
      <c r="I346" s="4" t="s">
        <v>1621</v>
      </c>
      <c r="J346" s="4" t="s">
        <v>956</v>
      </c>
      <c r="K346" s="4" t="s">
        <v>112</v>
      </c>
      <c r="L346" s="4" t="s">
        <v>113</v>
      </c>
      <c r="M346" s="4" t="s">
        <v>108</v>
      </c>
      <c r="N346" s="4" t="s">
        <v>131</v>
      </c>
      <c r="O346" s="4" t="s">
        <v>132</v>
      </c>
      <c r="P346">
        <v>30</v>
      </c>
      <c r="Q346">
        <v>30</v>
      </c>
      <c r="R346" s="4" t="s">
        <v>158</v>
      </c>
      <c r="S346">
        <v>67.069999999999993</v>
      </c>
      <c r="T346">
        <v>2012.1</v>
      </c>
      <c r="U346">
        <v>1823.1</v>
      </c>
      <c r="V346" s="4" t="s">
        <v>30</v>
      </c>
    </row>
    <row r="347" spans="1:22" x14ac:dyDescent="0.2">
      <c r="A347" s="4" t="s">
        <v>531</v>
      </c>
      <c r="B347">
        <v>346</v>
      </c>
      <c r="C347" s="4" t="s">
        <v>26</v>
      </c>
      <c r="D347" s="4" t="s">
        <v>41</v>
      </c>
      <c r="E347" s="4" t="s">
        <v>53</v>
      </c>
      <c r="F347" s="4" t="s">
        <v>1596</v>
      </c>
      <c r="G347">
        <v>10</v>
      </c>
      <c r="H347">
        <v>49</v>
      </c>
      <c r="I347" s="4" t="s">
        <v>1622</v>
      </c>
      <c r="J347" s="4" t="s">
        <v>956</v>
      </c>
      <c r="K347" s="4" t="s">
        <v>112</v>
      </c>
      <c r="L347" s="4" t="s">
        <v>113</v>
      </c>
      <c r="M347" s="4" t="s">
        <v>108</v>
      </c>
      <c r="N347" s="4" t="s">
        <v>133</v>
      </c>
      <c r="O347" s="4" t="s">
        <v>134</v>
      </c>
      <c r="P347">
        <v>42</v>
      </c>
      <c r="Q347">
        <v>42</v>
      </c>
      <c r="R347" s="4" t="s">
        <v>158</v>
      </c>
      <c r="S347">
        <v>48.5</v>
      </c>
      <c r="T347">
        <v>2037</v>
      </c>
      <c r="U347">
        <v>1835.82</v>
      </c>
      <c r="V347" s="4" t="s">
        <v>30</v>
      </c>
    </row>
    <row r="348" spans="1:22" x14ac:dyDescent="0.2">
      <c r="A348" s="4" t="s">
        <v>532</v>
      </c>
      <c r="B348">
        <v>347</v>
      </c>
      <c r="C348" s="4" t="s">
        <v>26</v>
      </c>
      <c r="D348" s="4" t="s">
        <v>41</v>
      </c>
      <c r="E348" s="4" t="s">
        <v>53</v>
      </c>
      <c r="F348" s="4" t="s">
        <v>1596</v>
      </c>
      <c r="G348">
        <v>10</v>
      </c>
      <c r="H348">
        <v>49</v>
      </c>
      <c r="I348" s="4" t="s">
        <v>1623</v>
      </c>
      <c r="J348" s="4" t="s">
        <v>967</v>
      </c>
      <c r="K348" s="4" t="s">
        <v>114</v>
      </c>
      <c r="L348" s="4" t="s">
        <v>115</v>
      </c>
      <c r="M348" s="4" t="s">
        <v>108</v>
      </c>
      <c r="N348" s="4" t="s">
        <v>122</v>
      </c>
      <c r="O348" s="4" t="s">
        <v>123</v>
      </c>
      <c r="P348">
        <v>76</v>
      </c>
      <c r="Q348">
        <v>76</v>
      </c>
      <c r="R348" s="4" t="s">
        <v>158</v>
      </c>
      <c r="S348">
        <v>28.18</v>
      </c>
      <c r="T348">
        <v>2141.6799999999998</v>
      </c>
      <c r="U348">
        <v>1770.8</v>
      </c>
      <c r="V348" s="4" t="s">
        <v>30</v>
      </c>
    </row>
    <row r="349" spans="1:22" x14ac:dyDescent="0.2">
      <c r="A349" s="4" t="s">
        <v>533</v>
      </c>
      <c r="B349">
        <v>348</v>
      </c>
      <c r="C349" s="4" t="s">
        <v>26</v>
      </c>
      <c r="D349" s="4" t="s">
        <v>41</v>
      </c>
      <c r="E349" s="4" t="s">
        <v>53</v>
      </c>
      <c r="F349" s="4" t="s">
        <v>1596</v>
      </c>
      <c r="G349">
        <v>10</v>
      </c>
      <c r="H349">
        <v>49</v>
      </c>
      <c r="I349" s="4" t="s">
        <v>1623</v>
      </c>
      <c r="J349" s="4" t="s">
        <v>962</v>
      </c>
      <c r="K349" s="4" t="s">
        <v>114</v>
      </c>
      <c r="L349" s="4" t="s">
        <v>115</v>
      </c>
      <c r="M349" s="4" t="s">
        <v>108</v>
      </c>
      <c r="N349" s="4" t="s">
        <v>125</v>
      </c>
      <c r="O349" s="4" t="s">
        <v>126</v>
      </c>
      <c r="P349">
        <v>21</v>
      </c>
      <c r="Q349">
        <v>21</v>
      </c>
      <c r="R349" s="4" t="s">
        <v>158</v>
      </c>
      <c r="S349">
        <v>79.87</v>
      </c>
      <c r="T349">
        <v>1677.27</v>
      </c>
      <c r="U349">
        <v>1534.05</v>
      </c>
      <c r="V349" s="4" t="s">
        <v>30</v>
      </c>
    </row>
    <row r="350" spans="1:22" x14ac:dyDescent="0.2">
      <c r="A350" s="4" t="s">
        <v>534</v>
      </c>
      <c r="B350">
        <v>349</v>
      </c>
      <c r="C350" s="4" t="s">
        <v>26</v>
      </c>
      <c r="D350" s="4" t="s">
        <v>41</v>
      </c>
      <c r="E350" s="4" t="s">
        <v>53</v>
      </c>
      <c r="F350" s="4" t="s">
        <v>1596</v>
      </c>
      <c r="G350">
        <v>10</v>
      </c>
      <c r="H350">
        <v>49</v>
      </c>
      <c r="I350" s="4" t="s">
        <v>1623</v>
      </c>
      <c r="J350" s="4" t="s">
        <v>956</v>
      </c>
      <c r="K350" s="4" t="s">
        <v>114</v>
      </c>
      <c r="L350" s="4" t="s">
        <v>115</v>
      </c>
      <c r="M350" s="4" t="s">
        <v>108</v>
      </c>
      <c r="N350" s="4" t="s">
        <v>127</v>
      </c>
      <c r="O350" s="4" t="s">
        <v>128</v>
      </c>
      <c r="P350">
        <v>66</v>
      </c>
      <c r="Q350">
        <v>66</v>
      </c>
      <c r="R350" s="4" t="s">
        <v>158</v>
      </c>
      <c r="S350">
        <v>31.45</v>
      </c>
      <c r="T350">
        <v>2075.6999999999998</v>
      </c>
      <c r="U350">
        <v>1731.84</v>
      </c>
      <c r="V350" s="4" t="s">
        <v>30</v>
      </c>
    </row>
    <row r="351" spans="1:22" x14ac:dyDescent="0.2">
      <c r="A351" s="4" t="s">
        <v>535</v>
      </c>
      <c r="B351">
        <v>350</v>
      </c>
      <c r="C351" s="4" t="s">
        <v>26</v>
      </c>
      <c r="D351" s="4" t="s">
        <v>41</v>
      </c>
      <c r="E351" s="4" t="s">
        <v>53</v>
      </c>
      <c r="F351" s="4" t="s">
        <v>1596</v>
      </c>
      <c r="G351">
        <v>10</v>
      </c>
      <c r="H351">
        <v>49</v>
      </c>
      <c r="I351" s="4" t="s">
        <v>1623</v>
      </c>
      <c r="J351" s="4" t="s">
        <v>964</v>
      </c>
      <c r="K351" s="4" t="s">
        <v>114</v>
      </c>
      <c r="L351" s="4" t="s">
        <v>115</v>
      </c>
      <c r="M351" s="4" t="s">
        <v>108</v>
      </c>
      <c r="N351" s="4" t="s">
        <v>127</v>
      </c>
      <c r="O351" s="4" t="s">
        <v>128</v>
      </c>
      <c r="P351">
        <v>48</v>
      </c>
      <c r="Q351">
        <v>48</v>
      </c>
      <c r="R351" s="4" t="s">
        <v>158</v>
      </c>
      <c r="S351">
        <v>31.45</v>
      </c>
      <c r="T351">
        <v>1509.6</v>
      </c>
      <c r="U351">
        <v>1259.52</v>
      </c>
      <c r="V351" s="4" t="s">
        <v>30</v>
      </c>
    </row>
    <row r="352" spans="1:22" x14ac:dyDescent="0.2">
      <c r="A352" s="4" t="s">
        <v>536</v>
      </c>
      <c r="B352">
        <v>351</v>
      </c>
      <c r="C352" s="4" t="s">
        <v>26</v>
      </c>
      <c r="D352" s="4" t="s">
        <v>41</v>
      </c>
      <c r="E352" s="4" t="s">
        <v>53</v>
      </c>
      <c r="F352" s="4" t="s">
        <v>1596</v>
      </c>
      <c r="G352">
        <v>10</v>
      </c>
      <c r="H352">
        <v>49</v>
      </c>
      <c r="I352" s="4" t="s">
        <v>1624</v>
      </c>
      <c r="J352" s="4" t="s">
        <v>956</v>
      </c>
      <c r="K352" s="4" t="s">
        <v>116</v>
      </c>
      <c r="L352" s="4" t="s">
        <v>117</v>
      </c>
      <c r="M352" s="4" t="s">
        <v>108</v>
      </c>
      <c r="N352" s="4" t="s">
        <v>129</v>
      </c>
      <c r="O352" s="4" t="s">
        <v>130</v>
      </c>
      <c r="P352">
        <v>18</v>
      </c>
      <c r="Q352">
        <v>18</v>
      </c>
      <c r="R352" s="4" t="s">
        <v>158</v>
      </c>
      <c r="S352">
        <v>91.58</v>
      </c>
      <c r="T352">
        <v>1648.44</v>
      </c>
      <c r="U352">
        <v>1511.1</v>
      </c>
      <c r="V352" s="4" t="s">
        <v>30</v>
      </c>
    </row>
    <row r="353" spans="1:22" x14ac:dyDescent="0.2">
      <c r="A353" s="4" t="s">
        <v>537</v>
      </c>
      <c r="B353">
        <v>352</v>
      </c>
      <c r="C353" s="4" t="s">
        <v>26</v>
      </c>
      <c r="D353" s="4" t="s">
        <v>41</v>
      </c>
      <c r="E353" s="4" t="s">
        <v>53</v>
      </c>
      <c r="F353" s="4" t="s">
        <v>1596</v>
      </c>
      <c r="G353">
        <v>10</v>
      </c>
      <c r="H353">
        <v>49</v>
      </c>
      <c r="I353" s="4" t="s">
        <v>1624</v>
      </c>
      <c r="J353" s="4" t="s">
        <v>962</v>
      </c>
      <c r="K353" s="4" t="s">
        <v>116</v>
      </c>
      <c r="L353" s="4" t="s">
        <v>117</v>
      </c>
      <c r="M353" s="4" t="s">
        <v>108</v>
      </c>
      <c r="N353" s="4" t="s">
        <v>129</v>
      </c>
      <c r="O353" s="4" t="s">
        <v>130</v>
      </c>
      <c r="P353">
        <v>4</v>
      </c>
      <c r="Q353">
        <v>4</v>
      </c>
      <c r="R353" s="4" t="s">
        <v>158</v>
      </c>
      <c r="S353">
        <v>91.58</v>
      </c>
      <c r="T353">
        <v>366.32</v>
      </c>
      <c r="U353">
        <v>335.8</v>
      </c>
      <c r="V353" s="4" t="s">
        <v>30</v>
      </c>
    </row>
    <row r="354" spans="1:22" x14ac:dyDescent="0.2">
      <c r="A354" s="4" t="s">
        <v>538</v>
      </c>
      <c r="B354">
        <v>353</v>
      </c>
      <c r="C354" s="4" t="s">
        <v>26</v>
      </c>
      <c r="D354" s="4" t="s">
        <v>41</v>
      </c>
      <c r="E354" s="4" t="s">
        <v>56</v>
      </c>
      <c r="F354" s="4" t="s">
        <v>1626</v>
      </c>
      <c r="G354">
        <v>10</v>
      </c>
      <c r="H354">
        <v>50</v>
      </c>
      <c r="I354" s="4" t="s">
        <v>1650</v>
      </c>
      <c r="J354" s="4" t="s">
        <v>956</v>
      </c>
      <c r="K354" s="4" t="s">
        <v>112</v>
      </c>
      <c r="L354" s="4" t="s">
        <v>113</v>
      </c>
      <c r="M354" s="4" t="s">
        <v>108</v>
      </c>
      <c r="N354" s="4" t="s">
        <v>122</v>
      </c>
      <c r="O354" s="4" t="s">
        <v>123</v>
      </c>
      <c r="P354">
        <v>77</v>
      </c>
      <c r="Q354">
        <v>77</v>
      </c>
      <c r="R354" s="4" t="s">
        <v>158</v>
      </c>
      <c r="S354">
        <v>28.18</v>
      </c>
      <c r="T354">
        <v>2169.86</v>
      </c>
      <c r="U354">
        <v>1794.1</v>
      </c>
      <c r="V354" s="4" t="s">
        <v>30</v>
      </c>
    </row>
    <row r="355" spans="1:22" x14ac:dyDescent="0.2">
      <c r="A355" s="4" t="s">
        <v>539</v>
      </c>
      <c r="B355">
        <v>354</v>
      </c>
      <c r="C355" s="4" t="s">
        <v>26</v>
      </c>
      <c r="D355" s="4" t="s">
        <v>41</v>
      </c>
      <c r="E355" s="4" t="s">
        <v>56</v>
      </c>
      <c r="F355" s="4" t="s">
        <v>1626</v>
      </c>
      <c r="G355">
        <v>10</v>
      </c>
      <c r="H355">
        <v>50</v>
      </c>
      <c r="I355" s="4" t="s">
        <v>1650</v>
      </c>
      <c r="J355" s="4" t="s">
        <v>962</v>
      </c>
      <c r="K355" s="4" t="s">
        <v>112</v>
      </c>
      <c r="L355" s="4" t="s">
        <v>113</v>
      </c>
      <c r="M355" s="4" t="s">
        <v>108</v>
      </c>
      <c r="N355" s="4" t="s">
        <v>129</v>
      </c>
      <c r="O355" s="4" t="s">
        <v>130</v>
      </c>
      <c r="P355">
        <v>22</v>
      </c>
      <c r="Q355">
        <v>22</v>
      </c>
      <c r="R355" s="4" t="s">
        <v>158</v>
      </c>
      <c r="S355">
        <v>91.58</v>
      </c>
      <c r="T355">
        <v>2014.76</v>
      </c>
      <c r="U355">
        <v>1846.9</v>
      </c>
      <c r="V355" s="4" t="s">
        <v>30</v>
      </c>
    </row>
    <row r="356" spans="1:22" x14ac:dyDescent="0.2">
      <c r="A356" s="4" t="s">
        <v>540</v>
      </c>
      <c r="B356">
        <v>355</v>
      </c>
      <c r="C356" s="4" t="s">
        <v>26</v>
      </c>
      <c r="D356" s="4" t="s">
        <v>41</v>
      </c>
      <c r="E356" s="4" t="s">
        <v>56</v>
      </c>
      <c r="F356" s="4" t="s">
        <v>1626</v>
      </c>
      <c r="G356">
        <v>10</v>
      </c>
      <c r="H356">
        <v>50</v>
      </c>
      <c r="I356" s="4" t="s">
        <v>1650</v>
      </c>
      <c r="J356" s="4" t="s">
        <v>964</v>
      </c>
      <c r="K356" s="4" t="s">
        <v>112</v>
      </c>
      <c r="L356" s="4" t="s">
        <v>113</v>
      </c>
      <c r="M356" s="4" t="s">
        <v>108</v>
      </c>
      <c r="N356" s="4" t="s">
        <v>131</v>
      </c>
      <c r="O356" s="4" t="s">
        <v>132</v>
      </c>
      <c r="P356">
        <v>20</v>
      </c>
      <c r="Q356">
        <v>20</v>
      </c>
      <c r="R356" s="4" t="s">
        <v>158</v>
      </c>
      <c r="S356">
        <v>67.069999999999993</v>
      </c>
      <c r="T356">
        <v>1341.4</v>
      </c>
      <c r="U356">
        <v>1215.4000000000001</v>
      </c>
      <c r="V356" s="4" t="s">
        <v>30</v>
      </c>
    </row>
    <row r="357" spans="1:22" x14ac:dyDescent="0.2">
      <c r="A357" s="4" t="s">
        <v>541</v>
      </c>
      <c r="B357">
        <v>356</v>
      </c>
      <c r="C357" s="4" t="s">
        <v>26</v>
      </c>
      <c r="D357" s="4" t="s">
        <v>41</v>
      </c>
      <c r="E357" s="4" t="s">
        <v>56</v>
      </c>
      <c r="F357" s="4" t="s">
        <v>1626</v>
      </c>
      <c r="G357">
        <v>10</v>
      </c>
      <c r="H357">
        <v>50</v>
      </c>
      <c r="I357" s="4" t="s">
        <v>1650</v>
      </c>
      <c r="J357" s="4" t="s">
        <v>967</v>
      </c>
      <c r="K357" s="4" t="s">
        <v>112</v>
      </c>
      <c r="L357" s="4" t="s">
        <v>113</v>
      </c>
      <c r="M357" s="4" t="s">
        <v>108</v>
      </c>
      <c r="N357" s="4" t="s">
        <v>133</v>
      </c>
      <c r="O357" s="4" t="s">
        <v>134</v>
      </c>
      <c r="P357">
        <v>8</v>
      </c>
      <c r="Q357">
        <v>8</v>
      </c>
      <c r="R357" s="4" t="s">
        <v>158</v>
      </c>
      <c r="S357">
        <v>48.5</v>
      </c>
      <c r="T357">
        <v>388</v>
      </c>
      <c r="U357">
        <v>349.68</v>
      </c>
      <c r="V357" s="4" t="s">
        <v>30</v>
      </c>
    </row>
    <row r="358" spans="1:22" x14ac:dyDescent="0.2">
      <c r="A358" s="4" t="s">
        <v>542</v>
      </c>
      <c r="B358">
        <v>357</v>
      </c>
      <c r="C358" s="4" t="s">
        <v>26</v>
      </c>
      <c r="D358" s="4" t="s">
        <v>41</v>
      </c>
      <c r="E358" s="4" t="s">
        <v>56</v>
      </c>
      <c r="F358" s="4" t="s">
        <v>1626</v>
      </c>
      <c r="G358">
        <v>10</v>
      </c>
      <c r="H358">
        <v>50</v>
      </c>
      <c r="I358" s="4" t="s">
        <v>1651</v>
      </c>
      <c r="J358" s="4" t="s">
        <v>962</v>
      </c>
      <c r="K358" s="4" t="s">
        <v>114</v>
      </c>
      <c r="L358" s="4" t="s">
        <v>115</v>
      </c>
      <c r="M358" s="4" t="s">
        <v>108</v>
      </c>
      <c r="N358" s="4" t="s">
        <v>125</v>
      </c>
      <c r="O358" s="4" t="s">
        <v>126</v>
      </c>
      <c r="P358">
        <v>24</v>
      </c>
      <c r="Q358">
        <v>24</v>
      </c>
      <c r="R358" s="4" t="s">
        <v>158</v>
      </c>
      <c r="S358">
        <v>79.87</v>
      </c>
      <c r="T358">
        <v>1916.88</v>
      </c>
      <c r="U358">
        <v>1753.2</v>
      </c>
      <c r="V358" s="4" t="s">
        <v>30</v>
      </c>
    </row>
    <row r="359" spans="1:22" x14ac:dyDescent="0.2">
      <c r="A359" s="4" t="s">
        <v>543</v>
      </c>
      <c r="B359">
        <v>358</v>
      </c>
      <c r="C359" s="4" t="s">
        <v>26</v>
      </c>
      <c r="D359" s="4" t="s">
        <v>41</v>
      </c>
      <c r="E359" s="4" t="s">
        <v>56</v>
      </c>
      <c r="F359" s="4" t="s">
        <v>1626</v>
      </c>
      <c r="G359">
        <v>10</v>
      </c>
      <c r="H359">
        <v>50</v>
      </c>
      <c r="I359" s="4" t="s">
        <v>1651</v>
      </c>
      <c r="J359" s="4" t="s">
        <v>967</v>
      </c>
      <c r="K359" s="4" t="s">
        <v>114</v>
      </c>
      <c r="L359" s="4" t="s">
        <v>115</v>
      </c>
      <c r="M359" s="4" t="s">
        <v>108</v>
      </c>
      <c r="N359" s="4" t="s">
        <v>127</v>
      </c>
      <c r="O359" s="4" t="s">
        <v>128</v>
      </c>
      <c r="P359">
        <v>69</v>
      </c>
      <c r="Q359">
        <v>69</v>
      </c>
      <c r="R359" s="4" t="s">
        <v>158</v>
      </c>
      <c r="S359">
        <v>31.45</v>
      </c>
      <c r="T359">
        <v>2170.0500000000002</v>
      </c>
      <c r="U359">
        <v>1810.56</v>
      </c>
      <c r="V359" s="4" t="s">
        <v>30</v>
      </c>
    </row>
    <row r="360" spans="1:22" x14ac:dyDescent="0.2">
      <c r="A360" s="4" t="s">
        <v>544</v>
      </c>
      <c r="B360">
        <v>359</v>
      </c>
      <c r="C360" s="4" t="s">
        <v>26</v>
      </c>
      <c r="D360" s="4" t="s">
        <v>41</v>
      </c>
      <c r="E360" s="4" t="s">
        <v>56</v>
      </c>
      <c r="F360" s="4" t="s">
        <v>1626</v>
      </c>
      <c r="G360">
        <v>10</v>
      </c>
      <c r="H360">
        <v>50</v>
      </c>
      <c r="I360" s="4" t="s">
        <v>1652</v>
      </c>
      <c r="J360" s="4" t="s">
        <v>962</v>
      </c>
      <c r="K360" s="4" t="s">
        <v>114</v>
      </c>
      <c r="L360" s="4" t="s">
        <v>115</v>
      </c>
      <c r="M360" s="4" t="s">
        <v>108</v>
      </c>
      <c r="N360" s="4" t="s">
        <v>129</v>
      </c>
      <c r="O360" s="4" t="s">
        <v>130</v>
      </c>
      <c r="P360">
        <v>21</v>
      </c>
      <c r="Q360">
        <v>21</v>
      </c>
      <c r="R360" s="4" t="s">
        <v>158</v>
      </c>
      <c r="S360">
        <v>91.58</v>
      </c>
      <c r="T360">
        <v>1923.18</v>
      </c>
      <c r="U360">
        <v>1762.95</v>
      </c>
      <c r="V360" s="4" t="s">
        <v>30</v>
      </c>
    </row>
    <row r="361" spans="1:22" x14ac:dyDescent="0.2">
      <c r="A361" s="4" t="s">
        <v>545</v>
      </c>
      <c r="B361">
        <v>360</v>
      </c>
      <c r="C361" s="4" t="s">
        <v>26</v>
      </c>
      <c r="D361" s="4" t="s">
        <v>41</v>
      </c>
      <c r="E361" s="4" t="s">
        <v>56</v>
      </c>
      <c r="F361" s="4" t="s">
        <v>1626</v>
      </c>
      <c r="G361">
        <v>10</v>
      </c>
      <c r="H361">
        <v>50</v>
      </c>
      <c r="I361" s="4" t="s">
        <v>1652</v>
      </c>
      <c r="J361" s="4" t="s">
        <v>956</v>
      </c>
      <c r="K361" s="4" t="s">
        <v>114</v>
      </c>
      <c r="L361" s="4" t="s">
        <v>115</v>
      </c>
      <c r="M361" s="4" t="s">
        <v>108</v>
      </c>
      <c r="N361" s="4" t="s">
        <v>131</v>
      </c>
      <c r="O361" s="4" t="s">
        <v>132</v>
      </c>
      <c r="P361">
        <v>12</v>
      </c>
      <c r="Q361">
        <v>12</v>
      </c>
      <c r="R361" s="4" t="s">
        <v>158</v>
      </c>
      <c r="S361">
        <v>67.069999999999993</v>
      </c>
      <c r="T361">
        <v>804.84</v>
      </c>
      <c r="U361">
        <v>729.24</v>
      </c>
      <c r="V361" s="4" t="s">
        <v>30</v>
      </c>
    </row>
    <row r="362" spans="1:22" x14ac:dyDescent="0.2">
      <c r="A362" s="4" t="s">
        <v>546</v>
      </c>
      <c r="B362">
        <v>361</v>
      </c>
      <c r="C362" s="4" t="s">
        <v>26</v>
      </c>
      <c r="D362" s="4" t="s">
        <v>41</v>
      </c>
      <c r="E362" s="4" t="s">
        <v>56</v>
      </c>
      <c r="F362" s="4" t="s">
        <v>1626</v>
      </c>
      <c r="G362">
        <v>10</v>
      </c>
      <c r="H362">
        <v>50</v>
      </c>
      <c r="I362" s="4" t="s">
        <v>1651</v>
      </c>
      <c r="J362" s="4" t="s">
        <v>956</v>
      </c>
      <c r="K362" s="4" t="s">
        <v>114</v>
      </c>
      <c r="L362" s="4" t="s">
        <v>115</v>
      </c>
      <c r="M362" s="4" t="s">
        <v>108</v>
      </c>
      <c r="N362" s="4" t="s">
        <v>131</v>
      </c>
      <c r="O362" s="4" t="s">
        <v>132</v>
      </c>
      <c r="P362">
        <v>29</v>
      </c>
      <c r="Q362">
        <v>29</v>
      </c>
      <c r="R362" s="4" t="s">
        <v>158</v>
      </c>
      <c r="S362">
        <v>67.069999999999993</v>
      </c>
      <c r="T362">
        <v>1945.03</v>
      </c>
      <c r="U362">
        <v>1762.33</v>
      </c>
      <c r="V362" s="4" t="s">
        <v>30</v>
      </c>
    </row>
    <row r="363" spans="1:22" x14ac:dyDescent="0.2">
      <c r="A363" s="4" t="s">
        <v>547</v>
      </c>
      <c r="B363">
        <v>362</v>
      </c>
      <c r="C363" s="4" t="s">
        <v>26</v>
      </c>
      <c r="D363" s="4" t="s">
        <v>41</v>
      </c>
      <c r="E363" s="4" t="s">
        <v>56</v>
      </c>
      <c r="F363" s="4" t="s">
        <v>1626</v>
      </c>
      <c r="G363">
        <v>10</v>
      </c>
      <c r="H363">
        <v>50</v>
      </c>
      <c r="I363" s="4" t="s">
        <v>1651</v>
      </c>
      <c r="J363" s="4" t="s">
        <v>964</v>
      </c>
      <c r="K363" s="4" t="s">
        <v>114</v>
      </c>
      <c r="L363" s="4" t="s">
        <v>115</v>
      </c>
      <c r="M363" s="4" t="s">
        <v>108</v>
      </c>
      <c r="N363" s="4" t="s">
        <v>131</v>
      </c>
      <c r="O363" s="4" t="s">
        <v>132</v>
      </c>
      <c r="P363">
        <v>34</v>
      </c>
      <c r="Q363">
        <v>34</v>
      </c>
      <c r="R363" s="4" t="s">
        <v>158</v>
      </c>
      <c r="S363">
        <v>67.069999999999993</v>
      </c>
      <c r="T363">
        <v>2280.38</v>
      </c>
      <c r="U363">
        <v>2066.1799999999998</v>
      </c>
      <c r="V363" s="4" t="s">
        <v>30</v>
      </c>
    </row>
    <row r="364" spans="1:22" x14ac:dyDescent="0.2">
      <c r="A364" s="4" t="s">
        <v>548</v>
      </c>
      <c r="B364">
        <v>363</v>
      </c>
      <c r="C364" s="4" t="s">
        <v>26</v>
      </c>
      <c r="D364" s="4" t="s">
        <v>41</v>
      </c>
      <c r="E364" s="4" t="s">
        <v>56</v>
      </c>
      <c r="F364" s="4" t="s">
        <v>1626</v>
      </c>
      <c r="G364">
        <v>10</v>
      </c>
      <c r="H364">
        <v>50</v>
      </c>
      <c r="I364" s="4" t="s">
        <v>1653</v>
      </c>
      <c r="J364" s="4" t="s">
        <v>967</v>
      </c>
      <c r="K364" s="4" t="s">
        <v>116</v>
      </c>
      <c r="L364" s="4" t="s">
        <v>117</v>
      </c>
      <c r="M364" s="4" t="s">
        <v>108</v>
      </c>
      <c r="N364" s="4" t="s">
        <v>122</v>
      </c>
      <c r="O364" s="4" t="s">
        <v>123</v>
      </c>
      <c r="P364">
        <v>68</v>
      </c>
      <c r="Q364">
        <v>68</v>
      </c>
      <c r="R364" s="4" t="s">
        <v>158</v>
      </c>
      <c r="S364">
        <v>28.18</v>
      </c>
      <c r="T364">
        <v>1916.24</v>
      </c>
      <c r="U364">
        <v>1584.4</v>
      </c>
      <c r="V364" s="4" t="s">
        <v>30</v>
      </c>
    </row>
    <row r="365" spans="1:22" x14ac:dyDescent="0.2">
      <c r="A365" s="4" t="s">
        <v>549</v>
      </c>
      <c r="B365">
        <v>364</v>
      </c>
      <c r="C365" s="4" t="s">
        <v>26</v>
      </c>
      <c r="D365" s="4" t="s">
        <v>41</v>
      </c>
      <c r="E365" s="4" t="s">
        <v>56</v>
      </c>
      <c r="F365" s="4" t="s">
        <v>1626</v>
      </c>
      <c r="G365">
        <v>10</v>
      </c>
      <c r="H365">
        <v>50</v>
      </c>
      <c r="I365" s="4" t="s">
        <v>1653</v>
      </c>
      <c r="J365" s="4" t="s">
        <v>956</v>
      </c>
      <c r="K365" s="4" t="s">
        <v>116</v>
      </c>
      <c r="L365" s="4" t="s">
        <v>117</v>
      </c>
      <c r="M365" s="4" t="s">
        <v>108</v>
      </c>
      <c r="N365" s="4" t="s">
        <v>125</v>
      </c>
      <c r="O365" s="4" t="s">
        <v>126</v>
      </c>
      <c r="P365">
        <v>25</v>
      </c>
      <c r="Q365">
        <v>25</v>
      </c>
      <c r="R365" s="4" t="s">
        <v>158</v>
      </c>
      <c r="S365">
        <v>79.87</v>
      </c>
      <c r="T365">
        <v>1996.75</v>
      </c>
      <c r="U365">
        <v>1826.25</v>
      </c>
      <c r="V365" s="4" t="s">
        <v>30</v>
      </c>
    </row>
    <row r="366" spans="1:22" x14ac:dyDescent="0.2">
      <c r="A366" s="4" t="s">
        <v>550</v>
      </c>
      <c r="B366">
        <v>365</v>
      </c>
      <c r="C366" s="4" t="s">
        <v>26</v>
      </c>
      <c r="D366" s="4" t="s">
        <v>41</v>
      </c>
      <c r="E366" s="4" t="s">
        <v>56</v>
      </c>
      <c r="F366" s="4" t="s">
        <v>1626</v>
      </c>
      <c r="G366">
        <v>10</v>
      </c>
      <c r="H366">
        <v>50</v>
      </c>
      <c r="I366" s="4" t="s">
        <v>1653</v>
      </c>
      <c r="J366" s="4" t="s">
        <v>962</v>
      </c>
      <c r="K366" s="4" t="s">
        <v>116</v>
      </c>
      <c r="L366" s="4" t="s">
        <v>117</v>
      </c>
      <c r="M366" s="4" t="s">
        <v>108</v>
      </c>
      <c r="N366" s="4" t="s">
        <v>129</v>
      </c>
      <c r="O366" s="4" t="s">
        <v>130</v>
      </c>
      <c r="P366">
        <v>17</v>
      </c>
      <c r="Q366">
        <v>17</v>
      </c>
      <c r="R366" s="4" t="s">
        <v>158</v>
      </c>
      <c r="S366">
        <v>91.58</v>
      </c>
      <c r="T366">
        <v>1556.86</v>
      </c>
      <c r="U366">
        <v>1427.15</v>
      </c>
      <c r="V366" s="4" t="s">
        <v>30</v>
      </c>
    </row>
    <row r="367" spans="1:22" x14ac:dyDescent="0.2">
      <c r="A367" s="4" t="s">
        <v>551</v>
      </c>
      <c r="B367">
        <v>366</v>
      </c>
      <c r="C367" s="4" t="s">
        <v>26</v>
      </c>
      <c r="D367" s="4" t="s">
        <v>41</v>
      </c>
      <c r="E367" s="4" t="s">
        <v>56</v>
      </c>
      <c r="F367" s="4" t="s">
        <v>1626</v>
      </c>
      <c r="G367">
        <v>10</v>
      </c>
      <c r="H367">
        <v>50</v>
      </c>
      <c r="I367" s="4" t="s">
        <v>1653</v>
      </c>
      <c r="J367" s="4" t="s">
        <v>964</v>
      </c>
      <c r="K367" s="4" t="s">
        <v>116</v>
      </c>
      <c r="L367" s="4" t="s">
        <v>117</v>
      </c>
      <c r="M367" s="4" t="s">
        <v>108</v>
      </c>
      <c r="N367" s="4" t="s">
        <v>131</v>
      </c>
      <c r="O367" s="4" t="s">
        <v>132</v>
      </c>
      <c r="P367">
        <v>37</v>
      </c>
      <c r="Q367">
        <v>37</v>
      </c>
      <c r="R367" s="4" t="s">
        <v>158</v>
      </c>
      <c r="S367">
        <v>67.069999999999993</v>
      </c>
      <c r="T367">
        <v>2481.59</v>
      </c>
      <c r="U367">
        <v>2248.4899999999998</v>
      </c>
      <c r="V367" s="4" t="s">
        <v>30</v>
      </c>
    </row>
    <row r="368" spans="1:22" x14ac:dyDescent="0.2">
      <c r="A368" s="4" t="s">
        <v>552</v>
      </c>
      <c r="B368">
        <v>367</v>
      </c>
      <c r="C368" s="4" t="s">
        <v>26</v>
      </c>
      <c r="D368" s="4" t="s">
        <v>44</v>
      </c>
      <c r="E368" s="4" t="s">
        <v>27</v>
      </c>
      <c r="F368" s="4" t="s">
        <v>1655</v>
      </c>
      <c r="G368">
        <v>11</v>
      </c>
      <c r="H368">
        <v>51</v>
      </c>
      <c r="I368" s="4" t="s">
        <v>1682</v>
      </c>
      <c r="J368" s="4" t="s">
        <v>962</v>
      </c>
      <c r="K368" s="4" t="s">
        <v>112</v>
      </c>
      <c r="L368" s="4" t="s">
        <v>113</v>
      </c>
      <c r="M368" s="4" t="s">
        <v>108</v>
      </c>
      <c r="N368" s="4" t="s">
        <v>122</v>
      </c>
      <c r="O368" s="4" t="s">
        <v>123</v>
      </c>
      <c r="P368">
        <v>67</v>
      </c>
      <c r="Q368">
        <v>67</v>
      </c>
      <c r="R368" s="4" t="s">
        <v>158</v>
      </c>
      <c r="S368">
        <v>28.18</v>
      </c>
      <c r="T368">
        <v>1888.06</v>
      </c>
      <c r="U368">
        <v>1561.1</v>
      </c>
      <c r="V368" s="4" t="s">
        <v>30</v>
      </c>
    </row>
    <row r="369" spans="1:22" x14ac:dyDescent="0.2">
      <c r="A369" s="4" t="s">
        <v>553</v>
      </c>
      <c r="B369">
        <v>368</v>
      </c>
      <c r="C369" s="4" t="s">
        <v>26</v>
      </c>
      <c r="D369" s="4" t="s">
        <v>44</v>
      </c>
      <c r="E369" s="4" t="s">
        <v>27</v>
      </c>
      <c r="F369" s="4" t="s">
        <v>1655</v>
      </c>
      <c r="G369">
        <v>11</v>
      </c>
      <c r="H369">
        <v>51</v>
      </c>
      <c r="I369" s="4" t="s">
        <v>1681</v>
      </c>
      <c r="J369" s="4" t="s">
        <v>962</v>
      </c>
      <c r="K369" s="4" t="s">
        <v>112</v>
      </c>
      <c r="L369" s="4" t="s">
        <v>113</v>
      </c>
      <c r="M369" s="4" t="s">
        <v>108</v>
      </c>
      <c r="N369" s="4" t="s">
        <v>122</v>
      </c>
      <c r="O369" s="4" t="s">
        <v>123</v>
      </c>
      <c r="P369">
        <v>55</v>
      </c>
      <c r="Q369">
        <v>55</v>
      </c>
      <c r="R369" s="4" t="s">
        <v>158</v>
      </c>
      <c r="S369">
        <v>28.18</v>
      </c>
      <c r="T369">
        <v>1549.9</v>
      </c>
      <c r="U369">
        <v>1281.5</v>
      </c>
      <c r="V369" s="4" t="s">
        <v>30</v>
      </c>
    </row>
    <row r="370" spans="1:22" x14ac:dyDescent="0.2">
      <c r="A370" s="4" t="s">
        <v>554</v>
      </c>
      <c r="B370">
        <v>369</v>
      </c>
      <c r="C370" s="4" t="s">
        <v>26</v>
      </c>
      <c r="D370" s="4" t="s">
        <v>44</v>
      </c>
      <c r="E370" s="4" t="s">
        <v>27</v>
      </c>
      <c r="F370" s="4" t="s">
        <v>1655</v>
      </c>
      <c r="G370">
        <v>11</v>
      </c>
      <c r="H370">
        <v>51</v>
      </c>
      <c r="I370" s="4" t="s">
        <v>1682</v>
      </c>
      <c r="J370" s="4" t="s">
        <v>956</v>
      </c>
      <c r="K370" s="4" t="s">
        <v>112</v>
      </c>
      <c r="L370" s="4" t="s">
        <v>113</v>
      </c>
      <c r="M370" s="4" t="s">
        <v>108</v>
      </c>
      <c r="N370" s="4" t="s">
        <v>127</v>
      </c>
      <c r="O370" s="4" t="s">
        <v>128</v>
      </c>
      <c r="P370">
        <v>68</v>
      </c>
      <c r="Q370">
        <v>68</v>
      </c>
      <c r="R370" s="4" t="s">
        <v>158</v>
      </c>
      <c r="S370">
        <v>31.45</v>
      </c>
      <c r="T370">
        <v>2138.6</v>
      </c>
      <c r="U370">
        <v>1784.32</v>
      </c>
      <c r="V370" s="4" t="s">
        <v>30</v>
      </c>
    </row>
    <row r="371" spans="1:22" x14ac:dyDescent="0.2">
      <c r="A371" s="4" t="s">
        <v>555</v>
      </c>
      <c r="B371">
        <v>370</v>
      </c>
      <c r="C371" s="4" t="s">
        <v>26</v>
      </c>
      <c r="D371" s="4" t="s">
        <v>44</v>
      </c>
      <c r="E371" s="4" t="s">
        <v>27</v>
      </c>
      <c r="F371" s="4" t="s">
        <v>1655</v>
      </c>
      <c r="G371">
        <v>11</v>
      </c>
      <c r="H371">
        <v>51</v>
      </c>
      <c r="I371" s="4" t="s">
        <v>1681</v>
      </c>
      <c r="J371" s="4" t="s">
        <v>964</v>
      </c>
      <c r="K371" s="4" t="s">
        <v>112</v>
      </c>
      <c r="L371" s="4" t="s">
        <v>113</v>
      </c>
      <c r="M371" s="4" t="s">
        <v>108</v>
      </c>
      <c r="N371" s="4" t="s">
        <v>127</v>
      </c>
      <c r="O371" s="4" t="s">
        <v>128</v>
      </c>
      <c r="P371">
        <v>70</v>
      </c>
      <c r="Q371">
        <v>70</v>
      </c>
      <c r="R371" s="4" t="s">
        <v>158</v>
      </c>
      <c r="S371">
        <v>31.45</v>
      </c>
      <c r="T371">
        <v>2201.5</v>
      </c>
      <c r="U371">
        <v>1836.8</v>
      </c>
      <c r="V371" s="4" t="s">
        <v>30</v>
      </c>
    </row>
    <row r="372" spans="1:22" x14ac:dyDescent="0.2">
      <c r="A372" s="4" t="s">
        <v>556</v>
      </c>
      <c r="B372">
        <v>371</v>
      </c>
      <c r="C372" s="4" t="s">
        <v>26</v>
      </c>
      <c r="D372" s="4" t="s">
        <v>44</v>
      </c>
      <c r="E372" s="4" t="s">
        <v>27</v>
      </c>
      <c r="F372" s="4" t="s">
        <v>1655</v>
      </c>
      <c r="G372">
        <v>11</v>
      </c>
      <c r="H372">
        <v>51</v>
      </c>
      <c r="I372" s="4" t="s">
        <v>1682</v>
      </c>
      <c r="J372" s="4" t="s">
        <v>964</v>
      </c>
      <c r="K372" s="4" t="s">
        <v>112</v>
      </c>
      <c r="L372" s="4" t="s">
        <v>113</v>
      </c>
      <c r="M372" s="4" t="s">
        <v>108</v>
      </c>
      <c r="N372" s="4" t="s">
        <v>129</v>
      </c>
      <c r="O372" s="4" t="s">
        <v>130</v>
      </c>
      <c r="P372">
        <v>8</v>
      </c>
      <c r="Q372">
        <v>8</v>
      </c>
      <c r="R372" s="4" t="s">
        <v>158</v>
      </c>
      <c r="S372">
        <v>91.58</v>
      </c>
      <c r="T372">
        <v>732.64</v>
      </c>
      <c r="U372">
        <v>671.6</v>
      </c>
      <c r="V372" s="4" t="s">
        <v>30</v>
      </c>
    </row>
    <row r="373" spans="1:22" x14ac:dyDescent="0.2">
      <c r="A373" s="4" t="s">
        <v>557</v>
      </c>
      <c r="B373">
        <v>372</v>
      </c>
      <c r="C373" s="4" t="s">
        <v>26</v>
      </c>
      <c r="D373" s="4" t="s">
        <v>44</v>
      </c>
      <c r="E373" s="4" t="s">
        <v>27</v>
      </c>
      <c r="F373" s="4" t="s">
        <v>1655</v>
      </c>
      <c r="G373">
        <v>11</v>
      </c>
      <c r="H373">
        <v>51</v>
      </c>
      <c r="I373" s="4" t="s">
        <v>1681</v>
      </c>
      <c r="J373" s="4" t="s">
        <v>956</v>
      </c>
      <c r="K373" s="4" t="s">
        <v>112</v>
      </c>
      <c r="L373" s="4" t="s">
        <v>113</v>
      </c>
      <c r="M373" s="4" t="s">
        <v>108</v>
      </c>
      <c r="N373" s="4" t="s">
        <v>131</v>
      </c>
      <c r="O373" s="4" t="s">
        <v>132</v>
      </c>
      <c r="P373">
        <v>30</v>
      </c>
      <c r="Q373">
        <v>30</v>
      </c>
      <c r="R373" s="4" t="s">
        <v>158</v>
      </c>
      <c r="S373">
        <v>67.069999999999993</v>
      </c>
      <c r="T373">
        <v>2012.1</v>
      </c>
      <c r="U373">
        <v>1823.1</v>
      </c>
      <c r="V373" s="4" t="s">
        <v>30</v>
      </c>
    </row>
    <row r="374" spans="1:22" x14ac:dyDescent="0.2">
      <c r="A374" s="4" t="s">
        <v>558</v>
      </c>
      <c r="B374">
        <v>373</v>
      </c>
      <c r="C374" s="4" t="s">
        <v>26</v>
      </c>
      <c r="D374" s="4" t="s">
        <v>44</v>
      </c>
      <c r="E374" s="4" t="s">
        <v>27</v>
      </c>
      <c r="F374" s="4" t="s">
        <v>1655</v>
      </c>
      <c r="G374">
        <v>11</v>
      </c>
      <c r="H374">
        <v>51</v>
      </c>
      <c r="I374" s="4" t="s">
        <v>1681</v>
      </c>
      <c r="J374" s="4" t="s">
        <v>967</v>
      </c>
      <c r="K374" s="4" t="s">
        <v>112</v>
      </c>
      <c r="L374" s="4" t="s">
        <v>113</v>
      </c>
      <c r="M374" s="4" t="s">
        <v>108</v>
      </c>
      <c r="N374" s="4" t="s">
        <v>133</v>
      </c>
      <c r="O374" s="4" t="s">
        <v>134</v>
      </c>
      <c r="P374">
        <v>4</v>
      </c>
      <c r="Q374">
        <v>4</v>
      </c>
      <c r="R374" s="4" t="s">
        <v>158</v>
      </c>
      <c r="S374">
        <v>48.5</v>
      </c>
      <c r="T374">
        <v>194</v>
      </c>
      <c r="U374">
        <v>174.84</v>
      </c>
      <c r="V374" s="4" t="s">
        <v>30</v>
      </c>
    </row>
    <row r="375" spans="1:22" x14ac:dyDescent="0.2">
      <c r="A375" s="4" t="s">
        <v>559</v>
      </c>
      <c r="B375">
        <v>374</v>
      </c>
      <c r="C375" s="4" t="s">
        <v>26</v>
      </c>
      <c r="D375" s="4" t="s">
        <v>44</v>
      </c>
      <c r="E375" s="4" t="s">
        <v>27</v>
      </c>
      <c r="F375" s="4" t="s">
        <v>1655</v>
      </c>
      <c r="G375">
        <v>11</v>
      </c>
      <c r="H375">
        <v>51</v>
      </c>
      <c r="I375" s="4" t="s">
        <v>1683</v>
      </c>
      <c r="J375" s="4" t="s">
        <v>956</v>
      </c>
      <c r="K375" s="4" t="s">
        <v>114</v>
      </c>
      <c r="L375" s="4" t="s">
        <v>115</v>
      </c>
      <c r="M375" s="4" t="s">
        <v>108</v>
      </c>
      <c r="N375" s="4" t="s">
        <v>127</v>
      </c>
      <c r="O375" s="4" t="s">
        <v>128</v>
      </c>
      <c r="P375">
        <v>56</v>
      </c>
      <c r="Q375">
        <v>56</v>
      </c>
      <c r="R375" s="4" t="s">
        <v>158</v>
      </c>
      <c r="S375">
        <v>31.45</v>
      </c>
      <c r="T375">
        <v>1761.2</v>
      </c>
      <c r="U375">
        <v>1469.44</v>
      </c>
      <c r="V375" s="4" t="s">
        <v>30</v>
      </c>
    </row>
    <row r="376" spans="1:22" x14ac:dyDescent="0.2">
      <c r="A376" s="4" t="s">
        <v>560</v>
      </c>
      <c r="B376">
        <v>375</v>
      </c>
      <c r="C376" s="4" t="s">
        <v>26</v>
      </c>
      <c r="D376" s="4" t="s">
        <v>44</v>
      </c>
      <c r="E376" s="4" t="s">
        <v>27</v>
      </c>
      <c r="F376" s="4" t="s">
        <v>1655</v>
      </c>
      <c r="G376">
        <v>11</v>
      </c>
      <c r="H376">
        <v>51</v>
      </c>
      <c r="I376" s="4" t="s">
        <v>1683</v>
      </c>
      <c r="J376" s="4" t="s">
        <v>962</v>
      </c>
      <c r="K376" s="4" t="s">
        <v>114</v>
      </c>
      <c r="L376" s="4" t="s">
        <v>115</v>
      </c>
      <c r="M376" s="4" t="s">
        <v>108</v>
      </c>
      <c r="N376" s="4" t="s">
        <v>127</v>
      </c>
      <c r="O376" s="4" t="s">
        <v>128</v>
      </c>
      <c r="P376">
        <v>72</v>
      </c>
      <c r="Q376">
        <v>72</v>
      </c>
      <c r="R376" s="4" t="s">
        <v>158</v>
      </c>
      <c r="S376">
        <v>31.45</v>
      </c>
      <c r="T376">
        <v>2264.4</v>
      </c>
      <c r="U376">
        <v>1889.28</v>
      </c>
      <c r="V376" s="4" t="s">
        <v>30</v>
      </c>
    </row>
    <row r="377" spans="1:22" x14ac:dyDescent="0.2">
      <c r="A377" s="4" t="s">
        <v>561</v>
      </c>
      <c r="B377">
        <v>376</v>
      </c>
      <c r="C377" s="4" t="s">
        <v>26</v>
      </c>
      <c r="D377" s="4" t="s">
        <v>44</v>
      </c>
      <c r="E377" s="4" t="s">
        <v>27</v>
      </c>
      <c r="F377" s="4" t="s">
        <v>1655</v>
      </c>
      <c r="G377">
        <v>11</v>
      </c>
      <c r="H377">
        <v>51</v>
      </c>
      <c r="I377" s="4" t="s">
        <v>1684</v>
      </c>
      <c r="J377" s="4" t="s">
        <v>956</v>
      </c>
      <c r="K377" s="4" t="s">
        <v>114</v>
      </c>
      <c r="L377" s="4" t="s">
        <v>115</v>
      </c>
      <c r="M377" s="4" t="s">
        <v>108</v>
      </c>
      <c r="N377" s="4" t="s">
        <v>127</v>
      </c>
      <c r="O377" s="4" t="s">
        <v>128</v>
      </c>
      <c r="P377">
        <v>13</v>
      </c>
      <c r="Q377">
        <v>13</v>
      </c>
      <c r="R377" s="4" t="s">
        <v>158</v>
      </c>
      <c r="S377">
        <v>31.45</v>
      </c>
      <c r="T377">
        <v>408.85</v>
      </c>
      <c r="U377">
        <v>341.12</v>
      </c>
      <c r="V377" s="4" t="s">
        <v>30</v>
      </c>
    </row>
    <row r="378" spans="1:22" x14ac:dyDescent="0.2">
      <c r="A378" s="4" t="s">
        <v>562</v>
      </c>
      <c r="B378">
        <v>377</v>
      </c>
      <c r="C378" s="4" t="s">
        <v>26</v>
      </c>
      <c r="D378" s="4" t="s">
        <v>44</v>
      </c>
      <c r="E378" s="4" t="s">
        <v>32</v>
      </c>
      <c r="F378" s="4" t="s">
        <v>1680</v>
      </c>
      <c r="G378">
        <v>11</v>
      </c>
      <c r="H378">
        <v>52</v>
      </c>
      <c r="I378" s="4" t="s">
        <v>1709</v>
      </c>
      <c r="J378" s="4" t="s">
        <v>956</v>
      </c>
      <c r="K378" s="4" t="s">
        <v>112</v>
      </c>
      <c r="L378" s="4" t="s">
        <v>113</v>
      </c>
      <c r="M378" s="4" t="s">
        <v>108</v>
      </c>
      <c r="N378" s="4" t="s">
        <v>122</v>
      </c>
      <c r="O378" s="4" t="s">
        <v>123</v>
      </c>
      <c r="P378">
        <v>82</v>
      </c>
      <c r="Q378">
        <v>82</v>
      </c>
      <c r="R378" s="4" t="s">
        <v>158</v>
      </c>
      <c r="S378">
        <v>28.18</v>
      </c>
      <c r="T378">
        <v>2310.7600000000002</v>
      </c>
      <c r="U378">
        <v>1912.24</v>
      </c>
      <c r="V378" s="4" t="s">
        <v>30</v>
      </c>
    </row>
    <row r="379" spans="1:22" x14ac:dyDescent="0.2">
      <c r="A379" s="4" t="s">
        <v>563</v>
      </c>
      <c r="B379">
        <v>378</v>
      </c>
      <c r="C379" s="4" t="s">
        <v>26</v>
      </c>
      <c r="D379" s="4" t="s">
        <v>44</v>
      </c>
      <c r="E379" s="4" t="s">
        <v>32</v>
      </c>
      <c r="F379" s="4" t="s">
        <v>1680</v>
      </c>
      <c r="G379">
        <v>11</v>
      </c>
      <c r="H379">
        <v>52</v>
      </c>
      <c r="I379" s="4" t="s">
        <v>1709</v>
      </c>
      <c r="J379" s="4" t="s">
        <v>964</v>
      </c>
      <c r="K379" s="4" t="s">
        <v>112</v>
      </c>
      <c r="L379" s="4" t="s">
        <v>113</v>
      </c>
      <c r="M379" s="4" t="s">
        <v>108</v>
      </c>
      <c r="N379" s="4" t="s">
        <v>122</v>
      </c>
      <c r="O379" s="4" t="s">
        <v>123</v>
      </c>
      <c r="P379">
        <v>74</v>
      </c>
      <c r="Q379">
        <v>74</v>
      </c>
      <c r="R379" s="4" t="s">
        <v>158</v>
      </c>
      <c r="S379">
        <v>28.18</v>
      </c>
      <c r="T379">
        <v>2085.3200000000002</v>
      </c>
      <c r="U379">
        <v>1725.68</v>
      </c>
      <c r="V379" s="4" t="s">
        <v>30</v>
      </c>
    </row>
    <row r="380" spans="1:22" x14ac:dyDescent="0.2">
      <c r="A380" s="4" t="s">
        <v>564</v>
      </c>
      <c r="B380">
        <v>379</v>
      </c>
      <c r="C380" s="4" t="s">
        <v>26</v>
      </c>
      <c r="D380" s="4" t="s">
        <v>44</v>
      </c>
      <c r="E380" s="4" t="s">
        <v>32</v>
      </c>
      <c r="F380" s="4" t="s">
        <v>1680</v>
      </c>
      <c r="G380">
        <v>11</v>
      </c>
      <c r="H380">
        <v>52</v>
      </c>
      <c r="I380" s="4" t="s">
        <v>1710</v>
      </c>
      <c r="J380" s="4" t="s">
        <v>964</v>
      </c>
      <c r="K380" s="4" t="s">
        <v>112</v>
      </c>
      <c r="L380" s="4" t="s">
        <v>113</v>
      </c>
      <c r="M380" s="4" t="s">
        <v>108</v>
      </c>
      <c r="N380" s="4" t="s">
        <v>122</v>
      </c>
      <c r="O380" s="4" t="s">
        <v>123</v>
      </c>
      <c r="P380">
        <v>80</v>
      </c>
      <c r="Q380">
        <v>80</v>
      </c>
      <c r="R380" s="4" t="s">
        <v>158</v>
      </c>
      <c r="S380">
        <v>28.18</v>
      </c>
      <c r="T380">
        <v>2254.4</v>
      </c>
      <c r="U380">
        <v>1865.6</v>
      </c>
      <c r="V380" s="4" t="s">
        <v>30</v>
      </c>
    </row>
    <row r="381" spans="1:22" x14ac:dyDescent="0.2">
      <c r="A381" s="4" t="s">
        <v>565</v>
      </c>
      <c r="B381">
        <v>380</v>
      </c>
      <c r="C381" s="4" t="s">
        <v>26</v>
      </c>
      <c r="D381" s="4" t="s">
        <v>44</v>
      </c>
      <c r="E381" s="4" t="s">
        <v>32</v>
      </c>
      <c r="F381" s="4" t="s">
        <v>1680</v>
      </c>
      <c r="G381">
        <v>11</v>
      </c>
      <c r="H381">
        <v>52</v>
      </c>
      <c r="I381" s="4" t="s">
        <v>1710</v>
      </c>
      <c r="J381" s="4" t="s">
        <v>956</v>
      </c>
      <c r="K381" s="4" t="s">
        <v>112</v>
      </c>
      <c r="L381" s="4" t="s">
        <v>113</v>
      </c>
      <c r="M381" s="4" t="s">
        <v>108</v>
      </c>
      <c r="N381" s="4" t="s">
        <v>127</v>
      </c>
      <c r="O381" s="4" t="s">
        <v>128</v>
      </c>
      <c r="P381">
        <v>23</v>
      </c>
      <c r="Q381">
        <v>23</v>
      </c>
      <c r="R381" s="4" t="s">
        <v>158</v>
      </c>
      <c r="S381">
        <v>31.45</v>
      </c>
      <c r="T381">
        <v>723.35</v>
      </c>
      <c r="U381">
        <v>604.21</v>
      </c>
      <c r="V381" s="4" t="s">
        <v>30</v>
      </c>
    </row>
    <row r="382" spans="1:22" x14ac:dyDescent="0.2">
      <c r="A382" s="4" t="s">
        <v>566</v>
      </c>
      <c r="B382">
        <v>381</v>
      </c>
      <c r="C382" s="4" t="s">
        <v>26</v>
      </c>
      <c r="D382" s="4" t="s">
        <v>44</v>
      </c>
      <c r="E382" s="4" t="s">
        <v>32</v>
      </c>
      <c r="F382" s="4" t="s">
        <v>1680</v>
      </c>
      <c r="G382">
        <v>11</v>
      </c>
      <c r="H382">
        <v>52</v>
      </c>
      <c r="I382" s="4" t="s">
        <v>1709</v>
      </c>
      <c r="J382" s="4" t="s">
        <v>962</v>
      </c>
      <c r="K382" s="4" t="s">
        <v>112</v>
      </c>
      <c r="L382" s="4" t="s">
        <v>113</v>
      </c>
      <c r="M382" s="4" t="s">
        <v>108</v>
      </c>
      <c r="N382" s="4" t="s">
        <v>129</v>
      </c>
      <c r="O382" s="4" t="s">
        <v>130</v>
      </c>
      <c r="P382">
        <v>26</v>
      </c>
      <c r="Q382">
        <v>26</v>
      </c>
      <c r="R382" s="4" t="s">
        <v>158</v>
      </c>
      <c r="S382">
        <v>91.58</v>
      </c>
      <c r="T382">
        <v>2381.08</v>
      </c>
      <c r="U382">
        <v>2183.7399999999998</v>
      </c>
      <c r="V382" s="4" t="s">
        <v>30</v>
      </c>
    </row>
    <row r="383" spans="1:22" x14ac:dyDescent="0.2">
      <c r="A383" s="4" t="s">
        <v>567</v>
      </c>
      <c r="B383">
        <v>382</v>
      </c>
      <c r="C383" s="4" t="s">
        <v>26</v>
      </c>
      <c r="D383" s="4" t="s">
        <v>44</v>
      </c>
      <c r="E383" s="4" t="s">
        <v>32</v>
      </c>
      <c r="F383" s="4" t="s">
        <v>1680</v>
      </c>
      <c r="G383">
        <v>11</v>
      </c>
      <c r="H383">
        <v>52</v>
      </c>
      <c r="I383" s="4" t="s">
        <v>1710</v>
      </c>
      <c r="J383" s="4" t="s">
        <v>962</v>
      </c>
      <c r="K383" s="4" t="s">
        <v>112</v>
      </c>
      <c r="L383" s="4" t="s">
        <v>113</v>
      </c>
      <c r="M383" s="4" t="s">
        <v>108</v>
      </c>
      <c r="N383" s="4" t="s">
        <v>131</v>
      </c>
      <c r="O383" s="4" t="s">
        <v>132</v>
      </c>
      <c r="P383">
        <v>29</v>
      </c>
      <c r="Q383">
        <v>29</v>
      </c>
      <c r="R383" s="4" t="s">
        <v>158</v>
      </c>
      <c r="S383">
        <v>67.069999999999993</v>
      </c>
      <c r="T383">
        <v>1945.03</v>
      </c>
      <c r="U383">
        <v>1763.78</v>
      </c>
      <c r="V383" s="4" t="s">
        <v>30</v>
      </c>
    </row>
    <row r="384" spans="1:22" x14ac:dyDescent="0.2">
      <c r="A384" s="4" t="s">
        <v>568</v>
      </c>
      <c r="B384">
        <v>383</v>
      </c>
      <c r="C384" s="4" t="s">
        <v>26</v>
      </c>
      <c r="D384" s="4" t="s">
        <v>44</v>
      </c>
      <c r="E384" s="4" t="s">
        <v>32</v>
      </c>
      <c r="F384" s="4" t="s">
        <v>1680</v>
      </c>
      <c r="G384">
        <v>11</v>
      </c>
      <c r="H384">
        <v>52</v>
      </c>
      <c r="I384" s="4" t="s">
        <v>1711</v>
      </c>
      <c r="J384" s="4" t="s">
        <v>956</v>
      </c>
      <c r="K384" s="4" t="s">
        <v>114</v>
      </c>
      <c r="L384" s="4" t="s">
        <v>115</v>
      </c>
      <c r="M384" s="4" t="s">
        <v>108</v>
      </c>
      <c r="N384" s="4" t="s">
        <v>127</v>
      </c>
      <c r="O384" s="4" t="s">
        <v>128</v>
      </c>
      <c r="P384">
        <v>27</v>
      </c>
      <c r="Q384">
        <v>27</v>
      </c>
      <c r="R384" s="4" t="s">
        <v>158</v>
      </c>
      <c r="S384">
        <v>31.45</v>
      </c>
      <c r="T384">
        <v>849.15</v>
      </c>
      <c r="U384">
        <v>709.29</v>
      </c>
      <c r="V384" s="4" t="s">
        <v>30</v>
      </c>
    </row>
    <row r="385" spans="1:22" x14ac:dyDescent="0.2">
      <c r="A385" s="4" t="s">
        <v>569</v>
      </c>
      <c r="B385">
        <v>384</v>
      </c>
      <c r="C385" s="4" t="s">
        <v>26</v>
      </c>
      <c r="D385" s="4" t="s">
        <v>44</v>
      </c>
      <c r="E385" s="4" t="s">
        <v>32</v>
      </c>
      <c r="F385" s="4" t="s">
        <v>1680</v>
      </c>
      <c r="G385">
        <v>11</v>
      </c>
      <c r="H385">
        <v>52</v>
      </c>
      <c r="I385" s="4" t="s">
        <v>1712</v>
      </c>
      <c r="J385" s="4" t="s">
        <v>956</v>
      </c>
      <c r="K385" s="4" t="s">
        <v>114</v>
      </c>
      <c r="L385" s="4" t="s">
        <v>115</v>
      </c>
      <c r="M385" s="4" t="s">
        <v>108</v>
      </c>
      <c r="N385" s="4" t="s">
        <v>131</v>
      </c>
      <c r="O385" s="4" t="s">
        <v>132</v>
      </c>
      <c r="P385">
        <v>28</v>
      </c>
      <c r="Q385">
        <v>28</v>
      </c>
      <c r="R385" s="4" t="s">
        <v>158</v>
      </c>
      <c r="S385">
        <v>67.069999999999993</v>
      </c>
      <c r="T385">
        <v>1877.96</v>
      </c>
      <c r="U385">
        <v>1702.96</v>
      </c>
      <c r="V385" s="4" t="s">
        <v>30</v>
      </c>
    </row>
    <row r="386" spans="1:22" x14ac:dyDescent="0.2">
      <c r="A386" s="4" t="s">
        <v>570</v>
      </c>
      <c r="B386">
        <v>385</v>
      </c>
      <c r="C386" s="4" t="s">
        <v>26</v>
      </c>
      <c r="D386" s="4" t="s">
        <v>44</v>
      </c>
      <c r="E386" s="4" t="s">
        <v>32</v>
      </c>
      <c r="F386" s="4" t="s">
        <v>1680</v>
      </c>
      <c r="G386">
        <v>11</v>
      </c>
      <c r="H386">
        <v>52</v>
      </c>
      <c r="I386" s="4" t="s">
        <v>1713</v>
      </c>
      <c r="J386" s="4" t="s">
        <v>956</v>
      </c>
      <c r="K386" s="4" t="s">
        <v>116</v>
      </c>
      <c r="L386" s="4" t="s">
        <v>117</v>
      </c>
      <c r="M386" s="4" t="s">
        <v>108</v>
      </c>
      <c r="N386" s="4" t="s">
        <v>129</v>
      </c>
      <c r="O386" s="4" t="s">
        <v>130</v>
      </c>
      <c r="P386">
        <v>26</v>
      </c>
      <c r="Q386">
        <v>26</v>
      </c>
      <c r="R386" s="4" t="s">
        <v>158</v>
      </c>
      <c r="S386">
        <v>91.58</v>
      </c>
      <c r="T386">
        <v>2381.08</v>
      </c>
      <c r="U386">
        <v>2183.7399999999998</v>
      </c>
      <c r="V386" s="4" t="s">
        <v>30</v>
      </c>
    </row>
    <row r="387" spans="1:22" x14ac:dyDescent="0.2">
      <c r="A387" s="4" t="s">
        <v>571</v>
      </c>
      <c r="B387">
        <v>386</v>
      </c>
      <c r="C387" s="4" t="s">
        <v>26</v>
      </c>
      <c r="D387" s="4" t="s">
        <v>44</v>
      </c>
      <c r="E387" s="4" t="s">
        <v>35</v>
      </c>
      <c r="F387" s="4" t="s">
        <v>1715</v>
      </c>
      <c r="G387">
        <v>11</v>
      </c>
      <c r="H387">
        <v>53</v>
      </c>
      <c r="I387" s="4" t="s">
        <v>1739</v>
      </c>
      <c r="J387" s="4" t="s">
        <v>956</v>
      </c>
      <c r="K387" s="4" t="s">
        <v>112</v>
      </c>
      <c r="L387" s="4" t="s">
        <v>113</v>
      </c>
      <c r="M387" s="4" t="s">
        <v>108</v>
      </c>
      <c r="N387" s="4" t="s">
        <v>122</v>
      </c>
      <c r="O387" s="4" t="s">
        <v>123</v>
      </c>
      <c r="P387">
        <v>18</v>
      </c>
      <c r="Q387">
        <v>18</v>
      </c>
      <c r="R387" s="4" t="s">
        <v>158</v>
      </c>
      <c r="S387">
        <v>28.18</v>
      </c>
      <c r="T387">
        <v>507.24</v>
      </c>
      <c r="U387">
        <v>419.76</v>
      </c>
      <c r="V387" s="4" t="s">
        <v>30</v>
      </c>
    </row>
    <row r="388" spans="1:22" x14ac:dyDescent="0.2">
      <c r="A388" s="4" t="s">
        <v>572</v>
      </c>
      <c r="B388">
        <v>387</v>
      </c>
      <c r="C388" s="4" t="s">
        <v>26</v>
      </c>
      <c r="D388" s="4" t="s">
        <v>44</v>
      </c>
      <c r="E388" s="4" t="s">
        <v>35</v>
      </c>
      <c r="F388" s="4" t="s">
        <v>1715</v>
      </c>
      <c r="G388">
        <v>11</v>
      </c>
      <c r="H388">
        <v>53</v>
      </c>
      <c r="I388" s="4" t="s">
        <v>1739</v>
      </c>
      <c r="J388" s="4" t="s">
        <v>964</v>
      </c>
      <c r="K388" s="4" t="s">
        <v>112</v>
      </c>
      <c r="L388" s="4" t="s">
        <v>113</v>
      </c>
      <c r="M388" s="4" t="s">
        <v>108</v>
      </c>
      <c r="N388" s="4" t="s">
        <v>125</v>
      </c>
      <c r="O388" s="4" t="s">
        <v>126</v>
      </c>
      <c r="P388">
        <v>25</v>
      </c>
      <c r="Q388">
        <v>25</v>
      </c>
      <c r="R388" s="4" t="s">
        <v>158</v>
      </c>
      <c r="S388">
        <v>79.87</v>
      </c>
      <c r="T388">
        <v>1996.75</v>
      </c>
      <c r="U388">
        <v>1828</v>
      </c>
      <c r="V388" s="4" t="s">
        <v>30</v>
      </c>
    </row>
    <row r="389" spans="1:22" x14ac:dyDescent="0.2">
      <c r="A389" s="4" t="s">
        <v>573</v>
      </c>
      <c r="B389">
        <v>388</v>
      </c>
      <c r="C389" s="4" t="s">
        <v>26</v>
      </c>
      <c r="D389" s="4" t="s">
        <v>44</v>
      </c>
      <c r="E389" s="4" t="s">
        <v>35</v>
      </c>
      <c r="F389" s="4" t="s">
        <v>1715</v>
      </c>
      <c r="G389">
        <v>11</v>
      </c>
      <c r="H389">
        <v>53</v>
      </c>
      <c r="I389" s="4" t="s">
        <v>1740</v>
      </c>
      <c r="J389" s="4" t="s">
        <v>956</v>
      </c>
      <c r="K389" s="4" t="s">
        <v>114</v>
      </c>
      <c r="L389" s="4" t="s">
        <v>115</v>
      </c>
      <c r="M389" s="4" t="s">
        <v>108</v>
      </c>
      <c r="N389" s="4" t="s">
        <v>131</v>
      </c>
      <c r="O389" s="4" t="s">
        <v>132</v>
      </c>
      <c r="P389">
        <v>23</v>
      </c>
      <c r="Q389">
        <v>23</v>
      </c>
      <c r="R389" s="4" t="s">
        <v>158</v>
      </c>
      <c r="S389">
        <v>67.069999999999993</v>
      </c>
      <c r="T389">
        <v>1542.61</v>
      </c>
      <c r="U389">
        <v>1398.86</v>
      </c>
      <c r="V389" s="4" t="s">
        <v>30</v>
      </c>
    </row>
    <row r="390" spans="1:22" x14ac:dyDescent="0.2">
      <c r="A390" s="4" t="s">
        <v>574</v>
      </c>
      <c r="B390">
        <v>389</v>
      </c>
      <c r="C390" s="4" t="s">
        <v>26</v>
      </c>
      <c r="D390" s="4" t="s">
        <v>44</v>
      </c>
      <c r="E390" s="4" t="s">
        <v>35</v>
      </c>
      <c r="F390" s="4" t="s">
        <v>1715</v>
      </c>
      <c r="G390">
        <v>11</v>
      </c>
      <c r="H390">
        <v>53</v>
      </c>
      <c r="I390" s="4" t="s">
        <v>1740</v>
      </c>
      <c r="J390" s="4" t="s">
        <v>962</v>
      </c>
      <c r="K390" s="4" t="s">
        <v>114</v>
      </c>
      <c r="L390" s="4" t="s">
        <v>115</v>
      </c>
      <c r="M390" s="4" t="s">
        <v>108</v>
      </c>
      <c r="N390" s="4" t="s">
        <v>131</v>
      </c>
      <c r="O390" s="4" t="s">
        <v>132</v>
      </c>
      <c r="P390">
        <v>9</v>
      </c>
      <c r="Q390">
        <v>9</v>
      </c>
      <c r="R390" s="4" t="s">
        <v>158</v>
      </c>
      <c r="S390">
        <v>67.069999999999993</v>
      </c>
      <c r="T390">
        <v>603.63</v>
      </c>
      <c r="U390">
        <v>547.38</v>
      </c>
      <c r="V390" s="4" t="s">
        <v>30</v>
      </c>
    </row>
    <row r="391" spans="1:22" x14ac:dyDescent="0.2">
      <c r="A391" s="4" t="s">
        <v>575</v>
      </c>
      <c r="B391">
        <v>390</v>
      </c>
      <c r="C391" s="4" t="s">
        <v>26</v>
      </c>
      <c r="D391" s="4" t="s">
        <v>44</v>
      </c>
      <c r="E391" s="4" t="s">
        <v>35</v>
      </c>
      <c r="F391" s="4" t="s">
        <v>1715</v>
      </c>
      <c r="G391">
        <v>11</v>
      </c>
      <c r="H391">
        <v>53</v>
      </c>
      <c r="I391" s="4" t="s">
        <v>1741</v>
      </c>
      <c r="J391" s="4" t="s">
        <v>967</v>
      </c>
      <c r="K391" s="4" t="s">
        <v>116</v>
      </c>
      <c r="L391" s="4" t="s">
        <v>117</v>
      </c>
      <c r="M391" s="4" t="s">
        <v>108</v>
      </c>
      <c r="N391" s="4" t="s">
        <v>122</v>
      </c>
      <c r="O391" s="4" t="s">
        <v>123</v>
      </c>
      <c r="P391">
        <v>78</v>
      </c>
      <c r="Q391">
        <v>78</v>
      </c>
      <c r="R391" s="4" t="s">
        <v>158</v>
      </c>
      <c r="S391">
        <v>28.18</v>
      </c>
      <c r="T391">
        <v>2198.04</v>
      </c>
      <c r="U391">
        <v>1818.96</v>
      </c>
      <c r="V391" s="4" t="s">
        <v>30</v>
      </c>
    </row>
    <row r="392" spans="1:22" x14ac:dyDescent="0.2">
      <c r="A392" s="4" t="s">
        <v>576</v>
      </c>
      <c r="B392">
        <v>391</v>
      </c>
      <c r="C392" s="4" t="s">
        <v>26</v>
      </c>
      <c r="D392" s="4" t="s">
        <v>44</v>
      </c>
      <c r="E392" s="4" t="s">
        <v>35</v>
      </c>
      <c r="F392" s="4" t="s">
        <v>1715</v>
      </c>
      <c r="G392">
        <v>11</v>
      </c>
      <c r="H392">
        <v>53</v>
      </c>
      <c r="I392" s="4" t="s">
        <v>1741</v>
      </c>
      <c r="J392" s="4" t="s">
        <v>956</v>
      </c>
      <c r="K392" s="4" t="s">
        <v>116</v>
      </c>
      <c r="L392" s="4" t="s">
        <v>117</v>
      </c>
      <c r="M392" s="4" t="s">
        <v>108</v>
      </c>
      <c r="N392" s="4" t="s">
        <v>129</v>
      </c>
      <c r="O392" s="4" t="s">
        <v>130</v>
      </c>
      <c r="P392">
        <v>20</v>
      </c>
      <c r="Q392">
        <v>20</v>
      </c>
      <c r="R392" s="4" t="s">
        <v>158</v>
      </c>
      <c r="S392">
        <v>91.58</v>
      </c>
      <c r="T392">
        <v>1831.6</v>
      </c>
      <c r="U392">
        <v>1679.8</v>
      </c>
      <c r="V392" s="4" t="s">
        <v>30</v>
      </c>
    </row>
    <row r="393" spans="1:22" x14ac:dyDescent="0.2">
      <c r="A393" s="4" t="s">
        <v>577</v>
      </c>
      <c r="B393">
        <v>392</v>
      </c>
      <c r="C393" s="4" t="s">
        <v>26</v>
      </c>
      <c r="D393" s="4" t="s">
        <v>44</v>
      </c>
      <c r="E393" s="4" t="s">
        <v>35</v>
      </c>
      <c r="F393" s="4" t="s">
        <v>1715</v>
      </c>
      <c r="G393">
        <v>11</v>
      </c>
      <c r="H393">
        <v>53</v>
      </c>
      <c r="I393" s="4" t="s">
        <v>1741</v>
      </c>
      <c r="J393" s="4" t="s">
        <v>964</v>
      </c>
      <c r="K393" s="4" t="s">
        <v>116</v>
      </c>
      <c r="L393" s="4" t="s">
        <v>117</v>
      </c>
      <c r="M393" s="4" t="s">
        <v>108</v>
      </c>
      <c r="N393" s="4" t="s">
        <v>133</v>
      </c>
      <c r="O393" s="4" t="s">
        <v>134</v>
      </c>
      <c r="P393">
        <v>31</v>
      </c>
      <c r="Q393">
        <v>31</v>
      </c>
      <c r="R393" s="4" t="s">
        <v>158</v>
      </c>
      <c r="S393">
        <v>48.5</v>
      </c>
      <c r="T393">
        <v>1503.5</v>
      </c>
      <c r="U393">
        <v>1357.8</v>
      </c>
      <c r="V393" s="4" t="s">
        <v>30</v>
      </c>
    </row>
    <row r="394" spans="1:22" x14ac:dyDescent="0.2">
      <c r="A394" s="4" t="s">
        <v>578</v>
      </c>
      <c r="B394">
        <v>393</v>
      </c>
      <c r="C394" s="4" t="s">
        <v>26</v>
      </c>
      <c r="D394" s="4" t="s">
        <v>44</v>
      </c>
      <c r="E394" s="4" t="s">
        <v>38</v>
      </c>
      <c r="F394" s="4" t="s">
        <v>1743</v>
      </c>
      <c r="G394">
        <v>11</v>
      </c>
      <c r="H394">
        <v>54</v>
      </c>
      <c r="I394" s="4" t="s">
        <v>1767</v>
      </c>
      <c r="J394" s="4" t="s">
        <v>967</v>
      </c>
      <c r="K394" s="4" t="s">
        <v>112</v>
      </c>
      <c r="L394" s="4" t="s">
        <v>113</v>
      </c>
      <c r="M394" s="4" t="s">
        <v>108</v>
      </c>
      <c r="N394" s="4" t="s">
        <v>122</v>
      </c>
      <c r="O394" s="4" t="s">
        <v>123</v>
      </c>
      <c r="P394">
        <v>56</v>
      </c>
      <c r="Q394">
        <v>56</v>
      </c>
      <c r="R394" s="4" t="s">
        <v>158</v>
      </c>
      <c r="S394">
        <v>28.18</v>
      </c>
      <c r="T394">
        <v>1578.08</v>
      </c>
      <c r="U394">
        <v>1305.92</v>
      </c>
      <c r="V394" s="4" t="s">
        <v>30</v>
      </c>
    </row>
    <row r="395" spans="1:22" x14ac:dyDescent="0.2">
      <c r="A395" s="4" t="s">
        <v>579</v>
      </c>
      <c r="B395">
        <v>394</v>
      </c>
      <c r="C395" s="4" t="s">
        <v>26</v>
      </c>
      <c r="D395" s="4" t="s">
        <v>44</v>
      </c>
      <c r="E395" s="4" t="s">
        <v>38</v>
      </c>
      <c r="F395" s="4" t="s">
        <v>1743</v>
      </c>
      <c r="G395">
        <v>11</v>
      </c>
      <c r="H395">
        <v>54</v>
      </c>
      <c r="I395" s="4" t="s">
        <v>1767</v>
      </c>
      <c r="J395" s="4" t="s">
        <v>962</v>
      </c>
      <c r="K395" s="4" t="s">
        <v>112</v>
      </c>
      <c r="L395" s="4" t="s">
        <v>113</v>
      </c>
      <c r="M395" s="4" t="s">
        <v>108</v>
      </c>
      <c r="N395" s="4" t="s">
        <v>122</v>
      </c>
      <c r="O395" s="4" t="s">
        <v>123</v>
      </c>
      <c r="P395">
        <v>53</v>
      </c>
      <c r="Q395">
        <v>53</v>
      </c>
      <c r="R395" s="4" t="s">
        <v>158</v>
      </c>
      <c r="S395">
        <v>28.18</v>
      </c>
      <c r="T395">
        <v>1493.54</v>
      </c>
      <c r="U395">
        <v>1235.96</v>
      </c>
      <c r="V395" s="4" t="s">
        <v>30</v>
      </c>
    </row>
    <row r="396" spans="1:22" x14ac:dyDescent="0.2">
      <c r="A396" s="4" t="s">
        <v>580</v>
      </c>
      <c r="B396">
        <v>395</v>
      </c>
      <c r="C396" s="4" t="s">
        <v>26</v>
      </c>
      <c r="D396" s="4" t="s">
        <v>44</v>
      </c>
      <c r="E396" s="4" t="s">
        <v>38</v>
      </c>
      <c r="F396" s="4" t="s">
        <v>1743</v>
      </c>
      <c r="G396">
        <v>11</v>
      </c>
      <c r="H396">
        <v>54</v>
      </c>
      <c r="I396" s="4" t="s">
        <v>1767</v>
      </c>
      <c r="J396" s="4" t="s">
        <v>956</v>
      </c>
      <c r="K396" s="4" t="s">
        <v>112</v>
      </c>
      <c r="L396" s="4" t="s">
        <v>113</v>
      </c>
      <c r="M396" s="4" t="s">
        <v>108</v>
      </c>
      <c r="N396" s="4" t="s">
        <v>125</v>
      </c>
      <c r="O396" s="4" t="s">
        <v>126</v>
      </c>
      <c r="P396">
        <v>6</v>
      </c>
      <c r="Q396">
        <v>6</v>
      </c>
      <c r="R396" s="4" t="s">
        <v>158</v>
      </c>
      <c r="S396">
        <v>79.87</v>
      </c>
      <c r="T396">
        <v>479.22</v>
      </c>
      <c r="U396">
        <v>438.72</v>
      </c>
      <c r="V396" s="4" t="s">
        <v>30</v>
      </c>
    </row>
    <row r="397" spans="1:22" x14ac:dyDescent="0.2">
      <c r="A397" s="4" t="s">
        <v>581</v>
      </c>
      <c r="B397">
        <v>396</v>
      </c>
      <c r="C397" s="4" t="s">
        <v>26</v>
      </c>
      <c r="D397" s="4" t="s">
        <v>44</v>
      </c>
      <c r="E397" s="4" t="s">
        <v>38</v>
      </c>
      <c r="F397" s="4" t="s">
        <v>1743</v>
      </c>
      <c r="G397">
        <v>11</v>
      </c>
      <c r="H397">
        <v>54</v>
      </c>
      <c r="I397" s="4" t="s">
        <v>1767</v>
      </c>
      <c r="J397" s="4" t="s">
        <v>964</v>
      </c>
      <c r="K397" s="4" t="s">
        <v>112</v>
      </c>
      <c r="L397" s="4" t="s">
        <v>113</v>
      </c>
      <c r="M397" s="4" t="s">
        <v>108</v>
      </c>
      <c r="N397" s="4" t="s">
        <v>127</v>
      </c>
      <c r="O397" s="4" t="s">
        <v>128</v>
      </c>
      <c r="P397">
        <v>75</v>
      </c>
      <c r="Q397">
        <v>75</v>
      </c>
      <c r="R397" s="4" t="s">
        <v>158</v>
      </c>
      <c r="S397">
        <v>31.45</v>
      </c>
      <c r="T397">
        <v>2358.75</v>
      </c>
      <c r="U397">
        <v>1970.25</v>
      </c>
      <c r="V397" s="4" t="s">
        <v>30</v>
      </c>
    </row>
    <row r="398" spans="1:22" x14ac:dyDescent="0.2">
      <c r="A398" s="4" t="s">
        <v>582</v>
      </c>
      <c r="B398">
        <v>397</v>
      </c>
      <c r="C398" s="4" t="s">
        <v>26</v>
      </c>
      <c r="D398" s="4" t="s">
        <v>44</v>
      </c>
      <c r="E398" s="4" t="s">
        <v>38</v>
      </c>
      <c r="F398" s="4" t="s">
        <v>1743</v>
      </c>
      <c r="G398">
        <v>11</v>
      </c>
      <c r="H398">
        <v>54</v>
      </c>
      <c r="I398" s="4" t="s">
        <v>1767</v>
      </c>
      <c r="J398" s="4" t="s">
        <v>1005</v>
      </c>
      <c r="K398" s="4" t="s">
        <v>112</v>
      </c>
      <c r="L398" s="4" t="s">
        <v>113</v>
      </c>
      <c r="M398" s="4" t="s">
        <v>108</v>
      </c>
      <c r="N398" s="4" t="s">
        <v>133</v>
      </c>
      <c r="O398" s="4" t="s">
        <v>134</v>
      </c>
      <c r="P398">
        <v>45</v>
      </c>
      <c r="Q398">
        <v>45</v>
      </c>
      <c r="R398" s="4" t="s">
        <v>158</v>
      </c>
      <c r="S398">
        <v>48.5</v>
      </c>
      <c r="T398">
        <v>2182.5</v>
      </c>
      <c r="U398">
        <v>1971</v>
      </c>
      <c r="V398" s="4" t="s">
        <v>30</v>
      </c>
    </row>
    <row r="399" spans="1:22" x14ac:dyDescent="0.2">
      <c r="A399" s="4" t="s">
        <v>583</v>
      </c>
      <c r="B399">
        <v>398</v>
      </c>
      <c r="C399" s="4" t="s">
        <v>26</v>
      </c>
      <c r="D399" s="4" t="s">
        <v>44</v>
      </c>
      <c r="E399" s="4" t="s">
        <v>38</v>
      </c>
      <c r="F399" s="4" t="s">
        <v>1743</v>
      </c>
      <c r="G399">
        <v>11</v>
      </c>
      <c r="H399">
        <v>54</v>
      </c>
      <c r="I399" s="4" t="s">
        <v>1768</v>
      </c>
      <c r="J399" s="4" t="s">
        <v>956</v>
      </c>
      <c r="K399" s="4" t="s">
        <v>112</v>
      </c>
      <c r="L399" s="4" t="s">
        <v>113</v>
      </c>
      <c r="M399" s="4" t="s">
        <v>108</v>
      </c>
      <c r="N399" s="4" t="s">
        <v>133</v>
      </c>
      <c r="O399" s="4" t="s">
        <v>134</v>
      </c>
      <c r="P399">
        <v>32</v>
      </c>
      <c r="Q399">
        <v>32</v>
      </c>
      <c r="R399" s="4" t="s">
        <v>158</v>
      </c>
      <c r="S399">
        <v>48.5</v>
      </c>
      <c r="T399">
        <v>1552</v>
      </c>
      <c r="U399">
        <v>1401.6</v>
      </c>
      <c r="V399" s="4" t="s">
        <v>30</v>
      </c>
    </row>
    <row r="400" spans="1:22" x14ac:dyDescent="0.2">
      <c r="A400" s="4" t="s">
        <v>584</v>
      </c>
      <c r="B400">
        <v>399</v>
      </c>
      <c r="C400" s="4" t="s">
        <v>26</v>
      </c>
      <c r="D400" s="4" t="s">
        <v>44</v>
      </c>
      <c r="E400" s="4" t="s">
        <v>38</v>
      </c>
      <c r="F400" s="4" t="s">
        <v>1743</v>
      </c>
      <c r="G400">
        <v>11</v>
      </c>
      <c r="H400">
        <v>54</v>
      </c>
      <c r="I400" s="4" t="s">
        <v>1769</v>
      </c>
      <c r="J400" s="4" t="s">
        <v>964</v>
      </c>
      <c r="K400" s="4" t="s">
        <v>114</v>
      </c>
      <c r="L400" s="4" t="s">
        <v>115</v>
      </c>
      <c r="M400" s="4" t="s">
        <v>108</v>
      </c>
      <c r="N400" s="4" t="s">
        <v>127</v>
      </c>
      <c r="O400" s="4" t="s">
        <v>128</v>
      </c>
      <c r="P400">
        <v>56</v>
      </c>
      <c r="Q400">
        <v>56</v>
      </c>
      <c r="R400" s="4" t="s">
        <v>158</v>
      </c>
      <c r="S400">
        <v>31.45</v>
      </c>
      <c r="T400">
        <v>1761.2</v>
      </c>
      <c r="U400">
        <v>1471.12</v>
      </c>
      <c r="V400" s="4" t="s">
        <v>30</v>
      </c>
    </row>
    <row r="401" spans="1:22" x14ac:dyDescent="0.2">
      <c r="A401" s="4" t="s">
        <v>585</v>
      </c>
      <c r="B401">
        <v>400</v>
      </c>
      <c r="C401" s="4" t="s">
        <v>26</v>
      </c>
      <c r="D401" s="4" t="s">
        <v>44</v>
      </c>
      <c r="E401" s="4" t="s">
        <v>38</v>
      </c>
      <c r="F401" s="4" t="s">
        <v>1743</v>
      </c>
      <c r="G401">
        <v>11</v>
      </c>
      <c r="H401">
        <v>54</v>
      </c>
      <c r="I401" s="4" t="s">
        <v>1769</v>
      </c>
      <c r="J401" s="4" t="s">
        <v>956</v>
      </c>
      <c r="K401" s="4" t="s">
        <v>114</v>
      </c>
      <c r="L401" s="4" t="s">
        <v>115</v>
      </c>
      <c r="M401" s="4" t="s">
        <v>108</v>
      </c>
      <c r="N401" s="4" t="s">
        <v>127</v>
      </c>
      <c r="O401" s="4" t="s">
        <v>128</v>
      </c>
      <c r="P401">
        <v>64</v>
      </c>
      <c r="Q401">
        <v>64</v>
      </c>
      <c r="R401" s="4" t="s">
        <v>158</v>
      </c>
      <c r="S401">
        <v>31.45</v>
      </c>
      <c r="T401">
        <v>2012.8</v>
      </c>
      <c r="U401">
        <v>1681.28</v>
      </c>
      <c r="V401" s="4" t="s">
        <v>30</v>
      </c>
    </row>
    <row r="402" spans="1:22" x14ac:dyDescent="0.2">
      <c r="A402" s="4" t="s">
        <v>586</v>
      </c>
      <c r="B402">
        <v>401</v>
      </c>
      <c r="C402" s="4" t="s">
        <v>26</v>
      </c>
      <c r="D402" s="4" t="s">
        <v>44</v>
      </c>
      <c r="E402" s="4" t="s">
        <v>38</v>
      </c>
      <c r="F402" s="4" t="s">
        <v>1743</v>
      </c>
      <c r="G402">
        <v>11</v>
      </c>
      <c r="H402">
        <v>54</v>
      </c>
      <c r="I402" s="4" t="s">
        <v>1769</v>
      </c>
      <c r="J402" s="4" t="s">
        <v>962</v>
      </c>
      <c r="K402" s="4" t="s">
        <v>114</v>
      </c>
      <c r="L402" s="4" t="s">
        <v>115</v>
      </c>
      <c r="M402" s="4" t="s">
        <v>108</v>
      </c>
      <c r="N402" s="4" t="s">
        <v>131</v>
      </c>
      <c r="O402" s="4" t="s">
        <v>132</v>
      </c>
      <c r="P402">
        <v>36</v>
      </c>
      <c r="Q402">
        <v>36</v>
      </c>
      <c r="R402" s="4" t="s">
        <v>158</v>
      </c>
      <c r="S402">
        <v>67.069999999999993</v>
      </c>
      <c r="T402">
        <v>2414.52</v>
      </c>
      <c r="U402">
        <v>2189.52</v>
      </c>
      <c r="V402" s="4" t="s">
        <v>30</v>
      </c>
    </row>
    <row r="403" spans="1:22" x14ac:dyDescent="0.2">
      <c r="A403" s="4" t="s">
        <v>587</v>
      </c>
      <c r="B403">
        <v>402</v>
      </c>
      <c r="C403" s="4" t="s">
        <v>26</v>
      </c>
      <c r="D403" s="4" t="s">
        <v>44</v>
      </c>
      <c r="E403" s="4" t="s">
        <v>38</v>
      </c>
      <c r="F403" s="4" t="s">
        <v>1743</v>
      </c>
      <c r="G403">
        <v>11</v>
      </c>
      <c r="H403">
        <v>54</v>
      </c>
      <c r="I403" s="4" t="s">
        <v>1770</v>
      </c>
      <c r="J403" s="4" t="s">
        <v>956</v>
      </c>
      <c r="K403" s="4" t="s">
        <v>116</v>
      </c>
      <c r="L403" s="4" t="s">
        <v>117</v>
      </c>
      <c r="M403" s="4" t="s">
        <v>108</v>
      </c>
      <c r="N403" s="4" t="s">
        <v>129</v>
      </c>
      <c r="O403" s="4" t="s">
        <v>130</v>
      </c>
      <c r="P403">
        <v>18</v>
      </c>
      <c r="Q403">
        <v>18</v>
      </c>
      <c r="R403" s="4" t="s">
        <v>158</v>
      </c>
      <c r="S403">
        <v>91.58</v>
      </c>
      <c r="T403">
        <v>1648.44</v>
      </c>
      <c r="U403">
        <v>1511.82</v>
      </c>
      <c r="V403" s="4" t="s">
        <v>30</v>
      </c>
    </row>
    <row r="404" spans="1:22" x14ac:dyDescent="0.2">
      <c r="A404" s="4" t="s">
        <v>588</v>
      </c>
      <c r="B404">
        <v>403</v>
      </c>
      <c r="C404" s="4" t="s">
        <v>26</v>
      </c>
      <c r="D404" s="4" t="s">
        <v>44</v>
      </c>
      <c r="E404" s="4" t="s">
        <v>38</v>
      </c>
      <c r="F404" s="4" t="s">
        <v>1743</v>
      </c>
      <c r="G404">
        <v>11</v>
      </c>
      <c r="H404">
        <v>54</v>
      </c>
      <c r="I404" s="4" t="s">
        <v>1770</v>
      </c>
      <c r="J404" s="4" t="s">
        <v>962</v>
      </c>
      <c r="K404" s="4" t="s">
        <v>116</v>
      </c>
      <c r="L404" s="4" t="s">
        <v>117</v>
      </c>
      <c r="M404" s="4" t="s">
        <v>108</v>
      </c>
      <c r="N404" s="4" t="s">
        <v>129</v>
      </c>
      <c r="O404" s="4" t="s">
        <v>130</v>
      </c>
      <c r="P404">
        <v>8</v>
      </c>
      <c r="Q404">
        <v>8</v>
      </c>
      <c r="R404" s="4" t="s">
        <v>158</v>
      </c>
      <c r="S404">
        <v>91.58</v>
      </c>
      <c r="T404">
        <v>732.64</v>
      </c>
      <c r="U404">
        <v>671.92</v>
      </c>
      <c r="V404" s="4" t="s">
        <v>30</v>
      </c>
    </row>
    <row r="405" spans="1:22" x14ac:dyDescent="0.2">
      <c r="A405" s="4" t="s">
        <v>589</v>
      </c>
      <c r="B405">
        <v>404</v>
      </c>
      <c r="C405" s="4" t="s">
        <v>26</v>
      </c>
      <c r="D405" s="4" t="s">
        <v>44</v>
      </c>
      <c r="E405" s="4" t="s">
        <v>38</v>
      </c>
      <c r="F405" s="4" t="s">
        <v>1743</v>
      </c>
      <c r="G405">
        <v>11</v>
      </c>
      <c r="H405">
        <v>54</v>
      </c>
      <c r="I405" s="4" t="s">
        <v>1771</v>
      </c>
      <c r="J405" s="4" t="s">
        <v>956</v>
      </c>
      <c r="K405" s="4" t="s">
        <v>116</v>
      </c>
      <c r="L405" s="4" t="s">
        <v>117</v>
      </c>
      <c r="M405" s="4" t="s">
        <v>108</v>
      </c>
      <c r="N405" s="4" t="s">
        <v>131</v>
      </c>
      <c r="O405" s="4" t="s">
        <v>132</v>
      </c>
      <c r="P405">
        <v>23</v>
      </c>
      <c r="Q405">
        <v>23</v>
      </c>
      <c r="R405" s="4" t="s">
        <v>158</v>
      </c>
      <c r="S405">
        <v>67.069999999999993</v>
      </c>
      <c r="T405">
        <v>1542.61</v>
      </c>
      <c r="U405">
        <v>1398.86</v>
      </c>
      <c r="V405" s="4" t="s">
        <v>30</v>
      </c>
    </row>
    <row r="406" spans="1:22" x14ac:dyDescent="0.2">
      <c r="A406" s="4" t="s">
        <v>590</v>
      </c>
      <c r="B406">
        <v>405</v>
      </c>
      <c r="C406" s="4" t="s">
        <v>26</v>
      </c>
      <c r="D406" s="4" t="s">
        <v>44</v>
      </c>
      <c r="E406" s="4" t="s">
        <v>41</v>
      </c>
      <c r="F406" s="4" t="s">
        <v>1773</v>
      </c>
      <c r="G406">
        <v>11</v>
      </c>
      <c r="H406">
        <v>55</v>
      </c>
      <c r="I406" s="4" t="s">
        <v>1800</v>
      </c>
      <c r="J406" s="4" t="s">
        <v>956</v>
      </c>
      <c r="K406" s="4" t="s">
        <v>112</v>
      </c>
      <c r="L406" s="4" t="s">
        <v>113</v>
      </c>
      <c r="M406" s="4" t="s">
        <v>108</v>
      </c>
      <c r="N406" s="4" t="s">
        <v>122</v>
      </c>
      <c r="O406" s="4" t="s">
        <v>123</v>
      </c>
      <c r="P406">
        <v>77</v>
      </c>
      <c r="Q406">
        <v>77</v>
      </c>
      <c r="R406" s="4" t="s">
        <v>158</v>
      </c>
      <c r="S406">
        <v>28.18</v>
      </c>
      <c r="T406">
        <v>2169.86</v>
      </c>
      <c r="U406">
        <v>1795.64</v>
      </c>
      <c r="V406" s="4" t="s">
        <v>30</v>
      </c>
    </row>
    <row r="407" spans="1:22" x14ac:dyDescent="0.2">
      <c r="A407" s="4" t="s">
        <v>591</v>
      </c>
      <c r="B407">
        <v>406</v>
      </c>
      <c r="C407" s="4" t="s">
        <v>26</v>
      </c>
      <c r="D407" s="4" t="s">
        <v>44</v>
      </c>
      <c r="E407" s="4" t="s">
        <v>41</v>
      </c>
      <c r="F407" s="4" t="s">
        <v>1773</v>
      </c>
      <c r="G407">
        <v>11</v>
      </c>
      <c r="H407">
        <v>55</v>
      </c>
      <c r="I407" s="4" t="s">
        <v>1799</v>
      </c>
      <c r="J407" s="4" t="s">
        <v>956</v>
      </c>
      <c r="K407" s="4" t="s">
        <v>112</v>
      </c>
      <c r="L407" s="4" t="s">
        <v>113</v>
      </c>
      <c r="M407" s="4" t="s">
        <v>108</v>
      </c>
      <c r="N407" s="4" t="s">
        <v>122</v>
      </c>
      <c r="O407" s="4" t="s">
        <v>123</v>
      </c>
      <c r="P407">
        <v>78</v>
      </c>
      <c r="Q407">
        <v>78</v>
      </c>
      <c r="R407" s="4" t="s">
        <v>158</v>
      </c>
      <c r="S407">
        <v>28.18</v>
      </c>
      <c r="T407">
        <v>2198.04</v>
      </c>
      <c r="U407">
        <v>1818.96</v>
      </c>
      <c r="V407" s="4" t="s">
        <v>30</v>
      </c>
    </row>
    <row r="408" spans="1:22" x14ac:dyDescent="0.2">
      <c r="A408" s="4" t="s">
        <v>592</v>
      </c>
      <c r="B408">
        <v>407</v>
      </c>
      <c r="C408" s="4" t="s">
        <v>26</v>
      </c>
      <c r="D408" s="4" t="s">
        <v>44</v>
      </c>
      <c r="E408" s="4" t="s">
        <v>41</v>
      </c>
      <c r="F408" s="4" t="s">
        <v>1773</v>
      </c>
      <c r="G408">
        <v>11</v>
      </c>
      <c r="H408">
        <v>55</v>
      </c>
      <c r="I408" s="4" t="s">
        <v>1800</v>
      </c>
      <c r="J408" s="4" t="s">
        <v>962</v>
      </c>
      <c r="K408" s="4" t="s">
        <v>112</v>
      </c>
      <c r="L408" s="4" t="s">
        <v>113</v>
      </c>
      <c r="M408" s="4" t="s">
        <v>108</v>
      </c>
      <c r="N408" s="4" t="s">
        <v>131</v>
      </c>
      <c r="O408" s="4" t="s">
        <v>132</v>
      </c>
      <c r="P408">
        <v>26</v>
      </c>
      <c r="Q408">
        <v>26</v>
      </c>
      <c r="R408" s="4" t="s">
        <v>158</v>
      </c>
      <c r="S408">
        <v>67.069999999999993</v>
      </c>
      <c r="T408">
        <v>1743.82</v>
      </c>
      <c r="U408">
        <v>1581.32</v>
      </c>
      <c r="V408" s="4" t="s">
        <v>30</v>
      </c>
    </row>
    <row r="409" spans="1:22" x14ac:dyDescent="0.2">
      <c r="A409" s="4" t="s">
        <v>593</v>
      </c>
      <c r="B409">
        <v>408</v>
      </c>
      <c r="C409" s="4" t="s">
        <v>26</v>
      </c>
      <c r="D409" s="4" t="s">
        <v>44</v>
      </c>
      <c r="E409" s="4" t="s">
        <v>41</v>
      </c>
      <c r="F409" s="4" t="s">
        <v>1773</v>
      </c>
      <c r="G409">
        <v>11</v>
      </c>
      <c r="H409">
        <v>55</v>
      </c>
      <c r="I409" s="4" t="s">
        <v>1801</v>
      </c>
      <c r="J409" s="4" t="s">
        <v>956</v>
      </c>
      <c r="K409" s="4" t="s">
        <v>114</v>
      </c>
      <c r="L409" s="4" t="s">
        <v>115</v>
      </c>
      <c r="M409" s="4" t="s">
        <v>108</v>
      </c>
      <c r="N409" s="4" t="s">
        <v>127</v>
      </c>
      <c r="O409" s="4" t="s">
        <v>128</v>
      </c>
      <c r="P409">
        <v>53</v>
      </c>
      <c r="Q409">
        <v>53</v>
      </c>
      <c r="R409" s="4" t="s">
        <v>158</v>
      </c>
      <c r="S409">
        <v>31.45</v>
      </c>
      <c r="T409">
        <v>1666.85</v>
      </c>
      <c r="U409">
        <v>1392.31</v>
      </c>
      <c r="V409" s="4" t="s">
        <v>30</v>
      </c>
    </row>
    <row r="410" spans="1:22" x14ac:dyDescent="0.2">
      <c r="A410" s="4" t="s">
        <v>594</v>
      </c>
      <c r="B410">
        <v>409</v>
      </c>
      <c r="C410" s="4" t="s">
        <v>26</v>
      </c>
      <c r="D410" s="4" t="s">
        <v>44</v>
      </c>
      <c r="E410" s="4" t="s">
        <v>41</v>
      </c>
      <c r="F410" s="4" t="s">
        <v>1773</v>
      </c>
      <c r="G410">
        <v>11</v>
      </c>
      <c r="H410">
        <v>55</v>
      </c>
      <c r="I410" s="4" t="s">
        <v>1801</v>
      </c>
      <c r="J410" s="4" t="s">
        <v>962</v>
      </c>
      <c r="K410" s="4" t="s">
        <v>114</v>
      </c>
      <c r="L410" s="4" t="s">
        <v>115</v>
      </c>
      <c r="M410" s="4" t="s">
        <v>108</v>
      </c>
      <c r="N410" s="4" t="s">
        <v>127</v>
      </c>
      <c r="O410" s="4" t="s">
        <v>128</v>
      </c>
      <c r="P410">
        <v>47</v>
      </c>
      <c r="Q410">
        <v>47</v>
      </c>
      <c r="R410" s="4" t="s">
        <v>158</v>
      </c>
      <c r="S410">
        <v>31.45</v>
      </c>
      <c r="T410">
        <v>1478.15</v>
      </c>
      <c r="U410">
        <v>1234.69</v>
      </c>
      <c r="V410" s="4" t="s">
        <v>30</v>
      </c>
    </row>
    <row r="411" spans="1:22" x14ac:dyDescent="0.2">
      <c r="A411" s="4" t="s">
        <v>595</v>
      </c>
      <c r="B411">
        <v>410</v>
      </c>
      <c r="C411" s="4" t="s">
        <v>26</v>
      </c>
      <c r="D411" s="4" t="s">
        <v>44</v>
      </c>
      <c r="E411" s="4" t="s">
        <v>41</v>
      </c>
      <c r="F411" s="4" t="s">
        <v>1773</v>
      </c>
      <c r="G411">
        <v>11</v>
      </c>
      <c r="H411">
        <v>55</v>
      </c>
      <c r="I411" s="4" t="s">
        <v>1802</v>
      </c>
      <c r="J411" s="4" t="s">
        <v>956</v>
      </c>
      <c r="K411" s="4" t="s">
        <v>114</v>
      </c>
      <c r="L411" s="4" t="s">
        <v>115</v>
      </c>
      <c r="M411" s="4" t="s">
        <v>108</v>
      </c>
      <c r="N411" s="4" t="s">
        <v>127</v>
      </c>
      <c r="O411" s="4" t="s">
        <v>128</v>
      </c>
      <c r="P411">
        <v>67</v>
      </c>
      <c r="Q411">
        <v>67</v>
      </c>
      <c r="R411" s="4" t="s">
        <v>158</v>
      </c>
      <c r="S411">
        <v>31.45</v>
      </c>
      <c r="T411">
        <v>2107.15</v>
      </c>
      <c r="U411">
        <v>1760.09</v>
      </c>
      <c r="V411" s="4" t="s">
        <v>30</v>
      </c>
    </row>
    <row r="412" spans="1:22" x14ac:dyDescent="0.2">
      <c r="A412" s="4" t="s">
        <v>596</v>
      </c>
      <c r="B412">
        <v>411</v>
      </c>
      <c r="C412" s="4" t="s">
        <v>26</v>
      </c>
      <c r="D412" s="4" t="s">
        <v>44</v>
      </c>
      <c r="E412" s="4" t="s">
        <v>41</v>
      </c>
      <c r="F412" s="4" t="s">
        <v>1773</v>
      </c>
      <c r="G412">
        <v>11</v>
      </c>
      <c r="H412">
        <v>55</v>
      </c>
      <c r="I412" s="4" t="s">
        <v>1803</v>
      </c>
      <c r="J412" s="4" t="s">
        <v>964</v>
      </c>
      <c r="K412" s="4" t="s">
        <v>116</v>
      </c>
      <c r="L412" s="4" t="s">
        <v>117</v>
      </c>
      <c r="M412" s="4" t="s">
        <v>108</v>
      </c>
      <c r="N412" s="4" t="s">
        <v>129</v>
      </c>
      <c r="O412" s="4" t="s">
        <v>130</v>
      </c>
      <c r="P412">
        <v>4</v>
      </c>
      <c r="Q412">
        <v>4</v>
      </c>
      <c r="R412" s="4" t="s">
        <v>158</v>
      </c>
      <c r="S412">
        <v>91.58</v>
      </c>
      <c r="T412">
        <v>366.32</v>
      </c>
      <c r="U412">
        <v>335.96</v>
      </c>
      <c r="V412" s="4" t="s">
        <v>30</v>
      </c>
    </row>
    <row r="413" spans="1:22" x14ac:dyDescent="0.2">
      <c r="A413" s="4" t="s">
        <v>597</v>
      </c>
      <c r="B413">
        <v>412</v>
      </c>
      <c r="C413" s="4" t="s">
        <v>26</v>
      </c>
      <c r="D413" s="4" t="s">
        <v>44</v>
      </c>
      <c r="E413" s="4" t="s">
        <v>41</v>
      </c>
      <c r="F413" s="4" t="s">
        <v>1773</v>
      </c>
      <c r="G413">
        <v>11</v>
      </c>
      <c r="H413">
        <v>55</v>
      </c>
      <c r="I413" s="4" t="s">
        <v>1803</v>
      </c>
      <c r="J413" s="4" t="s">
        <v>956</v>
      </c>
      <c r="K413" s="4" t="s">
        <v>116</v>
      </c>
      <c r="L413" s="4" t="s">
        <v>117</v>
      </c>
      <c r="M413" s="4" t="s">
        <v>108</v>
      </c>
      <c r="N413" s="4" t="s">
        <v>129</v>
      </c>
      <c r="O413" s="4" t="s">
        <v>130</v>
      </c>
      <c r="P413">
        <v>19</v>
      </c>
      <c r="Q413">
        <v>19</v>
      </c>
      <c r="R413" s="4" t="s">
        <v>158</v>
      </c>
      <c r="S413">
        <v>91.58</v>
      </c>
      <c r="T413">
        <v>1740.02</v>
      </c>
      <c r="U413">
        <v>1595.81</v>
      </c>
      <c r="V413" s="4" t="s">
        <v>30</v>
      </c>
    </row>
    <row r="414" spans="1:22" x14ac:dyDescent="0.2">
      <c r="A414" s="4" t="s">
        <v>598</v>
      </c>
      <c r="B414">
        <v>413</v>
      </c>
      <c r="C414" s="4" t="s">
        <v>26</v>
      </c>
      <c r="D414" s="4" t="s">
        <v>44</v>
      </c>
      <c r="E414" s="4" t="s">
        <v>41</v>
      </c>
      <c r="F414" s="4" t="s">
        <v>1773</v>
      </c>
      <c r="G414">
        <v>11</v>
      </c>
      <c r="H414">
        <v>55</v>
      </c>
      <c r="I414" s="4" t="s">
        <v>1803</v>
      </c>
      <c r="J414" s="4" t="s">
        <v>962</v>
      </c>
      <c r="K414" s="4" t="s">
        <v>116</v>
      </c>
      <c r="L414" s="4" t="s">
        <v>117</v>
      </c>
      <c r="M414" s="4" t="s">
        <v>108</v>
      </c>
      <c r="N414" s="4" t="s">
        <v>133</v>
      </c>
      <c r="O414" s="4" t="s">
        <v>134</v>
      </c>
      <c r="P414">
        <v>19</v>
      </c>
      <c r="Q414">
        <v>19</v>
      </c>
      <c r="R414" s="4" t="s">
        <v>158</v>
      </c>
      <c r="S414">
        <v>48.5</v>
      </c>
      <c r="T414">
        <v>921.5</v>
      </c>
      <c r="U414">
        <v>832.2</v>
      </c>
      <c r="V414" s="4" t="s">
        <v>30</v>
      </c>
    </row>
    <row r="415" spans="1:22" x14ac:dyDescent="0.2">
      <c r="A415" s="4" t="s">
        <v>599</v>
      </c>
      <c r="B415">
        <v>414</v>
      </c>
      <c r="C415" s="4" t="s">
        <v>26</v>
      </c>
      <c r="D415" s="4" t="s">
        <v>44</v>
      </c>
      <c r="E415" s="4" t="s">
        <v>44</v>
      </c>
      <c r="F415" s="4" t="s">
        <v>1798</v>
      </c>
      <c r="G415">
        <v>12</v>
      </c>
      <c r="H415">
        <v>56</v>
      </c>
      <c r="I415" s="4" t="s">
        <v>1804</v>
      </c>
      <c r="J415" s="4" t="s">
        <v>956</v>
      </c>
      <c r="K415" s="4" t="s">
        <v>112</v>
      </c>
      <c r="L415" s="4" t="s">
        <v>113</v>
      </c>
      <c r="M415" s="4" t="s">
        <v>108</v>
      </c>
      <c r="N415" s="4" t="s">
        <v>122</v>
      </c>
      <c r="O415" s="4" t="s">
        <v>123</v>
      </c>
      <c r="P415">
        <v>64</v>
      </c>
      <c r="Q415">
        <v>64</v>
      </c>
      <c r="R415" s="4" t="s">
        <v>158</v>
      </c>
      <c r="S415">
        <v>28.18</v>
      </c>
      <c r="T415">
        <v>1803.52</v>
      </c>
      <c r="U415">
        <v>1489.92</v>
      </c>
      <c r="V415" s="4" t="s">
        <v>30</v>
      </c>
    </row>
    <row r="416" spans="1:22" x14ac:dyDescent="0.2">
      <c r="A416" s="4" t="s">
        <v>600</v>
      </c>
      <c r="B416">
        <v>415</v>
      </c>
      <c r="C416" s="4" t="s">
        <v>26</v>
      </c>
      <c r="D416" s="4" t="s">
        <v>44</v>
      </c>
      <c r="E416" s="4" t="s">
        <v>44</v>
      </c>
      <c r="F416" s="4" t="s">
        <v>1798</v>
      </c>
      <c r="G416">
        <v>12</v>
      </c>
      <c r="H416">
        <v>56</v>
      </c>
      <c r="I416" s="4" t="s">
        <v>1805</v>
      </c>
      <c r="J416" s="4" t="s">
        <v>962</v>
      </c>
      <c r="K416" s="4" t="s">
        <v>112</v>
      </c>
      <c r="L416" s="4" t="s">
        <v>113</v>
      </c>
      <c r="M416" s="4" t="s">
        <v>108</v>
      </c>
      <c r="N416" s="4" t="s">
        <v>131</v>
      </c>
      <c r="O416" s="4" t="s">
        <v>132</v>
      </c>
      <c r="P416">
        <v>28</v>
      </c>
      <c r="Q416">
        <v>28</v>
      </c>
      <c r="R416" s="4" t="s">
        <v>158</v>
      </c>
      <c r="S416">
        <v>67.069999999999993</v>
      </c>
      <c r="T416">
        <v>1877.96</v>
      </c>
      <c r="U416">
        <v>1700.16</v>
      </c>
      <c r="V416" s="4" t="s">
        <v>30</v>
      </c>
    </row>
    <row r="417" spans="1:22" x14ac:dyDescent="0.2">
      <c r="A417" s="4" t="s">
        <v>601</v>
      </c>
      <c r="B417">
        <v>416</v>
      </c>
      <c r="C417" s="4" t="s">
        <v>26</v>
      </c>
      <c r="D417" s="4" t="s">
        <v>44</v>
      </c>
      <c r="E417" s="4" t="s">
        <v>44</v>
      </c>
      <c r="F417" s="4" t="s">
        <v>1798</v>
      </c>
      <c r="G417">
        <v>12</v>
      </c>
      <c r="H417">
        <v>56</v>
      </c>
      <c r="I417" s="4" t="s">
        <v>1805</v>
      </c>
      <c r="J417" s="4" t="s">
        <v>956</v>
      </c>
      <c r="K417" s="4" t="s">
        <v>112</v>
      </c>
      <c r="L417" s="4" t="s">
        <v>113</v>
      </c>
      <c r="M417" s="4" t="s">
        <v>108</v>
      </c>
      <c r="N417" s="4" t="s">
        <v>133</v>
      </c>
      <c r="O417" s="4" t="s">
        <v>134</v>
      </c>
      <c r="P417">
        <v>23</v>
      </c>
      <c r="Q417">
        <v>23</v>
      </c>
      <c r="R417" s="4" t="s">
        <v>158</v>
      </c>
      <c r="S417">
        <v>48.5</v>
      </c>
      <c r="T417">
        <v>1115.5</v>
      </c>
      <c r="U417">
        <v>1007.17</v>
      </c>
      <c r="V417" s="4" t="s">
        <v>30</v>
      </c>
    </row>
    <row r="418" spans="1:22" x14ac:dyDescent="0.2">
      <c r="A418" s="4" t="s">
        <v>602</v>
      </c>
      <c r="B418">
        <v>417</v>
      </c>
      <c r="C418" s="4" t="s">
        <v>26</v>
      </c>
      <c r="D418" s="4" t="s">
        <v>44</v>
      </c>
      <c r="E418" s="4" t="s">
        <v>44</v>
      </c>
      <c r="F418" s="4" t="s">
        <v>1798</v>
      </c>
      <c r="G418">
        <v>12</v>
      </c>
      <c r="H418">
        <v>56</v>
      </c>
      <c r="I418" s="4" t="s">
        <v>1806</v>
      </c>
      <c r="J418" s="4" t="s">
        <v>1017</v>
      </c>
      <c r="K418" s="4" t="s">
        <v>114</v>
      </c>
      <c r="L418" s="4" t="s">
        <v>115</v>
      </c>
      <c r="M418" s="4" t="s">
        <v>108</v>
      </c>
      <c r="N418" s="4" t="s">
        <v>127</v>
      </c>
      <c r="O418" s="4" t="s">
        <v>128</v>
      </c>
      <c r="P418">
        <v>70</v>
      </c>
      <c r="Q418">
        <v>70</v>
      </c>
      <c r="R418" s="4" t="s">
        <v>158</v>
      </c>
      <c r="S418">
        <v>31.45</v>
      </c>
      <c r="T418">
        <v>2201.5</v>
      </c>
      <c r="U418">
        <v>1836.1</v>
      </c>
      <c r="V418" s="4" t="s">
        <v>30</v>
      </c>
    </row>
    <row r="419" spans="1:22" x14ac:dyDescent="0.2">
      <c r="A419" s="4" t="s">
        <v>603</v>
      </c>
      <c r="B419">
        <v>418</v>
      </c>
      <c r="C419" s="4" t="s">
        <v>26</v>
      </c>
      <c r="D419" s="4" t="s">
        <v>44</v>
      </c>
      <c r="E419" s="4" t="s">
        <v>44</v>
      </c>
      <c r="F419" s="4" t="s">
        <v>1798</v>
      </c>
      <c r="G419">
        <v>12</v>
      </c>
      <c r="H419">
        <v>56</v>
      </c>
      <c r="I419" s="4" t="s">
        <v>1806</v>
      </c>
      <c r="J419" s="4" t="s">
        <v>1441</v>
      </c>
      <c r="K419" s="4" t="s">
        <v>114</v>
      </c>
      <c r="L419" s="4" t="s">
        <v>115</v>
      </c>
      <c r="M419" s="4" t="s">
        <v>108</v>
      </c>
      <c r="N419" s="4" t="s">
        <v>127</v>
      </c>
      <c r="O419" s="4" t="s">
        <v>128</v>
      </c>
      <c r="P419">
        <v>43</v>
      </c>
      <c r="Q419">
        <v>43</v>
      </c>
      <c r="R419" s="4" t="s">
        <v>158</v>
      </c>
      <c r="S419">
        <v>31.45</v>
      </c>
      <c r="T419">
        <v>1352.35</v>
      </c>
      <c r="U419">
        <v>1127.8900000000001</v>
      </c>
      <c r="V419" s="4" t="s">
        <v>30</v>
      </c>
    </row>
    <row r="420" spans="1:22" x14ac:dyDescent="0.2">
      <c r="A420" s="4" t="s">
        <v>604</v>
      </c>
      <c r="B420">
        <v>419</v>
      </c>
      <c r="C420" s="4" t="s">
        <v>26</v>
      </c>
      <c r="D420" s="4" t="s">
        <v>44</v>
      </c>
      <c r="E420" s="4" t="s">
        <v>44</v>
      </c>
      <c r="F420" s="4" t="s">
        <v>1798</v>
      </c>
      <c r="G420">
        <v>12</v>
      </c>
      <c r="H420">
        <v>56</v>
      </c>
      <c r="I420" s="4" t="s">
        <v>1806</v>
      </c>
      <c r="J420" s="4" t="s">
        <v>964</v>
      </c>
      <c r="K420" s="4" t="s">
        <v>114</v>
      </c>
      <c r="L420" s="4" t="s">
        <v>115</v>
      </c>
      <c r="M420" s="4" t="s">
        <v>108</v>
      </c>
      <c r="N420" s="4" t="s">
        <v>129</v>
      </c>
      <c r="O420" s="4" t="s">
        <v>130</v>
      </c>
      <c r="P420">
        <v>19</v>
      </c>
      <c r="Q420">
        <v>19</v>
      </c>
      <c r="R420" s="4" t="s">
        <v>158</v>
      </c>
      <c r="S420">
        <v>91.58</v>
      </c>
      <c r="T420">
        <v>1740.02</v>
      </c>
      <c r="U420">
        <v>1593.53</v>
      </c>
      <c r="V420" s="4" t="s">
        <v>30</v>
      </c>
    </row>
    <row r="421" spans="1:22" x14ac:dyDescent="0.2">
      <c r="A421" s="4" t="s">
        <v>605</v>
      </c>
      <c r="B421">
        <v>420</v>
      </c>
      <c r="C421" s="4" t="s">
        <v>26</v>
      </c>
      <c r="D421" s="4" t="s">
        <v>44</v>
      </c>
      <c r="E421" s="4" t="s">
        <v>44</v>
      </c>
      <c r="F421" s="4" t="s">
        <v>1798</v>
      </c>
      <c r="G421">
        <v>12</v>
      </c>
      <c r="H421">
        <v>56</v>
      </c>
      <c r="I421" s="4" t="s">
        <v>1806</v>
      </c>
      <c r="J421" s="4" t="s">
        <v>956</v>
      </c>
      <c r="K421" s="4" t="s">
        <v>114</v>
      </c>
      <c r="L421" s="4" t="s">
        <v>115</v>
      </c>
      <c r="M421" s="4" t="s">
        <v>108</v>
      </c>
      <c r="N421" s="4" t="s">
        <v>131</v>
      </c>
      <c r="O421" s="4" t="s">
        <v>132</v>
      </c>
      <c r="P421">
        <v>30</v>
      </c>
      <c r="Q421">
        <v>30</v>
      </c>
      <c r="R421" s="4" t="s">
        <v>158</v>
      </c>
      <c r="S421">
        <v>67.069999999999993</v>
      </c>
      <c r="T421">
        <v>2012.1</v>
      </c>
      <c r="U421">
        <v>1821.6</v>
      </c>
      <c r="V421" s="4" t="s">
        <v>30</v>
      </c>
    </row>
    <row r="422" spans="1:22" x14ac:dyDescent="0.2">
      <c r="A422" s="4" t="s">
        <v>606</v>
      </c>
      <c r="B422">
        <v>421</v>
      </c>
      <c r="C422" s="4" t="s">
        <v>26</v>
      </c>
      <c r="D422" s="4" t="s">
        <v>44</v>
      </c>
      <c r="E422" s="4" t="s">
        <v>44</v>
      </c>
      <c r="F422" s="4" t="s">
        <v>1798</v>
      </c>
      <c r="G422">
        <v>12</v>
      </c>
      <c r="H422">
        <v>56</v>
      </c>
      <c r="I422" s="4" t="s">
        <v>1806</v>
      </c>
      <c r="J422" s="4" t="s">
        <v>962</v>
      </c>
      <c r="K422" s="4" t="s">
        <v>114</v>
      </c>
      <c r="L422" s="4" t="s">
        <v>115</v>
      </c>
      <c r="M422" s="4" t="s">
        <v>108</v>
      </c>
      <c r="N422" s="4" t="s">
        <v>133</v>
      </c>
      <c r="O422" s="4" t="s">
        <v>134</v>
      </c>
      <c r="P422">
        <v>47</v>
      </c>
      <c r="Q422">
        <v>47</v>
      </c>
      <c r="R422" s="4" t="s">
        <v>158</v>
      </c>
      <c r="S422">
        <v>48.5</v>
      </c>
      <c r="T422">
        <v>2279.5</v>
      </c>
      <c r="U422">
        <v>2058.13</v>
      </c>
      <c r="V422" s="4" t="s">
        <v>30</v>
      </c>
    </row>
    <row r="423" spans="1:22" x14ac:dyDescent="0.2">
      <c r="A423" s="4" t="s">
        <v>607</v>
      </c>
      <c r="B423">
        <v>422</v>
      </c>
      <c r="C423" s="4" t="s">
        <v>26</v>
      </c>
      <c r="D423" s="4" t="s">
        <v>44</v>
      </c>
      <c r="E423" s="4" t="s">
        <v>44</v>
      </c>
      <c r="F423" s="4" t="s">
        <v>1798</v>
      </c>
      <c r="G423">
        <v>12</v>
      </c>
      <c r="H423">
        <v>56</v>
      </c>
      <c r="I423" s="4" t="s">
        <v>1806</v>
      </c>
      <c r="J423" s="4" t="s">
        <v>988</v>
      </c>
      <c r="K423" s="4" t="s">
        <v>114</v>
      </c>
      <c r="L423" s="4" t="s">
        <v>115</v>
      </c>
      <c r="M423" s="4" t="s">
        <v>108</v>
      </c>
      <c r="N423" s="4" t="s">
        <v>133</v>
      </c>
      <c r="O423" s="4" t="s">
        <v>134</v>
      </c>
      <c r="P423">
        <v>3</v>
      </c>
      <c r="Q423">
        <v>3</v>
      </c>
      <c r="R423" s="4" t="s">
        <v>158</v>
      </c>
      <c r="S423">
        <v>48.5</v>
      </c>
      <c r="T423">
        <v>145.5</v>
      </c>
      <c r="U423">
        <v>131.37</v>
      </c>
      <c r="V423" s="4" t="s">
        <v>30</v>
      </c>
    </row>
    <row r="424" spans="1:22" x14ac:dyDescent="0.2">
      <c r="A424" s="4" t="s">
        <v>608</v>
      </c>
      <c r="B424">
        <v>423</v>
      </c>
      <c r="C424" s="4" t="s">
        <v>26</v>
      </c>
      <c r="D424" s="4" t="s">
        <v>44</v>
      </c>
      <c r="E424" s="4" t="s">
        <v>44</v>
      </c>
      <c r="F424" s="4" t="s">
        <v>1798</v>
      </c>
      <c r="G424">
        <v>12</v>
      </c>
      <c r="H424">
        <v>56</v>
      </c>
      <c r="I424" s="4" t="s">
        <v>1807</v>
      </c>
      <c r="J424" s="4" t="s">
        <v>956</v>
      </c>
      <c r="K424" s="4" t="s">
        <v>116</v>
      </c>
      <c r="L424" s="4" t="s">
        <v>117</v>
      </c>
      <c r="M424" s="4" t="s">
        <v>108</v>
      </c>
      <c r="N424" s="4" t="s">
        <v>127</v>
      </c>
      <c r="O424" s="4" t="s">
        <v>128</v>
      </c>
      <c r="P424">
        <v>49</v>
      </c>
      <c r="Q424">
        <v>49</v>
      </c>
      <c r="R424" s="4" t="s">
        <v>158</v>
      </c>
      <c r="S424">
        <v>31.45</v>
      </c>
      <c r="T424">
        <v>1541.05</v>
      </c>
      <c r="U424">
        <v>1285.27</v>
      </c>
      <c r="V424" s="4" t="s">
        <v>30</v>
      </c>
    </row>
    <row r="425" spans="1:22" x14ac:dyDescent="0.2">
      <c r="A425" s="4" t="s">
        <v>609</v>
      </c>
      <c r="B425">
        <v>424</v>
      </c>
      <c r="C425" s="4" t="s">
        <v>26</v>
      </c>
      <c r="D425" s="4" t="s">
        <v>44</v>
      </c>
      <c r="E425" s="4" t="s">
        <v>44</v>
      </c>
      <c r="F425" s="4" t="s">
        <v>1798</v>
      </c>
      <c r="G425">
        <v>12</v>
      </c>
      <c r="H425">
        <v>56</v>
      </c>
      <c r="I425" s="4" t="s">
        <v>1808</v>
      </c>
      <c r="J425" s="4" t="s">
        <v>956</v>
      </c>
      <c r="K425" s="4" t="s">
        <v>116</v>
      </c>
      <c r="L425" s="4" t="s">
        <v>117</v>
      </c>
      <c r="M425" s="4" t="s">
        <v>108</v>
      </c>
      <c r="N425" s="4" t="s">
        <v>129</v>
      </c>
      <c r="O425" s="4" t="s">
        <v>130</v>
      </c>
      <c r="P425">
        <v>21</v>
      </c>
      <c r="Q425">
        <v>21</v>
      </c>
      <c r="R425" s="4" t="s">
        <v>158</v>
      </c>
      <c r="S425">
        <v>91.58</v>
      </c>
      <c r="T425">
        <v>1923.18</v>
      </c>
      <c r="U425">
        <v>1761.27</v>
      </c>
      <c r="V425" s="4" t="s">
        <v>30</v>
      </c>
    </row>
    <row r="426" spans="1:22" x14ac:dyDescent="0.2">
      <c r="A426" s="4" t="s">
        <v>610</v>
      </c>
      <c r="B426">
        <v>425</v>
      </c>
      <c r="C426" s="4" t="s">
        <v>26</v>
      </c>
      <c r="D426" s="4" t="s">
        <v>44</v>
      </c>
      <c r="E426" s="4" t="s">
        <v>47</v>
      </c>
      <c r="F426" s="4" t="s">
        <v>1834</v>
      </c>
      <c r="G426">
        <v>12</v>
      </c>
      <c r="H426">
        <v>57</v>
      </c>
      <c r="I426" s="4" t="s">
        <v>1860</v>
      </c>
      <c r="J426" s="4" t="s">
        <v>962</v>
      </c>
      <c r="K426" s="4" t="s">
        <v>112</v>
      </c>
      <c r="L426" s="4" t="s">
        <v>113</v>
      </c>
      <c r="M426" s="4" t="s">
        <v>108</v>
      </c>
      <c r="N426" s="4" t="s">
        <v>122</v>
      </c>
      <c r="O426" s="4" t="s">
        <v>123</v>
      </c>
      <c r="P426">
        <v>60</v>
      </c>
      <c r="Q426">
        <v>60</v>
      </c>
      <c r="R426" s="4" t="s">
        <v>158</v>
      </c>
      <c r="S426">
        <v>28.18</v>
      </c>
      <c r="T426">
        <v>1690.8</v>
      </c>
      <c r="U426">
        <v>1396.8</v>
      </c>
      <c r="V426" s="4" t="s">
        <v>30</v>
      </c>
    </row>
    <row r="427" spans="1:22" x14ac:dyDescent="0.2">
      <c r="A427" s="4" t="s">
        <v>611</v>
      </c>
      <c r="B427">
        <v>426</v>
      </c>
      <c r="C427" s="4" t="s">
        <v>26</v>
      </c>
      <c r="D427" s="4" t="s">
        <v>44</v>
      </c>
      <c r="E427" s="4" t="s">
        <v>47</v>
      </c>
      <c r="F427" s="4" t="s">
        <v>1834</v>
      </c>
      <c r="G427">
        <v>12</v>
      </c>
      <c r="H427">
        <v>57</v>
      </c>
      <c r="I427" s="4" t="s">
        <v>1861</v>
      </c>
      <c r="J427" s="4" t="s">
        <v>956</v>
      </c>
      <c r="K427" s="4" t="s">
        <v>112</v>
      </c>
      <c r="L427" s="4" t="s">
        <v>113</v>
      </c>
      <c r="M427" s="4" t="s">
        <v>108</v>
      </c>
      <c r="N427" s="4" t="s">
        <v>127</v>
      </c>
      <c r="O427" s="4" t="s">
        <v>128</v>
      </c>
      <c r="P427">
        <v>57</v>
      </c>
      <c r="Q427">
        <v>57</v>
      </c>
      <c r="R427" s="4" t="s">
        <v>158</v>
      </c>
      <c r="S427">
        <v>31.45</v>
      </c>
      <c r="T427">
        <v>1792.65</v>
      </c>
      <c r="U427">
        <v>1495.11</v>
      </c>
      <c r="V427" s="4" t="s">
        <v>30</v>
      </c>
    </row>
    <row r="428" spans="1:22" x14ac:dyDescent="0.2">
      <c r="A428" s="4" t="s">
        <v>612</v>
      </c>
      <c r="B428">
        <v>427</v>
      </c>
      <c r="C428" s="4" t="s">
        <v>26</v>
      </c>
      <c r="D428" s="4" t="s">
        <v>44</v>
      </c>
      <c r="E428" s="4" t="s">
        <v>47</v>
      </c>
      <c r="F428" s="4" t="s">
        <v>1834</v>
      </c>
      <c r="G428">
        <v>12</v>
      </c>
      <c r="H428">
        <v>57</v>
      </c>
      <c r="I428" s="4" t="s">
        <v>1860</v>
      </c>
      <c r="J428" s="4" t="s">
        <v>956</v>
      </c>
      <c r="K428" s="4" t="s">
        <v>112</v>
      </c>
      <c r="L428" s="4" t="s">
        <v>113</v>
      </c>
      <c r="M428" s="4" t="s">
        <v>108</v>
      </c>
      <c r="N428" s="4" t="s">
        <v>133</v>
      </c>
      <c r="O428" s="4" t="s">
        <v>134</v>
      </c>
      <c r="P428">
        <v>47</v>
      </c>
      <c r="Q428">
        <v>47</v>
      </c>
      <c r="R428" s="4" t="s">
        <v>158</v>
      </c>
      <c r="S428">
        <v>48.5</v>
      </c>
      <c r="T428">
        <v>2279.5</v>
      </c>
      <c r="U428">
        <v>2058.13</v>
      </c>
      <c r="V428" s="4" t="s">
        <v>30</v>
      </c>
    </row>
    <row r="429" spans="1:22" x14ac:dyDescent="0.2">
      <c r="A429" s="4" t="s">
        <v>613</v>
      </c>
      <c r="B429">
        <v>428</v>
      </c>
      <c r="C429" s="4" t="s">
        <v>26</v>
      </c>
      <c r="D429" s="4" t="s">
        <v>44</v>
      </c>
      <c r="E429" s="4" t="s">
        <v>47</v>
      </c>
      <c r="F429" s="4" t="s">
        <v>1834</v>
      </c>
      <c r="G429">
        <v>12</v>
      </c>
      <c r="H429">
        <v>57</v>
      </c>
      <c r="I429" s="4" t="s">
        <v>1862</v>
      </c>
      <c r="J429" s="4" t="s">
        <v>956</v>
      </c>
      <c r="K429" s="4" t="s">
        <v>114</v>
      </c>
      <c r="L429" s="4" t="s">
        <v>115</v>
      </c>
      <c r="M429" s="4" t="s">
        <v>108</v>
      </c>
      <c r="N429" s="4" t="s">
        <v>127</v>
      </c>
      <c r="O429" s="4" t="s">
        <v>128</v>
      </c>
      <c r="P429">
        <v>41</v>
      </c>
      <c r="Q429">
        <v>41</v>
      </c>
      <c r="R429" s="4" t="s">
        <v>158</v>
      </c>
      <c r="S429">
        <v>31.45</v>
      </c>
      <c r="T429">
        <v>1289.45</v>
      </c>
      <c r="U429">
        <v>1075.43</v>
      </c>
      <c r="V429" s="4" t="s">
        <v>30</v>
      </c>
    </row>
    <row r="430" spans="1:22" x14ac:dyDescent="0.2">
      <c r="A430" s="4" t="s">
        <v>614</v>
      </c>
      <c r="B430">
        <v>429</v>
      </c>
      <c r="C430" s="4" t="s">
        <v>26</v>
      </c>
      <c r="D430" s="4" t="s">
        <v>44</v>
      </c>
      <c r="E430" s="4" t="s">
        <v>47</v>
      </c>
      <c r="F430" s="4" t="s">
        <v>1834</v>
      </c>
      <c r="G430">
        <v>12</v>
      </c>
      <c r="H430">
        <v>57</v>
      </c>
      <c r="I430" s="4" t="s">
        <v>1862</v>
      </c>
      <c r="J430" s="4" t="s">
        <v>962</v>
      </c>
      <c r="K430" s="4" t="s">
        <v>114</v>
      </c>
      <c r="L430" s="4" t="s">
        <v>115</v>
      </c>
      <c r="M430" s="4" t="s">
        <v>108</v>
      </c>
      <c r="N430" s="4" t="s">
        <v>131</v>
      </c>
      <c r="O430" s="4" t="s">
        <v>132</v>
      </c>
      <c r="P430">
        <v>7</v>
      </c>
      <c r="Q430">
        <v>7</v>
      </c>
      <c r="R430" s="4" t="s">
        <v>158</v>
      </c>
      <c r="S430">
        <v>67.069999999999993</v>
      </c>
      <c r="T430">
        <v>469.49</v>
      </c>
      <c r="U430">
        <v>425.04</v>
      </c>
      <c r="V430" s="4" t="s">
        <v>30</v>
      </c>
    </row>
    <row r="431" spans="1:22" x14ac:dyDescent="0.2">
      <c r="A431" s="4" t="s">
        <v>615</v>
      </c>
      <c r="B431">
        <v>430</v>
      </c>
      <c r="C431" s="4" t="s">
        <v>26</v>
      </c>
      <c r="D431" s="4" t="s">
        <v>44</v>
      </c>
      <c r="E431" s="4" t="s">
        <v>47</v>
      </c>
      <c r="F431" s="4" t="s">
        <v>1834</v>
      </c>
      <c r="G431">
        <v>12</v>
      </c>
      <c r="H431">
        <v>57</v>
      </c>
      <c r="I431" s="4" t="s">
        <v>1863</v>
      </c>
      <c r="J431" s="4" t="s">
        <v>956</v>
      </c>
      <c r="K431" s="4" t="s">
        <v>116</v>
      </c>
      <c r="L431" s="4" t="s">
        <v>117</v>
      </c>
      <c r="M431" s="4" t="s">
        <v>108</v>
      </c>
      <c r="N431" s="4" t="s">
        <v>122</v>
      </c>
      <c r="O431" s="4" t="s">
        <v>123</v>
      </c>
      <c r="P431">
        <v>64</v>
      </c>
      <c r="Q431">
        <v>64</v>
      </c>
      <c r="R431" s="4" t="s">
        <v>158</v>
      </c>
      <c r="S431">
        <v>28.18</v>
      </c>
      <c r="T431">
        <v>1803.52</v>
      </c>
      <c r="U431">
        <v>1489.92</v>
      </c>
      <c r="V431" s="4" t="s">
        <v>30</v>
      </c>
    </row>
    <row r="432" spans="1:22" x14ac:dyDescent="0.2">
      <c r="A432" s="4" t="s">
        <v>616</v>
      </c>
      <c r="B432">
        <v>431</v>
      </c>
      <c r="C432" s="4" t="s">
        <v>26</v>
      </c>
      <c r="D432" s="4" t="s">
        <v>44</v>
      </c>
      <c r="E432" s="4" t="s">
        <v>47</v>
      </c>
      <c r="F432" s="4" t="s">
        <v>1834</v>
      </c>
      <c r="G432">
        <v>12</v>
      </c>
      <c r="H432">
        <v>57</v>
      </c>
      <c r="I432" s="4" t="s">
        <v>1864</v>
      </c>
      <c r="J432" s="4" t="s">
        <v>956</v>
      </c>
      <c r="K432" s="4" t="s">
        <v>116</v>
      </c>
      <c r="L432" s="4" t="s">
        <v>117</v>
      </c>
      <c r="M432" s="4" t="s">
        <v>108</v>
      </c>
      <c r="N432" s="4" t="s">
        <v>129</v>
      </c>
      <c r="O432" s="4" t="s">
        <v>130</v>
      </c>
      <c r="P432">
        <v>1</v>
      </c>
      <c r="Q432">
        <v>1</v>
      </c>
      <c r="R432" s="4" t="s">
        <v>158</v>
      </c>
      <c r="S432">
        <v>91.58</v>
      </c>
      <c r="T432">
        <v>91.58</v>
      </c>
      <c r="U432">
        <v>83.87</v>
      </c>
      <c r="V432" s="4" t="s">
        <v>30</v>
      </c>
    </row>
    <row r="433" spans="1:22" x14ac:dyDescent="0.2">
      <c r="A433" s="4" t="s">
        <v>617</v>
      </c>
      <c r="B433">
        <v>432</v>
      </c>
      <c r="C433" s="4" t="s">
        <v>26</v>
      </c>
      <c r="D433" s="4" t="s">
        <v>44</v>
      </c>
      <c r="E433" s="4" t="s">
        <v>50</v>
      </c>
      <c r="F433" s="4" t="s">
        <v>1858</v>
      </c>
      <c r="G433">
        <v>12</v>
      </c>
      <c r="H433">
        <v>58</v>
      </c>
      <c r="I433" s="4" t="s">
        <v>1865</v>
      </c>
      <c r="J433" s="4" t="s">
        <v>956</v>
      </c>
      <c r="K433" s="4" t="s">
        <v>112</v>
      </c>
      <c r="L433" s="4" t="s">
        <v>113</v>
      </c>
      <c r="M433" s="4" t="s">
        <v>108</v>
      </c>
      <c r="N433" s="4" t="s">
        <v>122</v>
      </c>
      <c r="O433" s="4" t="s">
        <v>123</v>
      </c>
      <c r="P433">
        <v>73</v>
      </c>
      <c r="Q433">
        <v>73</v>
      </c>
      <c r="R433" s="4" t="s">
        <v>158</v>
      </c>
      <c r="S433">
        <v>28.18</v>
      </c>
      <c r="T433">
        <v>2057.14</v>
      </c>
      <c r="U433">
        <v>1699.44</v>
      </c>
      <c r="V433" s="4" t="s">
        <v>30</v>
      </c>
    </row>
    <row r="434" spans="1:22" x14ac:dyDescent="0.2">
      <c r="A434" s="4" t="s">
        <v>618</v>
      </c>
      <c r="B434">
        <v>433</v>
      </c>
      <c r="C434" s="4" t="s">
        <v>26</v>
      </c>
      <c r="D434" s="4" t="s">
        <v>44</v>
      </c>
      <c r="E434" s="4" t="s">
        <v>50</v>
      </c>
      <c r="F434" s="4" t="s">
        <v>1858</v>
      </c>
      <c r="G434">
        <v>12</v>
      </c>
      <c r="H434">
        <v>58</v>
      </c>
      <c r="I434" s="4" t="s">
        <v>1865</v>
      </c>
      <c r="J434" s="4" t="s">
        <v>962</v>
      </c>
      <c r="K434" s="4" t="s">
        <v>112</v>
      </c>
      <c r="L434" s="4" t="s">
        <v>113</v>
      </c>
      <c r="M434" s="4" t="s">
        <v>108</v>
      </c>
      <c r="N434" s="4" t="s">
        <v>125</v>
      </c>
      <c r="O434" s="4" t="s">
        <v>126</v>
      </c>
      <c r="P434">
        <v>30</v>
      </c>
      <c r="Q434">
        <v>30</v>
      </c>
      <c r="R434" s="4" t="s">
        <v>158</v>
      </c>
      <c r="S434">
        <v>79.87</v>
      </c>
      <c r="T434">
        <v>2396.1</v>
      </c>
      <c r="U434">
        <v>2191.1999999999998</v>
      </c>
      <c r="V434" s="4" t="s">
        <v>30</v>
      </c>
    </row>
    <row r="435" spans="1:22" x14ac:dyDescent="0.2">
      <c r="A435" s="4" t="s">
        <v>619</v>
      </c>
      <c r="B435">
        <v>434</v>
      </c>
      <c r="C435" s="4" t="s">
        <v>26</v>
      </c>
      <c r="D435" s="4" t="s">
        <v>44</v>
      </c>
      <c r="E435" s="4" t="s">
        <v>50</v>
      </c>
      <c r="F435" s="4" t="s">
        <v>1858</v>
      </c>
      <c r="G435">
        <v>12</v>
      </c>
      <c r="H435">
        <v>58</v>
      </c>
      <c r="I435" s="4" t="s">
        <v>1866</v>
      </c>
      <c r="J435" s="4" t="s">
        <v>962</v>
      </c>
      <c r="K435" s="4" t="s">
        <v>112</v>
      </c>
      <c r="L435" s="4" t="s">
        <v>113</v>
      </c>
      <c r="M435" s="4" t="s">
        <v>108</v>
      </c>
      <c r="N435" s="4" t="s">
        <v>127</v>
      </c>
      <c r="O435" s="4" t="s">
        <v>128</v>
      </c>
      <c r="P435">
        <v>61</v>
      </c>
      <c r="Q435">
        <v>61</v>
      </c>
      <c r="R435" s="4" t="s">
        <v>158</v>
      </c>
      <c r="S435">
        <v>31.45</v>
      </c>
      <c r="T435">
        <v>1918.45</v>
      </c>
      <c r="U435">
        <v>1600.03</v>
      </c>
      <c r="V435" s="4" t="s">
        <v>30</v>
      </c>
    </row>
    <row r="436" spans="1:22" x14ac:dyDescent="0.2">
      <c r="A436" s="4" t="s">
        <v>620</v>
      </c>
      <c r="B436">
        <v>435</v>
      </c>
      <c r="C436" s="4" t="s">
        <v>26</v>
      </c>
      <c r="D436" s="4" t="s">
        <v>44</v>
      </c>
      <c r="E436" s="4" t="s">
        <v>50</v>
      </c>
      <c r="F436" s="4" t="s">
        <v>1858</v>
      </c>
      <c r="G436">
        <v>12</v>
      </c>
      <c r="H436">
        <v>58</v>
      </c>
      <c r="I436" s="4" t="s">
        <v>1866</v>
      </c>
      <c r="J436" s="4" t="s">
        <v>956</v>
      </c>
      <c r="K436" s="4" t="s">
        <v>112</v>
      </c>
      <c r="L436" s="4" t="s">
        <v>113</v>
      </c>
      <c r="M436" s="4" t="s">
        <v>108</v>
      </c>
      <c r="N436" s="4" t="s">
        <v>127</v>
      </c>
      <c r="O436" s="4" t="s">
        <v>128</v>
      </c>
      <c r="P436">
        <v>72</v>
      </c>
      <c r="Q436">
        <v>72</v>
      </c>
      <c r="R436" s="4" t="s">
        <v>158</v>
      </c>
      <c r="S436">
        <v>31.45</v>
      </c>
      <c r="T436">
        <v>2264.4</v>
      </c>
      <c r="U436">
        <v>1888.56</v>
      </c>
      <c r="V436" s="4" t="s">
        <v>30</v>
      </c>
    </row>
    <row r="437" spans="1:22" x14ac:dyDescent="0.2">
      <c r="A437" s="4" t="s">
        <v>621</v>
      </c>
      <c r="B437">
        <v>436</v>
      </c>
      <c r="C437" s="4" t="s">
        <v>26</v>
      </c>
      <c r="D437" s="4" t="s">
        <v>44</v>
      </c>
      <c r="E437" s="4" t="s">
        <v>50</v>
      </c>
      <c r="F437" s="4" t="s">
        <v>1858</v>
      </c>
      <c r="G437">
        <v>12</v>
      </c>
      <c r="H437">
        <v>58</v>
      </c>
      <c r="I437" s="4" t="s">
        <v>1867</v>
      </c>
      <c r="J437" s="4" t="s">
        <v>956</v>
      </c>
      <c r="K437" s="4" t="s">
        <v>114</v>
      </c>
      <c r="L437" s="4" t="s">
        <v>115</v>
      </c>
      <c r="M437" s="4" t="s">
        <v>108</v>
      </c>
      <c r="N437" s="4" t="s">
        <v>129</v>
      </c>
      <c r="O437" s="4" t="s">
        <v>130</v>
      </c>
      <c r="P437">
        <v>24</v>
      </c>
      <c r="Q437">
        <v>24</v>
      </c>
      <c r="R437" s="4" t="s">
        <v>158</v>
      </c>
      <c r="S437">
        <v>91.58</v>
      </c>
      <c r="T437">
        <v>2197.92</v>
      </c>
      <c r="U437">
        <v>2012.88</v>
      </c>
      <c r="V437" s="4" t="s">
        <v>30</v>
      </c>
    </row>
    <row r="438" spans="1:22" x14ac:dyDescent="0.2">
      <c r="A438" s="4" t="s">
        <v>622</v>
      </c>
      <c r="B438">
        <v>437</v>
      </c>
      <c r="C438" s="4" t="s">
        <v>26</v>
      </c>
      <c r="D438" s="4" t="s">
        <v>44</v>
      </c>
      <c r="E438" s="4" t="s">
        <v>50</v>
      </c>
      <c r="F438" s="4" t="s">
        <v>1858</v>
      </c>
      <c r="G438">
        <v>12</v>
      </c>
      <c r="H438">
        <v>58</v>
      </c>
      <c r="I438" s="4" t="s">
        <v>1868</v>
      </c>
      <c r="J438" s="4" t="s">
        <v>962</v>
      </c>
      <c r="K438" s="4" t="s">
        <v>116</v>
      </c>
      <c r="L438" s="4" t="s">
        <v>117</v>
      </c>
      <c r="M438" s="4" t="s">
        <v>108</v>
      </c>
      <c r="N438" s="4" t="s">
        <v>122</v>
      </c>
      <c r="O438" s="4" t="s">
        <v>123</v>
      </c>
      <c r="P438">
        <v>73</v>
      </c>
      <c r="Q438">
        <v>73</v>
      </c>
      <c r="R438" s="4" t="s">
        <v>158</v>
      </c>
      <c r="S438">
        <v>28.18</v>
      </c>
      <c r="T438">
        <v>2057.14</v>
      </c>
      <c r="U438">
        <v>1699.44</v>
      </c>
      <c r="V438" s="4" t="s">
        <v>30</v>
      </c>
    </row>
    <row r="439" spans="1:22" x14ac:dyDescent="0.2">
      <c r="A439" s="4" t="s">
        <v>623</v>
      </c>
      <c r="B439">
        <v>438</v>
      </c>
      <c r="C439" s="4" t="s">
        <v>26</v>
      </c>
      <c r="D439" s="4" t="s">
        <v>44</v>
      </c>
      <c r="E439" s="4" t="s">
        <v>50</v>
      </c>
      <c r="F439" s="4" t="s">
        <v>1858</v>
      </c>
      <c r="G439">
        <v>12</v>
      </c>
      <c r="H439">
        <v>58</v>
      </c>
      <c r="I439" s="4" t="s">
        <v>1868</v>
      </c>
      <c r="J439" s="4" t="s">
        <v>967</v>
      </c>
      <c r="K439" s="4" t="s">
        <v>116</v>
      </c>
      <c r="L439" s="4" t="s">
        <v>117</v>
      </c>
      <c r="M439" s="4" t="s">
        <v>108</v>
      </c>
      <c r="N439" s="4" t="s">
        <v>122</v>
      </c>
      <c r="O439" s="4" t="s">
        <v>123</v>
      </c>
      <c r="P439">
        <v>13</v>
      </c>
      <c r="Q439">
        <v>13</v>
      </c>
      <c r="R439" s="4" t="s">
        <v>158</v>
      </c>
      <c r="S439">
        <v>28.18</v>
      </c>
      <c r="T439">
        <v>366.34</v>
      </c>
      <c r="U439">
        <v>302.64</v>
      </c>
      <c r="V439" s="4" t="s">
        <v>30</v>
      </c>
    </row>
    <row r="440" spans="1:22" x14ac:dyDescent="0.2">
      <c r="A440" s="4" t="s">
        <v>624</v>
      </c>
      <c r="B440">
        <v>439</v>
      </c>
      <c r="C440" s="4" t="s">
        <v>26</v>
      </c>
      <c r="D440" s="4" t="s">
        <v>44</v>
      </c>
      <c r="E440" s="4" t="s">
        <v>50</v>
      </c>
      <c r="F440" s="4" t="s">
        <v>1858</v>
      </c>
      <c r="G440">
        <v>12</v>
      </c>
      <c r="H440">
        <v>58</v>
      </c>
      <c r="I440" s="4" t="s">
        <v>1868</v>
      </c>
      <c r="J440" s="4" t="s">
        <v>964</v>
      </c>
      <c r="K440" s="4" t="s">
        <v>116</v>
      </c>
      <c r="L440" s="4" t="s">
        <v>117</v>
      </c>
      <c r="M440" s="4" t="s">
        <v>108</v>
      </c>
      <c r="N440" s="4" t="s">
        <v>127</v>
      </c>
      <c r="O440" s="4" t="s">
        <v>128</v>
      </c>
      <c r="P440">
        <v>44</v>
      </c>
      <c r="Q440">
        <v>44</v>
      </c>
      <c r="R440" s="4" t="s">
        <v>158</v>
      </c>
      <c r="S440">
        <v>31.45</v>
      </c>
      <c r="T440">
        <v>1383.8</v>
      </c>
      <c r="U440">
        <v>1154.1199999999999</v>
      </c>
      <c r="V440" s="4" t="s">
        <v>30</v>
      </c>
    </row>
    <row r="441" spans="1:22" x14ac:dyDescent="0.2">
      <c r="A441" s="4" t="s">
        <v>625</v>
      </c>
      <c r="B441">
        <v>440</v>
      </c>
      <c r="C441" s="4" t="s">
        <v>26</v>
      </c>
      <c r="D441" s="4" t="s">
        <v>44</v>
      </c>
      <c r="E441" s="4" t="s">
        <v>50</v>
      </c>
      <c r="F441" s="4" t="s">
        <v>1858</v>
      </c>
      <c r="G441">
        <v>12</v>
      </c>
      <c r="H441">
        <v>58</v>
      </c>
      <c r="I441" s="4" t="s">
        <v>1868</v>
      </c>
      <c r="J441" s="4" t="s">
        <v>956</v>
      </c>
      <c r="K441" s="4" t="s">
        <v>116</v>
      </c>
      <c r="L441" s="4" t="s">
        <v>117</v>
      </c>
      <c r="M441" s="4" t="s">
        <v>108</v>
      </c>
      <c r="N441" s="4" t="s">
        <v>133</v>
      </c>
      <c r="O441" s="4" t="s">
        <v>134</v>
      </c>
      <c r="P441">
        <v>40</v>
      </c>
      <c r="Q441">
        <v>40</v>
      </c>
      <c r="R441" s="4" t="s">
        <v>158</v>
      </c>
      <c r="S441">
        <v>48.5</v>
      </c>
      <c r="T441">
        <v>1940</v>
      </c>
      <c r="U441">
        <v>1751.6</v>
      </c>
      <c r="V441" s="4" t="s">
        <v>30</v>
      </c>
    </row>
    <row r="442" spans="1:22" x14ac:dyDescent="0.2">
      <c r="A442" s="4" t="s">
        <v>626</v>
      </c>
      <c r="B442">
        <v>441</v>
      </c>
      <c r="C442" s="4" t="s">
        <v>26</v>
      </c>
      <c r="D442" s="4" t="s">
        <v>44</v>
      </c>
      <c r="E442" s="4" t="s">
        <v>53</v>
      </c>
      <c r="F442" s="4" t="s">
        <v>1859</v>
      </c>
      <c r="G442">
        <v>12</v>
      </c>
      <c r="H442">
        <v>59</v>
      </c>
      <c r="I442" s="4" t="s">
        <v>1870</v>
      </c>
      <c r="J442" s="4" t="s">
        <v>956</v>
      </c>
      <c r="K442" s="4" t="s">
        <v>112</v>
      </c>
      <c r="L442" s="4" t="s">
        <v>113</v>
      </c>
      <c r="M442" s="4" t="s">
        <v>108</v>
      </c>
      <c r="N442" s="4" t="s">
        <v>122</v>
      </c>
      <c r="O442" s="4" t="s">
        <v>123</v>
      </c>
      <c r="P442">
        <v>55</v>
      </c>
      <c r="Q442">
        <v>55</v>
      </c>
      <c r="R442" s="4" t="s">
        <v>158</v>
      </c>
      <c r="S442">
        <v>28.18</v>
      </c>
      <c r="T442">
        <v>1549.9</v>
      </c>
      <c r="U442">
        <v>1280.4000000000001</v>
      </c>
      <c r="V442" s="4" t="s">
        <v>30</v>
      </c>
    </row>
    <row r="443" spans="1:22" x14ac:dyDescent="0.2">
      <c r="A443" s="4" t="s">
        <v>627</v>
      </c>
      <c r="B443">
        <v>442</v>
      </c>
      <c r="C443" s="4" t="s">
        <v>26</v>
      </c>
      <c r="D443" s="4" t="s">
        <v>44</v>
      </c>
      <c r="E443" s="4" t="s">
        <v>53</v>
      </c>
      <c r="F443" s="4" t="s">
        <v>1859</v>
      </c>
      <c r="G443">
        <v>12</v>
      </c>
      <c r="H443">
        <v>59</v>
      </c>
      <c r="I443" s="4" t="s">
        <v>1869</v>
      </c>
      <c r="J443" s="4" t="s">
        <v>956</v>
      </c>
      <c r="K443" s="4" t="s">
        <v>112</v>
      </c>
      <c r="L443" s="4" t="s">
        <v>113</v>
      </c>
      <c r="M443" s="4" t="s">
        <v>108</v>
      </c>
      <c r="N443" s="4" t="s">
        <v>122</v>
      </c>
      <c r="O443" s="4" t="s">
        <v>123</v>
      </c>
      <c r="P443">
        <v>59</v>
      </c>
      <c r="Q443">
        <v>59</v>
      </c>
      <c r="R443" s="4" t="s">
        <v>158</v>
      </c>
      <c r="S443">
        <v>28.18</v>
      </c>
      <c r="T443">
        <v>1662.62</v>
      </c>
      <c r="U443">
        <v>1373.52</v>
      </c>
      <c r="V443" s="4" t="s">
        <v>30</v>
      </c>
    </row>
    <row r="444" spans="1:22" x14ac:dyDescent="0.2">
      <c r="A444" s="4" t="s">
        <v>628</v>
      </c>
      <c r="B444">
        <v>443</v>
      </c>
      <c r="C444" s="4" t="s">
        <v>26</v>
      </c>
      <c r="D444" s="4" t="s">
        <v>44</v>
      </c>
      <c r="E444" s="4" t="s">
        <v>53</v>
      </c>
      <c r="F444" s="4" t="s">
        <v>1859</v>
      </c>
      <c r="G444">
        <v>12</v>
      </c>
      <c r="H444">
        <v>59</v>
      </c>
      <c r="I444" s="4" t="s">
        <v>1869</v>
      </c>
      <c r="J444" s="4" t="s">
        <v>964</v>
      </c>
      <c r="K444" s="4" t="s">
        <v>112</v>
      </c>
      <c r="L444" s="4" t="s">
        <v>113</v>
      </c>
      <c r="M444" s="4" t="s">
        <v>108</v>
      </c>
      <c r="N444" s="4" t="s">
        <v>127</v>
      </c>
      <c r="O444" s="4" t="s">
        <v>128</v>
      </c>
      <c r="P444">
        <v>57</v>
      </c>
      <c r="Q444">
        <v>57</v>
      </c>
      <c r="R444" s="4" t="s">
        <v>158</v>
      </c>
      <c r="S444">
        <v>31.45</v>
      </c>
      <c r="T444">
        <v>1792.65</v>
      </c>
      <c r="U444">
        <v>1495.11</v>
      </c>
      <c r="V444" s="4" t="s">
        <v>30</v>
      </c>
    </row>
    <row r="445" spans="1:22" x14ac:dyDescent="0.2">
      <c r="A445" s="4" t="s">
        <v>629</v>
      </c>
      <c r="B445">
        <v>444</v>
      </c>
      <c r="C445" s="4" t="s">
        <v>26</v>
      </c>
      <c r="D445" s="4" t="s">
        <v>44</v>
      </c>
      <c r="E445" s="4" t="s">
        <v>53</v>
      </c>
      <c r="F445" s="4" t="s">
        <v>1859</v>
      </c>
      <c r="G445">
        <v>12</v>
      </c>
      <c r="H445">
        <v>59</v>
      </c>
      <c r="I445" s="4" t="s">
        <v>1869</v>
      </c>
      <c r="J445" s="4" t="s">
        <v>962</v>
      </c>
      <c r="K445" s="4" t="s">
        <v>112</v>
      </c>
      <c r="L445" s="4" t="s">
        <v>113</v>
      </c>
      <c r="M445" s="4" t="s">
        <v>108</v>
      </c>
      <c r="N445" s="4" t="s">
        <v>131</v>
      </c>
      <c r="O445" s="4" t="s">
        <v>132</v>
      </c>
      <c r="P445">
        <v>34</v>
      </c>
      <c r="Q445">
        <v>34</v>
      </c>
      <c r="R445" s="4" t="s">
        <v>158</v>
      </c>
      <c r="S445">
        <v>67.069999999999993</v>
      </c>
      <c r="T445">
        <v>2280.38</v>
      </c>
      <c r="U445">
        <v>2064.48</v>
      </c>
      <c r="V445" s="4" t="s">
        <v>30</v>
      </c>
    </row>
    <row r="446" spans="1:22" x14ac:dyDescent="0.2">
      <c r="A446" s="4" t="s">
        <v>630</v>
      </c>
      <c r="B446">
        <v>445</v>
      </c>
      <c r="C446" s="4" t="s">
        <v>26</v>
      </c>
      <c r="D446" s="4" t="s">
        <v>44</v>
      </c>
      <c r="E446" s="4" t="s">
        <v>53</v>
      </c>
      <c r="F446" s="4" t="s">
        <v>1859</v>
      </c>
      <c r="G446">
        <v>12</v>
      </c>
      <c r="H446">
        <v>59</v>
      </c>
      <c r="I446" s="4" t="s">
        <v>1871</v>
      </c>
      <c r="J446" s="4" t="s">
        <v>1005</v>
      </c>
      <c r="K446" s="4" t="s">
        <v>114</v>
      </c>
      <c r="L446" s="4" t="s">
        <v>115</v>
      </c>
      <c r="M446" s="4" t="s">
        <v>108</v>
      </c>
      <c r="N446" s="4" t="s">
        <v>122</v>
      </c>
      <c r="O446" s="4" t="s">
        <v>123</v>
      </c>
      <c r="P446">
        <v>76</v>
      </c>
      <c r="Q446">
        <v>76</v>
      </c>
      <c r="R446" s="4" t="s">
        <v>158</v>
      </c>
      <c r="S446">
        <v>28.18</v>
      </c>
      <c r="T446">
        <v>2141.6799999999998</v>
      </c>
      <c r="U446">
        <v>1769.28</v>
      </c>
      <c r="V446" s="4" t="s">
        <v>30</v>
      </c>
    </row>
    <row r="447" spans="1:22" x14ac:dyDescent="0.2">
      <c r="A447" s="4" t="s">
        <v>631</v>
      </c>
      <c r="B447">
        <v>446</v>
      </c>
      <c r="C447" s="4" t="s">
        <v>26</v>
      </c>
      <c r="D447" s="4" t="s">
        <v>44</v>
      </c>
      <c r="E447" s="4" t="s">
        <v>53</v>
      </c>
      <c r="F447" s="4" t="s">
        <v>1859</v>
      </c>
      <c r="G447">
        <v>12</v>
      </c>
      <c r="H447">
        <v>59</v>
      </c>
      <c r="I447" s="4" t="s">
        <v>1871</v>
      </c>
      <c r="J447" s="4" t="s">
        <v>956</v>
      </c>
      <c r="K447" s="4" t="s">
        <v>114</v>
      </c>
      <c r="L447" s="4" t="s">
        <v>115</v>
      </c>
      <c r="M447" s="4" t="s">
        <v>108</v>
      </c>
      <c r="N447" s="4" t="s">
        <v>127</v>
      </c>
      <c r="O447" s="4" t="s">
        <v>128</v>
      </c>
      <c r="P447">
        <v>57</v>
      </c>
      <c r="Q447">
        <v>57</v>
      </c>
      <c r="R447" s="4" t="s">
        <v>158</v>
      </c>
      <c r="S447">
        <v>31.45</v>
      </c>
      <c r="T447">
        <v>1792.65</v>
      </c>
      <c r="U447">
        <v>1495.11</v>
      </c>
      <c r="V447" s="4" t="s">
        <v>30</v>
      </c>
    </row>
    <row r="448" spans="1:22" x14ac:dyDescent="0.2">
      <c r="A448" s="4" t="s">
        <v>632</v>
      </c>
      <c r="B448">
        <v>447</v>
      </c>
      <c r="C448" s="4" t="s">
        <v>26</v>
      </c>
      <c r="D448" s="4" t="s">
        <v>44</v>
      </c>
      <c r="E448" s="4" t="s">
        <v>53</v>
      </c>
      <c r="F448" s="4" t="s">
        <v>1859</v>
      </c>
      <c r="G448">
        <v>12</v>
      </c>
      <c r="H448">
        <v>59</v>
      </c>
      <c r="I448" s="4" t="s">
        <v>1871</v>
      </c>
      <c r="J448" s="4" t="s">
        <v>967</v>
      </c>
      <c r="K448" s="4" t="s">
        <v>114</v>
      </c>
      <c r="L448" s="4" t="s">
        <v>115</v>
      </c>
      <c r="M448" s="4" t="s">
        <v>108</v>
      </c>
      <c r="N448" s="4" t="s">
        <v>129</v>
      </c>
      <c r="O448" s="4" t="s">
        <v>130</v>
      </c>
      <c r="P448">
        <v>20</v>
      </c>
      <c r="Q448">
        <v>20</v>
      </c>
      <c r="R448" s="4" t="s">
        <v>158</v>
      </c>
      <c r="S448">
        <v>91.58</v>
      </c>
      <c r="T448">
        <v>1831.6</v>
      </c>
      <c r="U448">
        <v>1677.4</v>
      </c>
      <c r="V448" s="4" t="s">
        <v>30</v>
      </c>
    </row>
    <row r="449" spans="1:22" x14ac:dyDescent="0.2">
      <c r="A449" s="4" t="s">
        <v>633</v>
      </c>
      <c r="B449">
        <v>448</v>
      </c>
      <c r="C449" s="4" t="s">
        <v>26</v>
      </c>
      <c r="D449" s="4" t="s">
        <v>44</v>
      </c>
      <c r="E449" s="4" t="s">
        <v>53</v>
      </c>
      <c r="F449" s="4" t="s">
        <v>1859</v>
      </c>
      <c r="G449">
        <v>12</v>
      </c>
      <c r="H449">
        <v>59</v>
      </c>
      <c r="I449" s="4" t="s">
        <v>1871</v>
      </c>
      <c r="J449" s="4" t="s">
        <v>964</v>
      </c>
      <c r="K449" s="4" t="s">
        <v>114</v>
      </c>
      <c r="L449" s="4" t="s">
        <v>115</v>
      </c>
      <c r="M449" s="4" t="s">
        <v>108</v>
      </c>
      <c r="N449" s="4" t="s">
        <v>131</v>
      </c>
      <c r="O449" s="4" t="s">
        <v>132</v>
      </c>
      <c r="P449">
        <v>32</v>
      </c>
      <c r="Q449">
        <v>32</v>
      </c>
      <c r="R449" s="4" t="s">
        <v>158</v>
      </c>
      <c r="S449">
        <v>67.069999999999993</v>
      </c>
      <c r="T449">
        <v>2146.2399999999998</v>
      </c>
      <c r="U449">
        <v>1943.04</v>
      </c>
      <c r="V449" s="4" t="s">
        <v>30</v>
      </c>
    </row>
    <row r="450" spans="1:22" x14ac:dyDescent="0.2">
      <c r="A450" s="4" t="s">
        <v>634</v>
      </c>
      <c r="B450">
        <v>449</v>
      </c>
      <c r="C450" s="4" t="s">
        <v>26</v>
      </c>
      <c r="D450" s="4" t="s">
        <v>44</v>
      </c>
      <c r="E450" s="4" t="s">
        <v>53</v>
      </c>
      <c r="F450" s="4" t="s">
        <v>1859</v>
      </c>
      <c r="G450">
        <v>12</v>
      </c>
      <c r="H450">
        <v>59</v>
      </c>
      <c r="I450" s="4" t="s">
        <v>1872</v>
      </c>
      <c r="J450" s="4" t="s">
        <v>956</v>
      </c>
      <c r="K450" s="4" t="s">
        <v>116</v>
      </c>
      <c r="L450" s="4" t="s">
        <v>117</v>
      </c>
      <c r="M450" s="4" t="s">
        <v>108</v>
      </c>
      <c r="N450" s="4" t="s">
        <v>129</v>
      </c>
      <c r="O450" s="4" t="s">
        <v>130</v>
      </c>
      <c r="P450">
        <v>26</v>
      </c>
      <c r="Q450">
        <v>26</v>
      </c>
      <c r="R450" s="4" t="s">
        <v>158</v>
      </c>
      <c r="S450">
        <v>91.58</v>
      </c>
      <c r="T450">
        <v>2381.08</v>
      </c>
      <c r="U450">
        <v>2180.62</v>
      </c>
      <c r="V450" s="4" t="s">
        <v>30</v>
      </c>
    </row>
    <row r="451" spans="1:22" x14ac:dyDescent="0.2">
      <c r="A451" s="4" t="s">
        <v>635</v>
      </c>
      <c r="B451">
        <v>450</v>
      </c>
      <c r="C451" s="4" t="s">
        <v>26</v>
      </c>
      <c r="D451" s="4" t="s">
        <v>44</v>
      </c>
      <c r="E451" s="4" t="s">
        <v>56</v>
      </c>
      <c r="F451" s="4" t="s">
        <v>1922</v>
      </c>
      <c r="G451">
        <v>12</v>
      </c>
      <c r="H451">
        <v>60</v>
      </c>
      <c r="I451" s="4" t="s">
        <v>1947</v>
      </c>
      <c r="J451" s="4" t="s">
        <v>956</v>
      </c>
      <c r="K451" s="4" t="s">
        <v>112</v>
      </c>
      <c r="L451" s="4" t="s">
        <v>113</v>
      </c>
      <c r="M451" s="4" t="s">
        <v>108</v>
      </c>
      <c r="N451" s="4" t="s">
        <v>122</v>
      </c>
      <c r="O451" s="4" t="s">
        <v>123</v>
      </c>
      <c r="P451">
        <v>77</v>
      </c>
      <c r="Q451">
        <v>77</v>
      </c>
      <c r="R451" s="4" t="s">
        <v>158</v>
      </c>
      <c r="S451">
        <v>28.18</v>
      </c>
      <c r="T451">
        <v>2169.86</v>
      </c>
      <c r="U451">
        <v>1795.64</v>
      </c>
      <c r="V451" s="4" t="s">
        <v>30</v>
      </c>
    </row>
    <row r="452" spans="1:22" x14ac:dyDescent="0.2">
      <c r="A452" s="4" t="s">
        <v>636</v>
      </c>
      <c r="B452">
        <v>451</v>
      </c>
      <c r="C452" s="4" t="s">
        <v>26</v>
      </c>
      <c r="D452" s="4" t="s">
        <v>44</v>
      </c>
      <c r="E452" s="4" t="s">
        <v>56</v>
      </c>
      <c r="F452" s="4" t="s">
        <v>1922</v>
      </c>
      <c r="G452">
        <v>12</v>
      </c>
      <c r="H452">
        <v>60</v>
      </c>
      <c r="I452" s="4" t="s">
        <v>1947</v>
      </c>
      <c r="J452" s="4" t="s">
        <v>988</v>
      </c>
      <c r="K452" s="4" t="s">
        <v>112</v>
      </c>
      <c r="L452" s="4" t="s">
        <v>113</v>
      </c>
      <c r="M452" s="4" t="s">
        <v>108</v>
      </c>
      <c r="N452" s="4" t="s">
        <v>122</v>
      </c>
      <c r="O452" s="4" t="s">
        <v>123</v>
      </c>
      <c r="P452">
        <v>70</v>
      </c>
      <c r="Q452">
        <v>70</v>
      </c>
      <c r="R452" s="4" t="s">
        <v>158</v>
      </c>
      <c r="S452">
        <v>28.18</v>
      </c>
      <c r="T452">
        <v>1972.6</v>
      </c>
      <c r="U452">
        <v>1632.4</v>
      </c>
      <c r="V452" s="4" t="s">
        <v>30</v>
      </c>
    </row>
    <row r="453" spans="1:22" x14ac:dyDescent="0.2">
      <c r="A453" s="4" t="s">
        <v>637</v>
      </c>
      <c r="B453">
        <v>452</v>
      </c>
      <c r="C453" s="4" t="s">
        <v>26</v>
      </c>
      <c r="D453" s="4" t="s">
        <v>44</v>
      </c>
      <c r="E453" s="4" t="s">
        <v>56</v>
      </c>
      <c r="F453" s="4" t="s">
        <v>1922</v>
      </c>
      <c r="G453">
        <v>12</v>
      </c>
      <c r="H453">
        <v>60</v>
      </c>
      <c r="I453" s="4" t="s">
        <v>1947</v>
      </c>
      <c r="J453" s="4" t="s">
        <v>962</v>
      </c>
      <c r="K453" s="4" t="s">
        <v>112</v>
      </c>
      <c r="L453" s="4" t="s">
        <v>113</v>
      </c>
      <c r="M453" s="4" t="s">
        <v>108</v>
      </c>
      <c r="N453" s="4" t="s">
        <v>129</v>
      </c>
      <c r="O453" s="4" t="s">
        <v>130</v>
      </c>
      <c r="P453">
        <v>27</v>
      </c>
      <c r="Q453">
        <v>27</v>
      </c>
      <c r="R453" s="4" t="s">
        <v>158</v>
      </c>
      <c r="S453">
        <v>91.58</v>
      </c>
      <c r="T453">
        <v>2472.66</v>
      </c>
      <c r="U453">
        <v>2268.54</v>
      </c>
      <c r="V453" s="4" t="s">
        <v>30</v>
      </c>
    </row>
    <row r="454" spans="1:22" x14ac:dyDescent="0.2">
      <c r="A454" s="4" t="s">
        <v>638</v>
      </c>
      <c r="B454">
        <v>453</v>
      </c>
      <c r="C454" s="4" t="s">
        <v>26</v>
      </c>
      <c r="D454" s="4" t="s">
        <v>44</v>
      </c>
      <c r="E454" s="4" t="s">
        <v>56</v>
      </c>
      <c r="F454" s="4" t="s">
        <v>1922</v>
      </c>
      <c r="G454">
        <v>12</v>
      </c>
      <c r="H454">
        <v>60</v>
      </c>
      <c r="I454" s="4" t="s">
        <v>1947</v>
      </c>
      <c r="J454" s="4" t="s">
        <v>967</v>
      </c>
      <c r="K454" s="4" t="s">
        <v>112</v>
      </c>
      <c r="L454" s="4" t="s">
        <v>113</v>
      </c>
      <c r="M454" s="4" t="s">
        <v>108</v>
      </c>
      <c r="N454" s="4" t="s">
        <v>129</v>
      </c>
      <c r="O454" s="4" t="s">
        <v>130</v>
      </c>
      <c r="P454">
        <v>17</v>
      </c>
      <c r="Q454">
        <v>17</v>
      </c>
      <c r="R454" s="4" t="s">
        <v>158</v>
      </c>
      <c r="S454">
        <v>91.58</v>
      </c>
      <c r="T454">
        <v>1556.86</v>
      </c>
      <c r="U454">
        <v>1428.34</v>
      </c>
      <c r="V454" s="4" t="s">
        <v>30</v>
      </c>
    </row>
    <row r="455" spans="1:22" x14ac:dyDescent="0.2">
      <c r="A455" s="4" t="s">
        <v>639</v>
      </c>
      <c r="B455">
        <v>454</v>
      </c>
      <c r="C455" s="4" t="s">
        <v>26</v>
      </c>
      <c r="D455" s="4" t="s">
        <v>44</v>
      </c>
      <c r="E455" s="4" t="s">
        <v>56</v>
      </c>
      <c r="F455" s="4" t="s">
        <v>1922</v>
      </c>
      <c r="G455">
        <v>12</v>
      </c>
      <c r="H455">
        <v>60</v>
      </c>
      <c r="I455" s="4" t="s">
        <v>1947</v>
      </c>
      <c r="J455" s="4" t="s">
        <v>1948</v>
      </c>
      <c r="K455" s="4" t="s">
        <v>112</v>
      </c>
      <c r="L455" s="4" t="s">
        <v>113</v>
      </c>
      <c r="M455" s="4" t="s">
        <v>108</v>
      </c>
      <c r="N455" s="4" t="s">
        <v>131</v>
      </c>
      <c r="O455" s="4" t="s">
        <v>132</v>
      </c>
      <c r="P455">
        <v>10</v>
      </c>
      <c r="Q455">
        <v>10</v>
      </c>
      <c r="R455" s="4" t="s">
        <v>158</v>
      </c>
      <c r="S455">
        <v>67.069999999999993</v>
      </c>
      <c r="T455">
        <v>670.7</v>
      </c>
      <c r="U455">
        <v>608.20000000000005</v>
      </c>
      <c r="V455" s="4" t="s">
        <v>30</v>
      </c>
    </row>
    <row r="456" spans="1:22" x14ac:dyDescent="0.2">
      <c r="A456" s="4" t="s">
        <v>640</v>
      </c>
      <c r="B456">
        <v>455</v>
      </c>
      <c r="C456" s="4" t="s">
        <v>26</v>
      </c>
      <c r="D456" s="4" t="s">
        <v>44</v>
      </c>
      <c r="E456" s="4" t="s">
        <v>56</v>
      </c>
      <c r="F456" s="4" t="s">
        <v>1922</v>
      </c>
      <c r="G456">
        <v>12</v>
      </c>
      <c r="H456">
        <v>60</v>
      </c>
      <c r="I456" s="4" t="s">
        <v>1947</v>
      </c>
      <c r="J456" s="4" t="s">
        <v>964</v>
      </c>
      <c r="K456" s="4" t="s">
        <v>112</v>
      </c>
      <c r="L456" s="4" t="s">
        <v>113</v>
      </c>
      <c r="M456" s="4" t="s">
        <v>108</v>
      </c>
      <c r="N456" s="4" t="s">
        <v>131</v>
      </c>
      <c r="O456" s="4" t="s">
        <v>132</v>
      </c>
      <c r="P456">
        <v>34</v>
      </c>
      <c r="Q456">
        <v>34</v>
      </c>
      <c r="R456" s="4" t="s">
        <v>158</v>
      </c>
      <c r="S456">
        <v>67.069999999999993</v>
      </c>
      <c r="T456">
        <v>2280.38</v>
      </c>
      <c r="U456">
        <v>2067.88</v>
      </c>
      <c r="V456" s="4" t="s">
        <v>30</v>
      </c>
    </row>
    <row r="457" spans="1:22" x14ac:dyDescent="0.2">
      <c r="A457" s="4" t="s">
        <v>641</v>
      </c>
      <c r="B457">
        <v>456</v>
      </c>
      <c r="C457" s="4" t="s">
        <v>26</v>
      </c>
      <c r="D457" s="4" t="s">
        <v>44</v>
      </c>
      <c r="E457" s="4" t="s">
        <v>56</v>
      </c>
      <c r="F457" s="4" t="s">
        <v>1922</v>
      </c>
      <c r="G457">
        <v>12</v>
      </c>
      <c r="H457">
        <v>60</v>
      </c>
      <c r="I457" s="4" t="s">
        <v>1949</v>
      </c>
      <c r="J457" s="4" t="s">
        <v>962</v>
      </c>
      <c r="K457" s="4" t="s">
        <v>114</v>
      </c>
      <c r="L457" s="4" t="s">
        <v>115</v>
      </c>
      <c r="M457" s="4" t="s">
        <v>108</v>
      </c>
      <c r="N457" s="4" t="s">
        <v>125</v>
      </c>
      <c r="O457" s="4" t="s">
        <v>126</v>
      </c>
      <c r="P457">
        <v>23</v>
      </c>
      <c r="Q457">
        <v>23</v>
      </c>
      <c r="R457" s="4" t="s">
        <v>158</v>
      </c>
      <c r="S457">
        <v>79.87</v>
      </c>
      <c r="T457">
        <v>1837.01</v>
      </c>
      <c r="U457">
        <v>1680.15</v>
      </c>
      <c r="V457" s="4" t="s">
        <v>30</v>
      </c>
    </row>
    <row r="458" spans="1:22" x14ac:dyDescent="0.2">
      <c r="A458" s="4" t="s">
        <v>642</v>
      </c>
      <c r="B458">
        <v>457</v>
      </c>
      <c r="C458" s="4" t="s">
        <v>26</v>
      </c>
      <c r="D458" s="4" t="s">
        <v>44</v>
      </c>
      <c r="E458" s="4" t="s">
        <v>56</v>
      </c>
      <c r="F458" s="4" t="s">
        <v>1922</v>
      </c>
      <c r="G458">
        <v>12</v>
      </c>
      <c r="H458">
        <v>60</v>
      </c>
      <c r="I458" s="4" t="s">
        <v>1949</v>
      </c>
      <c r="J458" s="4" t="s">
        <v>967</v>
      </c>
      <c r="K458" s="4" t="s">
        <v>114</v>
      </c>
      <c r="L458" s="4" t="s">
        <v>115</v>
      </c>
      <c r="M458" s="4" t="s">
        <v>108</v>
      </c>
      <c r="N458" s="4" t="s">
        <v>129</v>
      </c>
      <c r="O458" s="4" t="s">
        <v>130</v>
      </c>
      <c r="P458">
        <v>6</v>
      </c>
      <c r="Q458">
        <v>6</v>
      </c>
      <c r="R458" s="4" t="s">
        <v>158</v>
      </c>
      <c r="S458">
        <v>91.58</v>
      </c>
      <c r="T458">
        <v>549.48</v>
      </c>
      <c r="U458">
        <v>504.12</v>
      </c>
      <c r="V458" s="4" t="s">
        <v>30</v>
      </c>
    </row>
    <row r="459" spans="1:22" x14ac:dyDescent="0.2">
      <c r="A459" s="4" t="s">
        <v>643</v>
      </c>
      <c r="B459">
        <v>458</v>
      </c>
      <c r="C459" s="4" t="s">
        <v>26</v>
      </c>
      <c r="D459" s="4" t="s">
        <v>44</v>
      </c>
      <c r="E459" s="4" t="s">
        <v>56</v>
      </c>
      <c r="F459" s="4" t="s">
        <v>1922</v>
      </c>
      <c r="G459">
        <v>12</v>
      </c>
      <c r="H459">
        <v>60</v>
      </c>
      <c r="I459" s="4" t="s">
        <v>1949</v>
      </c>
      <c r="J459" s="4" t="s">
        <v>956</v>
      </c>
      <c r="K459" s="4" t="s">
        <v>114</v>
      </c>
      <c r="L459" s="4" t="s">
        <v>115</v>
      </c>
      <c r="M459" s="4" t="s">
        <v>108</v>
      </c>
      <c r="N459" s="4" t="s">
        <v>131</v>
      </c>
      <c r="O459" s="4" t="s">
        <v>132</v>
      </c>
      <c r="P459">
        <v>28</v>
      </c>
      <c r="Q459">
        <v>28</v>
      </c>
      <c r="R459" s="4" t="s">
        <v>158</v>
      </c>
      <c r="S459">
        <v>67.069999999999993</v>
      </c>
      <c r="T459">
        <v>1877.96</v>
      </c>
      <c r="U459">
        <v>1702.96</v>
      </c>
      <c r="V459" s="4" t="s">
        <v>30</v>
      </c>
    </row>
    <row r="460" spans="1:22" x14ac:dyDescent="0.2">
      <c r="A460" s="4" t="s">
        <v>644</v>
      </c>
      <c r="B460">
        <v>459</v>
      </c>
      <c r="C460" s="4" t="s">
        <v>26</v>
      </c>
      <c r="D460" s="4" t="s">
        <v>44</v>
      </c>
      <c r="E460" s="4" t="s">
        <v>56</v>
      </c>
      <c r="F460" s="4" t="s">
        <v>1922</v>
      </c>
      <c r="G460">
        <v>12</v>
      </c>
      <c r="H460">
        <v>60</v>
      </c>
      <c r="I460" s="4" t="s">
        <v>1949</v>
      </c>
      <c r="J460" s="4" t="s">
        <v>964</v>
      </c>
      <c r="K460" s="4" t="s">
        <v>114</v>
      </c>
      <c r="L460" s="4" t="s">
        <v>115</v>
      </c>
      <c r="M460" s="4" t="s">
        <v>108</v>
      </c>
      <c r="N460" s="4" t="s">
        <v>131</v>
      </c>
      <c r="O460" s="4" t="s">
        <v>132</v>
      </c>
      <c r="P460">
        <v>34</v>
      </c>
      <c r="Q460">
        <v>34</v>
      </c>
      <c r="R460" s="4" t="s">
        <v>158</v>
      </c>
      <c r="S460">
        <v>67.069999999999993</v>
      </c>
      <c r="T460">
        <v>2280.38</v>
      </c>
      <c r="U460">
        <v>2067.88</v>
      </c>
      <c r="V460" s="4" t="s">
        <v>30</v>
      </c>
    </row>
    <row r="461" spans="1:22" x14ac:dyDescent="0.2">
      <c r="A461" s="4" t="s">
        <v>645</v>
      </c>
      <c r="B461">
        <v>460</v>
      </c>
      <c r="C461" s="4" t="s">
        <v>26</v>
      </c>
      <c r="D461" s="4" t="s">
        <v>44</v>
      </c>
      <c r="E461" s="4" t="s">
        <v>56</v>
      </c>
      <c r="F461" s="4" t="s">
        <v>1922</v>
      </c>
      <c r="G461">
        <v>12</v>
      </c>
      <c r="H461">
        <v>60</v>
      </c>
      <c r="I461" s="4" t="s">
        <v>1950</v>
      </c>
      <c r="J461" s="4" t="s">
        <v>956</v>
      </c>
      <c r="K461" s="4" t="s">
        <v>116</v>
      </c>
      <c r="L461" s="4" t="s">
        <v>117</v>
      </c>
      <c r="M461" s="4" t="s">
        <v>108</v>
      </c>
      <c r="N461" s="4" t="s">
        <v>129</v>
      </c>
      <c r="O461" s="4" t="s">
        <v>130</v>
      </c>
      <c r="P461">
        <v>23</v>
      </c>
      <c r="Q461">
        <v>23</v>
      </c>
      <c r="R461" s="4" t="s">
        <v>158</v>
      </c>
      <c r="S461">
        <v>91.58</v>
      </c>
      <c r="T461">
        <v>2106.34</v>
      </c>
      <c r="U461">
        <v>1932.46</v>
      </c>
      <c r="V461" s="4" t="s">
        <v>30</v>
      </c>
    </row>
    <row r="462" spans="1:22" x14ac:dyDescent="0.2">
      <c r="A462" s="4" t="s">
        <v>646</v>
      </c>
      <c r="B462">
        <v>461</v>
      </c>
      <c r="C462" s="4" t="s">
        <v>26</v>
      </c>
      <c r="D462" s="4" t="s">
        <v>44</v>
      </c>
      <c r="E462" s="4" t="s">
        <v>56</v>
      </c>
      <c r="F462" s="4" t="s">
        <v>1922</v>
      </c>
      <c r="G462">
        <v>12</v>
      </c>
      <c r="H462">
        <v>60</v>
      </c>
      <c r="I462" s="4" t="s">
        <v>1951</v>
      </c>
      <c r="J462" s="4" t="s">
        <v>956</v>
      </c>
      <c r="K462" s="4" t="s">
        <v>116</v>
      </c>
      <c r="L462" s="4" t="s">
        <v>117</v>
      </c>
      <c r="M462" s="4" t="s">
        <v>108</v>
      </c>
      <c r="N462" s="4" t="s">
        <v>131</v>
      </c>
      <c r="O462" s="4" t="s">
        <v>132</v>
      </c>
      <c r="P462">
        <v>33</v>
      </c>
      <c r="Q462">
        <v>33</v>
      </c>
      <c r="R462" s="4" t="s">
        <v>158</v>
      </c>
      <c r="S462">
        <v>67.069999999999993</v>
      </c>
      <c r="T462">
        <v>2213.31</v>
      </c>
      <c r="U462">
        <v>2007.06</v>
      </c>
      <c r="V462" s="4" t="s">
        <v>30</v>
      </c>
    </row>
    <row r="463" spans="1:22" x14ac:dyDescent="0.2">
      <c r="A463" s="4" t="s">
        <v>647</v>
      </c>
      <c r="B463">
        <v>462</v>
      </c>
      <c r="C463" s="4" t="s">
        <v>26</v>
      </c>
      <c r="D463" s="4" t="s">
        <v>47</v>
      </c>
      <c r="E463" s="4" t="s">
        <v>27</v>
      </c>
      <c r="F463" s="4" t="s">
        <v>1953</v>
      </c>
      <c r="G463">
        <v>13</v>
      </c>
      <c r="H463">
        <v>61</v>
      </c>
      <c r="I463" s="4" t="s">
        <v>1977</v>
      </c>
      <c r="J463" s="4" t="s">
        <v>962</v>
      </c>
      <c r="K463" s="4" t="s">
        <v>112</v>
      </c>
      <c r="L463" s="4" t="s">
        <v>113</v>
      </c>
      <c r="M463" s="4" t="s">
        <v>108</v>
      </c>
      <c r="N463" s="4" t="s">
        <v>122</v>
      </c>
      <c r="O463" s="4" t="s">
        <v>123</v>
      </c>
      <c r="P463">
        <v>63</v>
      </c>
      <c r="Q463">
        <v>63</v>
      </c>
      <c r="R463" s="4" t="s">
        <v>158</v>
      </c>
      <c r="S463">
        <v>28.18</v>
      </c>
      <c r="T463">
        <v>1775.34</v>
      </c>
      <c r="U463">
        <v>1469.16</v>
      </c>
      <c r="V463" s="4" t="s">
        <v>30</v>
      </c>
    </row>
    <row r="464" spans="1:22" x14ac:dyDescent="0.2">
      <c r="A464" s="4" t="s">
        <v>648</v>
      </c>
      <c r="B464">
        <v>463</v>
      </c>
      <c r="C464" s="4" t="s">
        <v>26</v>
      </c>
      <c r="D464" s="4" t="s">
        <v>47</v>
      </c>
      <c r="E464" s="4" t="s">
        <v>27</v>
      </c>
      <c r="F464" s="4" t="s">
        <v>1953</v>
      </c>
      <c r="G464">
        <v>13</v>
      </c>
      <c r="H464">
        <v>61</v>
      </c>
      <c r="I464" s="4" t="s">
        <v>1978</v>
      </c>
      <c r="J464" s="4" t="s">
        <v>956</v>
      </c>
      <c r="K464" s="4" t="s">
        <v>112</v>
      </c>
      <c r="L464" s="4" t="s">
        <v>113</v>
      </c>
      <c r="M464" s="4" t="s">
        <v>108</v>
      </c>
      <c r="N464" s="4" t="s">
        <v>122</v>
      </c>
      <c r="O464" s="4" t="s">
        <v>123</v>
      </c>
      <c r="P464">
        <v>72</v>
      </c>
      <c r="Q464">
        <v>72</v>
      </c>
      <c r="R464" s="4" t="s">
        <v>158</v>
      </c>
      <c r="S464">
        <v>28.18</v>
      </c>
      <c r="T464">
        <v>2028.96</v>
      </c>
      <c r="U464">
        <v>1679.04</v>
      </c>
      <c r="V464" s="4" t="s">
        <v>30</v>
      </c>
    </row>
    <row r="465" spans="1:22" x14ac:dyDescent="0.2">
      <c r="A465" s="4" t="s">
        <v>649</v>
      </c>
      <c r="B465">
        <v>464</v>
      </c>
      <c r="C465" s="4" t="s">
        <v>26</v>
      </c>
      <c r="D465" s="4" t="s">
        <v>47</v>
      </c>
      <c r="E465" s="4" t="s">
        <v>27</v>
      </c>
      <c r="F465" s="4" t="s">
        <v>1953</v>
      </c>
      <c r="G465">
        <v>13</v>
      </c>
      <c r="H465">
        <v>61</v>
      </c>
      <c r="I465" s="4" t="s">
        <v>1977</v>
      </c>
      <c r="J465" s="4" t="s">
        <v>956</v>
      </c>
      <c r="K465" s="4" t="s">
        <v>112</v>
      </c>
      <c r="L465" s="4" t="s">
        <v>113</v>
      </c>
      <c r="M465" s="4" t="s">
        <v>108</v>
      </c>
      <c r="N465" s="4" t="s">
        <v>131</v>
      </c>
      <c r="O465" s="4" t="s">
        <v>132</v>
      </c>
      <c r="P465">
        <v>25</v>
      </c>
      <c r="Q465">
        <v>25</v>
      </c>
      <c r="R465" s="4" t="s">
        <v>158</v>
      </c>
      <c r="S465">
        <v>67.069999999999993</v>
      </c>
      <c r="T465">
        <v>1676.75</v>
      </c>
      <c r="U465">
        <v>1520.5</v>
      </c>
      <c r="V465" s="4" t="s">
        <v>30</v>
      </c>
    </row>
    <row r="466" spans="1:22" x14ac:dyDescent="0.2">
      <c r="A466" s="4" t="s">
        <v>650</v>
      </c>
      <c r="B466">
        <v>465</v>
      </c>
      <c r="C466" s="4" t="s">
        <v>26</v>
      </c>
      <c r="D466" s="4" t="s">
        <v>47</v>
      </c>
      <c r="E466" s="4" t="s">
        <v>27</v>
      </c>
      <c r="F466" s="4" t="s">
        <v>1953</v>
      </c>
      <c r="G466">
        <v>13</v>
      </c>
      <c r="H466">
        <v>61</v>
      </c>
      <c r="I466" s="4" t="s">
        <v>1979</v>
      </c>
      <c r="J466" s="4" t="s">
        <v>962</v>
      </c>
      <c r="K466" s="4" t="s">
        <v>114</v>
      </c>
      <c r="L466" s="4" t="s">
        <v>115</v>
      </c>
      <c r="M466" s="4" t="s">
        <v>108</v>
      </c>
      <c r="N466" s="4" t="s">
        <v>127</v>
      </c>
      <c r="O466" s="4" t="s">
        <v>128</v>
      </c>
      <c r="P466">
        <v>48</v>
      </c>
      <c r="Q466">
        <v>48</v>
      </c>
      <c r="R466" s="4" t="s">
        <v>158</v>
      </c>
      <c r="S466">
        <v>31.45</v>
      </c>
      <c r="T466">
        <v>1509.6</v>
      </c>
      <c r="U466">
        <v>1262.4000000000001</v>
      </c>
      <c r="V466" s="4" t="s">
        <v>30</v>
      </c>
    </row>
    <row r="467" spans="1:22" x14ac:dyDescent="0.2">
      <c r="A467" s="4" t="s">
        <v>651</v>
      </c>
      <c r="B467">
        <v>466</v>
      </c>
      <c r="C467" s="4" t="s">
        <v>26</v>
      </c>
      <c r="D467" s="4" t="s">
        <v>47</v>
      </c>
      <c r="E467" s="4" t="s">
        <v>27</v>
      </c>
      <c r="F467" s="4" t="s">
        <v>1953</v>
      </c>
      <c r="G467">
        <v>13</v>
      </c>
      <c r="H467">
        <v>61</v>
      </c>
      <c r="I467" s="4" t="s">
        <v>1979</v>
      </c>
      <c r="J467" s="4" t="s">
        <v>956</v>
      </c>
      <c r="K467" s="4" t="s">
        <v>114</v>
      </c>
      <c r="L467" s="4" t="s">
        <v>115</v>
      </c>
      <c r="M467" s="4" t="s">
        <v>108</v>
      </c>
      <c r="N467" s="4" t="s">
        <v>131</v>
      </c>
      <c r="O467" s="4" t="s">
        <v>132</v>
      </c>
      <c r="P467">
        <v>32</v>
      </c>
      <c r="Q467">
        <v>32</v>
      </c>
      <c r="R467" s="4" t="s">
        <v>158</v>
      </c>
      <c r="S467">
        <v>67.069999999999993</v>
      </c>
      <c r="T467">
        <v>2146.2399999999998</v>
      </c>
      <c r="U467">
        <v>1946.24</v>
      </c>
      <c r="V467" s="4" t="s">
        <v>30</v>
      </c>
    </row>
    <row r="468" spans="1:22" x14ac:dyDescent="0.2">
      <c r="A468" s="4" t="s">
        <v>652</v>
      </c>
      <c r="B468">
        <v>467</v>
      </c>
      <c r="C468" s="4" t="s">
        <v>26</v>
      </c>
      <c r="D468" s="4" t="s">
        <v>47</v>
      </c>
      <c r="E468" s="4" t="s">
        <v>27</v>
      </c>
      <c r="F468" s="4" t="s">
        <v>1953</v>
      </c>
      <c r="G468">
        <v>13</v>
      </c>
      <c r="H468">
        <v>61</v>
      </c>
      <c r="I468" s="4" t="s">
        <v>1980</v>
      </c>
      <c r="J468" s="4" t="s">
        <v>962</v>
      </c>
      <c r="K468" s="4" t="s">
        <v>116</v>
      </c>
      <c r="L468" s="4" t="s">
        <v>117</v>
      </c>
      <c r="M468" s="4" t="s">
        <v>108</v>
      </c>
      <c r="N468" s="4" t="s">
        <v>127</v>
      </c>
      <c r="O468" s="4" t="s">
        <v>128</v>
      </c>
      <c r="P468">
        <v>53</v>
      </c>
      <c r="Q468">
        <v>53</v>
      </c>
      <c r="R468" s="4" t="s">
        <v>158</v>
      </c>
      <c r="S468">
        <v>31.45</v>
      </c>
      <c r="T468">
        <v>1666.85</v>
      </c>
      <c r="U468">
        <v>1393.9</v>
      </c>
      <c r="V468" s="4" t="s">
        <v>30</v>
      </c>
    </row>
    <row r="469" spans="1:22" x14ac:dyDescent="0.2">
      <c r="A469" s="4" t="s">
        <v>653</v>
      </c>
      <c r="B469">
        <v>468</v>
      </c>
      <c r="C469" s="4" t="s">
        <v>26</v>
      </c>
      <c r="D469" s="4" t="s">
        <v>47</v>
      </c>
      <c r="E469" s="4" t="s">
        <v>27</v>
      </c>
      <c r="F469" s="4" t="s">
        <v>1953</v>
      </c>
      <c r="G469">
        <v>13</v>
      </c>
      <c r="H469">
        <v>61</v>
      </c>
      <c r="I469" s="4" t="s">
        <v>1981</v>
      </c>
      <c r="J469" s="4" t="s">
        <v>956</v>
      </c>
      <c r="K469" s="4" t="s">
        <v>116</v>
      </c>
      <c r="L469" s="4" t="s">
        <v>117</v>
      </c>
      <c r="M469" s="4" t="s">
        <v>108</v>
      </c>
      <c r="N469" s="4" t="s">
        <v>129</v>
      </c>
      <c r="O469" s="4" t="s">
        <v>130</v>
      </c>
      <c r="P469">
        <v>21</v>
      </c>
      <c r="Q469">
        <v>21</v>
      </c>
      <c r="R469" s="4" t="s">
        <v>158</v>
      </c>
      <c r="S469">
        <v>91.58</v>
      </c>
      <c r="T469">
        <v>1923.18</v>
      </c>
      <c r="U469">
        <v>1764.42</v>
      </c>
      <c r="V469" s="4" t="s">
        <v>30</v>
      </c>
    </row>
    <row r="470" spans="1:22" x14ac:dyDescent="0.2">
      <c r="A470" s="4" t="s">
        <v>654</v>
      </c>
      <c r="B470">
        <v>469</v>
      </c>
      <c r="C470" s="4" t="s">
        <v>26</v>
      </c>
      <c r="D470" s="4" t="s">
        <v>47</v>
      </c>
      <c r="E470" s="4" t="s">
        <v>27</v>
      </c>
      <c r="F470" s="4" t="s">
        <v>1953</v>
      </c>
      <c r="G470">
        <v>13</v>
      </c>
      <c r="H470">
        <v>61</v>
      </c>
      <c r="I470" s="4" t="s">
        <v>1980</v>
      </c>
      <c r="J470" s="4" t="s">
        <v>956</v>
      </c>
      <c r="K470" s="4" t="s">
        <v>116</v>
      </c>
      <c r="L470" s="4" t="s">
        <v>117</v>
      </c>
      <c r="M470" s="4" t="s">
        <v>108</v>
      </c>
      <c r="N470" s="4" t="s">
        <v>129</v>
      </c>
      <c r="O470" s="4" t="s">
        <v>130</v>
      </c>
      <c r="P470">
        <v>17</v>
      </c>
      <c r="Q470">
        <v>17</v>
      </c>
      <c r="R470" s="4" t="s">
        <v>158</v>
      </c>
      <c r="S470">
        <v>91.58</v>
      </c>
      <c r="T470">
        <v>1556.86</v>
      </c>
      <c r="U470">
        <v>1428.34</v>
      </c>
      <c r="V470" s="4" t="s">
        <v>30</v>
      </c>
    </row>
    <row r="471" spans="1:22" x14ac:dyDescent="0.2">
      <c r="A471" s="4" t="s">
        <v>655</v>
      </c>
      <c r="B471">
        <v>470</v>
      </c>
      <c r="C471" s="4" t="s">
        <v>26</v>
      </c>
      <c r="D471" s="4" t="s">
        <v>47</v>
      </c>
      <c r="E471" s="4" t="s">
        <v>32</v>
      </c>
      <c r="F471" s="4" t="s">
        <v>1983</v>
      </c>
      <c r="G471">
        <v>13</v>
      </c>
      <c r="H471">
        <v>62</v>
      </c>
      <c r="I471" s="4" t="s">
        <v>2008</v>
      </c>
      <c r="J471" s="4" t="s">
        <v>962</v>
      </c>
      <c r="K471" s="4" t="s">
        <v>112</v>
      </c>
      <c r="L471" s="4" t="s">
        <v>113</v>
      </c>
      <c r="M471" s="4" t="s">
        <v>108</v>
      </c>
      <c r="N471" s="4" t="s">
        <v>122</v>
      </c>
      <c r="O471" s="4" t="s">
        <v>123</v>
      </c>
      <c r="P471">
        <v>78</v>
      </c>
      <c r="Q471">
        <v>78</v>
      </c>
      <c r="R471" s="4" t="s">
        <v>158</v>
      </c>
      <c r="S471">
        <v>28.18</v>
      </c>
      <c r="T471">
        <v>2198.04</v>
      </c>
      <c r="U471">
        <v>1818.96</v>
      </c>
      <c r="V471" s="4" t="s">
        <v>30</v>
      </c>
    </row>
    <row r="472" spans="1:22" x14ac:dyDescent="0.2">
      <c r="A472" s="4" t="s">
        <v>656</v>
      </c>
      <c r="B472">
        <v>471</v>
      </c>
      <c r="C472" s="4" t="s">
        <v>26</v>
      </c>
      <c r="D472" s="4" t="s">
        <v>47</v>
      </c>
      <c r="E472" s="4" t="s">
        <v>32</v>
      </c>
      <c r="F472" s="4" t="s">
        <v>1983</v>
      </c>
      <c r="G472">
        <v>13</v>
      </c>
      <c r="H472">
        <v>62</v>
      </c>
      <c r="I472" s="4" t="s">
        <v>2008</v>
      </c>
      <c r="J472" s="4" t="s">
        <v>964</v>
      </c>
      <c r="K472" s="4" t="s">
        <v>112</v>
      </c>
      <c r="L472" s="4" t="s">
        <v>113</v>
      </c>
      <c r="M472" s="4" t="s">
        <v>108</v>
      </c>
      <c r="N472" s="4" t="s">
        <v>122</v>
      </c>
      <c r="O472" s="4" t="s">
        <v>123</v>
      </c>
      <c r="P472">
        <v>74</v>
      </c>
      <c r="Q472">
        <v>74</v>
      </c>
      <c r="R472" s="4" t="s">
        <v>158</v>
      </c>
      <c r="S472">
        <v>28.18</v>
      </c>
      <c r="T472">
        <v>2085.3200000000002</v>
      </c>
      <c r="U472">
        <v>1725.68</v>
      </c>
      <c r="V472" s="4" t="s">
        <v>30</v>
      </c>
    </row>
    <row r="473" spans="1:22" x14ac:dyDescent="0.2">
      <c r="A473" s="4" t="s">
        <v>657</v>
      </c>
      <c r="B473">
        <v>472</v>
      </c>
      <c r="C473" s="4" t="s">
        <v>26</v>
      </c>
      <c r="D473" s="4" t="s">
        <v>47</v>
      </c>
      <c r="E473" s="4" t="s">
        <v>32</v>
      </c>
      <c r="F473" s="4" t="s">
        <v>1983</v>
      </c>
      <c r="G473">
        <v>13</v>
      </c>
      <c r="H473">
        <v>62</v>
      </c>
      <c r="I473" s="4" t="s">
        <v>2009</v>
      </c>
      <c r="J473" s="4" t="s">
        <v>956</v>
      </c>
      <c r="K473" s="4" t="s">
        <v>112</v>
      </c>
      <c r="L473" s="4" t="s">
        <v>113</v>
      </c>
      <c r="M473" s="4" t="s">
        <v>108</v>
      </c>
      <c r="N473" s="4" t="s">
        <v>122</v>
      </c>
      <c r="O473" s="4" t="s">
        <v>123</v>
      </c>
      <c r="P473">
        <v>67</v>
      </c>
      <c r="Q473">
        <v>67</v>
      </c>
      <c r="R473" s="4" t="s">
        <v>158</v>
      </c>
      <c r="S473">
        <v>28.18</v>
      </c>
      <c r="T473">
        <v>1888.06</v>
      </c>
      <c r="U473">
        <v>1562.44</v>
      </c>
      <c r="V473" s="4" t="s">
        <v>30</v>
      </c>
    </row>
    <row r="474" spans="1:22" x14ac:dyDescent="0.2">
      <c r="A474" s="4" t="s">
        <v>658</v>
      </c>
      <c r="B474">
        <v>473</v>
      </c>
      <c r="C474" s="4" t="s">
        <v>26</v>
      </c>
      <c r="D474" s="4" t="s">
        <v>47</v>
      </c>
      <c r="E474" s="4" t="s">
        <v>32</v>
      </c>
      <c r="F474" s="4" t="s">
        <v>1983</v>
      </c>
      <c r="G474">
        <v>13</v>
      </c>
      <c r="H474">
        <v>62</v>
      </c>
      <c r="I474" s="4" t="s">
        <v>2008</v>
      </c>
      <c r="J474" s="4" t="s">
        <v>956</v>
      </c>
      <c r="K474" s="4" t="s">
        <v>112</v>
      </c>
      <c r="L474" s="4" t="s">
        <v>113</v>
      </c>
      <c r="M474" s="4" t="s">
        <v>108</v>
      </c>
      <c r="N474" s="4" t="s">
        <v>127</v>
      </c>
      <c r="O474" s="4" t="s">
        <v>128</v>
      </c>
      <c r="P474">
        <v>73</v>
      </c>
      <c r="Q474">
        <v>73</v>
      </c>
      <c r="R474" s="4" t="s">
        <v>158</v>
      </c>
      <c r="S474">
        <v>31.45</v>
      </c>
      <c r="T474">
        <v>2295.85</v>
      </c>
      <c r="U474">
        <v>1919.9</v>
      </c>
      <c r="V474" s="4" t="s">
        <v>30</v>
      </c>
    </row>
    <row r="475" spans="1:22" x14ac:dyDescent="0.2">
      <c r="A475" s="4" t="s">
        <v>659</v>
      </c>
      <c r="B475">
        <v>474</v>
      </c>
      <c r="C475" s="4" t="s">
        <v>26</v>
      </c>
      <c r="D475" s="4" t="s">
        <v>47</v>
      </c>
      <c r="E475" s="4" t="s">
        <v>32</v>
      </c>
      <c r="F475" s="4" t="s">
        <v>1983</v>
      </c>
      <c r="G475">
        <v>13</v>
      </c>
      <c r="H475">
        <v>62</v>
      </c>
      <c r="I475" s="4" t="s">
        <v>2008</v>
      </c>
      <c r="J475" s="4" t="s">
        <v>967</v>
      </c>
      <c r="K475" s="4" t="s">
        <v>112</v>
      </c>
      <c r="L475" s="4" t="s">
        <v>113</v>
      </c>
      <c r="M475" s="4" t="s">
        <v>108</v>
      </c>
      <c r="N475" s="4" t="s">
        <v>129</v>
      </c>
      <c r="O475" s="4" t="s">
        <v>130</v>
      </c>
      <c r="P475">
        <v>17</v>
      </c>
      <c r="Q475">
        <v>17</v>
      </c>
      <c r="R475" s="4" t="s">
        <v>158</v>
      </c>
      <c r="S475">
        <v>91.58</v>
      </c>
      <c r="T475">
        <v>1556.86</v>
      </c>
      <c r="U475">
        <v>1428.34</v>
      </c>
      <c r="V475" s="4" t="s">
        <v>30</v>
      </c>
    </row>
    <row r="476" spans="1:22" x14ac:dyDescent="0.2">
      <c r="A476" s="4" t="s">
        <v>660</v>
      </c>
      <c r="B476">
        <v>475</v>
      </c>
      <c r="C476" s="4" t="s">
        <v>26</v>
      </c>
      <c r="D476" s="4" t="s">
        <v>47</v>
      </c>
      <c r="E476" s="4" t="s">
        <v>32</v>
      </c>
      <c r="F476" s="4" t="s">
        <v>1983</v>
      </c>
      <c r="G476">
        <v>13</v>
      </c>
      <c r="H476">
        <v>62</v>
      </c>
      <c r="I476" s="4" t="s">
        <v>2009</v>
      </c>
      <c r="J476" s="4" t="s">
        <v>962</v>
      </c>
      <c r="K476" s="4" t="s">
        <v>112</v>
      </c>
      <c r="L476" s="4" t="s">
        <v>113</v>
      </c>
      <c r="M476" s="4" t="s">
        <v>108</v>
      </c>
      <c r="N476" s="4" t="s">
        <v>129</v>
      </c>
      <c r="O476" s="4" t="s">
        <v>130</v>
      </c>
      <c r="P476">
        <v>20</v>
      </c>
      <c r="Q476">
        <v>20</v>
      </c>
      <c r="R476" s="4" t="s">
        <v>158</v>
      </c>
      <c r="S476">
        <v>91.58</v>
      </c>
      <c r="T476">
        <v>1831.6</v>
      </c>
      <c r="U476">
        <v>1680.4</v>
      </c>
      <c r="V476" s="4" t="s">
        <v>30</v>
      </c>
    </row>
    <row r="477" spans="1:22" x14ac:dyDescent="0.2">
      <c r="A477" s="4" t="s">
        <v>661</v>
      </c>
      <c r="B477">
        <v>476</v>
      </c>
      <c r="C477" s="4" t="s">
        <v>26</v>
      </c>
      <c r="D477" s="4" t="s">
        <v>47</v>
      </c>
      <c r="E477" s="4" t="s">
        <v>32</v>
      </c>
      <c r="F477" s="4" t="s">
        <v>1983</v>
      </c>
      <c r="G477">
        <v>13</v>
      </c>
      <c r="H477">
        <v>62</v>
      </c>
      <c r="I477" s="4" t="s">
        <v>2011</v>
      </c>
      <c r="J477" s="4" t="s">
        <v>956</v>
      </c>
      <c r="K477" s="4" t="s">
        <v>114</v>
      </c>
      <c r="L477" s="4" t="s">
        <v>115</v>
      </c>
      <c r="M477" s="4" t="s">
        <v>108</v>
      </c>
      <c r="N477" s="4" t="s">
        <v>125</v>
      </c>
      <c r="O477" s="4" t="s">
        <v>126</v>
      </c>
      <c r="P477">
        <v>24</v>
      </c>
      <c r="Q477">
        <v>24</v>
      </c>
      <c r="R477" s="4" t="s">
        <v>158</v>
      </c>
      <c r="S477">
        <v>79.87</v>
      </c>
      <c r="T477">
        <v>1916.88</v>
      </c>
      <c r="U477">
        <v>1753.2</v>
      </c>
      <c r="V477" s="4" t="s">
        <v>30</v>
      </c>
    </row>
    <row r="478" spans="1:22" x14ac:dyDescent="0.2">
      <c r="A478" s="4" t="s">
        <v>662</v>
      </c>
      <c r="B478">
        <v>477</v>
      </c>
      <c r="C478" s="4" t="s">
        <v>26</v>
      </c>
      <c r="D478" s="4" t="s">
        <v>47</v>
      </c>
      <c r="E478" s="4" t="s">
        <v>32</v>
      </c>
      <c r="F478" s="4" t="s">
        <v>1983</v>
      </c>
      <c r="G478">
        <v>13</v>
      </c>
      <c r="H478">
        <v>62</v>
      </c>
      <c r="I478" s="4" t="s">
        <v>2010</v>
      </c>
      <c r="J478" s="4" t="s">
        <v>962</v>
      </c>
      <c r="K478" s="4" t="s">
        <v>114</v>
      </c>
      <c r="L478" s="4" t="s">
        <v>115</v>
      </c>
      <c r="M478" s="4" t="s">
        <v>108</v>
      </c>
      <c r="N478" s="4" t="s">
        <v>125</v>
      </c>
      <c r="O478" s="4" t="s">
        <v>126</v>
      </c>
      <c r="P478">
        <v>25</v>
      </c>
      <c r="Q478">
        <v>25</v>
      </c>
      <c r="R478" s="4" t="s">
        <v>158</v>
      </c>
      <c r="S478">
        <v>79.87</v>
      </c>
      <c r="T478">
        <v>1996.75</v>
      </c>
      <c r="U478">
        <v>1826.25</v>
      </c>
      <c r="V478" s="4" t="s">
        <v>30</v>
      </c>
    </row>
    <row r="479" spans="1:22" x14ac:dyDescent="0.2">
      <c r="A479" s="4" t="s">
        <v>663</v>
      </c>
      <c r="B479">
        <v>478</v>
      </c>
      <c r="C479" s="4" t="s">
        <v>26</v>
      </c>
      <c r="D479" s="4" t="s">
        <v>47</v>
      </c>
      <c r="E479" s="4" t="s">
        <v>32</v>
      </c>
      <c r="F479" s="4" t="s">
        <v>1983</v>
      </c>
      <c r="G479">
        <v>13</v>
      </c>
      <c r="H479">
        <v>62</v>
      </c>
      <c r="I479" s="4" t="s">
        <v>2011</v>
      </c>
      <c r="J479" s="4" t="s">
        <v>962</v>
      </c>
      <c r="K479" s="4" t="s">
        <v>114</v>
      </c>
      <c r="L479" s="4" t="s">
        <v>115</v>
      </c>
      <c r="M479" s="4" t="s">
        <v>108</v>
      </c>
      <c r="N479" s="4" t="s">
        <v>127</v>
      </c>
      <c r="O479" s="4" t="s">
        <v>128</v>
      </c>
      <c r="P479">
        <v>63</v>
      </c>
      <c r="Q479">
        <v>63</v>
      </c>
      <c r="R479" s="4" t="s">
        <v>158</v>
      </c>
      <c r="S479">
        <v>31.45</v>
      </c>
      <c r="T479">
        <v>1981.35</v>
      </c>
      <c r="U479">
        <v>1656.9</v>
      </c>
      <c r="V479" s="4" t="s">
        <v>30</v>
      </c>
    </row>
    <row r="480" spans="1:22" x14ac:dyDescent="0.2">
      <c r="A480" s="4" t="s">
        <v>664</v>
      </c>
      <c r="B480">
        <v>479</v>
      </c>
      <c r="C480" s="4" t="s">
        <v>26</v>
      </c>
      <c r="D480" s="4" t="s">
        <v>47</v>
      </c>
      <c r="E480" s="4" t="s">
        <v>32</v>
      </c>
      <c r="F480" s="4" t="s">
        <v>1983</v>
      </c>
      <c r="G480">
        <v>13</v>
      </c>
      <c r="H480">
        <v>62</v>
      </c>
      <c r="I480" s="4" t="s">
        <v>2010</v>
      </c>
      <c r="J480" s="4" t="s">
        <v>956</v>
      </c>
      <c r="K480" s="4" t="s">
        <v>114</v>
      </c>
      <c r="L480" s="4" t="s">
        <v>115</v>
      </c>
      <c r="M480" s="4" t="s">
        <v>108</v>
      </c>
      <c r="N480" s="4" t="s">
        <v>127</v>
      </c>
      <c r="O480" s="4" t="s">
        <v>128</v>
      </c>
      <c r="P480">
        <v>75</v>
      </c>
      <c r="Q480">
        <v>75</v>
      </c>
      <c r="R480" s="4" t="s">
        <v>158</v>
      </c>
      <c r="S480">
        <v>31.45</v>
      </c>
      <c r="T480">
        <v>2358.75</v>
      </c>
      <c r="U480">
        <v>1972.5</v>
      </c>
      <c r="V480" s="4" t="s">
        <v>30</v>
      </c>
    </row>
    <row r="481" spans="1:22" x14ac:dyDescent="0.2">
      <c r="A481" s="4" t="s">
        <v>665</v>
      </c>
      <c r="B481">
        <v>480</v>
      </c>
      <c r="C481" s="4" t="s">
        <v>26</v>
      </c>
      <c r="D481" s="4" t="s">
        <v>47</v>
      </c>
      <c r="E481" s="4" t="s">
        <v>32</v>
      </c>
      <c r="F481" s="4" t="s">
        <v>1983</v>
      </c>
      <c r="G481">
        <v>13</v>
      </c>
      <c r="H481">
        <v>62</v>
      </c>
      <c r="I481" s="4" t="s">
        <v>2012</v>
      </c>
      <c r="J481" s="4" t="s">
        <v>956</v>
      </c>
      <c r="K481" s="4" t="s">
        <v>116</v>
      </c>
      <c r="L481" s="4" t="s">
        <v>117</v>
      </c>
      <c r="M481" s="4" t="s">
        <v>108</v>
      </c>
      <c r="N481" s="4" t="s">
        <v>129</v>
      </c>
      <c r="O481" s="4" t="s">
        <v>130</v>
      </c>
      <c r="P481">
        <v>17</v>
      </c>
      <c r="Q481">
        <v>17</v>
      </c>
      <c r="R481" s="4" t="s">
        <v>158</v>
      </c>
      <c r="S481">
        <v>91.58</v>
      </c>
      <c r="T481">
        <v>1556.86</v>
      </c>
      <c r="U481">
        <v>1428.34</v>
      </c>
      <c r="V481" s="4" t="s">
        <v>30</v>
      </c>
    </row>
    <row r="482" spans="1:22" x14ac:dyDescent="0.2">
      <c r="A482" s="4" t="s">
        <v>666</v>
      </c>
      <c r="B482">
        <v>481</v>
      </c>
      <c r="C482" s="4" t="s">
        <v>26</v>
      </c>
      <c r="D482" s="4" t="s">
        <v>47</v>
      </c>
      <c r="E482" s="4" t="s">
        <v>32</v>
      </c>
      <c r="F482" s="4" t="s">
        <v>1983</v>
      </c>
      <c r="G482">
        <v>13</v>
      </c>
      <c r="H482">
        <v>62</v>
      </c>
      <c r="I482" s="4" t="s">
        <v>2013</v>
      </c>
      <c r="J482" s="4" t="s">
        <v>956</v>
      </c>
      <c r="K482" s="4" t="s">
        <v>116</v>
      </c>
      <c r="L482" s="4" t="s">
        <v>117</v>
      </c>
      <c r="M482" s="4" t="s">
        <v>108</v>
      </c>
      <c r="N482" s="4" t="s">
        <v>133</v>
      </c>
      <c r="O482" s="4" t="s">
        <v>134</v>
      </c>
      <c r="P482">
        <v>43</v>
      </c>
      <c r="Q482">
        <v>43</v>
      </c>
      <c r="R482" s="4" t="s">
        <v>158</v>
      </c>
      <c r="S482">
        <v>48.5</v>
      </c>
      <c r="T482">
        <v>2085.5</v>
      </c>
      <c r="U482">
        <v>1889.42</v>
      </c>
      <c r="V482" s="4" t="s">
        <v>30</v>
      </c>
    </row>
    <row r="483" spans="1:22" x14ac:dyDescent="0.2">
      <c r="A483" s="4" t="s">
        <v>667</v>
      </c>
      <c r="B483">
        <v>482</v>
      </c>
      <c r="C483" s="4" t="s">
        <v>26</v>
      </c>
      <c r="D483" s="4" t="s">
        <v>47</v>
      </c>
      <c r="E483" s="4" t="s">
        <v>35</v>
      </c>
      <c r="F483" s="4" t="s">
        <v>2007</v>
      </c>
      <c r="G483">
        <v>13</v>
      </c>
      <c r="H483">
        <v>63</v>
      </c>
      <c r="I483" s="4" t="s">
        <v>2014</v>
      </c>
      <c r="J483" s="4" t="s">
        <v>956</v>
      </c>
      <c r="K483" s="4" t="s">
        <v>112</v>
      </c>
      <c r="L483" s="4" t="s">
        <v>113</v>
      </c>
      <c r="M483" s="4" t="s">
        <v>108</v>
      </c>
      <c r="N483" s="4" t="s">
        <v>122</v>
      </c>
      <c r="O483" s="4" t="s">
        <v>123</v>
      </c>
      <c r="P483">
        <v>85</v>
      </c>
      <c r="Q483">
        <v>85</v>
      </c>
      <c r="R483" s="4" t="s">
        <v>158</v>
      </c>
      <c r="S483">
        <v>28.18</v>
      </c>
      <c r="T483">
        <v>2395.3000000000002</v>
      </c>
      <c r="U483">
        <v>1982.2</v>
      </c>
      <c r="V483" s="4" t="s">
        <v>30</v>
      </c>
    </row>
    <row r="484" spans="1:22" x14ac:dyDescent="0.2">
      <c r="A484" s="4" t="s">
        <v>668</v>
      </c>
      <c r="B484">
        <v>483</v>
      </c>
      <c r="C484" s="4" t="s">
        <v>26</v>
      </c>
      <c r="D484" s="4" t="s">
        <v>47</v>
      </c>
      <c r="E484" s="4" t="s">
        <v>35</v>
      </c>
      <c r="F484" s="4" t="s">
        <v>2007</v>
      </c>
      <c r="G484">
        <v>13</v>
      </c>
      <c r="H484">
        <v>63</v>
      </c>
      <c r="I484" s="4" t="s">
        <v>2014</v>
      </c>
      <c r="J484" s="4" t="s">
        <v>1005</v>
      </c>
      <c r="K484" s="4" t="s">
        <v>112</v>
      </c>
      <c r="L484" s="4" t="s">
        <v>113</v>
      </c>
      <c r="M484" s="4" t="s">
        <v>108</v>
      </c>
      <c r="N484" s="4" t="s">
        <v>125</v>
      </c>
      <c r="O484" s="4" t="s">
        <v>126</v>
      </c>
      <c r="P484">
        <v>22</v>
      </c>
      <c r="Q484">
        <v>22</v>
      </c>
      <c r="R484" s="4" t="s">
        <v>158</v>
      </c>
      <c r="S484">
        <v>79.87</v>
      </c>
      <c r="T484">
        <v>1757.14</v>
      </c>
      <c r="U484">
        <v>1607.1</v>
      </c>
      <c r="V484" s="4" t="s">
        <v>30</v>
      </c>
    </row>
    <row r="485" spans="1:22" x14ac:dyDescent="0.2">
      <c r="A485" s="4" t="s">
        <v>669</v>
      </c>
      <c r="B485">
        <v>484</v>
      </c>
      <c r="C485" s="4" t="s">
        <v>26</v>
      </c>
      <c r="D485" s="4" t="s">
        <v>47</v>
      </c>
      <c r="E485" s="4" t="s">
        <v>35</v>
      </c>
      <c r="F485" s="4" t="s">
        <v>2007</v>
      </c>
      <c r="G485">
        <v>13</v>
      </c>
      <c r="H485">
        <v>63</v>
      </c>
      <c r="I485" s="4" t="s">
        <v>2014</v>
      </c>
      <c r="J485" s="4" t="s">
        <v>1006</v>
      </c>
      <c r="K485" s="4" t="s">
        <v>112</v>
      </c>
      <c r="L485" s="4" t="s">
        <v>113</v>
      </c>
      <c r="M485" s="4" t="s">
        <v>108</v>
      </c>
      <c r="N485" s="4" t="s">
        <v>127</v>
      </c>
      <c r="O485" s="4" t="s">
        <v>128</v>
      </c>
      <c r="P485">
        <v>47</v>
      </c>
      <c r="Q485">
        <v>47</v>
      </c>
      <c r="R485" s="4" t="s">
        <v>158</v>
      </c>
      <c r="S485">
        <v>31.45</v>
      </c>
      <c r="T485">
        <v>1478.15</v>
      </c>
      <c r="U485">
        <v>1236.0999999999999</v>
      </c>
      <c r="V485" s="4" t="s">
        <v>30</v>
      </c>
    </row>
    <row r="486" spans="1:22" x14ac:dyDescent="0.2">
      <c r="A486" s="4" t="s">
        <v>670</v>
      </c>
      <c r="B486">
        <v>485</v>
      </c>
      <c r="C486" s="4" t="s">
        <v>26</v>
      </c>
      <c r="D486" s="4" t="s">
        <v>47</v>
      </c>
      <c r="E486" s="4" t="s">
        <v>35</v>
      </c>
      <c r="F486" s="4" t="s">
        <v>2007</v>
      </c>
      <c r="G486">
        <v>13</v>
      </c>
      <c r="H486">
        <v>63</v>
      </c>
      <c r="I486" s="4" t="s">
        <v>2014</v>
      </c>
      <c r="J486" s="4" t="s">
        <v>962</v>
      </c>
      <c r="K486" s="4" t="s">
        <v>112</v>
      </c>
      <c r="L486" s="4" t="s">
        <v>113</v>
      </c>
      <c r="M486" s="4" t="s">
        <v>108</v>
      </c>
      <c r="N486" s="4" t="s">
        <v>127</v>
      </c>
      <c r="O486" s="4" t="s">
        <v>128</v>
      </c>
      <c r="P486">
        <v>72</v>
      </c>
      <c r="Q486">
        <v>72</v>
      </c>
      <c r="R486" s="4" t="s">
        <v>158</v>
      </c>
      <c r="S486">
        <v>31.45</v>
      </c>
      <c r="T486">
        <v>2264.4</v>
      </c>
      <c r="U486">
        <v>1893.6</v>
      </c>
      <c r="V486" s="4" t="s">
        <v>30</v>
      </c>
    </row>
    <row r="487" spans="1:22" x14ac:dyDescent="0.2">
      <c r="A487" s="4" t="s">
        <v>671</v>
      </c>
      <c r="B487">
        <v>486</v>
      </c>
      <c r="C487" s="4" t="s">
        <v>26</v>
      </c>
      <c r="D487" s="4" t="s">
        <v>47</v>
      </c>
      <c r="E487" s="4" t="s">
        <v>35</v>
      </c>
      <c r="F487" s="4" t="s">
        <v>2007</v>
      </c>
      <c r="G487">
        <v>13</v>
      </c>
      <c r="H487">
        <v>63</v>
      </c>
      <c r="I487" s="4" t="s">
        <v>2015</v>
      </c>
      <c r="J487" s="4" t="s">
        <v>956</v>
      </c>
      <c r="K487" s="4" t="s">
        <v>114</v>
      </c>
      <c r="L487" s="4" t="s">
        <v>115</v>
      </c>
      <c r="M487" s="4" t="s">
        <v>108</v>
      </c>
      <c r="N487" s="4" t="s">
        <v>122</v>
      </c>
      <c r="O487" s="4" t="s">
        <v>123</v>
      </c>
      <c r="P487">
        <v>80</v>
      </c>
      <c r="Q487">
        <v>80</v>
      </c>
      <c r="R487" s="4" t="s">
        <v>158</v>
      </c>
      <c r="S487">
        <v>28.18</v>
      </c>
      <c r="T487">
        <v>2254.4</v>
      </c>
      <c r="U487">
        <v>1865.6</v>
      </c>
      <c r="V487" s="4" t="s">
        <v>30</v>
      </c>
    </row>
    <row r="488" spans="1:22" x14ac:dyDescent="0.2">
      <c r="A488" s="4" t="s">
        <v>672</v>
      </c>
      <c r="B488">
        <v>487</v>
      </c>
      <c r="C488" s="4" t="s">
        <v>26</v>
      </c>
      <c r="D488" s="4" t="s">
        <v>47</v>
      </c>
      <c r="E488" s="4" t="s">
        <v>35</v>
      </c>
      <c r="F488" s="4" t="s">
        <v>2007</v>
      </c>
      <c r="G488">
        <v>13</v>
      </c>
      <c r="H488">
        <v>63</v>
      </c>
      <c r="I488" s="4" t="s">
        <v>2016</v>
      </c>
      <c r="J488" s="4" t="s">
        <v>964</v>
      </c>
      <c r="K488" s="4" t="s">
        <v>116</v>
      </c>
      <c r="L488" s="4" t="s">
        <v>117</v>
      </c>
      <c r="M488" s="4" t="s">
        <v>108</v>
      </c>
      <c r="N488" s="4" t="s">
        <v>122</v>
      </c>
      <c r="O488" s="4" t="s">
        <v>123</v>
      </c>
      <c r="P488">
        <v>74</v>
      </c>
      <c r="Q488">
        <v>74</v>
      </c>
      <c r="R488" s="4" t="s">
        <v>158</v>
      </c>
      <c r="S488">
        <v>28.18</v>
      </c>
      <c r="T488">
        <v>2085.3200000000002</v>
      </c>
      <c r="U488">
        <v>1725.68</v>
      </c>
      <c r="V488" s="4" t="s">
        <v>30</v>
      </c>
    </row>
    <row r="489" spans="1:22" x14ac:dyDescent="0.2">
      <c r="A489" s="4" t="s">
        <v>673</v>
      </c>
      <c r="B489">
        <v>488</v>
      </c>
      <c r="C489" s="4" t="s">
        <v>26</v>
      </c>
      <c r="D489" s="4" t="s">
        <v>47</v>
      </c>
      <c r="E489" s="4" t="s">
        <v>35</v>
      </c>
      <c r="F489" s="4" t="s">
        <v>2007</v>
      </c>
      <c r="G489">
        <v>13</v>
      </c>
      <c r="H489">
        <v>63</v>
      </c>
      <c r="I489" s="4" t="s">
        <v>2016</v>
      </c>
      <c r="J489" s="4" t="s">
        <v>956</v>
      </c>
      <c r="K489" s="4" t="s">
        <v>116</v>
      </c>
      <c r="L489" s="4" t="s">
        <v>117</v>
      </c>
      <c r="M489" s="4" t="s">
        <v>108</v>
      </c>
      <c r="N489" s="4" t="s">
        <v>129</v>
      </c>
      <c r="O489" s="4" t="s">
        <v>130</v>
      </c>
      <c r="P489">
        <v>10</v>
      </c>
      <c r="Q489">
        <v>10</v>
      </c>
      <c r="R489" s="4" t="s">
        <v>158</v>
      </c>
      <c r="S489">
        <v>91.58</v>
      </c>
      <c r="T489">
        <v>915.8</v>
      </c>
      <c r="U489">
        <v>840.2</v>
      </c>
      <c r="V489" s="4" t="s">
        <v>30</v>
      </c>
    </row>
    <row r="490" spans="1:22" x14ac:dyDescent="0.2">
      <c r="A490" s="4" t="s">
        <v>674</v>
      </c>
      <c r="B490">
        <v>489</v>
      </c>
      <c r="C490" s="4" t="s">
        <v>26</v>
      </c>
      <c r="D490" s="4" t="s">
        <v>47</v>
      </c>
      <c r="E490" s="4" t="s">
        <v>38</v>
      </c>
      <c r="F490" s="4" t="s">
        <v>2042</v>
      </c>
      <c r="G490">
        <v>13</v>
      </c>
      <c r="H490">
        <v>64</v>
      </c>
      <c r="I490" s="4" t="s">
        <v>2068</v>
      </c>
      <c r="J490" s="4" t="s">
        <v>956</v>
      </c>
      <c r="K490" s="4" t="s">
        <v>112</v>
      </c>
      <c r="L490" s="4" t="s">
        <v>113</v>
      </c>
      <c r="M490" s="4" t="s">
        <v>108</v>
      </c>
      <c r="N490" s="4" t="s">
        <v>131</v>
      </c>
      <c r="O490" s="4" t="s">
        <v>132</v>
      </c>
      <c r="P490">
        <v>31</v>
      </c>
      <c r="Q490">
        <v>31</v>
      </c>
      <c r="R490" s="4" t="s">
        <v>158</v>
      </c>
      <c r="S490">
        <v>67.069999999999993</v>
      </c>
      <c r="T490">
        <v>2079.17</v>
      </c>
      <c r="U490">
        <v>1881.39</v>
      </c>
      <c r="V490" s="4" t="s">
        <v>30</v>
      </c>
    </row>
    <row r="491" spans="1:22" x14ac:dyDescent="0.2">
      <c r="A491" s="4" t="s">
        <v>675</v>
      </c>
      <c r="B491">
        <v>490</v>
      </c>
      <c r="C491" s="4" t="s">
        <v>26</v>
      </c>
      <c r="D491" s="4" t="s">
        <v>47</v>
      </c>
      <c r="E491" s="4" t="s">
        <v>38</v>
      </c>
      <c r="F491" s="4" t="s">
        <v>2042</v>
      </c>
      <c r="G491">
        <v>13</v>
      </c>
      <c r="H491">
        <v>64</v>
      </c>
      <c r="I491" s="4" t="s">
        <v>2067</v>
      </c>
      <c r="J491" s="4" t="s">
        <v>956</v>
      </c>
      <c r="K491" s="4" t="s">
        <v>112</v>
      </c>
      <c r="L491" s="4" t="s">
        <v>113</v>
      </c>
      <c r="M491" s="4" t="s">
        <v>108</v>
      </c>
      <c r="N491" s="4" t="s">
        <v>131</v>
      </c>
      <c r="O491" s="4" t="s">
        <v>132</v>
      </c>
      <c r="P491">
        <v>37</v>
      </c>
      <c r="Q491">
        <v>37</v>
      </c>
      <c r="R491" s="4" t="s">
        <v>158</v>
      </c>
      <c r="S491">
        <v>67.069999999999993</v>
      </c>
      <c r="T491">
        <v>2481.59</v>
      </c>
      <c r="U491">
        <v>2245.5300000000002</v>
      </c>
      <c r="V491" s="4" t="s">
        <v>30</v>
      </c>
    </row>
    <row r="492" spans="1:22" x14ac:dyDescent="0.2">
      <c r="A492" s="4" t="s">
        <v>676</v>
      </c>
      <c r="B492">
        <v>491</v>
      </c>
      <c r="C492" s="4" t="s">
        <v>26</v>
      </c>
      <c r="D492" s="4" t="s">
        <v>47</v>
      </c>
      <c r="E492" s="4" t="s">
        <v>38</v>
      </c>
      <c r="F492" s="4" t="s">
        <v>2042</v>
      </c>
      <c r="G492">
        <v>13</v>
      </c>
      <c r="H492">
        <v>64</v>
      </c>
      <c r="I492" s="4" t="s">
        <v>2067</v>
      </c>
      <c r="J492" s="4" t="s">
        <v>962</v>
      </c>
      <c r="K492" s="4" t="s">
        <v>112</v>
      </c>
      <c r="L492" s="4" t="s">
        <v>113</v>
      </c>
      <c r="M492" s="4" t="s">
        <v>108</v>
      </c>
      <c r="N492" s="4" t="s">
        <v>133</v>
      </c>
      <c r="O492" s="4" t="s">
        <v>134</v>
      </c>
      <c r="P492">
        <v>31</v>
      </c>
      <c r="Q492">
        <v>31</v>
      </c>
      <c r="R492" s="4" t="s">
        <v>158</v>
      </c>
      <c r="S492">
        <v>48.5</v>
      </c>
      <c r="T492">
        <v>1503.5</v>
      </c>
      <c r="U492">
        <v>1359.66</v>
      </c>
      <c r="V492" s="4" t="s">
        <v>30</v>
      </c>
    </row>
    <row r="493" spans="1:22" x14ac:dyDescent="0.2">
      <c r="A493" s="4" t="s">
        <v>677</v>
      </c>
      <c r="B493">
        <v>492</v>
      </c>
      <c r="C493" s="4" t="s">
        <v>26</v>
      </c>
      <c r="D493" s="4" t="s">
        <v>47</v>
      </c>
      <c r="E493" s="4" t="s">
        <v>38</v>
      </c>
      <c r="F493" s="4" t="s">
        <v>2042</v>
      </c>
      <c r="G493">
        <v>13</v>
      </c>
      <c r="H493">
        <v>64</v>
      </c>
      <c r="I493" s="4" t="s">
        <v>2069</v>
      </c>
      <c r="J493" s="4" t="s">
        <v>962</v>
      </c>
      <c r="K493" s="4" t="s">
        <v>114</v>
      </c>
      <c r="L493" s="4" t="s">
        <v>115</v>
      </c>
      <c r="M493" s="4" t="s">
        <v>108</v>
      </c>
      <c r="N493" s="4" t="s">
        <v>127</v>
      </c>
      <c r="O493" s="4" t="s">
        <v>128</v>
      </c>
      <c r="P493">
        <v>73</v>
      </c>
      <c r="Q493">
        <v>73</v>
      </c>
      <c r="R493" s="4" t="s">
        <v>158</v>
      </c>
      <c r="S493">
        <v>31.45</v>
      </c>
      <c r="T493">
        <v>2295.85</v>
      </c>
      <c r="U493">
        <v>1914.79</v>
      </c>
      <c r="V493" s="4" t="s">
        <v>30</v>
      </c>
    </row>
    <row r="494" spans="1:22" x14ac:dyDescent="0.2">
      <c r="A494" s="4" t="s">
        <v>678</v>
      </c>
      <c r="B494">
        <v>493</v>
      </c>
      <c r="C494" s="4" t="s">
        <v>26</v>
      </c>
      <c r="D494" s="4" t="s">
        <v>47</v>
      </c>
      <c r="E494" s="4" t="s">
        <v>38</v>
      </c>
      <c r="F494" s="4" t="s">
        <v>2042</v>
      </c>
      <c r="G494">
        <v>13</v>
      </c>
      <c r="H494">
        <v>64</v>
      </c>
      <c r="I494" s="4" t="s">
        <v>2069</v>
      </c>
      <c r="J494" s="4" t="s">
        <v>956</v>
      </c>
      <c r="K494" s="4" t="s">
        <v>114</v>
      </c>
      <c r="L494" s="4" t="s">
        <v>115</v>
      </c>
      <c r="M494" s="4" t="s">
        <v>108</v>
      </c>
      <c r="N494" s="4" t="s">
        <v>131</v>
      </c>
      <c r="O494" s="4" t="s">
        <v>132</v>
      </c>
      <c r="P494">
        <v>34</v>
      </c>
      <c r="Q494">
        <v>34</v>
      </c>
      <c r="R494" s="4" t="s">
        <v>158</v>
      </c>
      <c r="S494">
        <v>67.069999999999993</v>
      </c>
      <c r="T494">
        <v>2280.38</v>
      </c>
      <c r="U494">
        <v>2063.46</v>
      </c>
      <c r="V494" s="4" t="s">
        <v>30</v>
      </c>
    </row>
    <row r="495" spans="1:22" x14ac:dyDescent="0.2">
      <c r="A495" s="4" t="s">
        <v>679</v>
      </c>
      <c r="B495">
        <v>494</v>
      </c>
      <c r="C495" s="4" t="s">
        <v>26</v>
      </c>
      <c r="D495" s="4" t="s">
        <v>47</v>
      </c>
      <c r="E495" s="4" t="s">
        <v>38</v>
      </c>
      <c r="F495" s="4" t="s">
        <v>2042</v>
      </c>
      <c r="G495">
        <v>13</v>
      </c>
      <c r="H495">
        <v>64</v>
      </c>
      <c r="I495" s="4" t="s">
        <v>2070</v>
      </c>
      <c r="J495" s="4" t="s">
        <v>956</v>
      </c>
      <c r="K495" s="4" t="s">
        <v>114</v>
      </c>
      <c r="L495" s="4" t="s">
        <v>115</v>
      </c>
      <c r="M495" s="4" t="s">
        <v>108</v>
      </c>
      <c r="N495" s="4" t="s">
        <v>131</v>
      </c>
      <c r="O495" s="4" t="s">
        <v>132</v>
      </c>
      <c r="P495">
        <v>23</v>
      </c>
      <c r="Q495">
        <v>23</v>
      </c>
      <c r="R495" s="4" t="s">
        <v>158</v>
      </c>
      <c r="S495">
        <v>67.069999999999993</v>
      </c>
      <c r="T495">
        <v>1542.61</v>
      </c>
      <c r="U495">
        <v>1395.87</v>
      </c>
      <c r="V495" s="4" t="s">
        <v>30</v>
      </c>
    </row>
    <row r="496" spans="1:22" x14ac:dyDescent="0.2">
      <c r="A496" s="4" t="s">
        <v>680</v>
      </c>
      <c r="B496">
        <v>495</v>
      </c>
      <c r="C496" s="4" t="s">
        <v>26</v>
      </c>
      <c r="D496" s="4" t="s">
        <v>47</v>
      </c>
      <c r="E496" s="4" t="s">
        <v>38</v>
      </c>
      <c r="F496" s="4" t="s">
        <v>2042</v>
      </c>
      <c r="G496">
        <v>13</v>
      </c>
      <c r="H496">
        <v>64</v>
      </c>
      <c r="I496" s="4" t="s">
        <v>2071</v>
      </c>
      <c r="J496" s="4" t="s">
        <v>962</v>
      </c>
      <c r="K496" s="4" t="s">
        <v>116</v>
      </c>
      <c r="L496" s="4" t="s">
        <v>117</v>
      </c>
      <c r="M496" s="4" t="s">
        <v>108</v>
      </c>
      <c r="N496" s="4" t="s">
        <v>131</v>
      </c>
      <c r="O496" s="4" t="s">
        <v>132</v>
      </c>
      <c r="P496">
        <v>31</v>
      </c>
      <c r="Q496">
        <v>31</v>
      </c>
      <c r="R496" s="4" t="s">
        <v>158</v>
      </c>
      <c r="S496">
        <v>67.069999999999993</v>
      </c>
      <c r="T496">
        <v>2079.17</v>
      </c>
      <c r="U496">
        <v>1881.39</v>
      </c>
      <c r="V496" s="4" t="s">
        <v>30</v>
      </c>
    </row>
    <row r="497" spans="1:22" x14ac:dyDescent="0.2">
      <c r="A497" s="4" t="s">
        <v>681</v>
      </c>
      <c r="B497">
        <v>496</v>
      </c>
      <c r="C497" s="4" t="s">
        <v>26</v>
      </c>
      <c r="D497" s="4" t="s">
        <v>47</v>
      </c>
      <c r="E497" s="4" t="s">
        <v>38</v>
      </c>
      <c r="F497" s="4" t="s">
        <v>2042</v>
      </c>
      <c r="G497">
        <v>13</v>
      </c>
      <c r="H497">
        <v>64</v>
      </c>
      <c r="I497" s="4" t="s">
        <v>2071</v>
      </c>
      <c r="J497" s="4" t="s">
        <v>956</v>
      </c>
      <c r="K497" s="4" t="s">
        <v>116</v>
      </c>
      <c r="L497" s="4" t="s">
        <v>117</v>
      </c>
      <c r="M497" s="4" t="s">
        <v>108</v>
      </c>
      <c r="N497" s="4" t="s">
        <v>133</v>
      </c>
      <c r="O497" s="4" t="s">
        <v>134</v>
      </c>
      <c r="P497">
        <v>7</v>
      </c>
      <c r="Q497">
        <v>7</v>
      </c>
      <c r="R497" s="4" t="s">
        <v>158</v>
      </c>
      <c r="S497">
        <v>48.5</v>
      </c>
      <c r="T497">
        <v>339.5</v>
      </c>
      <c r="U497">
        <v>307.02</v>
      </c>
      <c r="V497" s="4" t="s">
        <v>30</v>
      </c>
    </row>
    <row r="498" spans="1:22" x14ac:dyDescent="0.2">
      <c r="A498" s="4" t="s">
        <v>682</v>
      </c>
      <c r="B498">
        <v>497</v>
      </c>
      <c r="C498" s="4" t="s">
        <v>26</v>
      </c>
      <c r="D498" s="4" t="s">
        <v>47</v>
      </c>
      <c r="E498" s="4" t="s">
        <v>41</v>
      </c>
      <c r="F498" s="4" t="s">
        <v>2073</v>
      </c>
      <c r="G498">
        <v>13</v>
      </c>
      <c r="H498">
        <v>65</v>
      </c>
      <c r="I498" s="4" t="s">
        <v>2097</v>
      </c>
      <c r="J498" s="4" t="s">
        <v>962</v>
      </c>
      <c r="K498" s="4" t="s">
        <v>112</v>
      </c>
      <c r="L498" s="4" t="s">
        <v>113</v>
      </c>
      <c r="M498" s="4" t="s">
        <v>108</v>
      </c>
      <c r="N498" s="4" t="s">
        <v>122</v>
      </c>
      <c r="O498" s="4" t="s">
        <v>123</v>
      </c>
      <c r="P498">
        <v>80</v>
      </c>
      <c r="Q498">
        <v>80</v>
      </c>
      <c r="R498" s="4" t="s">
        <v>158</v>
      </c>
      <c r="S498">
        <v>28.18</v>
      </c>
      <c r="T498">
        <v>2254.4</v>
      </c>
      <c r="U498">
        <v>1860.8</v>
      </c>
      <c r="V498" s="4" t="s">
        <v>30</v>
      </c>
    </row>
    <row r="499" spans="1:22" x14ac:dyDescent="0.2">
      <c r="A499" s="4" t="s">
        <v>683</v>
      </c>
      <c r="B499">
        <v>498</v>
      </c>
      <c r="C499" s="4" t="s">
        <v>26</v>
      </c>
      <c r="D499" s="4" t="s">
        <v>47</v>
      </c>
      <c r="E499" s="4" t="s">
        <v>41</v>
      </c>
      <c r="F499" s="4" t="s">
        <v>2073</v>
      </c>
      <c r="G499">
        <v>13</v>
      </c>
      <c r="H499">
        <v>65</v>
      </c>
      <c r="I499" s="4" t="s">
        <v>2098</v>
      </c>
      <c r="J499" s="4" t="s">
        <v>962</v>
      </c>
      <c r="K499" s="4" t="s">
        <v>112</v>
      </c>
      <c r="L499" s="4" t="s">
        <v>113</v>
      </c>
      <c r="M499" s="4" t="s">
        <v>108</v>
      </c>
      <c r="N499" s="4" t="s">
        <v>122</v>
      </c>
      <c r="O499" s="4" t="s">
        <v>123</v>
      </c>
      <c r="P499">
        <v>85</v>
      </c>
      <c r="Q499">
        <v>85</v>
      </c>
      <c r="R499" s="4" t="s">
        <v>158</v>
      </c>
      <c r="S499">
        <v>28.18</v>
      </c>
      <c r="T499">
        <v>2395.3000000000002</v>
      </c>
      <c r="U499">
        <v>1977.1</v>
      </c>
      <c r="V499" s="4" t="s">
        <v>30</v>
      </c>
    </row>
    <row r="500" spans="1:22" x14ac:dyDescent="0.2">
      <c r="A500" s="4" t="s">
        <v>684</v>
      </c>
      <c r="B500">
        <v>499</v>
      </c>
      <c r="C500" s="4" t="s">
        <v>26</v>
      </c>
      <c r="D500" s="4" t="s">
        <v>47</v>
      </c>
      <c r="E500" s="4" t="s">
        <v>41</v>
      </c>
      <c r="F500" s="4" t="s">
        <v>2073</v>
      </c>
      <c r="G500">
        <v>13</v>
      </c>
      <c r="H500">
        <v>65</v>
      </c>
      <c r="I500" s="4" t="s">
        <v>2098</v>
      </c>
      <c r="J500" s="4" t="s">
        <v>967</v>
      </c>
      <c r="K500" s="4" t="s">
        <v>112</v>
      </c>
      <c r="L500" s="4" t="s">
        <v>113</v>
      </c>
      <c r="M500" s="4" t="s">
        <v>108</v>
      </c>
      <c r="N500" s="4" t="s">
        <v>125</v>
      </c>
      <c r="O500" s="4" t="s">
        <v>126</v>
      </c>
      <c r="P500">
        <v>26</v>
      </c>
      <c r="Q500">
        <v>26</v>
      </c>
      <c r="R500" s="4" t="s">
        <v>158</v>
      </c>
      <c r="S500">
        <v>79.87</v>
      </c>
      <c r="T500">
        <v>2076.62</v>
      </c>
      <c r="U500">
        <v>1898</v>
      </c>
      <c r="V500" s="4" t="s">
        <v>30</v>
      </c>
    </row>
    <row r="501" spans="1:22" x14ac:dyDescent="0.2">
      <c r="A501" s="4" t="s">
        <v>685</v>
      </c>
      <c r="B501">
        <v>500</v>
      </c>
      <c r="C501" s="4" t="s">
        <v>26</v>
      </c>
      <c r="D501" s="4" t="s">
        <v>47</v>
      </c>
      <c r="E501" s="4" t="s">
        <v>41</v>
      </c>
      <c r="F501" s="4" t="s">
        <v>2073</v>
      </c>
      <c r="G501">
        <v>13</v>
      </c>
      <c r="H501">
        <v>65</v>
      </c>
      <c r="I501" s="4" t="s">
        <v>2098</v>
      </c>
      <c r="J501" s="4" t="s">
        <v>956</v>
      </c>
      <c r="K501" s="4" t="s">
        <v>112</v>
      </c>
      <c r="L501" s="4" t="s">
        <v>113</v>
      </c>
      <c r="M501" s="4" t="s">
        <v>108</v>
      </c>
      <c r="N501" s="4" t="s">
        <v>127</v>
      </c>
      <c r="O501" s="4" t="s">
        <v>128</v>
      </c>
      <c r="P501">
        <v>57</v>
      </c>
      <c r="Q501">
        <v>57</v>
      </c>
      <c r="R501" s="4" t="s">
        <v>158</v>
      </c>
      <c r="S501">
        <v>31.45</v>
      </c>
      <c r="T501">
        <v>1792.65</v>
      </c>
      <c r="U501">
        <v>1495.11</v>
      </c>
      <c r="V501" s="4" t="s">
        <v>30</v>
      </c>
    </row>
    <row r="502" spans="1:22" x14ac:dyDescent="0.2">
      <c r="A502" s="4" t="s">
        <v>686</v>
      </c>
      <c r="B502">
        <v>501</v>
      </c>
      <c r="C502" s="4" t="s">
        <v>26</v>
      </c>
      <c r="D502" s="4" t="s">
        <v>47</v>
      </c>
      <c r="E502" s="4" t="s">
        <v>41</v>
      </c>
      <c r="F502" s="4" t="s">
        <v>2073</v>
      </c>
      <c r="G502">
        <v>13</v>
      </c>
      <c r="H502">
        <v>65</v>
      </c>
      <c r="I502" s="4" t="s">
        <v>2098</v>
      </c>
      <c r="J502" s="4" t="s">
        <v>964</v>
      </c>
      <c r="K502" s="4" t="s">
        <v>112</v>
      </c>
      <c r="L502" s="4" t="s">
        <v>113</v>
      </c>
      <c r="M502" s="4" t="s">
        <v>108</v>
      </c>
      <c r="N502" s="4" t="s">
        <v>127</v>
      </c>
      <c r="O502" s="4" t="s">
        <v>128</v>
      </c>
      <c r="P502">
        <v>66</v>
      </c>
      <c r="Q502">
        <v>66</v>
      </c>
      <c r="R502" s="4" t="s">
        <v>158</v>
      </c>
      <c r="S502">
        <v>31.45</v>
      </c>
      <c r="T502">
        <v>2075.6999999999998</v>
      </c>
      <c r="U502">
        <v>1731.18</v>
      </c>
      <c r="V502" s="4" t="s">
        <v>30</v>
      </c>
    </row>
    <row r="503" spans="1:22" x14ac:dyDescent="0.2">
      <c r="A503" s="4" t="s">
        <v>687</v>
      </c>
      <c r="B503">
        <v>502</v>
      </c>
      <c r="C503" s="4" t="s">
        <v>26</v>
      </c>
      <c r="D503" s="4" t="s">
        <v>47</v>
      </c>
      <c r="E503" s="4" t="s">
        <v>41</v>
      </c>
      <c r="F503" s="4" t="s">
        <v>2073</v>
      </c>
      <c r="G503">
        <v>13</v>
      </c>
      <c r="H503">
        <v>65</v>
      </c>
      <c r="I503" s="4" t="s">
        <v>2097</v>
      </c>
      <c r="J503" s="4" t="s">
        <v>956</v>
      </c>
      <c r="K503" s="4" t="s">
        <v>112</v>
      </c>
      <c r="L503" s="4" t="s">
        <v>113</v>
      </c>
      <c r="M503" s="4" t="s">
        <v>108</v>
      </c>
      <c r="N503" s="4" t="s">
        <v>133</v>
      </c>
      <c r="O503" s="4" t="s">
        <v>134</v>
      </c>
      <c r="P503">
        <v>43</v>
      </c>
      <c r="Q503">
        <v>43</v>
      </c>
      <c r="R503" s="4" t="s">
        <v>158</v>
      </c>
      <c r="S503">
        <v>48.5</v>
      </c>
      <c r="T503">
        <v>2085.5</v>
      </c>
      <c r="U503">
        <v>1885.98</v>
      </c>
      <c r="V503" s="4" t="s">
        <v>30</v>
      </c>
    </row>
    <row r="504" spans="1:22" x14ac:dyDescent="0.2">
      <c r="A504" s="4" t="s">
        <v>688</v>
      </c>
      <c r="B504">
        <v>503</v>
      </c>
      <c r="C504" s="4" t="s">
        <v>26</v>
      </c>
      <c r="D504" s="4" t="s">
        <v>47</v>
      </c>
      <c r="E504" s="4" t="s">
        <v>41</v>
      </c>
      <c r="F504" s="4" t="s">
        <v>2073</v>
      </c>
      <c r="G504">
        <v>13</v>
      </c>
      <c r="H504">
        <v>65</v>
      </c>
      <c r="I504" s="4" t="s">
        <v>2099</v>
      </c>
      <c r="J504" s="4" t="s">
        <v>956</v>
      </c>
      <c r="K504" s="4" t="s">
        <v>114</v>
      </c>
      <c r="L504" s="4" t="s">
        <v>115</v>
      </c>
      <c r="M504" s="4" t="s">
        <v>108</v>
      </c>
      <c r="N504" s="4" t="s">
        <v>125</v>
      </c>
      <c r="O504" s="4" t="s">
        <v>126</v>
      </c>
      <c r="P504">
        <v>20</v>
      </c>
      <c r="Q504">
        <v>20</v>
      </c>
      <c r="R504" s="4" t="s">
        <v>158</v>
      </c>
      <c r="S504">
        <v>79.87</v>
      </c>
      <c r="T504">
        <v>1597.4</v>
      </c>
      <c r="U504">
        <v>1460</v>
      </c>
      <c r="V504" s="4" t="s">
        <v>30</v>
      </c>
    </row>
    <row r="505" spans="1:22" x14ac:dyDescent="0.2">
      <c r="A505" s="4" t="s">
        <v>689</v>
      </c>
      <c r="B505">
        <v>504</v>
      </c>
      <c r="C505" s="4" t="s">
        <v>26</v>
      </c>
      <c r="D505" s="4" t="s">
        <v>47</v>
      </c>
      <c r="E505" s="4" t="s">
        <v>41</v>
      </c>
      <c r="F505" s="4" t="s">
        <v>2073</v>
      </c>
      <c r="G505">
        <v>13</v>
      </c>
      <c r="H505">
        <v>65</v>
      </c>
      <c r="I505" s="4" t="s">
        <v>2099</v>
      </c>
      <c r="J505" s="4" t="s">
        <v>964</v>
      </c>
      <c r="K505" s="4" t="s">
        <v>114</v>
      </c>
      <c r="L505" s="4" t="s">
        <v>115</v>
      </c>
      <c r="M505" s="4" t="s">
        <v>108</v>
      </c>
      <c r="N505" s="4" t="s">
        <v>125</v>
      </c>
      <c r="O505" s="4" t="s">
        <v>126</v>
      </c>
      <c r="P505">
        <v>21</v>
      </c>
      <c r="Q505">
        <v>21</v>
      </c>
      <c r="R505" s="4" t="s">
        <v>158</v>
      </c>
      <c r="S505">
        <v>79.87</v>
      </c>
      <c r="T505">
        <v>1677.27</v>
      </c>
      <c r="U505">
        <v>1533</v>
      </c>
      <c r="V505" s="4" t="s">
        <v>30</v>
      </c>
    </row>
    <row r="506" spans="1:22" x14ac:dyDescent="0.2">
      <c r="A506" s="4" t="s">
        <v>690</v>
      </c>
      <c r="B506">
        <v>505</v>
      </c>
      <c r="C506" s="4" t="s">
        <v>26</v>
      </c>
      <c r="D506" s="4" t="s">
        <v>47</v>
      </c>
      <c r="E506" s="4" t="s">
        <v>41</v>
      </c>
      <c r="F506" s="4" t="s">
        <v>2073</v>
      </c>
      <c r="G506">
        <v>13</v>
      </c>
      <c r="H506">
        <v>65</v>
      </c>
      <c r="I506" s="4" t="s">
        <v>2099</v>
      </c>
      <c r="J506" s="4" t="s">
        <v>962</v>
      </c>
      <c r="K506" s="4" t="s">
        <v>114</v>
      </c>
      <c r="L506" s="4" t="s">
        <v>115</v>
      </c>
      <c r="M506" s="4" t="s">
        <v>108</v>
      </c>
      <c r="N506" s="4" t="s">
        <v>127</v>
      </c>
      <c r="O506" s="4" t="s">
        <v>128</v>
      </c>
      <c r="P506">
        <v>62</v>
      </c>
      <c r="Q506">
        <v>62</v>
      </c>
      <c r="R506" s="4" t="s">
        <v>158</v>
      </c>
      <c r="S506">
        <v>31.45</v>
      </c>
      <c r="T506">
        <v>1949.9</v>
      </c>
      <c r="U506">
        <v>1626.26</v>
      </c>
      <c r="V506" s="4" t="s">
        <v>30</v>
      </c>
    </row>
    <row r="507" spans="1:22" x14ac:dyDescent="0.2">
      <c r="A507" s="4" t="s">
        <v>691</v>
      </c>
      <c r="B507">
        <v>506</v>
      </c>
      <c r="C507" s="4" t="s">
        <v>26</v>
      </c>
      <c r="D507" s="4" t="s">
        <v>47</v>
      </c>
      <c r="E507" s="4" t="s">
        <v>41</v>
      </c>
      <c r="F507" s="4" t="s">
        <v>2073</v>
      </c>
      <c r="G507">
        <v>13</v>
      </c>
      <c r="H507">
        <v>65</v>
      </c>
      <c r="I507" s="4" t="s">
        <v>2099</v>
      </c>
      <c r="J507" s="4" t="s">
        <v>967</v>
      </c>
      <c r="K507" s="4" t="s">
        <v>114</v>
      </c>
      <c r="L507" s="4" t="s">
        <v>115</v>
      </c>
      <c r="M507" s="4" t="s">
        <v>108</v>
      </c>
      <c r="N507" s="4" t="s">
        <v>127</v>
      </c>
      <c r="O507" s="4" t="s">
        <v>128</v>
      </c>
      <c r="P507">
        <v>50</v>
      </c>
      <c r="Q507">
        <v>50</v>
      </c>
      <c r="R507" s="4" t="s">
        <v>158</v>
      </c>
      <c r="S507">
        <v>31.45</v>
      </c>
      <c r="T507">
        <v>1572.5</v>
      </c>
      <c r="U507">
        <v>1311.5</v>
      </c>
      <c r="V507" s="4" t="s">
        <v>30</v>
      </c>
    </row>
    <row r="508" spans="1:22" x14ac:dyDescent="0.2">
      <c r="A508" s="4" t="s">
        <v>692</v>
      </c>
      <c r="B508">
        <v>507</v>
      </c>
      <c r="C508" s="4" t="s">
        <v>26</v>
      </c>
      <c r="D508" s="4" t="s">
        <v>47</v>
      </c>
      <c r="E508" s="4" t="s">
        <v>41</v>
      </c>
      <c r="F508" s="4" t="s">
        <v>2073</v>
      </c>
      <c r="G508">
        <v>13</v>
      </c>
      <c r="H508">
        <v>65</v>
      </c>
      <c r="I508" s="4" t="s">
        <v>2100</v>
      </c>
      <c r="J508" s="4" t="s">
        <v>956</v>
      </c>
      <c r="K508" s="4" t="s">
        <v>114</v>
      </c>
      <c r="L508" s="4" t="s">
        <v>115</v>
      </c>
      <c r="M508" s="4" t="s">
        <v>108</v>
      </c>
      <c r="N508" s="4" t="s">
        <v>131</v>
      </c>
      <c r="O508" s="4" t="s">
        <v>132</v>
      </c>
      <c r="P508">
        <v>28</v>
      </c>
      <c r="Q508">
        <v>28</v>
      </c>
      <c r="R508" s="4" t="s">
        <v>158</v>
      </c>
      <c r="S508">
        <v>67.069999999999993</v>
      </c>
      <c r="T508">
        <v>1877.96</v>
      </c>
      <c r="U508">
        <v>1699.32</v>
      </c>
      <c r="V508" s="4" t="s">
        <v>30</v>
      </c>
    </row>
    <row r="509" spans="1:22" x14ac:dyDescent="0.2">
      <c r="A509" s="4" t="s">
        <v>693</v>
      </c>
      <c r="B509">
        <v>508</v>
      </c>
      <c r="C509" s="4" t="s">
        <v>26</v>
      </c>
      <c r="D509" s="4" t="s">
        <v>47</v>
      </c>
      <c r="E509" s="4" t="s">
        <v>41</v>
      </c>
      <c r="F509" s="4" t="s">
        <v>2073</v>
      </c>
      <c r="G509">
        <v>13</v>
      </c>
      <c r="H509">
        <v>65</v>
      </c>
      <c r="I509" s="4" t="s">
        <v>2101</v>
      </c>
      <c r="J509" s="4" t="s">
        <v>956</v>
      </c>
      <c r="K509" s="4" t="s">
        <v>116</v>
      </c>
      <c r="L509" s="4" t="s">
        <v>117</v>
      </c>
      <c r="M509" s="4" t="s">
        <v>108</v>
      </c>
      <c r="N509" s="4" t="s">
        <v>129</v>
      </c>
      <c r="O509" s="4" t="s">
        <v>130</v>
      </c>
      <c r="P509">
        <v>17</v>
      </c>
      <c r="Q509">
        <v>17</v>
      </c>
      <c r="R509" s="4" t="s">
        <v>158</v>
      </c>
      <c r="S509">
        <v>91.58</v>
      </c>
      <c r="T509">
        <v>1556.86</v>
      </c>
      <c r="U509">
        <v>1423.58</v>
      </c>
      <c r="V509" s="4" t="s">
        <v>30</v>
      </c>
    </row>
    <row r="510" spans="1:22" x14ac:dyDescent="0.2">
      <c r="A510" s="4" t="s">
        <v>694</v>
      </c>
      <c r="B510">
        <v>509</v>
      </c>
      <c r="C510" s="4" t="s">
        <v>26</v>
      </c>
      <c r="D510" s="4" t="s">
        <v>47</v>
      </c>
      <c r="E510" s="4" t="s">
        <v>44</v>
      </c>
      <c r="F510" s="4" t="s">
        <v>2103</v>
      </c>
      <c r="G510">
        <v>14</v>
      </c>
      <c r="H510">
        <v>66</v>
      </c>
      <c r="I510" s="4" t="s">
        <v>2129</v>
      </c>
      <c r="J510" s="4" t="s">
        <v>956</v>
      </c>
      <c r="K510" s="4" t="s">
        <v>112</v>
      </c>
      <c r="L510" s="4" t="s">
        <v>113</v>
      </c>
      <c r="M510" s="4" t="s">
        <v>108</v>
      </c>
      <c r="N510" s="4" t="s">
        <v>133</v>
      </c>
      <c r="O510" s="4" t="s">
        <v>134</v>
      </c>
      <c r="P510">
        <v>14</v>
      </c>
      <c r="Q510">
        <v>14</v>
      </c>
      <c r="R510" s="4" t="s">
        <v>158</v>
      </c>
      <c r="S510">
        <v>48.5</v>
      </c>
      <c r="T510">
        <v>679</v>
      </c>
      <c r="U510">
        <v>614.04</v>
      </c>
      <c r="V510" s="4" t="s">
        <v>30</v>
      </c>
    </row>
    <row r="511" spans="1:22" x14ac:dyDescent="0.2">
      <c r="A511" s="4" t="s">
        <v>695</v>
      </c>
      <c r="B511">
        <v>510</v>
      </c>
      <c r="C511" s="4" t="s">
        <v>26</v>
      </c>
      <c r="D511" s="4" t="s">
        <v>47</v>
      </c>
      <c r="E511" s="4" t="s">
        <v>44</v>
      </c>
      <c r="F511" s="4" t="s">
        <v>2103</v>
      </c>
      <c r="G511">
        <v>14</v>
      </c>
      <c r="H511">
        <v>66</v>
      </c>
      <c r="I511" s="4" t="s">
        <v>2130</v>
      </c>
      <c r="J511" s="4" t="s">
        <v>962</v>
      </c>
      <c r="K511" s="4" t="s">
        <v>114</v>
      </c>
      <c r="L511" s="4" t="s">
        <v>115</v>
      </c>
      <c r="M511" s="4" t="s">
        <v>108</v>
      </c>
      <c r="N511" s="4" t="s">
        <v>122</v>
      </c>
      <c r="O511" s="4" t="s">
        <v>123</v>
      </c>
      <c r="P511">
        <v>76</v>
      </c>
      <c r="Q511">
        <v>76</v>
      </c>
      <c r="R511" s="4" t="s">
        <v>158</v>
      </c>
      <c r="S511">
        <v>28.18</v>
      </c>
      <c r="T511">
        <v>2141.6799999999998</v>
      </c>
      <c r="U511">
        <v>1767.76</v>
      </c>
      <c r="V511" s="4" t="s">
        <v>30</v>
      </c>
    </row>
    <row r="512" spans="1:22" x14ac:dyDescent="0.2">
      <c r="A512" s="4" t="s">
        <v>696</v>
      </c>
      <c r="B512">
        <v>511</v>
      </c>
      <c r="C512" s="4" t="s">
        <v>26</v>
      </c>
      <c r="D512" s="4" t="s">
        <v>47</v>
      </c>
      <c r="E512" s="4" t="s">
        <v>44</v>
      </c>
      <c r="F512" s="4" t="s">
        <v>2103</v>
      </c>
      <c r="G512">
        <v>14</v>
      </c>
      <c r="H512">
        <v>66</v>
      </c>
      <c r="I512" s="4" t="s">
        <v>2130</v>
      </c>
      <c r="J512" s="4" t="s">
        <v>964</v>
      </c>
      <c r="K512" s="4" t="s">
        <v>114</v>
      </c>
      <c r="L512" s="4" t="s">
        <v>115</v>
      </c>
      <c r="M512" s="4" t="s">
        <v>108</v>
      </c>
      <c r="N512" s="4" t="s">
        <v>129</v>
      </c>
      <c r="O512" s="4" t="s">
        <v>130</v>
      </c>
      <c r="P512">
        <v>17</v>
      </c>
      <c r="Q512">
        <v>17</v>
      </c>
      <c r="R512" s="4" t="s">
        <v>158</v>
      </c>
      <c r="S512">
        <v>91.58</v>
      </c>
      <c r="T512">
        <v>1556.86</v>
      </c>
      <c r="U512">
        <v>1423.58</v>
      </c>
      <c r="V512" s="4" t="s">
        <v>30</v>
      </c>
    </row>
    <row r="513" spans="1:22" x14ac:dyDescent="0.2">
      <c r="A513" s="4" t="s">
        <v>697</v>
      </c>
      <c r="B513">
        <v>512</v>
      </c>
      <c r="C513" s="4" t="s">
        <v>26</v>
      </c>
      <c r="D513" s="4" t="s">
        <v>47</v>
      </c>
      <c r="E513" s="4" t="s">
        <v>44</v>
      </c>
      <c r="F513" s="4" t="s">
        <v>2103</v>
      </c>
      <c r="G513">
        <v>14</v>
      </c>
      <c r="H513">
        <v>66</v>
      </c>
      <c r="I513" s="4" t="s">
        <v>2130</v>
      </c>
      <c r="J513" s="4" t="s">
        <v>956</v>
      </c>
      <c r="K513" s="4" t="s">
        <v>114</v>
      </c>
      <c r="L513" s="4" t="s">
        <v>115</v>
      </c>
      <c r="M513" s="4" t="s">
        <v>108</v>
      </c>
      <c r="N513" s="4" t="s">
        <v>133</v>
      </c>
      <c r="O513" s="4" t="s">
        <v>134</v>
      </c>
      <c r="P513">
        <v>37</v>
      </c>
      <c r="Q513">
        <v>37</v>
      </c>
      <c r="R513" s="4" t="s">
        <v>158</v>
      </c>
      <c r="S513">
        <v>48.5</v>
      </c>
      <c r="T513">
        <v>1794.5</v>
      </c>
      <c r="U513">
        <v>1622.82</v>
      </c>
      <c r="V513" s="4" t="s">
        <v>30</v>
      </c>
    </row>
    <row r="514" spans="1:22" x14ac:dyDescent="0.2">
      <c r="A514" s="4" t="s">
        <v>698</v>
      </c>
      <c r="B514">
        <v>513</v>
      </c>
      <c r="C514" s="4" t="s">
        <v>26</v>
      </c>
      <c r="D514" s="4" t="s">
        <v>47</v>
      </c>
      <c r="E514" s="4" t="s">
        <v>44</v>
      </c>
      <c r="F514" s="4" t="s">
        <v>2103</v>
      </c>
      <c r="G514">
        <v>14</v>
      </c>
      <c r="H514">
        <v>66</v>
      </c>
      <c r="I514" s="4" t="s">
        <v>2131</v>
      </c>
      <c r="J514" s="4" t="s">
        <v>1006</v>
      </c>
      <c r="K514" s="4" t="s">
        <v>116</v>
      </c>
      <c r="L514" s="4" t="s">
        <v>117</v>
      </c>
      <c r="M514" s="4" t="s">
        <v>108</v>
      </c>
      <c r="N514" s="4" t="s">
        <v>125</v>
      </c>
      <c r="O514" s="4" t="s">
        <v>126</v>
      </c>
      <c r="P514">
        <v>21</v>
      </c>
      <c r="Q514">
        <v>21</v>
      </c>
      <c r="R514" s="4" t="s">
        <v>158</v>
      </c>
      <c r="S514">
        <v>79.87</v>
      </c>
      <c r="T514">
        <v>1677.27</v>
      </c>
      <c r="U514">
        <v>1533</v>
      </c>
      <c r="V514" s="4" t="s">
        <v>30</v>
      </c>
    </row>
    <row r="515" spans="1:22" x14ac:dyDescent="0.2">
      <c r="A515" s="4" t="s">
        <v>699</v>
      </c>
      <c r="B515">
        <v>514</v>
      </c>
      <c r="C515" s="4" t="s">
        <v>26</v>
      </c>
      <c r="D515" s="4" t="s">
        <v>47</v>
      </c>
      <c r="E515" s="4" t="s">
        <v>44</v>
      </c>
      <c r="F515" s="4" t="s">
        <v>2103</v>
      </c>
      <c r="G515">
        <v>14</v>
      </c>
      <c r="H515">
        <v>66</v>
      </c>
      <c r="I515" s="4" t="s">
        <v>2131</v>
      </c>
      <c r="J515" s="4" t="s">
        <v>964</v>
      </c>
      <c r="K515" s="4" t="s">
        <v>116</v>
      </c>
      <c r="L515" s="4" t="s">
        <v>117</v>
      </c>
      <c r="M515" s="4" t="s">
        <v>108</v>
      </c>
      <c r="N515" s="4" t="s">
        <v>127</v>
      </c>
      <c r="O515" s="4" t="s">
        <v>128</v>
      </c>
      <c r="P515">
        <v>69</v>
      </c>
      <c r="Q515">
        <v>69</v>
      </c>
      <c r="R515" s="4" t="s">
        <v>158</v>
      </c>
      <c r="S515">
        <v>31.45</v>
      </c>
      <c r="T515">
        <v>2170.0500000000002</v>
      </c>
      <c r="U515">
        <v>1809.87</v>
      </c>
      <c r="V515" s="4" t="s">
        <v>30</v>
      </c>
    </row>
    <row r="516" spans="1:22" x14ac:dyDescent="0.2">
      <c r="A516" s="4" t="s">
        <v>700</v>
      </c>
      <c r="B516">
        <v>515</v>
      </c>
      <c r="C516" s="4" t="s">
        <v>26</v>
      </c>
      <c r="D516" s="4" t="s">
        <v>47</v>
      </c>
      <c r="E516" s="4" t="s">
        <v>44</v>
      </c>
      <c r="F516" s="4" t="s">
        <v>2103</v>
      </c>
      <c r="G516">
        <v>14</v>
      </c>
      <c r="H516">
        <v>66</v>
      </c>
      <c r="I516" s="4" t="s">
        <v>2131</v>
      </c>
      <c r="J516" s="4" t="s">
        <v>1005</v>
      </c>
      <c r="K516" s="4" t="s">
        <v>116</v>
      </c>
      <c r="L516" s="4" t="s">
        <v>117</v>
      </c>
      <c r="M516" s="4" t="s">
        <v>108</v>
      </c>
      <c r="N516" s="4" t="s">
        <v>129</v>
      </c>
      <c r="O516" s="4" t="s">
        <v>130</v>
      </c>
      <c r="P516">
        <v>18</v>
      </c>
      <c r="Q516">
        <v>18</v>
      </c>
      <c r="R516" s="4" t="s">
        <v>158</v>
      </c>
      <c r="S516">
        <v>91.58</v>
      </c>
      <c r="T516">
        <v>1648.44</v>
      </c>
      <c r="U516">
        <v>1507.32</v>
      </c>
      <c r="V516" s="4" t="s">
        <v>30</v>
      </c>
    </row>
    <row r="517" spans="1:22" x14ac:dyDescent="0.2">
      <c r="A517" s="4" t="s">
        <v>701</v>
      </c>
      <c r="B517">
        <v>516</v>
      </c>
      <c r="C517" s="4" t="s">
        <v>26</v>
      </c>
      <c r="D517" s="4" t="s">
        <v>47</v>
      </c>
      <c r="E517" s="4" t="s">
        <v>44</v>
      </c>
      <c r="F517" s="4" t="s">
        <v>2103</v>
      </c>
      <c r="G517">
        <v>14</v>
      </c>
      <c r="H517">
        <v>66</v>
      </c>
      <c r="I517" s="4" t="s">
        <v>2131</v>
      </c>
      <c r="J517" s="4" t="s">
        <v>967</v>
      </c>
      <c r="K517" s="4" t="s">
        <v>116</v>
      </c>
      <c r="L517" s="4" t="s">
        <v>117</v>
      </c>
      <c r="M517" s="4" t="s">
        <v>108</v>
      </c>
      <c r="N517" s="4" t="s">
        <v>129</v>
      </c>
      <c r="O517" s="4" t="s">
        <v>130</v>
      </c>
      <c r="P517">
        <v>23</v>
      </c>
      <c r="Q517">
        <v>23</v>
      </c>
      <c r="R517" s="4" t="s">
        <v>158</v>
      </c>
      <c r="S517">
        <v>91.58</v>
      </c>
      <c r="T517">
        <v>2106.34</v>
      </c>
      <c r="U517">
        <v>1926.02</v>
      </c>
      <c r="V517" s="4" t="s">
        <v>30</v>
      </c>
    </row>
    <row r="518" spans="1:22" x14ac:dyDescent="0.2">
      <c r="A518" s="4" t="s">
        <v>702</v>
      </c>
      <c r="B518">
        <v>517</v>
      </c>
      <c r="C518" s="4" t="s">
        <v>26</v>
      </c>
      <c r="D518" s="4" t="s">
        <v>47</v>
      </c>
      <c r="E518" s="4" t="s">
        <v>44</v>
      </c>
      <c r="F518" s="4" t="s">
        <v>2103</v>
      </c>
      <c r="G518">
        <v>14</v>
      </c>
      <c r="H518">
        <v>66</v>
      </c>
      <c r="I518" s="4" t="s">
        <v>2131</v>
      </c>
      <c r="J518" s="4" t="s">
        <v>962</v>
      </c>
      <c r="K518" s="4" t="s">
        <v>116</v>
      </c>
      <c r="L518" s="4" t="s">
        <v>117</v>
      </c>
      <c r="M518" s="4" t="s">
        <v>108</v>
      </c>
      <c r="N518" s="4" t="s">
        <v>129</v>
      </c>
      <c r="O518" s="4" t="s">
        <v>130</v>
      </c>
      <c r="P518">
        <v>22</v>
      </c>
      <c r="Q518">
        <v>22</v>
      </c>
      <c r="R518" s="4" t="s">
        <v>158</v>
      </c>
      <c r="S518">
        <v>91.58</v>
      </c>
      <c r="T518">
        <v>2014.76</v>
      </c>
      <c r="U518">
        <v>1842.28</v>
      </c>
      <c r="V518" s="4" t="s">
        <v>30</v>
      </c>
    </row>
    <row r="519" spans="1:22" x14ac:dyDescent="0.2">
      <c r="A519" s="4" t="s">
        <v>703</v>
      </c>
      <c r="B519">
        <v>518</v>
      </c>
      <c r="C519" s="4" t="s">
        <v>26</v>
      </c>
      <c r="D519" s="4" t="s">
        <v>47</v>
      </c>
      <c r="E519" s="4" t="s">
        <v>44</v>
      </c>
      <c r="F519" s="4" t="s">
        <v>2103</v>
      </c>
      <c r="G519">
        <v>14</v>
      </c>
      <c r="H519">
        <v>66</v>
      </c>
      <c r="I519" s="4" t="s">
        <v>2132</v>
      </c>
      <c r="J519" s="4" t="s">
        <v>962</v>
      </c>
      <c r="K519" s="4" t="s">
        <v>116</v>
      </c>
      <c r="L519" s="4" t="s">
        <v>117</v>
      </c>
      <c r="M519" s="4" t="s">
        <v>108</v>
      </c>
      <c r="N519" s="4" t="s">
        <v>129</v>
      </c>
      <c r="O519" s="4" t="s">
        <v>130</v>
      </c>
      <c r="P519">
        <v>20</v>
      </c>
      <c r="Q519">
        <v>20</v>
      </c>
      <c r="R519" s="4" t="s">
        <v>158</v>
      </c>
      <c r="S519">
        <v>91.58</v>
      </c>
      <c r="T519">
        <v>1831.6</v>
      </c>
      <c r="U519">
        <v>1674.8</v>
      </c>
      <c r="V519" s="4" t="s">
        <v>30</v>
      </c>
    </row>
    <row r="520" spans="1:22" x14ac:dyDescent="0.2">
      <c r="A520" s="4" t="s">
        <v>704</v>
      </c>
      <c r="B520">
        <v>519</v>
      </c>
      <c r="C520" s="4" t="s">
        <v>26</v>
      </c>
      <c r="D520" s="4" t="s">
        <v>47</v>
      </c>
      <c r="E520" s="4" t="s">
        <v>44</v>
      </c>
      <c r="F520" s="4" t="s">
        <v>2103</v>
      </c>
      <c r="G520">
        <v>14</v>
      </c>
      <c r="H520">
        <v>66</v>
      </c>
      <c r="I520" s="4" t="s">
        <v>2132</v>
      </c>
      <c r="J520" s="4" t="s">
        <v>956</v>
      </c>
      <c r="K520" s="4" t="s">
        <v>116</v>
      </c>
      <c r="L520" s="4" t="s">
        <v>117</v>
      </c>
      <c r="M520" s="4" t="s">
        <v>108</v>
      </c>
      <c r="N520" s="4" t="s">
        <v>131</v>
      </c>
      <c r="O520" s="4" t="s">
        <v>132</v>
      </c>
      <c r="P520">
        <v>25</v>
      </c>
      <c r="Q520">
        <v>25</v>
      </c>
      <c r="R520" s="4" t="s">
        <v>158</v>
      </c>
      <c r="S520">
        <v>67.069999999999993</v>
      </c>
      <c r="T520">
        <v>1676.75</v>
      </c>
      <c r="U520">
        <v>1517.25</v>
      </c>
      <c r="V520" s="4" t="s">
        <v>30</v>
      </c>
    </row>
    <row r="521" spans="1:22" x14ac:dyDescent="0.2">
      <c r="A521" s="4" t="s">
        <v>705</v>
      </c>
      <c r="B521">
        <v>520</v>
      </c>
      <c r="C521" s="4" t="s">
        <v>26</v>
      </c>
      <c r="D521" s="4" t="s">
        <v>47</v>
      </c>
      <c r="E521" s="4" t="s">
        <v>44</v>
      </c>
      <c r="F521" s="4" t="s">
        <v>2103</v>
      </c>
      <c r="G521">
        <v>14</v>
      </c>
      <c r="H521">
        <v>66</v>
      </c>
      <c r="I521" s="4" t="s">
        <v>2131</v>
      </c>
      <c r="J521" s="4" t="s">
        <v>956</v>
      </c>
      <c r="K521" s="4" t="s">
        <v>116</v>
      </c>
      <c r="L521" s="4" t="s">
        <v>117</v>
      </c>
      <c r="M521" s="4" t="s">
        <v>108</v>
      </c>
      <c r="N521" s="4" t="s">
        <v>133</v>
      </c>
      <c r="O521" s="4" t="s">
        <v>134</v>
      </c>
      <c r="P521">
        <v>45</v>
      </c>
      <c r="Q521">
        <v>45</v>
      </c>
      <c r="R521" s="4" t="s">
        <v>158</v>
      </c>
      <c r="S521">
        <v>48.5</v>
      </c>
      <c r="T521">
        <v>2182.5</v>
      </c>
      <c r="U521">
        <v>1973.7</v>
      </c>
      <c r="V521" s="4" t="s">
        <v>30</v>
      </c>
    </row>
    <row r="522" spans="1:22" x14ac:dyDescent="0.2">
      <c r="A522" s="4" t="s">
        <v>706</v>
      </c>
      <c r="B522">
        <v>521</v>
      </c>
      <c r="C522" s="4" t="s">
        <v>26</v>
      </c>
      <c r="D522" s="4" t="s">
        <v>47</v>
      </c>
      <c r="E522" s="4" t="s">
        <v>47</v>
      </c>
      <c r="F522" s="4" t="s">
        <v>2128</v>
      </c>
      <c r="G522">
        <v>14</v>
      </c>
      <c r="H522">
        <v>67</v>
      </c>
      <c r="I522" s="4" t="s">
        <v>2159</v>
      </c>
      <c r="J522" s="4" t="s">
        <v>956</v>
      </c>
      <c r="K522" s="4" t="s">
        <v>112</v>
      </c>
      <c r="L522" s="4" t="s">
        <v>113</v>
      </c>
      <c r="M522" s="4" t="s">
        <v>108</v>
      </c>
      <c r="N522" s="4" t="s">
        <v>122</v>
      </c>
      <c r="O522" s="4" t="s">
        <v>123</v>
      </c>
      <c r="P522">
        <v>65</v>
      </c>
      <c r="Q522">
        <v>65</v>
      </c>
      <c r="R522" s="4" t="s">
        <v>158</v>
      </c>
      <c r="S522">
        <v>28.18</v>
      </c>
      <c r="T522">
        <v>1831.7</v>
      </c>
      <c r="U522">
        <v>1513.2</v>
      </c>
      <c r="V522" s="4" t="s">
        <v>30</v>
      </c>
    </row>
    <row r="523" spans="1:22" x14ac:dyDescent="0.2">
      <c r="A523" s="4" t="s">
        <v>707</v>
      </c>
      <c r="B523">
        <v>522</v>
      </c>
      <c r="C523" s="4" t="s">
        <v>26</v>
      </c>
      <c r="D523" s="4" t="s">
        <v>47</v>
      </c>
      <c r="E523" s="4" t="s">
        <v>47</v>
      </c>
      <c r="F523" s="4" t="s">
        <v>2128</v>
      </c>
      <c r="G523">
        <v>14</v>
      </c>
      <c r="H523">
        <v>67</v>
      </c>
      <c r="I523" s="4" t="s">
        <v>2159</v>
      </c>
      <c r="J523" s="4" t="s">
        <v>962</v>
      </c>
      <c r="K523" s="4" t="s">
        <v>112</v>
      </c>
      <c r="L523" s="4" t="s">
        <v>113</v>
      </c>
      <c r="M523" s="4" t="s">
        <v>108</v>
      </c>
      <c r="N523" s="4" t="s">
        <v>125</v>
      </c>
      <c r="O523" s="4" t="s">
        <v>126</v>
      </c>
      <c r="P523">
        <v>24</v>
      </c>
      <c r="Q523">
        <v>24</v>
      </c>
      <c r="R523" s="4" t="s">
        <v>158</v>
      </c>
      <c r="S523">
        <v>79.87</v>
      </c>
      <c r="T523">
        <v>1916.88</v>
      </c>
      <c r="U523">
        <v>1754.4</v>
      </c>
      <c r="V523" s="4" t="s">
        <v>30</v>
      </c>
    </row>
    <row r="524" spans="1:22" x14ac:dyDescent="0.2">
      <c r="A524" s="4" t="s">
        <v>708</v>
      </c>
      <c r="B524">
        <v>523</v>
      </c>
      <c r="C524" s="4" t="s">
        <v>26</v>
      </c>
      <c r="D524" s="4" t="s">
        <v>47</v>
      </c>
      <c r="E524" s="4" t="s">
        <v>47</v>
      </c>
      <c r="F524" s="4" t="s">
        <v>2128</v>
      </c>
      <c r="G524">
        <v>14</v>
      </c>
      <c r="H524">
        <v>67</v>
      </c>
      <c r="I524" s="4" t="s">
        <v>2160</v>
      </c>
      <c r="J524" s="4" t="s">
        <v>964</v>
      </c>
      <c r="K524" s="4" t="s">
        <v>114</v>
      </c>
      <c r="L524" s="4" t="s">
        <v>115</v>
      </c>
      <c r="M524" s="4" t="s">
        <v>108</v>
      </c>
      <c r="N524" s="4" t="s">
        <v>127</v>
      </c>
      <c r="O524" s="4" t="s">
        <v>128</v>
      </c>
      <c r="P524">
        <v>78</v>
      </c>
      <c r="Q524">
        <v>78</v>
      </c>
      <c r="R524" s="4" t="s">
        <v>158</v>
      </c>
      <c r="S524">
        <v>31.45</v>
      </c>
      <c r="T524">
        <v>2453.1</v>
      </c>
      <c r="U524">
        <v>2046.72</v>
      </c>
      <c r="V524" s="4" t="s">
        <v>30</v>
      </c>
    </row>
    <row r="525" spans="1:22" x14ac:dyDescent="0.2">
      <c r="A525" s="4" t="s">
        <v>709</v>
      </c>
      <c r="B525">
        <v>524</v>
      </c>
      <c r="C525" s="4" t="s">
        <v>26</v>
      </c>
      <c r="D525" s="4" t="s">
        <v>47</v>
      </c>
      <c r="E525" s="4" t="s">
        <v>47</v>
      </c>
      <c r="F525" s="4" t="s">
        <v>2128</v>
      </c>
      <c r="G525">
        <v>14</v>
      </c>
      <c r="H525">
        <v>67</v>
      </c>
      <c r="I525" s="4" t="s">
        <v>2160</v>
      </c>
      <c r="J525" s="4" t="s">
        <v>956</v>
      </c>
      <c r="K525" s="4" t="s">
        <v>114</v>
      </c>
      <c r="L525" s="4" t="s">
        <v>115</v>
      </c>
      <c r="M525" s="4" t="s">
        <v>108</v>
      </c>
      <c r="N525" s="4" t="s">
        <v>127</v>
      </c>
      <c r="O525" s="4" t="s">
        <v>128</v>
      </c>
      <c r="P525">
        <v>71</v>
      </c>
      <c r="Q525">
        <v>71</v>
      </c>
      <c r="R525" s="4" t="s">
        <v>158</v>
      </c>
      <c r="S525">
        <v>31.45</v>
      </c>
      <c r="T525">
        <v>2232.9499999999998</v>
      </c>
      <c r="U525">
        <v>1863.04</v>
      </c>
      <c r="V525" s="4" t="s">
        <v>30</v>
      </c>
    </row>
    <row r="526" spans="1:22" x14ac:dyDescent="0.2">
      <c r="A526" s="4" t="s">
        <v>710</v>
      </c>
      <c r="B526">
        <v>525</v>
      </c>
      <c r="C526" s="4" t="s">
        <v>26</v>
      </c>
      <c r="D526" s="4" t="s">
        <v>47</v>
      </c>
      <c r="E526" s="4" t="s">
        <v>47</v>
      </c>
      <c r="F526" s="4" t="s">
        <v>2128</v>
      </c>
      <c r="G526">
        <v>14</v>
      </c>
      <c r="H526">
        <v>67</v>
      </c>
      <c r="I526" s="4" t="s">
        <v>2160</v>
      </c>
      <c r="J526" s="4" t="s">
        <v>1005</v>
      </c>
      <c r="K526" s="4" t="s">
        <v>114</v>
      </c>
      <c r="L526" s="4" t="s">
        <v>115</v>
      </c>
      <c r="M526" s="4" t="s">
        <v>108</v>
      </c>
      <c r="N526" s="4" t="s">
        <v>127</v>
      </c>
      <c r="O526" s="4" t="s">
        <v>128</v>
      </c>
      <c r="P526">
        <v>11</v>
      </c>
      <c r="Q526">
        <v>11</v>
      </c>
      <c r="R526" s="4" t="s">
        <v>158</v>
      </c>
      <c r="S526">
        <v>31.45</v>
      </c>
      <c r="T526">
        <v>345.95</v>
      </c>
      <c r="U526">
        <v>288.64</v>
      </c>
      <c r="V526" s="4" t="s">
        <v>30</v>
      </c>
    </row>
    <row r="527" spans="1:22" x14ac:dyDescent="0.2">
      <c r="A527" s="4" t="s">
        <v>711</v>
      </c>
      <c r="B527">
        <v>526</v>
      </c>
      <c r="C527" s="4" t="s">
        <v>26</v>
      </c>
      <c r="D527" s="4" t="s">
        <v>47</v>
      </c>
      <c r="E527" s="4" t="s">
        <v>47</v>
      </c>
      <c r="F527" s="4" t="s">
        <v>2128</v>
      </c>
      <c r="G527">
        <v>14</v>
      </c>
      <c r="H527">
        <v>67</v>
      </c>
      <c r="I527" s="4" t="s">
        <v>2160</v>
      </c>
      <c r="J527" s="4" t="s">
        <v>967</v>
      </c>
      <c r="K527" s="4" t="s">
        <v>114</v>
      </c>
      <c r="L527" s="4" t="s">
        <v>115</v>
      </c>
      <c r="M527" s="4" t="s">
        <v>108</v>
      </c>
      <c r="N527" s="4" t="s">
        <v>131</v>
      </c>
      <c r="O527" s="4" t="s">
        <v>132</v>
      </c>
      <c r="P527">
        <v>26</v>
      </c>
      <c r="Q527">
        <v>26</v>
      </c>
      <c r="R527" s="4" t="s">
        <v>158</v>
      </c>
      <c r="S527">
        <v>67.069999999999993</v>
      </c>
      <c r="T527">
        <v>1743.82</v>
      </c>
      <c r="U527">
        <v>1579.24</v>
      </c>
      <c r="V527" s="4" t="s">
        <v>30</v>
      </c>
    </row>
    <row r="528" spans="1:22" x14ac:dyDescent="0.2">
      <c r="A528" s="4" t="s">
        <v>712</v>
      </c>
      <c r="B528">
        <v>527</v>
      </c>
      <c r="C528" s="4" t="s">
        <v>26</v>
      </c>
      <c r="D528" s="4" t="s">
        <v>47</v>
      </c>
      <c r="E528" s="4" t="s">
        <v>47</v>
      </c>
      <c r="F528" s="4" t="s">
        <v>2128</v>
      </c>
      <c r="G528">
        <v>14</v>
      </c>
      <c r="H528">
        <v>67</v>
      </c>
      <c r="I528" s="4" t="s">
        <v>2161</v>
      </c>
      <c r="J528" s="4" t="s">
        <v>956</v>
      </c>
      <c r="K528" s="4" t="s">
        <v>116</v>
      </c>
      <c r="L528" s="4" t="s">
        <v>117</v>
      </c>
      <c r="M528" s="4" t="s">
        <v>108</v>
      </c>
      <c r="N528" s="4" t="s">
        <v>122</v>
      </c>
      <c r="O528" s="4" t="s">
        <v>123</v>
      </c>
      <c r="P528">
        <v>73</v>
      </c>
      <c r="Q528">
        <v>73</v>
      </c>
      <c r="R528" s="4" t="s">
        <v>158</v>
      </c>
      <c r="S528">
        <v>28.18</v>
      </c>
      <c r="T528">
        <v>2057.14</v>
      </c>
      <c r="U528">
        <v>1699.44</v>
      </c>
      <c r="V528" s="4" t="s">
        <v>30</v>
      </c>
    </row>
    <row r="529" spans="1:22" x14ac:dyDescent="0.2">
      <c r="A529" s="4" t="s">
        <v>713</v>
      </c>
      <c r="B529">
        <v>528</v>
      </c>
      <c r="C529" s="4" t="s">
        <v>26</v>
      </c>
      <c r="D529" s="4" t="s">
        <v>47</v>
      </c>
      <c r="E529" s="4" t="s">
        <v>47</v>
      </c>
      <c r="F529" s="4" t="s">
        <v>2128</v>
      </c>
      <c r="G529">
        <v>14</v>
      </c>
      <c r="H529">
        <v>67</v>
      </c>
      <c r="I529" s="4" t="s">
        <v>2162</v>
      </c>
      <c r="J529" s="4" t="s">
        <v>956</v>
      </c>
      <c r="K529" s="4" t="s">
        <v>116</v>
      </c>
      <c r="L529" s="4" t="s">
        <v>117</v>
      </c>
      <c r="M529" s="4" t="s">
        <v>108</v>
      </c>
      <c r="N529" s="4" t="s">
        <v>131</v>
      </c>
      <c r="O529" s="4" t="s">
        <v>132</v>
      </c>
      <c r="P529">
        <v>22</v>
      </c>
      <c r="Q529">
        <v>22</v>
      </c>
      <c r="R529" s="4" t="s">
        <v>158</v>
      </c>
      <c r="S529">
        <v>67.069999999999993</v>
      </c>
      <c r="T529">
        <v>1475.54</v>
      </c>
      <c r="U529">
        <v>1336.28</v>
      </c>
      <c r="V529" s="4" t="s">
        <v>30</v>
      </c>
    </row>
    <row r="530" spans="1:22" x14ac:dyDescent="0.2">
      <c r="A530" s="4" t="s">
        <v>714</v>
      </c>
      <c r="B530">
        <v>529</v>
      </c>
      <c r="C530" s="4" t="s">
        <v>26</v>
      </c>
      <c r="D530" s="4" t="s">
        <v>47</v>
      </c>
      <c r="E530" s="4" t="s">
        <v>50</v>
      </c>
      <c r="F530" s="4" t="s">
        <v>2157</v>
      </c>
      <c r="G530">
        <v>14</v>
      </c>
      <c r="H530">
        <v>68</v>
      </c>
      <c r="I530" s="4" t="s">
        <v>2163</v>
      </c>
      <c r="J530" s="4" t="s">
        <v>956</v>
      </c>
      <c r="K530" s="4" t="s">
        <v>112</v>
      </c>
      <c r="L530" s="4" t="s">
        <v>113</v>
      </c>
      <c r="M530" s="4" t="s">
        <v>108</v>
      </c>
      <c r="N530" s="4" t="s">
        <v>122</v>
      </c>
      <c r="O530" s="4" t="s">
        <v>123</v>
      </c>
      <c r="P530">
        <v>54</v>
      </c>
      <c r="Q530">
        <v>54</v>
      </c>
      <c r="R530" s="4" t="s">
        <v>158</v>
      </c>
      <c r="S530">
        <v>28.18</v>
      </c>
      <c r="T530">
        <v>1521.72</v>
      </c>
      <c r="U530">
        <v>1257.1199999999999</v>
      </c>
      <c r="V530" s="4" t="s">
        <v>30</v>
      </c>
    </row>
    <row r="531" spans="1:22" x14ac:dyDescent="0.2">
      <c r="A531" s="4" t="s">
        <v>715</v>
      </c>
      <c r="B531">
        <v>530</v>
      </c>
      <c r="C531" s="4" t="s">
        <v>26</v>
      </c>
      <c r="D531" s="4" t="s">
        <v>47</v>
      </c>
      <c r="E531" s="4" t="s">
        <v>50</v>
      </c>
      <c r="F531" s="4" t="s">
        <v>2157</v>
      </c>
      <c r="G531">
        <v>14</v>
      </c>
      <c r="H531">
        <v>68</v>
      </c>
      <c r="I531" s="4" t="s">
        <v>2164</v>
      </c>
      <c r="J531" s="4" t="s">
        <v>962</v>
      </c>
      <c r="K531" s="4" t="s">
        <v>112</v>
      </c>
      <c r="L531" s="4" t="s">
        <v>113</v>
      </c>
      <c r="M531" s="4" t="s">
        <v>108</v>
      </c>
      <c r="N531" s="4" t="s">
        <v>122</v>
      </c>
      <c r="O531" s="4" t="s">
        <v>123</v>
      </c>
      <c r="P531">
        <v>57</v>
      </c>
      <c r="Q531">
        <v>57</v>
      </c>
      <c r="R531" s="4" t="s">
        <v>158</v>
      </c>
      <c r="S531">
        <v>28.18</v>
      </c>
      <c r="T531">
        <v>1606.26</v>
      </c>
      <c r="U531">
        <v>1326.96</v>
      </c>
      <c r="V531" s="4" t="s">
        <v>30</v>
      </c>
    </row>
    <row r="532" spans="1:22" x14ac:dyDescent="0.2">
      <c r="A532" s="4" t="s">
        <v>716</v>
      </c>
      <c r="B532">
        <v>531</v>
      </c>
      <c r="C532" s="4" t="s">
        <v>26</v>
      </c>
      <c r="D532" s="4" t="s">
        <v>47</v>
      </c>
      <c r="E532" s="4" t="s">
        <v>50</v>
      </c>
      <c r="F532" s="4" t="s">
        <v>2157</v>
      </c>
      <c r="G532">
        <v>14</v>
      </c>
      <c r="H532">
        <v>68</v>
      </c>
      <c r="I532" s="4" t="s">
        <v>2163</v>
      </c>
      <c r="J532" s="4" t="s">
        <v>967</v>
      </c>
      <c r="K532" s="4" t="s">
        <v>112</v>
      </c>
      <c r="L532" s="4" t="s">
        <v>113</v>
      </c>
      <c r="M532" s="4" t="s">
        <v>108</v>
      </c>
      <c r="N532" s="4" t="s">
        <v>122</v>
      </c>
      <c r="O532" s="4" t="s">
        <v>123</v>
      </c>
      <c r="P532">
        <v>69</v>
      </c>
      <c r="Q532">
        <v>69</v>
      </c>
      <c r="R532" s="4" t="s">
        <v>158</v>
      </c>
      <c r="S532">
        <v>28.18</v>
      </c>
      <c r="T532">
        <v>1944.42</v>
      </c>
      <c r="U532">
        <v>1606.32</v>
      </c>
      <c r="V532" s="4" t="s">
        <v>30</v>
      </c>
    </row>
    <row r="533" spans="1:22" x14ac:dyDescent="0.2">
      <c r="A533" s="4" t="s">
        <v>717</v>
      </c>
      <c r="B533">
        <v>532</v>
      </c>
      <c r="C533" s="4" t="s">
        <v>26</v>
      </c>
      <c r="D533" s="4" t="s">
        <v>47</v>
      </c>
      <c r="E533" s="4" t="s">
        <v>50</v>
      </c>
      <c r="F533" s="4" t="s">
        <v>2157</v>
      </c>
      <c r="G533">
        <v>14</v>
      </c>
      <c r="H533">
        <v>68</v>
      </c>
      <c r="I533" s="4" t="s">
        <v>2163</v>
      </c>
      <c r="J533" s="4" t="s">
        <v>962</v>
      </c>
      <c r="K533" s="4" t="s">
        <v>112</v>
      </c>
      <c r="L533" s="4" t="s">
        <v>113</v>
      </c>
      <c r="M533" s="4" t="s">
        <v>108</v>
      </c>
      <c r="N533" s="4" t="s">
        <v>127</v>
      </c>
      <c r="O533" s="4" t="s">
        <v>128</v>
      </c>
      <c r="P533">
        <v>52</v>
      </c>
      <c r="Q533">
        <v>52</v>
      </c>
      <c r="R533" s="4" t="s">
        <v>158</v>
      </c>
      <c r="S533">
        <v>31.45</v>
      </c>
      <c r="T533">
        <v>1635.4</v>
      </c>
      <c r="U533">
        <v>1364.48</v>
      </c>
      <c r="V533" s="4" t="s">
        <v>30</v>
      </c>
    </row>
    <row r="534" spans="1:22" x14ac:dyDescent="0.2">
      <c r="A534" s="4" t="s">
        <v>718</v>
      </c>
      <c r="B534">
        <v>533</v>
      </c>
      <c r="C534" s="4" t="s">
        <v>26</v>
      </c>
      <c r="D534" s="4" t="s">
        <v>47</v>
      </c>
      <c r="E534" s="4" t="s">
        <v>50</v>
      </c>
      <c r="F534" s="4" t="s">
        <v>2157</v>
      </c>
      <c r="G534">
        <v>14</v>
      </c>
      <c r="H534">
        <v>68</v>
      </c>
      <c r="I534" s="4" t="s">
        <v>2164</v>
      </c>
      <c r="J534" s="4" t="s">
        <v>956</v>
      </c>
      <c r="K534" s="4" t="s">
        <v>112</v>
      </c>
      <c r="L534" s="4" t="s">
        <v>113</v>
      </c>
      <c r="M534" s="4" t="s">
        <v>108</v>
      </c>
      <c r="N534" s="4" t="s">
        <v>127</v>
      </c>
      <c r="O534" s="4" t="s">
        <v>128</v>
      </c>
      <c r="P534">
        <v>69</v>
      </c>
      <c r="Q534">
        <v>69</v>
      </c>
      <c r="R534" s="4" t="s">
        <v>158</v>
      </c>
      <c r="S534">
        <v>31.45</v>
      </c>
      <c r="T534">
        <v>2170.0500000000002</v>
      </c>
      <c r="U534">
        <v>1810.56</v>
      </c>
      <c r="V534" s="4" t="s">
        <v>30</v>
      </c>
    </row>
    <row r="535" spans="1:22" x14ac:dyDescent="0.2">
      <c r="A535" s="4" t="s">
        <v>719</v>
      </c>
      <c r="B535">
        <v>534</v>
      </c>
      <c r="C535" s="4" t="s">
        <v>26</v>
      </c>
      <c r="D535" s="4" t="s">
        <v>47</v>
      </c>
      <c r="E535" s="4" t="s">
        <v>50</v>
      </c>
      <c r="F535" s="4" t="s">
        <v>2157</v>
      </c>
      <c r="G535">
        <v>14</v>
      </c>
      <c r="H535">
        <v>68</v>
      </c>
      <c r="I535" s="4" t="s">
        <v>2163</v>
      </c>
      <c r="J535" s="4" t="s">
        <v>1005</v>
      </c>
      <c r="K535" s="4" t="s">
        <v>112</v>
      </c>
      <c r="L535" s="4" t="s">
        <v>113</v>
      </c>
      <c r="M535" s="4" t="s">
        <v>108</v>
      </c>
      <c r="N535" s="4" t="s">
        <v>129</v>
      </c>
      <c r="O535" s="4" t="s">
        <v>130</v>
      </c>
      <c r="P535">
        <v>26</v>
      </c>
      <c r="Q535">
        <v>26</v>
      </c>
      <c r="R535" s="4" t="s">
        <v>158</v>
      </c>
      <c r="S535">
        <v>91.58</v>
      </c>
      <c r="T535">
        <v>2381.08</v>
      </c>
      <c r="U535">
        <v>2179.3200000000002</v>
      </c>
      <c r="V535" s="4" t="s">
        <v>30</v>
      </c>
    </row>
    <row r="536" spans="1:22" x14ac:dyDescent="0.2">
      <c r="A536" s="4" t="s">
        <v>720</v>
      </c>
      <c r="B536">
        <v>535</v>
      </c>
      <c r="C536" s="4" t="s">
        <v>26</v>
      </c>
      <c r="D536" s="4" t="s">
        <v>47</v>
      </c>
      <c r="E536" s="4" t="s">
        <v>50</v>
      </c>
      <c r="F536" s="4" t="s">
        <v>2157</v>
      </c>
      <c r="G536">
        <v>14</v>
      </c>
      <c r="H536">
        <v>68</v>
      </c>
      <c r="I536" s="4" t="s">
        <v>2163</v>
      </c>
      <c r="J536" s="4" t="s">
        <v>964</v>
      </c>
      <c r="K536" s="4" t="s">
        <v>112</v>
      </c>
      <c r="L536" s="4" t="s">
        <v>113</v>
      </c>
      <c r="M536" s="4" t="s">
        <v>108</v>
      </c>
      <c r="N536" s="4" t="s">
        <v>133</v>
      </c>
      <c r="O536" s="4" t="s">
        <v>134</v>
      </c>
      <c r="P536">
        <v>43</v>
      </c>
      <c r="Q536">
        <v>43</v>
      </c>
      <c r="R536" s="4" t="s">
        <v>158</v>
      </c>
      <c r="S536">
        <v>48.5</v>
      </c>
      <c r="T536">
        <v>2085.5</v>
      </c>
      <c r="U536">
        <v>1885.12</v>
      </c>
      <c r="V536" s="4" t="s">
        <v>30</v>
      </c>
    </row>
    <row r="537" spans="1:22" x14ac:dyDescent="0.2">
      <c r="A537" s="4" t="s">
        <v>721</v>
      </c>
      <c r="B537">
        <v>536</v>
      </c>
      <c r="C537" s="4" t="s">
        <v>26</v>
      </c>
      <c r="D537" s="4" t="s">
        <v>47</v>
      </c>
      <c r="E537" s="4" t="s">
        <v>50</v>
      </c>
      <c r="F537" s="4" t="s">
        <v>2157</v>
      </c>
      <c r="G537">
        <v>14</v>
      </c>
      <c r="H537">
        <v>68</v>
      </c>
      <c r="I537" s="4" t="s">
        <v>2165</v>
      </c>
      <c r="J537" s="4" t="s">
        <v>964</v>
      </c>
      <c r="K537" s="4" t="s">
        <v>114</v>
      </c>
      <c r="L537" s="4" t="s">
        <v>115</v>
      </c>
      <c r="M537" s="4" t="s">
        <v>108</v>
      </c>
      <c r="N537" s="4" t="s">
        <v>122</v>
      </c>
      <c r="O537" s="4" t="s">
        <v>123</v>
      </c>
      <c r="P537">
        <v>71</v>
      </c>
      <c r="Q537">
        <v>71</v>
      </c>
      <c r="R537" s="4" t="s">
        <v>158</v>
      </c>
      <c r="S537">
        <v>28.18</v>
      </c>
      <c r="T537">
        <v>2000.78</v>
      </c>
      <c r="U537">
        <v>1652.88</v>
      </c>
      <c r="V537" s="4" t="s">
        <v>30</v>
      </c>
    </row>
    <row r="538" spans="1:22" x14ac:dyDescent="0.2">
      <c r="A538" s="4" t="s">
        <v>722</v>
      </c>
      <c r="B538">
        <v>537</v>
      </c>
      <c r="C538" s="4" t="s">
        <v>26</v>
      </c>
      <c r="D538" s="4" t="s">
        <v>47</v>
      </c>
      <c r="E538" s="4" t="s">
        <v>50</v>
      </c>
      <c r="F538" s="4" t="s">
        <v>2157</v>
      </c>
      <c r="G538">
        <v>14</v>
      </c>
      <c r="H538">
        <v>68</v>
      </c>
      <c r="I538" s="4" t="s">
        <v>2165</v>
      </c>
      <c r="J538" s="4" t="s">
        <v>956</v>
      </c>
      <c r="K538" s="4" t="s">
        <v>114</v>
      </c>
      <c r="L538" s="4" t="s">
        <v>115</v>
      </c>
      <c r="M538" s="4" t="s">
        <v>108</v>
      </c>
      <c r="N538" s="4" t="s">
        <v>125</v>
      </c>
      <c r="O538" s="4" t="s">
        <v>126</v>
      </c>
      <c r="P538">
        <v>25</v>
      </c>
      <c r="Q538">
        <v>25</v>
      </c>
      <c r="R538" s="4" t="s">
        <v>158</v>
      </c>
      <c r="S538">
        <v>79.87</v>
      </c>
      <c r="T538">
        <v>1996.75</v>
      </c>
      <c r="U538">
        <v>1827.5</v>
      </c>
      <c r="V538" s="4" t="s">
        <v>30</v>
      </c>
    </row>
    <row r="539" spans="1:22" x14ac:dyDescent="0.2">
      <c r="A539" s="4" t="s">
        <v>723</v>
      </c>
      <c r="B539">
        <v>538</v>
      </c>
      <c r="C539" s="4" t="s">
        <v>26</v>
      </c>
      <c r="D539" s="4" t="s">
        <v>47</v>
      </c>
      <c r="E539" s="4" t="s">
        <v>50</v>
      </c>
      <c r="F539" s="4" t="s">
        <v>2157</v>
      </c>
      <c r="G539">
        <v>14</v>
      </c>
      <c r="H539">
        <v>68</v>
      </c>
      <c r="I539" s="4" t="s">
        <v>2166</v>
      </c>
      <c r="J539" s="4" t="s">
        <v>962</v>
      </c>
      <c r="K539" s="4" t="s">
        <v>114</v>
      </c>
      <c r="L539" s="4" t="s">
        <v>115</v>
      </c>
      <c r="M539" s="4" t="s">
        <v>108</v>
      </c>
      <c r="N539" s="4" t="s">
        <v>127</v>
      </c>
      <c r="O539" s="4" t="s">
        <v>128</v>
      </c>
      <c r="P539">
        <v>47</v>
      </c>
      <c r="Q539">
        <v>47</v>
      </c>
      <c r="R539" s="4" t="s">
        <v>158</v>
      </c>
      <c r="S539">
        <v>31.45</v>
      </c>
      <c r="T539">
        <v>1478.15</v>
      </c>
      <c r="U539">
        <v>1233.28</v>
      </c>
      <c r="V539" s="4" t="s">
        <v>30</v>
      </c>
    </row>
    <row r="540" spans="1:22" x14ac:dyDescent="0.2">
      <c r="A540" s="4" t="s">
        <v>724</v>
      </c>
      <c r="B540">
        <v>539</v>
      </c>
      <c r="C540" s="4" t="s">
        <v>26</v>
      </c>
      <c r="D540" s="4" t="s">
        <v>47</v>
      </c>
      <c r="E540" s="4" t="s">
        <v>50</v>
      </c>
      <c r="F540" s="4" t="s">
        <v>2157</v>
      </c>
      <c r="G540">
        <v>14</v>
      </c>
      <c r="H540">
        <v>68</v>
      </c>
      <c r="I540" s="4" t="s">
        <v>2165</v>
      </c>
      <c r="J540" s="4" t="s">
        <v>967</v>
      </c>
      <c r="K540" s="4" t="s">
        <v>114</v>
      </c>
      <c r="L540" s="4" t="s">
        <v>115</v>
      </c>
      <c r="M540" s="4" t="s">
        <v>108</v>
      </c>
      <c r="N540" s="4" t="s">
        <v>129</v>
      </c>
      <c r="O540" s="4" t="s">
        <v>130</v>
      </c>
      <c r="P540">
        <v>26</v>
      </c>
      <c r="Q540">
        <v>26</v>
      </c>
      <c r="R540" s="4" t="s">
        <v>158</v>
      </c>
      <c r="S540">
        <v>91.58</v>
      </c>
      <c r="T540">
        <v>2381.08</v>
      </c>
      <c r="U540">
        <v>2179.3200000000002</v>
      </c>
      <c r="V540" s="4" t="s">
        <v>30</v>
      </c>
    </row>
    <row r="541" spans="1:22" x14ac:dyDescent="0.2">
      <c r="A541" s="4" t="s">
        <v>725</v>
      </c>
      <c r="B541">
        <v>540</v>
      </c>
      <c r="C541" s="4" t="s">
        <v>26</v>
      </c>
      <c r="D541" s="4" t="s">
        <v>47</v>
      </c>
      <c r="E541" s="4" t="s">
        <v>50</v>
      </c>
      <c r="F541" s="4" t="s">
        <v>2157</v>
      </c>
      <c r="G541">
        <v>14</v>
      </c>
      <c r="H541">
        <v>68</v>
      </c>
      <c r="I541" s="4" t="s">
        <v>2166</v>
      </c>
      <c r="J541" s="4" t="s">
        <v>956</v>
      </c>
      <c r="K541" s="4" t="s">
        <v>114</v>
      </c>
      <c r="L541" s="4" t="s">
        <v>115</v>
      </c>
      <c r="M541" s="4" t="s">
        <v>108</v>
      </c>
      <c r="N541" s="4" t="s">
        <v>131</v>
      </c>
      <c r="O541" s="4" t="s">
        <v>132</v>
      </c>
      <c r="P541">
        <v>26</v>
      </c>
      <c r="Q541">
        <v>26</v>
      </c>
      <c r="R541" s="4" t="s">
        <v>158</v>
      </c>
      <c r="S541">
        <v>67.069999999999993</v>
      </c>
      <c r="T541">
        <v>1743.82</v>
      </c>
      <c r="U541">
        <v>1579.24</v>
      </c>
      <c r="V541" s="4" t="s">
        <v>30</v>
      </c>
    </row>
    <row r="542" spans="1:22" x14ac:dyDescent="0.2">
      <c r="A542" s="4" t="s">
        <v>726</v>
      </c>
      <c r="B542">
        <v>541</v>
      </c>
      <c r="C542" s="4" t="s">
        <v>26</v>
      </c>
      <c r="D542" s="4" t="s">
        <v>47</v>
      </c>
      <c r="E542" s="4" t="s">
        <v>50</v>
      </c>
      <c r="F542" s="4" t="s">
        <v>2157</v>
      </c>
      <c r="G542">
        <v>14</v>
      </c>
      <c r="H542">
        <v>68</v>
      </c>
      <c r="I542" s="4" t="s">
        <v>2165</v>
      </c>
      <c r="J542" s="4" t="s">
        <v>962</v>
      </c>
      <c r="K542" s="4" t="s">
        <v>114</v>
      </c>
      <c r="L542" s="4" t="s">
        <v>115</v>
      </c>
      <c r="M542" s="4" t="s">
        <v>108</v>
      </c>
      <c r="N542" s="4" t="s">
        <v>133</v>
      </c>
      <c r="O542" s="4" t="s">
        <v>134</v>
      </c>
      <c r="P542">
        <v>31</v>
      </c>
      <c r="Q542">
        <v>31</v>
      </c>
      <c r="R542" s="4" t="s">
        <v>158</v>
      </c>
      <c r="S542">
        <v>48.5</v>
      </c>
      <c r="T542">
        <v>1503.5</v>
      </c>
      <c r="U542">
        <v>1359.04</v>
      </c>
      <c r="V542" s="4" t="s">
        <v>30</v>
      </c>
    </row>
    <row r="543" spans="1:22" x14ac:dyDescent="0.2">
      <c r="A543" s="4" t="s">
        <v>727</v>
      </c>
      <c r="B543">
        <v>542</v>
      </c>
      <c r="C543" s="4" t="s">
        <v>26</v>
      </c>
      <c r="D543" s="4" t="s">
        <v>47</v>
      </c>
      <c r="E543" s="4" t="s">
        <v>50</v>
      </c>
      <c r="F543" s="4" t="s">
        <v>2157</v>
      </c>
      <c r="G543">
        <v>14</v>
      </c>
      <c r="H543">
        <v>68</v>
      </c>
      <c r="I543" s="4" t="s">
        <v>2168</v>
      </c>
      <c r="J543" s="4" t="s">
        <v>964</v>
      </c>
      <c r="K543" s="4" t="s">
        <v>116</v>
      </c>
      <c r="L543" s="4" t="s">
        <v>117</v>
      </c>
      <c r="M543" s="4" t="s">
        <v>108</v>
      </c>
      <c r="N543" s="4" t="s">
        <v>122</v>
      </c>
      <c r="O543" s="4" t="s">
        <v>123</v>
      </c>
      <c r="P543">
        <v>16</v>
      </c>
      <c r="Q543">
        <v>16</v>
      </c>
      <c r="R543" s="4" t="s">
        <v>158</v>
      </c>
      <c r="S543">
        <v>28.18</v>
      </c>
      <c r="T543">
        <v>450.88</v>
      </c>
      <c r="U543">
        <v>372.48</v>
      </c>
      <c r="V543" s="4" t="s">
        <v>30</v>
      </c>
    </row>
    <row r="544" spans="1:22" x14ac:dyDescent="0.2">
      <c r="A544" s="4" t="s">
        <v>728</v>
      </c>
      <c r="B544">
        <v>543</v>
      </c>
      <c r="C544" s="4" t="s">
        <v>26</v>
      </c>
      <c r="D544" s="4" t="s">
        <v>47</v>
      </c>
      <c r="E544" s="4" t="s">
        <v>50</v>
      </c>
      <c r="F544" s="4" t="s">
        <v>2157</v>
      </c>
      <c r="G544">
        <v>14</v>
      </c>
      <c r="H544">
        <v>68</v>
      </c>
      <c r="I544" s="4" t="s">
        <v>2167</v>
      </c>
      <c r="J544" s="4" t="s">
        <v>1005</v>
      </c>
      <c r="K544" s="4" t="s">
        <v>116</v>
      </c>
      <c r="L544" s="4" t="s">
        <v>117</v>
      </c>
      <c r="M544" s="4" t="s">
        <v>108</v>
      </c>
      <c r="N544" s="4" t="s">
        <v>122</v>
      </c>
      <c r="O544" s="4" t="s">
        <v>123</v>
      </c>
      <c r="P544">
        <v>61</v>
      </c>
      <c r="Q544">
        <v>61</v>
      </c>
      <c r="R544" s="4" t="s">
        <v>158</v>
      </c>
      <c r="S544">
        <v>28.18</v>
      </c>
      <c r="T544">
        <v>1718.98</v>
      </c>
      <c r="U544">
        <v>1420.08</v>
      </c>
      <c r="V544" s="4" t="s">
        <v>30</v>
      </c>
    </row>
    <row r="545" spans="1:22" x14ac:dyDescent="0.2">
      <c r="A545" s="4" t="s">
        <v>729</v>
      </c>
      <c r="B545">
        <v>544</v>
      </c>
      <c r="C545" s="4" t="s">
        <v>26</v>
      </c>
      <c r="D545" s="4" t="s">
        <v>47</v>
      </c>
      <c r="E545" s="4" t="s">
        <v>50</v>
      </c>
      <c r="F545" s="4" t="s">
        <v>2157</v>
      </c>
      <c r="G545">
        <v>14</v>
      </c>
      <c r="H545">
        <v>68</v>
      </c>
      <c r="I545" s="4" t="s">
        <v>2168</v>
      </c>
      <c r="J545" s="4" t="s">
        <v>956</v>
      </c>
      <c r="K545" s="4" t="s">
        <v>116</v>
      </c>
      <c r="L545" s="4" t="s">
        <v>117</v>
      </c>
      <c r="M545" s="4" t="s">
        <v>108</v>
      </c>
      <c r="N545" s="4" t="s">
        <v>127</v>
      </c>
      <c r="O545" s="4" t="s">
        <v>128</v>
      </c>
      <c r="P545">
        <v>27</v>
      </c>
      <c r="Q545">
        <v>27</v>
      </c>
      <c r="R545" s="4" t="s">
        <v>158</v>
      </c>
      <c r="S545">
        <v>31.45</v>
      </c>
      <c r="T545">
        <v>849.15</v>
      </c>
      <c r="U545">
        <v>708.48</v>
      </c>
      <c r="V545" s="4" t="s">
        <v>30</v>
      </c>
    </row>
    <row r="546" spans="1:22" x14ac:dyDescent="0.2">
      <c r="A546" s="4" t="s">
        <v>730</v>
      </c>
      <c r="B546">
        <v>545</v>
      </c>
      <c r="C546" s="4" t="s">
        <v>26</v>
      </c>
      <c r="D546" s="4" t="s">
        <v>47</v>
      </c>
      <c r="E546" s="4" t="s">
        <v>50</v>
      </c>
      <c r="F546" s="4" t="s">
        <v>2157</v>
      </c>
      <c r="G546">
        <v>14</v>
      </c>
      <c r="H546">
        <v>68</v>
      </c>
      <c r="I546" s="4" t="s">
        <v>2167</v>
      </c>
      <c r="J546" s="4" t="s">
        <v>967</v>
      </c>
      <c r="K546" s="4" t="s">
        <v>116</v>
      </c>
      <c r="L546" s="4" t="s">
        <v>117</v>
      </c>
      <c r="M546" s="4" t="s">
        <v>108</v>
      </c>
      <c r="N546" s="4" t="s">
        <v>127</v>
      </c>
      <c r="O546" s="4" t="s">
        <v>128</v>
      </c>
      <c r="P546">
        <v>60</v>
      </c>
      <c r="Q546">
        <v>60</v>
      </c>
      <c r="R546" s="4" t="s">
        <v>158</v>
      </c>
      <c r="S546">
        <v>31.45</v>
      </c>
      <c r="T546">
        <v>1887</v>
      </c>
      <c r="U546">
        <v>1574.4</v>
      </c>
      <c r="V546" s="4" t="s">
        <v>30</v>
      </c>
    </row>
    <row r="547" spans="1:22" x14ac:dyDescent="0.2">
      <c r="A547" s="4" t="s">
        <v>731</v>
      </c>
      <c r="B547">
        <v>546</v>
      </c>
      <c r="C547" s="4" t="s">
        <v>26</v>
      </c>
      <c r="D547" s="4" t="s">
        <v>47</v>
      </c>
      <c r="E547" s="4" t="s">
        <v>50</v>
      </c>
      <c r="F547" s="4" t="s">
        <v>2157</v>
      </c>
      <c r="G547">
        <v>14</v>
      </c>
      <c r="H547">
        <v>68</v>
      </c>
      <c r="I547" s="4" t="s">
        <v>2167</v>
      </c>
      <c r="J547" s="4" t="s">
        <v>1006</v>
      </c>
      <c r="K547" s="4" t="s">
        <v>116</v>
      </c>
      <c r="L547" s="4" t="s">
        <v>117</v>
      </c>
      <c r="M547" s="4" t="s">
        <v>108</v>
      </c>
      <c r="N547" s="4" t="s">
        <v>129</v>
      </c>
      <c r="O547" s="4" t="s">
        <v>130</v>
      </c>
      <c r="P547">
        <v>5</v>
      </c>
      <c r="Q547">
        <v>5</v>
      </c>
      <c r="R547" s="4" t="s">
        <v>158</v>
      </c>
      <c r="S547">
        <v>91.58</v>
      </c>
      <c r="T547">
        <v>457.9</v>
      </c>
      <c r="U547">
        <v>419.1</v>
      </c>
      <c r="V547" s="4" t="s">
        <v>30</v>
      </c>
    </row>
    <row r="548" spans="1:22" x14ac:dyDescent="0.2">
      <c r="A548" s="4" t="s">
        <v>732</v>
      </c>
      <c r="B548">
        <v>547</v>
      </c>
      <c r="C548" s="4" t="s">
        <v>26</v>
      </c>
      <c r="D548" s="4" t="s">
        <v>47</v>
      </c>
      <c r="E548" s="4" t="s">
        <v>50</v>
      </c>
      <c r="F548" s="4" t="s">
        <v>2157</v>
      </c>
      <c r="G548">
        <v>14</v>
      </c>
      <c r="H548">
        <v>68</v>
      </c>
      <c r="I548" s="4" t="s">
        <v>2167</v>
      </c>
      <c r="J548" s="4" t="s">
        <v>964</v>
      </c>
      <c r="K548" s="4" t="s">
        <v>116</v>
      </c>
      <c r="L548" s="4" t="s">
        <v>117</v>
      </c>
      <c r="M548" s="4" t="s">
        <v>108</v>
      </c>
      <c r="N548" s="4" t="s">
        <v>129</v>
      </c>
      <c r="O548" s="4" t="s">
        <v>130</v>
      </c>
      <c r="P548">
        <v>26</v>
      </c>
      <c r="Q548">
        <v>26</v>
      </c>
      <c r="R548" s="4" t="s">
        <v>158</v>
      </c>
      <c r="S548">
        <v>91.58</v>
      </c>
      <c r="T548">
        <v>2381.08</v>
      </c>
      <c r="U548">
        <v>2179.3200000000002</v>
      </c>
      <c r="V548" s="4" t="s">
        <v>30</v>
      </c>
    </row>
    <row r="549" spans="1:22" x14ac:dyDescent="0.2">
      <c r="A549" s="4" t="s">
        <v>733</v>
      </c>
      <c r="B549">
        <v>548</v>
      </c>
      <c r="C549" s="4" t="s">
        <v>26</v>
      </c>
      <c r="D549" s="4" t="s">
        <v>47</v>
      </c>
      <c r="E549" s="4" t="s">
        <v>50</v>
      </c>
      <c r="F549" s="4" t="s">
        <v>2157</v>
      </c>
      <c r="G549">
        <v>14</v>
      </c>
      <c r="H549">
        <v>68</v>
      </c>
      <c r="I549" s="4" t="s">
        <v>2167</v>
      </c>
      <c r="J549" s="4" t="s">
        <v>962</v>
      </c>
      <c r="K549" s="4" t="s">
        <v>116</v>
      </c>
      <c r="L549" s="4" t="s">
        <v>117</v>
      </c>
      <c r="M549" s="4" t="s">
        <v>108</v>
      </c>
      <c r="N549" s="4" t="s">
        <v>129</v>
      </c>
      <c r="O549" s="4" t="s">
        <v>130</v>
      </c>
      <c r="P549">
        <v>20</v>
      </c>
      <c r="Q549">
        <v>20</v>
      </c>
      <c r="R549" s="4" t="s">
        <v>158</v>
      </c>
      <c r="S549">
        <v>91.58</v>
      </c>
      <c r="T549">
        <v>1831.6</v>
      </c>
      <c r="U549">
        <v>1676.4</v>
      </c>
      <c r="V549" s="4" t="s">
        <v>30</v>
      </c>
    </row>
    <row r="550" spans="1:22" x14ac:dyDescent="0.2">
      <c r="A550" s="4" t="s">
        <v>734</v>
      </c>
      <c r="B550">
        <v>549</v>
      </c>
      <c r="C550" s="4" t="s">
        <v>26</v>
      </c>
      <c r="D550" s="4" t="s">
        <v>47</v>
      </c>
      <c r="E550" s="4" t="s">
        <v>50</v>
      </c>
      <c r="F550" s="4" t="s">
        <v>2157</v>
      </c>
      <c r="G550">
        <v>14</v>
      </c>
      <c r="H550">
        <v>68</v>
      </c>
      <c r="I550" s="4" t="s">
        <v>2168</v>
      </c>
      <c r="J550" s="4" t="s">
        <v>962</v>
      </c>
      <c r="K550" s="4" t="s">
        <v>116</v>
      </c>
      <c r="L550" s="4" t="s">
        <v>117</v>
      </c>
      <c r="M550" s="4" t="s">
        <v>108</v>
      </c>
      <c r="N550" s="4" t="s">
        <v>129</v>
      </c>
      <c r="O550" s="4" t="s">
        <v>130</v>
      </c>
      <c r="P550">
        <v>22</v>
      </c>
      <c r="Q550">
        <v>22</v>
      </c>
      <c r="R550" s="4" t="s">
        <v>158</v>
      </c>
      <c r="S550">
        <v>91.58</v>
      </c>
      <c r="T550">
        <v>2014.76</v>
      </c>
      <c r="U550">
        <v>1844.04</v>
      </c>
      <c r="V550" s="4" t="s">
        <v>30</v>
      </c>
    </row>
    <row r="551" spans="1:22" x14ac:dyDescent="0.2">
      <c r="A551" s="4" t="s">
        <v>735</v>
      </c>
      <c r="B551">
        <v>550</v>
      </c>
      <c r="C551" s="4" t="s">
        <v>26</v>
      </c>
      <c r="D551" s="4" t="s">
        <v>47</v>
      </c>
      <c r="E551" s="4" t="s">
        <v>50</v>
      </c>
      <c r="F551" s="4" t="s">
        <v>2157</v>
      </c>
      <c r="G551">
        <v>14</v>
      </c>
      <c r="H551">
        <v>68</v>
      </c>
      <c r="I551" s="4" t="s">
        <v>2167</v>
      </c>
      <c r="J551" s="4" t="s">
        <v>956</v>
      </c>
      <c r="K551" s="4" t="s">
        <v>116</v>
      </c>
      <c r="L551" s="4" t="s">
        <v>117</v>
      </c>
      <c r="M551" s="4" t="s">
        <v>108</v>
      </c>
      <c r="N551" s="4" t="s">
        <v>131</v>
      </c>
      <c r="O551" s="4" t="s">
        <v>132</v>
      </c>
      <c r="P551">
        <v>35</v>
      </c>
      <c r="Q551">
        <v>35</v>
      </c>
      <c r="R551" s="4" t="s">
        <v>158</v>
      </c>
      <c r="S551">
        <v>67.069999999999993</v>
      </c>
      <c r="T551">
        <v>2347.4499999999998</v>
      </c>
      <c r="U551">
        <v>2125.9</v>
      </c>
      <c r="V551" s="4" t="s">
        <v>30</v>
      </c>
    </row>
    <row r="552" spans="1:22" x14ac:dyDescent="0.2">
      <c r="A552" s="4" t="s">
        <v>736</v>
      </c>
      <c r="B552">
        <v>551</v>
      </c>
      <c r="C552" s="4" t="s">
        <v>26</v>
      </c>
      <c r="D552" s="4" t="s">
        <v>47</v>
      </c>
      <c r="E552" s="4" t="s">
        <v>53</v>
      </c>
      <c r="F552" s="4" t="s">
        <v>2158</v>
      </c>
      <c r="G552">
        <v>14</v>
      </c>
      <c r="H552">
        <v>69</v>
      </c>
      <c r="I552" s="4" t="s">
        <v>2169</v>
      </c>
      <c r="J552" s="4" t="s">
        <v>956</v>
      </c>
      <c r="K552" s="4" t="s">
        <v>112</v>
      </c>
      <c r="L552" s="4" t="s">
        <v>113</v>
      </c>
      <c r="M552" s="4" t="s">
        <v>108</v>
      </c>
      <c r="N552" s="4" t="s">
        <v>127</v>
      </c>
      <c r="O552" s="4" t="s">
        <v>128</v>
      </c>
      <c r="P552">
        <v>54</v>
      </c>
      <c r="Q552">
        <v>54</v>
      </c>
      <c r="R552" s="4" t="s">
        <v>158</v>
      </c>
      <c r="S552">
        <v>31.45</v>
      </c>
      <c r="T552">
        <v>1698.3</v>
      </c>
      <c r="U552">
        <v>1416.96</v>
      </c>
      <c r="V552" s="4" t="s">
        <v>30</v>
      </c>
    </row>
    <row r="553" spans="1:22" x14ac:dyDescent="0.2">
      <c r="A553" s="4" t="s">
        <v>737</v>
      </c>
      <c r="B553">
        <v>552</v>
      </c>
      <c r="C553" s="4" t="s">
        <v>26</v>
      </c>
      <c r="D553" s="4" t="s">
        <v>47</v>
      </c>
      <c r="E553" s="4" t="s">
        <v>53</v>
      </c>
      <c r="F553" s="4" t="s">
        <v>2158</v>
      </c>
      <c r="G553">
        <v>14</v>
      </c>
      <c r="H553">
        <v>69</v>
      </c>
      <c r="I553" s="4" t="s">
        <v>2170</v>
      </c>
      <c r="J553" s="4" t="s">
        <v>956</v>
      </c>
      <c r="K553" s="4" t="s">
        <v>112</v>
      </c>
      <c r="L553" s="4" t="s">
        <v>113</v>
      </c>
      <c r="M553" s="4" t="s">
        <v>108</v>
      </c>
      <c r="N553" s="4" t="s">
        <v>131</v>
      </c>
      <c r="O553" s="4" t="s">
        <v>132</v>
      </c>
      <c r="P553">
        <v>23</v>
      </c>
      <c r="Q553">
        <v>23</v>
      </c>
      <c r="R553" s="4" t="s">
        <v>158</v>
      </c>
      <c r="S553">
        <v>67.069999999999993</v>
      </c>
      <c r="T553">
        <v>1542.61</v>
      </c>
      <c r="U553">
        <v>1397.02</v>
      </c>
      <c r="V553" s="4" t="s">
        <v>30</v>
      </c>
    </row>
    <row r="554" spans="1:22" x14ac:dyDescent="0.2">
      <c r="A554" s="4" t="s">
        <v>738</v>
      </c>
      <c r="B554">
        <v>553</v>
      </c>
      <c r="C554" s="4" t="s">
        <v>26</v>
      </c>
      <c r="D554" s="4" t="s">
        <v>47</v>
      </c>
      <c r="E554" s="4" t="s">
        <v>53</v>
      </c>
      <c r="F554" s="4" t="s">
        <v>2158</v>
      </c>
      <c r="G554">
        <v>14</v>
      </c>
      <c r="H554">
        <v>69</v>
      </c>
      <c r="I554" s="4" t="s">
        <v>2171</v>
      </c>
      <c r="J554" s="4" t="s">
        <v>1006</v>
      </c>
      <c r="K554" s="4" t="s">
        <v>114</v>
      </c>
      <c r="L554" s="4" t="s">
        <v>115</v>
      </c>
      <c r="M554" s="4" t="s">
        <v>108</v>
      </c>
      <c r="N554" s="4" t="s">
        <v>125</v>
      </c>
      <c r="O554" s="4" t="s">
        <v>126</v>
      </c>
      <c r="P554">
        <v>29</v>
      </c>
      <c r="Q554">
        <v>29</v>
      </c>
      <c r="R554" s="4" t="s">
        <v>158</v>
      </c>
      <c r="S554">
        <v>79.87</v>
      </c>
      <c r="T554">
        <v>2316.23</v>
      </c>
      <c r="U554">
        <v>2119.9</v>
      </c>
      <c r="V554" s="4" t="s">
        <v>30</v>
      </c>
    </row>
    <row r="555" spans="1:22" x14ac:dyDescent="0.2">
      <c r="A555" s="4" t="s">
        <v>739</v>
      </c>
      <c r="B555">
        <v>554</v>
      </c>
      <c r="C555" s="4" t="s">
        <v>26</v>
      </c>
      <c r="D555" s="4" t="s">
        <v>47</v>
      </c>
      <c r="E555" s="4" t="s">
        <v>53</v>
      </c>
      <c r="F555" s="4" t="s">
        <v>2158</v>
      </c>
      <c r="G555">
        <v>14</v>
      </c>
      <c r="H555">
        <v>69</v>
      </c>
      <c r="I555" s="4" t="s">
        <v>2171</v>
      </c>
      <c r="J555" s="4" t="s">
        <v>956</v>
      </c>
      <c r="K555" s="4" t="s">
        <v>114</v>
      </c>
      <c r="L555" s="4" t="s">
        <v>115</v>
      </c>
      <c r="M555" s="4" t="s">
        <v>108</v>
      </c>
      <c r="N555" s="4" t="s">
        <v>127</v>
      </c>
      <c r="O555" s="4" t="s">
        <v>128</v>
      </c>
      <c r="P555">
        <v>52</v>
      </c>
      <c r="Q555">
        <v>52</v>
      </c>
      <c r="R555" s="4" t="s">
        <v>158</v>
      </c>
      <c r="S555">
        <v>31.45</v>
      </c>
      <c r="T555">
        <v>1635.4</v>
      </c>
      <c r="U555">
        <v>1364.48</v>
      </c>
      <c r="V555" s="4" t="s">
        <v>30</v>
      </c>
    </row>
    <row r="556" spans="1:22" x14ac:dyDescent="0.2">
      <c r="A556" s="4" t="s">
        <v>740</v>
      </c>
      <c r="B556">
        <v>555</v>
      </c>
      <c r="C556" s="4" t="s">
        <v>26</v>
      </c>
      <c r="D556" s="4" t="s">
        <v>47</v>
      </c>
      <c r="E556" s="4" t="s">
        <v>53</v>
      </c>
      <c r="F556" s="4" t="s">
        <v>2158</v>
      </c>
      <c r="G556">
        <v>14</v>
      </c>
      <c r="H556">
        <v>69</v>
      </c>
      <c r="I556" s="4" t="s">
        <v>2171</v>
      </c>
      <c r="J556" s="4" t="s">
        <v>1005</v>
      </c>
      <c r="K556" s="4" t="s">
        <v>114</v>
      </c>
      <c r="L556" s="4" t="s">
        <v>115</v>
      </c>
      <c r="M556" s="4" t="s">
        <v>108</v>
      </c>
      <c r="N556" s="4" t="s">
        <v>127</v>
      </c>
      <c r="O556" s="4" t="s">
        <v>128</v>
      </c>
      <c r="P556">
        <v>70</v>
      </c>
      <c r="Q556">
        <v>70</v>
      </c>
      <c r="R556" s="4" t="s">
        <v>158</v>
      </c>
      <c r="S556">
        <v>31.45</v>
      </c>
      <c r="T556">
        <v>2201.5</v>
      </c>
      <c r="U556">
        <v>1836.8</v>
      </c>
      <c r="V556" s="4" t="s">
        <v>30</v>
      </c>
    </row>
    <row r="557" spans="1:22" x14ac:dyDescent="0.2">
      <c r="A557" s="4" t="s">
        <v>741</v>
      </c>
      <c r="B557">
        <v>556</v>
      </c>
      <c r="C557" s="4" t="s">
        <v>26</v>
      </c>
      <c r="D557" s="4" t="s">
        <v>47</v>
      </c>
      <c r="E557" s="4" t="s">
        <v>53</v>
      </c>
      <c r="F557" s="4" t="s">
        <v>2158</v>
      </c>
      <c r="G557">
        <v>14</v>
      </c>
      <c r="H557">
        <v>69</v>
      </c>
      <c r="I557" s="4" t="s">
        <v>2171</v>
      </c>
      <c r="J557" s="4" t="s">
        <v>967</v>
      </c>
      <c r="K557" s="4" t="s">
        <v>114</v>
      </c>
      <c r="L557" s="4" t="s">
        <v>115</v>
      </c>
      <c r="M557" s="4" t="s">
        <v>108</v>
      </c>
      <c r="N557" s="4" t="s">
        <v>129</v>
      </c>
      <c r="O557" s="4" t="s">
        <v>130</v>
      </c>
      <c r="P557">
        <v>19</v>
      </c>
      <c r="Q557">
        <v>19</v>
      </c>
      <c r="R557" s="4" t="s">
        <v>158</v>
      </c>
      <c r="S557">
        <v>91.58</v>
      </c>
      <c r="T557">
        <v>1740.02</v>
      </c>
      <c r="U557">
        <v>1592.58</v>
      </c>
      <c r="V557" s="4" t="s">
        <v>30</v>
      </c>
    </row>
    <row r="558" spans="1:22" x14ac:dyDescent="0.2">
      <c r="A558" s="4" t="s">
        <v>742</v>
      </c>
      <c r="B558">
        <v>557</v>
      </c>
      <c r="C558" s="4" t="s">
        <v>26</v>
      </c>
      <c r="D558" s="4" t="s">
        <v>47</v>
      </c>
      <c r="E558" s="4" t="s">
        <v>53</v>
      </c>
      <c r="F558" s="4" t="s">
        <v>2158</v>
      </c>
      <c r="G558">
        <v>14</v>
      </c>
      <c r="H558">
        <v>69</v>
      </c>
      <c r="I558" s="4" t="s">
        <v>2171</v>
      </c>
      <c r="J558" s="4" t="s">
        <v>964</v>
      </c>
      <c r="K558" s="4" t="s">
        <v>114</v>
      </c>
      <c r="L558" s="4" t="s">
        <v>115</v>
      </c>
      <c r="M558" s="4" t="s">
        <v>108</v>
      </c>
      <c r="N558" s="4" t="s">
        <v>131</v>
      </c>
      <c r="O558" s="4" t="s">
        <v>132</v>
      </c>
      <c r="P558">
        <v>27</v>
      </c>
      <c r="Q558">
        <v>27</v>
      </c>
      <c r="R558" s="4" t="s">
        <v>158</v>
      </c>
      <c r="S558">
        <v>67.069999999999993</v>
      </c>
      <c r="T558">
        <v>1810.89</v>
      </c>
      <c r="U558">
        <v>1639.98</v>
      </c>
      <c r="V558" s="4" t="s">
        <v>30</v>
      </c>
    </row>
    <row r="559" spans="1:22" x14ac:dyDescent="0.2">
      <c r="A559" s="4" t="s">
        <v>743</v>
      </c>
      <c r="B559">
        <v>558</v>
      </c>
      <c r="C559" s="4" t="s">
        <v>26</v>
      </c>
      <c r="D559" s="4" t="s">
        <v>47</v>
      </c>
      <c r="E559" s="4" t="s">
        <v>53</v>
      </c>
      <c r="F559" s="4" t="s">
        <v>2158</v>
      </c>
      <c r="G559">
        <v>14</v>
      </c>
      <c r="H559">
        <v>69</v>
      </c>
      <c r="I559" s="4" t="s">
        <v>2172</v>
      </c>
      <c r="J559" s="4" t="s">
        <v>956</v>
      </c>
      <c r="K559" s="4" t="s">
        <v>116</v>
      </c>
      <c r="L559" s="4" t="s">
        <v>117</v>
      </c>
      <c r="M559" s="4" t="s">
        <v>108</v>
      </c>
      <c r="N559" s="4" t="s">
        <v>125</v>
      </c>
      <c r="O559" s="4" t="s">
        <v>126</v>
      </c>
      <c r="P559">
        <v>23</v>
      </c>
      <c r="Q559">
        <v>23</v>
      </c>
      <c r="R559" s="4" t="s">
        <v>158</v>
      </c>
      <c r="S559">
        <v>79.87</v>
      </c>
      <c r="T559">
        <v>1837.01</v>
      </c>
      <c r="U559">
        <v>1681.3</v>
      </c>
      <c r="V559" s="4" t="s">
        <v>30</v>
      </c>
    </row>
    <row r="560" spans="1:22" x14ac:dyDescent="0.2">
      <c r="A560" s="4" t="s">
        <v>744</v>
      </c>
      <c r="B560">
        <v>559</v>
      </c>
      <c r="C560" s="4" t="s">
        <v>26</v>
      </c>
      <c r="D560" s="4" t="s">
        <v>47</v>
      </c>
      <c r="E560" s="4" t="s">
        <v>56</v>
      </c>
      <c r="F560" s="4" t="s">
        <v>2222</v>
      </c>
      <c r="G560">
        <v>14</v>
      </c>
      <c r="H560">
        <v>70</v>
      </c>
      <c r="I560" s="4" t="s">
        <v>2246</v>
      </c>
      <c r="J560" s="4" t="s">
        <v>964</v>
      </c>
      <c r="K560" s="4" t="s">
        <v>112</v>
      </c>
      <c r="L560" s="4" t="s">
        <v>113</v>
      </c>
      <c r="M560" s="4" t="s">
        <v>108</v>
      </c>
      <c r="N560" s="4" t="s">
        <v>122</v>
      </c>
      <c r="O560" s="4" t="s">
        <v>123</v>
      </c>
      <c r="P560">
        <v>56</v>
      </c>
      <c r="Q560">
        <v>56</v>
      </c>
      <c r="R560" s="4" t="s">
        <v>158</v>
      </c>
      <c r="S560">
        <v>28.18</v>
      </c>
      <c r="T560">
        <v>1578.08</v>
      </c>
      <c r="U560">
        <v>1303.68</v>
      </c>
      <c r="V560" s="4" t="s">
        <v>30</v>
      </c>
    </row>
    <row r="561" spans="1:22" x14ac:dyDescent="0.2">
      <c r="A561" s="4" t="s">
        <v>745</v>
      </c>
      <c r="B561">
        <v>560</v>
      </c>
      <c r="C561" s="4" t="s">
        <v>26</v>
      </c>
      <c r="D561" s="4" t="s">
        <v>47</v>
      </c>
      <c r="E561" s="4" t="s">
        <v>56</v>
      </c>
      <c r="F561" s="4" t="s">
        <v>2222</v>
      </c>
      <c r="G561">
        <v>14</v>
      </c>
      <c r="H561">
        <v>70</v>
      </c>
      <c r="I561" s="4" t="s">
        <v>2246</v>
      </c>
      <c r="J561" s="4" t="s">
        <v>988</v>
      </c>
      <c r="K561" s="4" t="s">
        <v>112</v>
      </c>
      <c r="L561" s="4" t="s">
        <v>113</v>
      </c>
      <c r="M561" s="4" t="s">
        <v>108</v>
      </c>
      <c r="N561" s="4" t="s">
        <v>122</v>
      </c>
      <c r="O561" s="4" t="s">
        <v>123</v>
      </c>
      <c r="P561">
        <v>56</v>
      </c>
      <c r="Q561">
        <v>56</v>
      </c>
      <c r="R561" s="4" t="s">
        <v>158</v>
      </c>
      <c r="S561">
        <v>28.18</v>
      </c>
      <c r="T561">
        <v>1578.08</v>
      </c>
      <c r="U561">
        <v>1303.68</v>
      </c>
      <c r="V561" s="4" t="s">
        <v>30</v>
      </c>
    </row>
    <row r="562" spans="1:22" x14ac:dyDescent="0.2">
      <c r="A562" s="4" t="s">
        <v>746</v>
      </c>
      <c r="B562">
        <v>561</v>
      </c>
      <c r="C562" s="4" t="s">
        <v>26</v>
      </c>
      <c r="D562" s="4" t="s">
        <v>47</v>
      </c>
      <c r="E562" s="4" t="s">
        <v>56</v>
      </c>
      <c r="F562" s="4" t="s">
        <v>2222</v>
      </c>
      <c r="G562">
        <v>14</v>
      </c>
      <c r="H562">
        <v>70</v>
      </c>
      <c r="I562" s="4" t="s">
        <v>2246</v>
      </c>
      <c r="J562" s="4" t="s">
        <v>1948</v>
      </c>
      <c r="K562" s="4" t="s">
        <v>112</v>
      </c>
      <c r="L562" s="4" t="s">
        <v>113</v>
      </c>
      <c r="M562" s="4" t="s">
        <v>108</v>
      </c>
      <c r="N562" s="4" t="s">
        <v>122</v>
      </c>
      <c r="O562" s="4" t="s">
        <v>123</v>
      </c>
      <c r="P562">
        <v>82</v>
      </c>
      <c r="Q562">
        <v>82</v>
      </c>
      <c r="R562" s="4" t="s">
        <v>158</v>
      </c>
      <c r="S562">
        <v>28.18</v>
      </c>
      <c r="T562">
        <v>2310.7600000000002</v>
      </c>
      <c r="U562">
        <v>1908.96</v>
      </c>
      <c r="V562" s="4" t="s">
        <v>30</v>
      </c>
    </row>
    <row r="563" spans="1:22" x14ac:dyDescent="0.2">
      <c r="A563" s="4" t="s">
        <v>747</v>
      </c>
      <c r="B563">
        <v>562</v>
      </c>
      <c r="C563" s="4" t="s">
        <v>26</v>
      </c>
      <c r="D563" s="4" t="s">
        <v>47</v>
      </c>
      <c r="E563" s="4" t="s">
        <v>56</v>
      </c>
      <c r="F563" s="4" t="s">
        <v>2222</v>
      </c>
      <c r="G563">
        <v>14</v>
      </c>
      <c r="H563">
        <v>70</v>
      </c>
      <c r="I563" s="4" t="s">
        <v>2246</v>
      </c>
      <c r="J563" s="4" t="s">
        <v>956</v>
      </c>
      <c r="K563" s="4" t="s">
        <v>112</v>
      </c>
      <c r="L563" s="4" t="s">
        <v>113</v>
      </c>
      <c r="M563" s="4" t="s">
        <v>108</v>
      </c>
      <c r="N563" s="4" t="s">
        <v>122</v>
      </c>
      <c r="O563" s="4" t="s">
        <v>123</v>
      </c>
      <c r="P563">
        <v>80</v>
      </c>
      <c r="Q563">
        <v>80</v>
      </c>
      <c r="R563" s="4" t="s">
        <v>158</v>
      </c>
      <c r="S563">
        <v>28.18</v>
      </c>
      <c r="T563">
        <v>2254.4</v>
      </c>
      <c r="U563">
        <v>1862.4</v>
      </c>
      <c r="V563" s="4" t="s">
        <v>30</v>
      </c>
    </row>
    <row r="564" spans="1:22" x14ac:dyDescent="0.2">
      <c r="A564" s="4" t="s">
        <v>748</v>
      </c>
      <c r="B564">
        <v>563</v>
      </c>
      <c r="C564" s="4" t="s">
        <v>26</v>
      </c>
      <c r="D564" s="4" t="s">
        <v>47</v>
      </c>
      <c r="E564" s="4" t="s">
        <v>56</v>
      </c>
      <c r="F564" s="4" t="s">
        <v>2222</v>
      </c>
      <c r="G564">
        <v>14</v>
      </c>
      <c r="H564">
        <v>70</v>
      </c>
      <c r="I564" s="4" t="s">
        <v>2246</v>
      </c>
      <c r="J564" s="4" t="s">
        <v>962</v>
      </c>
      <c r="K564" s="4" t="s">
        <v>112</v>
      </c>
      <c r="L564" s="4" t="s">
        <v>113</v>
      </c>
      <c r="M564" s="4" t="s">
        <v>108</v>
      </c>
      <c r="N564" s="4" t="s">
        <v>129</v>
      </c>
      <c r="O564" s="4" t="s">
        <v>130</v>
      </c>
      <c r="P564">
        <v>16</v>
      </c>
      <c r="Q564">
        <v>16</v>
      </c>
      <c r="R564" s="4" t="s">
        <v>158</v>
      </c>
      <c r="S564">
        <v>91.58</v>
      </c>
      <c r="T564">
        <v>1465.28</v>
      </c>
      <c r="U564">
        <v>1341.12</v>
      </c>
      <c r="V564" s="4" t="s">
        <v>30</v>
      </c>
    </row>
    <row r="565" spans="1:22" x14ac:dyDescent="0.2">
      <c r="A565" s="4" t="s">
        <v>749</v>
      </c>
      <c r="B565">
        <v>564</v>
      </c>
      <c r="C565" s="4" t="s">
        <v>26</v>
      </c>
      <c r="D565" s="4" t="s">
        <v>47</v>
      </c>
      <c r="E565" s="4" t="s">
        <v>56</v>
      </c>
      <c r="F565" s="4" t="s">
        <v>2222</v>
      </c>
      <c r="G565">
        <v>14</v>
      </c>
      <c r="H565">
        <v>70</v>
      </c>
      <c r="I565" s="4" t="s">
        <v>2246</v>
      </c>
      <c r="J565" s="4" t="s">
        <v>967</v>
      </c>
      <c r="K565" s="4" t="s">
        <v>112</v>
      </c>
      <c r="L565" s="4" t="s">
        <v>113</v>
      </c>
      <c r="M565" s="4" t="s">
        <v>108</v>
      </c>
      <c r="N565" s="4" t="s">
        <v>131</v>
      </c>
      <c r="O565" s="4" t="s">
        <v>132</v>
      </c>
      <c r="P565">
        <v>24</v>
      </c>
      <c r="Q565">
        <v>24</v>
      </c>
      <c r="R565" s="4" t="s">
        <v>158</v>
      </c>
      <c r="S565">
        <v>67.069999999999993</v>
      </c>
      <c r="T565">
        <v>1609.68</v>
      </c>
      <c r="U565">
        <v>1457.76</v>
      </c>
      <c r="V565" s="4" t="s">
        <v>30</v>
      </c>
    </row>
    <row r="566" spans="1:22" x14ac:dyDescent="0.2">
      <c r="A566" s="4" t="s">
        <v>750</v>
      </c>
      <c r="B566">
        <v>565</v>
      </c>
      <c r="C566" s="4" t="s">
        <v>26</v>
      </c>
      <c r="D566" s="4" t="s">
        <v>47</v>
      </c>
      <c r="E566" s="4" t="s">
        <v>56</v>
      </c>
      <c r="F566" s="4" t="s">
        <v>2222</v>
      </c>
      <c r="G566">
        <v>14</v>
      </c>
      <c r="H566">
        <v>70</v>
      </c>
      <c r="I566" s="4" t="s">
        <v>2246</v>
      </c>
      <c r="J566" s="4" t="s">
        <v>956</v>
      </c>
      <c r="K566" s="4" t="s">
        <v>112</v>
      </c>
      <c r="L566" s="4" t="s">
        <v>113</v>
      </c>
      <c r="M566" s="4" t="s">
        <v>108</v>
      </c>
      <c r="N566" s="4" t="s">
        <v>133</v>
      </c>
      <c r="O566" s="4" t="s">
        <v>134</v>
      </c>
      <c r="P566">
        <v>38</v>
      </c>
      <c r="Q566">
        <v>38</v>
      </c>
      <c r="R566" s="4" t="s">
        <v>158</v>
      </c>
      <c r="S566">
        <v>48.5</v>
      </c>
      <c r="T566">
        <v>1843</v>
      </c>
      <c r="U566">
        <v>1665.92</v>
      </c>
      <c r="V566" s="4" t="s">
        <v>30</v>
      </c>
    </row>
    <row r="567" spans="1:22" x14ac:dyDescent="0.2">
      <c r="A567" s="4" t="s">
        <v>751</v>
      </c>
      <c r="B567">
        <v>566</v>
      </c>
      <c r="C567" s="4" t="s">
        <v>26</v>
      </c>
      <c r="D567" s="4" t="s">
        <v>47</v>
      </c>
      <c r="E567" s="4" t="s">
        <v>56</v>
      </c>
      <c r="F567" s="4" t="s">
        <v>2222</v>
      </c>
      <c r="G567">
        <v>14</v>
      </c>
      <c r="H567">
        <v>70</v>
      </c>
      <c r="I567" s="4" t="s">
        <v>2247</v>
      </c>
      <c r="J567" s="4" t="s">
        <v>962</v>
      </c>
      <c r="K567" s="4" t="s">
        <v>114</v>
      </c>
      <c r="L567" s="4" t="s">
        <v>115</v>
      </c>
      <c r="M567" s="4" t="s">
        <v>108</v>
      </c>
      <c r="N567" s="4" t="s">
        <v>125</v>
      </c>
      <c r="O567" s="4" t="s">
        <v>126</v>
      </c>
      <c r="P567">
        <v>25</v>
      </c>
      <c r="Q567">
        <v>25</v>
      </c>
      <c r="R567" s="4" t="s">
        <v>158</v>
      </c>
      <c r="S567">
        <v>79.87</v>
      </c>
      <c r="T567">
        <v>1996.75</v>
      </c>
      <c r="U567">
        <v>1827.5</v>
      </c>
      <c r="V567" s="4" t="s">
        <v>30</v>
      </c>
    </row>
    <row r="568" spans="1:22" x14ac:dyDescent="0.2">
      <c r="A568" s="4" t="s">
        <v>752</v>
      </c>
      <c r="B568">
        <v>567</v>
      </c>
      <c r="C568" s="4" t="s">
        <v>26</v>
      </c>
      <c r="D568" s="4" t="s">
        <v>47</v>
      </c>
      <c r="E568" s="4" t="s">
        <v>56</v>
      </c>
      <c r="F568" s="4" t="s">
        <v>2222</v>
      </c>
      <c r="G568">
        <v>14</v>
      </c>
      <c r="H568">
        <v>70</v>
      </c>
      <c r="I568" s="4" t="s">
        <v>2247</v>
      </c>
      <c r="J568" s="4" t="s">
        <v>964</v>
      </c>
      <c r="K568" s="4" t="s">
        <v>114</v>
      </c>
      <c r="L568" s="4" t="s">
        <v>115</v>
      </c>
      <c r="M568" s="4" t="s">
        <v>108</v>
      </c>
      <c r="N568" s="4" t="s">
        <v>127</v>
      </c>
      <c r="O568" s="4" t="s">
        <v>128</v>
      </c>
      <c r="P568">
        <v>52</v>
      </c>
      <c r="Q568">
        <v>52</v>
      </c>
      <c r="R568" s="4" t="s">
        <v>158</v>
      </c>
      <c r="S568">
        <v>31.45</v>
      </c>
      <c r="T568">
        <v>1635.4</v>
      </c>
      <c r="U568">
        <v>1364.48</v>
      </c>
      <c r="V568" s="4" t="s">
        <v>30</v>
      </c>
    </row>
    <row r="569" spans="1:22" x14ac:dyDescent="0.2">
      <c r="A569" s="4" t="s">
        <v>753</v>
      </c>
      <c r="B569">
        <v>568</v>
      </c>
      <c r="C569" s="4" t="s">
        <v>26</v>
      </c>
      <c r="D569" s="4" t="s">
        <v>47</v>
      </c>
      <c r="E569" s="4" t="s">
        <v>56</v>
      </c>
      <c r="F569" s="4" t="s">
        <v>2222</v>
      </c>
      <c r="G569">
        <v>14</v>
      </c>
      <c r="H569">
        <v>70</v>
      </c>
      <c r="I569" s="4" t="s">
        <v>2247</v>
      </c>
      <c r="J569" s="4" t="s">
        <v>956</v>
      </c>
      <c r="K569" s="4" t="s">
        <v>114</v>
      </c>
      <c r="L569" s="4" t="s">
        <v>115</v>
      </c>
      <c r="M569" s="4" t="s">
        <v>108</v>
      </c>
      <c r="N569" s="4" t="s">
        <v>131</v>
      </c>
      <c r="O569" s="4" t="s">
        <v>132</v>
      </c>
      <c r="P569">
        <v>30</v>
      </c>
      <c r="Q569">
        <v>30</v>
      </c>
      <c r="R569" s="4" t="s">
        <v>158</v>
      </c>
      <c r="S569">
        <v>67.069999999999993</v>
      </c>
      <c r="T569">
        <v>2012.1</v>
      </c>
      <c r="U569">
        <v>1822.2</v>
      </c>
      <c r="V569" s="4" t="s">
        <v>30</v>
      </c>
    </row>
    <row r="570" spans="1:22" x14ac:dyDescent="0.2">
      <c r="A570" s="4" t="s">
        <v>754</v>
      </c>
      <c r="B570">
        <v>569</v>
      </c>
      <c r="C570" s="4" t="s">
        <v>26</v>
      </c>
      <c r="D570" s="4" t="s">
        <v>47</v>
      </c>
      <c r="E570" s="4" t="s">
        <v>56</v>
      </c>
      <c r="F570" s="4" t="s">
        <v>2222</v>
      </c>
      <c r="G570">
        <v>14</v>
      </c>
      <c r="H570">
        <v>70</v>
      </c>
      <c r="I570" s="4" t="s">
        <v>2248</v>
      </c>
      <c r="J570" s="4" t="s">
        <v>956</v>
      </c>
      <c r="K570" s="4" t="s">
        <v>114</v>
      </c>
      <c r="L570" s="4" t="s">
        <v>115</v>
      </c>
      <c r="M570" s="4" t="s">
        <v>108</v>
      </c>
      <c r="N570" s="4" t="s">
        <v>131</v>
      </c>
      <c r="O570" s="4" t="s">
        <v>132</v>
      </c>
      <c r="P570">
        <v>32</v>
      </c>
      <c r="Q570">
        <v>32</v>
      </c>
      <c r="R570" s="4" t="s">
        <v>158</v>
      </c>
      <c r="S570">
        <v>67.069999999999993</v>
      </c>
      <c r="T570">
        <v>2146.2399999999998</v>
      </c>
      <c r="U570">
        <v>1943.68</v>
      </c>
      <c r="V570" s="4" t="s">
        <v>30</v>
      </c>
    </row>
    <row r="571" spans="1:22" x14ac:dyDescent="0.2">
      <c r="A571" s="4" t="s">
        <v>755</v>
      </c>
      <c r="B571">
        <v>570</v>
      </c>
      <c r="C571" s="4" t="s">
        <v>26</v>
      </c>
      <c r="D571" s="4" t="s">
        <v>47</v>
      </c>
      <c r="E571" s="4" t="s">
        <v>56</v>
      </c>
      <c r="F571" s="4" t="s">
        <v>2222</v>
      </c>
      <c r="G571">
        <v>14</v>
      </c>
      <c r="H571">
        <v>70</v>
      </c>
      <c r="I571" s="4" t="s">
        <v>2249</v>
      </c>
      <c r="J571" s="4" t="s">
        <v>956</v>
      </c>
      <c r="K571" s="4" t="s">
        <v>116</v>
      </c>
      <c r="L571" s="4" t="s">
        <v>117</v>
      </c>
      <c r="M571" s="4" t="s">
        <v>108</v>
      </c>
      <c r="N571" s="4" t="s">
        <v>122</v>
      </c>
      <c r="O571" s="4" t="s">
        <v>123</v>
      </c>
      <c r="P571">
        <v>75</v>
      </c>
      <c r="Q571">
        <v>75</v>
      </c>
      <c r="R571" s="4" t="s">
        <v>158</v>
      </c>
      <c r="S571">
        <v>28.18</v>
      </c>
      <c r="T571">
        <v>2113.5</v>
      </c>
      <c r="U571">
        <v>1746</v>
      </c>
      <c r="V571" s="4" t="s">
        <v>30</v>
      </c>
    </row>
    <row r="572" spans="1:22" x14ac:dyDescent="0.2">
      <c r="A572" s="4" t="s">
        <v>756</v>
      </c>
      <c r="B572">
        <v>571</v>
      </c>
      <c r="C572" s="4" t="s">
        <v>26</v>
      </c>
      <c r="D572" s="4" t="s">
        <v>47</v>
      </c>
      <c r="E572" s="4" t="s">
        <v>56</v>
      </c>
      <c r="F572" s="4" t="s">
        <v>2222</v>
      </c>
      <c r="G572">
        <v>14</v>
      </c>
      <c r="H572">
        <v>70</v>
      </c>
      <c r="I572" s="4" t="s">
        <v>2250</v>
      </c>
      <c r="J572" s="4" t="s">
        <v>956</v>
      </c>
      <c r="K572" s="4" t="s">
        <v>116</v>
      </c>
      <c r="L572" s="4" t="s">
        <v>117</v>
      </c>
      <c r="M572" s="4" t="s">
        <v>108</v>
      </c>
      <c r="N572" s="4" t="s">
        <v>127</v>
      </c>
      <c r="O572" s="4" t="s">
        <v>128</v>
      </c>
      <c r="P572">
        <v>60</v>
      </c>
      <c r="Q572">
        <v>60</v>
      </c>
      <c r="R572" s="4" t="s">
        <v>158</v>
      </c>
      <c r="S572">
        <v>31.45</v>
      </c>
      <c r="T572">
        <v>1887</v>
      </c>
      <c r="U572">
        <v>1574.4</v>
      </c>
      <c r="V572" s="4" t="s">
        <v>30</v>
      </c>
    </row>
    <row r="573" spans="1:22" x14ac:dyDescent="0.2">
      <c r="A573" s="4" t="s">
        <v>757</v>
      </c>
      <c r="B573">
        <v>572</v>
      </c>
      <c r="C573" s="4" t="s">
        <v>26</v>
      </c>
      <c r="D573" s="4" t="s">
        <v>47</v>
      </c>
      <c r="E573" s="4" t="s">
        <v>56</v>
      </c>
      <c r="F573" s="4" t="s">
        <v>2222</v>
      </c>
      <c r="G573">
        <v>14</v>
      </c>
      <c r="H573">
        <v>70</v>
      </c>
      <c r="I573" s="4" t="s">
        <v>2250</v>
      </c>
      <c r="J573" s="4" t="s">
        <v>962</v>
      </c>
      <c r="K573" s="4" t="s">
        <v>116</v>
      </c>
      <c r="L573" s="4" t="s">
        <v>117</v>
      </c>
      <c r="M573" s="4" t="s">
        <v>108</v>
      </c>
      <c r="N573" s="4" t="s">
        <v>129</v>
      </c>
      <c r="O573" s="4" t="s">
        <v>130</v>
      </c>
      <c r="P573">
        <v>14</v>
      </c>
      <c r="Q573">
        <v>14</v>
      </c>
      <c r="R573" s="4" t="s">
        <v>158</v>
      </c>
      <c r="S573">
        <v>91.58</v>
      </c>
      <c r="T573">
        <v>1282.1199999999999</v>
      </c>
      <c r="U573">
        <v>1173.48</v>
      </c>
      <c r="V573" s="4" t="s">
        <v>30</v>
      </c>
    </row>
    <row r="574" spans="1:22" x14ac:dyDescent="0.2">
      <c r="A574" s="4" t="s">
        <v>758</v>
      </c>
      <c r="B574">
        <v>573</v>
      </c>
      <c r="C574" s="4" t="s">
        <v>26</v>
      </c>
      <c r="D574" s="4" t="s">
        <v>47</v>
      </c>
      <c r="E574" s="4" t="s">
        <v>56</v>
      </c>
      <c r="F574" s="4" t="s">
        <v>2222</v>
      </c>
      <c r="G574">
        <v>14</v>
      </c>
      <c r="H574">
        <v>70</v>
      </c>
      <c r="I574" s="4" t="s">
        <v>2250</v>
      </c>
      <c r="J574" s="4" t="s">
        <v>964</v>
      </c>
      <c r="K574" s="4" t="s">
        <v>116</v>
      </c>
      <c r="L574" s="4" t="s">
        <v>117</v>
      </c>
      <c r="M574" s="4" t="s">
        <v>108</v>
      </c>
      <c r="N574" s="4" t="s">
        <v>133</v>
      </c>
      <c r="O574" s="4" t="s">
        <v>134</v>
      </c>
      <c r="P574">
        <v>41</v>
      </c>
      <c r="Q574">
        <v>41</v>
      </c>
      <c r="R574" s="4" t="s">
        <v>158</v>
      </c>
      <c r="S574">
        <v>48.5</v>
      </c>
      <c r="T574">
        <v>1988.5</v>
      </c>
      <c r="U574">
        <v>1797.44</v>
      </c>
      <c r="V574" s="4" t="s">
        <v>30</v>
      </c>
    </row>
    <row r="575" spans="1:22" x14ac:dyDescent="0.2">
      <c r="A575" s="4" t="s">
        <v>759</v>
      </c>
      <c r="B575">
        <v>574</v>
      </c>
      <c r="C575" s="4" t="s">
        <v>26</v>
      </c>
      <c r="D575" s="4" t="s">
        <v>50</v>
      </c>
      <c r="E575" s="4" t="s">
        <v>27</v>
      </c>
      <c r="F575" s="4" t="s">
        <v>2252</v>
      </c>
      <c r="G575">
        <v>15</v>
      </c>
      <c r="H575">
        <v>71</v>
      </c>
      <c r="I575" s="4" t="s">
        <v>2280</v>
      </c>
      <c r="J575" s="4" t="s">
        <v>956</v>
      </c>
      <c r="K575" s="4" t="s">
        <v>112</v>
      </c>
      <c r="L575" s="4" t="s">
        <v>113</v>
      </c>
      <c r="M575" s="4" t="s">
        <v>108</v>
      </c>
      <c r="N575" s="4" t="s">
        <v>122</v>
      </c>
      <c r="O575" s="4" t="s">
        <v>123</v>
      </c>
      <c r="P575">
        <v>59</v>
      </c>
      <c r="Q575">
        <v>59</v>
      </c>
      <c r="R575" s="4" t="s">
        <v>158</v>
      </c>
      <c r="S575">
        <v>28.18</v>
      </c>
      <c r="T575">
        <v>1662.62</v>
      </c>
      <c r="U575">
        <v>1372.34</v>
      </c>
      <c r="V575" s="4" t="s">
        <v>30</v>
      </c>
    </row>
    <row r="576" spans="1:22" x14ac:dyDescent="0.2">
      <c r="A576" s="4" t="s">
        <v>760</v>
      </c>
      <c r="B576">
        <v>575</v>
      </c>
      <c r="C576" s="4" t="s">
        <v>26</v>
      </c>
      <c r="D576" s="4" t="s">
        <v>50</v>
      </c>
      <c r="E576" s="4" t="s">
        <v>27</v>
      </c>
      <c r="F576" s="4" t="s">
        <v>2252</v>
      </c>
      <c r="G576">
        <v>15</v>
      </c>
      <c r="H576">
        <v>71</v>
      </c>
      <c r="I576" s="4" t="s">
        <v>2279</v>
      </c>
      <c r="J576" s="4" t="s">
        <v>956</v>
      </c>
      <c r="K576" s="4" t="s">
        <v>112</v>
      </c>
      <c r="L576" s="4" t="s">
        <v>113</v>
      </c>
      <c r="M576" s="4" t="s">
        <v>108</v>
      </c>
      <c r="N576" s="4" t="s">
        <v>122</v>
      </c>
      <c r="O576" s="4" t="s">
        <v>123</v>
      </c>
      <c r="P576">
        <v>82</v>
      </c>
      <c r="Q576">
        <v>82</v>
      </c>
      <c r="R576" s="4" t="s">
        <v>158</v>
      </c>
      <c r="S576">
        <v>28.18</v>
      </c>
      <c r="T576">
        <v>2310.7600000000002</v>
      </c>
      <c r="U576">
        <v>1907.32</v>
      </c>
      <c r="V576" s="4" t="s">
        <v>30</v>
      </c>
    </row>
    <row r="577" spans="1:22" x14ac:dyDescent="0.2">
      <c r="A577" s="4" t="s">
        <v>761</v>
      </c>
      <c r="B577">
        <v>576</v>
      </c>
      <c r="C577" s="4" t="s">
        <v>26</v>
      </c>
      <c r="D577" s="4" t="s">
        <v>50</v>
      </c>
      <c r="E577" s="4" t="s">
        <v>27</v>
      </c>
      <c r="F577" s="4" t="s">
        <v>2252</v>
      </c>
      <c r="G577">
        <v>15</v>
      </c>
      <c r="H577">
        <v>71</v>
      </c>
      <c r="I577" s="4" t="s">
        <v>2280</v>
      </c>
      <c r="J577" s="4" t="s">
        <v>962</v>
      </c>
      <c r="K577" s="4" t="s">
        <v>112</v>
      </c>
      <c r="L577" s="4" t="s">
        <v>113</v>
      </c>
      <c r="M577" s="4" t="s">
        <v>108</v>
      </c>
      <c r="N577" s="4" t="s">
        <v>129</v>
      </c>
      <c r="O577" s="4" t="s">
        <v>130</v>
      </c>
      <c r="P577">
        <v>19</v>
      </c>
      <c r="Q577">
        <v>19</v>
      </c>
      <c r="R577" s="4" t="s">
        <v>158</v>
      </c>
      <c r="S577">
        <v>91.58</v>
      </c>
      <c r="T577">
        <v>1740.02</v>
      </c>
      <c r="U577">
        <v>1590.87</v>
      </c>
      <c r="V577" s="4" t="s">
        <v>30</v>
      </c>
    </row>
    <row r="578" spans="1:22" x14ac:dyDescent="0.2">
      <c r="A578" s="4" t="s">
        <v>762</v>
      </c>
      <c r="B578">
        <v>577</v>
      </c>
      <c r="C578" s="4" t="s">
        <v>26</v>
      </c>
      <c r="D578" s="4" t="s">
        <v>50</v>
      </c>
      <c r="E578" s="4" t="s">
        <v>27</v>
      </c>
      <c r="F578" s="4" t="s">
        <v>2252</v>
      </c>
      <c r="G578">
        <v>15</v>
      </c>
      <c r="H578">
        <v>71</v>
      </c>
      <c r="I578" s="4" t="s">
        <v>2279</v>
      </c>
      <c r="J578" s="4" t="s">
        <v>962</v>
      </c>
      <c r="K578" s="4" t="s">
        <v>112</v>
      </c>
      <c r="L578" s="4" t="s">
        <v>113</v>
      </c>
      <c r="M578" s="4" t="s">
        <v>108</v>
      </c>
      <c r="N578" s="4" t="s">
        <v>133</v>
      </c>
      <c r="O578" s="4" t="s">
        <v>134</v>
      </c>
      <c r="P578">
        <v>18</v>
      </c>
      <c r="Q578">
        <v>18</v>
      </c>
      <c r="R578" s="4" t="s">
        <v>158</v>
      </c>
      <c r="S578">
        <v>48.5</v>
      </c>
      <c r="T578">
        <v>873</v>
      </c>
      <c r="U578">
        <v>787.32</v>
      </c>
      <c r="V578" s="4" t="s">
        <v>30</v>
      </c>
    </row>
    <row r="579" spans="1:22" x14ac:dyDescent="0.2">
      <c r="A579" s="4" t="s">
        <v>763</v>
      </c>
      <c r="B579">
        <v>578</v>
      </c>
      <c r="C579" s="4" t="s">
        <v>26</v>
      </c>
      <c r="D579" s="4" t="s">
        <v>50</v>
      </c>
      <c r="E579" s="4" t="s">
        <v>27</v>
      </c>
      <c r="F579" s="4" t="s">
        <v>2252</v>
      </c>
      <c r="G579">
        <v>15</v>
      </c>
      <c r="H579">
        <v>71</v>
      </c>
      <c r="I579" s="4" t="s">
        <v>2281</v>
      </c>
      <c r="J579" s="4" t="s">
        <v>956</v>
      </c>
      <c r="K579" s="4" t="s">
        <v>116</v>
      </c>
      <c r="L579" s="4" t="s">
        <v>117</v>
      </c>
      <c r="M579" s="4" t="s">
        <v>108</v>
      </c>
      <c r="N579" s="4" t="s">
        <v>129</v>
      </c>
      <c r="O579" s="4" t="s">
        <v>130</v>
      </c>
      <c r="P579">
        <v>23</v>
      </c>
      <c r="Q579">
        <v>23</v>
      </c>
      <c r="R579" s="4" t="s">
        <v>158</v>
      </c>
      <c r="S579">
        <v>91.58</v>
      </c>
      <c r="T579">
        <v>2106.34</v>
      </c>
      <c r="U579">
        <v>1925.79</v>
      </c>
      <c r="V579" s="4" t="s">
        <v>30</v>
      </c>
    </row>
    <row r="580" spans="1:22" x14ac:dyDescent="0.2">
      <c r="A580" s="4" t="s">
        <v>764</v>
      </c>
      <c r="B580">
        <v>579</v>
      </c>
      <c r="C580" s="4" t="s">
        <v>26</v>
      </c>
      <c r="D580" s="4" t="s">
        <v>50</v>
      </c>
      <c r="E580" s="4" t="s">
        <v>27</v>
      </c>
      <c r="F580" s="4" t="s">
        <v>2252</v>
      </c>
      <c r="G580">
        <v>15</v>
      </c>
      <c r="H580">
        <v>71</v>
      </c>
      <c r="I580" s="4" t="s">
        <v>2282</v>
      </c>
      <c r="J580" s="4" t="s">
        <v>956</v>
      </c>
      <c r="K580" s="4" t="s">
        <v>116</v>
      </c>
      <c r="L580" s="4" t="s">
        <v>117</v>
      </c>
      <c r="M580" s="4" t="s">
        <v>108</v>
      </c>
      <c r="N580" s="4" t="s">
        <v>129</v>
      </c>
      <c r="O580" s="4" t="s">
        <v>130</v>
      </c>
      <c r="P580">
        <v>5</v>
      </c>
      <c r="Q580">
        <v>5</v>
      </c>
      <c r="R580" s="4" t="s">
        <v>158</v>
      </c>
      <c r="S580">
        <v>91.58</v>
      </c>
      <c r="T580">
        <v>457.9</v>
      </c>
      <c r="U580">
        <v>418.65</v>
      </c>
      <c r="V580" s="4" t="s">
        <v>30</v>
      </c>
    </row>
    <row r="581" spans="1:22" x14ac:dyDescent="0.2">
      <c r="A581" s="4" t="s">
        <v>765</v>
      </c>
      <c r="B581">
        <v>580</v>
      </c>
      <c r="C581" s="4" t="s">
        <v>26</v>
      </c>
      <c r="D581" s="4" t="s">
        <v>50</v>
      </c>
      <c r="E581" s="4" t="s">
        <v>27</v>
      </c>
      <c r="F581" s="4" t="s">
        <v>2252</v>
      </c>
      <c r="G581">
        <v>15</v>
      </c>
      <c r="H581">
        <v>71</v>
      </c>
      <c r="I581" s="4" t="s">
        <v>2281</v>
      </c>
      <c r="J581" s="4" t="s">
        <v>962</v>
      </c>
      <c r="K581" s="4" t="s">
        <v>116</v>
      </c>
      <c r="L581" s="4" t="s">
        <v>117</v>
      </c>
      <c r="M581" s="4" t="s">
        <v>108</v>
      </c>
      <c r="N581" s="4" t="s">
        <v>131</v>
      </c>
      <c r="O581" s="4" t="s">
        <v>132</v>
      </c>
      <c r="P581">
        <v>28</v>
      </c>
      <c r="Q581">
        <v>28</v>
      </c>
      <c r="R581" s="4" t="s">
        <v>158</v>
      </c>
      <c r="S581">
        <v>67.069999999999993</v>
      </c>
      <c r="T581">
        <v>1877.96</v>
      </c>
      <c r="U581">
        <v>1699.32</v>
      </c>
      <c r="V581" s="4" t="s">
        <v>30</v>
      </c>
    </row>
    <row r="582" spans="1:22" x14ac:dyDescent="0.2">
      <c r="A582" s="4" t="s">
        <v>766</v>
      </c>
      <c r="B582">
        <v>581</v>
      </c>
      <c r="C582" s="4" t="s">
        <v>26</v>
      </c>
      <c r="D582" s="4" t="s">
        <v>50</v>
      </c>
      <c r="E582" s="4" t="s">
        <v>27</v>
      </c>
      <c r="F582" s="4" t="s">
        <v>2252</v>
      </c>
      <c r="G582">
        <v>15</v>
      </c>
      <c r="H582">
        <v>71</v>
      </c>
      <c r="I582" s="4" t="s">
        <v>2282</v>
      </c>
      <c r="J582" s="4" t="s">
        <v>962</v>
      </c>
      <c r="K582" s="4" t="s">
        <v>116</v>
      </c>
      <c r="L582" s="4" t="s">
        <v>117</v>
      </c>
      <c r="M582" s="4" t="s">
        <v>108</v>
      </c>
      <c r="N582" s="4" t="s">
        <v>131</v>
      </c>
      <c r="O582" s="4" t="s">
        <v>132</v>
      </c>
      <c r="P582">
        <v>23</v>
      </c>
      <c r="Q582">
        <v>23</v>
      </c>
      <c r="R582" s="4" t="s">
        <v>158</v>
      </c>
      <c r="S582">
        <v>67.069999999999993</v>
      </c>
      <c r="T582">
        <v>1542.61</v>
      </c>
      <c r="U582">
        <v>1395.87</v>
      </c>
      <c r="V582" s="4" t="s">
        <v>30</v>
      </c>
    </row>
    <row r="583" spans="1:22" x14ac:dyDescent="0.2">
      <c r="A583" s="4" t="s">
        <v>767</v>
      </c>
      <c r="B583">
        <v>582</v>
      </c>
      <c r="C583" s="4" t="s">
        <v>26</v>
      </c>
      <c r="D583" s="4" t="s">
        <v>50</v>
      </c>
      <c r="E583" s="4" t="s">
        <v>32</v>
      </c>
      <c r="F583" s="4" t="s">
        <v>2277</v>
      </c>
      <c r="G583">
        <v>15</v>
      </c>
      <c r="H583">
        <v>72</v>
      </c>
      <c r="I583" s="4" t="s">
        <v>2283</v>
      </c>
      <c r="J583" s="4" t="s">
        <v>962</v>
      </c>
      <c r="K583" s="4" t="s">
        <v>112</v>
      </c>
      <c r="L583" s="4" t="s">
        <v>113</v>
      </c>
      <c r="M583" s="4" t="s">
        <v>108</v>
      </c>
      <c r="N583" s="4" t="s">
        <v>122</v>
      </c>
      <c r="O583" s="4" t="s">
        <v>123</v>
      </c>
      <c r="P583">
        <v>60</v>
      </c>
      <c r="Q583">
        <v>60</v>
      </c>
      <c r="R583" s="4" t="s">
        <v>158</v>
      </c>
      <c r="S583">
        <v>28.18</v>
      </c>
      <c r="T583">
        <v>1690.8</v>
      </c>
      <c r="U583">
        <v>1395.6</v>
      </c>
      <c r="V583" s="4" t="s">
        <v>30</v>
      </c>
    </row>
    <row r="584" spans="1:22" x14ac:dyDescent="0.2">
      <c r="A584" s="4" t="s">
        <v>768</v>
      </c>
      <c r="B584">
        <v>583</v>
      </c>
      <c r="C584" s="4" t="s">
        <v>26</v>
      </c>
      <c r="D584" s="4" t="s">
        <v>50</v>
      </c>
      <c r="E584" s="4" t="s">
        <v>32</v>
      </c>
      <c r="F584" s="4" t="s">
        <v>2277</v>
      </c>
      <c r="G584">
        <v>15</v>
      </c>
      <c r="H584">
        <v>72</v>
      </c>
      <c r="I584" s="4" t="s">
        <v>2283</v>
      </c>
      <c r="J584" s="4" t="s">
        <v>956</v>
      </c>
      <c r="K584" s="4" t="s">
        <v>112</v>
      </c>
      <c r="L584" s="4" t="s">
        <v>113</v>
      </c>
      <c r="M584" s="4" t="s">
        <v>108</v>
      </c>
      <c r="N584" s="4" t="s">
        <v>127</v>
      </c>
      <c r="O584" s="4" t="s">
        <v>128</v>
      </c>
      <c r="P584">
        <v>73</v>
      </c>
      <c r="Q584">
        <v>73</v>
      </c>
      <c r="R584" s="4" t="s">
        <v>158</v>
      </c>
      <c r="S584">
        <v>31.45</v>
      </c>
      <c r="T584">
        <v>2295.85</v>
      </c>
      <c r="U584">
        <v>1913.33</v>
      </c>
      <c r="V584" s="4" t="s">
        <v>30</v>
      </c>
    </row>
    <row r="585" spans="1:22" x14ac:dyDescent="0.2">
      <c r="A585" s="4" t="s">
        <v>769</v>
      </c>
      <c r="B585">
        <v>584</v>
      </c>
      <c r="C585" s="4" t="s">
        <v>26</v>
      </c>
      <c r="D585" s="4" t="s">
        <v>50</v>
      </c>
      <c r="E585" s="4" t="s">
        <v>32</v>
      </c>
      <c r="F585" s="4" t="s">
        <v>2277</v>
      </c>
      <c r="G585">
        <v>15</v>
      </c>
      <c r="H585">
        <v>72</v>
      </c>
      <c r="I585" s="4" t="s">
        <v>2284</v>
      </c>
      <c r="J585" s="4" t="s">
        <v>956</v>
      </c>
      <c r="K585" s="4" t="s">
        <v>112</v>
      </c>
      <c r="L585" s="4" t="s">
        <v>113</v>
      </c>
      <c r="M585" s="4" t="s">
        <v>108</v>
      </c>
      <c r="N585" s="4" t="s">
        <v>131</v>
      </c>
      <c r="O585" s="4" t="s">
        <v>132</v>
      </c>
      <c r="P585">
        <v>25</v>
      </c>
      <c r="Q585">
        <v>25</v>
      </c>
      <c r="R585" s="4" t="s">
        <v>158</v>
      </c>
      <c r="S585">
        <v>67.069999999999993</v>
      </c>
      <c r="T585">
        <v>1676.75</v>
      </c>
      <c r="U585">
        <v>1517.25</v>
      </c>
      <c r="V585" s="4" t="s">
        <v>30</v>
      </c>
    </row>
    <row r="586" spans="1:22" x14ac:dyDescent="0.2">
      <c r="A586" s="4" t="s">
        <v>770</v>
      </c>
      <c r="B586">
        <v>585</v>
      </c>
      <c r="C586" s="4" t="s">
        <v>26</v>
      </c>
      <c r="D586" s="4" t="s">
        <v>50</v>
      </c>
      <c r="E586" s="4" t="s">
        <v>32</v>
      </c>
      <c r="F586" s="4" t="s">
        <v>2277</v>
      </c>
      <c r="G586">
        <v>15</v>
      </c>
      <c r="H586">
        <v>72</v>
      </c>
      <c r="I586" s="4" t="s">
        <v>2285</v>
      </c>
      <c r="J586" s="4" t="s">
        <v>962</v>
      </c>
      <c r="K586" s="4" t="s">
        <v>114</v>
      </c>
      <c r="L586" s="4" t="s">
        <v>115</v>
      </c>
      <c r="M586" s="4" t="s">
        <v>108</v>
      </c>
      <c r="N586" s="4" t="s">
        <v>125</v>
      </c>
      <c r="O586" s="4" t="s">
        <v>126</v>
      </c>
      <c r="P586">
        <v>18</v>
      </c>
      <c r="Q586">
        <v>18</v>
      </c>
      <c r="R586" s="4" t="s">
        <v>158</v>
      </c>
      <c r="S586">
        <v>79.87</v>
      </c>
      <c r="T586">
        <v>1437.66</v>
      </c>
      <c r="U586">
        <v>1314.72</v>
      </c>
      <c r="V586" s="4" t="s">
        <v>30</v>
      </c>
    </row>
    <row r="587" spans="1:22" x14ac:dyDescent="0.2">
      <c r="A587" s="4" t="s">
        <v>771</v>
      </c>
      <c r="B587">
        <v>586</v>
      </c>
      <c r="C587" s="4" t="s">
        <v>26</v>
      </c>
      <c r="D587" s="4" t="s">
        <v>50</v>
      </c>
      <c r="E587" s="4" t="s">
        <v>32</v>
      </c>
      <c r="F587" s="4" t="s">
        <v>2277</v>
      </c>
      <c r="G587">
        <v>15</v>
      </c>
      <c r="H587">
        <v>72</v>
      </c>
      <c r="I587" s="4" t="s">
        <v>2286</v>
      </c>
      <c r="J587" s="4" t="s">
        <v>962</v>
      </c>
      <c r="K587" s="4" t="s">
        <v>114</v>
      </c>
      <c r="L587" s="4" t="s">
        <v>115</v>
      </c>
      <c r="M587" s="4" t="s">
        <v>108</v>
      </c>
      <c r="N587" s="4" t="s">
        <v>125</v>
      </c>
      <c r="O587" s="4" t="s">
        <v>126</v>
      </c>
      <c r="P587">
        <v>21</v>
      </c>
      <c r="Q587">
        <v>21</v>
      </c>
      <c r="R587" s="4" t="s">
        <v>158</v>
      </c>
      <c r="S587">
        <v>79.87</v>
      </c>
      <c r="T587">
        <v>1677.27</v>
      </c>
      <c r="U587">
        <v>1533.84</v>
      </c>
      <c r="V587" s="4" t="s">
        <v>30</v>
      </c>
    </row>
    <row r="588" spans="1:22" x14ac:dyDescent="0.2">
      <c r="A588" s="4" t="s">
        <v>772</v>
      </c>
      <c r="B588">
        <v>587</v>
      </c>
      <c r="C588" s="4" t="s">
        <v>26</v>
      </c>
      <c r="D588" s="4" t="s">
        <v>50</v>
      </c>
      <c r="E588" s="4" t="s">
        <v>32</v>
      </c>
      <c r="F588" s="4" t="s">
        <v>2277</v>
      </c>
      <c r="G588">
        <v>15</v>
      </c>
      <c r="H588">
        <v>72</v>
      </c>
      <c r="I588" s="4" t="s">
        <v>2286</v>
      </c>
      <c r="J588" s="4" t="s">
        <v>956</v>
      </c>
      <c r="K588" s="4" t="s">
        <v>114</v>
      </c>
      <c r="L588" s="4" t="s">
        <v>115</v>
      </c>
      <c r="M588" s="4" t="s">
        <v>108</v>
      </c>
      <c r="N588" s="4" t="s">
        <v>127</v>
      </c>
      <c r="O588" s="4" t="s">
        <v>128</v>
      </c>
      <c r="P588">
        <v>68</v>
      </c>
      <c r="Q588">
        <v>68</v>
      </c>
      <c r="R588" s="4" t="s">
        <v>158</v>
      </c>
      <c r="S588">
        <v>31.45</v>
      </c>
      <c r="T588">
        <v>2138.6</v>
      </c>
      <c r="U588">
        <v>1782.28</v>
      </c>
      <c r="V588" s="4" t="s">
        <v>30</v>
      </c>
    </row>
    <row r="589" spans="1:22" x14ac:dyDescent="0.2">
      <c r="A589" s="4" t="s">
        <v>773</v>
      </c>
      <c r="B589">
        <v>588</v>
      </c>
      <c r="C589" s="4" t="s">
        <v>26</v>
      </c>
      <c r="D589" s="4" t="s">
        <v>50</v>
      </c>
      <c r="E589" s="4" t="s">
        <v>32</v>
      </c>
      <c r="F589" s="4" t="s">
        <v>2277</v>
      </c>
      <c r="G589">
        <v>15</v>
      </c>
      <c r="H589">
        <v>72</v>
      </c>
      <c r="I589" s="4" t="s">
        <v>2286</v>
      </c>
      <c r="J589" s="4" t="s">
        <v>964</v>
      </c>
      <c r="K589" s="4" t="s">
        <v>114</v>
      </c>
      <c r="L589" s="4" t="s">
        <v>115</v>
      </c>
      <c r="M589" s="4" t="s">
        <v>108</v>
      </c>
      <c r="N589" s="4" t="s">
        <v>127</v>
      </c>
      <c r="O589" s="4" t="s">
        <v>128</v>
      </c>
      <c r="P589">
        <v>34</v>
      </c>
      <c r="Q589">
        <v>34</v>
      </c>
      <c r="R589" s="4" t="s">
        <v>158</v>
      </c>
      <c r="S589">
        <v>31.45</v>
      </c>
      <c r="T589">
        <v>1069.3</v>
      </c>
      <c r="U589">
        <v>891.14</v>
      </c>
      <c r="V589" s="4" t="s">
        <v>30</v>
      </c>
    </row>
    <row r="590" spans="1:22" x14ac:dyDescent="0.2">
      <c r="A590" s="4" t="s">
        <v>774</v>
      </c>
      <c r="B590">
        <v>589</v>
      </c>
      <c r="C590" s="4" t="s">
        <v>26</v>
      </c>
      <c r="D590" s="4" t="s">
        <v>50</v>
      </c>
      <c r="E590" s="4" t="s">
        <v>32</v>
      </c>
      <c r="F590" s="4" t="s">
        <v>2277</v>
      </c>
      <c r="G590">
        <v>15</v>
      </c>
      <c r="H590">
        <v>72</v>
      </c>
      <c r="I590" s="4" t="s">
        <v>2285</v>
      </c>
      <c r="J590" s="4" t="s">
        <v>956</v>
      </c>
      <c r="K590" s="4" t="s">
        <v>114</v>
      </c>
      <c r="L590" s="4" t="s">
        <v>115</v>
      </c>
      <c r="M590" s="4" t="s">
        <v>108</v>
      </c>
      <c r="N590" s="4" t="s">
        <v>127</v>
      </c>
      <c r="O590" s="4" t="s">
        <v>128</v>
      </c>
      <c r="P590">
        <v>58</v>
      </c>
      <c r="Q590">
        <v>58</v>
      </c>
      <c r="R590" s="4" t="s">
        <v>158</v>
      </c>
      <c r="S590">
        <v>31.45</v>
      </c>
      <c r="T590">
        <v>1824.1</v>
      </c>
      <c r="U590">
        <v>1520.18</v>
      </c>
      <c r="V590" s="4" t="s">
        <v>30</v>
      </c>
    </row>
    <row r="591" spans="1:22" x14ac:dyDescent="0.2">
      <c r="A591" s="4" t="s">
        <v>775</v>
      </c>
      <c r="B591">
        <v>590</v>
      </c>
      <c r="C591" s="4" t="s">
        <v>26</v>
      </c>
      <c r="D591" s="4" t="s">
        <v>50</v>
      </c>
      <c r="E591" s="4" t="s">
        <v>32</v>
      </c>
      <c r="F591" s="4" t="s">
        <v>2277</v>
      </c>
      <c r="G591">
        <v>15</v>
      </c>
      <c r="H591">
        <v>72</v>
      </c>
      <c r="I591" s="4" t="s">
        <v>2285</v>
      </c>
      <c r="J591" s="4" t="s">
        <v>964</v>
      </c>
      <c r="K591" s="4" t="s">
        <v>114</v>
      </c>
      <c r="L591" s="4" t="s">
        <v>115</v>
      </c>
      <c r="M591" s="4" t="s">
        <v>108</v>
      </c>
      <c r="N591" s="4" t="s">
        <v>131</v>
      </c>
      <c r="O591" s="4" t="s">
        <v>132</v>
      </c>
      <c r="P591">
        <v>27</v>
      </c>
      <c r="Q591">
        <v>27</v>
      </c>
      <c r="R591" s="4" t="s">
        <v>158</v>
      </c>
      <c r="S591">
        <v>67.069999999999993</v>
      </c>
      <c r="T591">
        <v>1810.89</v>
      </c>
      <c r="U591">
        <v>1638.63</v>
      </c>
      <c r="V591" s="4" t="s">
        <v>30</v>
      </c>
    </row>
    <row r="592" spans="1:22" x14ac:dyDescent="0.2">
      <c r="A592" s="4" t="s">
        <v>776</v>
      </c>
      <c r="B592">
        <v>591</v>
      </c>
      <c r="C592" s="4" t="s">
        <v>26</v>
      </c>
      <c r="D592" s="4" t="s">
        <v>50</v>
      </c>
      <c r="E592" s="4" t="s">
        <v>35</v>
      </c>
      <c r="F592" s="4" t="s">
        <v>2278</v>
      </c>
      <c r="G592">
        <v>15</v>
      </c>
      <c r="H592">
        <v>73</v>
      </c>
      <c r="I592" s="4" t="s">
        <v>2287</v>
      </c>
      <c r="J592" s="4" t="s">
        <v>1441</v>
      </c>
      <c r="K592" s="4" t="s">
        <v>112</v>
      </c>
      <c r="L592" s="4" t="s">
        <v>113</v>
      </c>
      <c r="M592" s="4" t="s">
        <v>108</v>
      </c>
      <c r="N592" s="4" t="s">
        <v>122</v>
      </c>
      <c r="O592" s="4" t="s">
        <v>123</v>
      </c>
      <c r="P592">
        <v>83</v>
      </c>
      <c r="Q592">
        <v>83</v>
      </c>
      <c r="R592" s="4" t="s">
        <v>158</v>
      </c>
      <c r="S592">
        <v>28.18</v>
      </c>
      <c r="T592">
        <v>2338.94</v>
      </c>
      <c r="U592">
        <v>1930.58</v>
      </c>
      <c r="V592" s="4" t="s">
        <v>30</v>
      </c>
    </row>
    <row r="593" spans="1:22" x14ac:dyDescent="0.2">
      <c r="A593" s="4" t="s">
        <v>777</v>
      </c>
      <c r="B593">
        <v>592</v>
      </c>
      <c r="C593" s="4" t="s">
        <v>26</v>
      </c>
      <c r="D593" s="4" t="s">
        <v>50</v>
      </c>
      <c r="E593" s="4" t="s">
        <v>35</v>
      </c>
      <c r="F593" s="4" t="s">
        <v>2278</v>
      </c>
      <c r="G593">
        <v>15</v>
      </c>
      <c r="H593">
        <v>73</v>
      </c>
      <c r="I593" s="4" t="s">
        <v>2287</v>
      </c>
      <c r="J593" s="4" t="s">
        <v>962</v>
      </c>
      <c r="K593" s="4" t="s">
        <v>112</v>
      </c>
      <c r="L593" s="4" t="s">
        <v>113</v>
      </c>
      <c r="M593" s="4" t="s">
        <v>108</v>
      </c>
      <c r="N593" s="4" t="s">
        <v>122</v>
      </c>
      <c r="O593" s="4" t="s">
        <v>123</v>
      </c>
      <c r="P593">
        <v>66</v>
      </c>
      <c r="Q593">
        <v>66</v>
      </c>
      <c r="R593" s="4" t="s">
        <v>158</v>
      </c>
      <c r="S593">
        <v>28.18</v>
      </c>
      <c r="T593">
        <v>1859.88</v>
      </c>
      <c r="U593">
        <v>1535.16</v>
      </c>
      <c r="V593" s="4" t="s">
        <v>30</v>
      </c>
    </row>
    <row r="594" spans="1:22" x14ac:dyDescent="0.2">
      <c r="A594" s="4" t="s">
        <v>778</v>
      </c>
      <c r="B594">
        <v>593</v>
      </c>
      <c r="C594" s="4" t="s">
        <v>26</v>
      </c>
      <c r="D594" s="4" t="s">
        <v>50</v>
      </c>
      <c r="E594" s="4" t="s">
        <v>35</v>
      </c>
      <c r="F594" s="4" t="s">
        <v>2278</v>
      </c>
      <c r="G594">
        <v>15</v>
      </c>
      <c r="H594">
        <v>73</v>
      </c>
      <c r="I594" s="4" t="s">
        <v>2287</v>
      </c>
      <c r="J594" s="4" t="s">
        <v>956</v>
      </c>
      <c r="K594" s="4" t="s">
        <v>112</v>
      </c>
      <c r="L594" s="4" t="s">
        <v>113</v>
      </c>
      <c r="M594" s="4" t="s">
        <v>108</v>
      </c>
      <c r="N594" s="4" t="s">
        <v>127</v>
      </c>
      <c r="O594" s="4" t="s">
        <v>128</v>
      </c>
      <c r="P594">
        <v>74</v>
      </c>
      <c r="Q594">
        <v>74</v>
      </c>
      <c r="R594" s="4" t="s">
        <v>158</v>
      </c>
      <c r="S594">
        <v>31.45</v>
      </c>
      <c r="T594">
        <v>2327.3000000000002</v>
      </c>
      <c r="U594">
        <v>1939.54</v>
      </c>
      <c r="V594" s="4" t="s">
        <v>30</v>
      </c>
    </row>
    <row r="595" spans="1:22" x14ac:dyDescent="0.2">
      <c r="A595" s="4" t="s">
        <v>779</v>
      </c>
      <c r="B595">
        <v>594</v>
      </c>
      <c r="C595" s="4" t="s">
        <v>26</v>
      </c>
      <c r="D595" s="4" t="s">
        <v>50</v>
      </c>
      <c r="E595" s="4" t="s">
        <v>35</v>
      </c>
      <c r="F595" s="4" t="s">
        <v>2278</v>
      </c>
      <c r="G595">
        <v>15</v>
      </c>
      <c r="H595">
        <v>73</v>
      </c>
      <c r="I595" s="4" t="s">
        <v>2287</v>
      </c>
      <c r="J595" s="4" t="s">
        <v>1017</v>
      </c>
      <c r="K595" s="4" t="s">
        <v>112</v>
      </c>
      <c r="L595" s="4" t="s">
        <v>113</v>
      </c>
      <c r="M595" s="4" t="s">
        <v>108</v>
      </c>
      <c r="N595" s="4" t="s">
        <v>131</v>
      </c>
      <c r="O595" s="4" t="s">
        <v>132</v>
      </c>
      <c r="P595">
        <v>27</v>
      </c>
      <c r="Q595">
        <v>27</v>
      </c>
      <c r="R595" s="4" t="s">
        <v>158</v>
      </c>
      <c r="S595">
        <v>67.069999999999993</v>
      </c>
      <c r="T595">
        <v>1810.89</v>
      </c>
      <c r="U595">
        <v>1638.63</v>
      </c>
      <c r="V595" s="4" t="s">
        <v>30</v>
      </c>
    </row>
    <row r="596" spans="1:22" x14ac:dyDescent="0.2">
      <c r="A596" s="4" t="s">
        <v>780</v>
      </c>
      <c r="B596">
        <v>595</v>
      </c>
      <c r="C596" s="4" t="s">
        <v>26</v>
      </c>
      <c r="D596" s="4" t="s">
        <v>50</v>
      </c>
      <c r="E596" s="4" t="s">
        <v>35</v>
      </c>
      <c r="F596" s="4" t="s">
        <v>2278</v>
      </c>
      <c r="G596">
        <v>15</v>
      </c>
      <c r="H596">
        <v>73</v>
      </c>
      <c r="I596" s="4" t="s">
        <v>2287</v>
      </c>
      <c r="J596" s="4" t="s">
        <v>964</v>
      </c>
      <c r="K596" s="4" t="s">
        <v>112</v>
      </c>
      <c r="L596" s="4" t="s">
        <v>113</v>
      </c>
      <c r="M596" s="4" t="s">
        <v>108</v>
      </c>
      <c r="N596" s="4" t="s">
        <v>133</v>
      </c>
      <c r="O596" s="4" t="s">
        <v>134</v>
      </c>
      <c r="P596">
        <v>35</v>
      </c>
      <c r="Q596">
        <v>35</v>
      </c>
      <c r="R596" s="4" t="s">
        <v>158</v>
      </c>
      <c r="S596">
        <v>48.5</v>
      </c>
      <c r="T596">
        <v>1697.5</v>
      </c>
      <c r="U596">
        <v>1530.9</v>
      </c>
      <c r="V596" s="4" t="s">
        <v>30</v>
      </c>
    </row>
    <row r="597" spans="1:22" x14ac:dyDescent="0.2">
      <c r="A597" s="4" t="s">
        <v>781</v>
      </c>
      <c r="B597">
        <v>596</v>
      </c>
      <c r="C597" s="4" t="s">
        <v>26</v>
      </c>
      <c r="D597" s="4" t="s">
        <v>50</v>
      </c>
      <c r="E597" s="4" t="s">
        <v>35</v>
      </c>
      <c r="F597" s="4" t="s">
        <v>2278</v>
      </c>
      <c r="G597">
        <v>15</v>
      </c>
      <c r="H597">
        <v>73</v>
      </c>
      <c r="I597" s="4" t="s">
        <v>2288</v>
      </c>
      <c r="J597" s="4" t="s">
        <v>962</v>
      </c>
      <c r="K597" s="4" t="s">
        <v>114</v>
      </c>
      <c r="L597" s="4" t="s">
        <v>115</v>
      </c>
      <c r="M597" s="4" t="s">
        <v>108</v>
      </c>
      <c r="N597" s="4" t="s">
        <v>122</v>
      </c>
      <c r="O597" s="4" t="s">
        <v>123</v>
      </c>
      <c r="P597">
        <v>63</v>
      </c>
      <c r="Q597">
        <v>63</v>
      </c>
      <c r="R597" s="4" t="s">
        <v>158</v>
      </c>
      <c r="S597">
        <v>28.18</v>
      </c>
      <c r="T597">
        <v>1775.34</v>
      </c>
      <c r="U597">
        <v>1465.38</v>
      </c>
      <c r="V597" s="4" t="s">
        <v>30</v>
      </c>
    </row>
    <row r="598" spans="1:22" x14ac:dyDescent="0.2">
      <c r="A598" s="4" t="s">
        <v>782</v>
      </c>
      <c r="B598">
        <v>597</v>
      </c>
      <c r="C598" s="4" t="s">
        <v>26</v>
      </c>
      <c r="D598" s="4" t="s">
        <v>50</v>
      </c>
      <c r="E598" s="4" t="s">
        <v>35</v>
      </c>
      <c r="F598" s="4" t="s">
        <v>2278</v>
      </c>
      <c r="G598">
        <v>15</v>
      </c>
      <c r="H598">
        <v>73</v>
      </c>
      <c r="I598" s="4" t="s">
        <v>2289</v>
      </c>
      <c r="J598" s="4" t="s">
        <v>956</v>
      </c>
      <c r="K598" s="4" t="s">
        <v>114</v>
      </c>
      <c r="L598" s="4" t="s">
        <v>115</v>
      </c>
      <c r="M598" s="4" t="s">
        <v>108</v>
      </c>
      <c r="N598" s="4" t="s">
        <v>125</v>
      </c>
      <c r="O598" s="4" t="s">
        <v>126</v>
      </c>
      <c r="P598">
        <v>20</v>
      </c>
      <c r="Q598">
        <v>20</v>
      </c>
      <c r="R598" s="4" t="s">
        <v>158</v>
      </c>
      <c r="S598">
        <v>79.87</v>
      </c>
      <c r="T598">
        <v>1597.4</v>
      </c>
      <c r="U598">
        <v>1460.8</v>
      </c>
      <c r="V598" s="4" t="s">
        <v>30</v>
      </c>
    </row>
    <row r="599" spans="1:22" x14ac:dyDescent="0.2">
      <c r="A599" s="4" t="s">
        <v>783</v>
      </c>
      <c r="B599">
        <v>598</v>
      </c>
      <c r="C599" s="4" t="s">
        <v>26</v>
      </c>
      <c r="D599" s="4" t="s">
        <v>50</v>
      </c>
      <c r="E599" s="4" t="s">
        <v>35</v>
      </c>
      <c r="F599" s="4" t="s">
        <v>2278</v>
      </c>
      <c r="G599">
        <v>15</v>
      </c>
      <c r="H599">
        <v>73</v>
      </c>
      <c r="I599" s="4" t="s">
        <v>2288</v>
      </c>
      <c r="J599" s="4" t="s">
        <v>956</v>
      </c>
      <c r="K599" s="4" t="s">
        <v>114</v>
      </c>
      <c r="L599" s="4" t="s">
        <v>115</v>
      </c>
      <c r="M599" s="4" t="s">
        <v>108</v>
      </c>
      <c r="N599" s="4" t="s">
        <v>127</v>
      </c>
      <c r="O599" s="4" t="s">
        <v>128</v>
      </c>
      <c r="P599">
        <v>67</v>
      </c>
      <c r="Q599">
        <v>67</v>
      </c>
      <c r="R599" s="4" t="s">
        <v>158</v>
      </c>
      <c r="S599">
        <v>31.45</v>
      </c>
      <c r="T599">
        <v>2107.15</v>
      </c>
      <c r="U599">
        <v>1756.07</v>
      </c>
      <c r="V599" s="4" t="s">
        <v>30</v>
      </c>
    </row>
    <row r="600" spans="1:22" x14ac:dyDescent="0.2">
      <c r="A600" s="4" t="s">
        <v>784</v>
      </c>
      <c r="B600">
        <v>599</v>
      </c>
      <c r="C600" s="4" t="s">
        <v>26</v>
      </c>
      <c r="D600" s="4" t="s">
        <v>50</v>
      </c>
      <c r="E600" s="4" t="s">
        <v>35</v>
      </c>
      <c r="F600" s="4" t="s">
        <v>2278</v>
      </c>
      <c r="G600">
        <v>15</v>
      </c>
      <c r="H600">
        <v>73</v>
      </c>
      <c r="I600" s="4" t="s">
        <v>2289</v>
      </c>
      <c r="J600" s="4" t="s">
        <v>964</v>
      </c>
      <c r="K600" s="4" t="s">
        <v>114</v>
      </c>
      <c r="L600" s="4" t="s">
        <v>115</v>
      </c>
      <c r="M600" s="4" t="s">
        <v>108</v>
      </c>
      <c r="N600" s="4" t="s">
        <v>131</v>
      </c>
      <c r="O600" s="4" t="s">
        <v>132</v>
      </c>
      <c r="P600">
        <v>26</v>
      </c>
      <c r="Q600">
        <v>26</v>
      </c>
      <c r="R600" s="4" t="s">
        <v>158</v>
      </c>
      <c r="S600">
        <v>67.069999999999993</v>
      </c>
      <c r="T600">
        <v>1743.82</v>
      </c>
      <c r="U600">
        <v>1577.94</v>
      </c>
      <c r="V600" s="4" t="s">
        <v>30</v>
      </c>
    </row>
    <row r="601" spans="1:22" x14ac:dyDescent="0.2">
      <c r="A601" s="4" t="s">
        <v>785</v>
      </c>
      <c r="B601">
        <v>600</v>
      </c>
      <c r="C601" s="4" t="s">
        <v>26</v>
      </c>
      <c r="D601" s="4" t="s">
        <v>50</v>
      </c>
      <c r="E601" s="4" t="s">
        <v>35</v>
      </c>
      <c r="F601" s="4" t="s">
        <v>2278</v>
      </c>
      <c r="G601">
        <v>15</v>
      </c>
      <c r="H601">
        <v>73</v>
      </c>
      <c r="I601" s="4" t="s">
        <v>2289</v>
      </c>
      <c r="J601" s="4" t="s">
        <v>962</v>
      </c>
      <c r="K601" s="4" t="s">
        <v>114</v>
      </c>
      <c r="L601" s="4" t="s">
        <v>115</v>
      </c>
      <c r="M601" s="4" t="s">
        <v>108</v>
      </c>
      <c r="N601" s="4" t="s">
        <v>131</v>
      </c>
      <c r="O601" s="4" t="s">
        <v>132</v>
      </c>
      <c r="P601">
        <v>26</v>
      </c>
      <c r="Q601">
        <v>26</v>
      </c>
      <c r="R601" s="4" t="s">
        <v>158</v>
      </c>
      <c r="S601">
        <v>67.069999999999993</v>
      </c>
      <c r="T601">
        <v>1743.82</v>
      </c>
      <c r="U601">
        <v>1577.94</v>
      </c>
      <c r="V601" s="4" t="s">
        <v>30</v>
      </c>
    </row>
    <row r="602" spans="1:22" x14ac:dyDescent="0.2">
      <c r="A602" s="4" t="s">
        <v>786</v>
      </c>
      <c r="B602">
        <v>601</v>
      </c>
      <c r="C602" s="4" t="s">
        <v>26</v>
      </c>
      <c r="D602" s="4" t="s">
        <v>50</v>
      </c>
      <c r="E602" s="4" t="s">
        <v>35</v>
      </c>
      <c r="F602" s="4" t="s">
        <v>2278</v>
      </c>
      <c r="G602">
        <v>15</v>
      </c>
      <c r="H602">
        <v>73</v>
      </c>
      <c r="I602" s="4" t="s">
        <v>2290</v>
      </c>
      <c r="J602" s="4" t="s">
        <v>962</v>
      </c>
      <c r="K602" s="4" t="s">
        <v>116</v>
      </c>
      <c r="L602" s="4" t="s">
        <v>117</v>
      </c>
      <c r="M602" s="4" t="s">
        <v>108</v>
      </c>
      <c r="N602" s="4" t="s">
        <v>127</v>
      </c>
      <c r="O602" s="4" t="s">
        <v>128</v>
      </c>
      <c r="P602">
        <v>65</v>
      </c>
      <c r="Q602">
        <v>65</v>
      </c>
      <c r="R602" s="4" t="s">
        <v>158</v>
      </c>
      <c r="S602">
        <v>31.45</v>
      </c>
      <c r="T602">
        <v>2044.25</v>
      </c>
      <c r="U602">
        <v>1703.65</v>
      </c>
      <c r="V602" s="4" t="s">
        <v>30</v>
      </c>
    </row>
    <row r="603" spans="1:22" x14ac:dyDescent="0.2">
      <c r="A603" s="4" t="s">
        <v>787</v>
      </c>
      <c r="B603">
        <v>602</v>
      </c>
      <c r="C603" s="4" t="s">
        <v>26</v>
      </c>
      <c r="D603" s="4" t="s">
        <v>50</v>
      </c>
      <c r="E603" s="4" t="s">
        <v>35</v>
      </c>
      <c r="F603" s="4" t="s">
        <v>2278</v>
      </c>
      <c r="G603">
        <v>15</v>
      </c>
      <c r="H603">
        <v>73</v>
      </c>
      <c r="I603" s="4" t="s">
        <v>2290</v>
      </c>
      <c r="J603" s="4" t="s">
        <v>956</v>
      </c>
      <c r="K603" s="4" t="s">
        <v>116</v>
      </c>
      <c r="L603" s="4" t="s">
        <v>117</v>
      </c>
      <c r="M603" s="4" t="s">
        <v>108</v>
      </c>
      <c r="N603" s="4" t="s">
        <v>129</v>
      </c>
      <c r="O603" s="4" t="s">
        <v>130</v>
      </c>
      <c r="P603">
        <v>16</v>
      </c>
      <c r="Q603">
        <v>16</v>
      </c>
      <c r="R603" s="4" t="s">
        <v>158</v>
      </c>
      <c r="S603">
        <v>91.58</v>
      </c>
      <c r="T603">
        <v>1465.28</v>
      </c>
      <c r="U603">
        <v>1339.68</v>
      </c>
      <c r="V603" s="4" t="s">
        <v>30</v>
      </c>
    </row>
    <row r="604" spans="1:22" x14ac:dyDescent="0.2">
      <c r="A604" s="4" t="s">
        <v>788</v>
      </c>
      <c r="B604">
        <v>603</v>
      </c>
      <c r="C604" s="4" t="s">
        <v>26</v>
      </c>
      <c r="D604" s="4" t="s">
        <v>50</v>
      </c>
      <c r="E604" s="4" t="s">
        <v>38</v>
      </c>
      <c r="F604" s="4" t="s">
        <v>2340</v>
      </c>
      <c r="G604">
        <v>15</v>
      </c>
      <c r="H604">
        <v>74</v>
      </c>
      <c r="I604" s="4" t="s">
        <v>2364</v>
      </c>
      <c r="J604" s="4" t="s">
        <v>956</v>
      </c>
      <c r="K604" s="4" t="s">
        <v>112</v>
      </c>
      <c r="L604" s="4" t="s">
        <v>113</v>
      </c>
      <c r="M604" s="4" t="s">
        <v>108</v>
      </c>
      <c r="N604" s="4" t="s">
        <v>133</v>
      </c>
      <c r="O604" s="4" t="s">
        <v>134</v>
      </c>
      <c r="P604">
        <v>35</v>
      </c>
      <c r="Q604">
        <v>35</v>
      </c>
      <c r="R604" s="4" t="s">
        <v>158</v>
      </c>
      <c r="S604">
        <v>48.5</v>
      </c>
      <c r="T604">
        <v>1697.5</v>
      </c>
      <c r="U604">
        <v>1530.9</v>
      </c>
      <c r="V604" s="4" t="s">
        <v>30</v>
      </c>
    </row>
    <row r="605" spans="1:22" x14ac:dyDescent="0.2">
      <c r="A605" s="4" t="s">
        <v>789</v>
      </c>
      <c r="B605">
        <v>604</v>
      </c>
      <c r="C605" s="4" t="s">
        <v>26</v>
      </c>
      <c r="D605" s="4" t="s">
        <v>50</v>
      </c>
      <c r="E605" s="4" t="s">
        <v>38</v>
      </c>
      <c r="F605" s="4" t="s">
        <v>2340</v>
      </c>
      <c r="G605">
        <v>15</v>
      </c>
      <c r="H605">
        <v>74</v>
      </c>
      <c r="I605" s="4" t="s">
        <v>2365</v>
      </c>
      <c r="J605" s="4" t="s">
        <v>964</v>
      </c>
      <c r="K605" s="4" t="s">
        <v>114</v>
      </c>
      <c r="L605" s="4" t="s">
        <v>115</v>
      </c>
      <c r="M605" s="4" t="s">
        <v>108</v>
      </c>
      <c r="N605" s="4" t="s">
        <v>127</v>
      </c>
      <c r="O605" s="4" t="s">
        <v>128</v>
      </c>
      <c r="P605">
        <v>70</v>
      </c>
      <c r="Q605">
        <v>70</v>
      </c>
      <c r="R605" s="4" t="s">
        <v>158</v>
      </c>
      <c r="S605">
        <v>31.45</v>
      </c>
      <c r="T605">
        <v>2201.5</v>
      </c>
      <c r="U605">
        <v>1834.7</v>
      </c>
      <c r="V605" s="4" t="s">
        <v>30</v>
      </c>
    </row>
    <row r="606" spans="1:22" x14ac:dyDescent="0.2">
      <c r="A606" s="4" t="s">
        <v>790</v>
      </c>
      <c r="B606">
        <v>605</v>
      </c>
      <c r="C606" s="4" t="s">
        <v>26</v>
      </c>
      <c r="D606" s="4" t="s">
        <v>50</v>
      </c>
      <c r="E606" s="4" t="s">
        <v>38</v>
      </c>
      <c r="F606" s="4" t="s">
        <v>2340</v>
      </c>
      <c r="G606">
        <v>15</v>
      </c>
      <c r="H606">
        <v>74</v>
      </c>
      <c r="I606" s="4" t="s">
        <v>2365</v>
      </c>
      <c r="J606" s="4" t="s">
        <v>956</v>
      </c>
      <c r="K606" s="4" t="s">
        <v>114</v>
      </c>
      <c r="L606" s="4" t="s">
        <v>115</v>
      </c>
      <c r="M606" s="4" t="s">
        <v>108</v>
      </c>
      <c r="N606" s="4" t="s">
        <v>127</v>
      </c>
      <c r="O606" s="4" t="s">
        <v>128</v>
      </c>
      <c r="P606">
        <v>68</v>
      </c>
      <c r="Q606">
        <v>68</v>
      </c>
      <c r="R606" s="4" t="s">
        <v>158</v>
      </c>
      <c r="S606">
        <v>31.45</v>
      </c>
      <c r="T606">
        <v>2138.6</v>
      </c>
      <c r="U606">
        <v>1782.28</v>
      </c>
      <c r="V606" s="4" t="s">
        <v>30</v>
      </c>
    </row>
    <row r="607" spans="1:22" x14ac:dyDescent="0.2">
      <c r="A607" s="4" t="s">
        <v>791</v>
      </c>
      <c r="B607">
        <v>606</v>
      </c>
      <c r="C607" s="4" t="s">
        <v>26</v>
      </c>
      <c r="D607" s="4" t="s">
        <v>50</v>
      </c>
      <c r="E607" s="4" t="s">
        <v>38</v>
      </c>
      <c r="F607" s="4" t="s">
        <v>2340</v>
      </c>
      <c r="G607">
        <v>15</v>
      </c>
      <c r="H607">
        <v>74</v>
      </c>
      <c r="I607" s="4" t="s">
        <v>2365</v>
      </c>
      <c r="J607" s="4" t="s">
        <v>967</v>
      </c>
      <c r="K607" s="4" t="s">
        <v>114</v>
      </c>
      <c r="L607" s="4" t="s">
        <v>115</v>
      </c>
      <c r="M607" s="4" t="s">
        <v>108</v>
      </c>
      <c r="N607" s="4" t="s">
        <v>129</v>
      </c>
      <c r="O607" s="4" t="s">
        <v>130</v>
      </c>
      <c r="P607">
        <v>20</v>
      </c>
      <c r="Q607">
        <v>20</v>
      </c>
      <c r="R607" s="4" t="s">
        <v>158</v>
      </c>
      <c r="S607">
        <v>91.58</v>
      </c>
      <c r="T607">
        <v>1831.6</v>
      </c>
      <c r="U607">
        <v>1674.6</v>
      </c>
      <c r="V607" s="4" t="s">
        <v>30</v>
      </c>
    </row>
    <row r="608" spans="1:22" x14ac:dyDescent="0.2">
      <c r="A608" s="4" t="s">
        <v>792</v>
      </c>
      <c r="B608">
        <v>607</v>
      </c>
      <c r="C608" s="4" t="s">
        <v>26</v>
      </c>
      <c r="D608" s="4" t="s">
        <v>50</v>
      </c>
      <c r="E608" s="4" t="s">
        <v>38</v>
      </c>
      <c r="F608" s="4" t="s">
        <v>2340</v>
      </c>
      <c r="G608">
        <v>15</v>
      </c>
      <c r="H608">
        <v>74</v>
      </c>
      <c r="I608" s="4" t="s">
        <v>2366</v>
      </c>
      <c r="J608" s="4" t="s">
        <v>956</v>
      </c>
      <c r="K608" s="4" t="s">
        <v>114</v>
      </c>
      <c r="L608" s="4" t="s">
        <v>115</v>
      </c>
      <c r="M608" s="4" t="s">
        <v>108</v>
      </c>
      <c r="N608" s="4" t="s">
        <v>131</v>
      </c>
      <c r="O608" s="4" t="s">
        <v>132</v>
      </c>
      <c r="P608">
        <v>27</v>
      </c>
      <c r="Q608">
        <v>27</v>
      </c>
      <c r="R608" s="4" t="s">
        <v>158</v>
      </c>
      <c r="S608">
        <v>67.069999999999993</v>
      </c>
      <c r="T608">
        <v>1810.89</v>
      </c>
      <c r="U608">
        <v>1638.63</v>
      </c>
      <c r="V608" s="4" t="s">
        <v>30</v>
      </c>
    </row>
    <row r="609" spans="1:22" x14ac:dyDescent="0.2">
      <c r="A609" s="4" t="s">
        <v>793</v>
      </c>
      <c r="B609">
        <v>608</v>
      </c>
      <c r="C609" s="4" t="s">
        <v>26</v>
      </c>
      <c r="D609" s="4" t="s">
        <v>50</v>
      </c>
      <c r="E609" s="4" t="s">
        <v>38</v>
      </c>
      <c r="F609" s="4" t="s">
        <v>2340</v>
      </c>
      <c r="G609">
        <v>15</v>
      </c>
      <c r="H609">
        <v>74</v>
      </c>
      <c r="I609" s="4" t="s">
        <v>2365</v>
      </c>
      <c r="J609" s="4" t="s">
        <v>962</v>
      </c>
      <c r="K609" s="4" t="s">
        <v>114</v>
      </c>
      <c r="L609" s="4" t="s">
        <v>115</v>
      </c>
      <c r="M609" s="4" t="s">
        <v>108</v>
      </c>
      <c r="N609" s="4" t="s">
        <v>131</v>
      </c>
      <c r="O609" s="4" t="s">
        <v>132</v>
      </c>
      <c r="P609">
        <v>8</v>
      </c>
      <c r="Q609">
        <v>8</v>
      </c>
      <c r="R609" s="4" t="s">
        <v>158</v>
      </c>
      <c r="S609">
        <v>67.069999999999993</v>
      </c>
      <c r="T609">
        <v>536.55999999999995</v>
      </c>
      <c r="U609">
        <v>485.52</v>
      </c>
      <c r="V609" s="4" t="s">
        <v>30</v>
      </c>
    </row>
    <row r="610" spans="1:22" x14ac:dyDescent="0.2">
      <c r="A610" s="4" t="s">
        <v>794</v>
      </c>
      <c r="B610">
        <v>609</v>
      </c>
      <c r="C610" s="4" t="s">
        <v>26</v>
      </c>
      <c r="D610" s="4" t="s">
        <v>50</v>
      </c>
      <c r="E610" s="4" t="s">
        <v>38</v>
      </c>
      <c r="F610" s="4" t="s">
        <v>2340</v>
      </c>
      <c r="G610">
        <v>15</v>
      </c>
      <c r="H610">
        <v>74</v>
      </c>
      <c r="I610" s="4" t="s">
        <v>2367</v>
      </c>
      <c r="J610" s="4" t="s">
        <v>956</v>
      </c>
      <c r="K610" s="4" t="s">
        <v>116</v>
      </c>
      <c r="L610" s="4" t="s">
        <v>117</v>
      </c>
      <c r="M610" s="4" t="s">
        <v>108</v>
      </c>
      <c r="N610" s="4" t="s">
        <v>122</v>
      </c>
      <c r="O610" s="4" t="s">
        <v>123</v>
      </c>
      <c r="P610">
        <v>71</v>
      </c>
      <c r="Q610">
        <v>71</v>
      </c>
      <c r="R610" s="4" t="s">
        <v>158</v>
      </c>
      <c r="S610">
        <v>28.18</v>
      </c>
      <c r="T610">
        <v>2000.78</v>
      </c>
      <c r="U610">
        <v>1651.46</v>
      </c>
      <c r="V610" s="4" t="s">
        <v>30</v>
      </c>
    </row>
    <row r="611" spans="1:22" x14ac:dyDescent="0.2">
      <c r="A611" s="4" t="s">
        <v>795</v>
      </c>
      <c r="B611">
        <v>610</v>
      </c>
      <c r="C611" s="4" t="s">
        <v>26</v>
      </c>
      <c r="D611" s="4" t="s">
        <v>50</v>
      </c>
      <c r="E611" s="4" t="s">
        <v>38</v>
      </c>
      <c r="F611" s="4" t="s">
        <v>2340</v>
      </c>
      <c r="G611">
        <v>15</v>
      </c>
      <c r="H611">
        <v>74</v>
      </c>
      <c r="I611" s="4" t="s">
        <v>2367</v>
      </c>
      <c r="J611" s="4" t="s">
        <v>962</v>
      </c>
      <c r="K611" s="4" t="s">
        <v>116</v>
      </c>
      <c r="L611" s="4" t="s">
        <v>117</v>
      </c>
      <c r="M611" s="4" t="s">
        <v>108</v>
      </c>
      <c r="N611" s="4" t="s">
        <v>129</v>
      </c>
      <c r="O611" s="4" t="s">
        <v>130</v>
      </c>
      <c r="P611">
        <v>22</v>
      </c>
      <c r="Q611">
        <v>22</v>
      </c>
      <c r="R611" s="4" t="s">
        <v>158</v>
      </c>
      <c r="S611">
        <v>91.58</v>
      </c>
      <c r="T611">
        <v>2014.76</v>
      </c>
      <c r="U611">
        <v>1842.06</v>
      </c>
      <c r="V611" s="4" t="s">
        <v>30</v>
      </c>
    </row>
    <row r="612" spans="1:22" x14ac:dyDescent="0.2">
      <c r="A612" s="4" t="s">
        <v>796</v>
      </c>
      <c r="B612">
        <v>611</v>
      </c>
      <c r="C612" s="4" t="s">
        <v>26</v>
      </c>
      <c r="D612" s="4" t="s">
        <v>50</v>
      </c>
      <c r="E612" s="4" t="s">
        <v>38</v>
      </c>
      <c r="F612" s="4" t="s">
        <v>2340</v>
      </c>
      <c r="G612">
        <v>15</v>
      </c>
      <c r="H612">
        <v>74</v>
      </c>
      <c r="I612" s="4" t="s">
        <v>2368</v>
      </c>
      <c r="J612" s="4" t="s">
        <v>956</v>
      </c>
      <c r="K612" s="4" t="s">
        <v>116</v>
      </c>
      <c r="L612" s="4" t="s">
        <v>117</v>
      </c>
      <c r="M612" s="4" t="s">
        <v>108</v>
      </c>
      <c r="N612" s="4" t="s">
        <v>129</v>
      </c>
      <c r="O612" s="4" t="s">
        <v>130</v>
      </c>
      <c r="P612">
        <v>19</v>
      </c>
      <c r="Q612">
        <v>19</v>
      </c>
      <c r="R612" s="4" t="s">
        <v>158</v>
      </c>
      <c r="S612">
        <v>91.58</v>
      </c>
      <c r="T612">
        <v>1740.02</v>
      </c>
      <c r="U612">
        <v>1590.87</v>
      </c>
      <c r="V612" s="4" t="s">
        <v>30</v>
      </c>
    </row>
    <row r="613" spans="1:22" x14ac:dyDescent="0.2">
      <c r="A613" s="4" t="s">
        <v>797</v>
      </c>
      <c r="B613">
        <v>612</v>
      </c>
      <c r="C613" s="4" t="s">
        <v>26</v>
      </c>
      <c r="D613" s="4" t="s">
        <v>50</v>
      </c>
      <c r="E613" s="4" t="s">
        <v>41</v>
      </c>
      <c r="F613" s="4" t="s">
        <v>2370</v>
      </c>
      <c r="G613">
        <v>15</v>
      </c>
      <c r="H613">
        <v>75</v>
      </c>
      <c r="I613" s="4" t="s">
        <v>2397</v>
      </c>
      <c r="J613" s="4" t="s">
        <v>962</v>
      </c>
      <c r="K613" s="4" t="s">
        <v>112</v>
      </c>
      <c r="L613" s="4" t="s">
        <v>113</v>
      </c>
      <c r="M613" s="4" t="s">
        <v>108</v>
      </c>
      <c r="N613" s="4" t="s">
        <v>122</v>
      </c>
      <c r="O613" s="4" t="s">
        <v>123</v>
      </c>
      <c r="P613">
        <v>80</v>
      </c>
      <c r="Q613">
        <v>80</v>
      </c>
      <c r="R613" s="4" t="s">
        <v>158</v>
      </c>
      <c r="S613">
        <v>28.18</v>
      </c>
      <c r="T613">
        <v>2254.4</v>
      </c>
      <c r="U613">
        <v>1860.8</v>
      </c>
      <c r="V613" s="4" t="s">
        <v>30</v>
      </c>
    </row>
    <row r="614" spans="1:22" x14ac:dyDescent="0.2">
      <c r="A614" s="4" t="s">
        <v>798</v>
      </c>
      <c r="B614">
        <v>613</v>
      </c>
      <c r="C614" s="4" t="s">
        <v>26</v>
      </c>
      <c r="D614" s="4" t="s">
        <v>50</v>
      </c>
      <c r="E614" s="4" t="s">
        <v>41</v>
      </c>
      <c r="F614" s="4" t="s">
        <v>2370</v>
      </c>
      <c r="G614">
        <v>15</v>
      </c>
      <c r="H614">
        <v>75</v>
      </c>
      <c r="I614" s="4" t="s">
        <v>2396</v>
      </c>
      <c r="J614" s="4" t="s">
        <v>962</v>
      </c>
      <c r="K614" s="4" t="s">
        <v>112</v>
      </c>
      <c r="L614" s="4" t="s">
        <v>113</v>
      </c>
      <c r="M614" s="4" t="s">
        <v>108</v>
      </c>
      <c r="N614" s="4" t="s">
        <v>122</v>
      </c>
      <c r="O614" s="4" t="s">
        <v>123</v>
      </c>
      <c r="P614">
        <v>84</v>
      </c>
      <c r="Q614">
        <v>84</v>
      </c>
      <c r="R614" s="4" t="s">
        <v>158</v>
      </c>
      <c r="S614">
        <v>28.18</v>
      </c>
      <c r="T614">
        <v>2367.12</v>
      </c>
      <c r="U614">
        <v>1953.84</v>
      </c>
      <c r="V614" s="4" t="s">
        <v>30</v>
      </c>
    </row>
    <row r="615" spans="1:22" x14ac:dyDescent="0.2">
      <c r="A615" s="4" t="s">
        <v>799</v>
      </c>
      <c r="B615">
        <v>614</v>
      </c>
      <c r="C615" s="4" t="s">
        <v>26</v>
      </c>
      <c r="D615" s="4" t="s">
        <v>50</v>
      </c>
      <c r="E615" s="4" t="s">
        <v>41</v>
      </c>
      <c r="F615" s="4" t="s">
        <v>2370</v>
      </c>
      <c r="G615">
        <v>15</v>
      </c>
      <c r="H615">
        <v>75</v>
      </c>
      <c r="I615" s="4" t="s">
        <v>2396</v>
      </c>
      <c r="J615" s="4" t="s">
        <v>967</v>
      </c>
      <c r="K615" s="4" t="s">
        <v>112</v>
      </c>
      <c r="L615" s="4" t="s">
        <v>113</v>
      </c>
      <c r="M615" s="4" t="s">
        <v>108</v>
      </c>
      <c r="N615" s="4" t="s">
        <v>122</v>
      </c>
      <c r="O615" s="4" t="s">
        <v>123</v>
      </c>
      <c r="P615">
        <v>82</v>
      </c>
      <c r="Q615">
        <v>82</v>
      </c>
      <c r="R615" s="4" t="s">
        <v>158</v>
      </c>
      <c r="S615">
        <v>28.18</v>
      </c>
      <c r="T615">
        <v>2310.7600000000002</v>
      </c>
      <c r="U615">
        <v>1907.32</v>
      </c>
      <c r="V615" s="4" t="s">
        <v>30</v>
      </c>
    </row>
    <row r="616" spans="1:22" x14ac:dyDescent="0.2">
      <c r="A616" s="4" t="s">
        <v>800</v>
      </c>
      <c r="B616">
        <v>615</v>
      </c>
      <c r="C616" s="4" t="s">
        <v>26</v>
      </c>
      <c r="D616" s="4" t="s">
        <v>50</v>
      </c>
      <c r="E616" s="4" t="s">
        <v>41</v>
      </c>
      <c r="F616" s="4" t="s">
        <v>2370</v>
      </c>
      <c r="G616">
        <v>15</v>
      </c>
      <c r="H616">
        <v>75</v>
      </c>
      <c r="I616" s="4" t="s">
        <v>2397</v>
      </c>
      <c r="J616" s="4" t="s">
        <v>964</v>
      </c>
      <c r="K616" s="4" t="s">
        <v>112</v>
      </c>
      <c r="L616" s="4" t="s">
        <v>113</v>
      </c>
      <c r="M616" s="4" t="s">
        <v>108</v>
      </c>
      <c r="N616" s="4" t="s">
        <v>122</v>
      </c>
      <c r="O616" s="4" t="s">
        <v>123</v>
      </c>
      <c r="P616">
        <v>61</v>
      </c>
      <c r="Q616">
        <v>61</v>
      </c>
      <c r="R616" s="4" t="s">
        <v>158</v>
      </c>
      <c r="S616">
        <v>28.18</v>
      </c>
      <c r="T616">
        <v>1718.98</v>
      </c>
      <c r="U616">
        <v>1418.86</v>
      </c>
      <c r="V616" s="4" t="s">
        <v>30</v>
      </c>
    </row>
    <row r="617" spans="1:22" x14ac:dyDescent="0.2">
      <c r="A617" s="4" t="s">
        <v>801</v>
      </c>
      <c r="B617">
        <v>616</v>
      </c>
      <c r="C617" s="4" t="s">
        <v>26</v>
      </c>
      <c r="D617" s="4" t="s">
        <v>50</v>
      </c>
      <c r="E617" s="4" t="s">
        <v>41</v>
      </c>
      <c r="F617" s="4" t="s">
        <v>2370</v>
      </c>
      <c r="G617">
        <v>15</v>
      </c>
      <c r="H617">
        <v>75</v>
      </c>
      <c r="I617" s="4" t="s">
        <v>2396</v>
      </c>
      <c r="J617" s="4" t="s">
        <v>964</v>
      </c>
      <c r="K617" s="4" t="s">
        <v>112</v>
      </c>
      <c r="L617" s="4" t="s">
        <v>113</v>
      </c>
      <c r="M617" s="4" t="s">
        <v>108</v>
      </c>
      <c r="N617" s="4" t="s">
        <v>129</v>
      </c>
      <c r="O617" s="4" t="s">
        <v>130</v>
      </c>
      <c r="P617">
        <v>18</v>
      </c>
      <c r="Q617">
        <v>18</v>
      </c>
      <c r="R617" s="4" t="s">
        <v>158</v>
      </c>
      <c r="S617">
        <v>91.58</v>
      </c>
      <c r="T617">
        <v>1648.44</v>
      </c>
      <c r="U617">
        <v>1507.14</v>
      </c>
      <c r="V617" s="4" t="s">
        <v>30</v>
      </c>
    </row>
    <row r="618" spans="1:22" x14ac:dyDescent="0.2">
      <c r="A618" s="4" t="s">
        <v>802</v>
      </c>
      <c r="B618">
        <v>617</v>
      </c>
      <c r="C618" s="4" t="s">
        <v>26</v>
      </c>
      <c r="D618" s="4" t="s">
        <v>50</v>
      </c>
      <c r="E618" s="4" t="s">
        <v>41</v>
      </c>
      <c r="F618" s="4" t="s">
        <v>2370</v>
      </c>
      <c r="G618">
        <v>15</v>
      </c>
      <c r="H618">
        <v>75</v>
      </c>
      <c r="I618" s="4" t="s">
        <v>2397</v>
      </c>
      <c r="J618" s="4" t="s">
        <v>956</v>
      </c>
      <c r="K618" s="4" t="s">
        <v>112</v>
      </c>
      <c r="L618" s="4" t="s">
        <v>113</v>
      </c>
      <c r="M618" s="4" t="s">
        <v>108</v>
      </c>
      <c r="N618" s="4" t="s">
        <v>131</v>
      </c>
      <c r="O618" s="4" t="s">
        <v>132</v>
      </c>
      <c r="P618">
        <v>27</v>
      </c>
      <c r="Q618">
        <v>27</v>
      </c>
      <c r="R618" s="4" t="s">
        <v>158</v>
      </c>
      <c r="S618">
        <v>67.069999999999993</v>
      </c>
      <c r="T618">
        <v>1810.89</v>
      </c>
      <c r="U618">
        <v>1638.63</v>
      </c>
      <c r="V618" s="4" t="s">
        <v>30</v>
      </c>
    </row>
    <row r="619" spans="1:22" x14ac:dyDescent="0.2">
      <c r="A619" s="4" t="s">
        <v>803</v>
      </c>
      <c r="B619">
        <v>618</v>
      </c>
      <c r="C619" s="4" t="s">
        <v>26</v>
      </c>
      <c r="D619" s="4" t="s">
        <v>50</v>
      </c>
      <c r="E619" s="4" t="s">
        <v>41</v>
      </c>
      <c r="F619" s="4" t="s">
        <v>2370</v>
      </c>
      <c r="G619">
        <v>15</v>
      </c>
      <c r="H619">
        <v>75</v>
      </c>
      <c r="I619" s="4" t="s">
        <v>2396</v>
      </c>
      <c r="J619" s="4" t="s">
        <v>956</v>
      </c>
      <c r="K619" s="4" t="s">
        <v>112</v>
      </c>
      <c r="L619" s="4" t="s">
        <v>113</v>
      </c>
      <c r="M619" s="4" t="s">
        <v>108</v>
      </c>
      <c r="N619" s="4" t="s">
        <v>133</v>
      </c>
      <c r="O619" s="4" t="s">
        <v>134</v>
      </c>
      <c r="P619">
        <v>30</v>
      </c>
      <c r="Q619">
        <v>30</v>
      </c>
      <c r="R619" s="4" t="s">
        <v>158</v>
      </c>
      <c r="S619">
        <v>48.5</v>
      </c>
      <c r="T619">
        <v>1455</v>
      </c>
      <c r="U619">
        <v>1312.2</v>
      </c>
      <c r="V619" s="4" t="s">
        <v>30</v>
      </c>
    </row>
    <row r="620" spans="1:22" x14ac:dyDescent="0.2">
      <c r="A620" s="4" t="s">
        <v>804</v>
      </c>
      <c r="B620">
        <v>619</v>
      </c>
      <c r="C620" s="4" t="s">
        <v>26</v>
      </c>
      <c r="D620" s="4" t="s">
        <v>50</v>
      </c>
      <c r="E620" s="4" t="s">
        <v>41</v>
      </c>
      <c r="F620" s="4" t="s">
        <v>2370</v>
      </c>
      <c r="G620">
        <v>15</v>
      </c>
      <c r="H620">
        <v>75</v>
      </c>
      <c r="I620" s="4" t="s">
        <v>2398</v>
      </c>
      <c r="J620" s="4" t="s">
        <v>964</v>
      </c>
      <c r="K620" s="4" t="s">
        <v>114</v>
      </c>
      <c r="L620" s="4" t="s">
        <v>115</v>
      </c>
      <c r="M620" s="4" t="s">
        <v>108</v>
      </c>
      <c r="N620" s="4" t="s">
        <v>122</v>
      </c>
      <c r="O620" s="4" t="s">
        <v>123</v>
      </c>
      <c r="P620">
        <v>37</v>
      </c>
      <c r="Q620">
        <v>37</v>
      </c>
      <c r="R620" s="4" t="s">
        <v>158</v>
      </c>
      <c r="S620">
        <v>28.18</v>
      </c>
      <c r="T620">
        <v>1042.6600000000001</v>
      </c>
      <c r="U620">
        <v>860.62</v>
      </c>
      <c r="V620" s="4" t="s">
        <v>30</v>
      </c>
    </row>
    <row r="621" spans="1:22" x14ac:dyDescent="0.2">
      <c r="A621" s="4" t="s">
        <v>805</v>
      </c>
      <c r="B621">
        <v>620</v>
      </c>
      <c r="C621" s="4" t="s">
        <v>26</v>
      </c>
      <c r="D621" s="4" t="s">
        <v>50</v>
      </c>
      <c r="E621" s="4" t="s">
        <v>41</v>
      </c>
      <c r="F621" s="4" t="s">
        <v>2370</v>
      </c>
      <c r="G621">
        <v>15</v>
      </c>
      <c r="H621">
        <v>75</v>
      </c>
      <c r="I621" s="4" t="s">
        <v>2398</v>
      </c>
      <c r="J621" s="4" t="s">
        <v>956</v>
      </c>
      <c r="K621" s="4" t="s">
        <v>114</v>
      </c>
      <c r="L621" s="4" t="s">
        <v>115</v>
      </c>
      <c r="M621" s="4" t="s">
        <v>108</v>
      </c>
      <c r="N621" s="4" t="s">
        <v>127</v>
      </c>
      <c r="O621" s="4" t="s">
        <v>128</v>
      </c>
      <c r="P621">
        <v>65</v>
      </c>
      <c r="Q621">
        <v>65</v>
      </c>
      <c r="R621" s="4" t="s">
        <v>158</v>
      </c>
      <c r="S621">
        <v>31.45</v>
      </c>
      <c r="T621">
        <v>2044.25</v>
      </c>
      <c r="U621">
        <v>1703.65</v>
      </c>
      <c r="V621" s="4" t="s">
        <v>30</v>
      </c>
    </row>
    <row r="622" spans="1:22" x14ac:dyDescent="0.2">
      <c r="A622" s="4" t="s">
        <v>806</v>
      </c>
      <c r="B622">
        <v>621</v>
      </c>
      <c r="C622" s="4" t="s">
        <v>26</v>
      </c>
      <c r="D622" s="4" t="s">
        <v>50</v>
      </c>
      <c r="E622" s="4" t="s">
        <v>41</v>
      </c>
      <c r="F622" s="4" t="s">
        <v>2370</v>
      </c>
      <c r="G622">
        <v>15</v>
      </c>
      <c r="H622">
        <v>75</v>
      </c>
      <c r="I622" s="4" t="s">
        <v>2399</v>
      </c>
      <c r="J622" s="4" t="s">
        <v>956</v>
      </c>
      <c r="K622" s="4" t="s">
        <v>114</v>
      </c>
      <c r="L622" s="4" t="s">
        <v>115</v>
      </c>
      <c r="M622" s="4" t="s">
        <v>108</v>
      </c>
      <c r="N622" s="4" t="s">
        <v>131</v>
      </c>
      <c r="O622" s="4" t="s">
        <v>132</v>
      </c>
      <c r="P622">
        <v>11</v>
      </c>
      <c r="Q622">
        <v>11</v>
      </c>
      <c r="R622" s="4" t="s">
        <v>158</v>
      </c>
      <c r="S622">
        <v>67.069999999999993</v>
      </c>
      <c r="T622">
        <v>737.77</v>
      </c>
      <c r="U622">
        <v>667.59</v>
      </c>
      <c r="V622" s="4" t="s">
        <v>30</v>
      </c>
    </row>
    <row r="623" spans="1:22" x14ac:dyDescent="0.2">
      <c r="A623" s="4" t="s">
        <v>807</v>
      </c>
      <c r="B623">
        <v>622</v>
      </c>
      <c r="C623" s="4" t="s">
        <v>26</v>
      </c>
      <c r="D623" s="4" t="s">
        <v>50</v>
      </c>
      <c r="E623" s="4" t="s">
        <v>41</v>
      </c>
      <c r="F623" s="4" t="s">
        <v>2370</v>
      </c>
      <c r="G623">
        <v>15</v>
      </c>
      <c r="H623">
        <v>75</v>
      </c>
      <c r="I623" s="4" t="s">
        <v>2398</v>
      </c>
      <c r="J623" s="4" t="s">
        <v>962</v>
      </c>
      <c r="K623" s="4" t="s">
        <v>114</v>
      </c>
      <c r="L623" s="4" t="s">
        <v>115</v>
      </c>
      <c r="M623" s="4" t="s">
        <v>108</v>
      </c>
      <c r="N623" s="4" t="s">
        <v>131</v>
      </c>
      <c r="O623" s="4" t="s">
        <v>132</v>
      </c>
      <c r="P623">
        <v>22</v>
      </c>
      <c r="Q623">
        <v>22</v>
      </c>
      <c r="R623" s="4" t="s">
        <v>158</v>
      </c>
      <c r="S623">
        <v>67.069999999999993</v>
      </c>
      <c r="T623">
        <v>1475.54</v>
      </c>
      <c r="U623">
        <v>1335.18</v>
      </c>
      <c r="V623" s="4" t="s">
        <v>30</v>
      </c>
    </row>
    <row r="624" spans="1:22" x14ac:dyDescent="0.2">
      <c r="A624" s="4" t="s">
        <v>808</v>
      </c>
      <c r="B624">
        <v>623</v>
      </c>
      <c r="C624" s="4" t="s">
        <v>26</v>
      </c>
      <c r="D624" s="4" t="s">
        <v>50</v>
      </c>
      <c r="E624" s="4" t="s">
        <v>41</v>
      </c>
      <c r="F624" s="4" t="s">
        <v>2370</v>
      </c>
      <c r="G624">
        <v>15</v>
      </c>
      <c r="H624">
        <v>75</v>
      </c>
      <c r="I624" s="4" t="s">
        <v>2398</v>
      </c>
      <c r="J624" s="4" t="s">
        <v>967</v>
      </c>
      <c r="K624" s="4" t="s">
        <v>114</v>
      </c>
      <c r="L624" s="4" t="s">
        <v>115</v>
      </c>
      <c r="M624" s="4" t="s">
        <v>108</v>
      </c>
      <c r="N624" s="4" t="s">
        <v>133</v>
      </c>
      <c r="O624" s="4" t="s">
        <v>134</v>
      </c>
      <c r="P624">
        <v>31</v>
      </c>
      <c r="Q624">
        <v>31</v>
      </c>
      <c r="R624" s="4" t="s">
        <v>158</v>
      </c>
      <c r="S624">
        <v>48.5</v>
      </c>
      <c r="T624">
        <v>1503.5</v>
      </c>
      <c r="U624">
        <v>1355.94</v>
      </c>
      <c r="V624" s="4" t="s">
        <v>30</v>
      </c>
    </row>
    <row r="625" spans="1:22" x14ac:dyDescent="0.2">
      <c r="A625" s="4" t="s">
        <v>809</v>
      </c>
      <c r="B625">
        <v>624</v>
      </c>
      <c r="C625" s="4" t="s">
        <v>26</v>
      </c>
      <c r="D625" s="4" t="s">
        <v>50</v>
      </c>
      <c r="E625" s="4" t="s">
        <v>41</v>
      </c>
      <c r="F625" s="4" t="s">
        <v>2370</v>
      </c>
      <c r="G625">
        <v>15</v>
      </c>
      <c r="H625">
        <v>75</v>
      </c>
      <c r="I625" s="4" t="s">
        <v>2400</v>
      </c>
      <c r="J625" s="4" t="s">
        <v>962</v>
      </c>
      <c r="K625" s="4" t="s">
        <v>116</v>
      </c>
      <c r="L625" s="4" t="s">
        <v>117</v>
      </c>
      <c r="M625" s="4" t="s">
        <v>108</v>
      </c>
      <c r="N625" s="4" t="s">
        <v>125</v>
      </c>
      <c r="O625" s="4" t="s">
        <v>126</v>
      </c>
      <c r="P625">
        <v>31</v>
      </c>
      <c r="Q625">
        <v>31</v>
      </c>
      <c r="R625" s="4" t="s">
        <v>158</v>
      </c>
      <c r="S625">
        <v>79.87</v>
      </c>
      <c r="T625">
        <v>2475.9699999999998</v>
      </c>
      <c r="U625">
        <v>2264.2399999999998</v>
      </c>
      <c r="V625" s="4" t="s">
        <v>30</v>
      </c>
    </row>
    <row r="626" spans="1:22" x14ac:dyDescent="0.2">
      <c r="A626" s="4" t="s">
        <v>810</v>
      </c>
      <c r="B626">
        <v>625</v>
      </c>
      <c r="C626" s="4" t="s">
        <v>26</v>
      </c>
      <c r="D626" s="4" t="s">
        <v>50</v>
      </c>
      <c r="E626" s="4" t="s">
        <v>41</v>
      </c>
      <c r="F626" s="4" t="s">
        <v>2370</v>
      </c>
      <c r="G626">
        <v>15</v>
      </c>
      <c r="H626">
        <v>75</v>
      </c>
      <c r="I626" s="4" t="s">
        <v>2401</v>
      </c>
      <c r="J626" s="4" t="s">
        <v>956</v>
      </c>
      <c r="K626" s="4" t="s">
        <v>116</v>
      </c>
      <c r="L626" s="4" t="s">
        <v>117</v>
      </c>
      <c r="M626" s="4" t="s">
        <v>108</v>
      </c>
      <c r="N626" s="4" t="s">
        <v>129</v>
      </c>
      <c r="O626" s="4" t="s">
        <v>130</v>
      </c>
      <c r="P626">
        <v>24</v>
      </c>
      <c r="Q626">
        <v>24</v>
      </c>
      <c r="R626" s="4" t="s">
        <v>158</v>
      </c>
      <c r="S626">
        <v>91.58</v>
      </c>
      <c r="T626">
        <v>2197.92</v>
      </c>
      <c r="U626">
        <v>2009.52</v>
      </c>
      <c r="V626" s="4" t="s">
        <v>30</v>
      </c>
    </row>
    <row r="627" spans="1:22" x14ac:dyDescent="0.2">
      <c r="A627" s="4" t="s">
        <v>811</v>
      </c>
      <c r="B627">
        <v>626</v>
      </c>
      <c r="C627" s="4" t="s">
        <v>26</v>
      </c>
      <c r="D627" s="4" t="s">
        <v>50</v>
      </c>
      <c r="E627" s="4" t="s">
        <v>41</v>
      </c>
      <c r="F627" s="4" t="s">
        <v>2370</v>
      </c>
      <c r="G627">
        <v>15</v>
      </c>
      <c r="H627">
        <v>75</v>
      </c>
      <c r="I627" s="4" t="s">
        <v>2400</v>
      </c>
      <c r="J627" s="4" t="s">
        <v>956</v>
      </c>
      <c r="K627" s="4" t="s">
        <v>116</v>
      </c>
      <c r="L627" s="4" t="s">
        <v>117</v>
      </c>
      <c r="M627" s="4" t="s">
        <v>108</v>
      </c>
      <c r="N627" s="4" t="s">
        <v>133</v>
      </c>
      <c r="O627" s="4" t="s">
        <v>134</v>
      </c>
      <c r="P627">
        <v>33</v>
      </c>
      <c r="Q627">
        <v>33</v>
      </c>
      <c r="R627" s="4" t="s">
        <v>158</v>
      </c>
      <c r="S627">
        <v>48.5</v>
      </c>
      <c r="T627">
        <v>1600.5</v>
      </c>
      <c r="U627">
        <v>1443.42</v>
      </c>
      <c r="V627" s="4" t="s">
        <v>30</v>
      </c>
    </row>
    <row r="628" spans="1:22" x14ac:dyDescent="0.2">
      <c r="A628" s="4" t="s">
        <v>812</v>
      </c>
      <c r="B628">
        <v>627</v>
      </c>
      <c r="C628" s="4" t="s">
        <v>26</v>
      </c>
      <c r="D628" s="4" t="s">
        <v>50</v>
      </c>
      <c r="E628" s="4" t="s">
        <v>44</v>
      </c>
      <c r="F628" s="4" t="s">
        <v>2403</v>
      </c>
      <c r="G628">
        <v>16</v>
      </c>
      <c r="H628">
        <v>76</v>
      </c>
      <c r="I628" s="4" t="s">
        <v>2427</v>
      </c>
      <c r="J628" s="4" t="s">
        <v>956</v>
      </c>
      <c r="K628" s="4" t="s">
        <v>112</v>
      </c>
      <c r="L628" s="4" t="s">
        <v>113</v>
      </c>
      <c r="M628" s="4" t="s">
        <v>108</v>
      </c>
      <c r="N628" s="4" t="s">
        <v>133</v>
      </c>
      <c r="O628" s="4" t="s">
        <v>134</v>
      </c>
      <c r="P628">
        <v>8</v>
      </c>
      <c r="Q628">
        <v>8</v>
      </c>
      <c r="R628" s="4" t="s">
        <v>158</v>
      </c>
      <c r="S628">
        <v>48.5</v>
      </c>
      <c r="T628">
        <v>388</v>
      </c>
      <c r="U628">
        <v>349.92</v>
      </c>
      <c r="V628" s="4" t="s">
        <v>30</v>
      </c>
    </row>
    <row r="629" spans="1:22" x14ac:dyDescent="0.2">
      <c r="A629" s="4" t="s">
        <v>813</v>
      </c>
      <c r="B629">
        <v>628</v>
      </c>
      <c r="C629" s="4" t="s">
        <v>26</v>
      </c>
      <c r="D629" s="4" t="s">
        <v>50</v>
      </c>
      <c r="E629" s="4" t="s">
        <v>44</v>
      </c>
      <c r="F629" s="4" t="s">
        <v>2403</v>
      </c>
      <c r="G629">
        <v>16</v>
      </c>
      <c r="H629">
        <v>76</v>
      </c>
      <c r="I629" s="4" t="s">
        <v>2428</v>
      </c>
      <c r="J629" s="4" t="s">
        <v>956</v>
      </c>
      <c r="K629" s="4" t="s">
        <v>114</v>
      </c>
      <c r="L629" s="4" t="s">
        <v>115</v>
      </c>
      <c r="M629" s="4" t="s">
        <v>108</v>
      </c>
      <c r="N629" s="4" t="s">
        <v>122</v>
      </c>
      <c r="O629" s="4" t="s">
        <v>123</v>
      </c>
      <c r="P629">
        <v>44</v>
      </c>
      <c r="Q629">
        <v>44</v>
      </c>
      <c r="R629" s="4" t="s">
        <v>158</v>
      </c>
      <c r="S629">
        <v>28.18</v>
      </c>
      <c r="T629">
        <v>1239.92</v>
      </c>
      <c r="U629">
        <v>1023.44</v>
      </c>
      <c r="V629" s="4" t="s">
        <v>30</v>
      </c>
    </row>
    <row r="630" spans="1:22" x14ac:dyDescent="0.2">
      <c r="A630" s="4" t="s">
        <v>814</v>
      </c>
      <c r="B630">
        <v>629</v>
      </c>
      <c r="C630" s="4" t="s">
        <v>26</v>
      </c>
      <c r="D630" s="4" t="s">
        <v>50</v>
      </c>
      <c r="E630" s="4" t="s">
        <v>44</v>
      </c>
      <c r="F630" s="4" t="s">
        <v>2403</v>
      </c>
      <c r="G630">
        <v>16</v>
      </c>
      <c r="H630">
        <v>76</v>
      </c>
      <c r="I630" s="4" t="s">
        <v>2428</v>
      </c>
      <c r="J630" s="4" t="s">
        <v>962</v>
      </c>
      <c r="K630" s="4" t="s">
        <v>114</v>
      </c>
      <c r="L630" s="4" t="s">
        <v>115</v>
      </c>
      <c r="M630" s="4" t="s">
        <v>108</v>
      </c>
      <c r="N630" s="4" t="s">
        <v>125</v>
      </c>
      <c r="O630" s="4" t="s">
        <v>126</v>
      </c>
      <c r="P630">
        <v>27</v>
      </c>
      <c r="Q630">
        <v>27</v>
      </c>
      <c r="R630" s="4" t="s">
        <v>158</v>
      </c>
      <c r="S630">
        <v>79.87</v>
      </c>
      <c r="T630">
        <v>2156.4899999999998</v>
      </c>
      <c r="U630">
        <v>1972.08</v>
      </c>
      <c r="V630" s="4" t="s">
        <v>30</v>
      </c>
    </row>
    <row r="631" spans="1:22" x14ac:dyDescent="0.2">
      <c r="A631" s="4" t="s">
        <v>815</v>
      </c>
      <c r="B631">
        <v>630</v>
      </c>
      <c r="C631" s="4" t="s">
        <v>26</v>
      </c>
      <c r="D631" s="4" t="s">
        <v>50</v>
      </c>
      <c r="E631" s="4" t="s">
        <v>44</v>
      </c>
      <c r="F631" s="4" t="s">
        <v>2403</v>
      </c>
      <c r="G631">
        <v>16</v>
      </c>
      <c r="H631">
        <v>76</v>
      </c>
      <c r="I631" s="4" t="s">
        <v>2428</v>
      </c>
      <c r="J631" s="4" t="s">
        <v>956</v>
      </c>
      <c r="K631" s="4" t="s">
        <v>114</v>
      </c>
      <c r="L631" s="4" t="s">
        <v>115</v>
      </c>
      <c r="M631" s="4" t="s">
        <v>108</v>
      </c>
      <c r="N631" s="4" t="s">
        <v>127</v>
      </c>
      <c r="O631" s="4" t="s">
        <v>128</v>
      </c>
      <c r="P631">
        <v>69</v>
      </c>
      <c r="Q631">
        <v>69</v>
      </c>
      <c r="R631" s="4" t="s">
        <v>158</v>
      </c>
      <c r="S631">
        <v>31.45</v>
      </c>
      <c r="T631">
        <v>2170.0500000000002</v>
      </c>
      <c r="U631">
        <v>1808.49</v>
      </c>
      <c r="V631" s="4" t="s">
        <v>30</v>
      </c>
    </row>
    <row r="632" spans="1:22" x14ac:dyDescent="0.2">
      <c r="A632" s="4" t="s">
        <v>816</v>
      </c>
      <c r="B632">
        <v>631</v>
      </c>
      <c r="C632" s="4" t="s">
        <v>26</v>
      </c>
      <c r="D632" s="4" t="s">
        <v>50</v>
      </c>
      <c r="E632" s="4" t="s">
        <v>44</v>
      </c>
      <c r="F632" s="4" t="s">
        <v>2403</v>
      </c>
      <c r="G632">
        <v>16</v>
      </c>
      <c r="H632">
        <v>76</v>
      </c>
      <c r="I632" s="4" t="s">
        <v>2428</v>
      </c>
      <c r="J632" s="4" t="s">
        <v>1005</v>
      </c>
      <c r="K632" s="4" t="s">
        <v>114</v>
      </c>
      <c r="L632" s="4" t="s">
        <v>115</v>
      </c>
      <c r="M632" s="4" t="s">
        <v>108</v>
      </c>
      <c r="N632" s="4" t="s">
        <v>129</v>
      </c>
      <c r="O632" s="4" t="s">
        <v>130</v>
      </c>
      <c r="P632">
        <v>21</v>
      </c>
      <c r="Q632">
        <v>21</v>
      </c>
      <c r="R632" s="4" t="s">
        <v>158</v>
      </c>
      <c r="S632">
        <v>91.58</v>
      </c>
      <c r="T632">
        <v>1923.18</v>
      </c>
      <c r="U632">
        <v>1758.33</v>
      </c>
      <c r="V632" s="4" t="s">
        <v>30</v>
      </c>
    </row>
    <row r="633" spans="1:22" x14ac:dyDescent="0.2">
      <c r="A633" s="4" t="s">
        <v>817</v>
      </c>
      <c r="B633">
        <v>632</v>
      </c>
      <c r="C633" s="4" t="s">
        <v>26</v>
      </c>
      <c r="D633" s="4" t="s">
        <v>50</v>
      </c>
      <c r="E633" s="4" t="s">
        <v>44</v>
      </c>
      <c r="F633" s="4" t="s">
        <v>2403</v>
      </c>
      <c r="G633">
        <v>16</v>
      </c>
      <c r="H633">
        <v>76</v>
      </c>
      <c r="I633" s="4" t="s">
        <v>2428</v>
      </c>
      <c r="J633" s="4" t="s">
        <v>967</v>
      </c>
      <c r="K633" s="4" t="s">
        <v>114</v>
      </c>
      <c r="L633" s="4" t="s">
        <v>115</v>
      </c>
      <c r="M633" s="4" t="s">
        <v>108</v>
      </c>
      <c r="N633" s="4" t="s">
        <v>129</v>
      </c>
      <c r="O633" s="4" t="s">
        <v>130</v>
      </c>
      <c r="P633">
        <v>16</v>
      </c>
      <c r="Q633">
        <v>16</v>
      </c>
      <c r="R633" s="4" t="s">
        <v>158</v>
      </c>
      <c r="S633">
        <v>91.58</v>
      </c>
      <c r="T633">
        <v>1465.28</v>
      </c>
      <c r="U633">
        <v>1339.68</v>
      </c>
      <c r="V633" s="4" t="s">
        <v>30</v>
      </c>
    </row>
    <row r="634" spans="1:22" x14ac:dyDescent="0.2">
      <c r="A634" s="4" t="s">
        <v>818</v>
      </c>
      <c r="B634">
        <v>633</v>
      </c>
      <c r="C634" s="4" t="s">
        <v>26</v>
      </c>
      <c r="D634" s="4" t="s">
        <v>50</v>
      </c>
      <c r="E634" s="4" t="s">
        <v>44</v>
      </c>
      <c r="F634" s="4" t="s">
        <v>2403</v>
      </c>
      <c r="G634">
        <v>16</v>
      </c>
      <c r="H634">
        <v>76</v>
      </c>
      <c r="I634" s="4" t="s">
        <v>2428</v>
      </c>
      <c r="J634" s="4" t="s">
        <v>964</v>
      </c>
      <c r="K634" s="4" t="s">
        <v>114</v>
      </c>
      <c r="L634" s="4" t="s">
        <v>115</v>
      </c>
      <c r="M634" s="4" t="s">
        <v>108</v>
      </c>
      <c r="N634" s="4" t="s">
        <v>131</v>
      </c>
      <c r="O634" s="4" t="s">
        <v>132</v>
      </c>
      <c r="P634">
        <v>26</v>
      </c>
      <c r="Q634">
        <v>26</v>
      </c>
      <c r="R634" s="4" t="s">
        <v>158</v>
      </c>
      <c r="S634">
        <v>67.069999999999993</v>
      </c>
      <c r="T634">
        <v>1743.82</v>
      </c>
      <c r="U634">
        <v>1577.94</v>
      </c>
      <c r="V634" s="4" t="s">
        <v>30</v>
      </c>
    </row>
    <row r="635" spans="1:22" x14ac:dyDescent="0.2">
      <c r="A635" s="4" t="s">
        <v>819</v>
      </c>
      <c r="B635">
        <v>634</v>
      </c>
      <c r="C635" s="4" t="s">
        <v>26</v>
      </c>
      <c r="D635" s="4" t="s">
        <v>50</v>
      </c>
      <c r="E635" s="4" t="s">
        <v>44</v>
      </c>
      <c r="F635" s="4" t="s">
        <v>2403</v>
      </c>
      <c r="G635">
        <v>16</v>
      </c>
      <c r="H635">
        <v>76</v>
      </c>
      <c r="I635" s="4" t="s">
        <v>2429</v>
      </c>
      <c r="J635" s="4" t="s">
        <v>964</v>
      </c>
      <c r="K635" s="4" t="s">
        <v>116</v>
      </c>
      <c r="L635" s="4" t="s">
        <v>117</v>
      </c>
      <c r="M635" s="4" t="s">
        <v>108</v>
      </c>
      <c r="N635" s="4" t="s">
        <v>122</v>
      </c>
      <c r="O635" s="4" t="s">
        <v>123</v>
      </c>
      <c r="P635">
        <v>77</v>
      </c>
      <c r="Q635">
        <v>77</v>
      </c>
      <c r="R635" s="4" t="s">
        <v>158</v>
      </c>
      <c r="S635">
        <v>28.18</v>
      </c>
      <c r="T635">
        <v>2169.86</v>
      </c>
      <c r="U635">
        <v>1791.02</v>
      </c>
      <c r="V635" s="4" t="s">
        <v>30</v>
      </c>
    </row>
    <row r="636" spans="1:22" x14ac:dyDescent="0.2">
      <c r="A636" s="4" t="s">
        <v>820</v>
      </c>
      <c r="B636">
        <v>635</v>
      </c>
      <c r="C636" s="4" t="s">
        <v>26</v>
      </c>
      <c r="D636" s="4" t="s">
        <v>50</v>
      </c>
      <c r="E636" s="4" t="s">
        <v>44</v>
      </c>
      <c r="F636" s="4" t="s">
        <v>2403</v>
      </c>
      <c r="G636">
        <v>16</v>
      </c>
      <c r="H636">
        <v>76</v>
      </c>
      <c r="I636" s="4" t="s">
        <v>2429</v>
      </c>
      <c r="J636" s="4" t="s">
        <v>962</v>
      </c>
      <c r="K636" s="4" t="s">
        <v>116</v>
      </c>
      <c r="L636" s="4" t="s">
        <v>117</v>
      </c>
      <c r="M636" s="4" t="s">
        <v>108</v>
      </c>
      <c r="N636" s="4" t="s">
        <v>125</v>
      </c>
      <c r="O636" s="4" t="s">
        <v>126</v>
      </c>
      <c r="P636">
        <v>19</v>
      </c>
      <c r="Q636">
        <v>19</v>
      </c>
      <c r="R636" s="4" t="s">
        <v>158</v>
      </c>
      <c r="S636">
        <v>79.87</v>
      </c>
      <c r="T636">
        <v>1517.53</v>
      </c>
      <c r="U636">
        <v>1387.76</v>
      </c>
      <c r="V636" s="4" t="s">
        <v>30</v>
      </c>
    </row>
    <row r="637" spans="1:22" x14ac:dyDescent="0.2">
      <c r="A637" s="4" t="s">
        <v>821</v>
      </c>
      <c r="B637">
        <v>636</v>
      </c>
      <c r="C637" s="4" t="s">
        <v>26</v>
      </c>
      <c r="D637" s="4" t="s">
        <v>50</v>
      </c>
      <c r="E637" s="4" t="s">
        <v>44</v>
      </c>
      <c r="F637" s="4" t="s">
        <v>2403</v>
      </c>
      <c r="G637">
        <v>16</v>
      </c>
      <c r="H637">
        <v>76</v>
      </c>
      <c r="I637" s="4" t="s">
        <v>2429</v>
      </c>
      <c r="J637" s="4" t="s">
        <v>967</v>
      </c>
      <c r="K637" s="4" t="s">
        <v>116</v>
      </c>
      <c r="L637" s="4" t="s">
        <v>117</v>
      </c>
      <c r="M637" s="4" t="s">
        <v>108</v>
      </c>
      <c r="N637" s="4" t="s">
        <v>127</v>
      </c>
      <c r="O637" s="4" t="s">
        <v>128</v>
      </c>
      <c r="P637">
        <v>57</v>
      </c>
      <c r="Q637">
        <v>57</v>
      </c>
      <c r="R637" s="4" t="s">
        <v>158</v>
      </c>
      <c r="S637">
        <v>31.45</v>
      </c>
      <c r="T637">
        <v>1792.65</v>
      </c>
      <c r="U637">
        <v>1493.97</v>
      </c>
      <c r="V637" s="4" t="s">
        <v>30</v>
      </c>
    </row>
    <row r="638" spans="1:22" x14ac:dyDescent="0.2">
      <c r="A638" s="4" t="s">
        <v>822</v>
      </c>
      <c r="B638">
        <v>637</v>
      </c>
      <c r="C638" s="4" t="s">
        <v>26</v>
      </c>
      <c r="D638" s="4" t="s">
        <v>50</v>
      </c>
      <c r="E638" s="4" t="s">
        <v>44</v>
      </c>
      <c r="F638" s="4" t="s">
        <v>2403</v>
      </c>
      <c r="G638">
        <v>16</v>
      </c>
      <c r="H638">
        <v>76</v>
      </c>
      <c r="I638" s="4" t="s">
        <v>2429</v>
      </c>
      <c r="J638" s="4" t="s">
        <v>956</v>
      </c>
      <c r="K638" s="4" t="s">
        <v>116</v>
      </c>
      <c r="L638" s="4" t="s">
        <v>117</v>
      </c>
      <c r="M638" s="4" t="s">
        <v>108</v>
      </c>
      <c r="N638" s="4" t="s">
        <v>129</v>
      </c>
      <c r="O638" s="4" t="s">
        <v>130</v>
      </c>
      <c r="P638">
        <v>24</v>
      </c>
      <c r="Q638">
        <v>24</v>
      </c>
      <c r="R638" s="4" t="s">
        <v>158</v>
      </c>
      <c r="S638">
        <v>91.58</v>
      </c>
      <c r="T638">
        <v>2197.92</v>
      </c>
      <c r="U638">
        <v>2009.52</v>
      </c>
      <c r="V638" s="4" t="s">
        <v>30</v>
      </c>
    </row>
    <row r="639" spans="1:22" x14ac:dyDescent="0.2">
      <c r="A639" s="4" t="s">
        <v>823</v>
      </c>
      <c r="B639">
        <v>638</v>
      </c>
      <c r="C639" s="4" t="s">
        <v>26</v>
      </c>
      <c r="D639" s="4" t="s">
        <v>50</v>
      </c>
      <c r="E639" s="4" t="s">
        <v>44</v>
      </c>
      <c r="F639" s="4" t="s">
        <v>2403</v>
      </c>
      <c r="G639">
        <v>16</v>
      </c>
      <c r="H639">
        <v>76</v>
      </c>
      <c r="I639" s="4" t="s">
        <v>2430</v>
      </c>
      <c r="J639" s="4" t="s">
        <v>967</v>
      </c>
      <c r="K639" s="4" t="s">
        <v>116</v>
      </c>
      <c r="L639" s="4" t="s">
        <v>117</v>
      </c>
      <c r="M639" s="4" t="s">
        <v>108</v>
      </c>
      <c r="N639" s="4" t="s">
        <v>129</v>
      </c>
      <c r="O639" s="4" t="s">
        <v>130</v>
      </c>
      <c r="P639">
        <v>11</v>
      </c>
      <c r="Q639">
        <v>11</v>
      </c>
      <c r="R639" s="4" t="s">
        <v>158</v>
      </c>
      <c r="S639">
        <v>91.58</v>
      </c>
      <c r="T639">
        <v>1007.38</v>
      </c>
      <c r="U639">
        <v>921.03</v>
      </c>
      <c r="V639" s="4" t="s">
        <v>30</v>
      </c>
    </row>
    <row r="640" spans="1:22" x14ac:dyDescent="0.2">
      <c r="A640" s="4" t="s">
        <v>824</v>
      </c>
      <c r="B640">
        <v>639</v>
      </c>
      <c r="C640" s="4" t="s">
        <v>26</v>
      </c>
      <c r="D640" s="4" t="s">
        <v>50</v>
      </c>
      <c r="E640" s="4" t="s">
        <v>44</v>
      </c>
      <c r="F640" s="4" t="s">
        <v>2403</v>
      </c>
      <c r="G640">
        <v>16</v>
      </c>
      <c r="H640">
        <v>76</v>
      </c>
      <c r="I640" s="4" t="s">
        <v>2429</v>
      </c>
      <c r="J640" s="4" t="s">
        <v>1005</v>
      </c>
      <c r="K640" s="4" t="s">
        <v>116</v>
      </c>
      <c r="L640" s="4" t="s">
        <v>117</v>
      </c>
      <c r="M640" s="4" t="s">
        <v>108</v>
      </c>
      <c r="N640" s="4" t="s">
        <v>129</v>
      </c>
      <c r="O640" s="4" t="s">
        <v>130</v>
      </c>
      <c r="P640">
        <v>26</v>
      </c>
      <c r="Q640">
        <v>26</v>
      </c>
      <c r="R640" s="4" t="s">
        <v>158</v>
      </c>
      <c r="S640">
        <v>91.58</v>
      </c>
      <c r="T640">
        <v>2381.08</v>
      </c>
      <c r="U640">
        <v>2176.98</v>
      </c>
      <c r="V640" s="4" t="s">
        <v>30</v>
      </c>
    </row>
    <row r="641" spans="1:22" x14ac:dyDescent="0.2">
      <c r="A641" s="4" t="s">
        <v>825</v>
      </c>
      <c r="B641">
        <v>640</v>
      </c>
      <c r="C641" s="4" t="s">
        <v>26</v>
      </c>
      <c r="D641" s="4" t="s">
        <v>50</v>
      </c>
      <c r="E641" s="4" t="s">
        <v>44</v>
      </c>
      <c r="F641" s="4" t="s">
        <v>2403</v>
      </c>
      <c r="G641">
        <v>16</v>
      </c>
      <c r="H641">
        <v>76</v>
      </c>
      <c r="I641" s="4" t="s">
        <v>2430</v>
      </c>
      <c r="J641" s="4" t="s">
        <v>964</v>
      </c>
      <c r="K641" s="4" t="s">
        <v>116</v>
      </c>
      <c r="L641" s="4" t="s">
        <v>117</v>
      </c>
      <c r="M641" s="4" t="s">
        <v>108</v>
      </c>
      <c r="N641" s="4" t="s">
        <v>129</v>
      </c>
      <c r="O641" s="4" t="s">
        <v>130</v>
      </c>
      <c r="P641">
        <v>18</v>
      </c>
      <c r="Q641">
        <v>18</v>
      </c>
      <c r="R641" s="4" t="s">
        <v>158</v>
      </c>
      <c r="S641">
        <v>91.58</v>
      </c>
      <c r="T641">
        <v>1648.44</v>
      </c>
      <c r="U641">
        <v>1507.14</v>
      </c>
      <c r="V641" s="4" t="s">
        <v>30</v>
      </c>
    </row>
    <row r="642" spans="1:22" x14ac:dyDescent="0.2">
      <c r="A642" s="4" t="s">
        <v>826</v>
      </c>
      <c r="B642">
        <v>641</v>
      </c>
      <c r="C642" s="4" t="s">
        <v>26</v>
      </c>
      <c r="D642" s="4" t="s">
        <v>50</v>
      </c>
      <c r="E642" s="4" t="s">
        <v>44</v>
      </c>
      <c r="F642" s="4" t="s">
        <v>2403</v>
      </c>
      <c r="G642">
        <v>16</v>
      </c>
      <c r="H642">
        <v>76</v>
      </c>
      <c r="I642" s="4" t="s">
        <v>2430</v>
      </c>
      <c r="J642" s="4" t="s">
        <v>962</v>
      </c>
      <c r="K642" s="4" t="s">
        <v>116</v>
      </c>
      <c r="L642" s="4" t="s">
        <v>117</v>
      </c>
      <c r="M642" s="4" t="s">
        <v>108</v>
      </c>
      <c r="N642" s="4" t="s">
        <v>129</v>
      </c>
      <c r="O642" s="4" t="s">
        <v>130</v>
      </c>
      <c r="P642">
        <v>20</v>
      </c>
      <c r="Q642">
        <v>20</v>
      </c>
      <c r="R642" s="4" t="s">
        <v>158</v>
      </c>
      <c r="S642">
        <v>91.58</v>
      </c>
      <c r="T642">
        <v>1831.6</v>
      </c>
      <c r="U642">
        <v>1674.6</v>
      </c>
      <c r="V642" s="4" t="s">
        <v>30</v>
      </c>
    </row>
    <row r="643" spans="1:22" x14ac:dyDescent="0.2">
      <c r="A643" s="4" t="s">
        <v>827</v>
      </c>
      <c r="B643">
        <v>642</v>
      </c>
      <c r="C643" s="4" t="s">
        <v>26</v>
      </c>
      <c r="D643" s="4" t="s">
        <v>50</v>
      </c>
      <c r="E643" s="4" t="s">
        <v>44</v>
      </c>
      <c r="F643" s="4" t="s">
        <v>2403</v>
      </c>
      <c r="G643">
        <v>16</v>
      </c>
      <c r="H643">
        <v>76</v>
      </c>
      <c r="I643" s="4" t="s">
        <v>2430</v>
      </c>
      <c r="J643" s="4" t="s">
        <v>956</v>
      </c>
      <c r="K643" s="4" t="s">
        <v>116</v>
      </c>
      <c r="L643" s="4" t="s">
        <v>117</v>
      </c>
      <c r="M643" s="4" t="s">
        <v>108</v>
      </c>
      <c r="N643" s="4" t="s">
        <v>131</v>
      </c>
      <c r="O643" s="4" t="s">
        <v>132</v>
      </c>
      <c r="P643">
        <v>30</v>
      </c>
      <c r="Q643">
        <v>30</v>
      </c>
      <c r="R643" s="4" t="s">
        <v>158</v>
      </c>
      <c r="S643">
        <v>67.069999999999993</v>
      </c>
      <c r="T643">
        <v>2012.1</v>
      </c>
      <c r="U643">
        <v>1820.7</v>
      </c>
      <c r="V643" s="4" t="s">
        <v>30</v>
      </c>
    </row>
    <row r="644" spans="1:22" x14ac:dyDescent="0.2">
      <c r="A644" s="4" t="s">
        <v>828</v>
      </c>
      <c r="B644">
        <v>643</v>
      </c>
      <c r="C644" s="4" t="s">
        <v>26</v>
      </c>
      <c r="D644" s="4" t="s">
        <v>50</v>
      </c>
      <c r="E644" s="4" t="s">
        <v>47</v>
      </c>
      <c r="F644" s="4" t="s">
        <v>2395</v>
      </c>
      <c r="G644">
        <v>16</v>
      </c>
      <c r="H644">
        <v>77</v>
      </c>
      <c r="I644" s="4" t="s">
        <v>2455</v>
      </c>
      <c r="J644" s="4" t="s">
        <v>962</v>
      </c>
      <c r="K644" s="4" t="s">
        <v>112</v>
      </c>
      <c r="L644" s="4" t="s">
        <v>113</v>
      </c>
      <c r="M644" s="4" t="s">
        <v>108</v>
      </c>
      <c r="N644" s="4" t="s">
        <v>122</v>
      </c>
      <c r="O644" s="4" t="s">
        <v>123</v>
      </c>
      <c r="P644">
        <v>77</v>
      </c>
      <c r="Q644">
        <v>77</v>
      </c>
      <c r="R644" s="4" t="s">
        <v>158</v>
      </c>
      <c r="S644">
        <v>28.18</v>
      </c>
      <c r="T644">
        <v>2169.86</v>
      </c>
      <c r="U644">
        <v>1789.48</v>
      </c>
      <c r="V644" s="4" t="s">
        <v>30</v>
      </c>
    </row>
    <row r="645" spans="1:22" x14ac:dyDescent="0.2">
      <c r="A645" s="4" t="s">
        <v>829</v>
      </c>
      <c r="B645">
        <v>644</v>
      </c>
      <c r="C645" s="4" t="s">
        <v>26</v>
      </c>
      <c r="D645" s="4" t="s">
        <v>50</v>
      </c>
      <c r="E645" s="4" t="s">
        <v>47</v>
      </c>
      <c r="F645" s="4" t="s">
        <v>2395</v>
      </c>
      <c r="G645">
        <v>16</v>
      </c>
      <c r="H645">
        <v>77</v>
      </c>
      <c r="I645" s="4" t="s">
        <v>2455</v>
      </c>
      <c r="J645" s="4" t="s">
        <v>964</v>
      </c>
      <c r="K645" s="4" t="s">
        <v>112</v>
      </c>
      <c r="L645" s="4" t="s">
        <v>113</v>
      </c>
      <c r="M645" s="4" t="s">
        <v>108</v>
      </c>
      <c r="N645" s="4" t="s">
        <v>127</v>
      </c>
      <c r="O645" s="4" t="s">
        <v>128</v>
      </c>
      <c r="P645">
        <v>49</v>
      </c>
      <c r="Q645">
        <v>49</v>
      </c>
      <c r="R645" s="4" t="s">
        <v>158</v>
      </c>
      <c r="S645">
        <v>31.45</v>
      </c>
      <c r="T645">
        <v>1541.05</v>
      </c>
      <c r="U645">
        <v>1283.31</v>
      </c>
      <c r="V645" s="4" t="s">
        <v>30</v>
      </c>
    </row>
    <row r="646" spans="1:22" x14ac:dyDescent="0.2">
      <c r="A646" s="4" t="s">
        <v>830</v>
      </c>
      <c r="B646">
        <v>645</v>
      </c>
      <c r="C646" s="4" t="s">
        <v>26</v>
      </c>
      <c r="D646" s="4" t="s">
        <v>50</v>
      </c>
      <c r="E646" s="4" t="s">
        <v>47</v>
      </c>
      <c r="F646" s="4" t="s">
        <v>2395</v>
      </c>
      <c r="G646">
        <v>16</v>
      </c>
      <c r="H646">
        <v>77</v>
      </c>
      <c r="I646" s="4" t="s">
        <v>2455</v>
      </c>
      <c r="J646" s="4" t="s">
        <v>956</v>
      </c>
      <c r="K646" s="4" t="s">
        <v>112</v>
      </c>
      <c r="L646" s="4" t="s">
        <v>113</v>
      </c>
      <c r="M646" s="4" t="s">
        <v>108</v>
      </c>
      <c r="N646" s="4" t="s">
        <v>133</v>
      </c>
      <c r="O646" s="4" t="s">
        <v>134</v>
      </c>
      <c r="P646">
        <v>45</v>
      </c>
      <c r="Q646">
        <v>45</v>
      </c>
      <c r="R646" s="4" t="s">
        <v>158</v>
      </c>
      <c r="S646">
        <v>48.5</v>
      </c>
      <c r="T646">
        <v>2182.5</v>
      </c>
      <c r="U646">
        <v>1966.5</v>
      </c>
      <c r="V646" s="4" t="s">
        <v>30</v>
      </c>
    </row>
    <row r="647" spans="1:22" x14ac:dyDescent="0.2">
      <c r="A647" s="4" t="s">
        <v>831</v>
      </c>
      <c r="B647">
        <v>646</v>
      </c>
      <c r="C647" s="4" t="s">
        <v>26</v>
      </c>
      <c r="D647" s="4" t="s">
        <v>50</v>
      </c>
      <c r="E647" s="4" t="s">
        <v>47</v>
      </c>
      <c r="F647" s="4" t="s">
        <v>2395</v>
      </c>
      <c r="G647">
        <v>16</v>
      </c>
      <c r="H647">
        <v>77</v>
      </c>
      <c r="I647" s="4" t="s">
        <v>2456</v>
      </c>
      <c r="J647" s="4" t="s">
        <v>964</v>
      </c>
      <c r="K647" s="4" t="s">
        <v>114</v>
      </c>
      <c r="L647" s="4" t="s">
        <v>115</v>
      </c>
      <c r="M647" s="4" t="s">
        <v>108</v>
      </c>
      <c r="N647" s="4" t="s">
        <v>127</v>
      </c>
      <c r="O647" s="4" t="s">
        <v>128</v>
      </c>
      <c r="P647">
        <v>53</v>
      </c>
      <c r="Q647">
        <v>53</v>
      </c>
      <c r="R647" s="4" t="s">
        <v>158</v>
      </c>
      <c r="S647">
        <v>31.45</v>
      </c>
      <c r="T647">
        <v>1666.85</v>
      </c>
      <c r="U647">
        <v>1388.07</v>
      </c>
      <c r="V647" s="4" t="s">
        <v>30</v>
      </c>
    </row>
    <row r="648" spans="1:22" x14ac:dyDescent="0.2">
      <c r="A648" s="4" t="s">
        <v>832</v>
      </c>
      <c r="B648">
        <v>647</v>
      </c>
      <c r="C648" s="4" t="s">
        <v>26</v>
      </c>
      <c r="D648" s="4" t="s">
        <v>50</v>
      </c>
      <c r="E648" s="4" t="s">
        <v>47</v>
      </c>
      <c r="F648" s="4" t="s">
        <v>2395</v>
      </c>
      <c r="G648">
        <v>16</v>
      </c>
      <c r="H648">
        <v>77</v>
      </c>
      <c r="I648" s="4" t="s">
        <v>2456</v>
      </c>
      <c r="J648" s="4" t="s">
        <v>956</v>
      </c>
      <c r="K648" s="4" t="s">
        <v>114</v>
      </c>
      <c r="L648" s="4" t="s">
        <v>115</v>
      </c>
      <c r="M648" s="4" t="s">
        <v>108</v>
      </c>
      <c r="N648" s="4" t="s">
        <v>127</v>
      </c>
      <c r="O648" s="4" t="s">
        <v>128</v>
      </c>
      <c r="P648">
        <v>71</v>
      </c>
      <c r="Q648">
        <v>71</v>
      </c>
      <c r="R648" s="4" t="s">
        <v>158</v>
      </c>
      <c r="S648">
        <v>31.45</v>
      </c>
      <c r="T648">
        <v>2232.9499999999998</v>
      </c>
      <c r="U648">
        <v>1859.49</v>
      </c>
      <c r="V648" s="4" t="s">
        <v>30</v>
      </c>
    </row>
    <row r="649" spans="1:22" x14ac:dyDescent="0.2">
      <c r="A649" s="4" t="s">
        <v>833</v>
      </c>
      <c r="B649">
        <v>648</v>
      </c>
      <c r="C649" s="4" t="s">
        <v>26</v>
      </c>
      <c r="D649" s="4" t="s">
        <v>50</v>
      </c>
      <c r="E649" s="4" t="s">
        <v>47</v>
      </c>
      <c r="F649" s="4" t="s">
        <v>2395</v>
      </c>
      <c r="G649">
        <v>16</v>
      </c>
      <c r="H649">
        <v>77</v>
      </c>
      <c r="I649" s="4" t="s">
        <v>2456</v>
      </c>
      <c r="J649" s="4" t="s">
        <v>962</v>
      </c>
      <c r="K649" s="4" t="s">
        <v>114</v>
      </c>
      <c r="L649" s="4" t="s">
        <v>115</v>
      </c>
      <c r="M649" s="4" t="s">
        <v>108</v>
      </c>
      <c r="N649" s="4" t="s">
        <v>131</v>
      </c>
      <c r="O649" s="4" t="s">
        <v>132</v>
      </c>
      <c r="P649">
        <v>28</v>
      </c>
      <c r="Q649">
        <v>28</v>
      </c>
      <c r="R649" s="4" t="s">
        <v>158</v>
      </c>
      <c r="S649">
        <v>67.069999999999993</v>
      </c>
      <c r="T649">
        <v>1877.96</v>
      </c>
      <c r="U649">
        <v>1697.92</v>
      </c>
      <c r="V649" s="4" t="s">
        <v>30</v>
      </c>
    </row>
    <row r="650" spans="1:22" x14ac:dyDescent="0.2">
      <c r="A650" s="4" t="s">
        <v>834</v>
      </c>
      <c r="B650">
        <v>649</v>
      </c>
      <c r="C650" s="4" t="s">
        <v>26</v>
      </c>
      <c r="D650" s="4" t="s">
        <v>50</v>
      </c>
      <c r="E650" s="4" t="s">
        <v>50</v>
      </c>
      <c r="F650" s="4" t="s">
        <v>2458</v>
      </c>
      <c r="G650">
        <v>16</v>
      </c>
      <c r="H650">
        <v>78</v>
      </c>
      <c r="I650" s="4" t="s">
        <v>2483</v>
      </c>
      <c r="J650" s="4" t="s">
        <v>956</v>
      </c>
      <c r="K650" s="4" t="s">
        <v>112</v>
      </c>
      <c r="L650" s="4" t="s">
        <v>113</v>
      </c>
      <c r="M650" s="4" t="s">
        <v>108</v>
      </c>
      <c r="N650" s="4" t="s">
        <v>122</v>
      </c>
      <c r="O650" s="4" t="s">
        <v>123</v>
      </c>
      <c r="P650">
        <v>79</v>
      </c>
      <c r="Q650">
        <v>79</v>
      </c>
      <c r="R650" s="4" t="s">
        <v>158</v>
      </c>
      <c r="S650">
        <v>28.18</v>
      </c>
      <c r="T650">
        <v>2226.2199999999998</v>
      </c>
      <c r="U650">
        <v>1835.96</v>
      </c>
      <c r="V650" s="4" t="s">
        <v>30</v>
      </c>
    </row>
    <row r="651" spans="1:22" x14ac:dyDescent="0.2">
      <c r="A651" s="4" t="s">
        <v>835</v>
      </c>
      <c r="B651">
        <v>650</v>
      </c>
      <c r="C651" s="4" t="s">
        <v>26</v>
      </c>
      <c r="D651" s="4" t="s">
        <v>50</v>
      </c>
      <c r="E651" s="4" t="s">
        <v>50</v>
      </c>
      <c r="F651" s="4" t="s">
        <v>2458</v>
      </c>
      <c r="G651">
        <v>16</v>
      </c>
      <c r="H651">
        <v>78</v>
      </c>
      <c r="I651" s="4" t="s">
        <v>2482</v>
      </c>
      <c r="J651" s="4" t="s">
        <v>956</v>
      </c>
      <c r="K651" s="4" t="s">
        <v>112</v>
      </c>
      <c r="L651" s="4" t="s">
        <v>113</v>
      </c>
      <c r="M651" s="4" t="s">
        <v>108</v>
      </c>
      <c r="N651" s="4" t="s">
        <v>122</v>
      </c>
      <c r="O651" s="4" t="s">
        <v>123</v>
      </c>
      <c r="P651">
        <v>79</v>
      </c>
      <c r="Q651">
        <v>79</v>
      </c>
      <c r="R651" s="4" t="s">
        <v>158</v>
      </c>
      <c r="S651">
        <v>28.18</v>
      </c>
      <c r="T651">
        <v>2226.2199999999998</v>
      </c>
      <c r="U651">
        <v>1835.96</v>
      </c>
      <c r="V651" s="4" t="s">
        <v>30</v>
      </c>
    </row>
    <row r="652" spans="1:22" x14ac:dyDescent="0.2">
      <c r="A652" s="4" t="s">
        <v>836</v>
      </c>
      <c r="B652">
        <v>651</v>
      </c>
      <c r="C652" s="4" t="s">
        <v>26</v>
      </c>
      <c r="D652" s="4" t="s">
        <v>50</v>
      </c>
      <c r="E652" s="4" t="s">
        <v>50</v>
      </c>
      <c r="F652" s="4" t="s">
        <v>2458</v>
      </c>
      <c r="G652">
        <v>16</v>
      </c>
      <c r="H652">
        <v>78</v>
      </c>
      <c r="I652" s="4" t="s">
        <v>2482</v>
      </c>
      <c r="J652" s="4" t="s">
        <v>1005</v>
      </c>
      <c r="K652" s="4" t="s">
        <v>112</v>
      </c>
      <c r="L652" s="4" t="s">
        <v>113</v>
      </c>
      <c r="M652" s="4" t="s">
        <v>108</v>
      </c>
      <c r="N652" s="4" t="s">
        <v>122</v>
      </c>
      <c r="O652" s="4" t="s">
        <v>123</v>
      </c>
      <c r="P652">
        <v>65</v>
      </c>
      <c r="Q652">
        <v>65</v>
      </c>
      <c r="R652" s="4" t="s">
        <v>158</v>
      </c>
      <c r="S652">
        <v>28.18</v>
      </c>
      <c r="T652">
        <v>1831.7</v>
      </c>
      <c r="U652">
        <v>1510.6</v>
      </c>
      <c r="V652" s="4" t="s">
        <v>30</v>
      </c>
    </row>
    <row r="653" spans="1:22" x14ac:dyDescent="0.2">
      <c r="A653" s="4" t="s">
        <v>837</v>
      </c>
      <c r="B653">
        <v>652</v>
      </c>
      <c r="C653" s="4" t="s">
        <v>26</v>
      </c>
      <c r="D653" s="4" t="s">
        <v>50</v>
      </c>
      <c r="E653" s="4" t="s">
        <v>50</v>
      </c>
      <c r="F653" s="4" t="s">
        <v>2458</v>
      </c>
      <c r="G653">
        <v>16</v>
      </c>
      <c r="H653">
        <v>78</v>
      </c>
      <c r="I653" s="4" t="s">
        <v>2482</v>
      </c>
      <c r="J653" s="4" t="s">
        <v>962</v>
      </c>
      <c r="K653" s="4" t="s">
        <v>112</v>
      </c>
      <c r="L653" s="4" t="s">
        <v>113</v>
      </c>
      <c r="M653" s="4" t="s">
        <v>108</v>
      </c>
      <c r="N653" s="4" t="s">
        <v>127</v>
      </c>
      <c r="O653" s="4" t="s">
        <v>128</v>
      </c>
      <c r="P653">
        <v>52</v>
      </c>
      <c r="Q653">
        <v>52</v>
      </c>
      <c r="R653" s="4" t="s">
        <v>158</v>
      </c>
      <c r="S653">
        <v>31.45</v>
      </c>
      <c r="T653">
        <v>1635.4</v>
      </c>
      <c r="U653">
        <v>1361.88</v>
      </c>
      <c r="V653" s="4" t="s">
        <v>30</v>
      </c>
    </row>
    <row r="654" spans="1:22" x14ac:dyDescent="0.2">
      <c r="A654" s="4" t="s">
        <v>838</v>
      </c>
      <c r="B654">
        <v>653</v>
      </c>
      <c r="C654" s="4" t="s">
        <v>26</v>
      </c>
      <c r="D654" s="4" t="s">
        <v>50</v>
      </c>
      <c r="E654" s="4" t="s">
        <v>50</v>
      </c>
      <c r="F654" s="4" t="s">
        <v>2458</v>
      </c>
      <c r="G654">
        <v>16</v>
      </c>
      <c r="H654">
        <v>78</v>
      </c>
      <c r="I654" s="4" t="s">
        <v>2482</v>
      </c>
      <c r="J654" s="4" t="s">
        <v>967</v>
      </c>
      <c r="K654" s="4" t="s">
        <v>112</v>
      </c>
      <c r="L654" s="4" t="s">
        <v>113</v>
      </c>
      <c r="M654" s="4" t="s">
        <v>108</v>
      </c>
      <c r="N654" s="4" t="s">
        <v>127</v>
      </c>
      <c r="O654" s="4" t="s">
        <v>128</v>
      </c>
      <c r="P654">
        <v>67</v>
      </c>
      <c r="Q654">
        <v>67</v>
      </c>
      <c r="R654" s="4" t="s">
        <v>158</v>
      </c>
      <c r="S654">
        <v>31.45</v>
      </c>
      <c r="T654">
        <v>2107.15</v>
      </c>
      <c r="U654">
        <v>1754.73</v>
      </c>
      <c r="V654" s="4" t="s">
        <v>30</v>
      </c>
    </row>
    <row r="655" spans="1:22" x14ac:dyDescent="0.2">
      <c r="A655" s="4" t="s">
        <v>839</v>
      </c>
      <c r="B655">
        <v>654</v>
      </c>
      <c r="C655" s="4" t="s">
        <v>26</v>
      </c>
      <c r="D655" s="4" t="s">
        <v>50</v>
      </c>
      <c r="E655" s="4" t="s">
        <v>50</v>
      </c>
      <c r="F655" s="4" t="s">
        <v>2458</v>
      </c>
      <c r="G655">
        <v>16</v>
      </c>
      <c r="H655">
        <v>78</v>
      </c>
      <c r="I655" s="4" t="s">
        <v>2482</v>
      </c>
      <c r="J655" s="4" t="s">
        <v>964</v>
      </c>
      <c r="K655" s="4" t="s">
        <v>112</v>
      </c>
      <c r="L655" s="4" t="s">
        <v>113</v>
      </c>
      <c r="M655" s="4" t="s">
        <v>108</v>
      </c>
      <c r="N655" s="4" t="s">
        <v>131</v>
      </c>
      <c r="O655" s="4" t="s">
        <v>132</v>
      </c>
      <c r="P655">
        <v>25</v>
      </c>
      <c r="Q655">
        <v>25</v>
      </c>
      <c r="R655" s="4" t="s">
        <v>158</v>
      </c>
      <c r="S655">
        <v>67.069999999999993</v>
      </c>
      <c r="T655">
        <v>1676.75</v>
      </c>
      <c r="U655">
        <v>1516</v>
      </c>
      <c r="V655" s="4" t="s">
        <v>30</v>
      </c>
    </row>
    <row r="656" spans="1:22" x14ac:dyDescent="0.2">
      <c r="A656" s="4" t="s">
        <v>840</v>
      </c>
      <c r="B656">
        <v>655</v>
      </c>
      <c r="C656" s="4" t="s">
        <v>26</v>
      </c>
      <c r="D656" s="4" t="s">
        <v>50</v>
      </c>
      <c r="E656" s="4" t="s">
        <v>50</v>
      </c>
      <c r="F656" s="4" t="s">
        <v>2458</v>
      </c>
      <c r="G656">
        <v>16</v>
      </c>
      <c r="H656">
        <v>78</v>
      </c>
      <c r="I656" s="4" t="s">
        <v>2484</v>
      </c>
      <c r="J656" s="4" t="s">
        <v>956</v>
      </c>
      <c r="K656" s="4" t="s">
        <v>114</v>
      </c>
      <c r="L656" s="4" t="s">
        <v>115</v>
      </c>
      <c r="M656" s="4" t="s">
        <v>108</v>
      </c>
      <c r="N656" s="4" t="s">
        <v>125</v>
      </c>
      <c r="O656" s="4" t="s">
        <v>126</v>
      </c>
      <c r="P656">
        <v>29</v>
      </c>
      <c r="Q656">
        <v>29</v>
      </c>
      <c r="R656" s="4" t="s">
        <v>158</v>
      </c>
      <c r="S656">
        <v>79.87</v>
      </c>
      <c r="T656">
        <v>2316.23</v>
      </c>
      <c r="U656">
        <v>2117.29</v>
      </c>
      <c r="V656" s="4" t="s">
        <v>30</v>
      </c>
    </row>
    <row r="657" spans="1:22" x14ac:dyDescent="0.2">
      <c r="A657" s="4" t="s">
        <v>841</v>
      </c>
      <c r="B657">
        <v>656</v>
      </c>
      <c r="C657" s="4" t="s">
        <v>26</v>
      </c>
      <c r="D657" s="4" t="s">
        <v>50</v>
      </c>
      <c r="E657" s="4" t="s">
        <v>50</v>
      </c>
      <c r="F657" s="4" t="s">
        <v>2458</v>
      </c>
      <c r="G657">
        <v>16</v>
      </c>
      <c r="H657">
        <v>78</v>
      </c>
      <c r="I657" s="4" t="s">
        <v>2485</v>
      </c>
      <c r="J657" s="4" t="s">
        <v>956</v>
      </c>
      <c r="K657" s="4" t="s">
        <v>114</v>
      </c>
      <c r="L657" s="4" t="s">
        <v>115</v>
      </c>
      <c r="M657" s="4" t="s">
        <v>108</v>
      </c>
      <c r="N657" s="4" t="s">
        <v>127</v>
      </c>
      <c r="O657" s="4" t="s">
        <v>128</v>
      </c>
      <c r="P657">
        <v>67</v>
      </c>
      <c r="Q657">
        <v>67</v>
      </c>
      <c r="R657" s="4" t="s">
        <v>158</v>
      </c>
      <c r="S657">
        <v>31.45</v>
      </c>
      <c r="T657">
        <v>2107.15</v>
      </c>
      <c r="U657">
        <v>1754.73</v>
      </c>
      <c r="V657" s="4" t="s">
        <v>30</v>
      </c>
    </row>
    <row r="658" spans="1:22" x14ac:dyDescent="0.2">
      <c r="A658" s="4" t="s">
        <v>842</v>
      </c>
      <c r="B658">
        <v>657</v>
      </c>
      <c r="C658" s="4" t="s">
        <v>26</v>
      </c>
      <c r="D658" s="4" t="s">
        <v>50</v>
      </c>
      <c r="E658" s="4" t="s">
        <v>50</v>
      </c>
      <c r="F658" s="4" t="s">
        <v>2458</v>
      </c>
      <c r="G658">
        <v>16</v>
      </c>
      <c r="H658">
        <v>78</v>
      </c>
      <c r="I658" s="4" t="s">
        <v>2484</v>
      </c>
      <c r="J658" s="4" t="s">
        <v>962</v>
      </c>
      <c r="K658" s="4" t="s">
        <v>114</v>
      </c>
      <c r="L658" s="4" t="s">
        <v>115</v>
      </c>
      <c r="M658" s="4" t="s">
        <v>108</v>
      </c>
      <c r="N658" s="4" t="s">
        <v>133</v>
      </c>
      <c r="O658" s="4" t="s">
        <v>134</v>
      </c>
      <c r="P658">
        <v>19</v>
      </c>
      <c r="Q658">
        <v>19</v>
      </c>
      <c r="R658" s="4" t="s">
        <v>158</v>
      </c>
      <c r="S658">
        <v>48.5</v>
      </c>
      <c r="T658">
        <v>921.5</v>
      </c>
      <c r="U658">
        <v>830.3</v>
      </c>
      <c r="V658" s="4" t="s">
        <v>30</v>
      </c>
    </row>
    <row r="659" spans="1:22" x14ac:dyDescent="0.2">
      <c r="A659" s="4" t="s">
        <v>843</v>
      </c>
      <c r="B659">
        <v>658</v>
      </c>
      <c r="C659" s="4" t="s">
        <v>26</v>
      </c>
      <c r="D659" s="4" t="s">
        <v>50</v>
      </c>
      <c r="E659" s="4" t="s">
        <v>50</v>
      </c>
      <c r="F659" s="4" t="s">
        <v>2458</v>
      </c>
      <c r="G659">
        <v>16</v>
      </c>
      <c r="H659">
        <v>78</v>
      </c>
      <c r="I659" s="4" t="s">
        <v>2486</v>
      </c>
      <c r="J659" s="4" t="s">
        <v>962</v>
      </c>
      <c r="K659" s="4" t="s">
        <v>116</v>
      </c>
      <c r="L659" s="4" t="s">
        <v>117</v>
      </c>
      <c r="M659" s="4" t="s">
        <v>108</v>
      </c>
      <c r="N659" s="4" t="s">
        <v>122</v>
      </c>
      <c r="O659" s="4" t="s">
        <v>123</v>
      </c>
      <c r="P659">
        <v>52</v>
      </c>
      <c r="Q659">
        <v>52</v>
      </c>
      <c r="R659" s="4" t="s">
        <v>158</v>
      </c>
      <c r="S659">
        <v>28.18</v>
      </c>
      <c r="T659">
        <v>1465.36</v>
      </c>
      <c r="U659">
        <v>1208.48</v>
      </c>
      <c r="V659" s="4" t="s">
        <v>30</v>
      </c>
    </row>
    <row r="660" spans="1:22" x14ac:dyDescent="0.2">
      <c r="A660" s="4" t="s">
        <v>844</v>
      </c>
      <c r="B660">
        <v>659</v>
      </c>
      <c r="C660" s="4" t="s">
        <v>26</v>
      </c>
      <c r="D660" s="4" t="s">
        <v>50</v>
      </c>
      <c r="E660" s="4" t="s">
        <v>50</v>
      </c>
      <c r="F660" s="4" t="s">
        <v>2458</v>
      </c>
      <c r="G660">
        <v>16</v>
      </c>
      <c r="H660">
        <v>78</v>
      </c>
      <c r="I660" s="4" t="s">
        <v>2486</v>
      </c>
      <c r="J660" s="4" t="s">
        <v>956</v>
      </c>
      <c r="K660" s="4" t="s">
        <v>116</v>
      </c>
      <c r="L660" s="4" t="s">
        <v>117</v>
      </c>
      <c r="M660" s="4" t="s">
        <v>108</v>
      </c>
      <c r="N660" s="4" t="s">
        <v>127</v>
      </c>
      <c r="O660" s="4" t="s">
        <v>128</v>
      </c>
      <c r="P660">
        <v>35</v>
      </c>
      <c r="Q660">
        <v>35</v>
      </c>
      <c r="R660" s="4" t="s">
        <v>158</v>
      </c>
      <c r="S660">
        <v>31.45</v>
      </c>
      <c r="T660">
        <v>1100.75</v>
      </c>
      <c r="U660">
        <v>916.65</v>
      </c>
      <c r="V660" s="4" t="s">
        <v>30</v>
      </c>
    </row>
    <row r="661" spans="1:22" x14ac:dyDescent="0.2">
      <c r="A661" s="4" t="s">
        <v>845</v>
      </c>
      <c r="B661">
        <v>660</v>
      </c>
      <c r="C661" s="4" t="s">
        <v>26</v>
      </c>
      <c r="D661" s="4" t="s">
        <v>50</v>
      </c>
      <c r="E661" s="4" t="s">
        <v>50</v>
      </c>
      <c r="F661" s="4" t="s">
        <v>2458</v>
      </c>
      <c r="G661">
        <v>16</v>
      </c>
      <c r="H661">
        <v>78</v>
      </c>
      <c r="I661" s="4" t="s">
        <v>2487</v>
      </c>
      <c r="J661" s="4" t="s">
        <v>956</v>
      </c>
      <c r="K661" s="4" t="s">
        <v>116</v>
      </c>
      <c r="L661" s="4" t="s">
        <v>117</v>
      </c>
      <c r="M661" s="4" t="s">
        <v>108</v>
      </c>
      <c r="N661" s="4" t="s">
        <v>133</v>
      </c>
      <c r="O661" s="4" t="s">
        <v>134</v>
      </c>
      <c r="P661">
        <v>17</v>
      </c>
      <c r="Q661">
        <v>17</v>
      </c>
      <c r="R661" s="4" t="s">
        <v>158</v>
      </c>
      <c r="S661">
        <v>48.5</v>
      </c>
      <c r="T661">
        <v>824.5</v>
      </c>
      <c r="U661">
        <v>742.9</v>
      </c>
      <c r="V661" s="4" t="s">
        <v>30</v>
      </c>
    </row>
    <row r="662" spans="1:22" x14ac:dyDescent="0.2">
      <c r="A662" s="4" t="s">
        <v>846</v>
      </c>
      <c r="B662">
        <v>661</v>
      </c>
      <c r="C662" s="4" t="s">
        <v>26</v>
      </c>
      <c r="D662" s="4" t="s">
        <v>50</v>
      </c>
      <c r="E662" s="4" t="s">
        <v>53</v>
      </c>
      <c r="F662" s="4" t="s">
        <v>2489</v>
      </c>
      <c r="G662">
        <v>16</v>
      </c>
      <c r="H662">
        <v>79</v>
      </c>
      <c r="I662" s="4" t="s">
        <v>2514</v>
      </c>
      <c r="J662" s="4" t="s">
        <v>964</v>
      </c>
      <c r="K662" s="4" t="s">
        <v>112</v>
      </c>
      <c r="L662" s="4" t="s">
        <v>113</v>
      </c>
      <c r="M662" s="4" t="s">
        <v>108</v>
      </c>
      <c r="N662" s="4" t="s">
        <v>122</v>
      </c>
      <c r="O662" s="4" t="s">
        <v>123</v>
      </c>
      <c r="P662">
        <v>76</v>
      </c>
      <c r="Q662">
        <v>76</v>
      </c>
      <c r="R662" s="4" t="s">
        <v>158</v>
      </c>
      <c r="S662">
        <v>28.18</v>
      </c>
      <c r="T662">
        <v>2141.6799999999998</v>
      </c>
      <c r="U662">
        <v>1766.24</v>
      </c>
      <c r="V662" s="4" t="s">
        <v>30</v>
      </c>
    </row>
    <row r="663" spans="1:22" x14ac:dyDescent="0.2">
      <c r="A663" s="4" t="s">
        <v>847</v>
      </c>
      <c r="B663">
        <v>662</v>
      </c>
      <c r="C663" s="4" t="s">
        <v>26</v>
      </c>
      <c r="D663" s="4" t="s">
        <v>50</v>
      </c>
      <c r="E663" s="4" t="s">
        <v>53</v>
      </c>
      <c r="F663" s="4" t="s">
        <v>2489</v>
      </c>
      <c r="G663">
        <v>16</v>
      </c>
      <c r="H663">
        <v>79</v>
      </c>
      <c r="I663" s="4" t="s">
        <v>2514</v>
      </c>
      <c r="J663" s="4" t="s">
        <v>956</v>
      </c>
      <c r="K663" s="4" t="s">
        <v>112</v>
      </c>
      <c r="L663" s="4" t="s">
        <v>113</v>
      </c>
      <c r="M663" s="4" t="s">
        <v>108</v>
      </c>
      <c r="N663" s="4" t="s">
        <v>133</v>
      </c>
      <c r="O663" s="4" t="s">
        <v>134</v>
      </c>
      <c r="P663">
        <v>33</v>
      </c>
      <c r="Q663">
        <v>33</v>
      </c>
      <c r="R663" s="4" t="s">
        <v>158</v>
      </c>
      <c r="S663">
        <v>48.5</v>
      </c>
      <c r="T663">
        <v>1600.5</v>
      </c>
      <c r="U663">
        <v>1442.1</v>
      </c>
      <c r="V663" s="4" t="s">
        <v>30</v>
      </c>
    </row>
    <row r="664" spans="1:22" x14ac:dyDescent="0.2">
      <c r="A664" s="4" t="s">
        <v>848</v>
      </c>
      <c r="B664">
        <v>663</v>
      </c>
      <c r="C664" s="4" t="s">
        <v>26</v>
      </c>
      <c r="D664" s="4" t="s">
        <v>50</v>
      </c>
      <c r="E664" s="4" t="s">
        <v>53</v>
      </c>
      <c r="F664" s="4" t="s">
        <v>2489</v>
      </c>
      <c r="G664">
        <v>16</v>
      </c>
      <c r="H664">
        <v>79</v>
      </c>
      <c r="I664" s="4" t="s">
        <v>2514</v>
      </c>
      <c r="J664" s="4" t="s">
        <v>962</v>
      </c>
      <c r="K664" s="4" t="s">
        <v>112</v>
      </c>
      <c r="L664" s="4" t="s">
        <v>113</v>
      </c>
      <c r="M664" s="4" t="s">
        <v>108</v>
      </c>
      <c r="N664" s="4" t="s">
        <v>133</v>
      </c>
      <c r="O664" s="4" t="s">
        <v>134</v>
      </c>
      <c r="P664">
        <v>42</v>
      </c>
      <c r="Q664">
        <v>42</v>
      </c>
      <c r="R664" s="4" t="s">
        <v>158</v>
      </c>
      <c r="S664">
        <v>48.5</v>
      </c>
      <c r="T664">
        <v>2037</v>
      </c>
      <c r="U664">
        <v>1835.4</v>
      </c>
      <c r="V664" s="4" t="s">
        <v>30</v>
      </c>
    </row>
    <row r="665" spans="1:22" x14ac:dyDescent="0.2">
      <c r="A665" s="4" t="s">
        <v>849</v>
      </c>
      <c r="B665">
        <v>664</v>
      </c>
      <c r="C665" s="4" t="s">
        <v>26</v>
      </c>
      <c r="D665" s="4" t="s">
        <v>50</v>
      </c>
      <c r="E665" s="4" t="s">
        <v>53</v>
      </c>
      <c r="F665" s="4" t="s">
        <v>2489</v>
      </c>
      <c r="G665">
        <v>16</v>
      </c>
      <c r="H665">
        <v>79</v>
      </c>
      <c r="I665" s="4" t="s">
        <v>2514</v>
      </c>
      <c r="J665" s="4" t="s">
        <v>967</v>
      </c>
      <c r="K665" s="4" t="s">
        <v>112</v>
      </c>
      <c r="L665" s="4" t="s">
        <v>113</v>
      </c>
      <c r="M665" s="4" t="s">
        <v>108</v>
      </c>
      <c r="N665" s="4" t="s">
        <v>133</v>
      </c>
      <c r="O665" s="4" t="s">
        <v>134</v>
      </c>
      <c r="P665">
        <v>18</v>
      </c>
      <c r="Q665">
        <v>18</v>
      </c>
      <c r="R665" s="4" t="s">
        <v>158</v>
      </c>
      <c r="S665">
        <v>48.5</v>
      </c>
      <c r="T665">
        <v>873</v>
      </c>
      <c r="U665">
        <v>786.6</v>
      </c>
      <c r="V665" s="4" t="s">
        <v>30</v>
      </c>
    </row>
    <row r="666" spans="1:22" x14ac:dyDescent="0.2">
      <c r="A666" s="4" t="s">
        <v>850</v>
      </c>
      <c r="B666">
        <v>665</v>
      </c>
      <c r="C666" s="4" t="s">
        <v>26</v>
      </c>
      <c r="D666" s="4" t="s">
        <v>50</v>
      </c>
      <c r="E666" s="4" t="s">
        <v>53</v>
      </c>
      <c r="F666" s="4" t="s">
        <v>2489</v>
      </c>
      <c r="G666">
        <v>16</v>
      </c>
      <c r="H666">
        <v>79</v>
      </c>
      <c r="I666" s="4" t="s">
        <v>2515</v>
      </c>
      <c r="J666" s="4" t="s">
        <v>956</v>
      </c>
      <c r="K666" s="4" t="s">
        <v>112</v>
      </c>
      <c r="L666" s="4" t="s">
        <v>113</v>
      </c>
      <c r="M666" s="4" t="s">
        <v>108</v>
      </c>
      <c r="N666" s="4" t="s">
        <v>133</v>
      </c>
      <c r="O666" s="4" t="s">
        <v>134</v>
      </c>
      <c r="P666">
        <v>7</v>
      </c>
      <c r="Q666">
        <v>7</v>
      </c>
      <c r="R666" s="4" t="s">
        <v>158</v>
      </c>
      <c r="S666">
        <v>48.5</v>
      </c>
      <c r="T666">
        <v>339.5</v>
      </c>
      <c r="U666">
        <v>305.89999999999998</v>
      </c>
      <c r="V666" s="4" t="s">
        <v>30</v>
      </c>
    </row>
    <row r="667" spans="1:22" x14ac:dyDescent="0.2">
      <c r="A667" s="4" t="s">
        <v>851</v>
      </c>
      <c r="B667">
        <v>666</v>
      </c>
      <c r="C667" s="4" t="s">
        <v>26</v>
      </c>
      <c r="D667" s="4" t="s">
        <v>50</v>
      </c>
      <c r="E667" s="4" t="s">
        <v>53</v>
      </c>
      <c r="F667" s="4" t="s">
        <v>2489</v>
      </c>
      <c r="G667">
        <v>16</v>
      </c>
      <c r="H667">
        <v>79</v>
      </c>
      <c r="I667" s="4" t="s">
        <v>2516</v>
      </c>
      <c r="J667" s="4" t="s">
        <v>1005</v>
      </c>
      <c r="K667" s="4" t="s">
        <v>114</v>
      </c>
      <c r="L667" s="4" t="s">
        <v>115</v>
      </c>
      <c r="M667" s="4" t="s">
        <v>108</v>
      </c>
      <c r="N667" s="4" t="s">
        <v>122</v>
      </c>
      <c r="O667" s="4" t="s">
        <v>123</v>
      </c>
      <c r="P667">
        <v>54</v>
      </c>
      <c r="Q667">
        <v>54</v>
      </c>
      <c r="R667" s="4" t="s">
        <v>158</v>
      </c>
      <c r="S667">
        <v>28.18</v>
      </c>
      <c r="T667">
        <v>1521.72</v>
      </c>
      <c r="U667">
        <v>1254.96</v>
      </c>
      <c r="V667" s="4" t="s">
        <v>30</v>
      </c>
    </row>
    <row r="668" spans="1:22" x14ac:dyDescent="0.2">
      <c r="A668" s="4" t="s">
        <v>852</v>
      </c>
      <c r="B668">
        <v>667</v>
      </c>
      <c r="C668" s="4" t="s">
        <v>26</v>
      </c>
      <c r="D668" s="4" t="s">
        <v>50</v>
      </c>
      <c r="E668" s="4" t="s">
        <v>53</v>
      </c>
      <c r="F668" s="4" t="s">
        <v>2489</v>
      </c>
      <c r="G668">
        <v>16</v>
      </c>
      <c r="H668">
        <v>79</v>
      </c>
      <c r="I668" s="4" t="s">
        <v>2516</v>
      </c>
      <c r="J668" s="4" t="s">
        <v>962</v>
      </c>
      <c r="K668" s="4" t="s">
        <v>114</v>
      </c>
      <c r="L668" s="4" t="s">
        <v>115</v>
      </c>
      <c r="M668" s="4" t="s">
        <v>108</v>
      </c>
      <c r="N668" s="4" t="s">
        <v>127</v>
      </c>
      <c r="O668" s="4" t="s">
        <v>128</v>
      </c>
      <c r="P668">
        <v>64</v>
      </c>
      <c r="Q668">
        <v>64</v>
      </c>
      <c r="R668" s="4" t="s">
        <v>158</v>
      </c>
      <c r="S668">
        <v>31.45</v>
      </c>
      <c r="T668">
        <v>2012.8</v>
      </c>
      <c r="U668">
        <v>1676.16</v>
      </c>
      <c r="V668" s="4" t="s">
        <v>30</v>
      </c>
    </row>
    <row r="669" spans="1:22" x14ac:dyDescent="0.2">
      <c r="A669" s="4" t="s">
        <v>853</v>
      </c>
      <c r="B669">
        <v>668</v>
      </c>
      <c r="C669" s="4" t="s">
        <v>26</v>
      </c>
      <c r="D669" s="4" t="s">
        <v>50</v>
      </c>
      <c r="E669" s="4" t="s">
        <v>53</v>
      </c>
      <c r="F669" s="4" t="s">
        <v>2489</v>
      </c>
      <c r="G669">
        <v>16</v>
      </c>
      <c r="H669">
        <v>79</v>
      </c>
      <c r="I669" s="4" t="s">
        <v>2516</v>
      </c>
      <c r="J669" s="4" t="s">
        <v>956</v>
      </c>
      <c r="K669" s="4" t="s">
        <v>114</v>
      </c>
      <c r="L669" s="4" t="s">
        <v>115</v>
      </c>
      <c r="M669" s="4" t="s">
        <v>108</v>
      </c>
      <c r="N669" s="4" t="s">
        <v>133</v>
      </c>
      <c r="O669" s="4" t="s">
        <v>134</v>
      </c>
      <c r="P669">
        <v>31</v>
      </c>
      <c r="Q669">
        <v>31</v>
      </c>
      <c r="R669" s="4" t="s">
        <v>158</v>
      </c>
      <c r="S669">
        <v>48.5</v>
      </c>
      <c r="T669">
        <v>1503.5</v>
      </c>
      <c r="U669">
        <v>1354.7</v>
      </c>
      <c r="V669" s="4" t="s">
        <v>30</v>
      </c>
    </row>
    <row r="670" spans="1:22" x14ac:dyDescent="0.2">
      <c r="A670" s="4" t="s">
        <v>854</v>
      </c>
      <c r="B670">
        <v>669</v>
      </c>
      <c r="C670" s="4" t="s">
        <v>26</v>
      </c>
      <c r="D670" s="4" t="s">
        <v>50</v>
      </c>
      <c r="E670" s="4" t="s">
        <v>53</v>
      </c>
      <c r="F670" s="4" t="s">
        <v>2489</v>
      </c>
      <c r="G670">
        <v>16</v>
      </c>
      <c r="H670">
        <v>79</v>
      </c>
      <c r="I670" s="4" t="s">
        <v>2517</v>
      </c>
      <c r="J670" s="4" t="s">
        <v>956</v>
      </c>
      <c r="K670" s="4" t="s">
        <v>116</v>
      </c>
      <c r="L670" s="4" t="s">
        <v>117</v>
      </c>
      <c r="M670" s="4" t="s">
        <v>108</v>
      </c>
      <c r="N670" s="4" t="s">
        <v>129</v>
      </c>
      <c r="O670" s="4" t="s">
        <v>130</v>
      </c>
      <c r="P670">
        <v>21</v>
      </c>
      <c r="Q670">
        <v>21</v>
      </c>
      <c r="R670" s="4" t="s">
        <v>158</v>
      </c>
      <c r="S670">
        <v>91.58</v>
      </c>
      <c r="T670">
        <v>1923.18</v>
      </c>
      <c r="U670">
        <v>1757.91</v>
      </c>
      <c r="V670" s="4" t="s">
        <v>30</v>
      </c>
    </row>
    <row r="671" spans="1:22" x14ac:dyDescent="0.2">
      <c r="A671" s="4" t="s">
        <v>855</v>
      </c>
      <c r="B671">
        <v>670</v>
      </c>
      <c r="C671" s="4" t="s">
        <v>26</v>
      </c>
      <c r="D671" s="4" t="s">
        <v>50</v>
      </c>
      <c r="E671" s="4" t="s">
        <v>53</v>
      </c>
      <c r="F671" s="4" t="s">
        <v>2489</v>
      </c>
      <c r="G671">
        <v>16</v>
      </c>
      <c r="H671">
        <v>79</v>
      </c>
      <c r="I671" s="4" t="s">
        <v>2518</v>
      </c>
      <c r="J671" s="4" t="s">
        <v>962</v>
      </c>
      <c r="K671" s="4" t="s">
        <v>116</v>
      </c>
      <c r="L671" s="4" t="s">
        <v>117</v>
      </c>
      <c r="M671" s="4" t="s">
        <v>108</v>
      </c>
      <c r="N671" s="4" t="s">
        <v>129</v>
      </c>
      <c r="O671" s="4" t="s">
        <v>130</v>
      </c>
      <c r="P671">
        <v>24</v>
      </c>
      <c r="Q671">
        <v>24</v>
      </c>
      <c r="R671" s="4" t="s">
        <v>158</v>
      </c>
      <c r="S671">
        <v>91.58</v>
      </c>
      <c r="T671">
        <v>2197.92</v>
      </c>
      <c r="U671">
        <v>2009.04</v>
      </c>
      <c r="V671" s="4" t="s">
        <v>30</v>
      </c>
    </row>
    <row r="672" spans="1:22" x14ac:dyDescent="0.2">
      <c r="A672" s="4" t="s">
        <v>856</v>
      </c>
      <c r="B672">
        <v>671</v>
      </c>
      <c r="C672" s="4" t="s">
        <v>26</v>
      </c>
      <c r="D672" s="4" t="s">
        <v>50</v>
      </c>
      <c r="E672" s="4" t="s">
        <v>53</v>
      </c>
      <c r="F672" s="4" t="s">
        <v>2489</v>
      </c>
      <c r="G672">
        <v>16</v>
      </c>
      <c r="H672">
        <v>79</v>
      </c>
      <c r="I672" s="4" t="s">
        <v>2518</v>
      </c>
      <c r="J672" s="4" t="s">
        <v>956</v>
      </c>
      <c r="K672" s="4" t="s">
        <v>116</v>
      </c>
      <c r="L672" s="4" t="s">
        <v>117</v>
      </c>
      <c r="M672" s="4" t="s">
        <v>108</v>
      </c>
      <c r="N672" s="4" t="s">
        <v>131</v>
      </c>
      <c r="O672" s="4" t="s">
        <v>132</v>
      </c>
      <c r="P672">
        <v>36</v>
      </c>
      <c r="Q672">
        <v>36</v>
      </c>
      <c r="R672" s="4" t="s">
        <v>158</v>
      </c>
      <c r="S672">
        <v>67.069999999999993</v>
      </c>
      <c r="T672">
        <v>2414.52</v>
      </c>
      <c r="U672">
        <v>2183.04</v>
      </c>
      <c r="V672" s="4" t="s">
        <v>30</v>
      </c>
    </row>
    <row r="673" spans="1:22" x14ac:dyDescent="0.2">
      <c r="A673" s="4" t="s">
        <v>857</v>
      </c>
      <c r="B673">
        <v>672</v>
      </c>
      <c r="C673" s="4" t="s">
        <v>26</v>
      </c>
      <c r="D673" s="4" t="s">
        <v>50</v>
      </c>
      <c r="E673" s="4" t="s">
        <v>56</v>
      </c>
      <c r="F673" s="4" t="s">
        <v>2513</v>
      </c>
      <c r="G673">
        <v>16</v>
      </c>
      <c r="H673">
        <v>80</v>
      </c>
      <c r="I673" s="4" t="s">
        <v>2519</v>
      </c>
      <c r="J673" s="4" t="s">
        <v>956</v>
      </c>
      <c r="K673" s="4" t="s">
        <v>112</v>
      </c>
      <c r="L673" s="4" t="s">
        <v>113</v>
      </c>
      <c r="M673" s="4" t="s">
        <v>108</v>
      </c>
      <c r="N673" s="4" t="s">
        <v>122</v>
      </c>
      <c r="O673" s="4" t="s">
        <v>123</v>
      </c>
      <c r="P673">
        <v>61</v>
      </c>
      <c r="Q673">
        <v>61</v>
      </c>
      <c r="R673" s="4" t="s">
        <v>158</v>
      </c>
      <c r="S673">
        <v>28.18</v>
      </c>
      <c r="T673">
        <v>1718.98</v>
      </c>
      <c r="U673">
        <v>1417.64</v>
      </c>
      <c r="V673" s="4" t="s">
        <v>30</v>
      </c>
    </row>
    <row r="674" spans="1:22" x14ac:dyDescent="0.2">
      <c r="A674" s="4" t="s">
        <v>858</v>
      </c>
      <c r="B674">
        <v>673</v>
      </c>
      <c r="C674" s="4" t="s">
        <v>26</v>
      </c>
      <c r="D674" s="4" t="s">
        <v>50</v>
      </c>
      <c r="E674" s="4" t="s">
        <v>56</v>
      </c>
      <c r="F674" s="4" t="s">
        <v>2513</v>
      </c>
      <c r="G674">
        <v>16</v>
      </c>
      <c r="H674">
        <v>80</v>
      </c>
      <c r="I674" s="4" t="s">
        <v>2519</v>
      </c>
      <c r="J674" s="4" t="s">
        <v>1006</v>
      </c>
      <c r="K674" s="4" t="s">
        <v>112</v>
      </c>
      <c r="L674" s="4" t="s">
        <v>113</v>
      </c>
      <c r="M674" s="4" t="s">
        <v>108</v>
      </c>
      <c r="N674" s="4" t="s">
        <v>122</v>
      </c>
      <c r="O674" s="4" t="s">
        <v>123</v>
      </c>
      <c r="P674">
        <v>61</v>
      </c>
      <c r="Q674">
        <v>61</v>
      </c>
      <c r="R674" s="4" t="s">
        <v>158</v>
      </c>
      <c r="S674">
        <v>28.18</v>
      </c>
      <c r="T674">
        <v>1718.98</v>
      </c>
      <c r="U674">
        <v>1417.64</v>
      </c>
      <c r="V674" s="4" t="s">
        <v>30</v>
      </c>
    </row>
    <row r="675" spans="1:22" x14ac:dyDescent="0.2">
      <c r="A675" s="4" t="s">
        <v>859</v>
      </c>
      <c r="B675">
        <v>674</v>
      </c>
      <c r="C675" s="4" t="s">
        <v>26</v>
      </c>
      <c r="D675" s="4" t="s">
        <v>50</v>
      </c>
      <c r="E675" s="4" t="s">
        <v>56</v>
      </c>
      <c r="F675" s="4" t="s">
        <v>2513</v>
      </c>
      <c r="G675">
        <v>16</v>
      </c>
      <c r="H675">
        <v>80</v>
      </c>
      <c r="I675" s="4" t="s">
        <v>2519</v>
      </c>
      <c r="J675" s="4" t="s">
        <v>967</v>
      </c>
      <c r="K675" s="4" t="s">
        <v>112</v>
      </c>
      <c r="L675" s="4" t="s">
        <v>113</v>
      </c>
      <c r="M675" s="4" t="s">
        <v>108</v>
      </c>
      <c r="N675" s="4" t="s">
        <v>127</v>
      </c>
      <c r="O675" s="4" t="s">
        <v>128</v>
      </c>
      <c r="P675">
        <v>68</v>
      </c>
      <c r="Q675">
        <v>68</v>
      </c>
      <c r="R675" s="4" t="s">
        <v>158</v>
      </c>
      <c r="S675">
        <v>31.45</v>
      </c>
      <c r="T675">
        <v>2138.6</v>
      </c>
      <c r="U675">
        <v>1780.92</v>
      </c>
      <c r="V675" s="4" t="s">
        <v>30</v>
      </c>
    </row>
    <row r="676" spans="1:22" x14ac:dyDescent="0.2">
      <c r="A676" s="4" t="s">
        <v>860</v>
      </c>
      <c r="B676">
        <v>675</v>
      </c>
      <c r="C676" s="4" t="s">
        <v>26</v>
      </c>
      <c r="D676" s="4" t="s">
        <v>50</v>
      </c>
      <c r="E676" s="4" t="s">
        <v>56</v>
      </c>
      <c r="F676" s="4" t="s">
        <v>2513</v>
      </c>
      <c r="G676">
        <v>16</v>
      </c>
      <c r="H676">
        <v>80</v>
      </c>
      <c r="I676" s="4" t="s">
        <v>2519</v>
      </c>
      <c r="J676" s="4" t="s">
        <v>964</v>
      </c>
      <c r="K676" s="4" t="s">
        <v>112</v>
      </c>
      <c r="L676" s="4" t="s">
        <v>113</v>
      </c>
      <c r="M676" s="4" t="s">
        <v>108</v>
      </c>
      <c r="N676" s="4" t="s">
        <v>129</v>
      </c>
      <c r="O676" s="4" t="s">
        <v>130</v>
      </c>
      <c r="P676">
        <v>20</v>
      </c>
      <c r="Q676">
        <v>20</v>
      </c>
      <c r="R676" s="4" t="s">
        <v>158</v>
      </c>
      <c r="S676">
        <v>91.58</v>
      </c>
      <c r="T676">
        <v>1831.6</v>
      </c>
      <c r="U676">
        <v>1674.2</v>
      </c>
      <c r="V676" s="4" t="s">
        <v>30</v>
      </c>
    </row>
    <row r="677" spans="1:22" x14ac:dyDescent="0.2">
      <c r="A677" s="4" t="s">
        <v>861</v>
      </c>
      <c r="B677">
        <v>676</v>
      </c>
      <c r="C677" s="4" t="s">
        <v>26</v>
      </c>
      <c r="D677" s="4" t="s">
        <v>50</v>
      </c>
      <c r="E677" s="4" t="s">
        <v>56</v>
      </c>
      <c r="F677" s="4" t="s">
        <v>2513</v>
      </c>
      <c r="G677">
        <v>16</v>
      </c>
      <c r="H677">
        <v>80</v>
      </c>
      <c r="I677" s="4" t="s">
        <v>2519</v>
      </c>
      <c r="J677" s="4" t="s">
        <v>1005</v>
      </c>
      <c r="K677" s="4" t="s">
        <v>112</v>
      </c>
      <c r="L677" s="4" t="s">
        <v>113</v>
      </c>
      <c r="M677" s="4" t="s">
        <v>108</v>
      </c>
      <c r="N677" s="4" t="s">
        <v>131</v>
      </c>
      <c r="O677" s="4" t="s">
        <v>132</v>
      </c>
      <c r="P677">
        <v>26</v>
      </c>
      <c r="Q677">
        <v>26</v>
      </c>
      <c r="R677" s="4" t="s">
        <v>158</v>
      </c>
      <c r="S677">
        <v>67.069999999999993</v>
      </c>
      <c r="T677">
        <v>1743.82</v>
      </c>
      <c r="U677">
        <v>1576.64</v>
      </c>
      <c r="V677" s="4" t="s">
        <v>30</v>
      </c>
    </row>
    <row r="678" spans="1:22" x14ac:dyDescent="0.2">
      <c r="A678" s="4" t="s">
        <v>862</v>
      </c>
      <c r="B678">
        <v>677</v>
      </c>
      <c r="C678" s="4" t="s">
        <v>26</v>
      </c>
      <c r="D678" s="4" t="s">
        <v>50</v>
      </c>
      <c r="E678" s="4" t="s">
        <v>56</v>
      </c>
      <c r="F678" s="4" t="s">
        <v>2513</v>
      </c>
      <c r="G678">
        <v>16</v>
      </c>
      <c r="H678">
        <v>80</v>
      </c>
      <c r="I678" s="4" t="s">
        <v>2520</v>
      </c>
      <c r="J678" s="4" t="s">
        <v>956</v>
      </c>
      <c r="K678" s="4" t="s">
        <v>114</v>
      </c>
      <c r="L678" s="4" t="s">
        <v>115</v>
      </c>
      <c r="M678" s="4" t="s">
        <v>108</v>
      </c>
      <c r="N678" s="4" t="s">
        <v>127</v>
      </c>
      <c r="O678" s="4" t="s">
        <v>128</v>
      </c>
      <c r="P678">
        <v>72</v>
      </c>
      <c r="Q678">
        <v>72</v>
      </c>
      <c r="R678" s="4" t="s">
        <v>158</v>
      </c>
      <c r="S678">
        <v>31.45</v>
      </c>
      <c r="T678">
        <v>2264.4</v>
      </c>
      <c r="U678">
        <v>1885.68</v>
      </c>
      <c r="V678" s="4" t="s">
        <v>30</v>
      </c>
    </row>
    <row r="679" spans="1:22" x14ac:dyDescent="0.2">
      <c r="A679" s="4" t="s">
        <v>863</v>
      </c>
      <c r="B679">
        <v>678</v>
      </c>
      <c r="C679" s="4" t="s">
        <v>26</v>
      </c>
      <c r="D679" s="4" t="s">
        <v>50</v>
      </c>
      <c r="E679" s="4" t="s">
        <v>56</v>
      </c>
      <c r="F679" s="4" t="s">
        <v>2513</v>
      </c>
      <c r="G679">
        <v>16</v>
      </c>
      <c r="H679">
        <v>80</v>
      </c>
      <c r="I679" s="4" t="s">
        <v>2520</v>
      </c>
      <c r="J679" s="4" t="s">
        <v>962</v>
      </c>
      <c r="K679" s="4" t="s">
        <v>114</v>
      </c>
      <c r="L679" s="4" t="s">
        <v>115</v>
      </c>
      <c r="M679" s="4" t="s">
        <v>108</v>
      </c>
      <c r="N679" s="4" t="s">
        <v>131</v>
      </c>
      <c r="O679" s="4" t="s">
        <v>132</v>
      </c>
      <c r="P679">
        <v>23</v>
      </c>
      <c r="Q679">
        <v>23</v>
      </c>
      <c r="R679" s="4" t="s">
        <v>158</v>
      </c>
      <c r="S679">
        <v>67.069999999999993</v>
      </c>
      <c r="T679">
        <v>1542.61</v>
      </c>
      <c r="U679">
        <v>1394.72</v>
      </c>
      <c r="V679" s="4" t="s">
        <v>30</v>
      </c>
    </row>
    <row r="680" spans="1:22" x14ac:dyDescent="0.2">
      <c r="A680" s="4" t="s">
        <v>864</v>
      </c>
      <c r="B680">
        <v>679</v>
      </c>
      <c r="C680" s="4" t="s">
        <v>26</v>
      </c>
      <c r="D680" s="4" t="s">
        <v>50</v>
      </c>
      <c r="E680" s="4" t="s">
        <v>56</v>
      </c>
      <c r="F680" s="4" t="s">
        <v>2513</v>
      </c>
      <c r="G680">
        <v>16</v>
      </c>
      <c r="H680">
        <v>80</v>
      </c>
      <c r="I680" s="4" t="s">
        <v>2521</v>
      </c>
      <c r="J680" s="4" t="s">
        <v>956</v>
      </c>
      <c r="K680" s="4" t="s">
        <v>116</v>
      </c>
      <c r="L680" s="4" t="s">
        <v>117</v>
      </c>
      <c r="M680" s="4" t="s">
        <v>108</v>
      </c>
      <c r="N680" s="4" t="s">
        <v>122</v>
      </c>
      <c r="O680" s="4" t="s">
        <v>123</v>
      </c>
      <c r="P680">
        <v>54</v>
      </c>
      <c r="Q680">
        <v>54</v>
      </c>
      <c r="R680" s="4" t="s">
        <v>158</v>
      </c>
      <c r="S680">
        <v>28.18</v>
      </c>
      <c r="T680">
        <v>1521.72</v>
      </c>
      <c r="U680">
        <v>1254.96</v>
      </c>
      <c r="V680" s="4" t="s">
        <v>30</v>
      </c>
    </row>
    <row r="681" spans="1:22" x14ac:dyDescent="0.2">
      <c r="A681" s="4" t="s">
        <v>865</v>
      </c>
      <c r="B681">
        <v>680</v>
      </c>
      <c r="C681" s="4" t="s">
        <v>26</v>
      </c>
      <c r="D681" s="4" t="s">
        <v>50</v>
      </c>
      <c r="E681" s="4" t="s">
        <v>56</v>
      </c>
      <c r="F681" s="4" t="s">
        <v>2513</v>
      </c>
      <c r="G681">
        <v>16</v>
      </c>
      <c r="H681">
        <v>80</v>
      </c>
      <c r="I681" s="4" t="s">
        <v>2521</v>
      </c>
      <c r="J681" s="4" t="s">
        <v>962</v>
      </c>
      <c r="K681" s="4" t="s">
        <v>116</v>
      </c>
      <c r="L681" s="4" t="s">
        <v>117</v>
      </c>
      <c r="M681" s="4" t="s">
        <v>108</v>
      </c>
      <c r="N681" s="4" t="s">
        <v>129</v>
      </c>
      <c r="O681" s="4" t="s">
        <v>130</v>
      </c>
      <c r="P681">
        <v>19</v>
      </c>
      <c r="Q681">
        <v>19</v>
      </c>
      <c r="R681" s="4" t="s">
        <v>158</v>
      </c>
      <c r="S681">
        <v>91.58</v>
      </c>
      <c r="T681">
        <v>1740.02</v>
      </c>
      <c r="U681">
        <v>1590.49</v>
      </c>
      <c r="V681" s="4" t="s">
        <v>30</v>
      </c>
    </row>
    <row r="682" spans="1:22" x14ac:dyDescent="0.2">
      <c r="A682" s="4" t="s">
        <v>866</v>
      </c>
      <c r="B682">
        <v>681</v>
      </c>
      <c r="C682" s="4" t="s">
        <v>26</v>
      </c>
      <c r="D682" s="4" t="s">
        <v>50</v>
      </c>
      <c r="E682" s="4" t="s">
        <v>56</v>
      </c>
      <c r="F682" s="4" t="s">
        <v>2513</v>
      </c>
      <c r="G682">
        <v>16</v>
      </c>
      <c r="H682">
        <v>80</v>
      </c>
      <c r="I682" s="4" t="s">
        <v>2522</v>
      </c>
      <c r="J682" s="4" t="s">
        <v>956</v>
      </c>
      <c r="K682" s="4" t="s">
        <v>116</v>
      </c>
      <c r="L682" s="4" t="s">
        <v>117</v>
      </c>
      <c r="M682" s="4" t="s">
        <v>108</v>
      </c>
      <c r="N682" s="4" t="s">
        <v>129</v>
      </c>
      <c r="O682" s="4" t="s">
        <v>130</v>
      </c>
      <c r="P682">
        <v>1</v>
      </c>
      <c r="Q682">
        <v>1</v>
      </c>
      <c r="R682" s="4" t="s">
        <v>158</v>
      </c>
      <c r="S682">
        <v>91.58</v>
      </c>
      <c r="T682">
        <v>91.58</v>
      </c>
      <c r="U682">
        <v>83.71</v>
      </c>
      <c r="V682" s="4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1C2B-914E-0046-95BE-32CE36A2DD32}">
  <dimension ref="A1:M1945"/>
  <sheetViews>
    <sheetView workbookViewId="0">
      <selection sqref="A1:XFD1048576"/>
    </sheetView>
  </sheetViews>
  <sheetFormatPr baseColWidth="10" defaultRowHeight="16" x14ac:dyDescent="0.2"/>
  <cols>
    <col min="1" max="1" width="7.664062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1.33203125" bestFit="1" customWidth="1"/>
    <col min="10" max="10" width="20.33203125" bestFit="1" customWidth="1"/>
    <col min="11" max="11" width="24.6640625" bestFit="1" customWidth="1"/>
    <col min="12" max="12" width="31.6640625" bestFit="1" customWidth="1"/>
    <col min="13" max="13" width="7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155</v>
      </c>
      <c r="J1" t="s">
        <v>8</v>
      </c>
      <c r="K1" t="s">
        <v>9</v>
      </c>
      <c r="L1" t="s">
        <v>437</v>
      </c>
      <c r="M1" t="s">
        <v>11</v>
      </c>
    </row>
    <row r="2" spans="1:13" x14ac:dyDescent="0.2">
      <c r="A2" s="4" t="s">
        <v>25</v>
      </c>
      <c r="B2">
        <v>1</v>
      </c>
      <c r="C2" s="4" t="s">
        <v>26</v>
      </c>
      <c r="D2" s="4" t="s">
        <v>27</v>
      </c>
      <c r="E2" s="4" t="s">
        <v>27</v>
      </c>
      <c r="F2" s="4" t="s">
        <v>28</v>
      </c>
      <c r="G2">
        <v>1</v>
      </c>
      <c r="H2">
        <v>1</v>
      </c>
      <c r="I2" s="4" t="s">
        <v>35</v>
      </c>
      <c r="J2" s="4" t="s">
        <v>122</v>
      </c>
      <c r="K2" s="4" t="s">
        <v>123</v>
      </c>
      <c r="L2">
        <v>0</v>
      </c>
      <c r="M2" s="4" t="s">
        <v>158</v>
      </c>
    </row>
    <row r="3" spans="1:13" x14ac:dyDescent="0.2">
      <c r="A3" s="4" t="s">
        <v>31</v>
      </c>
      <c r="B3">
        <v>2</v>
      </c>
      <c r="C3" s="4" t="s">
        <v>26</v>
      </c>
      <c r="D3" s="4" t="s">
        <v>27</v>
      </c>
      <c r="E3" s="4" t="s">
        <v>27</v>
      </c>
      <c r="F3" s="4" t="s">
        <v>28</v>
      </c>
      <c r="G3">
        <v>1</v>
      </c>
      <c r="H3">
        <v>1</v>
      </c>
      <c r="I3" s="4" t="s">
        <v>35</v>
      </c>
      <c r="J3" s="4" t="s">
        <v>125</v>
      </c>
      <c r="K3" s="4" t="s">
        <v>126</v>
      </c>
      <c r="L3">
        <v>0</v>
      </c>
      <c r="M3" s="4" t="s">
        <v>158</v>
      </c>
    </row>
    <row r="4" spans="1:13" x14ac:dyDescent="0.2">
      <c r="A4" s="4" t="s">
        <v>34</v>
      </c>
      <c r="B4">
        <v>3</v>
      </c>
      <c r="C4" s="4" t="s">
        <v>26</v>
      </c>
      <c r="D4" s="4" t="s">
        <v>27</v>
      </c>
      <c r="E4" s="4" t="s">
        <v>27</v>
      </c>
      <c r="F4" s="4" t="s">
        <v>28</v>
      </c>
      <c r="G4">
        <v>1</v>
      </c>
      <c r="H4">
        <v>1</v>
      </c>
      <c r="I4" s="4" t="s">
        <v>35</v>
      </c>
      <c r="J4" s="4" t="s">
        <v>127</v>
      </c>
      <c r="K4" s="4" t="s">
        <v>128</v>
      </c>
      <c r="L4">
        <v>0</v>
      </c>
      <c r="M4" s="4" t="s">
        <v>158</v>
      </c>
    </row>
    <row r="5" spans="1:13" x14ac:dyDescent="0.2">
      <c r="A5" s="4" t="s">
        <v>37</v>
      </c>
      <c r="B5">
        <v>4</v>
      </c>
      <c r="C5" s="4" t="s">
        <v>26</v>
      </c>
      <c r="D5" s="4" t="s">
        <v>27</v>
      </c>
      <c r="E5" s="4" t="s">
        <v>27</v>
      </c>
      <c r="F5" s="4" t="s">
        <v>28</v>
      </c>
      <c r="G5">
        <v>1</v>
      </c>
      <c r="H5">
        <v>1</v>
      </c>
      <c r="I5" s="4" t="s">
        <v>35</v>
      </c>
      <c r="J5" s="4" t="s">
        <v>129</v>
      </c>
      <c r="K5" s="4" t="s">
        <v>130</v>
      </c>
      <c r="L5">
        <v>0</v>
      </c>
      <c r="M5" s="4" t="s">
        <v>158</v>
      </c>
    </row>
    <row r="6" spans="1:13" x14ac:dyDescent="0.2">
      <c r="A6" s="4" t="s">
        <v>40</v>
      </c>
      <c r="B6">
        <v>5</v>
      </c>
      <c r="C6" s="4" t="s">
        <v>26</v>
      </c>
      <c r="D6" s="4" t="s">
        <v>27</v>
      </c>
      <c r="E6" s="4" t="s">
        <v>27</v>
      </c>
      <c r="F6" s="4" t="s">
        <v>28</v>
      </c>
      <c r="G6">
        <v>1</v>
      </c>
      <c r="H6">
        <v>1</v>
      </c>
      <c r="I6" s="4" t="s">
        <v>35</v>
      </c>
      <c r="J6" s="4" t="s">
        <v>131</v>
      </c>
      <c r="K6" s="4" t="s">
        <v>132</v>
      </c>
      <c r="L6">
        <v>0</v>
      </c>
      <c r="M6" s="4" t="s">
        <v>158</v>
      </c>
    </row>
    <row r="7" spans="1:13" x14ac:dyDescent="0.2">
      <c r="A7" s="4" t="s">
        <v>43</v>
      </c>
      <c r="B7">
        <v>6</v>
      </c>
      <c r="C7" s="4" t="s">
        <v>26</v>
      </c>
      <c r="D7" s="4" t="s">
        <v>27</v>
      </c>
      <c r="E7" s="4" t="s">
        <v>27</v>
      </c>
      <c r="F7" s="4" t="s">
        <v>28</v>
      </c>
      <c r="G7">
        <v>1</v>
      </c>
      <c r="H7">
        <v>1</v>
      </c>
      <c r="I7" s="4" t="s">
        <v>35</v>
      </c>
      <c r="J7" s="4" t="s">
        <v>133</v>
      </c>
      <c r="K7" s="4" t="s">
        <v>134</v>
      </c>
      <c r="L7">
        <v>0</v>
      </c>
      <c r="M7" s="4" t="s">
        <v>158</v>
      </c>
    </row>
    <row r="8" spans="1:13" x14ac:dyDescent="0.2">
      <c r="A8" s="4" t="s">
        <v>46</v>
      </c>
      <c r="B8">
        <v>7</v>
      </c>
      <c r="C8" s="4" t="s">
        <v>26</v>
      </c>
      <c r="D8" s="4" t="s">
        <v>27</v>
      </c>
      <c r="E8" s="4" t="s">
        <v>27</v>
      </c>
      <c r="F8" s="4" t="s">
        <v>28</v>
      </c>
      <c r="G8">
        <v>1</v>
      </c>
      <c r="H8">
        <v>1</v>
      </c>
      <c r="I8" s="4" t="s">
        <v>112</v>
      </c>
      <c r="J8" s="4" t="s">
        <v>122</v>
      </c>
      <c r="K8" s="4" t="s">
        <v>123</v>
      </c>
      <c r="L8">
        <v>0</v>
      </c>
      <c r="M8" s="4" t="s">
        <v>158</v>
      </c>
    </row>
    <row r="9" spans="1:13" x14ac:dyDescent="0.2">
      <c r="A9" s="4" t="s">
        <v>49</v>
      </c>
      <c r="B9">
        <v>8</v>
      </c>
      <c r="C9" s="4" t="s">
        <v>26</v>
      </c>
      <c r="D9" s="4" t="s">
        <v>27</v>
      </c>
      <c r="E9" s="4" t="s">
        <v>27</v>
      </c>
      <c r="F9" s="4" t="s">
        <v>28</v>
      </c>
      <c r="G9">
        <v>1</v>
      </c>
      <c r="H9">
        <v>1</v>
      </c>
      <c r="I9" s="4" t="s">
        <v>112</v>
      </c>
      <c r="J9" s="4" t="s">
        <v>125</v>
      </c>
      <c r="K9" s="4" t="s">
        <v>126</v>
      </c>
      <c r="L9">
        <v>0</v>
      </c>
      <c r="M9" s="4" t="s">
        <v>158</v>
      </c>
    </row>
    <row r="10" spans="1:13" x14ac:dyDescent="0.2">
      <c r="A10" s="4" t="s">
        <v>52</v>
      </c>
      <c r="B10">
        <v>9</v>
      </c>
      <c r="C10" s="4" t="s">
        <v>26</v>
      </c>
      <c r="D10" s="4" t="s">
        <v>27</v>
      </c>
      <c r="E10" s="4" t="s">
        <v>27</v>
      </c>
      <c r="F10" s="4" t="s">
        <v>28</v>
      </c>
      <c r="G10">
        <v>1</v>
      </c>
      <c r="H10">
        <v>1</v>
      </c>
      <c r="I10" s="4" t="s">
        <v>112</v>
      </c>
      <c r="J10" s="4" t="s">
        <v>127</v>
      </c>
      <c r="K10" s="4" t="s">
        <v>128</v>
      </c>
      <c r="L10">
        <v>0</v>
      </c>
      <c r="M10" s="4" t="s">
        <v>158</v>
      </c>
    </row>
    <row r="11" spans="1:13" x14ac:dyDescent="0.2">
      <c r="A11" s="4" t="s">
        <v>55</v>
      </c>
      <c r="B11">
        <v>10</v>
      </c>
      <c r="C11" s="4" t="s">
        <v>26</v>
      </c>
      <c r="D11" s="4" t="s">
        <v>27</v>
      </c>
      <c r="E11" s="4" t="s">
        <v>27</v>
      </c>
      <c r="F11" s="4" t="s">
        <v>28</v>
      </c>
      <c r="G11">
        <v>1</v>
      </c>
      <c r="H11">
        <v>1</v>
      </c>
      <c r="I11" s="4" t="s">
        <v>112</v>
      </c>
      <c r="J11" s="4" t="s">
        <v>129</v>
      </c>
      <c r="K11" s="4" t="s">
        <v>130</v>
      </c>
      <c r="L11">
        <v>0</v>
      </c>
      <c r="M11" s="4" t="s">
        <v>158</v>
      </c>
    </row>
    <row r="12" spans="1:13" x14ac:dyDescent="0.2">
      <c r="A12" s="4" t="s">
        <v>58</v>
      </c>
      <c r="B12">
        <v>11</v>
      </c>
      <c r="C12" s="4" t="s">
        <v>26</v>
      </c>
      <c r="D12" s="4" t="s">
        <v>27</v>
      </c>
      <c r="E12" s="4" t="s">
        <v>27</v>
      </c>
      <c r="F12" s="4" t="s">
        <v>28</v>
      </c>
      <c r="G12">
        <v>1</v>
      </c>
      <c r="H12">
        <v>1</v>
      </c>
      <c r="I12" s="4" t="s">
        <v>112</v>
      </c>
      <c r="J12" s="4" t="s">
        <v>131</v>
      </c>
      <c r="K12" s="4" t="s">
        <v>132</v>
      </c>
      <c r="L12">
        <v>0</v>
      </c>
      <c r="M12" s="4" t="s">
        <v>158</v>
      </c>
    </row>
    <row r="13" spans="1:13" x14ac:dyDescent="0.2">
      <c r="A13" s="4" t="s">
        <v>60</v>
      </c>
      <c r="B13">
        <v>12</v>
      </c>
      <c r="C13" s="4" t="s">
        <v>26</v>
      </c>
      <c r="D13" s="4" t="s">
        <v>27</v>
      </c>
      <c r="E13" s="4" t="s">
        <v>27</v>
      </c>
      <c r="F13" s="4" t="s">
        <v>28</v>
      </c>
      <c r="G13">
        <v>1</v>
      </c>
      <c r="H13">
        <v>1</v>
      </c>
      <c r="I13" s="4" t="s">
        <v>112</v>
      </c>
      <c r="J13" s="4" t="s">
        <v>133</v>
      </c>
      <c r="K13" s="4" t="s">
        <v>134</v>
      </c>
      <c r="L13">
        <v>0</v>
      </c>
      <c r="M13" s="4" t="s">
        <v>158</v>
      </c>
    </row>
    <row r="14" spans="1:13" x14ac:dyDescent="0.2">
      <c r="A14" s="4" t="s">
        <v>62</v>
      </c>
      <c r="B14">
        <v>13</v>
      </c>
      <c r="C14" s="4" t="s">
        <v>26</v>
      </c>
      <c r="D14" s="4" t="s">
        <v>27</v>
      </c>
      <c r="E14" s="4" t="s">
        <v>27</v>
      </c>
      <c r="F14" s="4" t="s">
        <v>28</v>
      </c>
      <c r="G14">
        <v>1</v>
      </c>
      <c r="H14">
        <v>1</v>
      </c>
      <c r="I14" s="4" t="s">
        <v>114</v>
      </c>
      <c r="J14" s="4" t="s">
        <v>122</v>
      </c>
      <c r="K14" s="4" t="s">
        <v>123</v>
      </c>
      <c r="L14">
        <v>0</v>
      </c>
      <c r="M14" s="4" t="s">
        <v>158</v>
      </c>
    </row>
    <row r="15" spans="1:13" x14ac:dyDescent="0.2">
      <c r="A15" s="4" t="s">
        <v>64</v>
      </c>
      <c r="B15">
        <v>14</v>
      </c>
      <c r="C15" s="4" t="s">
        <v>26</v>
      </c>
      <c r="D15" s="4" t="s">
        <v>27</v>
      </c>
      <c r="E15" s="4" t="s">
        <v>27</v>
      </c>
      <c r="F15" s="4" t="s">
        <v>28</v>
      </c>
      <c r="G15">
        <v>1</v>
      </c>
      <c r="H15">
        <v>1</v>
      </c>
      <c r="I15" s="4" t="s">
        <v>114</v>
      </c>
      <c r="J15" s="4" t="s">
        <v>125</v>
      </c>
      <c r="K15" s="4" t="s">
        <v>126</v>
      </c>
      <c r="L15">
        <v>0</v>
      </c>
      <c r="M15" s="4" t="s">
        <v>158</v>
      </c>
    </row>
    <row r="16" spans="1:13" x14ac:dyDescent="0.2">
      <c r="A16" s="4" t="s">
        <v>66</v>
      </c>
      <c r="B16">
        <v>15</v>
      </c>
      <c r="C16" s="4" t="s">
        <v>26</v>
      </c>
      <c r="D16" s="4" t="s">
        <v>27</v>
      </c>
      <c r="E16" s="4" t="s">
        <v>27</v>
      </c>
      <c r="F16" s="4" t="s">
        <v>28</v>
      </c>
      <c r="G16">
        <v>1</v>
      </c>
      <c r="H16">
        <v>1</v>
      </c>
      <c r="I16" s="4" t="s">
        <v>114</v>
      </c>
      <c r="J16" s="4" t="s">
        <v>127</v>
      </c>
      <c r="K16" s="4" t="s">
        <v>128</v>
      </c>
      <c r="L16">
        <v>0</v>
      </c>
      <c r="M16" s="4" t="s">
        <v>158</v>
      </c>
    </row>
    <row r="17" spans="1:13" x14ac:dyDescent="0.2">
      <c r="A17" s="4" t="s">
        <v>68</v>
      </c>
      <c r="B17">
        <v>16</v>
      </c>
      <c r="C17" s="4" t="s">
        <v>26</v>
      </c>
      <c r="D17" s="4" t="s">
        <v>27</v>
      </c>
      <c r="E17" s="4" t="s">
        <v>27</v>
      </c>
      <c r="F17" s="4" t="s">
        <v>28</v>
      </c>
      <c r="G17">
        <v>1</v>
      </c>
      <c r="H17">
        <v>1</v>
      </c>
      <c r="I17" s="4" t="s">
        <v>114</v>
      </c>
      <c r="J17" s="4" t="s">
        <v>129</v>
      </c>
      <c r="K17" s="4" t="s">
        <v>130</v>
      </c>
      <c r="L17">
        <v>0</v>
      </c>
      <c r="M17" s="4" t="s">
        <v>158</v>
      </c>
    </row>
    <row r="18" spans="1:13" x14ac:dyDescent="0.2">
      <c r="A18" s="4" t="s">
        <v>70</v>
      </c>
      <c r="B18">
        <v>17</v>
      </c>
      <c r="C18" s="4" t="s">
        <v>26</v>
      </c>
      <c r="D18" s="4" t="s">
        <v>27</v>
      </c>
      <c r="E18" s="4" t="s">
        <v>27</v>
      </c>
      <c r="F18" s="4" t="s">
        <v>28</v>
      </c>
      <c r="G18">
        <v>1</v>
      </c>
      <c r="H18">
        <v>1</v>
      </c>
      <c r="I18" s="4" t="s">
        <v>114</v>
      </c>
      <c r="J18" s="4" t="s">
        <v>131</v>
      </c>
      <c r="K18" s="4" t="s">
        <v>132</v>
      </c>
      <c r="L18">
        <v>0</v>
      </c>
      <c r="M18" s="4" t="s">
        <v>158</v>
      </c>
    </row>
    <row r="19" spans="1:13" x14ac:dyDescent="0.2">
      <c r="A19" s="4" t="s">
        <v>72</v>
      </c>
      <c r="B19">
        <v>18</v>
      </c>
      <c r="C19" s="4" t="s">
        <v>26</v>
      </c>
      <c r="D19" s="4" t="s">
        <v>27</v>
      </c>
      <c r="E19" s="4" t="s">
        <v>27</v>
      </c>
      <c r="F19" s="4" t="s">
        <v>28</v>
      </c>
      <c r="G19">
        <v>1</v>
      </c>
      <c r="H19">
        <v>1</v>
      </c>
      <c r="I19" s="4" t="s">
        <v>114</v>
      </c>
      <c r="J19" s="4" t="s">
        <v>133</v>
      </c>
      <c r="K19" s="4" t="s">
        <v>134</v>
      </c>
      <c r="L19">
        <v>0</v>
      </c>
      <c r="M19" s="4" t="s">
        <v>158</v>
      </c>
    </row>
    <row r="20" spans="1:13" x14ac:dyDescent="0.2">
      <c r="A20" s="4" t="s">
        <v>74</v>
      </c>
      <c r="B20">
        <v>19</v>
      </c>
      <c r="C20" s="4" t="s">
        <v>26</v>
      </c>
      <c r="D20" s="4" t="s">
        <v>27</v>
      </c>
      <c r="E20" s="4" t="s">
        <v>27</v>
      </c>
      <c r="F20" s="4" t="s">
        <v>28</v>
      </c>
      <c r="G20">
        <v>1</v>
      </c>
      <c r="H20">
        <v>1</v>
      </c>
      <c r="I20" s="4" t="s">
        <v>116</v>
      </c>
      <c r="J20" s="4" t="s">
        <v>122</v>
      </c>
      <c r="K20" s="4" t="s">
        <v>123</v>
      </c>
      <c r="L20">
        <v>0</v>
      </c>
      <c r="M20" s="4" t="s">
        <v>158</v>
      </c>
    </row>
    <row r="21" spans="1:13" x14ac:dyDescent="0.2">
      <c r="A21" s="4" t="s">
        <v>76</v>
      </c>
      <c r="B21">
        <v>20</v>
      </c>
      <c r="C21" s="4" t="s">
        <v>26</v>
      </c>
      <c r="D21" s="4" t="s">
        <v>27</v>
      </c>
      <c r="E21" s="4" t="s">
        <v>27</v>
      </c>
      <c r="F21" s="4" t="s">
        <v>28</v>
      </c>
      <c r="G21">
        <v>1</v>
      </c>
      <c r="H21">
        <v>1</v>
      </c>
      <c r="I21" s="4" t="s">
        <v>116</v>
      </c>
      <c r="J21" s="4" t="s">
        <v>125</v>
      </c>
      <c r="K21" s="4" t="s">
        <v>126</v>
      </c>
      <c r="L21">
        <v>0</v>
      </c>
      <c r="M21" s="4" t="s">
        <v>158</v>
      </c>
    </row>
    <row r="22" spans="1:13" x14ac:dyDescent="0.2">
      <c r="A22" s="4" t="s">
        <v>78</v>
      </c>
      <c r="B22">
        <v>21</v>
      </c>
      <c r="C22" s="4" t="s">
        <v>26</v>
      </c>
      <c r="D22" s="4" t="s">
        <v>27</v>
      </c>
      <c r="E22" s="4" t="s">
        <v>27</v>
      </c>
      <c r="F22" s="4" t="s">
        <v>28</v>
      </c>
      <c r="G22">
        <v>1</v>
      </c>
      <c r="H22">
        <v>1</v>
      </c>
      <c r="I22" s="4" t="s">
        <v>116</v>
      </c>
      <c r="J22" s="4" t="s">
        <v>127</v>
      </c>
      <c r="K22" s="4" t="s">
        <v>128</v>
      </c>
      <c r="L22">
        <v>0</v>
      </c>
      <c r="M22" s="4" t="s">
        <v>158</v>
      </c>
    </row>
    <row r="23" spans="1:13" x14ac:dyDescent="0.2">
      <c r="A23" s="4" t="s">
        <v>80</v>
      </c>
      <c r="B23">
        <v>22</v>
      </c>
      <c r="C23" s="4" t="s">
        <v>26</v>
      </c>
      <c r="D23" s="4" t="s">
        <v>27</v>
      </c>
      <c r="E23" s="4" t="s">
        <v>27</v>
      </c>
      <c r="F23" s="4" t="s">
        <v>28</v>
      </c>
      <c r="G23">
        <v>1</v>
      </c>
      <c r="H23">
        <v>1</v>
      </c>
      <c r="I23" s="4" t="s">
        <v>116</v>
      </c>
      <c r="J23" s="4" t="s">
        <v>129</v>
      </c>
      <c r="K23" s="4" t="s">
        <v>130</v>
      </c>
      <c r="L23">
        <v>0</v>
      </c>
      <c r="M23" s="4" t="s">
        <v>158</v>
      </c>
    </row>
    <row r="24" spans="1:13" x14ac:dyDescent="0.2">
      <c r="A24" s="4" t="s">
        <v>82</v>
      </c>
      <c r="B24">
        <v>23</v>
      </c>
      <c r="C24" s="4" t="s">
        <v>26</v>
      </c>
      <c r="D24" s="4" t="s">
        <v>27</v>
      </c>
      <c r="E24" s="4" t="s">
        <v>27</v>
      </c>
      <c r="F24" s="4" t="s">
        <v>28</v>
      </c>
      <c r="G24">
        <v>1</v>
      </c>
      <c r="H24">
        <v>1</v>
      </c>
      <c r="I24" s="4" t="s">
        <v>116</v>
      </c>
      <c r="J24" s="4" t="s">
        <v>131</v>
      </c>
      <c r="K24" s="4" t="s">
        <v>132</v>
      </c>
      <c r="L24">
        <v>0</v>
      </c>
      <c r="M24" s="4" t="s">
        <v>158</v>
      </c>
    </row>
    <row r="25" spans="1:13" x14ac:dyDescent="0.2">
      <c r="A25" s="4" t="s">
        <v>84</v>
      </c>
      <c r="B25">
        <v>24</v>
      </c>
      <c r="C25" s="4" t="s">
        <v>26</v>
      </c>
      <c r="D25" s="4" t="s">
        <v>27</v>
      </c>
      <c r="E25" s="4" t="s">
        <v>27</v>
      </c>
      <c r="F25" s="4" t="s">
        <v>28</v>
      </c>
      <c r="G25">
        <v>1</v>
      </c>
      <c r="H25">
        <v>1</v>
      </c>
      <c r="I25" s="4" t="s">
        <v>116</v>
      </c>
      <c r="J25" s="4" t="s">
        <v>133</v>
      </c>
      <c r="K25" s="4" t="s">
        <v>134</v>
      </c>
      <c r="L25">
        <v>0</v>
      </c>
      <c r="M25" s="4" t="s">
        <v>158</v>
      </c>
    </row>
    <row r="26" spans="1:13" x14ac:dyDescent="0.2">
      <c r="A26" s="4" t="s">
        <v>86</v>
      </c>
      <c r="B26">
        <v>25</v>
      </c>
      <c r="C26" s="4" t="s">
        <v>26</v>
      </c>
      <c r="D26" s="4" t="s">
        <v>27</v>
      </c>
      <c r="E26" s="4" t="s">
        <v>32</v>
      </c>
      <c r="F26" s="4" t="s">
        <v>33</v>
      </c>
      <c r="G26">
        <v>1</v>
      </c>
      <c r="H26">
        <v>2</v>
      </c>
      <c r="I26" s="4" t="s">
        <v>35</v>
      </c>
      <c r="J26" s="4" t="s">
        <v>122</v>
      </c>
      <c r="K26" s="4" t="s">
        <v>123</v>
      </c>
      <c r="L26">
        <v>0</v>
      </c>
      <c r="M26" s="4" t="s">
        <v>158</v>
      </c>
    </row>
    <row r="27" spans="1:13" x14ac:dyDescent="0.2">
      <c r="A27" s="4" t="s">
        <v>88</v>
      </c>
      <c r="B27">
        <v>26</v>
      </c>
      <c r="C27" s="4" t="s">
        <v>26</v>
      </c>
      <c r="D27" s="4" t="s">
        <v>27</v>
      </c>
      <c r="E27" s="4" t="s">
        <v>32</v>
      </c>
      <c r="F27" s="4" t="s">
        <v>33</v>
      </c>
      <c r="G27">
        <v>1</v>
      </c>
      <c r="H27">
        <v>2</v>
      </c>
      <c r="I27" s="4" t="s">
        <v>35</v>
      </c>
      <c r="J27" s="4" t="s">
        <v>125</v>
      </c>
      <c r="K27" s="4" t="s">
        <v>126</v>
      </c>
      <c r="L27">
        <v>0</v>
      </c>
      <c r="M27" s="4" t="s">
        <v>158</v>
      </c>
    </row>
    <row r="28" spans="1:13" x14ac:dyDescent="0.2">
      <c r="A28" s="4" t="s">
        <v>90</v>
      </c>
      <c r="B28">
        <v>27</v>
      </c>
      <c r="C28" s="4" t="s">
        <v>26</v>
      </c>
      <c r="D28" s="4" t="s">
        <v>27</v>
      </c>
      <c r="E28" s="4" t="s">
        <v>32</v>
      </c>
      <c r="F28" s="4" t="s">
        <v>33</v>
      </c>
      <c r="G28">
        <v>1</v>
      </c>
      <c r="H28">
        <v>2</v>
      </c>
      <c r="I28" s="4" t="s">
        <v>35</v>
      </c>
      <c r="J28" s="4" t="s">
        <v>127</v>
      </c>
      <c r="K28" s="4" t="s">
        <v>128</v>
      </c>
      <c r="L28">
        <v>0</v>
      </c>
      <c r="M28" s="4" t="s">
        <v>158</v>
      </c>
    </row>
    <row r="29" spans="1:13" x14ac:dyDescent="0.2">
      <c r="A29" s="4" t="s">
        <v>92</v>
      </c>
      <c r="B29">
        <v>28</v>
      </c>
      <c r="C29" s="4" t="s">
        <v>26</v>
      </c>
      <c r="D29" s="4" t="s">
        <v>27</v>
      </c>
      <c r="E29" s="4" t="s">
        <v>32</v>
      </c>
      <c r="F29" s="4" t="s">
        <v>33</v>
      </c>
      <c r="G29">
        <v>1</v>
      </c>
      <c r="H29">
        <v>2</v>
      </c>
      <c r="I29" s="4" t="s">
        <v>35</v>
      </c>
      <c r="J29" s="4" t="s">
        <v>129</v>
      </c>
      <c r="K29" s="4" t="s">
        <v>130</v>
      </c>
      <c r="L29">
        <v>0</v>
      </c>
      <c r="M29" s="4" t="s">
        <v>158</v>
      </c>
    </row>
    <row r="30" spans="1:13" x14ac:dyDescent="0.2">
      <c r="A30" s="4" t="s">
        <v>94</v>
      </c>
      <c r="B30">
        <v>29</v>
      </c>
      <c r="C30" s="4" t="s">
        <v>26</v>
      </c>
      <c r="D30" s="4" t="s">
        <v>27</v>
      </c>
      <c r="E30" s="4" t="s">
        <v>32</v>
      </c>
      <c r="F30" s="4" t="s">
        <v>33</v>
      </c>
      <c r="G30">
        <v>1</v>
      </c>
      <c r="H30">
        <v>2</v>
      </c>
      <c r="I30" s="4" t="s">
        <v>35</v>
      </c>
      <c r="J30" s="4" t="s">
        <v>131</v>
      </c>
      <c r="K30" s="4" t="s">
        <v>132</v>
      </c>
      <c r="L30">
        <v>0</v>
      </c>
      <c r="M30" s="4" t="s">
        <v>158</v>
      </c>
    </row>
    <row r="31" spans="1:13" x14ac:dyDescent="0.2">
      <c r="A31" s="4" t="s">
        <v>96</v>
      </c>
      <c r="B31">
        <v>30</v>
      </c>
      <c r="C31" s="4" t="s">
        <v>26</v>
      </c>
      <c r="D31" s="4" t="s">
        <v>27</v>
      </c>
      <c r="E31" s="4" t="s">
        <v>32</v>
      </c>
      <c r="F31" s="4" t="s">
        <v>33</v>
      </c>
      <c r="G31">
        <v>1</v>
      </c>
      <c r="H31">
        <v>2</v>
      </c>
      <c r="I31" s="4" t="s">
        <v>35</v>
      </c>
      <c r="J31" s="4" t="s">
        <v>133</v>
      </c>
      <c r="K31" s="4" t="s">
        <v>134</v>
      </c>
      <c r="L31">
        <v>0</v>
      </c>
      <c r="M31" s="4" t="s">
        <v>158</v>
      </c>
    </row>
    <row r="32" spans="1:13" x14ac:dyDescent="0.2">
      <c r="A32" s="4" t="s">
        <v>215</v>
      </c>
      <c r="B32">
        <v>31</v>
      </c>
      <c r="C32" s="4" t="s">
        <v>26</v>
      </c>
      <c r="D32" s="4" t="s">
        <v>27</v>
      </c>
      <c r="E32" s="4" t="s">
        <v>32</v>
      </c>
      <c r="F32" s="4" t="s">
        <v>33</v>
      </c>
      <c r="G32">
        <v>1</v>
      </c>
      <c r="H32">
        <v>2</v>
      </c>
      <c r="I32" s="4" t="s">
        <v>112</v>
      </c>
      <c r="J32" s="4" t="s">
        <v>122</v>
      </c>
      <c r="K32" s="4" t="s">
        <v>123</v>
      </c>
      <c r="L32">
        <v>0</v>
      </c>
      <c r="M32" s="4" t="s">
        <v>158</v>
      </c>
    </row>
    <row r="33" spans="1:13" x14ac:dyDescent="0.2">
      <c r="A33" s="4" t="s">
        <v>216</v>
      </c>
      <c r="B33">
        <v>32</v>
      </c>
      <c r="C33" s="4" t="s">
        <v>26</v>
      </c>
      <c r="D33" s="4" t="s">
        <v>27</v>
      </c>
      <c r="E33" s="4" t="s">
        <v>32</v>
      </c>
      <c r="F33" s="4" t="s">
        <v>33</v>
      </c>
      <c r="G33">
        <v>1</v>
      </c>
      <c r="H33">
        <v>2</v>
      </c>
      <c r="I33" s="4" t="s">
        <v>112</v>
      </c>
      <c r="J33" s="4" t="s">
        <v>125</v>
      </c>
      <c r="K33" s="4" t="s">
        <v>126</v>
      </c>
      <c r="L33">
        <v>0</v>
      </c>
      <c r="M33" s="4" t="s">
        <v>158</v>
      </c>
    </row>
    <row r="34" spans="1:13" x14ac:dyDescent="0.2">
      <c r="A34" s="4" t="s">
        <v>217</v>
      </c>
      <c r="B34">
        <v>33</v>
      </c>
      <c r="C34" s="4" t="s">
        <v>26</v>
      </c>
      <c r="D34" s="4" t="s">
        <v>27</v>
      </c>
      <c r="E34" s="4" t="s">
        <v>32</v>
      </c>
      <c r="F34" s="4" t="s">
        <v>33</v>
      </c>
      <c r="G34">
        <v>1</v>
      </c>
      <c r="H34">
        <v>2</v>
      </c>
      <c r="I34" s="4" t="s">
        <v>112</v>
      </c>
      <c r="J34" s="4" t="s">
        <v>127</v>
      </c>
      <c r="K34" s="4" t="s">
        <v>128</v>
      </c>
      <c r="L34">
        <v>0</v>
      </c>
      <c r="M34" s="4" t="s">
        <v>158</v>
      </c>
    </row>
    <row r="35" spans="1:13" x14ac:dyDescent="0.2">
      <c r="A35" s="4" t="s">
        <v>218</v>
      </c>
      <c r="B35">
        <v>34</v>
      </c>
      <c r="C35" s="4" t="s">
        <v>26</v>
      </c>
      <c r="D35" s="4" t="s">
        <v>27</v>
      </c>
      <c r="E35" s="4" t="s">
        <v>32</v>
      </c>
      <c r="F35" s="4" t="s">
        <v>33</v>
      </c>
      <c r="G35">
        <v>1</v>
      </c>
      <c r="H35">
        <v>2</v>
      </c>
      <c r="I35" s="4" t="s">
        <v>112</v>
      </c>
      <c r="J35" s="4" t="s">
        <v>129</v>
      </c>
      <c r="K35" s="4" t="s">
        <v>130</v>
      </c>
      <c r="L35">
        <v>0</v>
      </c>
      <c r="M35" s="4" t="s">
        <v>158</v>
      </c>
    </row>
    <row r="36" spans="1:13" x14ac:dyDescent="0.2">
      <c r="A36" s="4" t="s">
        <v>219</v>
      </c>
      <c r="B36">
        <v>35</v>
      </c>
      <c r="C36" s="4" t="s">
        <v>26</v>
      </c>
      <c r="D36" s="4" t="s">
        <v>27</v>
      </c>
      <c r="E36" s="4" t="s">
        <v>32</v>
      </c>
      <c r="F36" s="4" t="s">
        <v>33</v>
      </c>
      <c r="G36">
        <v>1</v>
      </c>
      <c r="H36">
        <v>2</v>
      </c>
      <c r="I36" s="4" t="s">
        <v>112</v>
      </c>
      <c r="J36" s="4" t="s">
        <v>131</v>
      </c>
      <c r="K36" s="4" t="s">
        <v>132</v>
      </c>
      <c r="L36">
        <v>0</v>
      </c>
      <c r="M36" s="4" t="s">
        <v>158</v>
      </c>
    </row>
    <row r="37" spans="1:13" x14ac:dyDescent="0.2">
      <c r="A37" s="4" t="s">
        <v>220</v>
      </c>
      <c r="B37">
        <v>36</v>
      </c>
      <c r="C37" s="4" t="s">
        <v>26</v>
      </c>
      <c r="D37" s="4" t="s">
        <v>27</v>
      </c>
      <c r="E37" s="4" t="s">
        <v>32</v>
      </c>
      <c r="F37" s="4" t="s">
        <v>33</v>
      </c>
      <c r="G37">
        <v>1</v>
      </c>
      <c r="H37">
        <v>2</v>
      </c>
      <c r="I37" s="4" t="s">
        <v>112</v>
      </c>
      <c r="J37" s="4" t="s">
        <v>133</v>
      </c>
      <c r="K37" s="4" t="s">
        <v>134</v>
      </c>
      <c r="L37">
        <v>0</v>
      </c>
      <c r="M37" s="4" t="s">
        <v>158</v>
      </c>
    </row>
    <row r="38" spans="1:13" x14ac:dyDescent="0.2">
      <c r="A38" s="4" t="s">
        <v>221</v>
      </c>
      <c r="B38">
        <v>37</v>
      </c>
      <c r="C38" s="4" t="s">
        <v>26</v>
      </c>
      <c r="D38" s="4" t="s">
        <v>27</v>
      </c>
      <c r="E38" s="4" t="s">
        <v>32</v>
      </c>
      <c r="F38" s="4" t="s">
        <v>33</v>
      </c>
      <c r="G38">
        <v>1</v>
      </c>
      <c r="H38">
        <v>2</v>
      </c>
      <c r="I38" s="4" t="s">
        <v>114</v>
      </c>
      <c r="J38" s="4" t="s">
        <v>122</v>
      </c>
      <c r="K38" s="4" t="s">
        <v>123</v>
      </c>
      <c r="L38">
        <v>0</v>
      </c>
      <c r="M38" s="4" t="s">
        <v>158</v>
      </c>
    </row>
    <row r="39" spans="1:13" x14ac:dyDescent="0.2">
      <c r="A39" s="4" t="s">
        <v>222</v>
      </c>
      <c r="B39">
        <v>38</v>
      </c>
      <c r="C39" s="4" t="s">
        <v>26</v>
      </c>
      <c r="D39" s="4" t="s">
        <v>27</v>
      </c>
      <c r="E39" s="4" t="s">
        <v>32</v>
      </c>
      <c r="F39" s="4" t="s">
        <v>33</v>
      </c>
      <c r="G39">
        <v>1</v>
      </c>
      <c r="H39">
        <v>2</v>
      </c>
      <c r="I39" s="4" t="s">
        <v>114</v>
      </c>
      <c r="J39" s="4" t="s">
        <v>125</v>
      </c>
      <c r="K39" s="4" t="s">
        <v>126</v>
      </c>
      <c r="L39">
        <v>0</v>
      </c>
      <c r="M39" s="4" t="s">
        <v>158</v>
      </c>
    </row>
    <row r="40" spans="1:13" x14ac:dyDescent="0.2">
      <c r="A40" s="4" t="s">
        <v>223</v>
      </c>
      <c r="B40">
        <v>39</v>
      </c>
      <c r="C40" s="4" t="s">
        <v>26</v>
      </c>
      <c r="D40" s="4" t="s">
        <v>27</v>
      </c>
      <c r="E40" s="4" t="s">
        <v>32</v>
      </c>
      <c r="F40" s="4" t="s">
        <v>33</v>
      </c>
      <c r="G40">
        <v>1</v>
      </c>
      <c r="H40">
        <v>2</v>
      </c>
      <c r="I40" s="4" t="s">
        <v>114</v>
      </c>
      <c r="J40" s="4" t="s">
        <v>127</v>
      </c>
      <c r="K40" s="4" t="s">
        <v>128</v>
      </c>
      <c r="L40">
        <v>0</v>
      </c>
      <c r="M40" s="4" t="s">
        <v>158</v>
      </c>
    </row>
    <row r="41" spans="1:13" x14ac:dyDescent="0.2">
      <c r="A41" s="4" t="s">
        <v>224</v>
      </c>
      <c r="B41">
        <v>40</v>
      </c>
      <c r="C41" s="4" t="s">
        <v>26</v>
      </c>
      <c r="D41" s="4" t="s">
        <v>27</v>
      </c>
      <c r="E41" s="4" t="s">
        <v>32</v>
      </c>
      <c r="F41" s="4" t="s">
        <v>33</v>
      </c>
      <c r="G41">
        <v>1</v>
      </c>
      <c r="H41">
        <v>2</v>
      </c>
      <c r="I41" s="4" t="s">
        <v>114</v>
      </c>
      <c r="J41" s="4" t="s">
        <v>129</v>
      </c>
      <c r="K41" s="4" t="s">
        <v>130</v>
      </c>
      <c r="L41">
        <v>0</v>
      </c>
      <c r="M41" s="4" t="s">
        <v>158</v>
      </c>
    </row>
    <row r="42" spans="1:13" x14ac:dyDescent="0.2">
      <c r="A42" s="4" t="s">
        <v>225</v>
      </c>
      <c r="B42">
        <v>41</v>
      </c>
      <c r="C42" s="4" t="s">
        <v>26</v>
      </c>
      <c r="D42" s="4" t="s">
        <v>27</v>
      </c>
      <c r="E42" s="4" t="s">
        <v>32</v>
      </c>
      <c r="F42" s="4" t="s">
        <v>33</v>
      </c>
      <c r="G42">
        <v>1</v>
      </c>
      <c r="H42">
        <v>2</v>
      </c>
      <c r="I42" s="4" t="s">
        <v>114</v>
      </c>
      <c r="J42" s="4" t="s">
        <v>131</v>
      </c>
      <c r="K42" s="4" t="s">
        <v>132</v>
      </c>
      <c r="L42">
        <v>0</v>
      </c>
      <c r="M42" s="4" t="s">
        <v>158</v>
      </c>
    </row>
    <row r="43" spans="1:13" x14ac:dyDescent="0.2">
      <c r="A43" s="4" t="s">
        <v>226</v>
      </c>
      <c r="B43">
        <v>42</v>
      </c>
      <c r="C43" s="4" t="s">
        <v>26</v>
      </c>
      <c r="D43" s="4" t="s">
        <v>27</v>
      </c>
      <c r="E43" s="4" t="s">
        <v>32</v>
      </c>
      <c r="F43" s="4" t="s">
        <v>33</v>
      </c>
      <c r="G43">
        <v>1</v>
      </c>
      <c r="H43">
        <v>2</v>
      </c>
      <c r="I43" s="4" t="s">
        <v>114</v>
      </c>
      <c r="J43" s="4" t="s">
        <v>133</v>
      </c>
      <c r="K43" s="4" t="s">
        <v>134</v>
      </c>
      <c r="L43">
        <v>0</v>
      </c>
      <c r="M43" s="4" t="s">
        <v>158</v>
      </c>
    </row>
    <row r="44" spans="1:13" x14ac:dyDescent="0.2">
      <c r="A44" s="4" t="s">
        <v>227</v>
      </c>
      <c r="B44">
        <v>43</v>
      </c>
      <c r="C44" s="4" t="s">
        <v>26</v>
      </c>
      <c r="D44" s="4" t="s">
        <v>27</v>
      </c>
      <c r="E44" s="4" t="s">
        <v>32</v>
      </c>
      <c r="F44" s="4" t="s">
        <v>33</v>
      </c>
      <c r="G44">
        <v>1</v>
      </c>
      <c r="H44">
        <v>2</v>
      </c>
      <c r="I44" s="4" t="s">
        <v>116</v>
      </c>
      <c r="J44" s="4" t="s">
        <v>122</v>
      </c>
      <c r="K44" s="4" t="s">
        <v>123</v>
      </c>
      <c r="L44">
        <v>0</v>
      </c>
      <c r="M44" s="4" t="s">
        <v>158</v>
      </c>
    </row>
    <row r="45" spans="1:13" x14ac:dyDescent="0.2">
      <c r="A45" s="4" t="s">
        <v>228</v>
      </c>
      <c r="B45">
        <v>44</v>
      </c>
      <c r="C45" s="4" t="s">
        <v>26</v>
      </c>
      <c r="D45" s="4" t="s">
        <v>27</v>
      </c>
      <c r="E45" s="4" t="s">
        <v>32</v>
      </c>
      <c r="F45" s="4" t="s">
        <v>33</v>
      </c>
      <c r="G45">
        <v>1</v>
      </c>
      <c r="H45">
        <v>2</v>
      </c>
      <c r="I45" s="4" t="s">
        <v>116</v>
      </c>
      <c r="J45" s="4" t="s">
        <v>125</v>
      </c>
      <c r="K45" s="4" t="s">
        <v>126</v>
      </c>
      <c r="L45">
        <v>0</v>
      </c>
      <c r="M45" s="4" t="s">
        <v>158</v>
      </c>
    </row>
    <row r="46" spans="1:13" x14ac:dyDescent="0.2">
      <c r="A46" s="4" t="s">
        <v>229</v>
      </c>
      <c r="B46">
        <v>45</v>
      </c>
      <c r="C46" s="4" t="s">
        <v>26</v>
      </c>
      <c r="D46" s="4" t="s">
        <v>27</v>
      </c>
      <c r="E46" s="4" t="s">
        <v>32</v>
      </c>
      <c r="F46" s="4" t="s">
        <v>33</v>
      </c>
      <c r="G46">
        <v>1</v>
      </c>
      <c r="H46">
        <v>2</v>
      </c>
      <c r="I46" s="4" t="s">
        <v>116</v>
      </c>
      <c r="J46" s="4" t="s">
        <v>127</v>
      </c>
      <c r="K46" s="4" t="s">
        <v>128</v>
      </c>
      <c r="L46">
        <v>0</v>
      </c>
      <c r="M46" s="4" t="s">
        <v>158</v>
      </c>
    </row>
    <row r="47" spans="1:13" x14ac:dyDescent="0.2">
      <c r="A47" s="4" t="s">
        <v>230</v>
      </c>
      <c r="B47">
        <v>46</v>
      </c>
      <c r="C47" s="4" t="s">
        <v>26</v>
      </c>
      <c r="D47" s="4" t="s">
        <v>27</v>
      </c>
      <c r="E47" s="4" t="s">
        <v>32</v>
      </c>
      <c r="F47" s="4" t="s">
        <v>33</v>
      </c>
      <c r="G47">
        <v>1</v>
      </c>
      <c r="H47">
        <v>2</v>
      </c>
      <c r="I47" s="4" t="s">
        <v>116</v>
      </c>
      <c r="J47" s="4" t="s">
        <v>129</v>
      </c>
      <c r="K47" s="4" t="s">
        <v>130</v>
      </c>
      <c r="L47">
        <v>0</v>
      </c>
      <c r="M47" s="4" t="s">
        <v>158</v>
      </c>
    </row>
    <row r="48" spans="1:13" x14ac:dyDescent="0.2">
      <c r="A48" s="4" t="s">
        <v>231</v>
      </c>
      <c r="B48">
        <v>47</v>
      </c>
      <c r="C48" s="4" t="s">
        <v>26</v>
      </c>
      <c r="D48" s="4" t="s">
        <v>27</v>
      </c>
      <c r="E48" s="4" t="s">
        <v>32</v>
      </c>
      <c r="F48" s="4" t="s">
        <v>33</v>
      </c>
      <c r="G48">
        <v>1</v>
      </c>
      <c r="H48">
        <v>2</v>
      </c>
      <c r="I48" s="4" t="s">
        <v>116</v>
      </c>
      <c r="J48" s="4" t="s">
        <v>131</v>
      </c>
      <c r="K48" s="4" t="s">
        <v>132</v>
      </c>
      <c r="L48">
        <v>0</v>
      </c>
      <c r="M48" s="4" t="s">
        <v>158</v>
      </c>
    </row>
    <row r="49" spans="1:13" x14ac:dyDescent="0.2">
      <c r="A49" s="4" t="s">
        <v>232</v>
      </c>
      <c r="B49">
        <v>48</v>
      </c>
      <c r="C49" s="4" t="s">
        <v>26</v>
      </c>
      <c r="D49" s="4" t="s">
        <v>27</v>
      </c>
      <c r="E49" s="4" t="s">
        <v>32</v>
      </c>
      <c r="F49" s="4" t="s">
        <v>33</v>
      </c>
      <c r="G49">
        <v>1</v>
      </c>
      <c r="H49">
        <v>2</v>
      </c>
      <c r="I49" s="4" t="s">
        <v>116</v>
      </c>
      <c r="J49" s="4" t="s">
        <v>133</v>
      </c>
      <c r="K49" s="4" t="s">
        <v>134</v>
      </c>
      <c r="L49">
        <v>0</v>
      </c>
      <c r="M49" s="4" t="s">
        <v>158</v>
      </c>
    </row>
    <row r="50" spans="1:13" x14ac:dyDescent="0.2">
      <c r="A50" s="4" t="s">
        <v>233</v>
      </c>
      <c r="B50">
        <v>49</v>
      </c>
      <c r="C50" s="4" t="s">
        <v>26</v>
      </c>
      <c r="D50" s="4" t="s">
        <v>27</v>
      </c>
      <c r="E50" s="4" t="s">
        <v>35</v>
      </c>
      <c r="F50" s="4" t="s">
        <v>36</v>
      </c>
      <c r="G50">
        <v>1</v>
      </c>
      <c r="H50">
        <v>3</v>
      </c>
      <c r="I50" s="4" t="s">
        <v>35</v>
      </c>
      <c r="J50" s="4" t="s">
        <v>122</v>
      </c>
      <c r="K50" s="4" t="s">
        <v>123</v>
      </c>
      <c r="L50">
        <v>0</v>
      </c>
      <c r="M50" s="4" t="s">
        <v>158</v>
      </c>
    </row>
    <row r="51" spans="1:13" x14ac:dyDescent="0.2">
      <c r="A51" s="4" t="s">
        <v>234</v>
      </c>
      <c r="B51">
        <v>50</v>
      </c>
      <c r="C51" s="4" t="s">
        <v>26</v>
      </c>
      <c r="D51" s="4" t="s">
        <v>27</v>
      </c>
      <c r="E51" s="4" t="s">
        <v>35</v>
      </c>
      <c r="F51" s="4" t="s">
        <v>36</v>
      </c>
      <c r="G51">
        <v>1</v>
      </c>
      <c r="H51">
        <v>3</v>
      </c>
      <c r="I51" s="4" t="s">
        <v>35</v>
      </c>
      <c r="J51" s="4" t="s">
        <v>125</v>
      </c>
      <c r="K51" s="4" t="s">
        <v>126</v>
      </c>
      <c r="L51">
        <v>0</v>
      </c>
      <c r="M51" s="4" t="s">
        <v>158</v>
      </c>
    </row>
    <row r="52" spans="1:13" x14ac:dyDescent="0.2">
      <c r="A52" s="4" t="s">
        <v>235</v>
      </c>
      <c r="B52">
        <v>51</v>
      </c>
      <c r="C52" s="4" t="s">
        <v>26</v>
      </c>
      <c r="D52" s="4" t="s">
        <v>27</v>
      </c>
      <c r="E52" s="4" t="s">
        <v>35</v>
      </c>
      <c r="F52" s="4" t="s">
        <v>36</v>
      </c>
      <c r="G52">
        <v>1</v>
      </c>
      <c r="H52">
        <v>3</v>
      </c>
      <c r="I52" s="4" t="s">
        <v>35</v>
      </c>
      <c r="J52" s="4" t="s">
        <v>127</v>
      </c>
      <c r="K52" s="4" t="s">
        <v>128</v>
      </c>
      <c r="L52">
        <v>0</v>
      </c>
      <c r="M52" s="4" t="s">
        <v>158</v>
      </c>
    </row>
    <row r="53" spans="1:13" x14ac:dyDescent="0.2">
      <c r="A53" s="4" t="s">
        <v>236</v>
      </c>
      <c r="B53">
        <v>52</v>
      </c>
      <c r="C53" s="4" t="s">
        <v>26</v>
      </c>
      <c r="D53" s="4" t="s">
        <v>27</v>
      </c>
      <c r="E53" s="4" t="s">
        <v>35</v>
      </c>
      <c r="F53" s="4" t="s">
        <v>36</v>
      </c>
      <c r="G53">
        <v>1</v>
      </c>
      <c r="H53">
        <v>3</v>
      </c>
      <c r="I53" s="4" t="s">
        <v>35</v>
      </c>
      <c r="J53" s="4" t="s">
        <v>129</v>
      </c>
      <c r="K53" s="4" t="s">
        <v>130</v>
      </c>
      <c r="L53">
        <v>0</v>
      </c>
      <c r="M53" s="4" t="s">
        <v>158</v>
      </c>
    </row>
    <row r="54" spans="1:13" x14ac:dyDescent="0.2">
      <c r="A54" s="4" t="s">
        <v>237</v>
      </c>
      <c r="B54">
        <v>53</v>
      </c>
      <c r="C54" s="4" t="s">
        <v>26</v>
      </c>
      <c r="D54" s="4" t="s">
        <v>27</v>
      </c>
      <c r="E54" s="4" t="s">
        <v>35</v>
      </c>
      <c r="F54" s="4" t="s">
        <v>36</v>
      </c>
      <c r="G54">
        <v>1</v>
      </c>
      <c r="H54">
        <v>3</v>
      </c>
      <c r="I54" s="4" t="s">
        <v>35</v>
      </c>
      <c r="J54" s="4" t="s">
        <v>131</v>
      </c>
      <c r="K54" s="4" t="s">
        <v>132</v>
      </c>
      <c r="L54">
        <v>0</v>
      </c>
      <c r="M54" s="4" t="s">
        <v>158</v>
      </c>
    </row>
    <row r="55" spans="1:13" x14ac:dyDescent="0.2">
      <c r="A55" s="4" t="s">
        <v>238</v>
      </c>
      <c r="B55">
        <v>54</v>
      </c>
      <c r="C55" s="4" t="s">
        <v>26</v>
      </c>
      <c r="D55" s="4" t="s">
        <v>27</v>
      </c>
      <c r="E55" s="4" t="s">
        <v>35</v>
      </c>
      <c r="F55" s="4" t="s">
        <v>36</v>
      </c>
      <c r="G55">
        <v>1</v>
      </c>
      <c r="H55">
        <v>3</v>
      </c>
      <c r="I55" s="4" t="s">
        <v>35</v>
      </c>
      <c r="J55" s="4" t="s">
        <v>133</v>
      </c>
      <c r="K55" s="4" t="s">
        <v>134</v>
      </c>
      <c r="L55">
        <v>0</v>
      </c>
      <c r="M55" s="4" t="s">
        <v>158</v>
      </c>
    </row>
    <row r="56" spans="1:13" x14ac:dyDescent="0.2">
      <c r="A56" s="4" t="s">
        <v>239</v>
      </c>
      <c r="B56">
        <v>55</v>
      </c>
      <c r="C56" s="4" t="s">
        <v>26</v>
      </c>
      <c r="D56" s="4" t="s">
        <v>27</v>
      </c>
      <c r="E56" s="4" t="s">
        <v>35</v>
      </c>
      <c r="F56" s="4" t="s">
        <v>36</v>
      </c>
      <c r="G56">
        <v>1</v>
      </c>
      <c r="H56">
        <v>3</v>
      </c>
      <c r="I56" s="4" t="s">
        <v>112</v>
      </c>
      <c r="J56" s="4" t="s">
        <v>122</v>
      </c>
      <c r="K56" s="4" t="s">
        <v>123</v>
      </c>
      <c r="L56">
        <v>0</v>
      </c>
      <c r="M56" s="4" t="s">
        <v>158</v>
      </c>
    </row>
    <row r="57" spans="1:13" x14ac:dyDescent="0.2">
      <c r="A57" s="4" t="s">
        <v>240</v>
      </c>
      <c r="B57">
        <v>56</v>
      </c>
      <c r="C57" s="4" t="s">
        <v>26</v>
      </c>
      <c r="D57" s="4" t="s">
        <v>27</v>
      </c>
      <c r="E57" s="4" t="s">
        <v>35</v>
      </c>
      <c r="F57" s="4" t="s">
        <v>36</v>
      </c>
      <c r="G57">
        <v>1</v>
      </c>
      <c r="H57">
        <v>3</v>
      </c>
      <c r="I57" s="4" t="s">
        <v>112</v>
      </c>
      <c r="J57" s="4" t="s">
        <v>125</v>
      </c>
      <c r="K57" s="4" t="s">
        <v>126</v>
      </c>
      <c r="L57">
        <v>0</v>
      </c>
      <c r="M57" s="4" t="s">
        <v>158</v>
      </c>
    </row>
    <row r="58" spans="1:13" x14ac:dyDescent="0.2">
      <c r="A58" s="4" t="s">
        <v>241</v>
      </c>
      <c r="B58">
        <v>57</v>
      </c>
      <c r="C58" s="4" t="s">
        <v>26</v>
      </c>
      <c r="D58" s="4" t="s">
        <v>27</v>
      </c>
      <c r="E58" s="4" t="s">
        <v>35</v>
      </c>
      <c r="F58" s="4" t="s">
        <v>36</v>
      </c>
      <c r="G58">
        <v>1</v>
      </c>
      <c r="H58">
        <v>3</v>
      </c>
      <c r="I58" s="4" t="s">
        <v>112</v>
      </c>
      <c r="J58" s="4" t="s">
        <v>127</v>
      </c>
      <c r="K58" s="4" t="s">
        <v>128</v>
      </c>
      <c r="L58">
        <v>0</v>
      </c>
      <c r="M58" s="4" t="s">
        <v>158</v>
      </c>
    </row>
    <row r="59" spans="1:13" x14ac:dyDescent="0.2">
      <c r="A59" s="4" t="s">
        <v>242</v>
      </c>
      <c r="B59">
        <v>58</v>
      </c>
      <c r="C59" s="4" t="s">
        <v>26</v>
      </c>
      <c r="D59" s="4" t="s">
        <v>27</v>
      </c>
      <c r="E59" s="4" t="s">
        <v>35</v>
      </c>
      <c r="F59" s="4" t="s">
        <v>36</v>
      </c>
      <c r="G59">
        <v>1</v>
      </c>
      <c r="H59">
        <v>3</v>
      </c>
      <c r="I59" s="4" t="s">
        <v>112</v>
      </c>
      <c r="J59" s="4" t="s">
        <v>129</v>
      </c>
      <c r="K59" s="4" t="s">
        <v>130</v>
      </c>
      <c r="L59">
        <v>0</v>
      </c>
      <c r="M59" s="4" t="s">
        <v>158</v>
      </c>
    </row>
    <row r="60" spans="1:13" x14ac:dyDescent="0.2">
      <c r="A60" s="4" t="s">
        <v>243</v>
      </c>
      <c r="B60">
        <v>59</v>
      </c>
      <c r="C60" s="4" t="s">
        <v>26</v>
      </c>
      <c r="D60" s="4" t="s">
        <v>27</v>
      </c>
      <c r="E60" s="4" t="s">
        <v>35</v>
      </c>
      <c r="F60" s="4" t="s">
        <v>36</v>
      </c>
      <c r="G60">
        <v>1</v>
      </c>
      <c r="H60">
        <v>3</v>
      </c>
      <c r="I60" s="4" t="s">
        <v>112</v>
      </c>
      <c r="J60" s="4" t="s">
        <v>131</v>
      </c>
      <c r="K60" s="4" t="s">
        <v>132</v>
      </c>
      <c r="L60">
        <v>0</v>
      </c>
      <c r="M60" s="4" t="s">
        <v>158</v>
      </c>
    </row>
    <row r="61" spans="1:13" x14ac:dyDescent="0.2">
      <c r="A61" s="4" t="s">
        <v>244</v>
      </c>
      <c r="B61">
        <v>60</v>
      </c>
      <c r="C61" s="4" t="s">
        <v>26</v>
      </c>
      <c r="D61" s="4" t="s">
        <v>27</v>
      </c>
      <c r="E61" s="4" t="s">
        <v>35</v>
      </c>
      <c r="F61" s="4" t="s">
        <v>36</v>
      </c>
      <c r="G61">
        <v>1</v>
      </c>
      <c r="H61">
        <v>3</v>
      </c>
      <c r="I61" s="4" t="s">
        <v>112</v>
      </c>
      <c r="J61" s="4" t="s">
        <v>133</v>
      </c>
      <c r="K61" s="4" t="s">
        <v>134</v>
      </c>
      <c r="L61">
        <v>0</v>
      </c>
      <c r="M61" s="4" t="s">
        <v>158</v>
      </c>
    </row>
    <row r="62" spans="1:13" x14ac:dyDescent="0.2">
      <c r="A62" s="4" t="s">
        <v>245</v>
      </c>
      <c r="B62">
        <v>61</v>
      </c>
      <c r="C62" s="4" t="s">
        <v>26</v>
      </c>
      <c r="D62" s="4" t="s">
        <v>27</v>
      </c>
      <c r="E62" s="4" t="s">
        <v>35</v>
      </c>
      <c r="F62" s="4" t="s">
        <v>36</v>
      </c>
      <c r="G62">
        <v>1</v>
      </c>
      <c r="H62">
        <v>3</v>
      </c>
      <c r="I62" s="4" t="s">
        <v>114</v>
      </c>
      <c r="J62" s="4" t="s">
        <v>122</v>
      </c>
      <c r="K62" s="4" t="s">
        <v>123</v>
      </c>
      <c r="L62">
        <v>0</v>
      </c>
      <c r="M62" s="4" t="s">
        <v>158</v>
      </c>
    </row>
    <row r="63" spans="1:13" x14ac:dyDescent="0.2">
      <c r="A63" s="4" t="s">
        <v>246</v>
      </c>
      <c r="B63">
        <v>62</v>
      </c>
      <c r="C63" s="4" t="s">
        <v>26</v>
      </c>
      <c r="D63" s="4" t="s">
        <v>27</v>
      </c>
      <c r="E63" s="4" t="s">
        <v>35</v>
      </c>
      <c r="F63" s="4" t="s">
        <v>36</v>
      </c>
      <c r="G63">
        <v>1</v>
      </c>
      <c r="H63">
        <v>3</v>
      </c>
      <c r="I63" s="4" t="s">
        <v>114</v>
      </c>
      <c r="J63" s="4" t="s">
        <v>125</v>
      </c>
      <c r="K63" s="4" t="s">
        <v>126</v>
      </c>
      <c r="L63">
        <v>0</v>
      </c>
      <c r="M63" s="4" t="s">
        <v>158</v>
      </c>
    </row>
    <row r="64" spans="1:13" x14ac:dyDescent="0.2">
      <c r="A64" s="4" t="s">
        <v>247</v>
      </c>
      <c r="B64">
        <v>63</v>
      </c>
      <c r="C64" s="4" t="s">
        <v>26</v>
      </c>
      <c r="D64" s="4" t="s">
        <v>27</v>
      </c>
      <c r="E64" s="4" t="s">
        <v>35</v>
      </c>
      <c r="F64" s="4" t="s">
        <v>36</v>
      </c>
      <c r="G64">
        <v>1</v>
      </c>
      <c r="H64">
        <v>3</v>
      </c>
      <c r="I64" s="4" t="s">
        <v>114</v>
      </c>
      <c r="J64" s="4" t="s">
        <v>127</v>
      </c>
      <c r="K64" s="4" t="s">
        <v>128</v>
      </c>
      <c r="L64">
        <v>0</v>
      </c>
      <c r="M64" s="4" t="s">
        <v>158</v>
      </c>
    </row>
    <row r="65" spans="1:13" x14ac:dyDescent="0.2">
      <c r="A65" s="4" t="s">
        <v>248</v>
      </c>
      <c r="B65">
        <v>64</v>
      </c>
      <c r="C65" s="4" t="s">
        <v>26</v>
      </c>
      <c r="D65" s="4" t="s">
        <v>27</v>
      </c>
      <c r="E65" s="4" t="s">
        <v>35</v>
      </c>
      <c r="F65" s="4" t="s">
        <v>36</v>
      </c>
      <c r="G65">
        <v>1</v>
      </c>
      <c r="H65">
        <v>3</v>
      </c>
      <c r="I65" s="4" t="s">
        <v>114</v>
      </c>
      <c r="J65" s="4" t="s">
        <v>129</v>
      </c>
      <c r="K65" s="4" t="s">
        <v>130</v>
      </c>
      <c r="L65">
        <v>0</v>
      </c>
      <c r="M65" s="4" t="s">
        <v>158</v>
      </c>
    </row>
    <row r="66" spans="1:13" x14ac:dyDescent="0.2">
      <c r="A66" s="4" t="s">
        <v>249</v>
      </c>
      <c r="B66">
        <v>65</v>
      </c>
      <c r="C66" s="4" t="s">
        <v>26</v>
      </c>
      <c r="D66" s="4" t="s">
        <v>27</v>
      </c>
      <c r="E66" s="4" t="s">
        <v>35</v>
      </c>
      <c r="F66" s="4" t="s">
        <v>36</v>
      </c>
      <c r="G66">
        <v>1</v>
      </c>
      <c r="H66">
        <v>3</v>
      </c>
      <c r="I66" s="4" t="s">
        <v>114</v>
      </c>
      <c r="J66" s="4" t="s">
        <v>131</v>
      </c>
      <c r="K66" s="4" t="s">
        <v>132</v>
      </c>
      <c r="L66">
        <v>0</v>
      </c>
      <c r="M66" s="4" t="s">
        <v>158</v>
      </c>
    </row>
    <row r="67" spans="1:13" x14ac:dyDescent="0.2">
      <c r="A67" s="4" t="s">
        <v>250</v>
      </c>
      <c r="B67">
        <v>66</v>
      </c>
      <c r="C67" s="4" t="s">
        <v>26</v>
      </c>
      <c r="D67" s="4" t="s">
        <v>27</v>
      </c>
      <c r="E67" s="4" t="s">
        <v>35</v>
      </c>
      <c r="F67" s="4" t="s">
        <v>36</v>
      </c>
      <c r="G67">
        <v>1</v>
      </c>
      <c r="H67">
        <v>3</v>
      </c>
      <c r="I67" s="4" t="s">
        <v>114</v>
      </c>
      <c r="J67" s="4" t="s">
        <v>133</v>
      </c>
      <c r="K67" s="4" t="s">
        <v>134</v>
      </c>
      <c r="L67">
        <v>0</v>
      </c>
      <c r="M67" s="4" t="s">
        <v>158</v>
      </c>
    </row>
    <row r="68" spans="1:13" x14ac:dyDescent="0.2">
      <c r="A68" s="4" t="s">
        <v>251</v>
      </c>
      <c r="B68">
        <v>67</v>
      </c>
      <c r="C68" s="4" t="s">
        <v>26</v>
      </c>
      <c r="D68" s="4" t="s">
        <v>27</v>
      </c>
      <c r="E68" s="4" t="s">
        <v>35</v>
      </c>
      <c r="F68" s="4" t="s">
        <v>36</v>
      </c>
      <c r="G68">
        <v>1</v>
      </c>
      <c r="H68">
        <v>3</v>
      </c>
      <c r="I68" s="4" t="s">
        <v>116</v>
      </c>
      <c r="J68" s="4" t="s">
        <v>122</v>
      </c>
      <c r="K68" s="4" t="s">
        <v>123</v>
      </c>
      <c r="L68">
        <v>0</v>
      </c>
      <c r="M68" s="4" t="s">
        <v>158</v>
      </c>
    </row>
    <row r="69" spans="1:13" x14ac:dyDescent="0.2">
      <c r="A69" s="4" t="s">
        <v>252</v>
      </c>
      <c r="B69">
        <v>68</v>
      </c>
      <c r="C69" s="4" t="s">
        <v>26</v>
      </c>
      <c r="D69" s="4" t="s">
        <v>27</v>
      </c>
      <c r="E69" s="4" t="s">
        <v>35</v>
      </c>
      <c r="F69" s="4" t="s">
        <v>36</v>
      </c>
      <c r="G69">
        <v>1</v>
      </c>
      <c r="H69">
        <v>3</v>
      </c>
      <c r="I69" s="4" t="s">
        <v>116</v>
      </c>
      <c r="J69" s="4" t="s">
        <v>125</v>
      </c>
      <c r="K69" s="4" t="s">
        <v>126</v>
      </c>
      <c r="L69">
        <v>0</v>
      </c>
      <c r="M69" s="4" t="s">
        <v>158</v>
      </c>
    </row>
    <row r="70" spans="1:13" x14ac:dyDescent="0.2">
      <c r="A70" s="4" t="s">
        <v>253</v>
      </c>
      <c r="B70">
        <v>69</v>
      </c>
      <c r="C70" s="4" t="s">
        <v>26</v>
      </c>
      <c r="D70" s="4" t="s">
        <v>27</v>
      </c>
      <c r="E70" s="4" t="s">
        <v>35</v>
      </c>
      <c r="F70" s="4" t="s">
        <v>36</v>
      </c>
      <c r="G70">
        <v>1</v>
      </c>
      <c r="H70">
        <v>3</v>
      </c>
      <c r="I70" s="4" t="s">
        <v>116</v>
      </c>
      <c r="J70" s="4" t="s">
        <v>127</v>
      </c>
      <c r="K70" s="4" t="s">
        <v>128</v>
      </c>
      <c r="L70">
        <v>0</v>
      </c>
      <c r="M70" s="4" t="s">
        <v>158</v>
      </c>
    </row>
    <row r="71" spans="1:13" x14ac:dyDescent="0.2">
      <c r="A71" s="4" t="s">
        <v>254</v>
      </c>
      <c r="B71">
        <v>70</v>
      </c>
      <c r="C71" s="4" t="s">
        <v>26</v>
      </c>
      <c r="D71" s="4" t="s">
        <v>27</v>
      </c>
      <c r="E71" s="4" t="s">
        <v>35</v>
      </c>
      <c r="F71" s="4" t="s">
        <v>36</v>
      </c>
      <c r="G71">
        <v>1</v>
      </c>
      <c r="H71">
        <v>3</v>
      </c>
      <c r="I71" s="4" t="s">
        <v>116</v>
      </c>
      <c r="J71" s="4" t="s">
        <v>129</v>
      </c>
      <c r="K71" s="4" t="s">
        <v>130</v>
      </c>
      <c r="L71">
        <v>0</v>
      </c>
      <c r="M71" s="4" t="s">
        <v>158</v>
      </c>
    </row>
    <row r="72" spans="1:13" x14ac:dyDescent="0.2">
      <c r="A72" s="4" t="s">
        <v>255</v>
      </c>
      <c r="B72">
        <v>71</v>
      </c>
      <c r="C72" s="4" t="s">
        <v>26</v>
      </c>
      <c r="D72" s="4" t="s">
        <v>27</v>
      </c>
      <c r="E72" s="4" t="s">
        <v>35</v>
      </c>
      <c r="F72" s="4" t="s">
        <v>36</v>
      </c>
      <c r="G72">
        <v>1</v>
      </c>
      <c r="H72">
        <v>3</v>
      </c>
      <c r="I72" s="4" t="s">
        <v>116</v>
      </c>
      <c r="J72" s="4" t="s">
        <v>131</v>
      </c>
      <c r="K72" s="4" t="s">
        <v>132</v>
      </c>
      <c r="L72">
        <v>0</v>
      </c>
      <c r="M72" s="4" t="s">
        <v>158</v>
      </c>
    </row>
    <row r="73" spans="1:13" x14ac:dyDescent="0.2">
      <c r="A73" s="4" t="s">
        <v>256</v>
      </c>
      <c r="B73">
        <v>72</v>
      </c>
      <c r="C73" s="4" t="s">
        <v>26</v>
      </c>
      <c r="D73" s="4" t="s">
        <v>27</v>
      </c>
      <c r="E73" s="4" t="s">
        <v>35</v>
      </c>
      <c r="F73" s="4" t="s">
        <v>36</v>
      </c>
      <c r="G73">
        <v>1</v>
      </c>
      <c r="H73">
        <v>3</v>
      </c>
      <c r="I73" s="4" t="s">
        <v>116</v>
      </c>
      <c r="J73" s="4" t="s">
        <v>133</v>
      </c>
      <c r="K73" s="4" t="s">
        <v>134</v>
      </c>
      <c r="L73">
        <v>0</v>
      </c>
      <c r="M73" s="4" t="s">
        <v>158</v>
      </c>
    </row>
    <row r="74" spans="1:13" x14ac:dyDescent="0.2">
      <c r="A74" s="4" t="s">
        <v>257</v>
      </c>
      <c r="B74">
        <v>73</v>
      </c>
      <c r="C74" s="4" t="s">
        <v>26</v>
      </c>
      <c r="D74" s="4" t="s">
        <v>27</v>
      </c>
      <c r="E74" s="4" t="s">
        <v>38</v>
      </c>
      <c r="F74" s="4" t="s">
        <v>39</v>
      </c>
      <c r="G74">
        <v>1</v>
      </c>
      <c r="H74">
        <v>4</v>
      </c>
      <c r="I74" s="4" t="s">
        <v>35</v>
      </c>
      <c r="J74" s="4" t="s">
        <v>122</v>
      </c>
      <c r="K74" s="4" t="s">
        <v>123</v>
      </c>
      <c r="L74">
        <v>1161</v>
      </c>
      <c r="M74" s="4" t="s">
        <v>158</v>
      </c>
    </row>
    <row r="75" spans="1:13" x14ac:dyDescent="0.2">
      <c r="A75" s="4" t="s">
        <v>258</v>
      </c>
      <c r="B75">
        <v>74</v>
      </c>
      <c r="C75" s="4" t="s">
        <v>26</v>
      </c>
      <c r="D75" s="4" t="s">
        <v>27</v>
      </c>
      <c r="E75" s="4" t="s">
        <v>38</v>
      </c>
      <c r="F75" s="4" t="s">
        <v>39</v>
      </c>
      <c r="G75">
        <v>1</v>
      </c>
      <c r="H75">
        <v>4</v>
      </c>
      <c r="I75" s="4" t="s">
        <v>35</v>
      </c>
      <c r="J75" s="4" t="s">
        <v>125</v>
      </c>
      <c r="K75" s="4" t="s">
        <v>126</v>
      </c>
      <c r="L75">
        <v>452</v>
      </c>
      <c r="M75" s="4" t="s">
        <v>158</v>
      </c>
    </row>
    <row r="76" spans="1:13" x14ac:dyDescent="0.2">
      <c r="A76" s="4" t="s">
        <v>259</v>
      </c>
      <c r="B76">
        <v>75</v>
      </c>
      <c r="C76" s="4" t="s">
        <v>26</v>
      </c>
      <c r="D76" s="4" t="s">
        <v>27</v>
      </c>
      <c r="E76" s="4" t="s">
        <v>38</v>
      </c>
      <c r="F76" s="4" t="s">
        <v>39</v>
      </c>
      <c r="G76">
        <v>1</v>
      </c>
      <c r="H76">
        <v>4</v>
      </c>
      <c r="I76" s="4" t="s">
        <v>35</v>
      </c>
      <c r="J76" s="4" t="s">
        <v>127</v>
      </c>
      <c r="K76" s="4" t="s">
        <v>128</v>
      </c>
      <c r="L76">
        <v>1023</v>
      </c>
      <c r="M76" s="4" t="s">
        <v>158</v>
      </c>
    </row>
    <row r="77" spans="1:13" x14ac:dyDescent="0.2">
      <c r="A77" s="4" t="s">
        <v>260</v>
      </c>
      <c r="B77">
        <v>76</v>
      </c>
      <c r="C77" s="4" t="s">
        <v>26</v>
      </c>
      <c r="D77" s="4" t="s">
        <v>27</v>
      </c>
      <c r="E77" s="4" t="s">
        <v>38</v>
      </c>
      <c r="F77" s="4" t="s">
        <v>39</v>
      </c>
      <c r="G77">
        <v>1</v>
      </c>
      <c r="H77">
        <v>4</v>
      </c>
      <c r="I77" s="4" t="s">
        <v>35</v>
      </c>
      <c r="J77" s="4" t="s">
        <v>129</v>
      </c>
      <c r="K77" s="4" t="s">
        <v>130</v>
      </c>
      <c r="L77">
        <v>391</v>
      </c>
      <c r="M77" s="4" t="s">
        <v>158</v>
      </c>
    </row>
    <row r="78" spans="1:13" x14ac:dyDescent="0.2">
      <c r="A78" s="4" t="s">
        <v>261</v>
      </c>
      <c r="B78">
        <v>77</v>
      </c>
      <c r="C78" s="4" t="s">
        <v>26</v>
      </c>
      <c r="D78" s="4" t="s">
        <v>27</v>
      </c>
      <c r="E78" s="4" t="s">
        <v>38</v>
      </c>
      <c r="F78" s="4" t="s">
        <v>39</v>
      </c>
      <c r="G78">
        <v>1</v>
      </c>
      <c r="H78">
        <v>4</v>
      </c>
      <c r="I78" s="4" t="s">
        <v>35</v>
      </c>
      <c r="J78" s="4" t="s">
        <v>131</v>
      </c>
      <c r="K78" s="4" t="s">
        <v>132</v>
      </c>
      <c r="L78">
        <v>497</v>
      </c>
      <c r="M78" s="4" t="s">
        <v>158</v>
      </c>
    </row>
    <row r="79" spans="1:13" x14ac:dyDescent="0.2">
      <c r="A79" s="4" t="s">
        <v>262</v>
      </c>
      <c r="B79">
        <v>78</v>
      </c>
      <c r="C79" s="4" t="s">
        <v>26</v>
      </c>
      <c r="D79" s="4" t="s">
        <v>27</v>
      </c>
      <c r="E79" s="4" t="s">
        <v>38</v>
      </c>
      <c r="F79" s="4" t="s">
        <v>39</v>
      </c>
      <c r="G79">
        <v>1</v>
      </c>
      <c r="H79">
        <v>4</v>
      </c>
      <c r="I79" s="4" t="s">
        <v>35</v>
      </c>
      <c r="J79" s="4" t="s">
        <v>133</v>
      </c>
      <c r="K79" s="4" t="s">
        <v>134</v>
      </c>
      <c r="L79">
        <v>386</v>
      </c>
      <c r="M79" s="4" t="s">
        <v>158</v>
      </c>
    </row>
    <row r="80" spans="1:13" x14ac:dyDescent="0.2">
      <c r="A80" s="4" t="s">
        <v>263</v>
      </c>
      <c r="B80">
        <v>79</v>
      </c>
      <c r="C80" s="4" t="s">
        <v>26</v>
      </c>
      <c r="D80" s="4" t="s">
        <v>27</v>
      </c>
      <c r="E80" s="4" t="s">
        <v>38</v>
      </c>
      <c r="F80" s="4" t="s">
        <v>39</v>
      </c>
      <c r="G80">
        <v>1</v>
      </c>
      <c r="H80">
        <v>4</v>
      </c>
      <c r="I80" s="4" t="s">
        <v>112</v>
      </c>
      <c r="J80" s="4" t="s">
        <v>122</v>
      </c>
      <c r="K80" s="4" t="s">
        <v>123</v>
      </c>
      <c r="L80">
        <v>0</v>
      </c>
      <c r="M80" s="4" t="s">
        <v>158</v>
      </c>
    </row>
    <row r="81" spans="1:13" x14ac:dyDescent="0.2">
      <c r="A81" s="4" t="s">
        <v>264</v>
      </c>
      <c r="B81">
        <v>80</v>
      </c>
      <c r="C81" s="4" t="s">
        <v>26</v>
      </c>
      <c r="D81" s="4" t="s">
        <v>27</v>
      </c>
      <c r="E81" s="4" t="s">
        <v>38</v>
      </c>
      <c r="F81" s="4" t="s">
        <v>39</v>
      </c>
      <c r="G81">
        <v>1</v>
      </c>
      <c r="H81">
        <v>4</v>
      </c>
      <c r="I81" s="4" t="s">
        <v>112</v>
      </c>
      <c r="J81" s="4" t="s">
        <v>125</v>
      </c>
      <c r="K81" s="4" t="s">
        <v>126</v>
      </c>
      <c r="L81">
        <v>0</v>
      </c>
      <c r="M81" s="4" t="s">
        <v>158</v>
      </c>
    </row>
    <row r="82" spans="1:13" x14ac:dyDescent="0.2">
      <c r="A82" s="4" t="s">
        <v>265</v>
      </c>
      <c r="B82">
        <v>81</v>
      </c>
      <c r="C82" s="4" t="s">
        <v>26</v>
      </c>
      <c r="D82" s="4" t="s">
        <v>27</v>
      </c>
      <c r="E82" s="4" t="s">
        <v>38</v>
      </c>
      <c r="F82" s="4" t="s">
        <v>39</v>
      </c>
      <c r="G82">
        <v>1</v>
      </c>
      <c r="H82">
        <v>4</v>
      </c>
      <c r="I82" s="4" t="s">
        <v>112</v>
      </c>
      <c r="J82" s="4" t="s">
        <v>127</v>
      </c>
      <c r="K82" s="4" t="s">
        <v>128</v>
      </c>
      <c r="L82">
        <v>0</v>
      </c>
      <c r="M82" s="4" t="s">
        <v>158</v>
      </c>
    </row>
    <row r="83" spans="1:13" x14ac:dyDescent="0.2">
      <c r="A83" s="4" t="s">
        <v>266</v>
      </c>
      <c r="B83">
        <v>82</v>
      </c>
      <c r="C83" s="4" t="s">
        <v>26</v>
      </c>
      <c r="D83" s="4" t="s">
        <v>27</v>
      </c>
      <c r="E83" s="4" t="s">
        <v>38</v>
      </c>
      <c r="F83" s="4" t="s">
        <v>39</v>
      </c>
      <c r="G83">
        <v>1</v>
      </c>
      <c r="H83">
        <v>4</v>
      </c>
      <c r="I83" s="4" t="s">
        <v>112</v>
      </c>
      <c r="J83" s="4" t="s">
        <v>129</v>
      </c>
      <c r="K83" s="4" t="s">
        <v>130</v>
      </c>
      <c r="L83">
        <v>0</v>
      </c>
      <c r="M83" s="4" t="s">
        <v>158</v>
      </c>
    </row>
    <row r="84" spans="1:13" x14ac:dyDescent="0.2">
      <c r="A84" s="4" t="s">
        <v>267</v>
      </c>
      <c r="B84">
        <v>83</v>
      </c>
      <c r="C84" s="4" t="s">
        <v>26</v>
      </c>
      <c r="D84" s="4" t="s">
        <v>27</v>
      </c>
      <c r="E84" s="4" t="s">
        <v>38</v>
      </c>
      <c r="F84" s="4" t="s">
        <v>39</v>
      </c>
      <c r="G84">
        <v>1</v>
      </c>
      <c r="H84">
        <v>4</v>
      </c>
      <c r="I84" s="4" t="s">
        <v>112</v>
      </c>
      <c r="J84" s="4" t="s">
        <v>131</v>
      </c>
      <c r="K84" s="4" t="s">
        <v>132</v>
      </c>
      <c r="L84">
        <v>0</v>
      </c>
      <c r="M84" s="4" t="s">
        <v>158</v>
      </c>
    </row>
    <row r="85" spans="1:13" x14ac:dyDescent="0.2">
      <c r="A85" s="4" t="s">
        <v>268</v>
      </c>
      <c r="B85">
        <v>84</v>
      </c>
      <c r="C85" s="4" t="s">
        <v>26</v>
      </c>
      <c r="D85" s="4" t="s">
        <v>27</v>
      </c>
      <c r="E85" s="4" t="s">
        <v>38</v>
      </c>
      <c r="F85" s="4" t="s">
        <v>39</v>
      </c>
      <c r="G85">
        <v>1</v>
      </c>
      <c r="H85">
        <v>4</v>
      </c>
      <c r="I85" s="4" t="s">
        <v>112</v>
      </c>
      <c r="J85" s="4" t="s">
        <v>133</v>
      </c>
      <c r="K85" s="4" t="s">
        <v>134</v>
      </c>
      <c r="L85">
        <v>0</v>
      </c>
      <c r="M85" s="4" t="s">
        <v>158</v>
      </c>
    </row>
    <row r="86" spans="1:13" x14ac:dyDescent="0.2">
      <c r="A86" s="4" t="s">
        <v>269</v>
      </c>
      <c r="B86">
        <v>85</v>
      </c>
      <c r="C86" s="4" t="s">
        <v>26</v>
      </c>
      <c r="D86" s="4" t="s">
        <v>27</v>
      </c>
      <c r="E86" s="4" t="s">
        <v>38</v>
      </c>
      <c r="F86" s="4" t="s">
        <v>39</v>
      </c>
      <c r="G86">
        <v>1</v>
      </c>
      <c r="H86">
        <v>4</v>
      </c>
      <c r="I86" s="4" t="s">
        <v>114</v>
      </c>
      <c r="J86" s="4" t="s">
        <v>122</v>
      </c>
      <c r="K86" s="4" t="s">
        <v>123</v>
      </c>
      <c r="L86">
        <v>0</v>
      </c>
      <c r="M86" s="4" t="s">
        <v>158</v>
      </c>
    </row>
    <row r="87" spans="1:13" x14ac:dyDescent="0.2">
      <c r="A87" s="4" t="s">
        <v>270</v>
      </c>
      <c r="B87">
        <v>86</v>
      </c>
      <c r="C87" s="4" t="s">
        <v>26</v>
      </c>
      <c r="D87" s="4" t="s">
        <v>27</v>
      </c>
      <c r="E87" s="4" t="s">
        <v>38</v>
      </c>
      <c r="F87" s="4" t="s">
        <v>39</v>
      </c>
      <c r="G87">
        <v>1</v>
      </c>
      <c r="H87">
        <v>4</v>
      </c>
      <c r="I87" s="4" t="s">
        <v>114</v>
      </c>
      <c r="J87" s="4" t="s">
        <v>125</v>
      </c>
      <c r="K87" s="4" t="s">
        <v>126</v>
      </c>
      <c r="L87">
        <v>0</v>
      </c>
      <c r="M87" s="4" t="s">
        <v>158</v>
      </c>
    </row>
    <row r="88" spans="1:13" x14ac:dyDescent="0.2">
      <c r="A88" s="4" t="s">
        <v>271</v>
      </c>
      <c r="B88">
        <v>87</v>
      </c>
      <c r="C88" s="4" t="s">
        <v>26</v>
      </c>
      <c r="D88" s="4" t="s">
        <v>27</v>
      </c>
      <c r="E88" s="4" t="s">
        <v>38</v>
      </c>
      <c r="F88" s="4" t="s">
        <v>39</v>
      </c>
      <c r="G88">
        <v>1</v>
      </c>
      <c r="H88">
        <v>4</v>
      </c>
      <c r="I88" s="4" t="s">
        <v>114</v>
      </c>
      <c r="J88" s="4" t="s">
        <v>127</v>
      </c>
      <c r="K88" s="4" t="s">
        <v>128</v>
      </c>
      <c r="L88">
        <v>0</v>
      </c>
      <c r="M88" s="4" t="s">
        <v>158</v>
      </c>
    </row>
    <row r="89" spans="1:13" x14ac:dyDescent="0.2">
      <c r="A89" s="4" t="s">
        <v>272</v>
      </c>
      <c r="B89">
        <v>88</v>
      </c>
      <c r="C89" s="4" t="s">
        <v>26</v>
      </c>
      <c r="D89" s="4" t="s">
        <v>27</v>
      </c>
      <c r="E89" s="4" t="s">
        <v>38</v>
      </c>
      <c r="F89" s="4" t="s">
        <v>39</v>
      </c>
      <c r="G89">
        <v>1</v>
      </c>
      <c r="H89">
        <v>4</v>
      </c>
      <c r="I89" s="4" t="s">
        <v>114</v>
      </c>
      <c r="J89" s="4" t="s">
        <v>129</v>
      </c>
      <c r="K89" s="4" t="s">
        <v>130</v>
      </c>
      <c r="L89">
        <v>0</v>
      </c>
      <c r="M89" s="4" t="s">
        <v>158</v>
      </c>
    </row>
    <row r="90" spans="1:13" x14ac:dyDescent="0.2">
      <c r="A90" s="4" t="s">
        <v>273</v>
      </c>
      <c r="B90">
        <v>89</v>
      </c>
      <c r="C90" s="4" t="s">
        <v>26</v>
      </c>
      <c r="D90" s="4" t="s">
        <v>27</v>
      </c>
      <c r="E90" s="4" t="s">
        <v>38</v>
      </c>
      <c r="F90" s="4" t="s">
        <v>39</v>
      </c>
      <c r="G90">
        <v>1</v>
      </c>
      <c r="H90">
        <v>4</v>
      </c>
      <c r="I90" s="4" t="s">
        <v>114</v>
      </c>
      <c r="J90" s="4" t="s">
        <v>131</v>
      </c>
      <c r="K90" s="4" t="s">
        <v>132</v>
      </c>
      <c r="L90">
        <v>0</v>
      </c>
      <c r="M90" s="4" t="s">
        <v>158</v>
      </c>
    </row>
    <row r="91" spans="1:13" x14ac:dyDescent="0.2">
      <c r="A91" s="4" t="s">
        <v>274</v>
      </c>
      <c r="B91">
        <v>90</v>
      </c>
      <c r="C91" s="4" t="s">
        <v>26</v>
      </c>
      <c r="D91" s="4" t="s">
        <v>27</v>
      </c>
      <c r="E91" s="4" t="s">
        <v>38</v>
      </c>
      <c r="F91" s="4" t="s">
        <v>39</v>
      </c>
      <c r="G91">
        <v>1</v>
      </c>
      <c r="H91">
        <v>4</v>
      </c>
      <c r="I91" s="4" t="s">
        <v>114</v>
      </c>
      <c r="J91" s="4" t="s">
        <v>133</v>
      </c>
      <c r="K91" s="4" t="s">
        <v>134</v>
      </c>
      <c r="L91">
        <v>0</v>
      </c>
      <c r="M91" s="4" t="s">
        <v>158</v>
      </c>
    </row>
    <row r="92" spans="1:13" x14ac:dyDescent="0.2">
      <c r="A92" s="4" t="s">
        <v>275</v>
      </c>
      <c r="B92">
        <v>91</v>
      </c>
      <c r="C92" s="4" t="s">
        <v>26</v>
      </c>
      <c r="D92" s="4" t="s">
        <v>27</v>
      </c>
      <c r="E92" s="4" t="s">
        <v>38</v>
      </c>
      <c r="F92" s="4" t="s">
        <v>39</v>
      </c>
      <c r="G92">
        <v>1</v>
      </c>
      <c r="H92">
        <v>4</v>
      </c>
      <c r="I92" s="4" t="s">
        <v>116</v>
      </c>
      <c r="J92" s="4" t="s">
        <v>122</v>
      </c>
      <c r="K92" s="4" t="s">
        <v>123</v>
      </c>
      <c r="L92">
        <v>0</v>
      </c>
      <c r="M92" s="4" t="s">
        <v>158</v>
      </c>
    </row>
    <row r="93" spans="1:13" x14ac:dyDescent="0.2">
      <c r="A93" s="4" t="s">
        <v>276</v>
      </c>
      <c r="B93">
        <v>92</v>
      </c>
      <c r="C93" s="4" t="s">
        <v>26</v>
      </c>
      <c r="D93" s="4" t="s">
        <v>27</v>
      </c>
      <c r="E93" s="4" t="s">
        <v>38</v>
      </c>
      <c r="F93" s="4" t="s">
        <v>39</v>
      </c>
      <c r="G93">
        <v>1</v>
      </c>
      <c r="H93">
        <v>4</v>
      </c>
      <c r="I93" s="4" t="s">
        <v>116</v>
      </c>
      <c r="J93" s="4" t="s">
        <v>125</v>
      </c>
      <c r="K93" s="4" t="s">
        <v>126</v>
      </c>
      <c r="L93">
        <v>0</v>
      </c>
      <c r="M93" s="4" t="s">
        <v>158</v>
      </c>
    </row>
    <row r="94" spans="1:13" x14ac:dyDescent="0.2">
      <c r="A94" s="4" t="s">
        <v>277</v>
      </c>
      <c r="B94">
        <v>93</v>
      </c>
      <c r="C94" s="4" t="s">
        <v>26</v>
      </c>
      <c r="D94" s="4" t="s">
        <v>27</v>
      </c>
      <c r="E94" s="4" t="s">
        <v>38</v>
      </c>
      <c r="F94" s="4" t="s">
        <v>39</v>
      </c>
      <c r="G94">
        <v>1</v>
      </c>
      <c r="H94">
        <v>4</v>
      </c>
      <c r="I94" s="4" t="s">
        <v>116</v>
      </c>
      <c r="J94" s="4" t="s">
        <v>127</v>
      </c>
      <c r="K94" s="4" t="s">
        <v>128</v>
      </c>
      <c r="L94">
        <v>0</v>
      </c>
      <c r="M94" s="4" t="s">
        <v>158</v>
      </c>
    </row>
    <row r="95" spans="1:13" x14ac:dyDescent="0.2">
      <c r="A95" s="4" t="s">
        <v>278</v>
      </c>
      <c r="B95">
        <v>94</v>
      </c>
      <c r="C95" s="4" t="s">
        <v>26</v>
      </c>
      <c r="D95" s="4" t="s">
        <v>27</v>
      </c>
      <c r="E95" s="4" t="s">
        <v>38</v>
      </c>
      <c r="F95" s="4" t="s">
        <v>39</v>
      </c>
      <c r="G95">
        <v>1</v>
      </c>
      <c r="H95">
        <v>4</v>
      </c>
      <c r="I95" s="4" t="s">
        <v>116</v>
      </c>
      <c r="J95" s="4" t="s">
        <v>129</v>
      </c>
      <c r="K95" s="4" t="s">
        <v>130</v>
      </c>
      <c r="L95">
        <v>0</v>
      </c>
      <c r="M95" s="4" t="s">
        <v>158</v>
      </c>
    </row>
    <row r="96" spans="1:13" x14ac:dyDescent="0.2">
      <c r="A96" s="4" t="s">
        <v>279</v>
      </c>
      <c r="B96">
        <v>95</v>
      </c>
      <c r="C96" s="4" t="s">
        <v>26</v>
      </c>
      <c r="D96" s="4" t="s">
        <v>27</v>
      </c>
      <c r="E96" s="4" t="s">
        <v>38</v>
      </c>
      <c r="F96" s="4" t="s">
        <v>39</v>
      </c>
      <c r="G96">
        <v>1</v>
      </c>
      <c r="H96">
        <v>4</v>
      </c>
      <c r="I96" s="4" t="s">
        <v>116</v>
      </c>
      <c r="J96" s="4" t="s">
        <v>131</v>
      </c>
      <c r="K96" s="4" t="s">
        <v>132</v>
      </c>
      <c r="L96">
        <v>0</v>
      </c>
      <c r="M96" s="4" t="s">
        <v>158</v>
      </c>
    </row>
    <row r="97" spans="1:13" x14ac:dyDescent="0.2">
      <c r="A97" s="4" t="s">
        <v>280</v>
      </c>
      <c r="B97">
        <v>96</v>
      </c>
      <c r="C97" s="4" t="s">
        <v>26</v>
      </c>
      <c r="D97" s="4" t="s">
        <v>27</v>
      </c>
      <c r="E97" s="4" t="s">
        <v>38</v>
      </c>
      <c r="F97" s="4" t="s">
        <v>39</v>
      </c>
      <c r="G97">
        <v>1</v>
      </c>
      <c r="H97">
        <v>4</v>
      </c>
      <c r="I97" s="4" t="s">
        <v>116</v>
      </c>
      <c r="J97" s="4" t="s">
        <v>133</v>
      </c>
      <c r="K97" s="4" t="s">
        <v>134</v>
      </c>
      <c r="L97">
        <v>0</v>
      </c>
      <c r="M97" s="4" t="s">
        <v>158</v>
      </c>
    </row>
    <row r="98" spans="1:13" x14ac:dyDescent="0.2">
      <c r="A98" s="4" t="s">
        <v>281</v>
      </c>
      <c r="B98">
        <v>97</v>
      </c>
      <c r="C98" s="4" t="s">
        <v>26</v>
      </c>
      <c r="D98" s="4" t="s">
        <v>27</v>
      </c>
      <c r="E98" s="4" t="s">
        <v>41</v>
      </c>
      <c r="F98" s="4" t="s">
        <v>42</v>
      </c>
      <c r="G98">
        <v>1</v>
      </c>
      <c r="H98">
        <v>5</v>
      </c>
      <c r="I98" s="4" t="s">
        <v>35</v>
      </c>
      <c r="J98" s="4" t="s">
        <v>122</v>
      </c>
      <c r="K98" s="4" t="s">
        <v>123</v>
      </c>
      <c r="L98">
        <v>806</v>
      </c>
      <c r="M98" s="4" t="s">
        <v>158</v>
      </c>
    </row>
    <row r="99" spans="1:13" x14ac:dyDescent="0.2">
      <c r="A99" s="4" t="s">
        <v>282</v>
      </c>
      <c r="B99">
        <v>98</v>
      </c>
      <c r="C99" s="4" t="s">
        <v>26</v>
      </c>
      <c r="D99" s="4" t="s">
        <v>27</v>
      </c>
      <c r="E99" s="4" t="s">
        <v>41</v>
      </c>
      <c r="F99" s="4" t="s">
        <v>42</v>
      </c>
      <c r="G99">
        <v>1</v>
      </c>
      <c r="H99">
        <v>5</v>
      </c>
      <c r="I99" s="4" t="s">
        <v>35</v>
      </c>
      <c r="J99" s="4" t="s">
        <v>125</v>
      </c>
      <c r="K99" s="4" t="s">
        <v>126</v>
      </c>
      <c r="L99">
        <v>312</v>
      </c>
      <c r="M99" s="4" t="s">
        <v>158</v>
      </c>
    </row>
    <row r="100" spans="1:13" x14ac:dyDescent="0.2">
      <c r="A100" s="4" t="s">
        <v>283</v>
      </c>
      <c r="B100">
        <v>99</v>
      </c>
      <c r="C100" s="4" t="s">
        <v>26</v>
      </c>
      <c r="D100" s="4" t="s">
        <v>27</v>
      </c>
      <c r="E100" s="4" t="s">
        <v>41</v>
      </c>
      <c r="F100" s="4" t="s">
        <v>42</v>
      </c>
      <c r="G100">
        <v>1</v>
      </c>
      <c r="H100">
        <v>5</v>
      </c>
      <c r="I100" s="4" t="s">
        <v>35</v>
      </c>
      <c r="J100" s="4" t="s">
        <v>127</v>
      </c>
      <c r="K100" s="4" t="s">
        <v>128</v>
      </c>
      <c r="L100">
        <v>713</v>
      </c>
      <c r="M100" s="4" t="s">
        <v>158</v>
      </c>
    </row>
    <row r="101" spans="1:13" x14ac:dyDescent="0.2">
      <c r="A101" s="4" t="s">
        <v>284</v>
      </c>
      <c r="B101">
        <v>100</v>
      </c>
      <c r="C101" s="4" t="s">
        <v>26</v>
      </c>
      <c r="D101" s="4" t="s">
        <v>27</v>
      </c>
      <c r="E101" s="4" t="s">
        <v>41</v>
      </c>
      <c r="F101" s="4" t="s">
        <v>42</v>
      </c>
      <c r="G101">
        <v>1</v>
      </c>
      <c r="H101">
        <v>5</v>
      </c>
      <c r="I101" s="4" t="s">
        <v>35</v>
      </c>
      <c r="J101" s="4" t="s">
        <v>129</v>
      </c>
      <c r="K101" s="4" t="s">
        <v>130</v>
      </c>
      <c r="L101">
        <v>256</v>
      </c>
      <c r="M101" s="4" t="s">
        <v>158</v>
      </c>
    </row>
    <row r="102" spans="1:13" x14ac:dyDescent="0.2">
      <c r="A102" s="4" t="s">
        <v>285</v>
      </c>
      <c r="B102">
        <v>101</v>
      </c>
      <c r="C102" s="4" t="s">
        <v>26</v>
      </c>
      <c r="D102" s="4" t="s">
        <v>27</v>
      </c>
      <c r="E102" s="4" t="s">
        <v>41</v>
      </c>
      <c r="F102" s="4" t="s">
        <v>42</v>
      </c>
      <c r="G102">
        <v>1</v>
      </c>
      <c r="H102">
        <v>5</v>
      </c>
      <c r="I102" s="4" t="s">
        <v>35</v>
      </c>
      <c r="J102" s="4" t="s">
        <v>131</v>
      </c>
      <c r="K102" s="4" t="s">
        <v>132</v>
      </c>
      <c r="L102">
        <v>337</v>
      </c>
      <c r="M102" s="4" t="s">
        <v>158</v>
      </c>
    </row>
    <row r="103" spans="1:13" x14ac:dyDescent="0.2">
      <c r="A103" s="4" t="s">
        <v>286</v>
      </c>
      <c r="B103">
        <v>102</v>
      </c>
      <c r="C103" s="4" t="s">
        <v>26</v>
      </c>
      <c r="D103" s="4" t="s">
        <v>27</v>
      </c>
      <c r="E103" s="4" t="s">
        <v>41</v>
      </c>
      <c r="F103" s="4" t="s">
        <v>42</v>
      </c>
      <c r="G103">
        <v>1</v>
      </c>
      <c r="H103">
        <v>5</v>
      </c>
      <c r="I103" s="4" t="s">
        <v>35</v>
      </c>
      <c r="J103" s="4" t="s">
        <v>133</v>
      </c>
      <c r="K103" s="4" t="s">
        <v>134</v>
      </c>
      <c r="L103">
        <v>261</v>
      </c>
      <c r="M103" s="4" t="s">
        <v>158</v>
      </c>
    </row>
    <row r="104" spans="1:13" x14ac:dyDescent="0.2">
      <c r="A104" s="4" t="s">
        <v>287</v>
      </c>
      <c r="B104">
        <v>103</v>
      </c>
      <c r="C104" s="4" t="s">
        <v>26</v>
      </c>
      <c r="D104" s="4" t="s">
        <v>27</v>
      </c>
      <c r="E104" s="4" t="s">
        <v>41</v>
      </c>
      <c r="F104" s="4" t="s">
        <v>42</v>
      </c>
      <c r="G104">
        <v>1</v>
      </c>
      <c r="H104">
        <v>5</v>
      </c>
      <c r="I104" s="4" t="s">
        <v>112</v>
      </c>
      <c r="J104" s="4" t="s">
        <v>122</v>
      </c>
      <c r="K104" s="4" t="s">
        <v>123</v>
      </c>
      <c r="L104">
        <v>230</v>
      </c>
      <c r="M104" s="4" t="s">
        <v>158</v>
      </c>
    </row>
    <row r="105" spans="1:13" x14ac:dyDescent="0.2">
      <c r="A105" s="4" t="s">
        <v>288</v>
      </c>
      <c r="B105">
        <v>104</v>
      </c>
      <c r="C105" s="4" t="s">
        <v>26</v>
      </c>
      <c r="D105" s="4" t="s">
        <v>27</v>
      </c>
      <c r="E105" s="4" t="s">
        <v>41</v>
      </c>
      <c r="F105" s="4" t="s">
        <v>42</v>
      </c>
      <c r="G105">
        <v>1</v>
      </c>
      <c r="H105">
        <v>5</v>
      </c>
      <c r="I105" s="4" t="s">
        <v>112</v>
      </c>
      <c r="J105" s="4" t="s">
        <v>125</v>
      </c>
      <c r="K105" s="4" t="s">
        <v>126</v>
      </c>
      <c r="L105">
        <v>60</v>
      </c>
      <c r="M105" s="4" t="s">
        <v>158</v>
      </c>
    </row>
    <row r="106" spans="1:13" x14ac:dyDescent="0.2">
      <c r="A106" s="4" t="s">
        <v>289</v>
      </c>
      <c r="B106">
        <v>105</v>
      </c>
      <c r="C106" s="4" t="s">
        <v>26</v>
      </c>
      <c r="D106" s="4" t="s">
        <v>27</v>
      </c>
      <c r="E106" s="4" t="s">
        <v>41</v>
      </c>
      <c r="F106" s="4" t="s">
        <v>42</v>
      </c>
      <c r="G106">
        <v>1</v>
      </c>
      <c r="H106">
        <v>5</v>
      </c>
      <c r="I106" s="4" t="s">
        <v>112</v>
      </c>
      <c r="J106" s="4" t="s">
        <v>127</v>
      </c>
      <c r="K106" s="4" t="s">
        <v>128</v>
      </c>
      <c r="L106">
        <v>115</v>
      </c>
      <c r="M106" s="4" t="s">
        <v>158</v>
      </c>
    </row>
    <row r="107" spans="1:13" x14ac:dyDescent="0.2">
      <c r="A107" s="4" t="s">
        <v>290</v>
      </c>
      <c r="B107">
        <v>106</v>
      </c>
      <c r="C107" s="4" t="s">
        <v>26</v>
      </c>
      <c r="D107" s="4" t="s">
        <v>27</v>
      </c>
      <c r="E107" s="4" t="s">
        <v>41</v>
      </c>
      <c r="F107" s="4" t="s">
        <v>42</v>
      </c>
      <c r="G107">
        <v>1</v>
      </c>
      <c r="H107">
        <v>5</v>
      </c>
      <c r="I107" s="4" t="s">
        <v>112</v>
      </c>
      <c r="J107" s="4" t="s">
        <v>129</v>
      </c>
      <c r="K107" s="4" t="s">
        <v>130</v>
      </c>
      <c r="L107">
        <v>35</v>
      </c>
      <c r="M107" s="4" t="s">
        <v>158</v>
      </c>
    </row>
    <row r="108" spans="1:13" x14ac:dyDescent="0.2">
      <c r="A108" s="4" t="s">
        <v>291</v>
      </c>
      <c r="B108">
        <v>107</v>
      </c>
      <c r="C108" s="4" t="s">
        <v>26</v>
      </c>
      <c r="D108" s="4" t="s">
        <v>27</v>
      </c>
      <c r="E108" s="4" t="s">
        <v>41</v>
      </c>
      <c r="F108" s="4" t="s">
        <v>42</v>
      </c>
      <c r="G108">
        <v>1</v>
      </c>
      <c r="H108">
        <v>5</v>
      </c>
      <c r="I108" s="4" t="s">
        <v>112</v>
      </c>
      <c r="J108" s="4" t="s">
        <v>131</v>
      </c>
      <c r="K108" s="4" t="s">
        <v>132</v>
      </c>
      <c r="L108">
        <v>60</v>
      </c>
      <c r="M108" s="4" t="s">
        <v>158</v>
      </c>
    </row>
    <row r="109" spans="1:13" x14ac:dyDescent="0.2">
      <c r="A109" s="4" t="s">
        <v>292</v>
      </c>
      <c r="B109">
        <v>108</v>
      </c>
      <c r="C109" s="4" t="s">
        <v>26</v>
      </c>
      <c r="D109" s="4" t="s">
        <v>27</v>
      </c>
      <c r="E109" s="4" t="s">
        <v>41</v>
      </c>
      <c r="F109" s="4" t="s">
        <v>42</v>
      </c>
      <c r="G109">
        <v>1</v>
      </c>
      <c r="H109">
        <v>5</v>
      </c>
      <c r="I109" s="4" t="s">
        <v>112</v>
      </c>
      <c r="J109" s="4" t="s">
        <v>133</v>
      </c>
      <c r="K109" s="4" t="s">
        <v>134</v>
      </c>
      <c r="L109">
        <v>70</v>
      </c>
      <c r="M109" s="4" t="s">
        <v>158</v>
      </c>
    </row>
    <row r="110" spans="1:13" x14ac:dyDescent="0.2">
      <c r="A110" s="4" t="s">
        <v>293</v>
      </c>
      <c r="B110">
        <v>109</v>
      </c>
      <c r="C110" s="4" t="s">
        <v>26</v>
      </c>
      <c r="D110" s="4" t="s">
        <v>27</v>
      </c>
      <c r="E110" s="4" t="s">
        <v>41</v>
      </c>
      <c r="F110" s="4" t="s">
        <v>42</v>
      </c>
      <c r="G110">
        <v>1</v>
      </c>
      <c r="H110">
        <v>5</v>
      </c>
      <c r="I110" s="4" t="s">
        <v>114</v>
      </c>
      <c r="J110" s="4" t="s">
        <v>122</v>
      </c>
      <c r="K110" s="4" t="s">
        <v>123</v>
      </c>
      <c r="L110">
        <v>60</v>
      </c>
      <c r="M110" s="4" t="s">
        <v>158</v>
      </c>
    </row>
    <row r="111" spans="1:13" x14ac:dyDescent="0.2">
      <c r="A111" s="4" t="s">
        <v>294</v>
      </c>
      <c r="B111">
        <v>110</v>
      </c>
      <c r="C111" s="4" t="s">
        <v>26</v>
      </c>
      <c r="D111" s="4" t="s">
        <v>27</v>
      </c>
      <c r="E111" s="4" t="s">
        <v>41</v>
      </c>
      <c r="F111" s="4" t="s">
        <v>42</v>
      </c>
      <c r="G111">
        <v>1</v>
      </c>
      <c r="H111">
        <v>5</v>
      </c>
      <c r="I111" s="4" t="s">
        <v>114</v>
      </c>
      <c r="J111" s="4" t="s">
        <v>125</v>
      </c>
      <c r="K111" s="4" t="s">
        <v>126</v>
      </c>
      <c r="L111">
        <v>60</v>
      </c>
      <c r="M111" s="4" t="s">
        <v>158</v>
      </c>
    </row>
    <row r="112" spans="1:13" x14ac:dyDescent="0.2">
      <c r="A112" s="4" t="s">
        <v>295</v>
      </c>
      <c r="B112">
        <v>111</v>
      </c>
      <c r="C112" s="4" t="s">
        <v>26</v>
      </c>
      <c r="D112" s="4" t="s">
        <v>27</v>
      </c>
      <c r="E112" s="4" t="s">
        <v>41</v>
      </c>
      <c r="F112" s="4" t="s">
        <v>42</v>
      </c>
      <c r="G112">
        <v>1</v>
      </c>
      <c r="H112">
        <v>5</v>
      </c>
      <c r="I112" s="4" t="s">
        <v>114</v>
      </c>
      <c r="J112" s="4" t="s">
        <v>127</v>
      </c>
      <c r="K112" s="4" t="s">
        <v>128</v>
      </c>
      <c r="L112">
        <v>110</v>
      </c>
      <c r="M112" s="4" t="s">
        <v>158</v>
      </c>
    </row>
    <row r="113" spans="1:13" x14ac:dyDescent="0.2">
      <c r="A113" s="4" t="s">
        <v>296</v>
      </c>
      <c r="B113">
        <v>112</v>
      </c>
      <c r="C113" s="4" t="s">
        <v>26</v>
      </c>
      <c r="D113" s="4" t="s">
        <v>27</v>
      </c>
      <c r="E113" s="4" t="s">
        <v>41</v>
      </c>
      <c r="F113" s="4" t="s">
        <v>42</v>
      </c>
      <c r="G113">
        <v>1</v>
      </c>
      <c r="H113">
        <v>5</v>
      </c>
      <c r="I113" s="4" t="s">
        <v>114</v>
      </c>
      <c r="J113" s="4" t="s">
        <v>129</v>
      </c>
      <c r="K113" s="4" t="s">
        <v>130</v>
      </c>
      <c r="L113">
        <v>15</v>
      </c>
      <c r="M113" s="4" t="s">
        <v>158</v>
      </c>
    </row>
    <row r="114" spans="1:13" x14ac:dyDescent="0.2">
      <c r="A114" s="4" t="s">
        <v>297</v>
      </c>
      <c r="B114">
        <v>113</v>
      </c>
      <c r="C114" s="4" t="s">
        <v>26</v>
      </c>
      <c r="D114" s="4" t="s">
        <v>27</v>
      </c>
      <c r="E114" s="4" t="s">
        <v>41</v>
      </c>
      <c r="F114" s="4" t="s">
        <v>42</v>
      </c>
      <c r="G114">
        <v>1</v>
      </c>
      <c r="H114">
        <v>5</v>
      </c>
      <c r="I114" s="4" t="s">
        <v>114</v>
      </c>
      <c r="J114" s="4" t="s">
        <v>131</v>
      </c>
      <c r="K114" s="4" t="s">
        <v>132</v>
      </c>
      <c r="L114">
        <v>70</v>
      </c>
      <c r="M114" s="4" t="s">
        <v>158</v>
      </c>
    </row>
    <row r="115" spans="1:13" x14ac:dyDescent="0.2">
      <c r="A115" s="4" t="s">
        <v>298</v>
      </c>
      <c r="B115">
        <v>114</v>
      </c>
      <c r="C115" s="4" t="s">
        <v>26</v>
      </c>
      <c r="D115" s="4" t="s">
        <v>27</v>
      </c>
      <c r="E115" s="4" t="s">
        <v>41</v>
      </c>
      <c r="F115" s="4" t="s">
        <v>42</v>
      </c>
      <c r="G115">
        <v>1</v>
      </c>
      <c r="H115">
        <v>5</v>
      </c>
      <c r="I115" s="4" t="s">
        <v>114</v>
      </c>
      <c r="J115" s="4" t="s">
        <v>133</v>
      </c>
      <c r="K115" s="4" t="s">
        <v>134</v>
      </c>
      <c r="L115">
        <v>25</v>
      </c>
      <c r="M115" s="4" t="s">
        <v>158</v>
      </c>
    </row>
    <row r="116" spans="1:13" x14ac:dyDescent="0.2">
      <c r="A116" s="4" t="s">
        <v>299</v>
      </c>
      <c r="B116">
        <v>115</v>
      </c>
      <c r="C116" s="4" t="s">
        <v>26</v>
      </c>
      <c r="D116" s="4" t="s">
        <v>27</v>
      </c>
      <c r="E116" s="4" t="s">
        <v>41</v>
      </c>
      <c r="F116" s="4" t="s">
        <v>42</v>
      </c>
      <c r="G116">
        <v>1</v>
      </c>
      <c r="H116">
        <v>5</v>
      </c>
      <c r="I116" s="4" t="s">
        <v>116</v>
      </c>
      <c r="J116" s="4" t="s">
        <v>122</v>
      </c>
      <c r="K116" s="4" t="s">
        <v>123</v>
      </c>
      <c r="L116">
        <v>65</v>
      </c>
      <c r="M116" s="4" t="s">
        <v>158</v>
      </c>
    </row>
    <row r="117" spans="1:13" x14ac:dyDescent="0.2">
      <c r="A117" s="4" t="s">
        <v>300</v>
      </c>
      <c r="B117">
        <v>116</v>
      </c>
      <c r="C117" s="4" t="s">
        <v>26</v>
      </c>
      <c r="D117" s="4" t="s">
        <v>27</v>
      </c>
      <c r="E117" s="4" t="s">
        <v>41</v>
      </c>
      <c r="F117" s="4" t="s">
        <v>42</v>
      </c>
      <c r="G117">
        <v>1</v>
      </c>
      <c r="H117">
        <v>5</v>
      </c>
      <c r="I117" s="4" t="s">
        <v>116</v>
      </c>
      <c r="J117" s="4" t="s">
        <v>125</v>
      </c>
      <c r="K117" s="4" t="s">
        <v>126</v>
      </c>
      <c r="L117">
        <v>20</v>
      </c>
      <c r="M117" s="4" t="s">
        <v>158</v>
      </c>
    </row>
    <row r="118" spans="1:13" x14ac:dyDescent="0.2">
      <c r="A118" s="4" t="s">
        <v>301</v>
      </c>
      <c r="B118">
        <v>117</v>
      </c>
      <c r="C118" s="4" t="s">
        <v>26</v>
      </c>
      <c r="D118" s="4" t="s">
        <v>27</v>
      </c>
      <c r="E118" s="4" t="s">
        <v>41</v>
      </c>
      <c r="F118" s="4" t="s">
        <v>42</v>
      </c>
      <c r="G118">
        <v>1</v>
      </c>
      <c r="H118">
        <v>5</v>
      </c>
      <c r="I118" s="4" t="s">
        <v>116</v>
      </c>
      <c r="J118" s="4" t="s">
        <v>127</v>
      </c>
      <c r="K118" s="4" t="s">
        <v>128</v>
      </c>
      <c r="L118">
        <v>85</v>
      </c>
      <c r="M118" s="4" t="s">
        <v>158</v>
      </c>
    </row>
    <row r="119" spans="1:13" x14ac:dyDescent="0.2">
      <c r="A119" s="4" t="s">
        <v>302</v>
      </c>
      <c r="B119">
        <v>118</v>
      </c>
      <c r="C119" s="4" t="s">
        <v>26</v>
      </c>
      <c r="D119" s="4" t="s">
        <v>27</v>
      </c>
      <c r="E119" s="4" t="s">
        <v>41</v>
      </c>
      <c r="F119" s="4" t="s">
        <v>42</v>
      </c>
      <c r="G119">
        <v>1</v>
      </c>
      <c r="H119">
        <v>5</v>
      </c>
      <c r="I119" s="4" t="s">
        <v>116</v>
      </c>
      <c r="J119" s="4" t="s">
        <v>129</v>
      </c>
      <c r="K119" s="4" t="s">
        <v>130</v>
      </c>
      <c r="L119">
        <v>85</v>
      </c>
      <c r="M119" s="4" t="s">
        <v>158</v>
      </c>
    </row>
    <row r="120" spans="1:13" x14ac:dyDescent="0.2">
      <c r="A120" s="4" t="s">
        <v>303</v>
      </c>
      <c r="B120">
        <v>119</v>
      </c>
      <c r="C120" s="4" t="s">
        <v>26</v>
      </c>
      <c r="D120" s="4" t="s">
        <v>27</v>
      </c>
      <c r="E120" s="4" t="s">
        <v>41</v>
      </c>
      <c r="F120" s="4" t="s">
        <v>42</v>
      </c>
      <c r="G120">
        <v>1</v>
      </c>
      <c r="H120">
        <v>5</v>
      </c>
      <c r="I120" s="4" t="s">
        <v>116</v>
      </c>
      <c r="J120" s="4" t="s">
        <v>131</v>
      </c>
      <c r="K120" s="4" t="s">
        <v>132</v>
      </c>
      <c r="L120">
        <v>30</v>
      </c>
      <c r="M120" s="4" t="s">
        <v>158</v>
      </c>
    </row>
    <row r="121" spans="1:13" x14ac:dyDescent="0.2">
      <c r="A121" s="4" t="s">
        <v>304</v>
      </c>
      <c r="B121">
        <v>120</v>
      </c>
      <c r="C121" s="4" t="s">
        <v>26</v>
      </c>
      <c r="D121" s="4" t="s">
        <v>27</v>
      </c>
      <c r="E121" s="4" t="s">
        <v>41</v>
      </c>
      <c r="F121" s="4" t="s">
        <v>42</v>
      </c>
      <c r="G121">
        <v>1</v>
      </c>
      <c r="H121">
        <v>5</v>
      </c>
      <c r="I121" s="4" t="s">
        <v>116</v>
      </c>
      <c r="J121" s="4" t="s">
        <v>133</v>
      </c>
      <c r="K121" s="4" t="s">
        <v>134</v>
      </c>
      <c r="L121">
        <v>30</v>
      </c>
      <c r="M121" s="4" t="s">
        <v>158</v>
      </c>
    </row>
    <row r="122" spans="1:13" x14ac:dyDescent="0.2">
      <c r="A122" s="4" t="s">
        <v>305</v>
      </c>
      <c r="B122">
        <v>121</v>
      </c>
      <c r="C122" s="4" t="s">
        <v>26</v>
      </c>
      <c r="D122" s="4" t="s">
        <v>27</v>
      </c>
      <c r="E122" s="4" t="s">
        <v>44</v>
      </c>
      <c r="F122" s="4" t="s">
        <v>45</v>
      </c>
      <c r="G122">
        <v>2</v>
      </c>
      <c r="H122">
        <v>6</v>
      </c>
      <c r="I122" s="4" t="s">
        <v>35</v>
      </c>
      <c r="J122" s="4" t="s">
        <v>122</v>
      </c>
      <c r="K122" s="4" t="s">
        <v>123</v>
      </c>
      <c r="L122">
        <v>806</v>
      </c>
      <c r="M122" s="4" t="s">
        <v>158</v>
      </c>
    </row>
    <row r="123" spans="1:13" x14ac:dyDescent="0.2">
      <c r="A123" s="4" t="s">
        <v>306</v>
      </c>
      <c r="B123">
        <v>122</v>
      </c>
      <c r="C123" s="4" t="s">
        <v>26</v>
      </c>
      <c r="D123" s="4" t="s">
        <v>27</v>
      </c>
      <c r="E123" s="4" t="s">
        <v>44</v>
      </c>
      <c r="F123" s="4" t="s">
        <v>45</v>
      </c>
      <c r="G123">
        <v>2</v>
      </c>
      <c r="H123">
        <v>6</v>
      </c>
      <c r="I123" s="4" t="s">
        <v>35</v>
      </c>
      <c r="J123" s="4" t="s">
        <v>125</v>
      </c>
      <c r="K123" s="4" t="s">
        <v>126</v>
      </c>
      <c r="L123">
        <v>312</v>
      </c>
      <c r="M123" s="4" t="s">
        <v>158</v>
      </c>
    </row>
    <row r="124" spans="1:13" x14ac:dyDescent="0.2">
      <c r="A124" s="4" t="s">
        <v>307</v>
      </c>
      <c r="B124">
        <v>123</v>
      </c>
      <c r="C124" s="4" t="s">
        <v>26</v>
      </c>
      <c r="D124" s="4" t="s">
        <v>27</v>
      </c>
      <c r="E124" s="4" t="s">
        <v>44</v>
      </c>
      <c r="F124" s="4" t="s">
        <v>45</v>
      </c>
      <c r="G124">
        <v>2</v>
      </c>
      <c r="H124">
        <v>6</v>
      </c>
      <c r="I124" s="4" t="s">
        <v>35</v>
      </c>
      <c r="J124" s="4" t="s">
        <v>127</v>
      </c>
      <c r="K124" s="4" t="s">
        <v>128</v>
      </c>
      <c r="L124">
        <v>713</v>
      </c>
      <c r="M124" s="4" t="s">
        <v>158</v>
      </c>
    </row>
    <row r="125" spans="1:13" x14ac:dyDescent="0.2">
      <c r="A125" s="4" t="s">
        <v>308</v>
      </c>
      <c r="B125">
        <v>124</v>
      </c>
      <c r="C125" s="4" t="s">
        <v>26</v>
      </c>
      <c r="D125" s="4" t="s">
        <v>27</v>
      </c>
      <c r="E125" s="4" t="s">
        <v>44</v>
      </c>
      <c r="F125" s="4" t="s">
        <v>45</v>
      </c>
      <c r="G125">
        <v>2</v>
      </c>
      <c r="H125">
        <v>6</v>
      </c>
      <c r="I125" s="4" t="s">
        <v>35</v>
      </c>
      <c r="J125" s="4" t="s">
        <v>129</v>
      </c>
      <c r="K125" s="4" t="s">
        <v>130</v>
      </c>
      <c r="L125">
        <v>256</v>
      </c>
      <c r="M125" s="4" t="s">
        <v>158</v>
      </c>
    </row>
    <row r="126" spans="1:13" x14ac:dyDescent="0.2">
      <c r="A126" s="4" t="s">
        <v>309</v>
      </c>
      <c r="B126">
        <v>125</v>
      </c>
      <c r="C126" s="4" t="s">
        <v>26</v>
      </c>
      <c r="D126" s="4" t="s">
        <v>27</v>
      </c>
      <c r="E126" s="4" t="s">
        <v>44</v>
      </c>
      <c r="F126" s="4" t="s">
        <v>45</v>
      </c>
      <c r="G126">
        <v>2</v>
      </c>
      <c r="H126">
        <v>6</v>
      </c>
      <c r="I126" s="4" t="s">
        <v>35</v>
      </c>
      <c r="J126" s="4" t="s">
        <v>131</v>
      </c>
      <c r="K126" s="4" t="s">
        <v>132</v>
      </c>
      <c r="L126">
        <v>337</v>
      </c>
      <c r="M126" s="4" t="s">
        <v>158</v>
      </c>
    </row>
    <row r="127" spans="1:13" x14ac:dyDescent="0.2">
      <c r="A127" s="4" t="s">
        <v>310</v>
      </c>
      <c r="B127">
        <v>126</v>
      </c>
      <c r="C127" s="4" t="s">
        <v>26</v>
      </c>
      <c r="D127" s="4" t="s">
        <v>27</v>
      </c>
      <c r="E127" s="4" t="s">
        <v>44</v>
      </c>
      <c r="F127" s="4" t="s">
        <v>45</v>
      </c>
      <c r="G127">
        <v>2</v>
      </c>
      <c r="H127">
        <v>6</v>
      </c>
      <c r="I127" s="4" t="s">
        <v>35</v>
      </c>
      <c r="J127" s="4" t="s">
        <v>133</v>
      </c>
      <c r="K127" s="4" t="s">
        <v>134</v>
      </c>
      <c r="L127">
        <v>261</v>
      </c>
      <c r="M127" s="4" t="s">
        <v>158</v>
      </c>
    </row>
    <row r="128" spans="1:13" x14ac:dyDescent="0.2">
      <c r="A128" s="4" t="s">
        <v>311</v>
      </c>
      <c r="B128">
        <v>127</v>
      </c>
      <c r="C128" s="4" t="s">
        <v>26</v>
      </c>
      <c r="D128" s="4" t="s">
        <v>27</v>
      </c>
      <c r="E128" s="4" t="s">
        <v>44</v>
      </c>
      <c r="F128" s="4" t="s">
        <v>45</v>
      </c>
      <c r="G128">
        <v>2</v>
      </c>
      <c r="H128">
        <v>6</v>
      </c>
      <c r="I128" s="4" t="s">
        <v>112</v>
      </c>
      <c r="J128" s="4" t="s">
        <v>122</v>
      </c>
      <c r="K128" s="4" t="s">
        <v>123</v>
      </c>
      <c r="L128">
        <v>149</v>
      </c>
      <c r="M128" s="4" t="s">
        <v>158</v>
      </c>
    </row>
    <row r="129" spans="1:13" x14ac:dyDescent="0.2">
      <c r="A129" s="4" t="s">
        <v>312</v>
      </c>
      <c r="B129">
        <v>128</v>
      </c>
      <c r="C129" s="4" t="s">
        <v>26</v>
      </c>
      <c r="D129" s="4" t="s">
        <v>27</v>
      </c>
      <c r="E129" s="4" t="s">
        <v>44</v>
      </c>
      <c r="F129" s="4" t="s">
        <v>45</v>
      </c>
      <c r="G129">
        <v>2</v>
      </c>
      <c r="H129">
        <v>6</v>
      </c>
      <c r="I129" s="4" t="s">
        <v>112</v>
      </c>
      <c r="J129" s="4" t="s">
        <v>125</v>
      </c>
      <c r="K129" s="4" t="s">
        <v>126</v>
      </c>
      <c r="L129">
        <v>60</v>
      </c>
      <c r="M129" s="4" t="s">
        <v>158</v>
      </c>
    </row>
    <row r="130" spans="1:13" x14ac:dyDescent="0.2">
      <c r="A130" s="4" t="s">
        <v>313</v>
      </c>
      <c r="B130">
        <v>129</v>
      </c>
      <c r="C130" s="4" t="s">
        <v>26</v>
      </c>
      <c r="D130" s="4" t="s">
        <v>27</v>
      </c>
      <c r="E130" s="4" t="s">
        <v>44</v>
      </c>
      <c r="F130" s="4" t="s">
        <v>45</v>
      </c>
      <c r="G130">
        <v>2</v>
      </c>
      <c r="H130">
        <v>6</v>
      </c>
      <c r="I130" s="4" t="s">
        <v>112</v>
      </c>
      <c r="J130" s="4" t="s">
        <v>127</v>
      </c>
      <c r="K130" s="4" t="s">
        <v>128</v>
      </c>
      <c r="L130">
        <v>115</v>
      </c>
      <c r="M130" s="4" t="s">
        <v>158</v>
      </c>
    </row>
    <row r="131" spans="1:13" x14ac:dyDescent="0.2">
      <c r="A131" s="4" t="s">
        <v>314</v>
      </c>
      <c r="B131">
        <v>130</v>
      </c>
      <c r="C131" s="4" t="s">
        <v>26</v>
      </c>
      <c r="D131" s="4" t="s">
        <v>27</v>
      </c>
      <c r="E131" s="4" t="s">
        <v>44</v>
      </c>
      <c r="F131" s="4" t="s">
        <v>45</v>
      </c>
      <c r="G131">
        <v>2</v>
      </c>
      <c r="H131">
        <v>6</v>
      </c>
      <c r="I131" s="4" t="s">
        <v>112</v>
      </c>
      <c r="J131" s="4" t="s">
        <v>129</v>
      </c>
      <c r="K131" s="4" t="s">
        <v>130</v>
      </c>
      <c r="L131">
        <v>35</v>
      </c>
      <c r="M131" s="4" t="s">
        <v>158</v>
      </c>
    </row>
    <row r="132" spans="1:13" x14ac:dyDescent="0.2">
      <c r="A132" s="4" t="s">
        <v>315</v>
      </c>
      <c r="B132">
        <v>131</v>
      </c>
      <c r="C132" s="4" t="s">
        <v>26</v>
      </c>
      <c r="D132" s="4" t="s">
        <v>27</v>
      </c>
      <c r="E132" s="4" t="s">
        <v>44</v>
      </c>
      <c r="F132" s="4" t="s">
        <v>45</v>
      </c>
      <c r="G132">
        <v>2</v>
      </c>
      <c r="H132">
        <v>6</v>
      </c>
      <c r="I132" s="4" t="s">
        <v>112</v>
      </c>
      <c r="J132" s="4" t="s">
        <v>131</v>
      </c>
      <c r="K132" s="4" t="s">
        <v>132</v>
      </c>
      <c r="L132">
        <v>60</v>
      </c>
      <c r="M132" s="4" t="s">
        <v>158</v>
      </c>
    </row>
    <row r="133" spans="1:13" x14ac:dyDescent="0.2">
      <c r="A133" s="4" t="s">
        <v>316</v>
      </c>
      <c r="B133">
        <v>132</v>
      </c>
      <c r="C133" s="4" t="s">
        <v>26</v>
      </c>
      <c r="D133" s="4" t="s">
        <v>27</v>
      </c>
      <c r="E133" s="4" t="s">
        <v>44</v>
      </c>
      <c r="F133" s="4" t="s">
        <v>45</v>
      </c>
      <c r="G133">
        <v>2</v>
      </c>
      <c r="H133">
        <v>6</v>
      </c>
      <c r="I133" s="4" t="s">
        <v>112</v>
      </c>
      <c r="J133" s="4" t="s">
        <v>133</v>
      </c>
      <c r="K133" s="4" t="s">
        <v>134</v>
      </c>
      <c r="L133">
        <v>70</v>
      </c>
      <c r="M133" s="4" t="s">
        <v>158</v>
      </c>
    </row>
    <row r="134" spans="1:13" x14ac:dyDescent="0.2">
      <c r="A134" s="4" t="s">
        <v>317</v>
      </c>
      <c r="B134">
        <v>133</v>
      </c>
      <c r="C134" s="4" t="s">
        <v>26</v>
      </c>
      <c r="D134" s="4" t="s">
        <v>27</v>
      </c>
      <c r="E134" s="4" t="s">
        <v>44</v>
      </c>
      <c r="F134" s="4" t="s">
        <v>45</v>
      </c>
      <c r="G134">
        <v>2</v>
      </c>
      <c r="H134">
        <v>6</v>
      </c>
      <c r="I134" s="4" t="s">
        <v>114</v>
      </c>
      <c r="J134" s="4" t="s">
        <v>122</v>
      </c>
      <c r="K134" s="4" t="s">
        <v>123</v>
      </c>
      <c r="L134">
        <v>0</v>
      </c>
      <c r="M134" s="4" t="s">
        <v>158</v>
      </c>
    </row>
    <row r="135" spans="1:13" x14ac:dyDescent="0.2">
      <c r="A135" s="4" t="s">
        <v>318</v>
      </c>
      <c r="B135">
        <v>134</v>
      </c>
      <c r="C135" s="4" t="s">
        <v>26</v>
      </c>
      <c r="D135" s="4" t="s">
        <v>27</v>
      </c>
      <c r="E135" s="4" t="s">
        <v>44</v>
      </c>
      <c r="F135" s="4" t="s">
        <v>45</v>
      </c>
      <c r="G135">
        <v>2</v>
      </c>
      <c r="H135">
        <v>6</v>
      </c>
      <c r="I135" s="4" t="s">
        <v>114</v>
      </c>
      <c r="J135" s="4" t="s">
        <v>125</v>
      </c>
      <c r="K135" s="4" t="s">
        <v>126</v>
      </c>
      <c r="L135">
        <v>60</v>
      </c>
      <c r="M135" s="4" t="s">
        <v>158</v>
      </c>
    </row>
    <row r="136" spans="1:13" x14ac:dyDescent="0.2">
      <c r="A136" s="4" t="s">
        <v>319</v>
      </c>
      <c r="B136">
        <v>135</v>
      </c>
      <c r="C136" s="4" t="s">
        <v>26</v>
      </c>
      <c r="D136" s="4" t="s">
        <v>27</v>
      </c>
      <c r="E136" s="4" t="s">
        <v>44</v>
      </c>
      <c r="F136" s="4" t="s">
        <v>45</v>
      </c>
      <c r="G136">
        <v>2</v>
      </c>
      <c r="H136">
        <v>6</v>
      </c>
      <c r="I136" s="4" t="s">
        <v>114</v>
      </c>
      <c r="J136" s="4" t="s">
        <v>127</v>
      </c>
      <c r="K136" s="4" t="s">
        <v>128</v>
      </c>
      <c r="L136">
        <v>44</v>
      </c>
      <c r="M136" s="4" t="s">
        <v>158</v>
      </c>
    </row>
    <row r="137" spans="1:13" x14ac:dyDescent="0.2">
      <c r="A137" s="4" t="s">
        <v>320</v>
      </c>
      <c r="B137">
        <v>136</v>
      </c>
      <c r="C137" s="4" t="s">
        <v>26</v>
      </c>
      <c r="D137" s="4" t="s">
        <v>27</v>
      </c>
      <c r="E137" s="4" t="s">
        <v>44</v>
      </c>
      <c r="F137" s="4" t="s">
        <v>45</v>
      </c>
      <c r="G137">
        <v>2</v>
      </c>
      <c r="H137">
        <v>6</v>
      </c>
      <c r="I137" s="4" t="s">
        <v>114</v>
      </c>
      <c r="J137" s="4" t="s">
        <v>129</v>
      </c>
      <c r="K137" s="4" t="s">
        <v>130</v>
      </c>
      <c r="L137">
        <v>15</v>
      </c>
      <c r="M137" s="4" t="s">
        <v>158</v>
      </c>
    </row>
    <row r="138" spans="1:13" x14ac:dyDescent="0.2">
      <c r="A138" s="4" t="s">
        <v>321</v>
      </c>
      <c r="B138">
        <v>137</v>
      </c>
      <c r="C138" s="4" t="s">
        <v>26</v>
      </c>
      <c r="D138" s="4" t="s">
        <v>27</v>
      </c>
      <c r="E138" s="4" t="s">
        <v>44</v>
      </c>
      <c r="F138" s="4" t="s">
        <v>45</v>
      </c>
      <c r="G138">
        <v>2</v>
      </c>
      <c r="H138">
        <v>6</v>
      </c>
      <c r="I138" s="4" t="s">
        <v>114</v>
      </c>
      <c r="J138" s="4" t="s">
        <v>131</v>
      </c>
      <c r="K138" s="4" t="s">
        <v>132</v>
      </c>
      <c r="L138">
        <v>70</v>
      </c>
      <c r="M138" s="4" t="s">
        <v>158</v>
      </c>
    </row>
    <row r="139" spans="1:13" x14ac:dyDescent="0.2">
      <c r="A139" s="4" t="s">
        <v>322</v>
      </c>
      <c r="B139">
        <v>138</v>
      </c>
      <c r="C139" s="4" t="s">
        <v>26</v>
      </c>
      <c r="D139" s="4" t="s">
        <v>27</v>
      </c>
      <c r="E139" s="4" t="s">
        <v>44</v>
      </c>
      <c r="F139" s="4" t="s">
        <v>45</v>
      </c>
      <c r="G139">
        <v>2</v>
      </c>
      <c r="H139">
        <v>6</v>
      </c>
      <c r="I139" s="4" t="s">
        <v>114</v>
      </c>
      <c r="J139" s="4" t="s">
        <v>133</v>
      </c>
      <c r="K139" s="4" t="s">
        <v>134</v>
      </c>
      <c r="L139">
        <v>25</v>
      </c>
      <c r="M139" s="4" t="s">
        <v>158</v>
      </c>
    </row>
    <row r="140" spans="1:13" x14ac:dyDescent="0.2">
      <c r="A140" s="4" t="s">
        <v>323</v>
      </c>
      <c r="B140">
        <v>139</v>
      </c>
      <c r="C140" s="4" t="s">
        <v>26</v>
      </c>
      <c r="D140" s="4" t="s">
        <v>27</v>
      </c>
      <c r="E140" s="4" t="s">
        <v>44</v>
      </c>
      <c r="F140" s="4" t="s">
        <v>45</v>
      </c>
      <c r="G140">
        <v>2</v>
      </c>
      <c r="H140">
        <v>6</v>
      </c>
      <c r="I140" s="4" t="s">
        <v>116</v>
      </c>
      <c r="J140" s="4" t="s">
        <v>122</v>
      </c>
      <c r="K140" s="4" t="s">
        <v>123</v>
      </c>
      <c r="L140">
        <v>65</v>
      </c>
      <c r="M140" s="4" t="s">
        <v>158</v>
      </c>
    </row>
    <row r="141" spans="1:13" x14ac:dyDescent="0.2">
      <c r="A141" s="4" t="s">
        <v>324</v>
      </c>
      <c r="B141">
        <v>140</v>
      </c>
      <c r="C141" s="4" t="s">
        <v>26</v>
      </c>
      <c r="D141" s="4" t="s">
        <v>27</v>
      </c>
      <c r="E141" s="4" t="s">
        <v>44</v>
      </c>
      <c r="F141" s="4" t="s">
        <v>45</v>
      </c>
      <c r="G141">
        <v>2</v>
      </c>
      <c r="H141">
        <v>6</v>
      </c>
      <c r="I141" s="4" t="s">
        <v>116</v>
      </c>
      <c r="J141" s="4" t="s">
        <v>125</v>
      </c>
      <c r="K141" s="4" t="s">
        <v>126</v>
      </c>
      <c r="L141">
        <v>20</v>
      </c>
      <c r="M141" s="4" t="s">
        <v>158</v>
      </c>
    </row>
    <row r="142" spans="1:13" x14ac:dyDescent="0.2">
      <c r="A142" s="4" t="s">
        <v>325</v>
      </c>
      <c r="B142">
        <v>141</v>
      </c>
      <c r="C142" s="4" t="s">
        <v>26</v>
      </c>
      <c r="D142" s="4" t="s">
        <v>27</v>
      </c>
      <c r="E142" s="4" t="s">
        <v>44</v>
      </c>
      <c r="F142" s="4" t="s">
        <v>45</v>
      </c>
      <c r="G142">
        <v>2</v>
      </c>
      <c r="H142">
        <v>6</v>
      </c>
      <c r="I142" s="4" t="s">
        <v>116</v>
      </c>
      <c r="J142" s="4" t="s">
        <v>127</v>
      </c>
      <c r="K142" s="4" t="s">
        <v>128</v>
      </c>
      <c r="L142">
        <v>85</v>
      </c>
      <c r="M142" s="4" t="s">
        <v>158</v>
      </c>
    </row>
    <row r="143" spans="1:13" x14ac:dyDescent="0.2">
      <c r="A143" s="4" t="s">
        <v>326</v>
      </c>
      <c r="B143">
        <v>142</v>
      </c>
      <c r="C143" s="4" t="s">
        <v>26</v>
      </c>
      <c r="D143" s="4" t="s">
        <v>27</v>
      </c>
      <c r="E143" s="4" t="s">
        <v>44</v>
      </c>
      <c r="F143" s="4" t="s">
        <v>45</v>
      </c>
      <c r="G143">
        <v>2</v>
      </c>
      <c r="H143">
        <v>6</v>
      </c>
      <c r="I143" s="4" t="s">
        <v>116</v>
      </c>
      <c r="J143" s="4" t="s">
        <v>129</v>
      </c>
      <c r="K143" s="4" t="s">
        <v>130</v>
      </c>
      <c r="L143">
        <v>70</v>
      </c>
      <c r="M143" s="4" t="s">
        <v>158</v>
      </c>
    </row>
    <row r="144" spans="1:13" x14ac:dyDescent="0.2">
      <c r="A144" s="4" t="s">
        <v>327</v>
      </c>
      <c r="B144">
        <v>143</v>
      </c>
      <c r="C144" s="4" t="s">
        <v>26</v>
      </c>
      <c r="D144" s="4" t="s">
        <v>27</v>
      </c>
      <c r="E144" s="4" t="s">
        <v>44</v>
      </c>
      <c r="F144" s="4" t="s">
        <v>45</v>
      </c>
      <c r="G144">
        <v>2</v>
      </c>
      <c r="H144">
        <v>6</v>
      </c>
      <c r="I144" s="4" t="s">
        <v>116</v>
      </c>
      <c r="J144" s="4" t="s">
        <v>131</v>
      </c>
      <c r="K144" s="4" t="s">
        <v>132</v>
      </c>
      <c r="L144">
        <v>30</v>
      </c>
      <c r="M144" s="4" t="s">
        <v>158</v>
      </c>
    </row>
    <row r="145" spans="1:13" x14ac:dyDescent="0.2">
      <c r="A145" s="4" t="s">
        <v>328</v>
      </c>
      <c r="B145">
        <v>144</v>
      </c>
      <c r="C145" s="4" t="s">
        <v>26</v>
      </c>
      <c r="D145" s="4" t="s">
        <v>27</v>
      </c>
      <c r="E145" s="4" t="s">
        <v>44</v>
      </c>
      <c r="F145" s="4" t="s">
        <v>45</v>
      </c>
      <c r="G145">
        <v>2</v>
      </c>
      <c r="H145">
        <v>6</v>
      </c>
      <c r="I145" s="4" t="s">
        <v>116</v>
      </c>
      <c r="J145" s="4" t="s">
        <v>133</v>
      </c>
      <c r="K145" s="4" t="s">
        <v>134</v>
      </c>
      <c r="L145">
        <v>30</v>
      </c>
      <c r="M145" s="4" t="s">
        <v>158</v>
      </c>
    </row>
    <row r="146" spans="1:13" x14ac:dyDescent="0.2">
      <c r="A146" s="4" t="s">
        <v>329</v>
      </c>
      <c r="B146">
        <v>145</v>
      </c>
      <c r="C146" s="4" t="s">
        <v>26</v>
      </c>
      <c r="D146" s="4" t="s">
        <v>27</v>
      </c>
      <c r="E146" s="4" t="s">
        <v>47</v>
      </c>
      <c r="F146" s="4" t="s">
        <v>48</v>
      </c>
      <c r="G146">
        <v>2</v>
      </c>
      <c r="H146">
        <v>7</v>
      </c>
      <c r="I146" s="4" t="s">
        <v>35</v>
      </c>
      <c r="J146" s="4" t="s">
        <v>122</v>
      </c>
      <c r="K146" s="4" t="s">
        <v>123</v>
      </c>
      <c r="L146">
        <v>666</v>
      </c>
      <c r="M146" s="4" t="s">
        <v>158</v>
      </c>
    </row>
    <row r="147" spans="1:13" x14ac:dyDescent="0.2">
      <c r="A147" s="4" t="s">
        <v>330</v>
      </c>
      <c r="B147">
        <v>146</v>
      </c>
      <c r="C147" s="4" t="s">
        <v>26</v>
      </c>
      <c r="D147" s="4" t="s">
        <v>27</v>
      </c>
      <c r="E147" s="4" t="s">
        <v>47</v>
      </c>
      <c r="F147" s="4" t="s">
        <v>48</v>
      </c>
      <c r="G147">
        <v>2</v>
      </c>
      <c r="H147">
        <v>7</v>
      </c>
      <c r="I147" s="4" t="s">
        <v>35</v>
      </c>
      <c r="J147" s="4" t="s">
        <v>125</v>
      </c>
      <c r="K147" s="4" t="s">
        <v>126</v>
      </c>
      <c r="L147">
        <v>313</v>
      </c>
      <c r="M147" s="4" t="s">
        <v>158</v>
      </c>
    </row>
    <row r="148" spans="1:13" x14ac:dyDescent="0.2">
      <c r="A148" s="4" t="s">
        <v>331</v>
      </c>
      <c r="B148">
        <v>147</v>
      </c>
      <c r="C148" s="4" t="s">
        <v>26</v>
      </c>
      <c r="D148" s="4" t="s">
        <v>27</v>
      </c>
      <c r="E148" s="4" t="s">
        <v>47</v>
      </c>
      <c r="F148" s="4" t="s">
        <v>48</v>
      </c>
      <c r="G148">
        <v>2</v>
      </c>
      <c r="H148">
        <v>7</v>
      </c>
      <c r="I148" s="4" t="s">
        <v>35</v>
      </c>
      <c r="J148" s="4" t="s">
        <v>127</v>
      </c>
      <c r="K148" s="4" t="s">
        <v>128</v>
      </c>
      <c r="L148">
        <v>648</v>
      </c>
      <c r="M148" s="4" t="s">
        <v>158</v>
      </c>
    </row>
    <row r="149" spans="1:13" x14ac:dyDescent="0.2">
      <c r="A149" s="4" t="s">
        <v>332</v>
      </c>
      <c r="B149">
        <v>148</v>
      </c>
      <c r="C149" s="4" t="s">
        <v>26</v>
      </c>
      <c r="D149" s="4" t="s">
        <v>27</v>
      </c>
      <c r="E149" s="4" t="s">
        <v>47</v>
      </c>
      <c r="F149" s="4" t="s">
        <v>48</v>
      </c>
      <c r="G149">
        <v>2</v>
      </c>
      <c r="H149">
        <v>7</v>
      </c>
      <c r="I149" s="4" t="s">
        <v>35</v>
      </c>
      <c r="J149" s="4" t="s">
        <v>129</v>
      </c>
      <c r="K149" s="4" t="s">
        <v>130</v>
      </c>
      <c r="L149">
        <v>242</v>
      </c>
      <c r="M149" s="4" t="s">
        <v>158</v>
      </c>
    </row>
    <row r="150" spans="1:13" x14ac:dyDescent="0.2">
      <c r="A150" s="4" t="s">
        <v>333</v>
      </c>
      <c r="B150">
        <v>149</v>
      </c>
      <c r="C150" s="4" t="s">
        <v>26</v>
      </c>
      <c r="D150" s="4" t="s">
        <v>27</v>
      </c>
      <c r="E150" s="4" t="s">
        <v>47</v>
      </c>
      <c r="F150" s="4" t="s">
        <v>48</v>
      </c>
      <c r="G150">
        <v>2</v>
      </c>
      <c r="H150">
        <v>7</v>
      </c>
      <c r="I150" s="4" t="s">
        <v>35</v>
      </c>
      <c r="J150" s="4" t="s">
        <v>131</v>
      </c>
      <c r="K150" s="4" t="s">
        <v>132</v>
      </c>
      <c r="L150">
        <v>338</v>
      </c>
      <c r="M150" s="4" t="s">
        <v>158</v>
      </c>
    </row>
    <row r="151" spans="1:13" x14ac:dyDescent="0.2">
      <c r="A151" s="4" t="s">
        <v>334</v>
      </c>
      <c r="B151">
        <v>150</v>
      </c>
      <c r="C151" s="4" t="s">
        <v>26</v>
      </c>
      <c r="D151" s="4" t="s">
        <v>27</v>
      </c>
      <c r="E151" s="4" t="s">
        <v>47</v>
      </c>
      <c r="F151" s="4" t="s">
        <v>48</v>
      </c>
      <c r="G151">
        <v>2</v>
      </c>
      <c r="H151">
        <v>7</v>
      </c>
      <c r="I151" s="4" t="s">
        <v>35</v>
      </c>
      <c r="J151" s="4" t="s">
        <v>133</v>
      </c>
      <c r="K151" s="4" t="s">
        <v>134</v>
      </c>
      <c r="L151">
        <v>262</v>
      </c>
      <c r="M151" s="4" t="s">
        <v>158</v>
      </c>
    </row>
    <row r="152" spans="1:13" x14ac:dyDescent="0.2">
      <c r="A152" s="4" t="s">
        <v>335</v>
      </c>
      <c r="B152">
        <v>151</v>
      </c>
      <c r="C152" s="4" t="s">
        <v>26</v>
      </c>
      <c r="D152" s="4" t="s">
        <v>27</v>
      </c>
      <c r="E152" s="4" t="s">
        <v>47</v>
      </c>
      <c r="F152" s="4" t="s">
        <v>48</v>
      </c>
      <c r="G152">
        <v>2</v>
      </c>
      <c r="H152">
        <v>7</v>
      </c>
      <c r="I152" s="4" t="s">
        <v>112</v>
      </c>
      <c r="J152" s="4" t="s">
        <v>122</v>
      </c>
      <c r="K152" s="4" t="s">
        <v>123</v>
      </c>
      <c r="L152">
        <v>157</v>
      </c>
      <c r="M152" s="4" t="s">
        <v>158</v>
      </c>
    </row>
    <row r="153" spans="1:13" x14ac:dyDescent="0.2">
      <c r="A153" s="4" t="s">
        <v>336</v>
      </c>
      <c r="B153">
        <v>152</v>
      </c>
      <c r="C153" s="4" t="s">
        <v>26</v>
      </c>
      <c r="D153" s="4" t="s">
        <v>27</v>
      </c>
      <c r="E153" s="4" t="s">
        <v>47</v>
      </c>
      <c r="F153" s="4" t="s">
        <v>48</v>
      </c>
      <c r="G153">
        <v>2</v>
      </c>
      <c r="H153">
        <v>7</v>
      </c>
      <c r="I153" s="4" t="s">
        <v>112</v>
      </c>
      <c r="J153" s="4" t="s">
        <v>125</v>
      </c>
      <c r="K153" s="4" t="s">
        <v>126</v>
      </c>
      <c r="L153">
        <v>60</v>
      </c>
      <c r="M153" s="4" t="s">
        <v>158</v>
      </c>
    </row>
    <row r="154" spans="1:13" x14ac:dyDescent="0.2">
      <c r="A154" s="4" t="s">
        <v>337</v>
      </c>
      <c r="B154">
        <v>153</v>
      </c>
      <c r="C154" s="4" t="s">
        <v>26</v>
      </c>
      <c r="D154" s="4" t="s">
        <v>27</v>
      </c>
      <c r="E154" s="4" t="s">
        <v>47</v>
      </c>
      <c r="F154" s="4" t="s">
        <v>48</v>
      </c>
      <c r="G154">
        <v>2</v>
      </c>
      <c r="H154">
        <v>7</v>
      </c>
      <c r="I154" s="4" t="s">
        <v>112</v>
      </c>
      <c r="J154" s="4" t="s">
        <v>127</v>
      </c>
      <c r="K154" s="4" t="s">
        <v>128</v>
      </c>
      <c r="L154">
        <v>71</v>
      </c>
      <c r="M154" s="4" t="s">
        <v>158</v>
      </c>
    </row>
    <row r="155" spans="1:13" x14ac:dyDescent="0.2">
      <c r="A155" s="4" t="s">
        <v>338</v>
      </c>
      <c r="B155">
        <v>154</v>
      </c>
      <c r="C155" s="4" t="s">
        <v>26</v>
      </c>
      <c r="D155" s="4" t="s">
        <v>27</v>
      </c>
      <c r="E155" s="4" t="s">
        <v>47</v>
      </c>
      <c r="F155" s="4" t="s">
        <v>48</v>
      </c>
      <c r="G155">
        <v>2</v>
      </c>
      <c r="H155">
        <v>7</v>
      </c>
      <c r="I155" s="4" t="s">
        <v>112</v>
      </c>
      <c r="J155" s="4" t="s">
        <v>129</v>
      </c>
      <c r="K155" s="4" t="s">
        <v>130</v>
      </c>
      <c r="L155">
        <v>35</v>
      </c>
      <c r="M155" s="4" t="s">
        <v>158</v>
      </c>
    </row>
    <row r="156" spans="1:13" x14ac:dyDescent="0.2">
      <c r="A156" s="4" t="s">
        <v>339</v>
      </c>
      <c r="B156">
        <v>155</v>
      </c>
      <c r="C156" s="4" t="s">
        <v>26</v>
      </c>
      <c r="D156" s="4" t="s">
        <v>27</v>
      </c>
      <c r="E156" s="4" t="s">
        <v>47</v>
      </c>
      <c r="F156" s="4" t="s">
        <v>48</v>
      </c>
      <c r="G156">
        <v>2</v>
      </c>
      <c r="H156">
        <v>7</v>
      </c>
      <c r="I156" s="4" t="s">
        <v>112</v>
      </c>
      <c r="J156" s="4" t="s">
        <v>131</v>
      </c>
      <c r="K156" s="4" t="s">
        <v>132</v>
      </c>
      <c r="L156">
        <v>60</v>
      </c>
      <c r="M156" s="4" t="s">
        <v>158</v>
      </c>
    </row>
    <row r="157" spans="1:13" x14ac:dyDescent="0.2">
      <c r="A157" s="4" t="s">
        <v>340</v>
      </c>
      <c r="B157">
        <v>156</v>
      </c>
      <c r="C157" s="4" t="s">
        <v>26</v>
      </c>
      <c r="D157" s="4" t="s">
        <v>27</v>
      </c>
      <c r="E157" s="4" t="s">
        <v>47</v>
      </c>
      <c r="F157" s="4" t="s">
        <v>48</v>
      </c>
      <c r="G157">
        <v>2</v>
      </c>
      <c r="H157">
        <v>7</v>
      </c>
      <c r="I157" s="4" t="s">
        <v>112</v>
      </c>
      <c r="J157" s="4" t="s">
        <v>133</v>
      </c>
      <c r="K157" s="4" t="s">
        <v>134</v>
      </c>
      <c r="L157">
        <v>70</v>
      </c>
      <c r="M157" s="4" t="s">
        <v>158</v>
      </c>
    </row>
    <row r="158" spans="1:13" x14ac:dyDescent="0.2">
      <c r="A158" s="4" t="s">
        <v>341</v>
      </c>
      <c r="B158">
        <v>157</v>
      </c>
      <c r="C158" s="4" t="s">
        <v>26</v>
      </c>
      <c r="D158" s="4" t="s">
        <v>27</v>
      </c>
      <c r="E158" s="4" t="s">
        <v>47</v>
      </c>
      <c r="F158" s="4" t="s">
        <v>48</v>
      </c>
      <c r="G158">
        <v>2</v>
      </c>
      <c r="H158">
        <v>7</v>
      </c>
      <c r="I158" s="4" t="s">
        <v>114</v>
      </c>
      <c r="J158" s="4" t="s">
        <v>122</v>
      </c>
      <c r="K158" s="4" t="s">
        <v>123</v>
      </c>
      <c r="L158">
        <v>60</v>
      </c>
      <c r="M158" s="4" t="s">
        <v>158</v>
      </c>
    </row>
    <row r="159" spans="1:13" x14ac:dyDescent="0.2">
      <c r="A159" s="4" t="s">
        <v>342</v>
      </c>
      <c r="B159">
        <v>158</v>
      </c>
      <c r="C159" s="4" t="s">
        <v>26</v>
      </c>
      <c r="D159" s="4" t="s">
        <v>27</v>
      </c>
      <c r="E159" s="4" t="s">
        <v>47</v>
      </c>
      <c r="F159" s="4" t="s">
        <v>48</v>
      </c>
      <c r="G159">
        <v>2</v>
      </c>
      <c r="H159">
        <v>7</v>
      </c>
      <c r="I159" s="4" t="s">
        <v>114</v>
      </c>
      <c r="J159" s="4" t="s">
        <v>125</v>
      </c>
      <c r="K159" s="4" t="s">
        <v>126</v>
      </c>
      <c r="L159">
        <v>60</v>
      </c>
      <c r="M159" s="4" t="s">
        <v>158</v>
      </c>
    </row>
    <row r="160" spans="1:13" x14ac:dyDescent="0.2">
      <c r="A160" s="4" t="s">
        <v>343</v>
      </c>
      <c r="B160">
        <v>159</v>
      </c>
      <c r="C160" s="4" t="s">
        <v>26</v>
      </c>
      <c r="D160" s="4" t="s">
        <v>27</v>
      </c>
      <c r="E160" s="4" t="s">
        <v>47</v>
      </c>
      <c r="F160" s="4" t="s">
        <v>48</v>
      </c>
      <c r="G160">
        <v>2</v>
      </c>
      <c r="H160">
        <v>7</v>
      </c>
      <c r="I160" s="4" t="s">
        <v>114</v>
      </c>
      <c r="J160" s="4" t="s">
        <v>127</v>
      </c>
      <c r="K160" s="4" t="s">
        <v>128</v>
      </c>
      <c r="L160">
        <v>66</v>
      </c>
      <c r="M160" s="4" t="s">
        <v>158</v>
      </c>
    </row>
    <row r="161" spans="1:13" x14ac:dyDescent="0.2">
      <c r="A161" s="4" t="s">
        <v>344</v>
      </c>
      <c r="B161">
        <v>160</v>
      </c>
      <c r="C161" s="4" t="s">
        <v>26</v>
      </c>
      <c r="D161" s="4" t="s">
        <v>27</v>
      </c>
      <c r="E161" s="4" t="s">
        <v>47</v>
      </c>
      <c r="F161" s="4" t="s">
        <v>48</v>
      </c>
      <c r="G161">
        <v>2</v>
      </c>
      <c r="H161">
        <v>7</v>
      </c>
      <c r="I161" s="4" t="s">
        <v>114</v>
      </c>
      <c r="J161" s="4" t="s">
        <v>129</v>
      </c>
      <c r="K161" s="4" t="s">
        <v>130</v>
      </c>
      <c r="L161">
        <v>0</v>
      </c>
      <c r="M161" s="4" t="s">
        <v>158</v>
      </c>
    </row>
    <row r="162" spans="1:13" x14ac:dyDescent="0.2">
      <c r="A162" s="4" t="s">
        <v>345</v>
      </c>
      <c r="B162">
        <v>161</v>
      </c>
      <c r="C162" s="4" t="s">
        <v>26</v>
      </c>
      <c r="D162" s="4" t="s">
        <v>27</v>
      </c>
      <c r="E162" s="4" t="s">
        <v>47</v>
      </c>
      <c r="F162" s="4" t="s">
        <v>48</v>
      </c>
      <c r="G162">
        <v>2</v>
      </c>
      <c r="H162">
        <v>7</v>
      </c>
      <c r="I162" s="4" t="s">
        <v>114</v>
      </c>
      <c r="J162" s="4" t="s">
        <v>131</v>
      </c>
      <c r="K162" s="4" t="s">
        <v>132</v>
      </c>
      <c r="L162">
        <v>70</v>
      </c>
      <c r="M162" s="4" t="s">
        <v>158</v>
      </c>
    </row>
    <row r="163" spans="1:13" x14ac:dyDescent="0.2">
      <c r="A163" s="4" t="s">
        <v>346</v>
      </c>
      <c r="B163">
        <v>162</v>
      </c>
      <c r="C163" s="4" t="s">
        <v>26</v>
      </c>
      <c r="D163" s="4" t="s">
        <v>27</v>
      </c>
      <c r="E163" s="4" t="s">
        <v>47</v>
      </c>
      <c r="F163" s="4" t="s">
        <v>48</v>
      </c>
      <c r="G163">
        <v>2</v>
      </c>
      <c r="H163">
        <v>7</v>
      </c>
      <c r="I163" s="4" t="s">
        <v>114</v>
      </c>
      <c r="J163" s="4" t="s">
        <v>133</v>
      </c>
      <c r="K163" s="4" t="s">
        <v>134</v>
      </c>
      <c r="L163">
        <v>25</v>
      </c>
      <c r="M163" s="4" t="s">
        <v>158</v>
      </c>
    </row>
    <row r="164" spans="1:13" x14ac:dyDescent="0.2">
      <c r="A164" s="4" t="s">
        <v>347</v>
      </c>
      <c r="B164">
        <v>163</v>
      </c>
      <c r="C164" s="4" t="s">
        <v>26</v>
      </c>
      <c r="D164" s="4" t="s">
        <v>27</v>
      </c>
      <c r="E164" s="4" t="s">
        <v>47</v>
      </c>
      <c r="F164" s="4" t="s">
        <v>48</v>
      </c>
      <c r="G164">
        <v>2</v>
      </c>
      <c r="H164">
        <v>7</v>
      </c>
      <c r="I164" s="4" t="s">
        <v>116</v>
      </c>
      <c r="J164" s="4" t="s">
        <v>122</v>
      </c>
      <c r="K164" s="4" t="s">
        <v>123</v>
      </c>
      <c r="L164">
        <v>65</v>
      </c>
      <c r="M164" s="4" t="s">
        <v>158</v>
      </c>
    </row>
    <row r="165" spans="1:13" x14ac:dyDescent="0.2">
      <c r="A165" s="4" t="s">
        <v>348</v>
      </c>
      <c r="B165">
        <v>164</v>
      </c>
      <c r="C165" s="4" t="s">
        <v>26</v>
      </c>
      <c r="D165" s="4" t="s">
        <v>27</v>
      </c>
      <c r="E165" s="4" t="s">
        <v>47</v>
      </c>
      <c r="F165" s="4" t="s">
        <v>48</v>
      </c>
      <c r="G165">
        <v>2</v>
      </c>
      <c r="H165">
        <v>7</v>
      </c>
      <c r="I165" s="4" t="s">
        <v>116</v>
      </c>
      <c r="J165" s="4" t="s">
        <v>125</v>
      </c>
      <c r="K165" s="4" t="s">
        <v>126</v>
      </c>
      <c r="L165">
        <v>20</v>
      </c>
      <c r="M165" s="4" t="s">
        <v>158</v>
      </c>
    </row>
    <row r="166" spans="1:13" x14ac:dyDescent="0.2">
      <c r="A166" s="4" t="s">
        <v>349</v>
      </c>
      <c r="B166">
        <v>165</v>
      </c>
      <c r="C166" s="4" t="s">
        <v>26</v>
      </c>
      <c r="D166" s="4" t="s">
        <v>27</v>
      </c>
      <c r="E166" s="4" t="s">
        <v>47</v>
      </c>
      <c r="F166" s="4" t="s">
        <v>48</v>
      </c>
      <c r="G166">
        <v>2</v>
      </c>
      <c r="H166">
        <v>7</v>
      </c>
      <c r="I166" s="4" t="s">
        <v>116</v>
      </c>
      <c r="J166" s="4" t="s">
        <v>127</v>
      </c>
      <c r="K166" s="4" t="s">
        <v>128</v>
      </c>
      <c r="L166">
        <v>85</v>
      </c>
      <c r="M166" s="4" t="s">
        <v>158</v>
      </c>
    </row>
    <row r="167" spans="1:13" x14ac:dyDescent="0.2">
      <c r="A167" s="4" t="s">
        <v>350</v>
      </c>
      <c r="B167">
        <v>166</v>
      </c>
      <c r="C167" s="4" t="s">
        <v>26</v>
      </c>
      <c r="D167" s="4" t="s">
        <v>27</v>
      </c>
      <c r="E167" s="4" t="s">
        <v>47</v>
      </c>
      <c r="F167" s="4" t="s">
        <v>48</v>
      </c>
      <c r="G167">
        <v>2</v>
      </c>
      <c r="H167">
        <v>7</v>
      </c>
      <c r="I167" s="4" t="s">
        <v>116</v>
      </c>
      <c r="J167" s="4" t="s">
        <v>129</v>
      </c>
      <c r="K167" s="4" t="s">
        <v>130</v>
      </c>
      <c r="L167">
        <v>79</v>
      </c>
      <c r="M167" s="4" t="s">
        <v>158</v>
      </c>
    </row>
    <row r="168" spans="1:13" x14ac:dyDescent="0.2">
      <c r="A168" s="4" t="s">
        <v>351</v>
      </c>
      <c r="B168">
        <v>167</v>
      </c>
      <c r="C168" s="4" t="s">
        <v>26</v>
      </c>
      <c r="D168" s="4" t="s">
        <v>27</v>
      </c>
      <c r="E168" s="4" t="s">
        <v>47</v>
      </c>
      <c r="F168" s="4" t="s">
        <v>48</v>
      </c>
      <c r="G168">
        <v>2</v>
      </c>
      <c r="H168">
        <v>7</v>
      </c>
      <c r="I168" s="4" t="s">
        <v>116</v>
      </c>
      <c r="J168" s="4" t="s">
        <v>131</v>
      </c>
      <c r="K168" s="4" t="s">
        <v>132</v>
      </c>
      <c r="L168">
        <v>30</v>
      </c>
      <c r="M168" s="4" t="s">
        <v>158</v>
      </c>
    </row>
    <row r="169" spans="1:13" x14ac:dyDescent="0.2">
      <c r="A169" s="4" t="s">
        <v>352</v>
      </c>
      <c r="B169">
        <v>168</v>
      </c>
      <c r="C169" s="4" t="s">
        <v>26</v>
      </c>
      <c r="D169" s="4" t="s">
        <v>27</v>
      </c>
      <c r="E169" s="4" t="s">
        <v>47</v>
      </c>
      <c r="F169" s="4" t="s">
        <v>48</v>
      </c>
      <c r="G169">
        <v>2</v>
      </c>
      <c r="H169">
        <v>7</v>
      </c>
      <c r="I169" s="4" t="s">
        <v>116</v>
      </c>
      <c r="J169" s="4" t="s">
        <v>133</v>
      </c>
      <c r="K169" s="4" t="s">
        <v>134</v>
      </c>
      <c r="L169">
        <v>30</v>
      </c>
      <c r="M169" s="4" t="s">
        <v>158</v>
      </c>
    </row>
    <row r="170" spans="1:13" x14ac:dyDescent="0.2">
      <c r="A170" s="4" t="s">
        <v>353</v>
      </c>
      <c r="B170">
        <v>169</v>
      </c>
      <c r="C170" s="4" t="s">
        <v>26</v>
      </c>
      <c r="D170" s="4" t="s">
        <v>27</v>
      </c>
      <c r="E170" s="4" t="s">
        <v>50</v>
      </c>
      <c r="F170" s="4" t="s">
        <v>51</v>
      </c>
      <c r="G170">
        <v>2</v>
      </c>
      <c r="H170">
        <v>8</v>
      </c>
      <c r="I170" s="4" t="s">
        <v>35</v>
      </c>
      <c r="J170" s="4" t="s">
        <v>122</v>
      </c>
      <c r="K170" s="4" t="s">
        <v>123</v>
      </c>
      <c r="L170">
        <v>734</v>
      </c>
      <c r="M170" s="4" t="s">
        <v>158</v>
      </c>
    </row>
    <row r="171" spans="1:13" x14ac:dyDescent="0.2">
      <c r="A171" s="4" t="s">
        <v>354</v>
      </c>
      <c r="B171">
        <v>170</v>
      </c>
      <c r="C171" s="4" t="s">
        <v>26</v>
      </c>
      <c r="D171" s="4" t="s">
        <v>27</v>
      </c>
      <c r="E171" s="4" t="s">
        <v>50</v>
      </c>
      <c r="F171" s="4" t="s">
        <v>51</v>
      </c>
      <c r="G171">
        <v>2</v>
      </c>
      <c r="H171">
        <v>8</v>
      </c>
      <c r="I171" s="4" t="s">
        <v>35</v>
      </c>
      <c r="J171" s="4" t="s">
        <v>125</v>
      </c>
      <c r="K171" s="4" t="s">
        <v>126</v>
      </c>
      <c r="L171">
        <v>313</v>
      </c>
      <c r="M171" s="4" t="s">
        <v>158</v>
      </c>
    </row>
    <row r="172" spans="1:13" x14ac:dyDescent="0.2">
      <c r="A172" s="4" t="s">
        <v>355</v>
      </c>
      <c r="B172">
        <v>171</v>
      </c>
      <c r="C172" s="4" t="s">
        <v>26</v>
      </c>
      <c r="D172" s="4" t="s">
        <v>27</v>
      </c>
      <c r="E172" s="4" t="s">
        <v>50</v>
      </c>
      <c r="F172" s="4" t="s">
        <v>51</v>
      </c>
      <c r="G172">
        <v>2</v>
      </c>
      <c r="H172">
        <v>8</v>
      </c>
      <c r="I172" s="4" t="s">
        <v>35</v>
      </c>
      <c r="J172" s="4" t="s">
        <v>127</v>
      </c>
      <c r="K172" s="4" t="s">
        <v>128</v>
      </c>
      <c r="L172">
        <v>626</v>
      </c>
      <c r="M172" s="4" t="s">
        <v>158</v>
      </c>
    </row>
    <row r="173" spans="1:13" x14ac:dyDescent="0.2">
      <c r="A173" s="4" t="s">
        <v>356</v>
      </c>
      <c r="B173">
        <v>172</v>
      </c>
      <c r="C173" s="4" t="s">
        <v>26</v>
      </c>
      <c r="D173" s="4" t="s">
        <v>27</v>
      </c>
      <c r="E173" s="4" t="s">
        <v>50</v>
      </c>
      <c r="F173" s="4" t="s">
        <v>51</v>
      </c>
      <c r="G173">
        <v>2</v>
      </c>
      <c r="H173">
        <v>8</v>
      </c>
      <c r="I173" s="4" t="s">
        <v>35</v>
      </c>
      <c r="J173" s="4" t="s">
        <v>129</v>
      </c>
      <c r="K173" s="4" t="s">
        <v>130</v>
      </c>
      <c r="L173">
        <v>236</v>
      </c>
      <c r="M173" s="4" t="s">
        <v>158</v>
      </c>
    </row>
    <row r="174" spans="1:13" x14ac:dyDescent="0.2">
      <c r="A174" s="4" t="s">
        <v>357</v>
      </c>
      <c r="B174">
        <v>173</v>
      </c>
      <c r="C174" s="4" t="s">
        <v>26</v>
      </c>
      <c r="D174" s="4" t="s">
        <v>27</v>
      </c>
      <c r="E174" s="4" t="s">
        <v>50</v>
      </c>
      <c r="F174" s="4" t="s">
        <v>51</v>
      </c>
      <c r="G174">
        <v>2</v>
      </c>
      <c r="H174">
        <v>8</v>
      </c>
      <c r="I174" s="4" t="s">
        <v>35</v>
      </c>
      <c r="J174" s="4" t="s">
        <v>131</v>
      </c>
      <c r="K174" s="4" t="s">
        <v>132</v>
      </c>
      <c r="L174">
        <v>338</v>
      </c>
      <c r="M174" s="4" t="s">
        <v>158</v>
      </c>
    </row>
    <row r="175" spans="1:13" x14ac:dyDescent="0.2">
      <c r="A175" s="4" t="s">
        <v>358</v>
      </c>
      <c r="B175">
        <v>174</v>
      </c>
      <c r="C175" s="4" t="s">
        <v>26</v>
      </c>
      <c r="D175" s="4" t="s">
        <v>27</v>
      </c>
      <c r="E175" s="4" t="s">
        <v>50</v>
      </c>
      <c r="F175" s="4" t="s">
        <v>51</v>
      </c>
      <c r="G175">
        <v>2</v>
      </c>
      <c r="H175">
        <v>8</v>
      </c>
      <c r="I175" s="4" t="s">
        <v>35</v>
      </c>
      <c r="J175" s="4" t="s">
        <v>133</v>
      </c>
      <c r="K175" s="4" t="s">
        <v>134</v>
      </c>
      <c r="L175">
        <v>262</v>
      </c>
      <c r="M175" s="4" t="s">
        <v>158</v>
      </c>
    </row>
    <row r="176" spans="1:13" x14ac:dyDescent="0.2">
      <c r="A176" s="4" t="s">
        <v>359</v>
      </c>
      <c r="B176">
        <v>175</v>
      </c>
      <c r="C176" s="4" t="s">
        <v>26</v>
      </c>
      <c r="D176" s="4" t="s">
        <v>27</v>
      </c>
      <c r="E176" s="4" t="s">
        <v>50</v>
      </c>
      <c r="F176" s="4" t="s">
        <v>51</v>
      </c>
      <c r="G176">
        <v>2</v>
      </c>
      <c r="H176">
        <v>8</v>
      </c>
      <c r="I176" s="4" t="s">
        <v>112</v>
      </c>
      <c r="J176" s="4" t="s">
        <v>122</v>
      </c>
      <c r="K176" s="4" t="s">
        <v>123</v>
      </c>
      <c r="L176">
        <v>176</v>
      </c>
      <c r="M176" s="4" t="s">
        <v>158</v>
      </c>
    </row>
    <row r="177" spans="1:13" x14ac:dyDescent="0.2">
      <c r="A177" s="4" t="s">
        <v>360</v>
      </c>
      <c r="B177">
        <v>176</v>
      </c>
      <c r="C177" s="4" t="s">
        <v>26</v>
      </c>
      <c r="D177" s="4" t="s">
        <v>27</v>
      </c>
      <c r="E177" s="4" t="s">
        <v>50</v>
      </c>
      <c r="F177" s="4" t="s">
        <v>51</v>
      </c>
      <c r="G177">
        <v>2</v>
      </c>
      <c r="H177">
        <v>8</v>
      </c>
      <c r="I177" s="4" t="s">
        <v>112</v>
      </c>
      <c r="J177" s="4" t="s">
        <v>125</v>
      </c>
      <c r="K177" s="4" t="s">
        <v>126</v>
      </c>
      <c r="L177">
        <v>40</v>
      </c>
      <c r="M177" s="4" t="s">
        <v>158</v>
      </c>
    </row>
    <row r="178" spans="1:13" x14ac:dyDescent="0.2">
      <c r="A178" s="4" t="s">
        <v>361</v>
      </c>
      <c r="B178">
        <v>177</v>
      </c>
      <c r="C178" s="4" t="s">
        <v>26</v>
      </c>
      <c r="D178" s="4" t="s">
        <v>27</v>
      </c>
      <c r="E178" s="4" t="s">
        <v>50</v>
      </c>
      <c r="F178" s="4" t="s">
        <v>51</v>
      </c>
      <c r="G178">
        <v>2</v>
      </c>
      <c r="H178">
        <v>8</v>
      </c>
      <c r="I178" s="4" t="s">
        <v>112</v>
      </c>
      <c r="J178" s="4" t="s">
        <v>127</v>
      </c>
      <c r="K178" s="4" t="s">
        <v>128</v>
      </c>
      <c r="L178">
        <v>44</v>
      </c>
      <c r="M178" s="4" t="s">
        <v>158</v>
      </c>
    </row>
    <row r="179" spans="1:13" x14ac:dyDescent="0.2">
      <c r="A179" s="4" t="s">
        <v>362</v>
      </c>
      <c r="B179">
        <v>178</v>
      </c>
      <c r="C179" s="4" t="s">
        <v>26</v>
      </c>
      <c r="D179" s="4" t="s">
        <v>27</v>
      </c>
      <c r="E179" s="4" t="s">
        <v>50</v>
      </c>
      <c r="F179" s="4" t="s">
        <v>51</v>
      </c>
      <c r="G179">
        <v>2</v>
      </c>
      <c r="H179">
        <v>8</v>
      </c>
      <c r="I179" s="4" t="s">
        <v>112</v>
      </c>
      <c r="J179" s="4" t="s">
        <v>129</v>
      </c>
      <c r="K179" s="4" t="s">
        <v>130</v>
      </c>
      <c r="L179">
        <v>35</v>
      </c>
      <c r="M179" s="4" t="s">
        <v>158</v>
      </c>
    </row>
    <row r="180" spans="1:13" x14ac:dyDescent="0.2">
      <c r="A180" s="4" t="s">
        <v>363</v>
      </c>
      <c r="B180">
        <v>179</v>
      </c>
      <c r="C180" s="4" t="s">
        <v>26</v>
      </c>
      <c r="D180" s="4" t="s">
        <v>27</v>
      </c>
      <c r="E180" s="4" t="s">
        <v>50</v>
      </c>
      <c r="F180" s="4" t="s">
        <v>51</v>
      </c>
      <c r="G180">
        <v>2</v>
      </c>
      <c r="H180">
        <v>8</v>
      </c>
      <c r="I180" s="4" t="s">
        <v>112</v>
      </c>
      <c r="J180" s="4" t="s">
        <v>131</v>
      </c>
      <c r="K180" s="4" t="s">
        <v>132</v>
      </c>
      <c r="L180">
        <v>60</v>
      </c>
      <c r="M180" s="4" t="s">
        <v>158</v>
      </c>
    </row>
    <row r="181" spans="1:13" x14ac:dyDescent="0.2">
      <c r="A181" s="4" t="s">
        <v>364</v>
      </c>
      <c r="B181">
        <v>180</v>
      </c>
      <c r="C181" s="4" t="s">
        <v>26</v>
      </c>
      <c r="D181" s="4" t="s">
        <v>27</v>
      </c>
      <c r="E181" s="4" t="s">
        <v>50</v>
      </c>
      <c r="F181" s="4" t="s">
        <v>51</v>
      </c>
      <c r="G181">
        <v>2</v>
      </c>
      <c r="H181">
        <v>8</v>
      </c>
      <c r="I181" s="4" t="s">
        <v>112</v>
      </c>
      <c r="J181" s="4" t="s">
        <v>133</v>
      </c>
      <c r="K181" s="4" t="s">
        <v>134</v>
      </c>
      <c r="L181">
        <v>70</v>
      </c>
      <c r="M181" s="4" t="s">
        <v>158</v>
      </c>
    </row>
    <row r="182" spans="1:13" x14ac:dyDescent="0.2">
      <c r="A182" s="4" t="s">
        <v>365</v>
      </c>
      <c r="B182">
        <v>181</v>
      </c>
      <c r="C182" s="4" t="s">
        <v>26</v>
      </c>
      <c r="D182" s="4" t="s">
        <v>27</v>
      </c>
      <c r="E182" s="4" t="s">
        <v>50</v>
      </c>
      <c r="F182" s="4" t="s">
        <v>51</v>
      </c>
      <c r="G182">
        <v>2</v>
      </c>
      <c r="H182">
        <v>8</v>
      </c>
      <c r="I182" s="4" t="s">
        <v>114</v>
      </c>
      <c r="J182" s="4" t="s">
        <v>122</v>
      </c>
      <c r="K182" s="4" t="s">
        <v>123</v>
      </c>
      <c r="L182">
        <v>60</v>
      </c>
      <c r="M182" s="4" t="s">
        <v>158</v>
      </c>
    </row>
    <row r="183" spans="1:13" x14ac:dyDescent="0.2">
      <c r="A183" s="4" t="s">
        <v>366</v>
      </c>
      <c r="B183">
        <v>182</v>
      </c>
      <c r="C183" s="4" t="s">
        <v>26</v>
      </c>
      <c r="D183" s="4" t="s">
        <v>27</v>
      </c>
      <c r="E183" s="4" t="s">
        <v>50</v>
      </c>
      <c r="F183" s="4" t="s">
        <v>51</v>
      </c>
      <c r="G183">
        <v>2</v>
      </c>
      <c r="H183">
        <v>8</v>
      </c>
      <c r="I183" s="4" t="s">
        <v>114</v>
      </c>
      <c r="J183" s="4" t="s">
        <v>125</v>
      </c>
      <c r="K183" s="4" t="s">
        <v>126</v>
      </c>
      <c r="L183">
        <v>60</v>
      </c>
      <c r="M183" s="4" t="s">
        <v>158</v>
      </c>
    </row>
    <row r="184" spans="1:13" x14ac:dyDescent="0.2">
      <c r="A184" s="4" t="s">
        <v>367</v>
      </c>
      <c r="B184">
        <v>183</v>
      </c>
      <c r="C184" s="4" t="s">
        <v>26</v>
      </c>
      <c r="D184" s="4" t="s">
        <v>27</v>
      </c>
      <c r="E184" s="4" t="s">
        <v>50</v>
      </c>
      <c r="F184" s="4" t="s">
        <v>51</v>
      </c>
      <c r="G184">
        <v>2</v>
      </c>
      <c r="H184">
        <v>8</v>
      </c>
      <c r="I184" s="4" t="s">
        <v>114</v>
      </c>
      <c r="J184" s="4" t="s">
        <v>127</v>
      </c>
      <c r="K184" s="4" t="s">
        <v>128</v>
      </c>
      <c r="L184">
        <v>45</v>
      </c>
      <c r="M184" s="4" t="s">
        <v>158</v>
      </c>
    </row>
    <row r="185" spans="1:13" x14ac:dyDescent="0.2">
      <c r="A185" s="4" t="s">
        <v>368</v>
      </c>
      <c r="B185">
        <v>184</v>
      </c>
      <c r="C185" s="4" t="s">
        <v>26</v>
      </c>
      <c r="D185" s="4" t="s">
        <v>27</v>
      </c>
      <c r="E185" s="4" t="s">
        <v>50</v>
      </c>
      <c r="F185" s="4" t="s">
        <v>51</v>
      </c>
      <c r="G185">
        <v>2</v>
      </c>
      <c r="H185">
        <v>8</v>
      </c>
      <c r="I185" s="4" t="s">
        <v>114</v>
      </c>
      <c r="J185" s="4" t="s">
        <v>129</v>
      </c>
      <c r="K185" s="4" t="s">
        <v>130</v>
      </c>
      <c r="L185">
        <v>15</v>
      </c>
      <c r="M185" s="4" t="s">
        <v>158</v>
      </c>
    </row>
    <row r="186" spans="1:13" x14ac:dyDescent="0.2">
      <c r="A186" s="4" t="s">
        <v>369</v>
      </c>
      <c r="B186">
        <v>185</v>
      </c>
      <c r="C186" s="4" t="s">
        <v>26</v>
      </c>
      <c r="D186" s="4" t="s">
        <v>27</v>
      </c>
      <c r="E186" s="4" t="s">
        <v>50</v>
      </c>
      <c r="F186" s="4" t="s">
        <v>51</v>
      </c>
      <c r="G186">
        <v>2</v>
      </c>
      <c r="H186">
        <v>8</v>
      </c>
      <c r="I186" s="4" t="s">
        <v>114</v>
      </c>
      <c r="J186" s="4" t="s">
        <v>131</v>
      </c>
      <c r="K186" s="4" t="s">
        <v>132</v>
      </c>
      <c r="L186">
        <v>70</v>
      </c>
      <c r="M186" s="4" t="s">
        <v>158</v>
      </c>
    </row>
    <row r="187" spans="1:13" x14ac:dyDescent="0.2">
      <c r="A187" s="4" t="s">
        <v>370</v>
      </c>
      <c r="B187">
        <v>186</v>
      </c>
      <c r="C187" s="4" t="s">
        <v>26</v>
      </c>
      <c r="D187" s="4" t="s">
        <v>27</v>
      </c>
      <c r="E187" s="4" t="s">
        <v>50</v>
      </c>
      <c r="F187" s="4" t="s">
        <v>51</v>
      </c>
      <c r="G187">
        <v>2</v>
      </c>
      <c r="H187">
        <v>8</v>
      </c>
      <c r="I187" s="4" t="s">
        <v>114</v>
      </c>
      <c r="J187" s="4" t="s">
        <v>133</v>
      </c>
      <c r="K187" s="4" t="s">
        <v>134</v>
      </c>
      <c r="L187">
        <v>25</v>
      </c>
      <c r="M187" s="4" t="s">
        <v>158</v>
      </c>
    </row>
    <row r="188" spans="1:13" x14ac:dyDescent="0.2">
      <c r="A188" s="4" t="s">
        <v>371</v>
      </c>
      <c r="B188">
        <v>187</v>
      </c>
      <c r="C188" s="4" t="s">
        <v>26</v>
      </c>
      <c r="D188" s="4" t="s">
        <v>27</v>
      </c>
      <c r="E188" s="4" t="s">
        <v>50</v>
      </c>
      <c r="F188" s="4" t="s">
        <v>51</v>
      </c>
      <c r="G188">
        <v>2</v>
      </c>
      <c r="H188">
        <v>8</v>
      </c>
      <c r="I188" s="4" t="s">
        <v>116</v>
      </c>
      <c r="J188" s="4" t="s">
        <v>122</v>
      </c>
      <c r="K188" s="4" t="s">
        <v>123</v>
      </c>
      <c r="L188">
        <v>65</v>
      </c>
      <c r="M188" s="4" t="s">
        <v>158</v>
      </c>
    </row>
    <row r="189" spans="1:13" x14ac:dyDescent="0.2">
      <c r="A189" s="4" t="s">
        <v>372</v>
      </c>
      <c r="B189">
        <v>188</v>
      </c>
      <c r="C189" s="4" t="s">
        <v>26</v>
      </c>
      <c r="D189" s="4" t="s">
        <v>27</v>
      </c>
      <c r="E189" s="4" t="s">
        <v>50</v>
      </c>
      <c r="F189" s="4" t="s">
        <v>51</v>
      </c>
      <c r="G189">
        <v>2</v>
      </c>
      <c r="H189">
        <v>8</v>
      </c>
      <c r="I189" s="4" t="s">
        <v>116</v>
      </c>
      <c r="J189" s="4" t="s">
        <v>125</v>
      </c>
      <c r="K189" s="4" t="s">
        <v>126</v>
      </c>
      <c r="L189">
        <v>20</v>
      </c>
      <c r="M189" s="4" t="s">
        <v>158</v>
      </c>
    </row>
    <row r="190" spans="1:13" x14ac:dyDescent="0.2">
      <c r="A190" s="4" t="s">
        <v>373</v>
      </c>
      <c r="B190">
        <v>189</v>
      </c>
      <c r="C190" s="4" t="s">
        <v>26</v>
      </c>
      <c r="D190" s="4" t="s">
        <v>27</v>
      </c>
      <c r="E190" s="4" t="s">
        <v>50</v>
      </c>
      <c r="F190" s="4" t="s">
        <v>51</v>
      </c>
      <c r="G190">
        <v>2</v>
      </c>
      <c r="H190">
        <v>8</v>
      </c>
      <c r="I190" s="4" t="s">
        <v>116</v>
      </c>
      <c r="J190" s="4" t="s">
        <v>127</v>
      </c>
      <c r="K190" s="4" t="s">
        <v>128</v>
      </c>
      <c r="L190">
        <v>85</v>
      </c>
      <c r="M190" s="4" t="s">
        <v>158</v>
      </c>
    </row>
    <row r="191" spans="1:13" x14ac:dyDescent="0.2">
      <c r="A191" s="4" t="s">
        <v>374</v>
      </c>
      <c r="B191">
        <v>190</v>
      </c>
      <c r="C191" s="4" t="s">
        <v>26</v>
      </c>
      <c r="D191" s="4" t="s">
        <v>27</v>
      </c>
      <c r="E191" s="4" t="s">
        <v>50</v>
      </c>
      <c r="F191" s="4" t="s">
        <v>51</v>
      </c>
      <c r="G191">
        <v>2</v>
      </c>
      <c r="H191">
        <v>8</v>
      </c>
      <c r="I191" s="4" t="s">
        <v>116</v>
      </c>
      <c r="J191" s="4" t="s">
        <v>129</v>
      </c>
      <c r="K191" s="4" t="s">
        <v>130</v>
      </c>
      <c r="L191">
        <v>68</v>
      </c>
      <c r="M191" s="4" t="s">
        <v>158</v>
      </c>
    </row>
    <row r="192" spans="1:13" x14ac:dyDescent="0.2">
      <c r="A192" s="4" t="s">
        <v>375</v>
      </c>
      <c r="B192">
        <v>191</v>
      </c>
      <c r="C192" s="4" t="s">
        <v>26</v>
      </c>
      <c r="D192" s="4" t="s">
        <v>27</v>
      </c>
      <c r="E192" s="4" t="s">
        <v>50</v>
      </c>
      <c r="F192" s="4" t="s">
        <v>51</v>
      </c>
      <c r="G192">
        <v>2</v>
      </c>
      <c r="H192">
        <v>8</v>
      </c>
      <c r="I192" s="4" t="s">
        <v>116</v>
      </c>
      <c r="J192" s="4" t="s">
        <v>131</v>
      </c>
      <c r="K192" s="4" t="s">
        <v>132</v>
      </c>
      <c r="L192">
        <v>30</v>
      </c>
      <c r="M192" s="4" t="s">
        <v>158</v>
      </c>
    </row>
    <row r="193" spans="1:13" x14ac:dyDescent="0.2">
      <c r="A193" s="4" t="s">
        <v>376</v>
      </c>
      <c r="B193">
        <v>192</v>
      </c>
      <c r="C193" s="4" t="s">
        <v>26</v>
      </c>
      <c r="D193" s="4" t="s">
        <v>27</v>
      </c>
      <c r="E193" s="4" t="s">
        <v>50</v>
      </c>
      <c r="F193" s="4" t="s">
        <v>51</v>
      </c>
      <c r="G193">
        <v>2</v>
      </c>
      <c r="H193">
        <v>8</v>
      </c>
      <c r="I193" s="4" t="s">
        <v>116</v>
      </c>
      <c r="J193" s="4" t="s">
        <v>133</v>
      </c>
      <c r="K193" s="4" t="s">
        <v>134</v>
      </c>
      <c r="L193">
        <v>30</v>
      </c>
      <c r="M193" s="4" t="s">
        <v>158</v>
      </c>
    </row>
    <row r="194" spans="1:13" x14ac:dyDescent="0.2">
      <c r="A194" s="4" t="s">
        <v>377</v>
      </c>
      <c r="B194">
        <v>193</v>
      </c>
      <c r="C194" s="4" t="s">
        <v>26</v>
      </c>
      <c r="D194" s="4" t="s">
        <v>27</v>
      </c>
      <c r="E194" s="4" t="s">
        <v>53</v>
      </c>
      <c r="F194" s="4" t="s">
        <v>54</v>
      </c>
      <c r="G194">
        <v>2</v>
      </c>
      <c r="H194">
        <v>9</v>
      </c>
      <c r="I194" s="4" t="s">
        <v>35</v>
      </c>
      <c r="J194" s="4" t="s">
        <v>122</v>
      </c>
      <c r="K194" s="4" t="s">
        <v>123</v>
      </c>
      <c r="L194">
        <v>680</v>
      </c>
      <c r="M194" s="4" t="s">
        <v>158</v>
      </c>
    </row>
    <row r="195" spans="1:13" x14ac:dyDescent="0.2">
      <c r="A195" s="4" t="s">
        <v>378</v>
      </c>
      <c r="B195">
        <v>194</v>
      </c>
      <c r="C195" s="4" t="s">
        <v>26</v>
      </c>
      <c r="D195" s="4" t="s">
        <v>27</v>
      </c>
      <c r="E195" s="4" t="s">
        <v>53</v>
      </c>
      <c r="F195" s="4" t="s">
        <v>54</v>
      </c>
      <c r="G195">
        <v>2</v>
      </c>
      <c r="H195">
        <v>9</v>
      </c>
      <c r="I195" s="4" t="s">
        <v>35</v>
      </c>
      <c r="J195" s="4" t="s">
        <v>125</v>
      </c>
      <c r="K195" s="4" t="s">
        <v>126</v>
      </c>
      <c r="L195">
        <v>293</v>
      </c>
      <c r="M195" s="4" t="s">
        <v>158</v>
      </c>
    </row>
    <row r="196" spans="1:13" x14ac:dyDescent="0.2">
      <c r="A196" s="4" t="s">
        <v>379</v>
      </c>
      <c r="B196">
        <v>195</v>
      </c>
      <c r="C196" s="4" t="s">
        <v>26</v>
      </c>
      <c r="D196" s="4" t="s">
        <v>27</v>
      </c>
      <c r="E196" s="4" t="s">
        <v>53</v>
      </c>
      <c r="F196" s="4" t="s">
        <v>54</v>
      </c>
      <c r="G196">
        <v>2</v>
      </c>
      <c r="H196">
        <v>9</v>
      </c>
      <c r="I196" s="4" t="s">
        <v>35</v>
      </c>
      <c r="J196" s="4" t="s">
        <v>127</v>
      </c>
      <c r="K196" s="4" t="s">
        <v>128</v>
      </c>
      <c r="L196">
        <v>490</v>
      </c>
      <c r="M196" s="4" t="s">
        <v>158</v>
      </c>
    </row>
    <row r="197" spans="1:13" x14ac:dyDescent="0.2">
      <c r="A197" s="4" t="s">
        <v>380</v>
      </c>
      <c r="B197">
        <v>196</v>
      </c>
      <c r="C197" s="4" t="s">
        <v>26</v>
      </c>
      <c r="D197" s="4" t="s">
        <v>27</v>
      </c>
      <c r="E197" s="4" t="s">
        <v>53</v>
      </c>
      <c r="F197" s="4" t="s">
        <v>54</v>
      </c>
      <c r="G197">
        <v>2</v>
      </c>
      <c r="H197">
        <v>9</v>
      </c>
      <c r="I197" s="4" t="s">
        <v>35</v>
      </c>
      <c r="J197" s="4" t="s">
        <v>129</v>
      </c>
      <c r="K197" s="4" t="s">
        <v>130</v>
      </c>
      <c r="L197">
        <v>219</v>
      </c>
      <c r="M197" s="4" t="s">
        <v>158</v>
      </c>
    </row>
    <row r="198" spans="1:13" x14ac:dyDescent="0.2">
      <c r="A198" s="4" t="s">
        <v>381</v>
      </c>
      <c r="B198">
        <v>197</v>
      </c>
      <c r="C198" s="4" t="s">
        <v>26</v>
      </c>
      <c r="D198" s="4" t="s">
        <v>27</v>
      </c>
      <c r="E198" s="4" t="s">
        <v>53</v>
      </c>
      <c r="F198" s="4" t="s">
        <v>54</v>
      </c>
      <c r="G198">
        <v>2</v>
      </c>
      <c r="H198">
        <v>9</v>
      </c>
      <c r="I198" s="4" t="s">
        <v>35</v>
      </c>
      <c r="J198" s="4" t="s">
        <v>131</v>
      </c>
      <c r="K198" s="4" t="s">
        <v>132</v>
      </c>
      <c r="L198">
        <v>338</v>
      </c>
      <c r="M198" s="4" t="s">
        <v>158</v>
      </c>
    </row>
    <row r="199" spans="1:13" x14ac:dyDescent="0.2">
      <c r="A199" s="4" t="s">
        <v>382</v>
      </c>
      <c r="B199">
        <v>198</v>
      </c>
      <c r="C199" s="4" t="s">
        <v>26</v>
      </c>
      <c r="D199" s="4" t="s">
        <v>27</v>
      </c>
      <c r="E199" s="4" t="s">
        <v>53</v>
      </c>
      <c r="F199" s="4" t="s">
        <v>54</v>
      </c>
      <c r="G199">
        <v>2</v>
      </c>
      <c r="H199">
        <v>9</v>
      </c>
      <c r="I199" s="4" t="s">
        <v>35</v>
      </c>
      <c r="J199" s="4" t="s">
        <v>133</v>
      </c>
      <c r="K199" s="4" t="s">
        <v>134</v>
      </c>
      <c r="L199">
        <v>262</v>
      </c>
      <c r="M199" s="4" t="s">
        <v>158</v>
      </c>
    </row>
    <row r="200" spans="1:13" x14ac:dyDescent="0.2">
      <c r="A200" s="4" t="s">
        <v>383</v>
      </c>
      <c r="B200">
        <v>199</v>
      </c>
      <c r="C200" s="4" t="s">
        <v>26</v>
      </c>
      <c r="D200" s="4" t="s">
        <v>27</v>
      </c>
      <c r="E200" s="4" t="s">
        <v>53</v>
      </c>
      <c r="F200" s="4" t="s">
        <v>54</v>
      </c>
      <c r="G200">
        <v>2</v>
      </c>
      <c r="H200">
        <v>9</v>
      </c>
      <c r="I200" s="4" t="s">
        <v>112</v>
      </c>
      <c r="J200" s="4" t="s">
        <v>122</v>
      </c>
      <c r="K200" s="4" t="s">
        <v>123</v>
      </c>
      <c r="L200">
        <v>54</v>
      </c>
      <c r="M200" s="4" t="s">
        <v>158</v>
      </c>
    </row>
    <row r="201" spans="1:13" x14ac:dyDescent="0.2">
      <c r="A201" s="4" t="s">
        <v>384</v>
      </c>
      <c r="B201">
        <v>200</v>
      </c>
      <c r="C201" s="4" t="s">
        <v>26</v>
      </c>
      <c r="D201" s="4" t="s">
        <v>27</v>
      </c>
      <c r="E201" s="4" t="s">
        <v>53</v>
      </c>
      <c r="F201" s="4" t="s">
        <v>54</v>
      </c>
      <c r="G201">
        <v>2</v>
      </c>
      <c r="H201">
        <v>9</v>
      </c>
      <c r="I201" s="4" t="s">
        <v>112</v>
      </c>
      <c r="J201" s="4" t="s">
        <v>125</v>
      </c>
      <c r="K201" s="4" t="s">
        <v>126</v>
      </c>
      <c r="L201">
        <v>60</v>
      </c>
      <c r="M201" s="4" t="s">
        <v>158</v>
      </c>
    </row>
    <row r="202" spans="1:13" x14ac:dyDescent="0.2">
      <c r="A202" s="4" t="s">
        <v>385</v>
      </c>
      <c r="B202">
        <v>201</v>
      </c>
      <c r="C202" s="4" t="s">
        <v>26</v>
      </c>
      <c r="D202" s="4" t="s">
        <v>27</v>
      </c>
      <c r="E202" s="4" t="s">
        <v>53</v>
      </c>
      <c r="F202" s="4" t="s">
        <v>54</v>
      </c>
      <c r="G202">
        <v>2</v>
      </c>
      <c r="H202">
        <v>9</v>
      </c>
      <c r="I202" s="4" t="s">
        <v>112</v>
      </c>
      <c r="J202" s="4" t="s">
        <v>127</v>
      </c>
      <c r="K202" s="4" t="s">
        <v>128</v>
      </c>
      <c r="L202">
        <v>71</v>
      </c>
      <c r="M202" s="4" t="s">
        <v>158</v>
      </c>
    </row>
    <row r="203" spans="1:13" x14ac:dyDescent="0.2">
      <c r="A203" s="4" t="s">
        <v>386</v>
      </c>
      <c r="B203">
        <v>202</v>
      </c>
      <c r="C203" s="4" t="s">
        <v>26</v>
      </c>
      <c r="D203" s="4" t="s">
        <v>27</v>
      </c>
      <c r="E203" s="4" t="s">
        <v>53</v>
      </c>
      <c r="F203" s="4" t="s">
        <v>54</v>
      </c>
      <c r="G203">
        <v>2</v>
      </c>
      <c r="H203">
        <v>9</v>
      </c>
      <c r="I203" s="4" t="s">
        <v>112</v>
      </c>
      <c r="J203" s="4" t="s">
        <v>129</v>
      </c>
      <c r="K203" s="4" t="s">
        <v>130</v>
      </c>
      <c r="L203">
        <v>35</v>
      </c>
      <c r="M203" s="4" t="s">
        <v>158</v>
      </c>
    </row>
    <row r="204" spans="1:13" x14ac:dyDescent="0.2">
      <c r="A204" s="4" t="s">
        <v>387</v>
      </c>
      <c r="B204">
        <v>203</v>
      </c>
      <c r="C204" s="4" t="s">
        <v>26</v>
      </c>
      <c r="D204" s="4" t="s">
        <v>27</v>
      </c>
      <c r="E204" s="4" t="s">
        <v>53</v>
      </c>
      <c r="F204" s="4" t="s">
        <v>54</v>
      </c>
      <c r="G204">
        <v>2</v>
      </c>
      <c r="H204">
        <v>9</v>
      </c>
      <c r="I204" s="4" t="s">
        <v>112</v>
      </c>
      <c r="J204" s="4" t="s">
        <v>131</v>
      </c>
      <c r="K204" s="4" t="s">
        <v>132</v>
      </c>
      <c r="L204">
        <v>60</v>
      </c>
      <c r="M204" s="4" t="s">
        <v>158</v>
      </c>
    </row>
    <row r="205" spans="1:13" x14ac:dyDescent="0.2">
      <c r="A205" s="4" t="s">
        <v>388</v>
      </c>
      <c r="B205">
        <v>204</v>
      </c>
      <c r="C205" s="4" t="s">
        <v>26</v>
      </c>
      <c r="D205" s="4" t="s">
        <v>27</v>
      </c>
      <c r="E205" s="4" t="s">
        <v>53</v>
      </c>
      <c r="F205" s="4" t="s">
        <v>54</v>
      </c>
      <c r="G205">
        <v>2</v>
      </c>
      <c r="H205">
        <v>9</v>
      </c>
      <c r="I205" s="4" t="s">
        <v>112</v>
      </c>
      <c r="J205" s="4" t="s">
        <v>133</v>
      </c>
      <c r="K205" s="4" t="s">
        <v>134</v>
      </c>
      <c r="L205">
        <v>70</v>
      </c>
      <c r="M205" s="4" t="s">
        <v>158</v>
      </c>
    </row>
    <row r="206" spans="1:13" x14ac:dyDescent="0.2">
      <c r="A206" s="4" t="s">
        <v>389</v>
      </c>
      <c r="B206">
        <v>205</v>
      </c>
      <c r="C206" s="4" t="s">
        <v>26</v>
      </c>
      <c r="D206" s="4" t="s">
        <v>27</v>
      </c>
      <c r="E206" s="4" t="s">
        <v>53</v>
      </c>
      <c r="F206" s="4" t="s">
        <v>54</v>
      </c>
      <c r="G206">
        <v>2</v>
      </c>
      <c r="H206">
        <v>9</v>
      </c>
      <c r="I206" s="4" t="s">
        <v>114</v>
      </c>
      <c r="J206" s="4" t="s">
        <v>122</v>
      </c>
      <c r="K206" s="4" t="s">
        <v>123</v>
      </c>
      <c r="L206">
        <v>0</v>
      </c>
      <c r="M206" s="4" t="s">
        <v>158</v>
      </c>
    </row>
    <row r="207" spans="1:13" x14ac:dyDescent="0.2">
      <c r="A207" s="4" t="s">
        <v>390</v>
      </c>
      <c r="B207">
        <v>206</v>
      </c>
      <c r="C207" s="4" t="s">
        <v>26</v>
      </c>
      <c r="D207" s="4" t="s">
        <v>27</v>
      </c>
      <c r="E207" s="4" t="s">
        <v>53</v>
      </c>
      <c r="F207" s="4" t="s">
        <v>54</v>
      </c>
      <c r="G207">
        <v>2</v>
      </c>
      <c r="H207">
        <v>9</v>
      </c>
      <c r="I207" s="4" t="s">
        <v>114</v>
      </c>
      <c r="J207" s="4" t="s">
        <v>125</v>
      </c>
      <c r="K207" s="4" t="s">
        <v>126</v>
      </c>
      <c r="L207">
        <v>60</v>
      </c>
      <c r="M207" s="4" t="s">
        <v>158</v>
      </c>
    </row>
    <row r="208" spans="1:13" x14ac:dyDescent="0.2">
      <c r="A208" s="4" t="s">
        <v>391</v>
      </c>
      <c r="B208">
        <v>207</v>
      </c>
      <c r="C208" s="4" t="s">
        <v>26</v>
      </c>
      <c r="D208" s="4" t="s">
        <v>27</v>
      </c>
      <c r="E208" s="4" t="s">
        <v>53</v>
      </c>
      <c r="F208" s="4" t="s">
        <v>54</v>
      </c>
      <c r="G208">
        <v>2</v>
      </c>
      <c r="H208">
        <v>9</v>
      </c>
      <c r="I208" s="4" t="s">
        <v>114</v>
      </c>
      <c r="J208" s="4" t="s">
        <v>127</v>
      </c>
      <c r="K208" s="4" t="s">
        <v>128</v>
      </c>
      <c r="L208">
        <v>110</v>
      </c>
      <c r="M208" s="4" t="s">
        <v>158</v>
      </c>
    </row>
    <row r="209" spans="1:13" x14ac:dyDescent="0.2">
      <c r="A209" s="4" t="s">
        <v>392</v>
      </c>
      <c r="B209">
        <v>208</v>
      </c>
      <c r="C209" s="4" t="s">
        <v>26</v>
      </c>
      <c r="D209" s="4" t="s">
        <v>27</v>
      </c>
      <c r="E209" s="4" t="s">
        <v>53</v>
      </c>
      <c r="F209" s="4" t="s">
        <v>54</v>
      </c>
      <c r="G209">
        <v>2</v>
      </c>
      <c r="H209">
        <v>9</v>
      </c>
      <c r="I209" s="4" t="s">
        <v>114</v>
      </c>
      <c r="J209" s="4" t="s">
        <v>129</v>
      </c>
      <c r="K209" s="4" t="s">
        <v>130</v>
      </c>
      <c r="L209">
        <v>15</v>
      </c>
      <c r="M209" s="4" t="s">
        <v>158</v>
      </c>
    </row>
    <row r="210" spans="1:13" x14ac:dyDescent="0.2">
      <c r="A210" s="4" t="s">
        <v>393</v>
      </c>
      <c r="B210">
        <v>209</v>
      </c>
      <c r="C210" s="4" t="s">
        <v>26</v>
      </c>
      <c r="D210" s="4" t="s">
        <v>27</v>
      </c>
      <c r="E210" s="4" t="s">
        <v>53</v>
      </c>
      <c r="F210" s="4" t="s">
        <v>54</v>
      </c>
      <c r="G210">
        <v>2</v>
      </c>
      <c r="H210">
        <v>9</v>
      </c>
      <c r="I210" s="4" t="s">
        <v>114</v>
      </c>
      <c r="J210" s="4" t="s">
        <v>131</v>
      </c>
      <c r="K210" s="4" t="s">
        <v>132</v>
      </c>
      <c r="L210">
        <v>70</v>
      </c>
      <c r="M210" s="4" t="s">
        <v>158</v>
      </c>
    </row>
    <row r="211" spans="1:13" x14ac:dyDescent="0.2">
      <c r="A211" s="4" t="s">
        <v>394</v>
      </c>
      <c r="B211">
        <v>210</v>
      </c>
      <c r="C211" s="4" t="s">
        <v>26</v>
      </c>
      <c r="D211" s="4" t="s">
        <v>27</v>
      </c>
      <c r="E211" s="4" t="s">
        <v>53</v>
      </c>
      <c r="F211" s="4" t="s">
        <v>54</v>
      </c>
      <c r="G211">
        <v>2</v>
      </c>
      <c r="H211">
        <v>9</v>
      </c>
      <c r="I211" s="4" t="s">
        <v>114</v>
      </c>
      <c r="J211" s="4" t="s">
        <v>133</v>
      </c>
      <c r="K211" s="4" t="s">
        <v>134</v>
      </c>
      <c r="L211">
        <v>25</v>
      </c>
      <c r="M211" s="4" t="s">
        <v>158</v>
      </c>
    </row>
    <row r="212" spans="1:13" x14ac:dyDescent="0.2">
      <c r="A212" s="4" t="s">
        <v>395</v>
      </c>
      <c r="B212">
        <v>211</v>
      </c>
      <c r="C212" s="4" t="s">
        <v>26</v>
      </c>
      <c r="D212" s="4" t="s">
        <v>27</v>
      </c>
      <c r="E212" s="4" t="s">
        <v>53</v>
      </c>
      <c r="F212" s="4" t="s">
        <v>54</v>
      </c>
      <c r="G212">
        <v>2</v>
      </c>
      <c r="H212">
        <v>9</v>
      </c>
      <c r="I212" s="4" t="s">
        <v>116</v>
      </c>
      <c r="J212" s="4" t="s">
        <v>122</v>
      </c>
      <c r="K212" s="4" t="s">
        <v>123</v>
      </c>
      <c r="L212">
        <v>65</v>
      </c>
      <c r="M212" s="4" t="s">
        <v>158</v>
      </c>
    </row>
    <row r="213" spans="1:13" x14ac:dyDescent="0.2">
      <c r="A213" s="4" t="s">
        <v>396</v>
      </c>
      <c r="B213">
        <v>212</v>
      </c>
      <c r="C213" s="4" t="s">
        <v>26</v>
      </c>
      <c r="D213" s="4" t="s">
        <v>27</v>
      </c>
      <c r="E213" s="4" t="s">
        <v>53</v>
      </c>
      <c r="F213" s="4" t="s">
        <v>54</v>
      </c>
      <c r="G213">
        <v>2</v>
      </c>
      <c r="H213">
        <v>9</v>
      </c>
      <c r="I213" s="4" t="s">
        <v>116</v>
      </c>
      <c r="J213" s="4" t="s">
        <v>125</v>
      </c>
      <c r="K213" s="4" t="s">
        <v>126</v>
      </c>
      <c r="L213">
        <v>20</v>
      </c>
      <c r="M213" s="4" t="s">
        <v>158</v>
      </c>
    </row>
    <row r="214" spans="1:13" x14ac:dyDescent="0.2">
      <c r="A214" s="4" t="s">
        <v>397</v>
      </c>
      <c r="B214">
        <v>213</v>
      </c>
      <c r="C214" s="4" t="s">
        <v>26</v>
      </c>
      <c r="D214" s="4" t="s">
        <v>27</v>
      </c>
      <c r="E214" s="4" t="s">
        <v>53</v>
      </c>
      <c r="F214" s="4" t="s">
        <v>54</v>
      </c>
      <c r="G214">
        <v>2</v>
      </c>
      <c r="H214">
        <v>9</v>
      </c>
      <c r="I214" s="4" t="s">
        <v>116</v>
      </c>
      <c r="J214" s="4" t="s">
        <v>127</v>
      </c>
      <c r="K214" s="4" t="s">
        <v>128</v>
      </c>
      <c r="L214">
        <v>41</v>
      </c>
      <c r="M214" s="4" t="s">
        <v>158</v>
      </c>
    </row>
    <row r="215" spans="1:13" x14ac:dyDescent="0.2">
      <c r="A215" s="4" t="s">
        <v>398</v>
      </c>
      <c r="B215">
        <v>214</v>
      </c>
      <c r="C215" s="4" t="s">
        <v>26</v>
      </c>
      <c r="D215" s="4" t="s">
        <v>27</v>
      </c>
      <c r="E215" s="4" t="s">
        <v>53</v>
      </c>
      <c r="F215" s="4" t="s">
        <v>54</v>
      </c>
      <c r="G215">
        <v>2</v>
      </c>
      <c r="H215">
        <v>9</v>
      </c>
      <c r="I215" s="4" t="s">
        <v>116</v>
      </c>
      <c r="J215" s="4" t="s">
        <v>129</v>
      </c>
      <c r="K215" s="4" t="s">
        <v>130</v>
      </c>
      <c r="L215">
        <v>49</v>
      </c>
      <c r="M215" s="4" t="s">
        <v>158</v>
      </c>
    </row>
    <row r="216" spans="1:13" x14ac:dyDescent="0.2">
      <c r="A216" s="4" t="s">
        <v>399</v>
      </c>
      <c r="B216">
        <v>215</v>
      </c>
      <c r="C216" s="4" t="s">
        <v>26</v>
      </c>
      <c r="D216" s="4" t="s">
        <v>27</v>
      </c>
      <c r="E216" s="4" t="s">
        <v>53</v>
      </c>
      <c r="F216" s="4" t="s">
        <v>54</v>
      </c>
      <c r="G216">
        <v>2</v>
      </c>
      <c r="H216">
        <v>9</v>
      </c>
      <c r="I216" s="4" t="s">
        <v>116</v>
      </c>
      <c r="J216" s="4" t="s">
        <v>131</v>
      </c>
      <c r="K216" s="4" t="s">
        <v>132</v>
      </c>
      <c r="L216">
        <v>30</v>
      </c>
      <c r="M216" s="4" t="s">
        <v>158</v>
      </c>
    </row>
    <row r="217" spans="1:13" x14ac:dyDescent="0.2">
      <c r="A217" s="4" t="s">
        <v>400</v>
      </c>
      <c r="B217">
        <v>216</v>
      </c>
      <c r="C217" s="4" t="s">
        <v>26</v>
      </c>
      <c r="D217" s="4" t="s">
        <v>27</v>
      </c>
      <c r="E217" s="4" t="s">
        <v>53</v>
      </c>
      <c r="F217" s="4" t="s">
        <v>54</v>
      </c>
      <c r="G217">
        <v>2</v>
      </c>
      <c r="H217">
        <v>9</v>
      </c>
      <c r="I217" s="4" t="s">
        <v>116</v>
      </c>
      <c r="J217" s="4" t="s">
        <v>133</v>
      </c>
      <c r="K217" s="4" t="s">
        <v>134</v>
      </c>
      <c r="L217">
        <v>30</v>
      </c>
      <c r="M217" s="4" t="s">
        <v>158</v>
      </c>
    </row>
    <row r="218" spans="1:13" x14ac:dyDescent="0.2">
      <c r="A218" s="4" t="s">
        <v>401</v>
      </c>
      <c r="B218">
        <v>217</v>
      </c>
      <c r="C218" s="4" t="s">
        <v>26</v>
      </c>
      <c r="D218" s="4" t="s">
        <v>27</v>
      </c>
      <c r="E218" s="4" t="s">
        <v>56</v>
      </c>
      <c r="F218" s="4" t="s">
        <v>57</v>
      </c>
      <c r="G218">
        <v>2</v>
      </c>
      <c r="H218">
        <v>10</v>
      </c>
      <c r="I218" s="4" t="s">
        <v>35</v>
      </c>
      <c r="J218" s="4" t="s">
        <v>122</v>
      </c>
      <c r="K218" s="4" t="s">
        <v>123</v>
      </c>
      <c r="L218">
        <v>444</v>
      </c>
      <c r="M218" s="4" t="s">
        <v>158</v>
      </c>
    </row>
    <row r="219" spans="1:13" x14ac:dyDescent="0.2">
      <c r="A219" s="4" t="s">
        <v>402</v>
      </c>
      <c r="B219">
        <v>218</v>
      </c>
      <c r="C219" s="4" t="s">
        <v>26</v>
      </c>
      <c r="D219" s="4" t="s">
        <v>27</v>
      </c>
      <c r="E219" s="4" t="s">
        <v>56</v>
      </c>
      <c r="F219" s="4" t="s">
        <v>57</v>
      </c>
      <c r="G219">
        <v>2</v>
      </c>
      <c r="H219">
        <v>10</v>
      </c>
      <c r="I219" s="4" t="s">
        <v>35</v>
      </c>
      <c r="J219" s="4" t="s">
        <v>125</v>
      </c>
      <c r="K219" s="4" t="s">
        <v>126</v>
      </c>
      <c r="L219">
        <v>293</v>
      </c>
      <c r="M219" s="4" t="s">
        <v>158</v>
      </c>
    </row>
    <row r="220" spans="1:13" x14ac:dyDescent="0.2">
      <c r="A220" s="4" t="s">
        <v>403</v>
      </c>
      <c r="B220">
        <v>219</v>
      </c>
      <c r="C220" s="4" t="s">
        <v>26</v>
      </c>
      <c r="D220" s="4" t="s">
        <v>27</v>
      </c>
      <c r="E220" s="4" t="s">
        <v>56</v>
      </c>
      <c r="F220" s="4" t="s">
        <v>57</v>
      </c>
      <c r="G220">
        <v>2</v>
      </c>
      <c r="H220">
        <v>10</v>
      </c>
      <c r="I220" s="4" t="s">
        <v>35</v>
      </c>
      <c r="J220" s="4" t="s">
        <v>127</v>
      </c>
      <c r="K220" s="4" t="s">
        <v>128</v>
      </c>
      <c r="L220">
        <v>402</v>
      </c>
      <c r="M220" s="4" t="s">
        <v>158</v>
      </c>
    </row>
    <row r="221" spans="1:13" x14ac:dyDescent="0.2">
      <c r="A221" s="4" t="s">
        <v>404</v>
      </c>
      <c r="B221">
        <v>220</v>
      </c>
      <c r="C221" s="4" t="s">
        <v>26</v>
      </c>
      <c r="D221" s="4" t="s">
        <v>27</v>
      </c>
      <c r="E221" s="4" t="s">
        <v>56</v>
      </c>
      <c r="F221" s="4" t="s">
        <v>57</v>
      </c>
      <c r="G221">
        <v>2</v>
      </c>
      <c r="H221">
        <v>10</v>
      </c>
      <c r="I221" s="4" t="s">
        <v>35</v>
      </c>
      <c r="J221" s="4" t="s">
        <v>129</v>
      </c>
      <c r="K221" s="4" t="s">
        <v>130</v>
      </c>
      <c r="L221">
        <v>183</v>
      </c>
      <c r="M221" s="4" t="s">
        <v>158</v>
      </c>
    </row>
    <row r="222" spans="1:13" x14ac:dyDescent="0.2">
      <c r="A222" s="4" t="s">
        <v>405</v>
      </c>
      <c r="B222">
        <v>221</v>
      </c>
      <c r="C222" s="4" t="s">
        <v>26</v>
      </c>
      <c r="D222" s="4" t="s">
        <v>27</v>
      </c>
      <c r="E222" s="4" t="s">
        <v>56</v>
      </c>
      <c r="F222" s="4" t="s">
        <v>57</v>
      </c>
      <c r="G222">
        <v>2</v>
      </c>
      <c r="H222">
        <v>10</v>
      </c>
      <c r="I222" s="4" t="s">
        <v>35</v>
      </c>
      <c r="J222" s="4" t="s">
        <v>131</v>
      </c>
      <c r="K222" s="4" t="s">
        <v>132</v>
      </c>
      <c r="L222">
        <v>338</v>
      </c>
      <c r="M222" s="4" t="s">
        <v>158</v>
      </c>
    </row>
    <row r="223" spans="1:13" x14ac:dyDescent="0.2">
      <c r="A223" s="4" t="s">
        <v>406</v>
      </c>
      <c r="B223">
        <v>222</v>
      </c>
      <c r="C223" s="4" t="s">
        <v>26</v>
      </c>
      <c r="D223" s="4" t="s">
        <v>27</v>
      </c>
      <c r="E223" s="4" t="s">
        <v>56</v>
      </c>
      <c r="F223" s="4" t="s">
        <v>57</v>
      </c>
      <c r="G223">
        <v>2</v>
      </c>
      <c r="H223">
        <v>10</v>
      </c>
      <c r="I223" s="4" t="s">
        <v>35</v>
      </c>
      <c r="J223" s="4" t="s">
        <v>133</v>
      </c>
      <c r="K223" s="4" t="s">
        <v>134</v>
      </c>
      <c r="L223">
        <v>262</v>
      </c>
      <c r="M223" s="4" t="s">
        <v>158</v>
      </c>
    </row>
    <row r="224" spans="1:13" x14ac:dyDescent="0.2">
      <c r="A224" s="4" t="s">
        <v>407</v>
      </c>
      <c r="B224">
        <v>223</v>
      </c>
      <c r="C224" s="4" t="s">
        <v>26</v>
      </c>
      <c r="D224" s="4" t="s">
        <v>27</v>
      </c>
      <c r="E224" s="4" t="s">
        <v>56</v>
      </c>
      <c r="F224" s="4" t="s">
        <v>57</v>
      </c>
      <c r="G224">
        <v>2</v>
      </c>
      <c r="H224">
        <v>10</v>
      </c>
      <c r="I224" s="4" t="s">
        <v>112</v>
      </c>
      <c r="J224" s="4" t="s">
        <v>122</v>
      </c>
      <c r="K224" s="4" t="s">
        <v>123</v>
      </c>
      <c r="L224">
        <v>176</v>
      </c>
      <c r="M224" s="4" t="s">
        <v>158</v>
      </c>
    </row>
    <row r="225" spans="1:13" x14ac:dyDescent="0.2">
      <c r="A225" s="4" t="s">
        <v>408</v>
      </c>
      <c r="B225">
        <v>224</v>
      </c>
      <c r="C225" s="4" t="s">
        <v>26</v>
      </c>
      <c r="D225" s="4" t="s">
        <v>27</v>
      </c>
      <c r="E225" s="4" t="s">
        <v>56</v>
      </c>
      <c r="F225" s="4" t="s">
        <v>57</v>
      </c>
      <c r="G225">
        <v>2</v>
      </c>
      <c r="H225">
        <v>10</v>
      </c>
      <c r="I225" s="4" t="s">
        <v>112</v>
      </c>
      <c r="J225" s="4" t="s">
        <v>125</v>
      </c>
      <c r="K225" s="4" t="s">
        <v>126</v>
      </c>
      <c r="L225">
        <v>60</v>
      </c>
      <c r="M225" s="4" t="s">
        <v>158</v>
      </c>
    </row>
    <row r="226" spans="1:13" x14ac:dyDescent="0.2">
      <c r="A226" s="4" t="s">
        <v>409</v>
      </c>
      <c r="B226">
        <v>225</v>
      </c>
      <c r="C226" s="4" t="s">
        <v>26</v>
      </c>
      <c r="D226" s="4" t="s">
        <v>27</v>
      </c>
      <c r="E226" s="4" t="s">
        <v>56</v>
      </c>
      <c r="F226" s="4" t="s">
        <v>57</v>
      </c>
      <c r="G226">
        <v>2</v>
      </c>
      <c r="H226">
        <v>10</v>
      </c>
      <c r="I226" s="4" t="s">
        <v>112</v>
      </c>
      <c r="J226" s="4" t="s">
        <v>127</v>
      </c>
      <c r="K226" s="4" t="s">
        <v>128</v>
      </c>
      <c r="L226">
        <v>58</v>
      </c>
      <c r="M226" s="4" t="s">
        <v>158</v>
      </c>
    </row>
    <row r="227" spans="1:13" x14ac:dyDescent="0.2">
      <c r="A227" s="4" t="s">
        <v>410</v>
      </c>
      <c r="B227">
        <v>226</v>
      </c>
      <c r="C227" s="4" t="s">
        <v>26</v>
      </c>
      <c r="D227" s="4" t="s">
        <v>27</v>
      </c>
      <c r="E227" s="4" t="s">
        <v>56</v>
      </c>
      <c r="F227" s="4" t="s">
        <v>57</v>
      </c>
      <c r="G227">
        <v>2</v>
      </c>
      <c r="H227">
        <v>10</v>
      </c>
      <c r="I227" s="4" t="s">
        <v>112</v>
      </c>
      <c r="J227" s="4" t="s">
        <v>129</v>
      </c>
      <c r="K227" s="4" t="s">
        <v>130</v>
      </c>
      <c r="L227">
        <v>35</v>
      </c>
      <c r="M227" s="4" t="s">
        <v>158</v>
      </c>
    </row>
    <row r="228" spans="1:13" x14ac:dyDescent="0.2">
      <c r="A228" s="4" t="s">
        <v>411</v>
      </c>
      <c r="B228">
        <v>227</v>
      </c>
      <c r="C228" s="4" t="s">
        <v>26</v>
      </c>
      <c r="D228" s="4" t="s">
        <v>27</v>
      </c>
      <c r="E228" s="4" t="s">
        <v>56</v>
      </c>
      <c r="F228" s="4" t="s">
        <v>57</v>
      </c>
      <c r="G228">
        <v>2</v>
      </c>
      <c r="H228">
        <v>10</v>
      </c>
      <c r="I228" s="4" t="s">
        <v>112</v>
      </c>
      <c r="J228" s="4" t="s">
        <v>131</v>
      </c>
      <c r="K228" s="4" t="s">
        <v>132</v>
      </c>
      <c r="L228">
        <v>34</v>
      </c>
      <c r="M228" s="4" t="s">
        <v>158</v>
      </c>
    </row>
    <row r="229" spans="1:13" x14ac:dyDescent="0.2">
      <c r="A229" s="4" t="s">
        <v>412</v>
      </c>
      <c r="B229">
        <v>228</v>
      </c>
      <c r="C229" s="4" t="s">
        <v>26</v>
      </c>
      <c r="D229" s="4" t="s">
        <v>27</v>
      </c>
      <c r="E229" s="4" t="s">
        <v>56</v>
      </c>
      <c r="F229" s="4" t="s">
        <v>57</v>
      </c>
      <c r="G229">
        <v>2</v>
      </c>
      <c r="H229">
        <v>10</v>
      </c>
      <c r="I229" s="4" t="s">
        <v>112</v>
      </c>
      <c r="J229" s="4" t="s">
        <v>133</v>
      </c>
      <c r="K229" s="4" t="s">
        <v>134</v>
      </c>
      <c r="L229">
        <v>70</v>
      </c>
      <c r="M229" s="4" t="s">
        <v>158</v>
      </c>
    </row>
    <row r="230" spans="1:13" x14ac:dyDescent="0.2">
      <c r="A230" s="4" t="s">
        <v>413</v>
      </c>
      <c r="B230">
        <v>229</v>
      </c>
      <c r="C230" s="4" t="s">
        <v>26</v>
      </c>
      <c r="D230" s="4" t="s">
        <v>27</v>
      </c>
      <c r="E230" s="4" t="s">
        <v>56</v>
      </c>
      <c r="F230" s="4" t="s">
        <v>57</v>
      </c>
      <c r="G230">
        <v>2</v>
      </c>
      <c r="H230">
        <v>10</v>
      </c>
      <c r="I230" s="4" t="s">
        <v>114</v>
      </c>
      <c r="J230" s="4" t="s">
        <v>122</v>
      </c>
      <c r="K230" s="4" t="s">
        <v>123</v>
      </c>
      <c r="L230">
        <v>60</v>
      </c>
      <c r="M230" s="4" t="s">
        <v>158</v>
      </c>
    </row>
    <row r="231" spans="1:13" x14ac:dyDescent="0.2">
      <c r="A231" s="4" t="s">
        <v>414</v>
      </c>
      <c r="B231">
        <v>230</v>
      </c>
      <c r="C231" s="4" t="s">
        <v>26</v>
      </c>
      <c r="D231" s="4" t="s">
        <v>27</v>
      </c>
      <c r="E231" s="4" t="s">
        <v>56</v>
      </c>
      <c r="F231" s="4" t="s">
        <v>57</v>
      </c>
      <c r="G231">
        <v>2</v>
      </c>
      <c r="H231">
        <v>10</v>
      </c>
      <c r="I231" s="4" t="s">
        <v>114</v>
      </c>
      <c r="J231" s="4" t="s">
        <v>125</v>
      </c>
      <c r="K231" s="4" t="s">
        <v>126</v>
      </c>
      <c r="L231">
        <v>60</v>
      </c>
      <c r="M231" s="4" t="s">
        <v>158</v>
      </c>
    </row>
    <row r="232" spans="1:13" x14ac:dyDescent="0.2">
      <c r="A232" s="4" t="s">
        <v>415</v>
      </c>
      <c r="B232">
        <v>231</v>
      </c>
      <c r="C232" s="4" t="s">
        <v>26</v>
      </c>
      <c r="D232" s="4" t="s">
        <v>27</v>
      </c>
      <c r="E232" s="4" t="s">
        <v>56</v>
      </c>
      <c r="F232" s="4" t="s">
        <v>57</v>
      </c>
      <c r="G232">
        <v>2</v>
      </c>
      <c r="H232">
        <v>10</v>
      </c>
      <c r="I232" s="4" t="s">
        <v>114</v>
      </c>
      <c r="J232" s="4" t="s">
        <v>127</v>
      </c>
      <c r="K232" s="4" t="s">
        <v>128</v>
      </c>
      <c r="L232">
        <v>0</v>
      </c>
      <c r="M232" s="4" t="s">
        <v>158</v>
      </c>
    </row>
    <row r="233" spans="1:13" x14ac:dyDescent="0.2">
      <c r="A233" s="4" t="s">
        <v>416</v>
      </c>
      <c r="B233">
        <v>232</v>
      </c>
      <c r="C233" s="4" t="s">
        <v>26</v>
      </c>
      <c r="D233" s="4" t="s">
        <v>27</v>
      </c>
      <c r="E233" s="4" t="s">
        <v>56</v>
      </c>
      <c r="F233" s="4" t="s">
        <v>57</v>
      </c>
      <c r="G233">
        <v>2</v>
      </c>
      <c r="H233">
        <v>10</v>
      </c>
      <c r="I233" s="4" t="s">
        <v>114</v>
      </c>
      <c r="J233" s="4" t="s">
        <v>129</v>
      </c>
      <c r="K233" s="4" t="s">
        <v>130</v>
      </c>
      <c r="L233">
        <v>15</v>
      </c>
      <c r="M233" s="4" t="s">
        <v>158</v>
      </c>
    </row>
    <row r="234" spans="1:13" x14ac:dyDescent="0.2">
      <c r="A234" s="4" t="s">
        <v>417</v>
      </c>
      <c r="B234">
        <v>233</v>
      </c>
      <c r="C234" s="4" t="s">
        <v>26</v>
      </c>
      <c r="D234" s="4" t="s">
        <v>27</v>
      </c>
      <c r="E234" s="4" t="s">
        <v>56</v>
      </c>
      <c r="F234" s="4" t="s">
        <v>57</v>
      </c>
      <c r="G234">
        <v>2</v>
      </c>
      <c r="H234">
        <v>10</v>
      </c>
      <c r="I234" s="4" t="s">
        <v>114</v>
      </c>
      <c r="J234" s="4" t="s">
        <v>131</v>
      </c>
      <c r="K234" s="4" t="s">
        <v>132</v>
      </c>
      <c r="L234">
        <v>39</v>
      </c>
      <c r="M234" s="4" t="s">
        <v>158</v>
      </c>
    </row>
    <row r="235" spans="1:13" x14ac:dyDescent="0.2">
      <c r="A235" s="4" t="s">
        <v>418</v>
      </c>
      <c r="B235">
        <v>234</v>
      </c>
      <c r="C235" s="4" t="s">
        <v>26</v>
      </c>
      <c r="D235" s="4" t="s">
        <v>27</v>
      </c>
      <c r="E235" s="4" t="s">
        <v>56</v>
      </c>
      <c r="F235" s="4" t="s">
        <v>57</v>
      </c>
      <c r="G235">
        <v>2</v>
      </c>
      <c r="H235">
        <v>10</v>
      </c>
      <c r="I235" s="4" t="s">
        <v>114</v>
      </c>
      <c r="J235" s="4" t="s">
        <v>133</v>
      </c>
      <c r="K235" s="4" t="s">
        <v>134</v>
      </c>
      <c r="L235">
        <v>25</v>
      </c>
      <c r="M235" s="4" t="s">
        <v>158</v>
      </c>
    </row>
    <row r="236" spans="1:13" x14ac:dyDescent="0.2">
      <c r="A236" s="4" t="s">
        <v>419</v>
      </c>
      <c r="B236">
        <v>235</v>
      </c>
      <c r="C236" s="4" t="s">
        <v>26</v>
      </c>
      <c r="D236" s="4" t="s">
        <v>27</v>
      </c>
      <c r="E236" s="4" t="s">
        <v>56</v>
      </c>
      <c r="F236" s="4" t="s">
        <v>57</v>
      </c>
      <c r="G236">
        <v>2</v>
      </c>
      <c r="H236">
        <v>10</v>
      </c>
      <c r="I236" s="4" t="s">
        <v>116</v>
      </c>
      <c r="J236" s="4" t="s">
        <v>122</v>
      </c>
      <c r="K236" s="4" t="s">
        <v>123</v>
      </c>
      <c r="L236">
        <v>65</v>
      </c>
      <c r="M236" s="4" t="s">
        <v>158</v>
      </c>
    </row>
    <row r="237" spans="1:13" x14ac:dyDescent="0.2">
      <c r="A237" s="4" t="s">
        <v>420</v>
      </c>
      <c r="B237">
        <v>236</v>
      </c>
      <c r="C237" s="4" t="s">
        <v>26</v>
      </c>
      <c r="D237" s="4" t="s">
        <v>27</v>
      </c>
      <c r="E237" s="4" t="s">
        <v>56</v>
      </c>
      <c r="F237" s="4" t="s">
        <v>57</v>
      </c>
      <c r="G237">
        <v>2</v>
      </c>
      <c r="H237">
        <v>10</v>
      </c>
      <c r="I237" s="4" t="s">
        <v>116</v>
      </c>
      <c r="J237" s="4" t="s">
        <v>125</v>
      </c>
      <c r="K237" s="4" t="s">
        <v>126</v>
      </c>
      <c r="L237">
        <v>20</v>
      </c>
      <c r="M237" s="4" t="s">
        <v>158</v>
      </c>
    </row>
    <row r="238" spans="1:13" x14ac:dyDescent="0.2">
      <c r="A238" s="4" t="s">
        <v>421</v>
      </c>
      <c r="B238">
        <v>237</v>
      </c>
      <c r="C238" s="4" t="s">
        <v>26</v>
      </c>
      <c r="D238" s="4" t="s">
        <v>27</v>
      </c>
      <c r="E238" s="4" t="s">
        <v>56</v>
      </c>
      <c r="F238" s="4" t="s">
        <v>57</v>
      </c>
      <c r="G238">
        <v>2</v>
      </c>
      <c r="H238">
        <v>10</v>
      </c>
      <c r="I238" s="4" t="s">
        <v>116</v>
      </c>
      <c r="J238" s="4" t="s">
        <v>127</v>
      </c>
      <c r="K238" s="4" t="s">
        <v>128</v>
      </c>
      <c r="L238">
        <v>85</v>
      </c>
      <c r="M238" s="4" t="s">
        <v>158</v>
      </c>
    </row>
    <row r="239" spans="1:13" x14ac:dyDescent="0.2">
      <c r="A239" s="4" t="s">
        <v>422</v>
      </c>
      <c r="B239">
        <v>238</v>
      </c>
      <c r="C239" s="4" t="s">
        <v>26</v>
      </c>
      <c r="D239" s="4" t="s">
        <v>27</v>
      </c>
      <c r="E239" s="4" t="s">
        <v>56</v>
      </c>
      <c r="F239" s="4" t="s">
        <v>57</v>
      </c>
      <c r="G239">
        <v>2</v>
      </c>
      <c r="H239">
        <v>10</v>
      </c>
      <c r="I239" s="4" t="s">
        <v>116</v>
      </c>
      <c r="J239" s="4" t="s">
        <v>129</v>
      </c>
      <c r="K239" s="4" t="s">
        <v>130</v>
      </c>
      <c r="L239">
        <v>62</v>
      </c>
      <c r="M239" s="4" t="s">
        <v>158</v>
      </c>
    </row>
    <row r="240" spans="1:13" x14ac:dyDescent="0.2">
      <c r="A240" s="4" t="s">
        <v>423</v>
      </c>
      <c r="B240">
        <v>239</v>
      </c>
      <c r="C240" s="4" t="s">
        <v>26</v>
      </c>
      <c r="D240" s="4" t="s">
        <v>27</v>
      </c>
      <c r="E240" s="4" t="s">
        <v>56</v>
      </c>
      <c r="F240" s="4" t="s">
        <v>57</v>
      </c>
      <c r="G240">
        <v>2</v>
      </c>
      <c r="H240">
        <v>10</v>
      </c>
      <c r="I240" s="4" t="s">
        <v>116</v>
      </c>
      <c r="J240" s="4" t="s">
        <v>131</v>
      </c>
      <c r="K240" s="4" t="s">
        <v>132</v>
      </c>
      <c r="L240">
        <v>30</v>
      </c>
      <c r="M240" s="4" t="s">
        <v>158</v>
      </c>
    </row>
    <row r="241" spans="1:13" x14ac:dyDescent="0.2">
      <c r="A241" s="4" t="s">
        <v>424</v>
      </c>
      <c r="B241">
        <v>240</v>
      </c>
      <c r="C241" s="4" t="s">
        <v>26</v>
      </c>
      <c r="D241" s="4" t="s">
        <v>27</v>
      </c>
      <c r="E241" s="4" t="s">
        <v>56</v>
      </c>
      <c r="F241" s="4" t="s">
        <v>57</v>
      </c>
      <c r="G241">
        <v>2</v>
      </c>
      <c r="H241">
        <v>10</v>
      </c>
      <c r="I241" s="4" t="s">
        <v>116</v>
      </c>
      <c r="J241" s="4" t="s">
        <v>133</v>
      </c>
      <c r="K241" s="4" t="s">
        <v>134</v>
      </c>
      <c r="L241">
        <v>30</v>
      </c>
      <c r="M241" s="4" t="s">
        <v>158</v>
      </c>
    </row>
    <row r="242" spans="1:13" x14ac:dyDescent="0.2">
      <c r="A242" s="4" t="s">
        <v>425</v>
      </c>
      <c r="B242">
        <v>241</v>
      </c>
      <c r="C242" s="4" t="s">
        <v>26</v>
      </c>
      <c r="D242" s="4" t="s">
        <v>32</v>
      </c>
      <c r="E242" s="4" t="s">
        <v>27</v>
      </c>
      <c r="F242" s="4" t="s">
        <v>59</v>
      </c>
      <c r="G242">
        <v>3</v>
      </c>
      <c r="H242">
        <v>11</v>
      </c>
      <c r="I242" s="4" t="s">
        <v>35</v>
      </c>
      <c r="J242" s="4" t="s">
        <v>122</v>
      </c>
      <c r="K242" s="4" t="s">
        <v>123</v>
      </c>
      <c r="L242">
        <v>390</v>
      </c>
      <c r="M242" s="4" t="s">
        <v>158</v>
      </c>
    </row>
    <row r="243" spans="1:13" x14ac:dyDescent="0.2">
      <c r="A243" s="4" t="s">
        <v>426</v>
      </c>
      <c r="B243">
        <v>242</v>
      </c>
      <c r="C243" s="4" t="s">
        <v>26</v>
      </c>
      <c r="D243" s="4" t="s">
        <v>32</v>
      </c>
      <c r="E243" s="4" t="s">
        <v>27</v>
      </c>
      <c r="F243" s="4" t="s">
        <v>59</v>
      </c>
      <c r="G243">
        <v>3</v>
      </c>
      <c r="H243">
        <v>11</v>
      </c>
      <c r="I243" s="4" t="s">
        <v>35</v>
      </c>
      <c r="J243" s="4" t="s">
        <v>125</v>
      </c>
      <c r="K243" s="4" t="s">
        <v>126</v>
      </c>
      <c r="L243">
        <v>293</v>
      </c>
      <c r="M243" s="4" t="s">
        <v>158</v>
      </c>
    </row>
    <row r="244" spans="1:13" x14ac:dyDescent="0.2">
      <c r="A244" s="4" t="s">
        <v>427</v>
      </c>
      <c r="B244">
        <v>243</v>
      </c>
      <c r="C244" s="4" t="s">
        <v>26</v>
      </c>
      <c r="D244" s="4" t="s">
        <v>32</v>
      </c>
      <c r="E244" s="4" t="s">
        <v>27</v>
      </c>
      <c r="F244" s="4" t="s">
        <v>59</v>
      </c>
      <c r="G244">
        <v>3</v>
      </c>
      <c r="H244">
        <v>11</v>
      </c>
      <c r="I244" s="4" t="s">
        <v>35</v>
      </c>
      <c r="J244" s="4" t="s">
        <v>127</v>
      </c>
      <c r="K244" s="4" t="s">
        <v>128</v>
      </c>
      <c r="L244">
        <v>235</v>
      </c>
      <c r="M244" s="4" t="s">
        <v>158</v>
      </c>
    </row>
    <row r="245" spans="1:13" x14ac:dyDescent="0.2">
      <c r="A245" s="4" t="s">
        <v>428</v>
      </c>
      <c r="B245">
        <v>244</v>
      </c>
      <c r="C245" s="4" t="s">
        <v>26</v>
      </c>
      <c r="D245" s="4" t="s">
        <v>32</v>
      </c>
      <c r="E245" s="4" t="s">
        <v>27</v>
      </c>
      <c r="F245" s="4" t="s">
        <v>59</v>
      </c>
      <c r="G245">
        <v>3</v>
      </c>
      <c r="H245">
        <v>11</v>
      </c>
      <c r="I245" s="4" t="s">
        <v>35</v>
      </c>
      <c r="J245" s="4" t="s">
        <v>129</v>
      </c>
      <c r="K245" s="4" t="s">
        <v>130</v>
      </c>
      <c r="L245">
        <v>160</v>
      </c>
      <c r="M245" s="4" t="s">
        <v>158</v>
      </c>
    </row>
    <row r="246" spans="1:13" x14ac:dyDescent="0.2">
      <c r="A246" s="4" t="s">
        <v>429</v>
      </c>
      <c r="B246">
        <v>245</v>
      </c>
      <c r="C246" s="4" t="s">
        <v>26</v>
      </c>
      <c r="D246" s="4" t="s">
        <v>32</v>
      </c>
      <c r="E246" s="4" t="s">
        <v>27</v>
      </c>
      <c r="F246" s="4" t="s">
        <v>59</v>
      </c>
      <c r="G246">
        <v>3</v>
      </c>
      <c r="H246">
        <v>11</v>
      </c>
      <c r="I246" s="4" t="s">
        <v>35</v>
      </c>
      <c r="J246" s="4" t="s">
        <v>131</v>
      </c>
      <c r="K246" s="4" t="s">
        <v>132</v>
      </c>
      <c r="L246">
        <v>281</v>
      </c>
      <c r="M246" s="4" t="s">
        <v>158</v>
      </c>
    </row>
    <row r="247" spans="1:13" x14ac:dyDescent="0.2">
      <c r="A247" s="4" t="s">
        <v>430</v>
      </c>
      <c r="B247">
        <v>246</v>
      </c>
      <c r="C247" s="4" t="s">
        <v>26</v>
      </c>
      <c r="D247" s="4" t="s">
        <v>32</v>
      </c>
      <c r="E247" s="4" t="s">
        <v>27</v>
      </c>
      <c r="F247" s="4" t="s">
        <v>59</v>
      </c>
      <c r="G247">
        <v>3</v>
      </c>
      <c r="H247">
        <v>11</v>
      </c>
      <c r="I247" s="4" t="s">
        <v>35</v>
      </c>
      <c r="J247" s="4" t="s">
        <v>133</v>
      </c>
      <c r="K247" s="4" t="s">
        <v>134</v>
      </c>
      <c r="L247">
        <v>262</v>
      </c>
      <c r="M247" s="4" t="s">
        <v>158</v>
      </c>
    </row>
    <row r="248" spans="1:13" x14ac:dyDescent="0.2">
      <c r="A248" s="4" t="s">
        <v>431</v>
      </c>
      <c r="B248">
        <v>247</v>
      </c>
      <c r="C248" s="4" t="s">
        <v>26</v>
      </c>
      <c r="D248" s="4" t="s">
        <v>32</v>
      </c>
      <c r="E248" s="4" t="s">
        <v>27</v>
      </c>
      <c r="F248" s="4" t="s">
        <v>59</v>
      </c>
      <c r="G248">
        <v>3</v>
      </c>
      <c r="H248">
        <v>11</v>
      </c>
      <c r="I248" s="4" t="s">
        <v>112</v>
      </c>
      <c r="J248" s="4" t="s">
        <v>122</v>
      </c>
      <c r="K248" s="4" t="s">
        <v>123</v>
      </c>
      <c r="L248">
        <v>230</v>
      </c>
      <c r="M248" s="4" t="s">
        <v>158</v>
      </c>
    </row>
    <row r="249" spans="1:13" x14ac:dyDescent="0.2">
      <c r="A249" s="4" t="s">
        <v>432</v>
      </c>
      <c r="B249">
        <v>248</v>
      </c>
      <c r="C249" s="4" t="s">
        <v>26</v>
      </c>
      <c r="D249" s="4" t="s">
        <v>32</v>
      </c>
      <c r="E249" s="4" t="s">
        <v>27</v>
      </c>
      <c r="F249" s="4" t="s">
        <v>59</v>
      </c>
      <c r="G249">
        <v>3</v>
      </c>
      <c r="H249">
        <v>11</v>
      </c>
      <c r="I249" s="4" t="s">
        <v>112</v>
      </c>
      <c r="J249" s="4" t="s">
        <v>125</v>
      </c>
      <c r="K249" s="4" t="s">
        <v>126</v>
      </c>
      <c r="L249">
        <v>41</v>
      </c>
      <c r="M249" s="4" t="s">
        <v>158</v>
      </c>
    </row>
    <row r="250" spans="1:13" x14ac:dyDescent="0.2">
      <c r="A250" s="4" t="s">
        <v>433</v>
      </c>
      <c r="B250">
        <v>249</v>
      </c>
      <c r="C250" s="4" t="s">
        <v>26</v>
      </c>
      <c r="D250" s="4" t="s">
        <v>32</v>
      </c>
      <c r="E250" s="4" t="s">
        <v>27</v>
      </c>
      <c r="F250" s="4" t="s">
        <v>59</v>
      </c>
      <c r="G250">
        <v>3</v>
      </c>
      <c r="H250">
        <v>11</v>
      </c>
      <c r="I250" s="4" t="s">
        <v>112</v>
      </c>
      <c r="J250" s="4" t="s">
        <v>127</v>
      </c>
      <c r="K250" s="4" t="s">
        <v>128</v>
      </c>
      <c r="L250">
        <v>115</v>
      </c>
      <c r="M250" s="4" t="s">
        <v>158</v>
      </c>
    </row>
    <row r="251" spans="1:13" x14ac:dyDescent="0.2">
      <c r="A251" s="4" t="s">
        <v>434</v>
      </c>
      <c r="B251">
        <v>250</v>
      </c>
      <c r="C251" s="4" t="s">
        <v>26</v>
      </c>
      <c r="D251" s="4" t="s">
        <v>32</v>
      </c>
      <c r="E251" s="4" t="s">
        <v>27</v>
      </c>
      <c r="F251" s="4" t="s">
        <v>59</v>
      </c>
      <c r="G251">
        <v>3</v>
      </c>
      <c r="H251">
        <v>11</v>
      </c>
      <c r="I251" s="4" t="s">
        <v>112</v>
      </c>
      <c r="J251" s="4" t="s">
        <v>129</v>
      </c>
      <c r="K251" s="4" t="s">
        <v>130</v>
      </c>
      <c r="L251">
        <v>35</v>
      </c>
      <c r="M251" s="4" t="s">
        <v>158</v>
      </c>
    </row>
    <row r="252" spans="1:13" x14ac:dyDescent="0.2">
      <c r="A252" s="4" t="s">
        <v>435</v>
      </c>
      <c r="B252">
        <v>251</v>
      </c>
      <c r="C252" s="4" t="s">
        <v>26</v>
      </c>
      <c r="D252" s="4" t="s">
        <v>32</v>
      </c>
      <c r="E252" s="4" t="s">
        <v>27</v>
      </c>
      <c r="F252" s="4" t="s">
        <v>59</v>
      </c>
      <c r="G252">
        <v>3</v>
      </c>
      <c r="H252">
        <v>11</v>
      </c>
      <c r="I252" s="4" t="s">
        <v>112</v>
      </c>
      <c r="J252" s="4" t="s">
        <v>131</v>
      </c>
      <c r="K252" s="4" t="s">
        <v>132</v>
      </c>
      <c r="L252">
        <v>54</v>
      </c>
      <c r="M252" s="4" t="s">
        <v>158</v>
      </c>
    </row>
    <row r="253" spans="1:13" x14ac:dyDescent="0.2">
      <c r="A253" s="4" t="s">
        <v>436</v>
      </c>
      <c r="B253">
        <v>252</v>
      </c>
      <c r="C253" s="4" t="s">
        <v>26</v>
      </c>
      <c r="D253" s="4" t="s">
        <v>32</v>
      </c>
      <c r="E253" s="4" t="s">
        <v>27</v>
      </c>
      <c r="F253" s="4" t="s">
        <v>59</v>
      </c>
      <c r="G253">
        <v>3</v>
      </c>
      <c r="H253">
        <v>11</v>
      </c>
      <c r="I253" s="4" t="s">
        <v>112</v>
      </c>
      <c r="J253" s="4" t="s">
        <v>133</v>
      </c>
      <c r="K253" s="4" t="s">
        <v>134</v>
      </c>
      <c r="L253">
        <v>70</v>
      </c>
      <c r="M253" s="4" t="s">
        <v>158</v>
      </c>
    </row>
    <row r="254" spans="1:13" x14ac:dyDescent="0.2">
      <c r="A254" s="4" t="s">
        <v>438</v>
      </c>
      <c r="B254">
        <v>253</v>
      </c>
      <c r="C254" s="4" t="s">
        <v>26</v>
      </c>
      <c r="D254" s="4" t="s">
        <v>32</v>
      </c>
      <c r="E254" s="4" t="s">
        <v>27</v>
      </c>
      <c r="F254" s="4" t="s">
        <v>59</v>
      </c>
      <c r="G254">
        <v>3</v>
      </c>
      <c r="H254">
        <v>11</v>
      </c>
      <c r="I254" s="4" t="s">
        <v>114</v>
      </c>
      <c r="J254" s="4" t="s">
        <v>122</v>
      </c>
      <c r="K254" s="4" t="s">
        <v>123</v>
      </c>
      <c r="L254">
        <v>60</v>
      </c>
      <c r="M254" s="4" t="s">
        <v>158</v>
      </c>
    </row>
    <row r="255" spans="1:13" x14ac:dyDescent="0.2">
      <c r="A255" s="4" t="s">
        <v>439</v>
      </c>
      <c r="B255">
        <v>254</v>
      </c>
      <c r="C255" s="4" t="s">
        <v>26</v>
      </c>
      <c r="D255" s="4" t="s">
        <v>32</v>
      </c>
      <c r="E255" s="4" t="s">
        <v>27</v>
      </c>
      <c r="F255" s="4" t="s">
        <v>59</v>
      </c>
      <c r="G255">
        <v>3</v>
      </c>
      <c r="H255">
        <v>11</v>
      </c>
      <c r="I255" s="4" t="s">
        <v>114</v>
      </c>
      <c r="J255" s="4" t="s">
        <v>125</v>
      </c>
      <c r="K255" s="4" t="s">
        <v>126</v>
      </c>
      <c r="L255">
        <v>60</v>
      </c>
      <c r="M255" s="4" t="s">
        <v>158</v>
      </c>
    </row>
    <row r="256" spans="1:13" x14ac:dyDescent="0.2">
      <c r="A256" s="4" t="s">
        <v>440</v>
      </c>
      <c r="B256">
        <v>255</v>
      </c>
      <c r="C256" s="4" t="s">
        <v>26</v>
      </c>
      <c r="D256" s="4" t="s">
        <v>32</v>
      </c>
      <c r="E256" s="4" t="s">
        <v>27</v>
      </c>
      <c r="F256" s="4" t="s">
        <v>59</v>
      </c>
      <c r="G256">
        <v>3</v>
      </c>
      <c r="H256">
        <v>11</v>
      </c>
      <c r="I256" s="4" t="s">
        <v>114</v>
      </c>
      <c r="J256" s="4" t="s">
        <v>127</v>
      </c>
      <c r="K256" s="4" t="s">
        <v>128</v>
      </c>
      <c r="L256">
        <v>110</v>
      </c>
      <c r="M256" s="4" t="s">
        <v>158</v>
      </c>
    </row>
    <row r="257" spans="1:13" x14ac:dyDescent="0.2">
      <c r="A257" s="4" t="s">
        <v>441</v>
      </c>
      <c r="B257">
        <v>256</v>
      </c>
      <c r="C257" s="4" t="s">
        <v>26</v>
      </c>
      <c r="D257" s="4" t="s">
        <v>32</v>
      </c>
      <c r="E257" s="4" t="s">
        <v>27</v>
      </c>
      <c r="F257" s="4" t="s">
        <v>59</v>
      </c>
      <c r="G257">
        <v>3</v>
      </c>
      <c r="H257">
        <v>11</v>
      </c>
      <c r="I257" s="4" t="s">
        <v>114</v>
      </c>
      <c r="J257" s="4" t="s">
        <v>129</v>
      </c>
      <c r="K257" s="4" t="s">
        <v>130</v>
      </c>
      <c r="L257">
        <v>15</v>
      </c>
      <c r="M257" s="4" t="s">
        <v>158</v>
      </c>
    </row>
    <row r="258" spans="1:13" x14ac:dyDescent="0.2">
      <c r="A258" s="4" t="s">
        <v>442</v>
      </c>
      <c r="B258">
        <v>257</v>
      </c>
      <c r="C258" s="4" t="s">
        <v>26</v>
      </c>
      <c r="D258" s="4" t="s">
        <v>32</v>
      </c>
      <c r="E258" s="4" t="s">
        <v>27</v>
      </c>
      <c r="F258" s="4" t="s">
        <v>59</v>
      </c>
      <c r="G258">
        <v>3</v>
      </c>
      <c r="H258">
        <v>11</v>
      </c>
      <c r="I258" s="4" t="s">
        <v>114</v>
      </c>
      <c r="J258" s="4" t="s">
        <v>131</v>
      </c>
      <c r="K258" s="4" t="s">
        <v>132</v>
      </c>
      <c r="L258">
        <v>70</v>
      </c>
      <c r="M258" s="4" t="s">
        <v>158</v>
      </c>
    </row>
    <row r="259" spans="1:13" x14ac:dyDescent="0.2">
      <c r="A259" s="4" t="s">
        <v>443</v>
      </c>
      <c r="B259">
        <v>258</v>
      </c>
      <c r="C259" s="4" t="s">
        <v>26</v>
      </c>
      <c r="D259" s="4" t="s">
        <v>32</v>
      </c>
      <c r="E259" s="4" t="s">
        <v>27</v>
      </c>
      <c r="F259" s="4" t="s">
        <v>59</v>
      </c>
      <c r="G259">
        <v>3</v>
      </c>
      <c r="H259">
        <v>11</v>
      </c>
      <c r="I259" s="4" t="s">
        <v>114</v>
      </c>
      <c r="J259" s="4" t="s">
        <v>133</v>
      </c>
      <c r="K259" s="4" t="s">
        <v>134</v>
      </c>
      <c r="L259">
        <v>25</v>
      </c>
      <c r="M259" s="4" t="s">
        <v>158</v>
      </c>
    </row>
    <row r="260" spans="1:13" x14ac:dyDescent="0.2">
      <c r="A260" s="4" t="s">
        <v>444</v>
      </c>
      <c r="B260">
        <v>259</v>
      </c>
      <c r="C260" s="4" t="s">
        <v>26</v>
      </c>
      <c r="D260" s="4" t="s">
        <v>32</v>
      </c>
      <c r="E260" s="4" t="s">
        <v>27</v>
      </c>
      <c r="F260" s="4" t="s">
        <v>59</v>
      </c>
      <c r="G260">
        <v>3</v>
      </c>
      <c r="H260">
        <v>11</v>
      </c>
      <c r="I260" s="4" t="s">
        <v>116</v>
      </c>
      <c r="J260" s="4" t="s">
        <v>122</v>
      </c>
      <c r="K260" s="4" t="s">
        <v>123</v>
      </c>
      <c r="L260">
        <v>65</v>
      </c>
      <c r="M260" s="4" t="s">
        <v>158</v>
      </c>
    </row>
    <row r="261" spans="1:13" x14ac:dyDescent="0.2">
      <c r="A261" s="4" t="s">
        <v>445</v>
      </c>
      <c r="B261">
        <v>260</v>
      </c>
      <c r="C261" s="4" t="s">
        <v>26</v>
      </c>
      <c r="D261" s="4" t="s">
        <v>32</v>
      </c>
      <c r="E261" s="4" t="s">
        <v>27</v>
      </c>
      <c r="F261" s="4" t="s">
        <v>59</v>
      </c>
      <c r="G261">
        <v>3</v>
      </c>
      <c r="H261">
        <v>11</v>
      </c>
      <c r="I261" s="4" t="s">
        <v>116</v>
      </c>
      <c r="J261" s="4" t="s">
        <v>125</v>
      </c>
      <c r="K261" s="4" t="s">
        <v>126</v>
      </c>
      <c r="L261">
        <v>20</v>
      </c>
      <c r="M261" s="4" t="s">
        <v>158</v>
      </c>
    </row>
    <row r="262" spans="1:13" x14ac:dyDescent="0.2">
      <c r="A262" s="4" t="s">
        <v>446</v>
      </c>
      <c r="B262">
        <v>261</v>
      </c>
      <c r="C262" s="4" t="s">
        <v>26</v>
      </c>
      <c r="D262" s="4" t="s">
        <v>32</v>
      </c>
      <c r="E262" s="4" t="s">
        <v>27</v>
      </c>
      <c r="F262" s="4" t="s">
        <v>59</v>
      </c>
      <c r="G262">
        <v>3</v>
      </c>
      <c r="H262">
        <v>11</v>
      </c>
      <c r="I262" s="4" t="s">
        <v>116</v>
      </c>
      <c r="J262" s="4" t="s">
        <v>127</v>
      </c>
      <c r="K262" s="4" t="s">
        <v>128</v>
      </c>
      <c r="L262">
        <v>85</v>
      </c>
      <c r="M262" s="4" t="s">
        <v>158</v>
      </c>
    </row>
    <row r="263" spans="1:13" x14ac:dyDescent="0.2">
      <c r="A263" s="4" t="s">
        <v>447</v>
      </c>
      <c r="B263">
        <v>262</v>
      </c>
      <c r="C263" s="4" t="s">
        <v>26</v>
      </c>
      <c r="D263" s="4" t="s">
        <v>32</v>
      </c>
      <c r="E263" s="4" t="s">
        <v>27</v>
      </c>
      <c r="F263" s="4" t="s">
        <v>59</v>
      </c>
      <c r="G263">
        <v>3</v>
      </c>
      <c r="H263">
        <v>11</v>
      </c>
      <c r="I263" s="4" t="s">
        <v>116</v>
      </c>
      <c r="J263" s="4" t="s">
        <v>129</v>
      </c>
      <c r="K263" s="4" t="s">
        <v>130</v>
      </c>
      <c r="L263">
        <v>85</v>
      </c>
      <c r="M263" s="4" t="s">
        <v>158</v>
      </c>
    </row>
    <row r="264" spans="1:13" x14ac:dyDescent="0.2">
      <c r="A264" s="4" t="s">
        <v>448</v>
      </c>
      <c r="B264">
        <v>263</v>
      </c>
      <c r="C264" s="4" t="s">
        <v>26</v>
      </c>
      <c r="D264" s="4" t="s">
        <v>32</v>
      </c>
      <c r="E264" s="4" t="s">
        <v>27</v>
      </c>
      <c r="F264" s="4" t="s">
        <v>59</v>
      </c>
      <c r="G264">
        <v>3</v>
      </c>
      <c r="H264">
        <v>11</v>
      </c>
      <c r="I264" s="4" t="s">
        <v>116</v>
      </c>
      <c r="J264" s="4" t="s">
        <v>131</v>
      </c>
      <c r="K264" s="4" t="s">
        <v>132</v>
      </c>
      <c r="L264">
        <v>30</v>
      </c>
      <c r="M264" s="4" t="s">
        <v>158</v>
      </c>
    </row>
    <row r="265" spans="1:13" x14ac:dyDescent="0.2">
      <c r="A265" s="4" t="s">
        <v>449</v>
      </c>
      <c r="B265">
        <v>264</v>
      </c>
      <c r="C265" s="4" t="s">
        <v>26</v>
      </c>
      <c r="D265" s="4" t="s">
        <v>32</v>
      </c>
      <c r="E265" s="4" t="s">
        <v>27</v>
      </c>
      <c r="F265" s="4" t="s">
        <v>59</v>
      </c>
      <c r="G265">
        <v>3</v>
      </c>
      <c r="H265">
        <v>11</v>
      </c>
      <c r="I265" s="4" t="s">
        <v>116</v>
      </c>
      <c r="J265" s="4" t="s">
        <v>133</v>
      </c>
      <c r="K265" s="4" t="s">
        <v>134</v>
      </c>
      <c r="L265">
        <v>30</v>
      </c>
      <c r="M265" s="4" t="s">
        <v>158</v>
      </c>
    </row>
    <row r="266" spans="1:13" x14ac:dyDescent="0.2">
      <c r="A266" s="4" t="s">
        <v>450</v>
      </c>
      <c r="B266">
        <v>265</v>
      </c>
      <c r="C266" s="4" t="s">
        <v>26</v>
      </c>
      <c r="D266" s="4" t="s">
        <v>32</v>
      </c>
      <c r="E266" s="4" t="s">
        <v>32</v>
      </c>
      <c r="F266" s="4" t="s">
        <v>61</v>
      </c>
      <c r="G266">
        <v>3</v>
      </c>
      <c r="H266">
        <v>12</v>
      </c>
      <c r="I266" s="4" t="s">
        <v>35</v>
      </c>
      <c r="J266" s="4" t="s">
        <v>122</v>
      </c>
      <c r="K266" s="4" t="s">
        <v>123</v>
      </c>
      <c r="L266">
        <v>350</v>
      </c>
      <c r="M266" s="4" t="s">
        <v>158</v>
      </c>
    </row>
    <row r="267" spans="1:13" x14ac:dyDescent="0.2">
      <c r="A267" s="4" t="s">
        <v>451</v>
      </c>
      <c r="B267">
        <v>266</v>
      </c>
      <c r="C267" s="4" t="s">
        <v>26</v>
      </c>
      <c r="D267" s="4" t="s">
        <v>32</v>
      </c>
      <c r="E267" s="4" t="s">
        <v>32</v>
      </c>
      <c r="F267" s="4" t="s">
        <v>61</v>
      </c>
      <c r="G267">
        <v>3</v>
      </c>
      <c r="H267">
        <v>12</v>
      </c>
      <c r="I267" s="4" t="s">
        <v>35</v>
      </c>
      <c r="J267" s="4" t="s">
        <v>125</v>
      </c>
      <c r="K267" s="4" t="s">
        <v>126</v>
      </c>
      <c r="L267">
        <v>264</v>
      </c>
      <c r="M267" s="4" t="s">
        <v>158</v>
      </c>
    </row>
    <row r="268" spans="1:13" x14ac:dyDescent="0.2">
      <c r="A268" s="4" t="s">
        <v>452</v>
      </c>
      <c r="B268">
        <v>267</v>
      </c>
      <c r="C268" s="4" t="s">
        <v>26</v>
      </c>
      <c r="D268" s="4" t="s">
        <v>32</v>
      </c>
      <c r="E268" s="4" t="s">
        <v>32</v>
      </c>
      <c r="F268" s="4" t="s">
        <v>61</v>
      </c>
      <c r="G268">
        <v>3</v>
      </c>
      <c r="H268">
        <v>12</v>
      </c>
      <c r="I268" s="4" t="s">
        <v>35</v>
      </c>
      <c r="J268" s="4" t="s">
        <v>127</v>
      </c>
      <c r="K268" s="4" t="s">
        <v>128</v>
      </c>
      <c r="L268">
        <v>190</v>
      </c>
      <c r="M268" s="4" t="s">
        <v>158</v>
      </c>
    </row>
    <row r="269" spans="1:13" x14ac:dyDescent="0.2">
      <c r="A269" s="4" t="s">
        <v>453</v>
      </c>
      <c r="B269">
        <v>268</v>
      </c>
      <c r="C269" s="4" t="s">
        <v>26</v>
      </c>
      <c r="D269" s="4" t="s">
        <v>32</v>
      </c>
      <c r="E269" s="4" t="s">
        <v>32</v>
      </c>
      <c r="F269" s="4" t="s">
        <v>61</v>
      </c>
      <c r="G269">
        <v>3</v>
      </c>
      <c r="H269">
        <v>12</v>
      </c>
      <c r="I269" s="4" t="s">
        <v>35</v>
      </c>
      <c r="J269" s="4" t="s">
        <v>129</v>
      </c>
      <c r="K269" s="4" t="s">
        <v>130</v>
      </c>
      <c r="L269">
        <v>115</v>
      </c>
      <c r="M269" s="4" t="s">
        <v>158</v>
      </c>
    </row>
    <row r="270" spans="1:13" x14ac:dyDescent="0.2">
      <c r="A270" s="4" t="s">
        <v>454</v>
      </c>
      <c r="B270">
        <v>269</v>
      </c>
      <c r="C270" s="4" t="s">
        <v>26</v>
      </c>
      <c r="D270" s="4" t="s">
        <v>32</v>
      </c>
      <c r="E270" s="4" t="s">
        <v>32</v>
      </c>
      <c r="F270" s="4" t="s">
        <v>61</v>
      </c>
      <c r="G270">
        <v>3</v>
      </c>
      <c r="H270">
        <v>12</v>
      </c>
      <c r="I270" s="4" t="s">
        <v>35</v>
      </c>
      <c r="J270" s="4" t="s">
        <v>131</v>
      </c>
      <c r="K270" s="4" t="s">
        <v>132</v>
      </c>
      <c r="L270">
        <v>265</v>
      </c>
      <c r="M270" s="4" t="s">
        <v>158</v>
      </c>
    </row>
    <row r="271" spans="1:13" x14ac:dyDescent="0.2">
      <c r="A271" s="4" t="s">
        <v>455</v>
      </c>
      <c r="B271">
        <v>270</v>
      </c>
      <c r="C271" s="4" t="s">
        <v>26</v>
      </c>
      <c r="D271" s="4" t="s">
        <v>32</v>
      </c>
      <c r="E271" s="4" t="s">
        <v>32</v>
      </c>
      <c r="F271" s="4" t="s">
        <v>61</v>
      </c>
      <c r="G271">
        <v>3</v>
      </c>
      <c r="H271">
        <v>12</v>
      </c>
      <c r="I271" s="4" t="s">
        <v>35</v>
      </c>
      <c r="J271" s="4" t="s">
        <v>133</v>
      </c>
      <c r="K271" s="4" t="s">
        <v>134</v>
      </c>
      <c r="L271">
        <v>237</v>
      </c>
      <c r="M271" s="4" t="s">
        <v>158</v>
      </c>
    </row>
    <row r="272" spans="1:13" x14ac:dyDescent="0.2">
      <c r="A272" s="4" t="s">
        <v>456</v>
      </c>
      <c r="B272">
        <v>271</v>
      </c>
      <c r="C272" s="4" t="s">
        <v>26</v>
      </c>
      <c r="D272" s="4" t="s">
        <v>32</v>
      </c>
      <c r="E272" s="4" t="s">
        <v>32</v>
      </c>
      <c r="F272" s="4" t="s">
        <v>61</v>
      </c>
      <c r="G272">
        <v>3</v>
      </c>
      <c r="H272">
        <v>12</v>
      </c>
      <c r="I272" s="4" t="s">
        <v>112</v>
      </c>
      <c r="J272" s="4" t="s">
        <v>122</v>
      </c>
      <c r="K272" s="4" t="s">
        <v>123</v>
      </c>
      <c r="L272">
        <v>88</v>
      </c>
      <c r="M272" s="4" t="s">
        <v>158</v>
      </c>
    </row>
    <row r="273" spans="1:13" x14ac:dyDescent="0.2">
      <c r="A273" s="4" t="s">
        <v>457</v>
      </c>
      <c r="B273">
        <v>272</v>
      </c>
      <c r="C273" s="4" t="s">
        <v>26</v>
      </c>
      <c r="D273" s="4" t="s">
        <v>32</v>
      </c>
      <c r="E273" s="4" t="s">
        <v>32</v>
      </c>
      <c r="F273" s="4" t="s">
        <v>61</v>
      </c>
      <c r="G273">
        <v>3</v>
      </c>
      <c r="H273">
        <v>12</v>
      </c>
      <c r="I273" s="4" t="s">
        <v>112</v>
      </c>
      <c r="J273" s="4" t="s">
        <v>125</v>
      </c>
      <c r="K273" s="4" t="s">
        <v>126</v>
      </c>
      <c r="L273">
        <v>50</v>
      </c>
      <c r="M273" s="4" t="s">
        <v>158</v>
      </c>
    </row>
    <row r="274" spans="1:13" x14ac:dyDescent="0.2">
      <c r="A274" s="4" t="s">
        <v>458</v>
      </c>
      <c r="B274">
        <v>273</v>
      </c>
      <c r="C274" s="4" t="s">
        <v>26</v>
      </c>
      <c r="D274" s="4" t="s">
        <v>32</v>
      </c>
      <c r="E274" s="4" t="s">
        <v>32</v>
      </c>
      <c r="F274" s="4" t="s">
        <v>61</v>
      </c>
      <c r="G274">
        <v>3</v>
      </c>
      <c r="H274">
        <v>12</v>
      </c>
      <c r="I274" s="4" t="s">
        <v>112</v>
      </c>
      <c r="J274" s="4" t="s">
        <v>127</v>
      </c>
      <c r="K274" s="4" t="s">
        <v>128</v>
      </c>
      <c r="L274">
        <v>120</v>
      </c>
      <c r="M274" s="4" t="s">
        <v>158</v>
      </c>
    </row>
    <row r="275" spans="1:13" x14ac:dyDescent="0.2">
      <c r="A275" s="4" t="s">
        <v>459</v>
      </c>
      <c r="B275">
        <v>274</v>
      </c>
      <c r="C275" s="4" t="s">
        <v>26</v>
      </c>
      <c r="D275" s="4" t="s">
        <v>32</v>
      </c>
      <c r="E275" s="4" t="s">
        <v>32</v>
      </c>
      <c r="F275" s="4" t="s">
        <v>61</v>
      </c>
      <c r="G275">
        <v>3</v>
      </c>
      <c r="H275">
        <v>12</v>
      </c>
      <c r="I275" s="4" t="s">
        <v>112</v>
      </c>
      <c r="J275" s="4" t="s">
        <v>129</v>
      </c>
      <c r="K275" s="4" t="s">
        <v>130</v>
      </c>
      <c r="L275">
        <v>40</v>
      </c>
      <c r="M275" s="4" t="s">
        <v>158</v>
      </c>
    </row>
    <row r="276" spans="1:13" x14ac:dyDescent="0.2">
      <c r="A276" s="4" t="s">
        <v>460</v>
      </c>
      <c r="B276">
        <v>275</v>
      </c>
      <c r="C276" s="4" t="s">
        <v>26</v>
      </c>
      <c r="D276" s="4" t="s">
        <v>32</v>
      </c>
      <c r="E276" s="4" t="s">
        <v>32</v>
      </c>
      <c r="F276" s="4" t="s">
        <v>61</v>
      </c>
      <c r="G276">
        <v>3</v>
      </c>
      <c r="H276">
        <v>12</v>
      </c>
      <c r="I276" s="4" t="s">
        <v>112</v>
      </c>
      <c r="J276" s="4" t="s">
        <v>131</v>
      </c>
      <c r="K276" s="4" t="s">
        <v>132</v>
      </c>
      <c r="L276">
        <v>38</v>
      </c>
      <c r="M276" s="4" t="s">
        <v>158</v>
      </c>
    </row>
    <row r="277" spans="1:13" x14ac:dyDescent="0.2">
      <c r="A277" s="4" t="s">
        <v>461</v>
      </c>
      <c r="B277">
        <v>276</v>
      </c>
      <c r="C277" s="4" t="s">
        <v>26</v>
      </c>
      <c r="D277" s="4" t="s">
        <v>32</v>
      </c>
      <c r="E277" s="4" t="s">
        <v>32</v>
      </c>
      <c r="F277" s="4" t="s">
        <v>61</v>
      </c>
      <c r="G277">
        <v>3</v>
      </c>
      <c r="H277">
        <v>12</v>
      </c>
      <c r="I277" s="4" t="s">
        <v>112</v>
      </c>
      <c r="J277" s="4" t="s">
        <v>133</v>
      </c>
      <c r="K277" s="4" t="s">
        <v>134</v>
      </c>
      <c r="L277">
        <v>70</v>
      </c>
      <c r="M277" s="4" t="s">
        <v>158</v>
      </c>
    </row>
    <row r="278" spans="1:13" x14ac:dyDescent="0.2">
      <c r="A278" s="4" t="s">
        <v>462</v>
      </c>
      <c r="B278">
        <v>277</v>
      </c>
      <c r="C278" s="4" t="s">
        <v>26</v>
      </c>
      <c r="D278" s="4" t="s">
        <v>32</v>
      </c>
      <c r="E278" s="4" t="s">
        <v>32</v>
      </c>
      <c r="F278" s="4" t="s">
        <v>61</v>
      </c>
      <c r="G278">
        <v>3</v>
      </c>
      <c r="H278">
        <v>12</v>
      </c>
      <c r="I278" s="4" t="s">
        <v>114</v>
      </c>
      <c r="J278" s="4" t="s">
        <v>122</v>
      </c>
      <c r="K278" s="4" t="s">
        <v>123</v>
      </c>
      <c r="L278">
        <v>43</v>
      </c>
      <c r="M278" s="4" t="s">
        <v>158</v>
      </c>
    </row>
    <row r="279" spans="1:13" x14ac:dyDescent="0.2">
      <c r="A279" s="4" t="s">
        <v>463</v>
      </c>
      <c r="B279">
        <v>278</v>
      </c>
      <c r="C279" s="4" t="s">
        <v>26</v>
      </c>
      <c r="D279" s="4" t="s">
        <v>32</v>
      </c>
      <c r="E279" s="4" t="s">
        <v>32</v>
      </c>
      <c r="F279" s="4" t="s">
        <v>61</v>
      </c>
      <c r="G279">
        <v>3</v>
      </c>
      <c r="H279">
        <v>12</v>
      </c>
      <c r="I279" s="4" t="s">
        <v>114</v>
      </c>
      <c r="J279" s="4" t="s">
        <v>125</v>
      </c>
      <c r="K279" s="4" t="s">
        <v>126</v>
      </c>
      <c r="L279">
        <v>60</v>
      </c>
      <c r="M279" s="4" t="s">
        <v>158</v>
      </c>
    </row>
    <row r="280" spans="1:13" x14ac:dyDescent="0.2">
      <c r="A280" s="4" t="s">
        <v>464</v>
      </c>
      <c r="B280">
        <v>279</v>
      </c>
      <c r="C280" s="4" t="s">
        <v>26</v>
      </c>
      <c r="D280" s="4" t="s">
        <v>32</v>
      </c>
      <c r="E280" s="4" t="s">
        <v>32</v>
      </c>
      <c r="F280" s="4" t="s">
        <v>61</v>
      </c>
      <c r="G280">
        <v>3</v>
      </c>
      <c r="H280">
        <v>12</v>
      </c>
      <c r="I280" s="4" t="s">
        <v>114</v>
      </c>
      <c r="J280" s="4" t="s">
        <v>127</v>
      </c>
      <c r="K280" s="4" t="s">
        <v>128</v>
      </c>
      <c r="L280">
        <v>150</v>
      </c>
      <c r="M280" s="4" t="s">
        <v>158</v>
      </c>
    </row>
    <row r="281" spans="1:13" x14ac:dyDescent="0.2">
      <c r="A281" s="4" t="s">
        <v>465</v>
      </c>
      <c r="B281">
        <v>280</v>
      </c>
      <c r="C281" s="4" t="s">
        <v>26</v>
      </c>
      <c r="D281" s="4" t="s">
        <v>32</v>
      </c>
      <c r="E281" s="4" t="s">
        <v>32</v>
      </c>
      <c r="F281" s="4" t="s">
        <v>61</v>
      </c>
      <c r="G281">
        <v>3</v>
      </c>
      <c r="H281">
        <v>12</v>
      </c>
      <c r="I281" s="4" t="s">
        <v>114</v>
      </c>
      <c r="J281" s="4" t="s">
        <v>129</v>
      </c>
      <c r="K281" s="4" t="s">
        <v>130</v>
      </c>
      <c r="L281">
        <v>40</v>
      </c>
      <c r="M281" s="4" t="s">
        <v>158</v>
      </c>
    </row>
    <row r="282" spans="1:13" x14ac:dyDescent="0.2">
      <c r="A282" s="4" t="s">
        <v>466</v>
      </c>
      <c r="B282">
        <v>281</v>
      </c>
      <c r="C282" s="4" t="s">
        <v>26</v>
      </c>
      <c r="D282" s="4" t="s">
        <v>32</v>
      </c>
      <c r="E282" s="4" t="s">
        <v>32</v>
      </c>
      <c r="F282" s="4" t="s">
        <v>61</v>
      </c>
      <c r="G282">
        <v>3</v>
      </c>
      <c r="H282">
        <v>12</v>
      </c>
      <c r="I282" s="4" t="s">
        <v>114</v>
      </c>
      <c r="J282" s="4" t="s">
        <v>131</v>
      </c>
      <c r="K282" s="4" t="s">
        <v>132</v>
      </c>
      <c r="L282">
        <v>70</v>
      </c>
      <c r="M282" s="4" t="s">
        <v>158</v>
      </c>
    </row>
    <row r="283" spans="1:13" x14ac:dyDescent="0.2">
      <c r="A283" s="4" t="s">
        <v>467</v>
      </c>
      <c r="B283">
        <v>282</v>
      </c>
      <c r="C283" s="4" t="s">
        <v>26</v>
      </c>
      <c r="D283" s="4" t="s">
        <v>32</v>
      </c>
      <c r="E283" s="4" t="s">
        <v>32</v>
      </c>
      <c r="F283" s="4" t="s">
        <v>61</v>
      </c>
      <c r="G283">
        <v>3</v>
      </c>
      <c r="H283">
        <v>12</v>
      </c>
      <c r="I283" s="4" t="s">
        <v>114</v>
      </c>
      <c r="J283" s="4" t="s">
        <v>133</v>
      </c>
      <c r="K283" s="4" t="s">
        <v>134</v>
      </c>
      <c r="L283">
        <v>40</v>
      </c>
      <c r="M283" s="4" t="s">
        <v>158</v>
      </c>
    </row>
    <row r="284" spans="1:13" x14ac:dyDescent="0.2">
      <c r="A284" s="4" t="s">
        <v>468</v>
      </c>
      <c r="B284">
        <v>283</v>
      </c>
      <c r="C284" s="4" t="s">
        <v>26</v>
      </c>
      <c r="D284" s="4" t="s">
        <v>32</v>
      </c>
      <c r="E284" s="4" t="s">
        <v>32</v>
      </c>
      <c r="F284" s="4" t="s">
        <v>61</v>
      </c>
      <c r="G284">
        <v>3</v>
      </c>
      <c r="H284">
        <v>12</v>
      </c>
      <c r="I284" s="4" t="s">
        <v>116</v>
      </c>
      <c r="J284" s="4" t="s">
        <v>122</v>
      </c>
      <c r="K284" s="4" t="s">
        <v>123</v>
      </c>
      <c r="L284">
        <v>14</v>
      </c>
      <c r="M284" s="4" t="s">
        <v>158</v>
      </c>
    </row>
    <row r="285" spans="1:13" x14ac:dyDescent="0.2">
      <c r="A285" s="4" t="s">
        <v>469</v>
      </c>
      <c r="B285">
        <v>284</v>
      </c>
      <c r="C285" s="4" t="s">
        <v>26</v>
      </c>
      <c r="D285" s="4" t="s">
        <v>32</v>
      </c>
      <c r="E285" s="4" t="s">
        <v>32</v>
      </c>
      <c r="F285" s="4" t="s">
        <v>61</v>
      </c>
      <c r="G285">
        <v>3</v>
      </c>
      <c r="H285">
        <v>12</v>
      </c>
      <c r="I285" s="4" t="s">
        <v>116</v>
      </c>
      <c r="J285" s="4" t="s">
        <v>125</v>
      </c>
      <c r="K285" s="4" t="s">
        <v>126</v>
      </c>
      <c r="L285">
        <v>40</v>
      </c>
      <c r="M285" s="4" t="s">
        <v>158</v>
      </c>
    </row>
    <row r="286" spans="1:13" x14ac:dyDescent="0.2">
      <c r="A286" s="4" t="s">
        <v>470</v>
      </c>
      <c r="B286">
        <v>285</v>
      </c>
      <c r="C286" s="4" t="s">
        <v>26</v>
      </c>
      <c r="D286" s="4" t="s">
        <v>32</v>
      </c>
      <c r="E286" s="4" t="s">
        <v>32</v>
      </c>
      <c r="F286" s="4" t="s">
        <v>61</v>
      </c>
      <c r="G286">
        <v>3</v>
      </c>
      <c r="H286">
        <v>12</v>
      </c>
      <c r="I286" s="4" t="s">
        <v>116</v>
      </c>
      <c r="J286" s="4" t="s">
        <v>127</v>
      </c>
      <c r="K286" s="4" t="s">
        <v>128</v>
      </c>
      <c r="L286">
        <v>85</v>
      </c>
      <c r="M286" s="4" t="s">
        <v>158</v>
      </c>
    </row>
    <row r="287" spans="1:13" x14ac:dyDescent="0.2">
      <c r="A287" s="4" t="s">
        <v>471</v>
      </c>
      <c r="B287">
        <v>286</v>
      </c>
      <c r="C287" s="4" t="s">
        <v>26</v>
      </c>
      <c r="D287" s="4" t="s">
        <v>32</v>
      </c>
      <c r="E287" s="4" t="s">
        <v>32</v>
      </c>
      <c r="F287" s="4" t="s">
        <v>61</v>
      </c>
      <c r="G287">
        <v>3</v>
      </c>
      <c r="H287">
        <v>12</v>
      </c>
      <c r="I287" s="4" t="s">
        <v>116</v>
      </c>
      <c r="J287" s="4" t="s">
        <v>129</v>
      </c>
      <c r="K287" s="4" t="s">
        <v>130</v>
      </c>
      <c r="L287">
        <v>100</v>
      </c>
      <c r="M287" s="4" t="s">
        <v>158</v>
      </c>
    </row>
    <row r="288" spans="1:13" x14ac:dyDescent="0.2">
      <c r="A288" s="4" t="s">
        <v>472</v>
      </c>
      <c r="B288">
        <v>287</v>
      </c>
      <c r="C288" s="4" t="s">
        <v>26</v>
      </c>
      <c r="D288" s="4" t="s">
        <v>32</v>
      </c>
      <c r="E288" s="4" t="s">
        <v>32</v>
      </c>
      <c r="F288" s="4" t="s">
        <v>61</v>
      </c>
      <c r="G288">
        <v>3</v>
      </c>
      <c r="H288">
        <v>12</v>
      </c>
      <c r="I288" s="4" t="s">
        <v>116</v>
      </c>
      <c r="J288" s="4" t="s">
        <v>131</v>
      </c>
      <c r="K288" s="4" t="s">
        <v>132</v>
      </c>
      <c r="L288">
        <v>40</v>
      </c>
      <c r="M288" s="4" t="s">
        <v>158</v>
      </c>
    </row>
    <row r="289" spans="1:13" x14ac:dyDescent="0.2">
      <c r="A289" s="4" t="s">
        <v>473</v>
      </c>
      <c r="B289">
        <v>288</v>
      </c>
      <c r="C289" s="4" t="s">
        <v>26</v>
      </c>
      <c r="D289" s="4" t="s">
        <v>32</v>
      </c>
      <c r="E289" s="4" t="s">
        <v>32</v>
      </c>
      <c r="F289" s="4" t="s">
        <v>61</v>
      </c>
      <c r="G289">
        <v>3</v>
      </c>
      <c r="H289">
        <v>12</v>
      </c>
      <c r="I289" s="4" t="s">
        <v>116</v>
      </c>
      <c r="J289" s="4" t="s">
        <v>133</v>
      </c>
      <c r="K289" s="4" t="s">
        <v>134</v>
      </c>
      <c r="L289">
        <v>40</v>
      </c>
      <c r="M289" s="4" t="s">
        <v>158</v>
      </c>
    </row>
    <row r="290" spans="1:13" x14ac:dyDescent="0.2">
      <c r="A290" s="4" t="s">
        <v>474</v>
      </c>
      <c r="B290">
        <v>289</v>
      </c>
      <c r="C290" s="4" t="s">
        <v>26</v>
      </c>
      <c r="D290" s="4" t="s">
        <v>32</v>
      </c>
      <c r="E290" s="4" t="s">
        <v>35</v>
      </c>
      <c r="F290" s="4" t="s">
        <v>63</v>
      </c>
      <c r="G290">
        <v>3</v>
      </c>
      <c r="H290">
        <v>13</v>
      </c>
      <c r="I290" s="4" t="s">
        <v>35</v>
      </c>
      <c r="J290" s="4" t="s">
        <v>122</v>
      </c>
      <c r="K290" s="4" t="s">
        <v>123</v>
      </c>
      <c r="L290">
        <v>542</v>
      </c>
      <c r="M290" s="4" t="s">
        <v>158</v>
      </c>
    </row>
    <row r="291" spans="1:13" x14ac:dyDescent="0.2">
      <c r="A291" s="4" t="s">
        <v>475</v>
      </c>
      <c r="B291">
        <v>290</v>
      </c>
      <c r="C291" s="4" t="s">
        <v>26</v>
      </c>
      <c r="D291" s="4" t="s">
        <v>32</v>
      </c>
      <c r="E291" s="4" t="s">
        <v>35</v>
      </c>
      <c r="F291" s="4" t="s">
        <v>63</v>
      </c>
      <c r="G291">
        <v>3</v>
      </c>
      <c r="H291">
        <v>13</v>
      </c>
      <c r="I291" s="4" t="s">
        <v>35</v>
      </c>
      <c r="J291" s="4" t="s">
        <v>125</v>
      </c>
      <c r="K291" s="4" t="s">
        <v>126</v>
      </c>
      <c r="L291">
        <v>303</v>
      </c>
      <c r="M291" s="4" t="s">
        <v>158</v>
      </c>
    </row>
    <row r="292" spans="1:13" x14ac:dyDescent="0.2">
      <c r="A292" s="4" t="s">
        <v>476</v>
      </c>
      <c r="B292">
        <v>291</v>
      </c>
      <c r="C292" s="4" t="s">
        <v>26</v>
      </c>
      <c r="D292" s="4" t="s">
        <v>32</v>
      </c>
      <c r="E292" s="4" t="s">
        <v>35</v>
      </c>
      <c r="F292" s="4" t="s">
        <v>63</v>
      </c>
      <c r="G292">
        <v>3</v>
      </c>
      <c r="H292">
        <v>13</v>
      </c>
      <c r="I292" s="4" t="s">
        <v>35</v>
      </c>
      <c r="J292" s="4" t="s">
        <v>127</v>
      </c>
      <c r="K292" s="4" t="s">
        <v>128</v>
      </c>
      <c r="L292">
        <v>669</v>
      </c>
      <c r="M292" s="4" t="s">
        <v>158</v>
      </c>
    </row>
    <row r="293" spans="1:13" x14ac:dyDescent="0.2">
      <c r="A293" s="4" t="s">
        <v>477</v>
      </c>
      <c r="B293">
        <v>292</v>
      </c>
      <c r="C293" s="4" t="s">
        <v>26</v>
      </c>
      <c r="D293" s="4" t="s">
        <v>32</v>
      </c>
      <c r="E293" s="4" t="s">
        <v>35</v>
      </c>
      <c r="F293" s="4" t="s">
        <v>63</v>
      </c>
      <c r="G293">
        <v>3</v>
      </c>
      <c r="H293">
        <v>13</v>
      </c>
      <c r="I293" s="4" t="s">
        <v>35</v>
      </c>
      <c r="J293" s="4" t="s">
        <v>129</v>
      </c>
      <c r="K293" s="4" t="s">
        <v>130</v>
      </c>
      <c r="L293">
        <v>212</v>
      </c>
      <c r="M293" s="4" t="s">
        <v>158</v>
      </c>
    </row>
    <row r="294" spans="1:13" x14ac:dyDescent="0.2">
      <c r="A294" s="4" t="s">
        <v>478</v>
      </c>
      <c r="B294">
        <v>293</v>
      </c>
      <c r="C294" s="4" t="s">
        <v>26</v>
      </c>
      <c r="D294" s="4" t="s">
        <v>32</v>
      </c>
      <c r="E294" s="4" t="s">
        <v>35</v>
      </c>
      <c r="F294" s="4" t="s">
        <v>63</v>
      </c>
      <c r="G294">
        <v>3</v>
      </c>
      <c r="H294">
        <v>13</v>
      </c>
      <c r="I294" s="4" t="s">
        <v>35</v>
      </c>
      <c r="J294" s="4" t="s">
        <v>131</v>
      </c>
      <c r="K294" s="4" t="s">
        <v>132</v>
      </c>
      <c r="L294">
        <v>306</v>
      </c>
      <c r="M294" s="4" t="s">
        <v>158</v>
      </c>
    </row>
    <row r="295" spans="1:13" x14ac:dyDescent="0.2">
      <c r="A295" s="4" t="s">
        <v>479</v>
      </c>
      <c r="B295">
        <v>294</v>
      </c>
      <c r="C295" s="4" t="s">
        <v>26</v>
      </c>
      <c r="D295" s="4" t="s">
        <v>32</v>
      </c>
      <c r="E295" s="4" t="s">
        <v>35</v>
      </c>
      <c r="F295" s="4" t="s">
        <v>63</v>
      </c>
      <c r="G295">
        <v>3</v>
      </c>
      <c r="H295">
        <v>13</v>
      </c>
      <c r="I295" s="4" t="s">
        <v>35</v>
      </c>
      <c r="J295" s="4" t="s">
        <v>133</v>
      </c>
      <c r="K295" s="4" t="s">
        <v>134</v>
      </c>
      <c r="L295">
        <v>237</v>
      </c>
      <c r="M295" s="4" t="s">
        <v>158</v>
      </c>
    </row>
    <row r="296" spans="1:13" x14ac:dyDescent="0.2">
      <c r="A296" s="4" t="s">
        <v>480</v>
      </c>
      <c r="B296">
        <v>295</v>
      </c>
      <c r="C296" s="4" t="s">
        <v>26</v>
      </c>
      <c r="D296" s="4" t="s">
        <v>32</v>
      </c>
      <c r="E296" s="4" t="s">
        <v>35</v>
      </c>
      <c r="F296" s="4" t="s">
        <v>63</v>
      </c>
      <c r="G296">
        <v>3</v>
      </c>
      <c r="H296">
        <v>13</v>
      </c>
      <c r="I296" s="4" t="s">
        <v>112</v>
      </c>
      <c r="J296" s="4" t="s">
        <v>122</v>
      </c>
      <c r="K296" s="4" t="s">
        <v>123</v>
      </c>
      <c r="L296">
        <v>220</v>
      </c>
      <c r="M296" s="4" t="s">
        <v>158</v>
      </c>
    </row>
    <row r="297" spans="1:13" x14ac:dyDescent="0.2">
      <c r="A297" s="4" t="s">
        <v>481</v>
      </c>
      <c r="B297">
        <v>296</v>
      </c>
      <c r="C297" s="4" t="s">
        <v>26</v>
      </c>
      <c r="D297" s="4" t="s">
        <v>32</v>
      </c>
      <c r="E297" s="4" t="s">
        <v>35</v>
      </c>
      <c r="F297" s="4" t="s">
        <v>63</v>
      </c>
      <c r="G297">
        <v>3</v>
      </c>
      <c r="H297">
        <v>13</v>
      </c>
      <c r="I297" s="4" t="s">
        <v>112</v>
      </c>
      <c r="J297" s="4" t="s">
        <v>125</v>
      </c>
      <c r="K297" s="4" t="s">
        <v>126</v>
      </c>
      <c r="L297">
        <v>50</v>
      </c>
      <c r="M297" s="4" t="s">
        <v>158</v>
      </c>
    </row>
    <row r="298" spans="1:13" x14ac:dyDescent="0.2">
      <c r="A298" s="4" t="s">
        <v>482</v>
      </c>
      <c r="B298">
        <v>297</v>
      </c>
      <c r="C298" s="4" t="s">
        <v>26</v>
      </c>
      <c r="D298" s="4" t="s">
        <v>32</v>
      </c>
      <c r="E298" s="4" t="s">
        <v>35</v>
      </c>
      <c r="F298" s="4" t="s">
        <v>63</v>
      </c>
      <c r="G298">
        <v>3</v>
      </c>
      <c r="H298">
        <v>13</v>
      </c>
      <c r="I298" s="4" t="s">
        <v>112</v>
      </c>
      <c r="J298" s="4" t="s">
        <v>127</v>
      </c>
      <c r="K298" s="4" t="s">
        <v>128</v>
      </c>
      <c r="L298">
        <v>120</v>
      </c>
      <c r="M298" s="4" t="s">
        <v>158</v>
      </c>
    </row>
    <row r="299" spans="1:13" x14ac:dyDescent="0.2">
      <c r="A299" s="4" t="s">
        <v>483</v>
      </c>
      <c r="B299">
        <v>298</v>
      </c>
      <c r="C299" s="4" t="s">
        <v>26</v>
      </c>
      <c r="D299" s="4" t="s">
        <v>32</v>
      </c>
      <c r="E299" s="4" t="s">
        <v>35</v>
      </c>
      <c r="F299" s="4" t="s">
        <v>63</v>
      </c>
      <c r="G299">
        <v>3</v>
      </c>
      <c r="H299">
        <v>13</v>
      </c>
      <c r="I299" s="4" t="s">
        <v>112</v>
      </c>
      <c r="J299" s="4" t="s">
        <v>129</v>
      </c>
      <c r="K299" s="4" t="s">
        <v>130</v>
      </c>
      <c r="L299">
        <v>40</v>
      </c>
      <c r="M299" s="4" t="s">
        <v>158</v>
      </c>
    </row>
    <row r="300" spans="1:13" x14ac:dyDescent="0.2">
      <c r="A300" s="4" t="s">
        <v>484</v>
      </c>
      <c r="B300">
        <v>299</v>
      </c>
      <c r="C300" s="4" t="s">
        <v>26</v>
      </c>
      <c r="D300" s="4" t="s">
        <v>32</v>
      </c>
      <c r="E300" s="4" t="s">
        <v>35</v>
      </c>
      <c r="F300" s="4" t="s">
        <v>63</v>
      </c>
      <c r="G300">
        <v>3</v>
      </c>
      <c r="H300">
        <v>13</v>
      </c>
      <c r="I300" s="4" t="s">
        <v>112</v>
      </c>
      <c r="J300" s="4" t="s">
        <v>131</v>
      </c>
      <c r="K300" s="4" t="s">
        <v>132</v>
      </c>
      <c r="L300">
        <v>57</v>
      </c>
      <c r="M300" s="4" t="s">
        <v>158</v>
      </c>
    </row>
    <row r="301" spans="1:13" x14ac:dyDescent="0.2">
      <c r="A301" s="4" t="s">
        <v>485</v>
      </c>
      <c r="B301">
        <v>300</v>
      </c>
      <c r="C301" s="4" t="s">
        <v>26</v>
      </c>
      <c r="D301" s="4" t="s">
        <v>32</v>
      </c>
      <c r="E301" s="4" t="s">
        <v>35</v>
      </c>
      <c r="F301" s="4" t="s">
        <v>63</v>
      </c>
      <c r="G301">
        <v>3</v>
      </c>
      <c r="H301">
        <v>13</v>
      </c>
      <c r="I301" s="4" t="s">
        <v>112</v>
      </c>
      <c r="J301" s="4" t="s">
        <v>133</v>
      </c>
      <c r="K301" s="4" t="s">
        <v>134</v>
      </c>
      <c r="L301">
        <v>70</v>
      </c>
      <c r="M301" s="4" t="s">
        <v>158</v>
      </c>
    </row>
    <row r="302" spans="1:13" x14ac:dyDescent="0.2">
      <c r="A302" s="4" t="s">
        <v>486</v>
      </c>
      <c r="B302">
        <v>301</v>
      </c>
      <c r="C302" s="4" t="s">
        <v>26</v>
      </c>
      <c r="D302" s="4" t="s">
        <v>32</v>
      </c>
      <c r="E302" s="4" t="s">
        <v>35</v>
      </c>
      <c r="F302" s="4" t="s">
        <v>63</v>
      </c>
      <c r="G302">
        <v>3</v>
      </c>
      <c r="H302">
        <v>13</v>
      </c>
      <c r="I302" s="4" t="s">
        <v>114</v>
      </c>
      <c r="J302" s="4" t="s">
        <v>122</v>
      </c>
      <c r="K302" s="4" t="s">
        <v>123</v>
      </c>
      <c r="L302">
        <v>100</v>
      </c>
      <c r="M302" s="4" t="s">
        <v>158</v>
      </c>
    </row>
    <row r="303" spans="1:13" x14ac:dyDescent="0.2">
      <c r="A303" s="4" t="s">
        <v>487</v>
      </c>
      <c r="B303">
        <v>302</v>
      </c>
      <c r="C303" s="4" t="s">
        <v>26</v>
      </c>
      <c r="D303" s="4" t="s">
        <v>32</v>
      </c>
      <c r="E303" s="4" t="s">
        <v>35</v>
      </c>
      <c r="F303" s="4" t="s">
        <v>63</v>
      </c>
      <c r="G303">
        <v>3</v>
      </c>
      <c r="H303">
        <v>13</v>
      </c>
      <c r="I303" s="4" t="s">
        <v>114</v>
      </c>
      <c r="J303" s="4" t="s">
        <v>125</v>
      </c>
      <c r="K303" s="4" t="s">
        <v>126</v>
      </c>
      <c r="L303">
        <v>5</v>
      </c>
      <c r="M303" s="4" t="s">
        <v>158</v>
      </c>
    </row>
    <row r="304" spans="1:13" x14ac:dyDescent="0.2">
      <c r="A304" s="4" t="s">
        <v>488</v>
      </c>
      <c r="B304">
        <v>303</v>
      </c>
      <c r="C304" s="4" t="s">
        <v>26</v>
      </c>
      <c r="D304" s="4" t="s">
        <v>32</v>
      </c>
      <c r="E304" s="4" t="s">
        <v>35</v>
      </c>
      <c r="F304" s="4" t="s">
        <v>63</v>
      </c>
      <c r="G304">
        <v>3</v>
      </c>
      <c r="H304">
        <v>13</v>
      </c>
      <c r="I304" s="4" t="s">
        <v>114</v>
      </c>
      <c r="J304" s="4" t="s">
        <v>127</v>
      </c>
      <c r="K304" s="4" t="s">
        <v>128</v>
      </c>
      <c r="L304">
        <v>65</v>
      </c>
      <c r="M304" s="4" t="s">
        <v>158</v>
      </c>
    </row>
    <row r="305" spans="1:13" x14ac:dyDescent="0.2">
      <c r="A305" s="4" t="s">
        <v>489</v>
      </c>
      <c r="B305">
        <v>304</v>
      </c>
      <c r="C305" s="4" t="s">
        <v>26</v>
      </c>
      <c r="D305" s="4" t="s">
        <v>32</v>
      </c>
      <c r="E305" s="4" t="s">
        <v>35</v>
      </c>
      <c r="F305" s="4" t="s">
        <v>63</v>
      </c>
      <c r="G305">
        <v>3</v>
      </c>
      <c r="H305">
        <v>13</v>
      </c>
      <c r="I305" s="4" t="s">
        <v>114</v>
      </c>
      <c r="J305" s="4" t="s">
        <v>129</v>
      </c>
      <c r="K305" s="4" t="s">
        <v>130</v>
      </c>
      <c r="L305">
        <v>40</v>
      </c>
      <c r="M305" s="4" t="s">
        <v>158</v>
      </c>
    </row>
    <row r="306" spans="1:13" x14ac:dyDescent="0.2">
      <c r="A306" s="4" t="s">
        <v>490</v>
      </c>
      <c r="B306">
        <v>305</v>
      </c>
      <c r="C306" s="4" t="s">
        <v>26</v>
      </c>
      <c r="D306" s="4" t="s">
        <v>32</v>
      </c>
      <c r="E306" s="4" t="s">
        <v>35</v>
      </c>
      <c r="F306" s="4" t="s">
        <v>63</v>
      </c>
      <c r="G306">
        <v>3</v>
      </c>
      <c r="H306">
        <v>13</v>
      </c>
      <c r="I306" s="4" t="s">
        <v>114</v>
      </c>
      <c r="J306" s="4" t="s">
        <v>131</v>
      </c>
      <c r="K306" s="4" t="s">
        <v>132</v>
      </c>
      <c r="L306">
        <v>70</v>
      </c>
      <c r="M306" s="4" t="s">
        <v>158</v>
      </c>
    </row>
    <row r="307" spans="1:13" x14ac:dyDescent="0.2">
      <c r="A307" s="4" t="s">
        <v>491</v>
      </c>
      <c r="B307">
        <v>306</v>
      </c>
      <c r="C307" s="4" t="s">
        <v>26</v>
      </c>
      <c r="D307" s="4" t="s">
        <v>32</v>
      </c>
      <c r="E307" s="4" t="s">
        <v>35</v>
      </c>
      <c r="F307" s="4" t="s">
        <v>63</v>
      </c>
      <c r="G307">
        <v>3</v>
      </c>
      <c r="H307">
        <v>13</v>
      </c>
      <c r="I307" s="4" t="s">
        <v>114</v>
      </c>
      <c r="J307" s="4" t="s">
        <v>133</v>
      </c>
      <c r="K307" s="4" t="s">
        <v>134</v>
      </c>
      <c r="L307">
        <v>40</v>
      </c>
      <c r="M307" s="4" t="s">
        <v>158</v>
      </c>
    </row>
    <row r="308" spans="1:13" x14ac:dyDescent="0.2">
      <c r="A308" s="4" t="s">
        <v>492</v>
      </c>
      <c r="B308">
        <v>307</v>
      </c>
      <c r="C308" s="4" t="s">
        <v>26</v>
      </c>
      <c r="D308" s="4" t="s">
        <v>32</v>
      </c>
      <c r="E308" s="4" t="s">
        <v>35</v>
      </c>
      <c r="F308" s="4" t="s">
        <v>63</v>
      </c>
      <c r="G308">
        <v>3</v>
      </c>
      <c r="H308">
        <v>13</v>
      </c>
      <c r="I308" s="4" t="s">
        <v>116</v>
      </c>
      <c r="J308" s="4" t="s">
        <v>122</v>
      </c>
      <c r="K308" s="4" t="s">
        <v>123</v>
      </c>
      <c r="L308">
        <v>50</v>
      </c>
      <c r="M308" s="4" t="s">
        <v>158</v>
      </c>
    </row>
    <row r="309" spans="1:13" x14ac:dyDescent="0.2">
      <c r="A309" s="4" t="s">
        <v>493</v>
      </c>
      <c r="B309">
        <v>308</v>
      </c>
      <c r="C309" s="4" t="s">
        <v>26</v>
      </c>
      <c r="D309" s="4" t="s">
        <v>32</v>
      </c>
      <c r="E309" s="4" t="s">
        <v>35</v>
      </c>
      <c r="F309" s="4" t="s">
        <v>63</v>
      </c>
      <c r="G309">
        <v>3</v>
      </c>
      <c r="H309">
        <v>13</v>
      </c>
      <c r="I309" s="4" t="s">
        <v>116</v>
      </c>
      <c r="J309" s="4" t="s">
        <v>125</v>
      </c>
      <c r="K309" s="4" t="s">
        <v>126</v>
      </c>
      <c r="L309">
        <v>40</v>
      </c>
      <c r="M309" s="4" t="s">
        <v>158</v>
      </c>
    </row>
    <row r="310" spans="1:13" x14ac:dyDescent="0.2">
      <c r="A310" s="4" t="s">
        <v>494</v>
      </c>
      <c r="B310">
        <v>309</v>
      </c>
      <c r="C310" s="4" t="s">
        <v>26</v>
      </c>
      <c r="D310" s="4" t="s">
        <v>32</v>
      </c>
      <c r="E310" s="4" t="s">
        <v>35</v>
      </c>
      <c r="F310" s="4" t="s">
        <v>63</v>
      </c>
      <c r="G310">
        <v>3</v>
      </c>
      <c r="H310">
        <v>13</v>
      </c>
      <c r="I310" s="4" t="s">
        <v>116</v>
      </c>
      <c r="J310" s="4" t="s">
        <v>127</v>
      </c>
      <c r="K310" s="4" t="s">
        <v>128</v>
      </c>
      <c r="L310">
        <v>85</v>
      </c>
      <c r="M310" s="4" t="s">
        <v>158</v>
      </c>
    </row>
    <row r="311" spans="1:13" x14ac:dyDescent="0.2">
      <c r="A311" s="4" t="s">
        <v>495</v>
      </c>
      <c r="B311">
        <v>310</v>
      </c>
      <c r="C311" s="4" t="s">
        <v>26</v>
      </c>
      <c r="D311" s="4" t="s">
        <v>32</v>
      </c>
      <c r="E311" s="4" t="s">
        <v>35</v>
      </c>
      <c r="F311" s="4" t="s">
        <v>63</v>
      </c>
      <c r="G311">
        <v>3</v>
      </c>
      <c r="H311">
        <v>13</v>
      </c>
      <c r="I311" s="4" t="s">
        <v>116</v>
      </c>
      <c r="J311" s="4" t="s">
        <v>129</v>
      </c>
      <c r="K311" s="4" t="s">
        <v>130</v>
      </c>
      <c r="L311">
        <v>100</v>
      </c>
      <c r="M311" s="4" t="s">
        <v>158</v>
      </c>
    </row>
    <row r="312" spans="1:13" x14ac:dyDescent="0.2">
      <c r="A312" s="4" t="s">
        <v>496</v>
      </c>
      <c r="B312">
        <v>311</v>
      </c>
      <c r="C312" s="4" t="s">
        <v>26</v>
      </c>
      <c r="D312" s="4" t="s">
        <v>32</v>
      </c>
      <c r="E312" s="4" t="s">
        <v>35</v>
      </c>
      <c r="F312" s="4" t="s">
        <v>63</v>
      </c>
      <c r="G312">
        <v>3</v>
      </c>
      <c r="H312">
        <v>13</v>
      </c>
      <c r="I312" s="4" t="s">
        <v>116</v>
      </c>
      <c r="J312" s="4" t="s">
        <v>131</v>
      </c>
      <c r="K312" s="4" t="s">
        <v>132</v>
      </c>
      <c r="L312">
        <v>40</v>
      </c>
      <c r="M312" s="4" t="s">
        <v>158</v>
      </c>
    </row>
    <row r="313" spans="1:13" x14ac:dyDescent="0.2">
      <c r="A313" s="4" t="s">
        <v>497</v>
      </c>
      <c r="B313">
        <v>312</v>
      </c>
      <c r="C313" s="4" t="s">
        <v>26</v>
      </c>
      <c r="D313" s="4" t="s">
        <v>32</v>
      </c>
      <c r="E313" s="4" t="s">
        <v>35</v>
      </c>
      <c r="F313" s="4" t="s">
        <v>63</v>
      </c>
      <c r="G313">
        <v>3</v>
      </c>
      <c r="H313">
        <v>13</v>
      </c>
      <c r="I313" s="4" t="s">
        <v>116</v>
      </c>
      <c r="J313" s="4" t="s">
        <v>133</v>
      </c>
      <c r="K313" s="4" t="s">
        <v>134</v>
      </c>
      <c r="L313">
        <v>40</v>
      </c>
      <c r="M313" s="4" t="s">
        <v>158</v>
      </c>
    </row>
    <row r="314" spans="1:13" x14ac:dyDescent="0.2">
      <c r="A314" s="4" t="s">
        <v>498</v>
      </c>
      <c r="B314">
        <v>313</v>
      </c>
      <c r="C314" s="4" t="s">
        <v>26</v>
      </c>
      <c r="D314" s="4" t="s">
        <v>32</v>
      </c>
      <c r="E314" s="4" t="s">
        <v>38</v>
      </c>
      <c r="F314" s="4" t="s">
        <v>65</v>
      </c>
      <c r="G314">
        <v>3</v>
      </c>
      <c r="H314">
        <v>14</v>
      </c>
      <c r="I314" s="4" t="s">
        <v>35</v>
      </c>
      <c r="J314" s="4" t="s">
        <v>122</v>
      </c>
      <c r="K314" s="4" t="s">
        <v>123</v>
      </c>
      <c r="L314">
        <v>542</v>
      </c>
      <c r="M314" s="4" t="s">
        <v>158</v>
      </c>
    </row>
    <row r="315" spans="1:13" x14ac:dyDescent="0.2">
      <c r="A315" s="4" t="s">
        <v>499</v>
      </c>
      <c r="B315">
        <v>314</v>
      </c>
      <c r="C315" s="4" t="s">
        <v>26</v>
      </c>
      <c r="D315" s="4" t="s">
        <v>32</v>
      </c>
      <c r="E315" s="4" t="s">
        <v>38</v>
      </c>
      <c r="F315" s="4" t="s">
        <v>65</v>
      </c>
      <c r="G315">
        <v>3</v>
      </c>
      <c r="H315">
        <v>14</v>
      </c>
      <c r="I315" s="4" t="s">
        <v>35</v>
      </c>
      <c r="J315" s="4" t="s">
        <v>125</v>
      </c>
      <c r="K315" s="4" t="s">
        <v>126</v>
      </c>
      <c r="L315">
        <v>268</v>
      </c>
      <c r="M315" s="4" t="s">
        <v>158</v>
      </c>
    </row>
    <row r="316" spans="1:13" x14ac:dyDescent="0.2">
      <c r="A316" s="4" t="s">
        <v>500</v>
      </c>
      <c r="B316">
        <v>315</v>
      </c>
      <c r="C316" s="4" t="s">
        <v>26</v>
      </c>
      <c r="D316" s="4" t="s">
        <v>32</v>
      </c>
      <c r="E316" s="4" t="s">
        <v>38</v>
      </c>
      <c r="F316" s="4" t="s">
        <v>65</v>
      </c>
      <c r="G316">
        <v>3</v>
      </c>
      <c r="H316">
        <v>14</v>
      </c>
      <c r="I316" s="4" t="s">
        <v>35</v>
      </c>
      <c r="J316" s="4" t="s">
        <v>127</v>
      </c>
      <c r="K316" s="4" t="s">
        <v>128</v>
      </c>
      <c r="L316">
        <v>584</v>
      </c>
      <c r="M316" s="4" t="s">
        <v>158</v>
      </c>
    </row>
    <row r="317" spans="1:13" x14ac:dyDescent="0.2">
      <c r="A317" s="4" t="s">
        <v>501</v>
      </c>
      <c r="B317">
        <v>316</v>
      </c>
      <c r="C317" s="4" t="s">
        <v>26</v>
      </c>
      <c r="D317" s="4" t="s">
        <v>32</v>
      </c>
      <c r="E317" s="4" t="s">
        <v>38</v>
      </c>
      <c r="F317" s="4" t="s">
        <v>65</v>
      </c>
      <c r="G317">
        <v>3</v>
      </c>
      <c r="H317">
        <v>14</v>
      </c>
      <c r="I317" s="4" t="s">
        <v>35</v>
      </c>
      <c r="J317" s="4" t="s">
        <v>129</v>
      </c>
      <c r="K317" s="4" t="s">
        <v>130</v>
      </c>
      <c r="L317">
        <v>212</v>
      </c>
      <c r="M317" s="4" t="s">
        <v>158</v>
      </c>
    </row>
    <row r="318" spans="1:13" x14ac:dyDescent="0.2">
      <c r="A318" s="4" t="s">
        <v>502</v>
      </c>
      <c r="B318">
        <v>317</v>
      </c>
      <c r="C318" s="4" t="s">
        <v>26</v>
      </c>
      <c r="D318" s="4" t="s">
        <v>32</v>
      </c>
      <c r="E318" s="4" t="s">
        <v>38</v>
      </c>
      <c r="F318" s="4" t="s">
        <v>65</v>
      </c>
      <c r="G318">
        <v>3</v>
      </c>
      <c r="H318">
        <v>14</v>
      </c>
      <c r="I318" s="4" t="s">
        <v>35</v>
      </c>
      <c r="J318" s="4" t="s">
        <v>131</v>
      </c>
      <c r="K318" s="4" t="s">
        <v>132</v>
      </c>
      <c r="L318">
        <v>303</v>
      </c>
      <c r="M318" s="4" t="s">
        <v>158</v>
      </c>
    </row>
    <row r="319" spans="1:13" x14ac:dyDescent="0.2">
      <c r="A319" s="4" t="s">
        <v>503</v>
      </c>
      <c r="B319">
        <v>318</v>
      </c>
      <c r="C319" s="4" t="s">
        <v>26</v>
      </c>
      <c r="D319" s="4" t="s">
        <v>32</v>
      </c>
      <c r="E319" s="4" t="s">
        <v>38</v>
      </c>
      <c r="F319" s="4" t="s">
        <v>65</v>
      </c>
      <c r="G319">
        <v>3</v>
      </c>
      <c r="H319">
        <v>14</v>
      </c>
      <c r="I319" s="4" t="s">
        <v>35</v>
      </c>
      <c r="J319" s="4" t="s">
        <v>133</v>
      </c>
      <c r="K319" s="4" t="s">
        <v>134</v>
      </c>
      <c r="L319">
        <v>237</v>
      </c>
      <c r="M319" s="4" t="s">
        <v>158</v>
      </c>
    </row>
    <row r="320" spans="1:13" x14ac:dyDescent="0.2">
      <c r="A320" s="4" t="s">
        <v>504</v>
      </c>
      <c r="B320">
        <v>319</v>
      </c>
      <c r="C320" s="4" t="s">
        <v>26</v>
      </c>
      <c r="D320" s="4" t="s">
        <v>32</v>
      </c>
      <c r="E320" s="4" t="s">
        <v>38</v>
      </c>
      <c r="F320" s="4" t="s">
        <v>65</v>
      </c>
      <c r="G320">
        <v>3</v>
      </c>
      <c r="H320">
        <v>14</v>
      </c>
      <c r="I320" s="4" t="s">
        <v>112</v>
      </c>
      <c r="J320" s="4" t="s">
        <v>122</v>
      </c>
      <c r="K320" s="4" t="s">
        <v>123</v>
      </c>
      <c r="L320">
        <v>18</v>
      </c>
      <c r="M320" s="4" t="s">
        <v>158</v>
      </c>
    </row>
    <row r="321" spans="1:13" x14ac:dyDescent="0.2">
      <c r="A321" s="4" t="s">
        <v>505</v>
      </c>
      <c r="B321">
        <v>320</v>
      </c>
      <c r="C321" s="4" t="s">
        <v>26</v>
      </c>
      <c r="D321" s="4" t="s">
        <v>32</v>
      </c>
      <c r="E321" s="4" t="s">
        <v>38</v>
      </c>
      <c r="F321" s="4" t="s">
        <v>65</v>
      </c>
      <c r="G321">
        <v>3</v>
      </c>
      <c r="H321">
        <v>14</v>
      </c>
      <c r="I321" s="4" t="s">
        <v>112</v>
      </c>
      <c r="J321" s="4" t="s">
        <v>125</v>
      </c>
      <c r="K321" s="4" t="s">
        <v>126</v>
      </c>
      <c r="L321">
        <v>50</v>
      </c>
      <c r="M321" s="4" t="s">
        <v>158</v>
      </c>
    </row>
    <row r="322" spans="1:13" x14ac:dyDescent="0.2">
      <c r="A322" s="4" t="s">
        <v>506</v>
      </c>
      <c r="B322">
        <v>321</v>
      </c>
      <c r="C322" s="4" t="s">
        <v>26</v>
      </c>
      <c r="D322" s="4" t="s">
        <v>32</v>
      </c>
      <c r="E322" s="4" t="s">
        <v>38</v>
      </c>
      <c r="F322" s="4" t="s">
        <v>65</v>
      </c>
      <c r="G322">
        <v>3</v>
      </c>
      <c r="H322">
        <v>14</v>
      </c>
      <c r="I322" s="4" t="s">
        <v>112</v>
      </c>
      <c r="J322" s="4" t="s">
        <v>127</v>
      </c>
      <c r="K322" s="4" t="s">
        <v>128</v>
      </c>
      <c r="L322">
        <v>58</v>
      </c>
      <c r="M322" s="4" t="s">
        <v>158</v>
      </c>
    </row>
    <row r="323" spans="1:13" x14ac:dyDescent="0.2">
      <c r="A323" s="4" t="s">
        <v>507</v>
      </c>
      <c r="B323">
        <v>322</v>
      </c>
      <c r="C323" s="4" t="s">
        <v>26</v>
      </c>
      <c r="D323" s="4" t="s">
        <v>32</v>
      </c>
      <c r="E323" s="4" t="s">
        <v>38</v>
      </c>
      <c r="F323" s="4" t="s">
        <v>65</v>
      </c>
      <c r="G323">
        <v>3</v>
      </c>
      <c r="H323">
        <v>14</v>
      </c>
      <c r="I323" s="4" t="s">
        <v>112</v>
      </c>
      <c r="J323" s="4" t="s">
        <v>129</v>
      </c>
      <c r="K323" s="4" t="s">
        <v>130</v>
      </c>
      <c r="L323">
        <v>40</v>
      </c>
      <c r="M323" s="4" t="s">
        <v>158</v>
      </c>
    </row>
    <row r="324" spans="1:13" x14ac:dyDescent="0.2">
      <c r="A324" s="4" t="s">
        <v>508</v>
      </c>
      <c r="B324">
        <v>323</v>
      </c>
      <c r="C324" s="4" t="s">
        <v>26</v>
      </c>
      <c r="D324" s="4" t="s">
        <v>32</v>
      </c>
      <c r="E324" s="4" t="s">
        <v>38</v>
      </c>
      <c r="F324" s="4" t="s">
        <v>65</v>
      </c>
      <c r="G324">
        <v>3</v>
      </c>
      <c r="H324">
        <v>14</v>
      </c>
      <c r="I324" s="4" t="s">
        <v>112</v>
      </c>
      <c r="J324" s="4" t="s">
        <v>131</v>
      </c>
      <c r="K324" s="4" t="s">
        <v>132</v>
      </c>
      <c r="L324">
        <v>37</v>
      </c>
      <c r="M324" s="4" t="s">
        <v>158</v>
      </c>
    </row>
    <row r="325" spans="1:13" x14ac:dyDescent="0.2">
      <c r="A325" s="4" t="s">
        <v>509</v>
      </c>
      <c r="B325">
        <v>324</v>
      </c>
      <c r="C325" s="4" t="s">
        <v>26</v>
      </c>
      <c r="D325" s="4" t="s">
        <v>32</v>
      </c>
      <c r="E325" s="4" t="s">
        <v>38</v>
      </c>
      <c r="F325" s="4" t="s">
        <v>65</v>
      </c>
      <c r="G325">
        <v>3</v>
      </c>
      <c r="H325">
        <v>14</v>
      </c>
      <c r="I325" s="4" t="s">
        <v>112</v>
      </c>
      <c r="J325" s="4" t="s">
        <v>133</v>
      </c>
      <c r="K325" s="4" t="s">
        <v>134</v>
      </c>
      <c r="L325">
        <v>70</v>
      </c>
      <c r="M325" s="4" t="s">
        <v>158</v>
      </c>
    </row>
    <row r="326" spans="1:13" x14ac:dyDescent="0.2">
      <c r="A326" s="4" t="s">
        <v>510</v>
      </c>
      <c r="B326">
        <v>325</v>
      </c>
      <c r="C326" s="4" t="s">
        <v>26</v>
      </c>
      <c r="D326" s="4" t="s">
        <v>32</v>
      </c>
      <c r="E326" s="4" t="s">
        <v>38</v>
      </c>
      <c r="F326" s="4" t="s">
        <v>65</v>
      </c>
      <c r="G326">
        <v>3</v>
      </c>
      <c r="H326">
        <v>14</v>
      </c>
      <c r="I326" s="4" t="s">
        <v>114</v>
      </c>
      <c r="J326" s="4" t="s">
        <v>122</v>
      </c>
      <c r="K326" s="4" t="s">
        <v>123</v>
      </c>
      <c r="L326">
        <v>32</v>
      </c>
      <c r="M326" s="4" t="s">
        <v>158</v>
      </c>
    </row>
    <row r="327" spans="1:13" x14ac:dyDescent="0.2">
      <c r="A327" s="4" t="s">
        <v>511</v>
      </c>
      <c r="B327">
        <v>326</v>
      </c>
      <c r="C327" s="4" t="s">
        <v>26</v>
      </c>
      <c r="D327" s="4" t="s">
        <v>32</v>
      </c>
      <c r="E327" s="4" t="s">
        <v>38</v>
      </c>
      <c r="F327" s="4" t="s">
        <v>65</v>
      </c>
      <c r="G327">
        <v>3</v>
      </c>
      <c r="H327">
        <v>14</v>
      </c>
      <c r="I327" s="4" t="s">
        <v>114</v>
      </c>
      <c r="J327" s="4" t="s">
        <v>125</v>
      </c>
      <c r="K327" s="4" t="s">
        <v>126</v>
      </c>
      <c r="L327">
        <v>40</v>
      </c>
      <c r="M327" s="4" t="s">
        <v>158</v>
      </c>
    </row>
    <row r="328" spans="1:13" x14ac:dyDescent="0.2">
      <c r="A328" s="4" t="s">
        <v>512</v>
      </c>
      <c r="B328">
        <v>327</v>
      </c>
      <c r="C328" s="4" t="s">
        <v>26</v>
      </c>
      <c r="D328" s="4" t="s">
        <v>32</v>
      </c>
      <c r="E328" s="4" t="s">
        <v>38</v>
      </c>
      <c r="F328" s="4" t="s">
        <v>65</v>
      </c>
      <c r="G328">
        <v>3</v>
      </c>
      <c r="H328">
        <v>14</v>
      </c>
      <c r="I328" s="4" t="s">
        <v>114</v>
      </c>
      <c r="J328" s="4" t="s">
        <v>127</v>
      </c>
      <c r="K328" s="4" t="s">
        <v>128</v>
      </c>
      <c r="L328">
        <v>85</v>
      </c>
      <c r="M328" s="4" t="s">
        <v>158</v>
      </c>
    </row>
    <row r="329" spans="1:13" x14ac:dyDescent="0.2">
      <c r="A329" s="4" t="s">
        <v>513</v>
      </c>
      <c r="B329">
        <v>328</v>
      </c>
      <c r="C329" s="4" t="s">
        <v>26</v>
      </c>
      <c r="D329" s="4" t="s">
        <v>32</v>
      </c>
      <c r="E329" s="4" t="s">
        <v>38</v>
      </c>
      <c r="F329" s="4" t="s">
        <v>65</v>
      </c>
      <c r="G329">
        <v>3</v>
      </c>
      <c r="H329">
        <v>14</v>
      </c>
      <c r="I329" s="4" t="s">
        <v>114</v>
      </c>
      <c r="J329" s="4" t="s">
        <v>129</v>
      </c>
      <c r="K329" s="4" t="s">
        <v>130</v>
      </c>
      <c r="L329">
        <v>40</v>
      </c>
      <c r="M329" s="4" t="s">
        <v>158</v>
      </c>
    </row>
    <row r="330" spans="1:13" x14ac:dyDescent="0.2">
      <c r="A330" s="4" t="s">
        <v>514</v>
      </c>
      <c r="B330">
        <v>329</v>
      </c>
      <c r="C330" s="4" t="s">
        <v>26</v>
      </c>
      <c r="D330" s="4" t="s">
        <v>32</v>
      </c>
      <c r="E330" s="4" t="s">
        <v>38</v>
      </c>
      <c r="F330" s="4" t="s">
        <v>65</v>
      </c>
      <c r="G330">
        <v>3</v>
      </c>
      <c r="H330">
        <v>14</v>
      </c>
      <c r="I330" s="4" t="s">
        <v>114</v>
      </c>
      <c r="J330" s="4" t="s">
        <v>131</v>
      </c>
      <c r="K330" s="4" t="s">
        <v>132</v>
      </c>
      <c r="L330">
        <v>34</v>
      </c>
      <c r="M330" s="4" t="s">
        <v>158</v>
      </c>
    </row>
    <row r="331" spans="1:13" x14ac:dyDescent="0.2">
      <c r="A331" s="4" t="s">
        <v>515</v>
      </c>
      <c r="B331">
        <v>330</v>
      </c>
      <c r="C331" s="4" t="s">
        <v>26</v>
      </c>
      <c r="D331" s="4" t="s">
        <v>32</v>
      </c>
      <c r="E331" s="4" t="s">
        <v>38</v>
      </c>
      <c r="F331" s="4" t="s">
        <v>65</v>
      </c>
      <c r="G331">
        <v>3</v>
      </c>
      <c r="H331">
        <v>14</v>
      </c>
      <c r="I331" s="4" t="s">
        <v>114</v>
      </c>
      <c r="J331" s="4" t="s">
        <v>133</v>
      </c>
      <c r="K331" s="4" t="s">
        <v>134</v>
      </c>
      <c r="L331">
        <v>40</v>
      </c>
      <c r="M331" s="4" t="s">
        <v>158</v>
      </c>
    </row>
    <row r="332" spans="1:13" x14ac:dyDescent="0.2">
      <c r="A332" s="4" t="s">
        <v>516</v>
      </c>
      <c r="B332">
        <v>331</v>
      </c>
      <c r="C332" s="4" t="s">
        <v>26</v>
      </c>
      <c r="D332" s="4" t="s">
        <v>32</v>
      </c>
      <c r="E332" s="4" t="s">
        <v>38</v>
      </c>
      <c r="F332" s="4" t="s">
        <v>65</v>
      </c>
      <c r="G332">
        <v>3</v>
      </c>
      <c r="H332">
        <v>14</v>
      </c>
      <c r="I332" s="4" t="s">
        <v>116</v>
      </c>
      <c r="J332" s="4" t="s">
        <v>122</v>
      </c>
      <c r="K332" s="4" t="s">
        <v>123</v>
      </c>
      <c r="L332">
        <v>0</v>
      </c>
      <c r="M332" s="4" t="s">
        <v>158</v>
      </c>
    </row>
    <row r="333" spans="1:13" x14ac:dyDescent="0.2">
      <c r="A333" s="4" t="s">
        <v>517</v>
      </c>
      <c r="B333">
        <v>332</v>
      </c>
      <c r="C333" s="4" t="s">
        <v>26</v>
      </c>
      <c r="D333" s="4" t="s">
        <v>32</v>
      </c>
      <c r="E333" s="4" t="s">
        <v>38</v>
      </c>
      <c r="F333" s="4" t="s">
        <v>65</v>
      </c>
      <c r="G333">
        <v>3</v>
      </c>
      <c r="H333">
        <v>14</v>
      </c>
      <c r="I333" s="4" t="s">
        <v>116</v>
      </c>
      <c r="J333" s="4" t="s">
        <v>125</v>
      </c>
      <c r="K333" s="4" t="s">
        <v>126</v>
      </c>
      <c r="L333">
        <v>40</v>
      </c>
      <c r="M333" s="4" t="s">
        <v>158</v>
      </c>
    </row>
    <row r="334" spans="1:13" x14ac:dyDescent="0.2">
      <c r="A334" s="4" t="s">
        <v>518</v>
      </c>
      <c r="B334">
        <v>333</v>
      </c>
      <c r="C334" s="4" t="s">
        <v>26</v>
      </c>
      <c r="D334" s="4" t="s">
        <v>32</v>
      </c>
      <c r="E334" s="4" t="s">
        <v>38</v>
      </c>
      <c r="F334" s="4" t="s">
        <v>65</v>
      </c>
      <c r="G334">
        <v>3</v>
      </c>
      <c r="H334">
        <v>14</v>
      </c>
      <c r="I334" s="4" t="s">
        <v>116</v>
      </c>
      <c r="J334" s="4" t="s">
        <v>127</v>
      </c>
      <c r="K334" s="4" t="s">
        <v>128</v>
      </c>
      <c r="L334">
        <v>85</v>
      </c>
      <c r="M334" s="4" t="s">
        <v>158</v>
      </c>
    </row>
    <row r="335" spans="1:13" x14ac:dyDescent="0.2">
      <c r="A335" s="4" t="s">
        <v>519</v>
      </c>
      <c r="B335">
        <v>334</v>
      </c>
      <c r="C335" s="4" t="s">
        <v>26</v>
      </c>
      <c r="D335" s="4" t="s">
        <v>32</v>
      </c>
      <c r="E335" s="4" t="s">
        <v>38</v>
      </c>
      <c r="F335" s="4" t="s">
        <v>65</v>
      </c>
      <c r="G335">
        <v>3</v>
      </c>
      <c r="H335">
        <v>14</v>
      </c>
      <c r="I335" s="4" t="s">
        <v>116</v>
      </c>
      <c r="J335" s="4" t="s">
        <v>129</v>
      </c>
      <c r="K335" s="4" t="s">
        <v>130</v>
      </c>
      <c r="L335">
        <v>100</v>
      </c>
      <c r="M335" s="4" t="s">
        <v>158</v>
      </c>
    </row>
    <row r="336" spans="1:13" x14ac:dyDescent="0.2">
      <c r="A336" s="4" t="s">
        <v>520</v>
      </c>
      <c r="B336">
        <v>335</v>
      </c>
      <c r="C336" s="4" t="s">
        <v>26</v>
      </c>
      <c r="D336" s="4" t="s">
        <v>32</v>
      </c>
      <c r="E336" s="4" t="s">
        <v>38</v>
      </c>
      <c r="F336" s="4" t="s">
        <v>65</v>
      </c>
      <c r="G336">
        <v>3</v>
      </c>
      <c r="H336">
        <v>14</v>
      </c>
      <c r="I336" s="4" t="s">
        <v>116</v>
      </c>
      <c r="J336" s="4" t="s">
        <v>131</v>
      </c>
      <c r="K336" s="4" t="s">
        <v>132</v>
      </c>
      <c r="L336">
        <v>40</v>
      </c>
      <c r="M336" s="4" t="s">
        <v>158</v>
      </c>
    </row>
    <row r="337" spans="1:13" x14ac:dyDescent="0.2">
      <c r="A337" s="4" t="s">
        <v>521</v>
      </c>
      <c r="B337">
        <v>336</v>
      </c>
      <c r="C337" s="4" t="s">
        <v>26</v>
      </c>
      <c r="D337" s="4" t="s">
        <v>32</v>
      </c>
      <c r="E337" s="4" t="s">
        <v>38</v>
      </c>
      <c r="F337" s="4" t="s">
        <v>65</v>
      </c>
      <c r="G337">
        <v>3</v>
      </c>
      <c r="H337">
        <v>14</v>
      </c>
      <c r="I337" s="4" t="s">
        <v>116</v>
      </c>
      <c r="J337" s="4" t="s">
        <v>133</v>
      </c>
      <c r="K337" s="4" t="s">
        <v>134</v>
      </c>
      <c r="L337">
        <v>40</v>
      </c>
      <c r="M337" s="4" t="s">
        <v>158</v>
      </c>
    </row>
    <row r="338" spans="1:13" x14ac:dyDescent="0.2">
      <c r="A338" s="4" t="s">
        <v>522</v>
      </c>
      <c r="B338">
        <v>337</v>
      </c>
      <c r="C338" s="4" t="s">
        <v>26</v>
      </c>
      <c r="D338" s="4" t="s">
        <v>32</v>
      </c>
      <c r="E338" s="4" t="s">
        <v>41</v>
      </c>
      <c r="F338" s="4" t="s">
        <v>67</v>
      </c>
      <c r="G338">
        <v>3</v>
      </c>
      <c r="H338">
        <v>15</v>
      </c>
      <c r="I338" s="4" t="s">
        <v>35</v>
      </c>
      <c r="J338" s="4" t="s">
        <v>122</v>
      </c>
      <c r="K338" s="4" t="s">
        <v>123</v>
      </c>
      <c r="L338">
        <v>222</v>
      </c>
      <c r="M338" s="4" t="s">
        <v>158</v>
      </c>
    </row>
    <row r="339" spans="1:13" x14ac:dyDescent="0.2">
      <c r="A339" s="4" t="s">
        <v>523</v>
      </c>
      <c r="B339">
        <v>338</v>
      </c>
      <c r="C339" s="4" t="s">
        <v>26</v>
      </c>
      <c r="D339" s="4" t="s">
        <v>32</v>
      </c>
      <c r="E339" s="4" t="s">
        <v>41</v>
      </c>
      <c r="F339" s="4" t="s">
        <v>67</v>
      </c>
      <c r="G339">
        <v>3</v>
      </c>
      <c r="H339">
        <v>15</v>
      </c>
      <c r="I339" s="4" t="s">
        <v>35</v>
      </c>
      <c r="J339" s="4" t="s">
        <v>125</v>
      </c>
      <c r="K339" s="4" t="s">
        <v>126</v>
      </c>
      <c r="L339">
        <v>268</v>
      </c>
      <c r="M339" s="4" t="s">
        <v>158</v>
      </c>
    </row>
    <row r="340" spans="1:13" x14ac:dyDescent="0.2">
      <c r="A340" s="4" t="s">
        <v>524</v>
      </c>
      <c r="B340">
        <v>339</v>
      </c>
      <c r="C340" s="4" t="s">
        <v>26</v>
      </c>
      <c r="D340" s="4" t="s">
        <v>32</v>
      </c>
      <c r="E340" s="4" t="s">
        <v>41</v>
      </c>
      <c r="F340" s="4" t="s">
        <v>67</v>
      </c>
      <c r="G340">
        <v>3</v>
      </c>
      <c r="H340">
        <v>15</v>
      </c>
      <c r="I340" s="4" t="s">
        <v>35</v>
      </c>
      <c r="J340" s="4" t="s">
        <v>127</v>
      </c>
      <c r="K340" s="4" t="s">
        <v>128</v>
      </c>
      <c r="L340">
        <v>457</v>
      </c>
      <c r="M340" s="4" t="s">
        <v>158</v>
      </c>
    </row>
    <row r="341" spans="1:13" x14ac:dyDescent="0.2">
      <c r="A341" s="4" t="s">
        <v>525</v>
      </c>
      <c r="B341">
        <v>340</v>
      </c>
      <c r="C341" s="4" t="s">
        <v>26</v>
      </c>
      <c r="D341" s="4" t="s">
        <v>32</v>
      </c>
      <c r="E341" s="4" t="s">
        <v>41</v>
      </c>
      <c r="F341" s="4" t="s">
        <v>67</v>
      </c>
      <c r="G341">
        <v>3</v>
      </c>
      <c r="H341">
        <v>15</v>
      </c>
      <c r="I341" s="4" t="s">
        <v>35</v>
      </c>
      <c r="J341" s="4" t="s">
        <v>129</v>
      </c>
      <c r="K341" s="4" t="s">
        <v>130</v>
      </c>
      <c r="L341">
        <v>212</v>
      </c>
      <c r="M341" s="4" t="s">
        <v>158</v>
      </c>
    </row>
    <row r="342" spans="1:13" x14ac:dyDescent="0.2">
      <c r="A342" s="4" t="s">
        <v>526</v>
      </c>
      <c r="B342">
        <v>341</v>
      </c>
      <c r="C342" s="4" t="s">
        <v>26</v>
      </c>
      <c r="D342" s="4" t="s">
        <v>32</v>
      </c>
      <c r="E342" s="4" t="s">
        <v>41</v>
      </c>
      <c r="F342" s="4" t="s">
        <v>67</v>
      </c>
      <c r="G342">
        <v>3</v>
      </c>
      <c r="H342">
        <v>15</v>
      </c>
      <c r="I342" s="4" t="s">
        <v>35</v>
      </c>
      <c r="J342" s="4" t="s">
        <v>131</v>
      </c>
      <c r="K342" s="4" t="s">
        <v>132</v>
      </c>
      <c r="L342">
        <v>244</v>
      </c>
      <c r="M342" s="4" t="s">
        <v>158</v>
      </c>
    </row>
    <row r="343" spans="1:13" x14ac:dyDescent="0.2">
      <c r="A343" s="4" t="s">
        <v>527</v>
      </c>
      <c r="B343">
        <v>342</v>
      </c>
      <c r="C343" s="4" t="s">
        <v>26</v>
      </c>
      <c r="D343" s="4" t="s">
        <v>32</v>
      </c>
      <c r="E343" s="4" t="s">
        <v>41</v>
      </c>
      <c r="F343" s="4" t="s">
        <v>67</v>
      </c>
      <c r="G343">
        <v>3</v>
      </c>
      <c r="H343">
        <v>15</v>
      </c>
      <c r="I343" s="4" t="s">
        <v>35</v>
      </c>
      <c r="J343" s="4" t="s">
        <v>133</v>
      </c>
      <c r="K343" s="4" t="s">
        <v>134</v>
      </c>
      <c r="L343">
        <v>237</v>
      </c>
      <c r="M343" s="4" t="s">
        <v>158</v>
      </c>
    </row>
    <row r="344" spans="1:13" x14ac:dyDescent="0.2">
      <c r="A344" s="4" t="s">
        <v>528</v>
      </c>
      <c r="B344">
        <v>343</v>
      </c>
      <c r="C344" s="4" t="s">
        <v>26</v>
      </c>
      <c r="D344" s="4" t="s">
        <v>32</v>
      </c>
      <c r="E344" s="4" t="s">
        <v>41</v>
      </c>
      <c r="F344" s="4" t="s">
        <v>67</v>
      </c>
      <c r="G344">
        <v>3</v>
      </c>
      <c r="H344">
        <v>15</v>
      </c>
      <c r="I344" s="4" t="s">
        <v>112</v>
      </c>
      <c r="J344" s="4" t="s">
        <v>122</v>
      </c>
      <c r="K344" s="4" t="s">
        <v>123</v>
      </c>
      <c r="L344">
        <v>202</v>
      </c>
      <c r="M344" s="4" t="s">
        <v>158</v>
      </c>
    </row>
    <row r="345" spans="1:13" x14ac:dyDescent="0.2">
      <c r="A345" s="4" t="s">
        <v>529</v>
      </c>
      <c r="B345">
        <v>344</v>
      </c>
      <c r="C345" s="4" t="s">
        <v>26</v>
      </c>
      <c r="D345" s="4" t="s">
        <v>32</v>
      </c>
      <c r="E345" s="4" t="s">
        <v>41</v>
      </c>
      <c r="F345" s="4" t="s">
        <v>67</v>
      </c>
      <c r="G345">
        <v>3</v>
      </c>
      <c r="H345">
        <v>15</v>
      </c>
      <c r="I345" s="4" t="s">
        <v>112</v>
      </c>
      <c r="J345" s="4" t="s">
        <v>125</v>
      </c>
      <c r="K345" s="4" t="s">
        <v>126</v>
      </c>
      <c r="L345">
        <v>21</v>
      </c>
      <c r="M345" s="4" t="s">
        <v>158</v>
      </c>
    </row>
    <row r="346" spans="1:13" x14ac:dyDescent="0.2">
      <c r="A346" s="4" t="s">
        <v>530</v>
      </c>
      <c r="B346">
        <v>345</v>
      </c>
      <c r="C346" s="4" t="s">
        <v>26</v>
      </c>
      <c r="D346" s="4" t="s">
        <v>32</v>
      </c>
      <c r="E346" s="4" t="s">
        <v>41</v>
      </c>
      <c r="F346" s="4" t="s">
        <v>67</v>
      </c>
      <c r="G346">
        <v>3</v>
      </c>
      <c r="H346">
        <v>15</v>
      </c>
      <c r="I346" s="4" t="s">
        <v>112</v>
      </c>
      <c r="J346" s="4" t="s">
        <v>127</v>
      </c>
      <c r="K346" s="4" t="s">
        <v>128</v>
      </c>
      <c r="L346">
        <v>69</v>
      </c>
      <c r="M346" s="4" t="s">
        <v>158</v>
      </c>
    </row>
    <row r="347" spans="1:13" x14ac:dyDescent="0.2">
      <c r="A347" s="4" t="s">
        <v>531</v>
      </c>
      <c r="B347">
        <v>346</v>
      </c>
      <c r="C347" s="4" t="s">
        <v>26</v>
      </c>
      <c r="D347" s="4" t="s">
        <v>32</v>
      </c>
      <c r="E347" s="4" t="s">
        <v>41</v>
      </c>
      <c r="F347" s="4" t="s">
        <v>67</v>
      </c>
      <c r="G347">
        <v>3</v>
      </c>
      <c r="H347">
        <v>15</v>
      </c>
      <c r="I347" s="4" t="s">
        <v>112</v>
      </c>
      <c r="J347" s="4" t="s">
        <v>129</v>
      </c>
      <c r="K347" s="4" t="s">
        <v>130</v>
      </c>
      <c r="L347">
        <v>40</v>
      </c>
      <c r="M347" s="4" t="s">
        <v>158</v>
      </c>
    </row>
    <row r="348" spans="1:13" x14ac:dyDescent="0.2">
      <c r="A348" s="4" t="s">
        <v>532</v>
      </c>
      <c r="B348">
        <v>347</v>
      </c>
      <c r="C348" s="4" t="s">
        <v>26</v>
      </c>
      <c r="D348" s="4" t="s">
        <v>32</v>
      </c>
      <c r="E348" s="4" t="s">
        <v>41</v>
      </c>
      <c r="F348" s="4" t="s">
        <v>67</v>
      </c>
      <c r="G348">
        <v>3</v>
      </c>
      <c r="H348">
        <v>15</v>
      </c>
      <c r="I348" s="4" t="s">
        <v>112</v>
      </c>
      <c r="J348" s="4" t="s">
        <v>131</v>
      </c>
      <c r="K348" s="4" t="s">
        <v>132</v>
      </c>
      <c r="L348">
        <v>23</v>
      </c>
      <c r="M348" s="4" t="s">
        <v>158</v>
      </c>
    </row>
    <row r="349" spans="1:13" x14ac:dyDescent="0.2">
      <c r="A349" s="4" t="s">
        <v>533</v>
      </c>
      <c r="B349">
        <v>348</v>
      </c>
      <c r="C349" s="4" t="s">
        <v>26</v>
      </c>
      <c r="D349" s="4" t="s">
        <v>32</v>
      </c>
      <c r="E349" s="4" t="s">
        <v>41</v>
      </c>
      <c r="F349" s="4" t="s">
        <v>67</v>
      </c>
      <c r="G349">
        <v>3</v>
      </c>
      <c r="H349">
        <v>15</v>
      </c>
      <c r="I349" s="4" t="s">
        <v>112</v>
      </c>
      <c r="J349" s="4" t="s">
        <v>133</v>
      </c>
      <c r="K349" s="4" t="s">
        <v>134</v>
      </c>
      <c r="L349">
        <v>70</v>
      </c>
      <c r="M349" s="4" t="s">
        <v>158</v>
      </c>
    </row>
    <row r="350" spans="1:13" x14ac:dyDescent="0.2">
      <c r="A350" s="4" t="s">
        <v>534</v>
      </c>
      <c r="B350">
        <v>349</v>
      </c>
      <c r="C350" s="4" t="s">
        <v>26</v>
      </c>
      <c r="D350" s="4" t="s">
        <v>32</v>
      </c>
      <c r="E350" s="4" t="s">
        <v>41</v>
      </c>
      <c r="F350" s="4" t="s">
        <v>67</v>
      </c>
      <c r="G350">
        <v>3</v>
      </c>
      <c r="H350">
        <v>15</v>
      </c>
      <c r="I350" s="4" t="s">
        <v>114</v>
      </c>
      <c r="J350" s="4" t="s">
        <v>122</v>
      </c>
      <c r="K350" s="4" t="s">
        <v>123</v>
      </c>
      <c r="L350">
        <v>100</v>
      </c>
      <c r="M350" s="4" t="s">
        <v>158</v>
      </c>
    </row>
    <row r="351" spans="1:13" x14ac:dyDescent="0.2">
      <c r="A351" s="4" t="s">
        <v>535</v>
      </c>
      <c r="B351">
        <v>350</v>
      </c>
      <c r="C351" s="4" t="s">
        <v>26</v>
      </c>
      <c r="D351" s="4" t="s">
        <v>32</v>
      </c>
      <c r="E351" s="4" t="s">
        <v>41</v>
      </c>
      <c r="F351" s="4" t="s">
        <v>67</v>
      </c>
      <c r="G351">
        <v>3</v>
      </c>
      <c r="H351">
        <v>15</v>
      </c>
      <c r="I351" s="4" t="s">
        <v>114</v>
      </c>
      <c r="J351" s="4" t="s">
        <v>125</v>
      </c>
      <c r="K351" s="4" t="s">
        <v>126</v>
      </c>
      <c r="L351">
        <v>40</v>
      </c>
      <c r="M351" s="4" t="s">
        <v>158</v>
      </c>
    </row>
    <row r="352" spans="1:13" x14ac:dyDescent="0.2">
      <c r="A352" s="4" t="s">
        <v>536</v>
      </c>
      <c r="B352">
        <v>351</v>
      </c>
      <c r="C352" s="4" t="s">
        <v>26</v>
      </c>
      <c r="D352" s="4" t="s">
        <v>32</v>
      </c>
      <c r="E352" s="4" t="s">
        <v>41</v>
      </c>
      <c r="F352" s="4" t="s">
        <v>67</v>
      </c>
      <c r="G352">
        <v>3</v>
      </c>
      <c r="H352">
        <v>15</v>
      </c>
      <c r="I352" s="4" t="s">
        <v>114</v>
      </c>
      <c r="J352" s="4" t="s">
        <v>127</v>
      </c>
      <c r="K352" s="4" t="s">
        <v>128</v>
      </c>
      <c r="L352">
        <v>88</v>
      </c>
      <c r="M352" s="4" t="s">
        <v>158</v>
      </c>
    </row>
    <row r="353" spans="1:13" x14ac:dyDescent="0.2">
      <c r="A353" s="4" t="s">
        <v>537</v>
      </c>
      <c r="B353">
        <v>352</v>
      </c>
      <c r="C353" s="4" t="s">
        <v>26</v>
      </c>
      <c r="D353" s="4" t="s">
        <v>32</v>
      </c>
      <c r="E353" s="4" t="s">
        <v>41</v>
      </c>
      <c r="F353" s="4" t="s">
        <v>67</v>
      </c>
      <c r="G353">
        <v>3</v>
      </c>
      <c r="H353">
        <v>15</v>
      </c>
      <c r="I353" s="4" t="s">
        <v>114</v>
      </c>
      <c r="J353" s="4" t="s">
        <v>129</v>
      </c>
      <c r="K353" s="4" t="s">
        <v>130</v>
      </c>
      <c r="L353">
        <v>40</v>
      </c>
      <c r="M353" s="4" t="s">
        <v>158</v>
      </c>
    </row>
    <row r="354" spans="1:13" x14ac:dyDescent="0.2">
      <c r="A354" s="4" t="s">
        <v>538</v>
      </c>
      <c r="B354">
        <v>353</v>
      </c>
      <c r="C354" s="4" t="s">
        <v>26</v>
      </c>
      <c r="D354" s="4" t="s">
        <v>32</v>
      </c>
      <c r="E354" s="4" t="s">
        <v>41</v>
      </c>
      <c r="F354" s="4" t="s">
        <v>67</v>
      </c>
      <c r="G354">
        <v>3</v>
      </c>
      <c r="H354">
        <v>15</v>
      </c>
      <c r="I354" s="4" t="s">
        <v>114</v>
      </c>
      <c r="J354" s="4" t="s">
        <v>131</v>
      </c>
      <c r="K354" s="4" t="s">
        <v>132</v>
      </c>
      <c r="L354">
        <v>36</v>
      </c>
      <c r="M354" s="4" t="s">
        <v>158</v>
      </c>
    </row>
    <row r="355" spans="1:13" x14ac:dyDescent="0.2">
      <c r="A355" s="4" t="s">
        <v>539</v>
      </c>
      <c r="B355">
        <v>354</v>
      </c>
      <c r="C355" s="4" t="s">
        <v>26</v>
      </c>
      <c r="D355" s="4" t="s">
        <v>32</v>
      </c>
      <c r="E355" s="4" t="s">
        <v>41</v>
      </c>
      <c r="F355" s="4" t="s">
        <v>67</v>
      </c>
      <c r="G355">
        <v>3</v>
      </c>
      <c r="H355">
        <v>15</v>
      </c>
      <c r="I355" s="4" t="s">
        <v>114</v>
      </c>
      <c r="J355" s="4" t="s">
        <v>133</v>
      </c>
      <c r="K355" s="4" t="s">
        <v>134</v>
      </c>
      <c r="L355">
        <v>40</v>
      </c>
      <c r="M355" s="4" t="s">
        <v>158</v>
      </c>
    </row>
    <row r="356" spans="1:13" x14ac:dyDescent="0.2">
      <c r="A356" s="4" t="s">
        <v>540</v>
      </c>
      <c r="B356">
        <v>355</v>
      </c>
      <c r="C356" s="4" t="s">
        <v>26</v>
      </c>
      <c r="D356" s="4" t="s">
        <v>32</v>
      </c>
      <c r="E356" s="4" t="s">
        <v>41</v>
      </c>
      <c r="F356" s="4" t="s">
        <v>67</v>
      </c>
      <c r="G356">
        <v>3</v>
      </c>
      <c r="H356">
        <v>15</v>
      </c>
      <c r="I356" s="4" t="s">
        <v>116</v>
      </c>
      <c r="J356" s="4" t="s">
        <v>122</v>
      </c>
      <c r="K356" s="4" t="s">
        <v>123</v>
      </c>
      <c r="L356">
        <v>50</v>
      </c>
      <c r="M356" s="4" t="s">
        <v>158</v>
      </c>
    </row>
    <row r="357" spans="1:13" x14ac:dyDescent="0.2">
      <c r="A357" s="4" t="s">
        <v>541</v>
      </c>
      <c r="B357">
        <v>356</v>
      </c>
      <c r="C357" s="4" t="s">
        <v>26</v>
      </c>
      <c r="D357" s="4" t="s">
        <v>32</v>
      </c>
      <c r="E357" s="4" t="s">
        <v>41</v>
      </c>
      <c r="F357" s="4" t="s">
        <v>67</v>
      </c>
      <c r="G357">
        <v>3</v>
      </c>
      <c r="H357">
        <v>15</v>
      </c>
      <c r="I357" s="4" t="s">
        <v>116</v>
      </c>
      <c r="J357" s="4" t="s">
        <v>125</v>
      </c>
      <c r="K357" s="4" t="s">
        <v>126</v>
      </c>
      <c r="L357">
        <v>40</v>
      </c>
      <c r="M357" s="4" t="s">
        <v>158</v>
      </c>
    </row>
    <row r="358" spans="1:13" x14ac:dyDescent="0.2">
      <c r="A358" s="4" t="s">
        <v>542</v>
      </c>
      <c r="B358">
        <v>357</v>
      </c>
      <c r="C358" s="4" t="s">
        <v>26</v>
      </c>
      <c r="D358" s="4" t="s">
        <v>32</v>
      </c>
      <c r="E358" s="4" t="s">
        <v>41</v>
      </c>
      <c r="F358" s="4" t="s">
        <v>67</v>
      </c>
      <c r="G358">
        <v>3</v>
      </c>
      <c r="H358">
        <v>15</v>
      </c>
      <c r="I358" s="4" t="s">
        <v>116</v>
      </c>
      <c r="J358" s="4" t="s">
        <v>127</v>
      </c>
      <c r="K358" s="4" t="s">
        <v>128</v>
      </c>
      <c r="L358">
        <v>85</v>
      </c>
      <c r="M358" s="4" t="s">
        <v>158</v>
      </c>
    </row>
    <row r="359" spans="1:13" x14ac:dyDescent="0.2">
      <c r="A359" s="4" t="s">
        <v>543</v>
      </c>
      <c r="B359">
        <v>358</v>
      </c>
      <c r="C359" s="4" t="s">
        <v>26</v>
      </c>
      <c r="D359" s="4" t="s">
        <v>32</v>
      </c>
      <c r="E359" s="4" t="s">
        <v>41</v>
      </c>
      <c r="F359" s="4" t="s">
        <v>67</v>
      </c>
      <c r="G359">
        <v>3</v>
      </c>
      <c r="H359">
        <v>15</v>
      </c>
      <c r="I359" s="4" t="s">
        <v>116</v>
      </c>
      <c r="J359" s="4" t="s">
        <v>129</v>
      </c>
      <c r="K359" s="4" t="s">
        <v>130</v>
      </c>
      <c r="L359">
        <v>66</v>
      </c>
      <c r="M359" s="4" t="s">
        <v>158</v>
      </c>
    </row>
    <row r="360" spans="1:13" x14ac:dyDescent="0.2">
      <c r="A360" s="4" t="s">
        <v>544</v>
      </c>
      <c r="B360">
        <v>359</v>
      </c>
      <c r="C360" s="4" t="s">
        <v>26</v>
      </c>
      <c r="D360" s="4" t="s">
        <v>32</v>
      </c>
      <c r="E360" s="4" t="s">
        <v>41</v>
      </c>
      <c r="F360" s="4" t="s">
        <v>67</v>
      </c>
      <c r="G360">
        <v>3</v>
      </c>
      <c r="H360">
        <v>15</v>
      </c>
      <c r="I360" s="4" t="s">
        <v>116</v>
      </c>
      <c r="J360" s="4" t="s">
        <v>131</v>
      </c>
      <c r="K360" s="4" t="s">
        <v>132</v>
      </c>
      <c r="L360">
        <v>40</v>
      </c>
      <c r="M360" s="4" t="s">
        <v>158</v>
      </c>
    </row>
    <row r="361" spans="1:13" x14ac:dyDescent="0.2">
      <c r="A361" s="4" t="s">
        <v>545</v>
      </c>
      <c r="B361">
        <v>360</v>
      </c>
      <c r="C361" s="4" t="s">
        <v>26</v>
      </c>
      <c r="D361" s="4" t="s">
        <v>32</v>
      </c>
      <c r="E361" s="4" t="s">
        <v>41</v>
      </c>
      <c r="F361" s="4" t="s">
        <v>67</v>
      </c>
      <c r="G361">
        <v>3</v>
      </c>
      <c r="H361">
        <v>15</v>
      </c>
      <c r="I361" s="4" t="s">
        <v>116</v>
      </c>
      <c r="J361" s="4" t="s">
        <v>133</v>
      </c>
      <c r="K361" s="4" t="s">
        <v>134</v>
      </c>
      <c r="L361">
        <v>40</v>
      </c>
      <c r="M361" s="4" t="s">
        <v>158</v>
      </c>
    </row>
    <row r="362" spans="1:13" x14ac:dyDescent="0.2">
      <c r="A362" s="4" t="s">
        <v>546</v>
      </c>
      <c r="B362">
        <v>361</v>
      </c>
      <c r="C362" s="4" t="s">
        <v>26</v>
      </c>
      <c r="D362" s="4" t="s">
        <v>32</v>
      </c>
      <c r="E362" s="4" t="s">
        <v>44</v>
      </c>
      <c r="F362" s="4" t="s">
        <v>69</v>
      </c>
      <c r="G362">
        <v>4</v>
      </c>
      <c r="H362">
        <v>16</v>
      </c>
      <c r="I362" s="4" t="s">
        <v>35</v>
      </c>
      <c r="J362" s="4" t="s">
        <v>122</v>
      </c>
      <c r="K362" s="4" t="s">
        <v>123</v>
      </c>
      <c r="L362">
        <v>204</v>
      </c>
      <c r="M362" s="4" t="s">
        <v>158</v>
      </c>
    </row>
    <row r="363" spans="1:13" x14ac:dyDescent="0.2">
      <c r="A363" s="4" t="s">
        <v>547</v>
      </c>
      <c r="B363">
        <v>362</v>
      </c>
      <c r="C363" s="4" t="s">
        <v>26</v>
      </c>
      <c r="D363" s="4" t="s">
        <v>32</v>
      </c>
      <c r="E363" s="4" t="s">
        <v>44</v>
      </c>
      <c r="F363" s="4" t="s">
        <v>69</v>
      </c>
      <c r="G363">
        <v>4</v>
      </c>
      <c r="H363">
        <v>16</v>
      </c>
      <c r="I363" s="4" t="s">
        <v>35</v>
      </c>
      <c r="J363" s="4" t="s">
        <v>125</v>
      </c>
      <c r="K363" s="4" t="s">
        <v>126</v>
      </c>
      <c r="L363">
        <v>239</v>
      </c>
      <c r="M363" s="4" t="s">
        <v>158</v>
      </c>
    </row>
    <row r="364" spans="1:13" x14ac:dyDescent="0.2">
      <c r="A364" s="4" t="s">
        <v>548</v>
      </c>
      <c r="B364">
        <v>363</v>
      </c>
      <c r="C364" s="4" t="s">
        <v>26</v>
      </c>
      <c r="D364" s="4" t="s">
        <v>32</v>
      </c>
      <c r="E364" s="4" t="s">
        <v>44</v>
      </c>
      <c r="F364" s="4" t="s">
        <v>69</v>
      </c>
      <c r="G364">
        <v>4</v>
      </c>
      <c r="H364">
        <v>16</v>
      </c>
      <c r="I364" s="4" t="s">
        <v>35</v>
      </c>
      <c r="J364" s="4" t="s">
        <v>127</v>
      </c>
      <c r="K364" s="4" t="s">
        <v>128</v>
      </c>
      <c r="L364">
        <v>344</v>
      </c>
      <c r="M364" s="4" t="s">
        <v>158</v>
      </c>
    </row>
    <row r="365" spans="1:13" x14ac:dyDescent="0.2">
      <c r="A365" s="4" t="s">
        <v>549</v>
      </c>
      <c r="B365">
        <v>364</v>
      </c>
      <c r="C365" s="4" t="s">
        <v>26</v>
      </c>
      <c r="D365" s="4" t="s">
        <v>32</v>
      </c>
      <c r="E365" s="4" t="s">
        <v>44</v>
      </c>
      <c r="F365" s="4" t="s">
        <v>69</v>
      </c>
      <c r="G365">
        <v>4</v>
      </c>
      <c r="H365">
        <v>16</v>
      </c>
      <c r="I365" s="4" t="s">
        <v>35</v>
      </c>
      <c r="J365" s="4" t="s">
        <v>129</v>
      </c>
      <c r="K365" s="4" t="s">
        <v>130</v>
      </c>
      <c r="L365">
        <v>178</v>
      </c>
      <c r="M365" s="4" t="s">
        <v>158</v>
      </c>
    </row>
    <row r="366" spans="1:13" x14ac:dyDescent="0.2">
      <c r="A366" s="4" t="s">
        <v>550</v>
      </c>
      <c r="B366">
        <v>365</v>
      </c>
      <c r="C366" s="4" t="s">
        <v>26</v>
      </c>
      <c r="D366" s="4" t="s">
        <v>32</v>
      </c>
      <c r="E366" s="4" t="s">
        <v>44</v>
      </c>
      <c r="F366" s="4" t="s">
        <v>69</v>
      </c>
      <c r="G366">
        <v>4</v>
      </c>
      <c r="H366">
        <v>16</v>
      </c>
      <c r="I366" s="4" t="s">
        <v>35</v>
      </c>
      <c r="J366" s="4" t="s">
        <v>131</v>
      </c>
      <c r="K366" s="4" t="s">
        <v>132</v>
      </c>
      <c r="L366">
        <v>173</v>
      </c>
      <c r="M366" s="4" t="s">
        <v>158</v>
      </c>
    </row>
    <row r="367" spans="1:13" x14ac:dyDescent="0.2">
      <c r="A367" s="4" t="s">
        <v>551</v>
      </c>
      <c r="B367">
        <v>366</v>
      </c>
      <c r="C367" s="4" t="s">
        <v>26</v>
      </c>
      <c r="D367" s="4" t="s">
        <v>32</v>
      </c>
      <c r="E367" s="4" t="s">
        <v>44</v>
      </c>
      <c r="F367" s="4" t="s">
        <v>69</v>
      </c>
      <c r="G367">
        <v>4</v>
      </c>
      <c r="H367">
        <v>16</v>
      </c>
      <c r="I367" s="4" t="s">
        <v>35</v>
      </c>
      <c r="J367" s="4" t="s">
        <v>133</v>
      </c>
      <c r="K367" s="4" t="s">
        <v>134</v>
      </c>
      <c r="L367">
        <v>237</v>
      </c>
      <c r="M367" s="4" t="s">
        <v>158</v>
      </c>
    </row>
    <row r="368" spans="1:13" x14ac:dyDescent="0.2">
      <c r="A368" s="4" t="s">
        <v>552</v>
      </c>
      <c r="B368">
        <v>367</v>
      </c>
      <c r="C368" s="4" t="s">
        <v>26</v>
      </c>
      <c r="D368" s="4" t="s">
        <v>32</v>
      </c>
      <c r="E368" s="4" t="s">
        <v>44</v>
      </c>
      <c r="F368" s="4" t="s">
        <v>69</v>
      </c>
      <c r="G368">
        <v>4</v>
      </c>
      <c r="H368">
        <v>16</v>
      </c>
      <c r="I368" s="4" t="s">
        <v>112</v>
      </c>
      <c r="J368" s="4" t="s">
        <v>122</v>
      </c>
      <c r="K368" s="4" t="s">
        <v>123</v>
      </c>
      <c r="L368">
        <v>156</v>
      </c>
      <c r="M368" s="4" t="s">
        <v>158</v>
      </c>
    </row>
    <row r="369" spans="1:13" x14ac:dyDescent="0.2">
      <c r="A369" s="4" t="s">
        <v>553</v>
      </c>
      <c r="B369">
        <v>368</v>
      </c>
      <c r="C369" s="4" t="s">
        <v>26</v>
      </c>
      <c r="D369" s="4" t="s">
        <v>32</v>
      </c>
      <c r="E369" s="4" t="s">
        <v>44</v>
      </c>
      <c r="F369" s="4" t="s">
        <v>69</v>
      </c>
      <c r="G369">
        <v>4</v>
      </c>
      <c r="H369">
        <v>16</v>
      </c>
      <c r="I369" s="4" t="s">
        <v>112</v>
      </c>
      <c r="J369" s="4" t="s">
        <v>125</v>
      </c>
      <c r="K369" s="4" t="s">
        <v>126</v>
      </c>
      <c r="L369">
        <v>50</v>
      </c>
      <c r="M369" s="4" t="s">
        <v>158</v>
      </c>
    </row>
    <row r="370" spans="1:13" x14ac:dyDescent="0.2">
      <c r="A370" s="4" t="s">
        <v>554</v>
      </c>
      <c r="B370">
        <v>369</v>
      </c>
      <c r="C370" s="4" t="s">
        <v>26</v>
      </c>
      <c r="D370" s="4" t="s">
        <v>32</v>
      </c>
      <c r="E370" s="4" t="s">
        <v>44</v>
      </c>
      <c r="F370" s="4" t="s">
        <v>69</v>
      </c>
      <c r="G370">
        <v>4</v>
      </c>
      <c r="H370">
        <v>16</v>
      </c>
      <c r="I370" s="4" t="s">
        <v>112</v>
      </c>
      <c r="J370" s="4" t="s">
        <v>127</v>
      </c>
      <c r="K370" s="4" t="s">
        <v>128</v>
      </c>
      <c r="L370">
        <v>60</v>
      </c>
      <c r="M370" s="4" t="s">
        <v>158</v>
      </c>
    </row>
    <row r="371" spans="1:13" x14ac:dyDescent="0.2">
      <c r="A371" s="4" t="s">
        <v>555</v>
      </c>
      <c r="B371">
        <v>370</v>
      </c>
      <c r="C371" s="4" t="s">
        <v>26</v>
      </c>
      <c r="D371" s="4" t="s">
        <v>32</v>
      </c>
      <c r="E371" s="4" t="s">
        <v>44</v>
      </c>
      <c r="F371" s="4" t="s">
        <v>69</v>
      </c>
      <c r="G371">
        <v>4</v>
      </c>
      <c r="H371">
        <v>16</v>
      </c>
      <c r="I371" s="4" t="s">
        <v>112</v>
      </c>
      <c r="J371" s="4" t="s">
        <v>129</v>
      </c>
      <c r="K371" s="4" t="s">
        <v>130</v>
      </c>
      <c r="L371">
        <v>19</v>
      </c>
      <c r="M371" s="4" t="s">
        <v>158</v>
      </c>
    </row>
    <row r="372" spans="1:13" x14ac:dyDescent="0.2">
      <c r="A372" s="4" t="s">
        <v>556</v>
      </c>
      <c r="B372">
        <v>371</v>
      </c>
      <c r="C372" s="4" t="s">
        <v>26</v>
      </c>
      <c r="D372" s="4" t="s">
        <v>32</v>
      </c>
      <c r="E372" s="4" t="s">
        <v>44</v>
      </c>
      <c r="F372" s="4" t="s">
        <v>69</v>
      </c>
      <c r="G372">
        <v>4</v>
      </c>
      <c r="H372">
        <v>16</v>
      </c>
      <c r="I372" s="4" t="s">
        <v>112</v>
      </c>
      <c r="J372" s="4" t="s">
        <v>131</v>
      </c>
      <c r="K372" s="4" t="s">
        <v>132</v>
      </c>
      <c r="L372">
        <v>60</v>
      </c>
      <c r="M372" s="4" t="s">
        <v>158</v>
      </c>
    </row>
    <row r="373" spans="1:13" x14ac:dyDescent="0.2">
      <c r="A373" s="4" t="s">
        <v>557</v>
      </c>
      <c r="B373">
        <v>372</v>
      </c>
      <c r="C373" s="4" t="s">
        <v>26</v>
      </c>
      <c r="D373" s="4" t="s">
        <v>32</v>
      </c>
      <c r="E373" s="4" t="s">
        <v>44</v>
      </c>
      <c r="F373" s="4" t="s">
        <v>69</v>
      </c>
      <c r="G373">
        <v>4</v>
      </c>
      <c r="H373">
        <v>16</v>
      </c>
      <c r="I373" s="4" t="s">
        <v>112</v>
      </c>
      <c r="J373" s="4" t="s">
        <v>133</v>
      </c>
      <c r="K373" s="4" t="s">
        <v>134</v>
      </c>
      <c r="L373">
        <v>70</v>
      </c>
      <c r="M373" s="4" t="s">
        <v>158</v>
      </c>
    </row>
    <row r="374" spans="1:13" x14ac:dyDescent="0.2">
      <c r="A374" s="4" t="s">
        <v>558</v>
      </c>
      <c r="B374">
        <v>373</v>
      </c>
      <c r="C374" s="4" t="s">
        <v>26</v>
      </c>
      <c r="D374" s="4" t="s">
        <v>32</v>
      </c>
      <c r="E374" s="4" t="s">
        <v>44</v>
      </c>
      <c r="F374" s="4" t="s">
        <v>69</v>
      </c>
      <c r="G374">
        <v>4</v>
      </c>
      <c r="H374">
        <v>16</v>
      </c>
      <c r="I374" s="4" t="s">
        <v>114</v>
      </c>
      <c r="J374" s="4" t="s">
        <v>122</v>
      </c>
      <c r="K374" s="4" t="s">
        <v>123</v>
      </c>
      <c r="L374">
        <v>100</v>
      </c>
      <c r="M374" s="4" t="s">
        <v>158</v>
      </c>
    </row>
    <row r="375" spans="1:13" x14ac:dyDescent="0.2">
      <c r="A375" s="4" t="s">
        <v>559</v>
      </c>
      <c r="B375">
        <v>374</v>
      </c>
      <c r="C375" s="4" t="s">
        <v>26</v>
      </c>
      <c r="D375" s="4" t="s">
        <v>32</v>
      </c>
      <c r="E375" s="4" t="s">
        <v>44</v>
      </c>
      <c r="F375" s="4" t="s">
        <v>69</v>
      </c>
      <c r="G375">
        <v>4</v>
      </c>
      <c r="H375">
        <v>16</v>
      </c>
      <c r="I375" s="4" t="s">
        <v>114</v>
      </c>
      <c r="J375" s="4" t="s">
        <v>125</v>
      </c>
      <c r="K375" s="4" t="s">
        <v>126</v>
      </c>
      <c r="L375">
        <v>40</v>
      </c>
      <c r="M375" s="4" t="s">
        <v>158</v>
      </c>
    </row>
    <row r="376" spans="1:13" x14ac:dyDescent="0.2">
      <c r="A376" s="4" t="s">
        <v>560</v>
      </c>
      <c r="B376">
        <v>375</v>
      </c>
      <c r="C376" s="4" t="s">
        <v>26</v>
      </c>
      <c r="D376" s="4" t="s">
        <v>32</v>
      </c>
      <c r="E376" s="4" t="s">
        <v>44</v>
      </c>
      <c r="F376" s="4" t="s">
        <v>69</v>
      </c>
      <c r="G376">
        <v>4</v>
      </c>
      <c r="H376">
        <v>16</v>
      </c>
      <c r="I376" s="4" t="s">
        <v>114</v>
      </c>
      <c r="J376" s="4" t="s">
        <v>127</v>
      </c>
      <c r="K376" s="4" t="s">
        <v>128</v>
      </c>
      <c r="L376">
        <v>97</v>
      </c>
      <c r="M376" s="4" t="s">
        <v>158</v>
      </c>
    </row>
    <row r="377" spans="1:13" x14ac:dyDescent="0.2">
      <c r="A377" s="4" t="s">
        <v>561</v>
      </c>
      <c r="B377">
        <v>376</v>
      </c>
      <c r="C377" s="4" t="s">
        <v>26</v>
      </c>
      <c r="D377" s="4" t="s">
        <v>32</v>
      </c>
      <c r="E377" s="4" t="s">
        <v>44</v>
      </c>
      <c r="F377" s="4" t="s">
        <v>69</v>
      </c>
      <c r="G377">
        <v>4</v>
      </c>
      <c r="H377">
        <v>16</v>
      </c>
      <c r="I377" s="4" t="s">
        <v>114</v>
      </c>
      <c r="J377" s="4" t="s">
        <v>129</v>
      </c>
      <c r="K377" s="4" t="s">
        <v>130</v>
      </c>
      <c r="L377">
        <v>17</v>
      </c>
      <c r="M377" s="4" t="s">
        <v>158</v>
      </c>
    </row>
    <row r="378" spans="1:13" x14ac:dyDescent="0.2">
      <c r="A378" s="4" t="s">
        <v>562</v>
      </c>
      <c r="B378">
        <v>377</v>
      </c>
      <c r="C378" s="4" t="s">
        <v>26</v>
      </c>
      <c r="D378" s="4" t="s">
        <v>32</v>
      </c>
      <c r="E378" s="4" t="s">
        <v>44</v>
      </c>
      <c r="F378" s="4" t="s">
        <v>69</v>
      </c>
      <c r="G378">
        <v>4</v>
      </c>
      <c r="H378">
        <v>16</v>
      </c>
      <c r="I378" s="4" t="s">
        <v>114</v>
      </c>
      <c r="J378" s="4" t="s">
        <v>131</v>
      </c>
      <c r="K378" s="4" t="s">
        <v>132</v>
      </c>
      <c r="L378">
        <v>34</v>
      </c>
      <c r="M378" s="4" t="s">
        <v>158</v>
      </c>
    </row>
    <row r="379" spans="1:13" x14ac:dyDescent="0.2">
      <c r="A379" s="4" t="s">
        <v>563</v>
      </c>
      <c r="B379">
        <v>378</v>
      </c>
      <c r="C379" s="4" t="s">
        <v>26</v>
      </c>
      <c r="D379" s="4" t="s">
        <v>32</v>
      </c>
      <c r="E379" s="4" t="s">
        <v>44</v>
      </c>
      <c r="F379" s="4" t="s">
        <v>69</v>
      </c>
      <c r="G379">
        <v>4</v>
      </c>
      <c r="H379">
        <v>16</v>
      </c>
      <c r="I379" s="4" t="s">
        <v>114</v>
      </c>
      <c r="J379" s="4" t="s">
        <v>133</v>
      </c>
      <c r="K379" s="4" t="s">
        <v>134</v>
      </c>
      <c r="L379">
        <v>40</v>
      </c>
      <c r="M379" s="4" t="s">
        <v>158</v>
      </c>
    </row>
    <row r="380" spans="1:13" x14ac:dyDescent="0.2">
      <c r="A380" s="4" t="s">
        <v>564</v>
      </c>
      <c r="B380">
        <v>379</v>
      </c>
      <c r="C380" s="4" t="s">
        <v>26</v>
      </c>
      <c r="D380" s="4" t="s">
        <v>32</v>
      </c>
      <c r="E380" s="4" t="s">
        <v>44</v>
      </c>
      <c r="F380" s="4" t="s">
        <v>69</v>
      </c>
      <c r="G380">
        <v>4</v>
      </c>
      <c r="H380">
        <v>16</v>
      </c>
      <c r="I380" s="4" t="s">
        <v>116</v>
      </c>
      <c r="J380" s="4" t="s">
        <v>122</v>
      </c>
      <c r="K380" s="4" t="s">
        <v>123</v>
      </c>
      <c r="L380">
        <v>50</v>
      </c>
      <c r="M380" s="4" t="s">
        <v>158</v>
      </c>
    </row>
    <row r="381" spans="1:13" x14ac:dyDescent="0.2">
      <c r="A381" s="4" t="s">
        <v>565</v>
      </c>
      <c r="B381">
        <v>380</v>
      </c>
      <c r="C381" s="4" t="s">
        <v>26</v>
      </c>
      <c r="D381" s="4" t="s">
        <v>32</v>
      </c>
      <c r="E381" s="4" t="s">
        <v>44</v>
      </c>
      <c r="F381" s="4" t="s">
        <v>69</v>
      </c>
      <c r="G381">
        <v>4</v>
      </c>
      <c r="H381">
        <v>16</v>
      </c>
      <c r="I381" s="4" t="s">
        <v>116</v>
      </c>
      <c r="J381" s="4" t="s">
        <v>125</v>
      </c>
      <c r="K381" s="4" t="s">
        <v>126</v>
      </c>
      <c r="L381">
        <v>40</v>
      </c>
      <c r="M381" s="4" t="s">
        <v>158</v>
      </c>
    </row>
    <row r="382" spans="1:13" x14ac:dyDescent="0.2">
      <c r="A382" s="4" t="s">
        <v>566</v>
      </c>
      <c r="B382">
        <v>381</v>
      </c>
      <c r="C382" s="4" t="s">
        <v>26</v>
      </c>
      <c r="D382" s="4" t="s">
        <v>32</v>
      </c>
      <c r="E382" s="4" t="s">
        <v>44</v>
      </c>
      <c r="F382" s="4" t="s">
        <v>69</v>
      </c>
      <c r="G382">
        <v>4</v>
      </c>
      <c r="H382">
        <v>16</v>
      </c>
      <c r="I382" s="4" t="s">
        <v>116</v>
      </c>
      <c r="J382" s="4" t="s">
        <v>127</v>
      </c>
      <c r="K382" s="4" t="s">
        <v>128</v>
      </c>
      <c r="L382">
        <v>85</v>
      </c>
      <c r="M382" s="4" t="s">
        <v>158</v>
      </c>
    </row>
    <row r="383" spans="1:13" x14ac:dyDescent="0.2">
      <c r="A383" s="4" t="s">
        <v>567</v>
      </c>
      <c r="B383">
        <v>382</v>
      </c>
      <c r="C383" s="4" t="s">
        <v>26</v>
      </c>
      <c r="D383" s="4" t="s">
        <v>32</v>
      </c>
      <c r="E383" s="4" t="s">
        <v>44</v>
      </c>
      <c r="F383" s="4" t="s">
        <v>69</v>
      </c>
      <c r="G383">
        <v>4</v>
      </c>
      <c r="H383">
        <v>16</v>
      </c>
      <c r="I383" s="4" t="s">
        <v>116</v>
      </c>
      <c r="J383" s="4" t="s">
        <v>129</v>
      </c>
      <c r="K383" s="4" t="s">
        <v>130</v>
      </c>
      <c r="L383">
        <v>51</v>
      </c>
      <c r="M383" s="4" t="s">
        <v>158</v>
      </c>
    </row>
    <row r="384" spans="1:13" x14ac:dyDescent="0.2">
      <c r="A384" s="4" t="s">
        <v>568</v>
      </c>
      <c r="B384">
        <v>383</v>
      </c>
      <c r="C384" s="4" t="s">
        <v>26</v>
      </c>
      <c r="D384" s="4" t="s">
        <v>32</v>
      </c>
      <c r="E384" s="4" t="s">
        <v>44</v>
      </c>
      <c r="F384" s="4" t="s">
        <v>69</v>
      </c>
      <c r="G384">
        <v>4</v>
      </c>
      <c r="H384">
        <v>16</v>
      </c>
      <c r="I384" s="4" t="s">
        <v>116</v>
      </c>
      <c r="J384" s="4" t="s">
        <v>131</v>
      </c>
      <c r="K384" s="4" t="s">
        <v>132</v>
      </c>
      <c r="L384">
        <v>40</v>
      </c>
      <c r="M384" s="4" t="s">
        <v>158</v>
      </c>
    </row>
    <row r="385" spans="1:13" x14ac:dyDescent="0.2">
      <c r="A385" s="4" t="s">
        <v>569</v>
      </c>
      <c r="B385">
        <v>384</v>
      </c>
      <c r="C385" s="4" t="s">
        <v>26</v>
      </c>
      <c r="D385" s="4" t="s">
        <v>32</v>
      </c>
      <c r="E385" s="4" t="s">
        <v>44</v>
      </c>
      <c r="F385" s="4" t="s">
        <v>69</v>
      </c>
      <c r="G385">
        <v>4</v>
      </c>
      <c r="H385">
        <v>16</v>
      </c>
      <c r="I385" s="4" t="s">
        <v>116</v>
      </c>
      <c r="J385" s="4" t="s">
        <v>133</v>
      </c>
      <c r="K385" s="4" t="s">
        <v>134</v>
      </c>
      <c r="L385">
        <v>40</v>
      </c>
      <c r="M385" s="4" t="s">
        <v>158</v>
      </c>
    </row>
    <row r="386" spans="1:13" x14ac:dyDescent="0.2">
      <c r="A386" s="4" t="s">
        <v>570</v>
      </c>
      <c r="B386">
        <v>385</v>
      </c>
      <c r="C386" s="4" t="s">
        <v>26</v>
      </c>
      <c r="D386" s="4" t="s">
        <v>32</v>
      </c>
      <c r="E386" s="4" t="s">
        <v>47</v>
      </c>
      <c r="F386" s="4" t="s">
        <v>71</v>
      </c>
      <c r="G386">
        <v>4</v>
      </c>
      <c r="H386">
        <v>17</v>
      </c>
      <c r="I386" s="4" t="s">
        <v>35</v>
      </c>
      <c r="J386" s="4" t="s">
        <v>122</v>
      </c>
      <c r="K386" s="4" t="s">
        <v>123</v>
      </c>
      <c r="L386">
        <v>728</v>
      </c>
      <c r="M386" s="4" t="s">
        <v>158</v>
      </c>
    </row>
    <row r="387" spans="1:13" x14ac:dyDescent="0.2">
      <c r="A387" s="4" t="s">
        <v>571</v>
      </c>
      <c r="B387">
        <v>386</v>
      </c>
      <c r="C387" s="4" t="s">
        <v>26</v>
      </c>
      <c r="D387" s="4" t="s">
        <v>32</v>
      </c>
      <c r="E387" s="4" t="s">
        <v>47</v>
      </c>
      <c r="F387" s="4" t="s">
        <v>71</v>
      </c>
      <c r="G387">
        <v>4</v>
      </c>
      <c r="H387">
        <v>17</v>
      </c>
      <c r="I387" s="4" t="s">
        <v>35</v>
      </c>
      <c r="J387" s="4" t="s">
        <v>125</v>
      </c>
      <c r="K387" s="4" t="s">
        <v>126</v>
      </c>
      <c r="L387">
        <v>323</v>
      </c>
      <c r="M387" s="4" t="s">
        <v>158</v>
      </c>
    </row>
    <row r="388" spans="1:13" x14ac:dyDescent="0.2">
      <c r="A388" s="4" t="s">
        <v>572</v>
      </c>
      <c r="B388">
        <v>387</v>
      </c>
      <c r="C388" s="4" t="s">
        <v>26</v>
      </c>
      <c r="D388" s="4" t="s">
        <v>32</v>
      </c>
      <c r="E388" s="4" t="s">
        <v>47</v>
      </c>
      <c r="F388" s="4" t="s">
        <v>71</v>
      </c>
      <c r="G388">
        <v>4</v>
      </c>
      <c r="H388">
        <v>17</v>
      </c>
      <c r="I388" s="4" t="s">
        <v>35</v>
      </c>
      <c r="J388" s="4" t="s">
        <v>127</v>
      </c>
      <c r="K388" s="4" t="s">
        <v>128</v>
      </c>
      <c r="L388">
        <v>556</v>
      </c>
      <c r="M388" s="4" t="s">
        <v>158</v>
      </c>
    </row>
    <row r="389" spans="1:13" x14ac:dyDescent="0.2">
      <c r="A389" s="4" t="s">
        <v>573</v>
      </c>
      <c r="B389">
        <v>388</v>
      </c>
      <c r="C389" s="4" t="s">
        <v>26</v>
      </c>
      <c r="D389" s="4" t="s">
        <v>32</v>
      </c>
      <c r="E389" s="4" t="s">
        <v>47</v>
      </c>
      <c r="F389" s="4" t="s">
        <v>71</v>
      </c>
      <c r="G389">
        <v>4</v>
      </c>
      <c r="H389">
        <v>17</v>
      </c>
      <c r="I389" s="4" t="s">
        <v>35</v>
      </c>
      <c r="J389" s="4" t="s">
        <v>129</v>
      </c>
      <c r="K389" s="4" t="s">
        <v>130</v>
      </c>
      <c r="L389">
        <v>119</v>
      </c>
      <c r="M389" s="4" t="s">
        <v>158</v>
      </c>
    </row>
    <row r="390" spans="1:13" x14ac:dyDescent="0.2">
      <c r="A390" s="4" t="s">
        <v>574</v>
      </c>
      <c r="B390">
        <v>389</v>
      </c>
      <c r="C390" s="4" t="s">
        <v>26</v>
      </c>
      <c r="D390" s="4" t="s">
        <v>32</v>
      </c>
      <c r="E390" s="4" t="s">
        <v>47</v>
      </c>
      <c r="F390" s="4" t="s">
        <v>71</v>
      </c>
      <c r="G390">
        <v>4</v>
      </c>
      <c r="H390">
        <v>17</v>
      </c>
      <c r="I390" s="4" t="s">
        <v>35</v>
      </c>
      <c r="J390" s="4" t="s">
        <v>131</v>
      </c>
      <c r="K390" s="4" t="s">
        <v>132</v>
      </c>
      <c r="L390">
        <v>292</v>
      </c>
      <c r="M390" s="4" t="s">
        <v>158</v>
      </c>
    </row>
    <row r="391" spans="1:13" x14ac:dyDescent="0.2">
      <c r="A391" s="4" t="s">
        <v>575</v>
      </c>
      <c r="B391">
        <v>390</v>
      </c>
      <c r="C391" s="4" t="s">
        <v>26</v>
      </c>
      <c r="D391" s="4" t="s">
        <v>32</v>
      </c>
      <c r="E391" s="4" t="s">
        <v>47</v>
      </c>
      <c r="F391" s="4" t="s">
        <v>71</v>
      </c>
      <c r="G391">
        <v>4</v>
      </c>
      <c r="H391">
        <v>17</v>
      </c>
      <c r="I391" s="4" t="s">
        <v>35</v>
      </c>
      <c r="J391" s="4" t="s">
        <v>133</v>
      </c>
      <c r="K391" s="4" t="s">
        <v>134</v>
      </c>
      <c r="L391">
        <v>237</v>
      </c>
      <c r="M391" s="4" t="s">
        <v>158</v>
      </c>
    </row>
    <row r="392" spans="1:13" x14ac:dyDescent="0.2">
      <c r="A392" s="4" t="s">
        <v>576</v>
      </c>
      <c r="B392">
        <v>391</v>
      </c>
      <c r="C392" s="4" t="s">
        <v>26</v>
      </c>
      <c r="D392" s="4" t="s">
        <v>32</v>
      </c>
      <c r="E392" s="4" t="s">
        <v>47</v>
      </c>
      <c r="F392" s="4" t="s">
        <v>71</v>
      </c>
      <c r="G392">
        <v>4</v>
      </c>
      <c r="H392">
        <v>17</v>
      </c>
      <c r="I392" s="4" t="s">
        <v>112</v>
      </c>
      <c r="J392" s="4" t="s">
        <v>122</v>
      </c>
      <c r="K392" s="4" t="s">
        <v>123</v>
      </c>
      <c r="L392">
        <v>64</v>
      </c>
      <c r="M392" s="4" t="s">
        <v>158</v>
      </c>
    </row>
    <row r="393" spans="1:13" x14ac:dyDescent="0.2">
      <c r="A393" s="4" t="s">
        <v>577</v>
      </c>
      <c r="B393">
        <v>392</v>
      </c>
      <c r="C393" s="4" t="s">
        <v>26</v>
      </c>
      <c r="D393" s="4" t="s">
        <v>32</v>
      </c>
      <c r="E393" s="4" t="s">
        <v>47</v>
      </c>
      <c r="F393" s="4" t="s">
        <v>71</v>
      </c>
      <c r="G393">
        <v>4</v>
      </c>
      <c r="H393">
        <v>17</v>
      </c>
      <c r="I393" s="4" t="s">
        <v>112</v>
      </c>
      <c r="J393" s="4" t="s">
        <v>125</v>
      </c>
      <c r="K393" s="4" t="s">
        <v>126</v>
      </c>
      <c r="L393">
        <v>50</v>
      </c>
      <c r="M393" s="4" t="s">
        <v>158</v>
      </c>
    </row>
    <row r="394" spans="1:13" x14ac:dyDescent="0.2">
      <c r="A394" s="4" t="s">
        <v>578</v>
      </c>
      <c r="B394">
        <v>393</v>
      </c>
      <c r="C394" s="4" t="s">
        <v>26</v>
      </c>
      <c r="D394" s="4" t="s">
        <v>32</v>
      </c>
      <c r="E394" s="4" t="s">
        <v>47</v>
      </c>
      <c r="F394" s="4" t="s">
        <v>71</v>
      </c>
      <c r="G394">
        <v>4</v>
      </c>
      <c r="H394">
        <v>17</v>
      </c>
      <c r="I394" s="4" t="s">
        <v>112</v>
      </c>
      <c r="J394" s="4" t="s">
        <v>127</v>
      </c>
      <c r="K394" s="4" t="s">
        <v>128</v>
      </c>
      <c r="L394">
        <v>60</v>
      </c>
      <c r="M394" s="4" t="s">
        <v>158</v>
      </c>
    </row>
    <row r="395" spans="1:13" x14ac:dyDescent="0.2">
      <c r="A395" s="4" t="s">
        <v>579</v>
      </c>
      <c r="B395">
        <v>394</v>
      </c>
      <c r="C395" s="4" t="s">
        <v>26</v>
      </c>
      <c r="D395" s="4" t="s">
        <v>32</v>
      </c>
      <c r="E395" s="4" t="s">
        <v>47</v>
      </c>
      <c r="F395" s="4" t="s">
        <v>71</v>
      </c>
      <c r="G395">
        <v>4</v>
      </c>
      <c r="H395">
        <v>17</v>
      </c>
      <c r="I395" s="4" t="s">
        <v>112</v>
      </c>
      <c r="J395" s="4" t="s">
        <v>129</v>
      </c>
      <c r="K395" s="4" t="s">
        <v>130</v>
      </c>
      <c r="L395">
        <v>40</v>
      </c>
      <c r="M395" s="4" t="s">
        <v>158</v>
      </c>
    </row>
    <row r="396" spans="1:13" x14ac:dyDescent="0.2">
      <c r="A396" s="4" t="s">
        <v>580</v>
      </c>
      <c r="B396">
        <v>395</v>
      </c>
      <c r="C396" s="4" t="s">
        <v>26</v>
      </c>
      <c r="D396" s="4" t="s">
        <v>32</v>
      </c>
      <c r="E396" s="4" t="s">
        <v>47</v>
      </c>
      <c r="F396" s="4" t="s">
        <v>71</v>
      </c>
      <c r="G396">
        <v>4</v>
      </c>
      <c r="H396">
        <v>17</v>
      </c>
      <c r="I396" s="4" t="s">
        <v>112</v>
      </c>
      <c r="J396" s="4" t="s">
        <v>131</v>
      </c>
      <c r="K396" s="4" t="s">
        <v>132</v>
      </c>
      <c r="L396">
        <v>29</v>
      </c>
      <c r="M396" s="4" t="s">
        <v>158</v>
      </c>
    </row>
    <row r="397" spans="1:13" x14ac:dyDescent="0.2">
      <c r="A397" s="4" t="s">
        <v>581</v>
      </c>
      <c r="B397">
        <v>396</v>
      </c>
      <c r="C397" s="4" t="s">
        <v>26</v>
      </c>
      <c r="D397" s="4" t="s">
        <v>32</v>
      </c>
      <c r="E397" s="4" t="s">
        <v>47</v>
      </c>
      <c r="F397" s="4" t="s">
        <v>71</v>
      </c>
      <c r="G397">
        <v>4</v>
      </c>
      <c r="H397">
        <v>17</v>
      </c>
      <c r="I397" s="4" t="s">
        <v>112</v>
      </c>
      <c r="J397" s="4" t="s">
        <v>133</v>
      </c>
      <c r="K397" s="4" t="s">
        <v>134</v>
      </c>
      <c r="L397">
        <v>0</v>
      </c>
      <c r="M397" s="4" t="s">
        <v>158</v>
      </c>
    </row>
    <row r="398" spans="1:13" x14ac:dyDescent="0.2">
      <c r="A398" s="4" t="s">
        <v>582</v>
      </c>
      <c r="B398">
        <v>397</v>
      </c>
      <c r="C398" s="4" t="s">
        <v>26</v>
      </c>
      <c r="D398" s="4" t="s">
        <v>32</v>
      </c>
      <c r="E398" s="4" t="s">
        <v>47</v>
      </c>
      <c r="F398" s="4" t="s">
        <v>71</v>
      </c>
      <c r="G398">
        <v>4</v>
      </c>
      <c r="H398">
        <v>17</v>
      </c>
      <c r="I398" s="4" t="s">
        <v>114</v>
      </c>
      <c r="J398" s="4" t="s">
        <v>122</v>
      </c>
      <c r="K398" s="4" t="s">
        <v>123</v>
      </c>
      <c r="L398">
        <v>100</v>
      </c>
      <c r="M398" s="4" t="s">
        <v>158</v>
      </c>
    </row>
    <row r="399" spans="1:13" x14ac:dyDescent="0.2">
      <c r="A399" s="4" t="s">
        <v>583</v>
      </c>
      <c r="B399">
        <v>398</v>
      </c>
      <c r="C399" s="4" t="s">
        <v>26</v>
      </c>
      <c r="D399" s="4" t="s">
        <v>32</v>
      </c>
      <c r="E399" s="4" t="s">
        <v>47</v>
      </c>
      <c r="F399" s="4" t="s">
        <v>71</v>
      </c>
      <c r="G399">
        <v>4</v>
      </c>
      <c r="H399">
        <v>17</v>
      </c>
      <c r="I399" s="4" t="s">
        <v>114</v>
      </c>
      <c r="J399" s="4" t="s">
        <v>125</v>
      </c>
      <c r="K399" s="4" t="s">
        <v>126</v>
      </c>
      <c r="L399">
        <v>21</v>
      </c>
      <c r="M399" s="4" t="s">
        <v>158</v>
      </c>
    </row>
    <row r="400" spans="1:13" x14ac:dyDescent="0.2">
      <c r="A400" s="4" t="s">
        <v>584</v>
      </c>
      <c r="B400">
        <v>399</v>
      </c>
      <c r="C400" s="4" t="s">
        <v>26</v>
      </c>
      <c r="D400" s="4" t="s">
        <v>32</v>
      </c>
      <c r="E400" s="4" t="s">
        <v>47</v>
      </c>
      <c r="F400" s="4" t="s">
        <v>71</v>
      </c>
      <c r="G400">
        <v>4</v>
      </c>
      <c r="H400">
        <v>17</v>
      </c>
      <c r="I400" s="4" t="s">
        <v>114</v>
      </c>
      <c r="J400" s="4" t="s">
        <v>127</v>
      </c>
      <c r="K400" s="4" t="s">
        <v>128</v>
      </c>
      <c r="L400">
        <v>102</v>
      </c>
      <c r="M400" s="4" t="s">
        <v>158</v>
      </c>
    </row>
    <row r="401" spans="1:13" x14ac:dyDescent="0.2">
      <c r="A401" s="4" t="s">
        <v>585</v>
      </c>
      <c r="B401">
        <v>400</v>
      </c>
      <c r="C401" s="4" t="s">
        <v>26</v>
      </c>
      <c r="D401" s="4" t="s">
        <v>32</v>
      </c>
      <c r="E401" s="4" t="s">
        <v>47</v>
      </c>
      <c r="F401" s="4" t="s">
        <v>71</v>
      </c>
      <c r="G401">
        <v>4</v>
      </c>
      <c r="H401">
        <v>17</v>
      </c>
      <c r="I401" s="4" t="s">
        <v>114</v>
      </c>
      <c r="J401" s="4" t="s">
        <v>129</v>
      </c>
      <c r="K401" s="4" t="s">
        <v>130</v>
      </c>
      <c r="L401">
        <v>40</v>
      </c>
      <c r="M401" s="4" t="s">
        <v>158</v>
      </c>
    </row>
    <row r="402" spans="1:13" x14ac:dyDescent="0.2">
      <c r="A402" s="4" t="s">
        <v>586</v>
      </c>
      <c r="B402">
        <v>401</v>
      </c>
      <c r="C402" s="4" t="s">
        <v>26</v>
      </c>
      <c r="D402" s="4" t="s">
        <v>32</v>
      </c>
      <c r="E402" s="4" t="s">
        <v>47</v>
      </c>
      <c r="F402" s="4" t="s">
        <v>71</v>
      </c>
      <c r="G402">
        <v>4</v>
      </c>
      <c r="H402">
        <v>17</v>
      </c>
      <c r="I402" s="4" t="s">
        <v>114</v>
      </c>
      <c r="J402" s="4" t="s">
        <v>131</v>
      </c>
      <c r="K402" s="4" t="s">
        <v>132</v>
      </c>
      <c r="L402">
        <v>70</v>
      </c>
      <c r="M402" s="4" t="s">
        <v>158</v>
      </c>
    </row>
    <row r="403" spans="1:13" x14ac:dyDescent="0.2">
      <c r="A403" s="4" t="s">
        <v>587</v>
      </c>
      <c r="B403">
        <v>402</v>
      </c>
      <c r="C403" s="4" t="s">
        <v>26</v>
      </c>
      <c r="D403" s="4" t="s">
        <v>32</v>
      </c>
      <c r="E403" s="4" t="s">
        <v>47</v>
      </c>
      <c r="F403" s="4" t="s">
        <v>71</v>
      </c>
      <c r="G403">
        <v>4</v>
      </c>
      <c r="H403">
        <v>17</v>
      </c>
      <c r="I403" s="4" t="s">
        <v>114</v>
      </c>
      <c r="J403" s="4" t="s">
        <v>133</v>
      </c>
      <c r="K403" s="4" t="s">
        <v>134</v>
      </c>
      <c r="L403">
        <v>5</v>
      </c>
      <c r="M403" s="4" t="s">
        <v>158</v>
      </c>
    </row>
    <row r="404" spans="1:13" x14ac:dyDescent="0.2">
      <c r="A404" s="4" t="s">
        <v>588</v>
      </c>
      <c r="B404">
        <v>403</v>
      </c>
      <c r="C404" s="4" t="s">
        <v>26</v>
      </c>
      <c r="D404" s="4" t="s">
        <v>32</v>
      </c>
      <c r="E404" s="4" t="s">
        <v>47</v>
      </c>
      <c r="F404" s="4" t="s">
        <v>71</v>
      </c>
      <c r="G404">
        <v>4</v>
      </c>
      <c r="H404">
        <v>17</v>
      </c>
      <c r="I404" s="4" t="s">
        <v>116</v>
      </c>
      <c r="J404" s="4" t="s">
        <v>122</v>
      </c>
      <c r="K404" s="4" t="s">
        <v>123</v>
      </c>
      <c r="L404">
        <v>50</v>
      </c>
      <c r="M404" s="4" t="s">
        <v>158</v>
      </c>
    </row>
    <row r="405" spans="1:13" x14ac:dyDescent="0.2">
      <c r="A405" s="4" t="s">
        <v>589</v>
      </c>
      <c r="B405">
        <v>404</v>
      </c>
      <c r="C405" s="4" t="s">
        <v>26</v>
      </c>
      <c r="D405" s="4" t="s">
        <v>32</v>
      </c>
      <c r="E405" s="4" t="s">
        <v>47</v>
      </c>
      <c r="F405" s="4" t="s">
        <v>71</v>
      </c>
      <c r="G405">
        <v>4</v>
      </c>
      <c r="H405">
        <v>17</v>
      </c>
      <c r="I405" s="4" t="s">
        <v>116</v>
      </c>
      <c r="J405" s="4" t="s">
        <v>125</v>
      </c>
      <c r="K405" s="4" t="s">
        <v>126</v>
      </c>
      <c r="L405">
        <v>40</v>
      </c>
      <c r="M405" s="4" t="s">
        <v>158</v>
      </c>
    </row>
    <row r="406" spans="1:13" x14ac:dyDescent="0.2">
      <c r="A406" s="4" t="s">
        <v>590</v>
      </c>
      <c r="B406">
        <v>405</v>
      </c>
      <c r="C406" s="4" t="s">
        <v>26</v>
      </c>
      <c r="D406" s="4" t="s">
        <v>32</v>
      </c>
      <c r="E406" s="4" t="s">
        <v>47</v>
      </c>
      <c r="F406" s="4" t="s">
        <v>71</v>
      </c>
      <c r="G406">
        <v>4</v>
      </c>
      <c r="H406">
        <v>17</v>
      </c>
      <c r="I406" s="4" t="s">
        <v>116</v>
      </c>
      <c r="J406" s="4" t="s">
        <v>127</v>
      </c>
      <c r="K406" s="4" t="s">
        <v>128</v>
      </c>
      <c r="L406">
        <v>85</v>
      </c>
      <c r="M406" s="4" t="s">
        <v>158</v>
      </c>
    </row>
    <row r="407" spans="1:13" x14ac:dyDescent="0.2">
      <c r="A407" s="4" t="s">
        <v>591</v>
      </c>
      <c r="B407">
        <v>406</v>
      </c>
      <c r="C407" s="4" t="s">
        <v>26</v>
      </c>
      <c r="D407" s="4" t="s">
        <v>32</v>
      </c>
      <c r="E407" s="4" t="s">
        <v>47</v>
      </c>
      <c r="F407" s="4" t="s">
        <v>71</v>
      </c>
      <c r="G407">
        <v>4</v>
      </c>
      <c r="H407">
        <v>17</v>
      </c>
      <c r="I407" s="4" t="s">
        <v>116</v>
      </c>
      <c r="J407" s="4" t="s">
        <v>129</v>
      </c>
      <c r="K407" s="4" t="s">
        <v>130</v>
      </c>
      <c r="L407">
        <v>100</v>
      </c>
      <c r="M407" s="4" t="s">
        <v>158</v>
      </c>
    </row>
    <row r="408" spans="1:13" x14ac:dyDescent="0.2">
      <c r="A408" s="4" t="s">
        <v>592</v>
      </c>
      <c r="B408">
        <v>407</v>
      </c>
      <c r="C408" s="4" t="s">
        <v>26</v>
      </c>
      <c r="D408" s="4" t="s">
        <v>32</v>
      </c>
      <c r="E408" s="4" t="s">
        <v>47</v>
      </c>
      <c r="F408" s="4" t="s">
        <v>71</v>
      </c>
      <c r="G408">
        <v>4</v>
      </c>
      <c r="H408">
        <v>17</v>
      </c>
      <c r="I408" s="4" t="s">
        <v>116</v>
      </c>
      <c r="J408" s="4" t="s">
        <v>131</v>
      </c>
      <c r="K408" s="4" t="s">
        <v>132</v>
      </c>
      <c r="L408">
        <v>40</v>
      </c>
      <c r="M408" s="4" t="s">
        <v>158</v>
      </c>
    </row>
    <row r="409" spans="1:13" x14ac:dyDescent="0.2">
      <c r="A409" s="4" t="s">
        <v>593</v>
      </c>
      <c r="B409">
        <v>408</v>
      </c>
      <c r="C409" s="4" t="s">
        <v>26</v>
      </c>
      <c r="D409" s="4" t="s">
        <v>32</v>
      </c>
      <c r="E409" s="4" t="s">
        <v>47</v>
      </c>
      <c r="F409" s="4" t="s">
        <v>71</v>
      </c>
      <c r="G409">
        <v>4</v>
      </c>
      <c r="H409">
        <v>17</v>
      </c>
      <c r="I409" s="4" t="s">
        <v>116</v>
      </c>
      <c r="J409" s="4" t="s">
        <v>133</v>
      </c>
      <c r="K409" s="4" t="s">
        <v>134</v>
      </c>
      <c r="L409">
        <v>40</v>
      </c>
      <c r="M409" s="4" t="s">
        <v>158</v>
      </c>
    </row>
    <row r="410" spans="1:13" x14ac:dyDescent="0.2">
      <c r="A410" s="4" t="s">
        <v>594</v>
      </c>
      <c r="B410">
        <v>409</v>
      </c>
      <c r="C410" s="4" t="s">
        <v>26</v>
      </c>
      <c r="D410" s="4" t="s">
        <v>32</v>
      </c>
      <c r="E410" s="4" t="s">
        <v>50</v>
      </c>
      <c r="F410" s="4" t="s">
        <v>73</v>
      </c>
      <c r="G410">
        <v>4</v>
      </c>
      <c r="H410">
        <v>18</v>
      </c>
      <c r="I410" s="4" t="s">
        <v>35</v>
      </c>
      <c r="J410" s="4" t="s">
        <v>122</v>
      </c>
      <c r="K410" s="4" t="s">
        <v>123</v>
      </c>
      <c r="L410">
        <v>572</v>
      </c>
      <c r="M410" s="4" t="s">
        <v>158</v>
      </c>
    </row>
    <row r="411" spans="1:13" x14ac:dyDescent="0.2">
      <c r="A411" s="4" t="s">
        <v>595</v>
      </c>
      <c r="B411">
        <v>410</v>
      </c>
      <c r="C411" s="4" t="s">
        <v>26</v>
      </c>
      <c r="D411" s="4" t="s">
        <v>32</v>
      </c>
      <c r="E411" s="4" t="s">
        <v>50</v>
      </c>
      <c r="F411" s="4" t="s">
        <v>73</v>
      </c>
      <c r="G411">
        <v>4</v>
      </c>
      <c r="H411">
        <v>18</v>
      </c>
      <c r="I411" s="4" t="s">
        <v>35</v>
      </c>
      <c r="J411" s="4" t="s">
        <v>125</v>
      </c>
      <c r="K411" s="4" t="s">
        <v>126</v>
      </c>
      <c r="L411">
        <v>304</v>
      </c>
      <c r="M411" s="4" t="s">
        <v>158</v>
      </c>
    </row>
    <row r="412" spans="1:13" x14ac:dyDescent="0.2">
      <c r="A412" s="4" t="s">
        <v>596</v>
      </c>
      <c r="B412">
        <v>411</v>
      </c>
      <c r="C412" s="4" t="s">
        <v>26</v>
      </c>
      <c r="D412" s="4" t="s">
        <v>32</v>
      </c>
      <c r="E412" s="4" t="s">
        <v>50</v>
      </c>
      <c r="F412" s="4" t="s">
        <v>73</v>
      </c>
      <c r="G412">
        <v>4</v>
      </c>
      <c r="H412">
        <v>18</v>
      </c>
      <c r="I412" s="4" t="s">
        <v>35</v>
      </c>
      <c r="J412" s="4" t="s">
        <v>127</v>
      </c>
      <c r="K412" s="4" t="s">
        <v>128</v>
      </c>
      <c r="L412">
        <v>448</v>
      </c>
      <c r="M412" s="4" t="s">
        <v>158</v>
      </c>
    </row>
    <row r="413" spans="1:13" x14ac:dyDescent="0.2">
      <c r="A413" s="4" t="s">
        <v>597</v>
      </c>
      <c r="B413">
        <v>412</v>
      </c>
      <c r="C413" s="4" t="s">
        <v>26</v>
      </c>
      <c r="D413" s="4" t="s">
        <v>32</v>
      </c>
      <c r="E413" s="4" t="s">
        <v>50</v>
      </c>
      <c r="F413" s="4" t="s">
        <v>73</v>
      </c>
      <c r="G413">
        <v>4</v>
      </c>
      <c r="H413">
        <v>18</v>
      </c>
      <c r="I413" s="4" t="s">
        <v>35</v>
      </c>
      <c r="J413" s="4" t="s">
        <v>129</v>
      </c>
      <c r="K413" s="4" t="s">
        <v>130</v>
      </c>
      <c r="L413">
        <v>119</v>
      </c>
      <c r="M413" s="4" t="s">
        <v>158</v>
      </c>
    </row>
    <row r="414" spans="1:13" x14ac:dyDescent="0.2">
      <c r="A414" s="4" t="s">
        <v>598</v>
      </c>
      <c r="B414">
        <v>413</v>
      </c>
      <c r="C414" s="4" t="s">
        <v>26</v>
      </c>
      <c r="D414" s="4" t="s">
        <v>32</v>
      </c>
      <c r="E414" s="4" t="s">
        <v>50</v>
      </c>
      <c r="F414" s="4" t="s">
        <v>73</v>
      </c>
      <c r="G414">
        <v>4</v>
      </c>
      <c r="H414">
        <v>18</v>
      </c>
      <c r="I414" s="4" t="s">
        <v>35</v>
      </c>
      <c r="J414" s="4" t="s">
        <v>131</v>
      </c>
      <c r="K414" s="4" t="s">
        <v>132</v>
      </c>
      <c r="L414">
        <v>261</v>
      </c>
      <c r="M414" s="4" t="s">
        <v>158</v>
      </c>
    </row>
    <row r="415" spans="1:13" x14ac:dyDescent="0.2">
      <c r="A415" s="4" t="s">
        <v>599</v>
      </c>
      <c r="B415">
        <v>414</v>
      </c>
      <c r="C415" s="4" t="s">
        <v>26</v>
      </c>
      <c r="D415" s="4" t="s">
        <v>32</v>
      </c>
      <c r="E415" s="4" t="s">
        <v>50</v>
      </c>
      <c r="F415" s="4" t="s">
        <v>73</v>
      </c>
      <c r="G415">
        <v>4</v>
      </c>
      <c r="H415">
        <v>18</v>
      </c>
      <c r="I415" s="4" t="s">
        <v>35</v>
      </c>
      <c r="J415" s="4" t="s">
        <v>133</v>
      </c>
      <c r="K415" s="4" t="s">
        <v>134</v>
      </c>
      <c r="L415">
        <v>142</v>
      </c>
      <c r="M415" s="4" t="s">
        <v>158</v>
      </c>
    </row>
    <row r="416" spans="1:13" x14ac:dyDescent="0.2">
      <c r="A416" s="4" t="s">
        <v>600</v>
      </c>
      <c r="B416">
        <v>415</v>
      </c>
      <c r="C416" s="4" t="s">
        <v>26</v>
      </c>
      <c r="D416" s="4" t="s">
        <v>32</v>
      </c>
      <c r="E416" s="4" t="s">
        <v>50</v>
      </c>
      <c r="F416" s="4" t="s">
        <v>73</v>
      </c>
      <c r="G416">
        <v>4</v>
      </c>
      <c r="H416">
        <v>18</v>
      </c>
      <c r="I416" s="4" t="s">
        <v>112</v>
      </c>
      <c r="J416" s="4" t="s">
        <v>122</v>
      </c>
      <c r="K416" s="4" t="s">
        <v>123</v>
      </c>
      <c r="L416">
        <v>220</v>
      </c>
      <c r="M416" s="4" t="s">
        <v>158</v>
      </c>
    </row>
    <row r="417" spans="1:13" x14ac:dyDescent="0.2">
      <c r="A417" s="4" t="s">
        <v>601</v>
      </c>
      <c r="B417">
        <v>416</v>
      </c>
      <c r="C417" s="4" t="s">
        <v>26</v>
      </c>
      <c r="D417" s="4" t="s">
        <v>32</v>
      </c>
      <c r="E417" s="4" t="s">
        <v>50</v>
      </c>
      <c r="F417" s="4" t="s">
        <v>73</v>
      </c>
      <c r="G417">
        <v>4</v>
      </c>
      <c r="H417">
        <v>18</v>
      </c>
      <c r="I417" s="4" t="s">
        <v>112</v>
      </c>
      <c r="J417" s="4" t="s">
        <v>125</v>
      </c>
      <c r="K417" s="4" t="s">
        <v>126</v>
      </c>
      <c r="L417">
        <v>50</v>
      </c>
      <c r="M417" s="4" t="s">
        <v>158</v>
      </c>
    </row>
    <row r="418" spans="1:13" x14ac:dyDescent="0.2">
      <c r="A418" s="4" t="s">
        <v>602</v>
      </c>
      <c r="B418">
        <v>417</v>
      </c>
      <c r="C418" s="4" t="s">
        <v>26</v>
      </c>
      <c r="D418" s="4" t="s">
        <v>32</v>
      </c>
      <c r="E418" s="4" t="s">
        <v>50</v>
      </c>
      <c r="F418" s="4" t="s">
        <v>73</v>
      </c>
      <c r="G418">
        <v>4</v>
      </c>
      <c r="H418">
        <v>18</v>
      </c>
      <c r="I418" s="4" t="s">
        <v>112</v>
      </c>
      <c r="J418" s="4" t="s">
        <v>127</v>
      </c>
      <c r="K418" s="4" t="s">
        <v>128</v>
      </c>
      <c r="L418">
        <v>120</v>
      </c>
      <c r="M418" s="4" t="s">
        <v>158</v>
      </c>
    </row>
    <row r="419" spans="1:13" x14ac:dyDescent="0.2">
      <c r="A419" s="4" t="s">
        <v>603</v>
      </c>
      <c r="B419">
        <v>418</v>
      </c>
      <c r="C419" s="4" t="s">
        <v>26</v>
      </c>
      <c r="D419" s="4" t="s">
        <v>32</v>
      </c>
      <c r="E419" s="4" t="s">
        <v>50</v>
      </c>
      <c r="F419" s="4" t="s">
        <v>73</v>
      </c>
      <c r="G419">
        <v>4</v>
      </c>
      <c r="H419">
        <v>18</v>
      </c>
      <c r="I419" s="4" t="s">
        <v>112</v>
      </c>
      <c r="J419" s="4" t="s">
        <v>129</v>
      </c>
      <c r="K419" s="4" t="s">
        <v>130</v>
      </c>
      <c r="L419">
        <v>40</v>
      </c>
      <c r="M419" s="4" t="s">
        <v>158</v>
      </c>
    </row>
    <row r="420" spans="1:13" x14ac:dyDescent="0.2">
      <c r="A420" s="4" t="s">
        <v>604</v>
      </c>
      <c r="B420">
        <v>419</v>
      </c>
      <c r="C420" s="4" t="s">
        <v>26</v>
      </c>
      <c r="D420" s="4" t="s">
        <v>32</v>
      </c>
      <c r="E420" s="4" t="s">
        <v>50</v>
      </c>
      <c r="F420" s="4" t="s">
        <v>73</v>
      </c>
      <c r="G420">
        <v>4</v>
      </c>
      <c r="H420">
        <v>18</v>
      </c>
      <c r="I420" s="4" t="s">
        <v>112</v>
      </c>
      <c r="J420" s="4" t="s">
        <v>131</v>
      </c>
      <c r="K420" s="4" t="s">
        <v>132</v>
      </c>
      <c r="L420">
        <v>60</v>
      </c>
      <c r="M420" s="4" t="s">
        <v>158</v>
      </c>
    </row>
    <row r="421" spans="1:13" x14ac:dyDescent="0.2">
      <c r="A421" s="4" t="s">
        <v>605</v>
      </c>
      <c r="B421">
        <v>420</v>
      </c>
      <c r="C421" s="4" t="s">
        <v>26</v>
      </c>
      <c r="D421" s="4" t="s">
        <v>32</v>
      </c>
      <c r="E421" s="4" t="s">
        <v>50</v>
      </c>
      <c r="F421" s="4" t="s">
        <v>73</v>
      </c>
      <c r="G421">
        <v>4</v>
      </c>
      <c r="H421">
        <v>18</v>
      </c>
      <c r="I421" s="4" t="s">
        <v>112</v>
      </c>
      <c r="J421" s="4" t="s">
        <v>133</v>
      </c>
      <c r="K421" s="4" t="s">
        <v>134</v>
      </c>
      <c r="L421">
        <v>60</v>
      </c>
      <c r="M421" s="4" t="s">
        <v>158</v>
      </c>
    </row>
    <row r="422" spans="1:13" x14ac:dyDescent="0.2">
      <c r="A422" s="4" t="s">
        <v>606</v>
      </c>
      <c r="B422">
        <v>421</v>
      </c>
      <c r="C422" s="4" t="s">
        <v>26</v>
      </c>
      <c r="D422" s="4" t="s">
        <v>32</v>
      </c>
      <c r="E422" s="4" t="s">
        <v>50</v>
      </c>
      <c r="F422" s="4" t="s">
        <v>73</v>
      </c>
      <c r="G422">
        <v>4</v>
      </c>
      <c r="H422">
        <v>18</v>
      </c>
      <c r="I422" s="4" t="s">
        <v>114</v>
      </c>
      <c r="J422" s="4" t="s">
        <v>122</v>
      </c>
      <c r="K422" s="4" t="s">
        <v>123</v>
      </c>
      <c r="L422">
        <v>100</v>
      </c>
      <c r="M422" s="4" t="s">
        <v>158</v>
      </c>
    </row>
    <row r="423" spans="1:13" x14ac:dyDescent="0.2">
      <c r="A423" s="4" t="s">
        <v>607</v>
      </c>
      <c r="B423">
        <v>422</v>
      </c>
      <c r="C423" s="4" t="s">
        <v>26</v>
      </c>
      <c r="D423" s="4" t="s">
        <v>32</v>
      </c>
      <c r="E423" s="4" t="s">
        <v>50</v>
      </c>
      <c r="F423" s="4" t="s">
        <v>73</v>
      </c>
      <c r="G423">
        <v>4</v>
      </c>
      <c r="H423">
        <v>18</v>
      </c>
      <c r="I423" s="4" t="s">
        <v>114</v>
      </c>
      <c r="J423" s="4" t="s">
        <v>125</v>
      </c>
      <c r="K423" s="4" t="s">
        <v>126</v>
      </c>
      <c r="L423">
        <v>40</v>
      </c>
      <c r="M423" s="4" t="s">
        <v>158</v>
      </c>
    </row>
    <row r="424" spans="1:13" x14ac:dyDescent="0.2">
      <c r="A424" s="4" t="s">
        <v>608</v>
      </c>
      <c r="B424">
        <v>423</v>
      </c>
      <c r="C424" s="4" t="s">
        <v>26</v>
      </c>
      <c r="D424" s="4" t="s">
        <v>32</v>
      </c>
      <c r="E424" s="4" t="s">
        <v>50</v>
      </c>
      <c r="F424" s="4" t="s">
        <v>73</v>
      </c>
      <c r="G424">
        <v>4</v>
      </c>
      <c r="H424">
        <v>18</v>
      </c>
      <c r="I424" s="4" t="s">
        <v>114</v>
      </c>
      <c r="J424" s="4" t="s">
        <v>127</v>
      </c>
      <c r="K424" s="4" t="s">
        <v>128</v>
      </c>
      <c r="L424">
        <v>82</v>
      </c>
      <c r="M424" s="4" t="s">
        <v>158</v>
      </c>
    </row>
    <row r="425" spans="1:13" x14ac:dyDescent="0.2">
      <c r="A425" s="4" t="s">
        <v>609</v>
      </c>
      <c r="B425">
        <v>424</v>
      </c>
      <c r="C425" s="4" t="s">
        <v>26</v>
      </c>
      <c r="D425" s="4" t="s">
        <v>32</v>
      </c>
      <c r="E425" s="4" t="s">
        <v>50</v>
      </c>
      <c r="F425" s="4" t="s">
        <v>73</v>
      </c>
      <c r="G425">
        <v>4</v>
      </c>
      <c r="H425">
        <v>18</v>
      </c>
      <c r="I425" s="4" t="s">
        <v>114</v>
      </c>
      <c r="J425" s="4" t="s">
        <v>129</v>
      </c>
      <c r="K425" s="4" t="s">
        <v>130</v>
      </c>
      <c r="L425">
        <v>40</v>
      </c>
      <c r="M425" s="4" t="s">
        <v>158</v>
      </c>
    </row>
    <row r="426" spans="1:13" x14ac:dyDescent="0.2">
      <c r="A426" s="4" t="s">
        <v>610</v>
      </c>
      <c r="B426">
        <v>425</v>
      </c>
      <c r="C426" s="4" t="s">
        <v>26</v>
      </c>
      <c r="D426" s="4" t="s">
        <v>32</v>
      </c>
      <c r="E426" s="4" t="s">
        <v>50</v>
      </c>
      <c r="F426" s="4" t="s">
        <v>73</v>
      </c>
      <c r="G426">
        <v>4</v>
      </c>
      <c r="H426">
        <v>18</v>
      </c>
      <c r="I426" s="4" t="s">
        <v>114</v>
      </c>
      <c r="J426" s="4" t="s">
        <v>131</v>
      </c>
      <c r="K426" s="4" t="s">
        <v>132</v>
      </c>
      <c r="L426">
        <v>42</v>
      </c>
      <c r="M426" s="4" t="s">
        <v>158</v>
      </c>
    </row>
    <row r="427" spans="1:13" x14ac:dyDescent="0.2">
      <c r="A427" s="4" t="s">
        <v>611</v>
      </c>
      <c r="B427">
        <v>426</v>
      </c>
      <c r="C427" s="4" t="s">
        <v>26</v>
      </c>
      <c r="D427" s="4" t="s">
        <v>32</v>
      </c>
      <c r="E427" s="4" t="s">
        <v>50</v>
      </c>
      <c r="F427" s="4" t="s">
        <v>73</v>
      </c>
      <c r="G427">
        <v>4</v>
      </c>
      <c r="H427">
        <v>18</v>
      </c>
      <c r="I427" s="4" t="s">
        <v>114</v>
      </c>
      <c r="J427" s="4" t="s">
        <v>133</v>
      </c>
      <c r="K427" s="4" t="s">
        <v>134</v>
      </c>
      <c r="L427">
        <v>40</v>
      </c>
      <c r="M427" s="4" t="s">
        <v>158</v>
      </c>
    </row>
    <row r="428" spans="1:13" x14ac:dyDescent="0.2">
      <c r="A428" s="4" t="s">
        <v>612</v>
      </c>
      <c r="B428">
        <v>427</v>
      </c>
      <c r="C428" s="4" t="s">
        <v>26</v>
      </c>
      <c r="D428" s="4" t="s">
        <v>32</v>
      </c>
      <c r="E428" s="4" t="s">
        <v>50</v>
      </c>
      <c r="F428" s="4" t="s">
        <v>73</v>
      </c>
      <c r="G428">
        <v>4</v>
      </c>
      <c r="H428">
        <v>18</v>
      </c>
      <c r="I428" s="4" t="s">
        <v>116</v>
      </c>
      <c r="J428" s="4" t="s">
        <v>122</v>
      </c>
      <c r="K428" s="4" t="s">
        <v>123</v>
      </c>
      <c r="L428">
        <v>50</v>
      </c>
      <c r="M428" s="4" t="s">
        <v>158</v>
      </c>
    </row>
    <row r="429" spans="1:13" x14ac:dyDescent="0.2">
      <c r="A429" s="4" t="s">
        <v>613</v>
      </c>
      <c r="B429">
        <v>428</v>
      </c>
      <c r="C429" s="4" t="s">
        <v>26</v>
      </c>
      <c r="D429" s="4" t="s">
        <v>32</v>
      </c>
      <c r="E429" s="4" t="s">
        <v>50</v>
      </c>
      <c r="F429" s="4" t="s">
        <v>73</v>
      </c>
      <c r="G429">
        <v>4</v>
      </c>
      <c r="H429">
        <v>18</v>
      </c>
      <c r="I429" s="4" t="s">
        <v>116</v>
      </c>
      <c r="J429" s="4" t="s">
        <v>125</v>
      </c>
      <c r="K429" s="4" t="s">
        <v>126</v>
      </c>
      <c r="L429">
        <v>40</v>
      </c>
      <c r="M429" s="4" t="s">
        <v>158</v>
      </c>
    </row>
    <row r="430" spans="1:13" x14ac:dyDescent="0.2">
      <c r="A430" s="4" t="s">
        <v>614</v>
      </c>
      <c r="B430">
        <v>429</v>
      </c>
      <c r="C430" s="4" t="s">
        <v>26</v>
      </c>
      <c r="D430" s="4" t="s">
        <v>32</v>
      </c>
      <c r="E430" s="4" t="s">
        <v>50</v>
      </c>
      <c r="F430" s="4" t="s">
        <v>73</v>
      </c>
      <c r="G430">
        <v>4</v>
      </c>
      <c r="H430">
        <v>18</v>
      </c>
      <c r="I430" s="4" t="s">
        <v>116</v>
      </c>
      <c r="J430" s="4" t="s">
        <v>127</v>
      </c>
      <c r="K430" s="4" t="s">
        <v>128</v>
      </c>
      <c r="L430">
        <v>85</v>
      </c>
      <c r="M430" s="4" t="s">
        <v>158</v>
      </c>
    </row>
    <row r="431" spans="1:13" x14ac:dyDescent="0.2">
      <c r="A431" s="4" t="s">
        <v>615</v>
      </c>
      <c r="B431">
        <v>430</v>
      </c>
      <c r="C431" s="4" t="s">
        <v>26</v>
      </c>
      <c r="D431" s="4" t="s">
        <v>32</v>
      </c>
      <c r="E431" s="4" t="s">
        <v>50</v>
      </c>
      <c r="F431" s="4" t="s">
        <v>73</v>
      </c>
      <c r="G431">
        <v>4</v>
      </c>
      <c r="H431">
        <v>18</v>
      </c>
      <c r="I431" s="4" t="s">
        <v>116</v>
      </c>
      <c r="J431" s="4" t="s">
        <v>129</v>
      </c>
      <c r="K431" s="4" t="s">
        <v>130</v>
      </c>
      <c r="L431">
        <v>77</v>
      </c>
      <c r="M431" s="4" t="s">
        <v>158</v>
      </c>
    </row>
    <row r="432" spans="1:13" x14ac:dyDescent="0.2">
      <c r="A432" s="4" t="s">
        <v>616</v>
      </c>
      <c r="B432">
        <v>431</v>
      </c>
      <c r="C432" s="4" t="s">
        <v>26</v>
      </c>
      <c r="D432" s="4" t="s">
        <v>32</v>
      </c>
      <c r="E432" s="4" t="s">
        <v>50</v>
      </c>
      <c r="F432" s="4" t="s">
        <v>73</v>
      </c>
      <c r="G432">
        <v>4</v>
      </c>
      <c r="H432">
        <v>18</v>
      </c>
      <c r="I432" s="4" t="s">
        <v>116</v>
      </c>
      <c r="J432" s="4" t="s">
        <v>131</v>
      </c>
      <c r="K432" s="4" t="s">
        <v>132</v>
      </c>
      <c r="L432">
        <v>40</v>
      </c>
      <c r="M432" s="4" t="s">
        <v>158</v>
      </c>
    </row>
    <row r="433" spans="1:13" x14ac:dyDescent="0.2">
      <c r="A433" s="4" t="s">
        <v>617</v>
      </c>
      <c r="B433">
        <v>432</v>
      </c>
      <c r="C433" s="4" t="s">
        <v>26</v>
      </c>
      <c r="D433" s="4" t="s">
        <v>32</v>
      </c>
      <c r="E433" s="4" t="s">
        <v>50</v>
      </c>
      <c r="F433" s="4" t="s">
        <v>73</v>
      </c>
      <c r="G433">
        <v>4</v>
      </c>
      <c r="H433">
        <v>18</v>
      </c>
      <c r="I433" s="4" t="s">
        <v>116</v>
      </c>
      <c r="J433" s="4" t="s">
        <v>133</v>
      </c>
      <c r="K433" s="4" t="s">
        <v>134</v>
      </c>
      <c r="L433">
        <v>7</v>
      </c>
      <c r="M433" s="4" t="s">
        <v>158</v>
      </c>
    </row>
    <row r="434" spans="1:13" x14ac:dyDescent="0.2">
      <c r="A434" s="4" t="s">
        <v>618</v>
      </c>
      <c r="B434">
        <v>433</v>
      </c>
      <c r="C434" s="4" t="s">
        <v>26</v>
      </c>
      <c r="D434" s="4" t="s">
        <v>32</v>
      </c>
      <c r="E434" s="4" t="s">
        <v>53</v>
      </c>
      <c r="F434" s="4" t="s">
        <v>75</v>
      </c>
      <c r="G434">
        <v>4</v>
      </c>
      <c r="H434">
        <v>19</v>
      </c>
      <c r="I434" s="4" t="s">
        <v>35</v>
      </c>
      <c r="J434" s="4" t="s">
        <v>122</v>
      </c>
      <c r="K434" s="4" t="s">
        <v>123</v>
      </c>
      <c r="L434">
        <v>572</v>
      </c>
      <c r="M434" s="4" t="s">
        <v>158</v>
      </c>
    </row>
    <row r="435" spans="1:13" x14ac:dyDescent="0.2">
      <c r="A435" s="4" t="s">
        <v>619</v>
      </c>
      <c r="B435">
        <v>434</v>
      </c>
      <c r="C435" s="4" t="s">
        <v>26</v>
      </c>
      <c r="D435" s="4" t="s">
        <v>32</v>
      </c>
      <c r="E435" s="4" t="s">
        <v>53</v>
      </c>
      <c r="F435" s="4" t="s">
        <v>75</v>
      </c>
      <c r="G435">
        <v>4</v>
      </c>
      <c r="H435">
        <v>19</v>
      </c>
      <c r="I435" s="4" t="s">
        <v>35</v>
      </c>
      <c r="J435" s="4" t="s">
        <v>125</v>
      </c>
      <c r="K435" s="4" t="s">
        <v>126</v>
      </c>
      <c r="L435">
        <v>304</v>
      </c>
      <c r="M435" s="4" t="s">
        <v>158</v>
      </c>
    </row>
    <row r="436" spans="1:13" x14ac:dyDescent="0.2">
      <c r="A436" s="4" t="s">
        <v>620</v>
      </c>
      <c r="B436">
        <v>435</v>
      </c>
      <c r="C436" s="4" t="s">
        <v>26</v>
      </c>
      <c r="D436" s="4" t="s">
        <v>32</v>
      </c>
      <c r="E436" s="4" t="s">
        <v>53</v>
      </c>
      <c r="F436" s="4" t="s">
        <v>75</v>
      </c>
      <c r="G436">
        <v>4</v>
      </c>
      <c r="H436">
        <v>19</v>
      </c>
      <c r="I436" s="4" t="s">
        <v>35</v>
      </c>
      <c r="J436" s="4" t="s">
        <v>127</v>
      </c>
      <c r="K436" s="4" t="s">
        <v>128</v>
      </c>
      <c r="L436">
        <v>380</v>
      </c>
      <c r="M436" s="4" t="s">
        <v>158</v>
      </c>
    </row>
    <row r="437" spans="1:13" x14ac:dyDescent="0.2">
      <c r="A437" s="4" t="s">
        <v>621</v>
      </c>
      <c r="B437">
        <v>436</v>
      </c>
      <c r="C437" s="4" t="s">
        <v>26</v>
      </c>
      <c r="D437" s="4" t="s">
        <v>32</v>
      </c>
      <c r="E437" s="4" t="s">
        <v>53</v>
      </c>
      <c r="F437" s="4" t="s">
        <v>75</v>
      </c>
      <c r="G437">
        <v>4</v>
      </c>
      <c r="H437">
        <v>19</v>
      </c>
      <c r="I437" s="4" t="s">
        <v>35</v>
      </c>
      <c r="J437" s="4" t="s">
        <v>129</v>
      </c>
      <c r="K437" s="4" t="s">
        <v>130</v>
      </c>
      <c r="L437">
        <v>96</v>
      </c>
      <c r="M437" s="4" t="s">
        <v>158</v>
      </c>
    </row>
    <row r="438" spans="1:13" x14ac:dyDescent="0.2">
      <c r="A438" s="4" t="s">
        <v>622</v>
      </c>
      <c r="B438">
        <v>437</v>
      </c>
      <c r="C438" s="4" t="s">
        <v>26</v>
      </c>
      <c r="D438" s="4" t="s">
        <v>32</v>
      </c>
      <c r="E438" s="4" t="s">
        <v>53</v>
      </c>
      <c r="F438" s="4" t="s">
        <v>75</v>
      </c>
      <c r="G438">
        <v>4</v>
      </c>
      <c r="H438">
        <v>19</v>
      </c>
      <c r="I438" s="4" t="s">
        <v>35</v>
      </c>
      <c r="J438" s="4" t="s">
        <v>131</v>
      </c>
      <c r="K438" s="4" t="s">
        <v>132</v>
      </c>
      <c r="L438">
        <v>233</v>
      </c>
      <c r="M438" s="4" t="s">
        <v>158</v>
      </c>
    </row>
    <row r="439" spans="1:13" x14ac:dyDescent="0.2">
      <c r="A439" s="4" t="s">
        <v>623</v>
      </c>
      <c r="B439">
        <v>438</v>
      </c>
      <c r="C439" s="4" t="s">
        <v>26</v>
      </c>
      <c r="D439" s="4" t="s">
        <v>32</v>
      </c>
      <c r="E439" s="4" t="s">
        <v>53</v>
      </c>
      <c r="F439" s="4" t="s">
        <v>75</v>
      </c>
      <c r="G439">
        <v>4</v>
      </c>
      <c r="H439">
        <v>19</v>
      </c>
      <c r="I439" s="4" t="s">
        <v>35</v>
      </c>
      <c r="J439" s="4" t="s">
        <v>133</v>
      </c>
      <c r="K439" s="4" t="s">
        <v>134</v>
      </c>
      <c r="L439">
        <v>109</v>
      </c>
      <c r="M439" s="4" t="s">
        <v>158</v>
      </c>
    </row>
    <row r="440" spans="1:13" x14ac:dyDescent="0.2">
      <c r="A440" s="4" t="s">
        <v>624</v>
      </c>
      <c r="B440">
        <v>439</v>
      </c>
      <c r="C440" s="4" t="s">
        <v>26</v>
      </c>
      <c r="D440" s="4" t="s">
        <v>32</v>
      </c>
      <c r="E440" s="4" t="s">
        <v>53</v>
      </c>
      <c r="F440" s="4" t="s">
        <v>75</v>
      </c>
      <c r="G440">
        <v>4</v>
      </c>
      <c r="H440">
        <v>19</v>
      </c>
      <c r="I440" s="4" t="s">
        <v>112</v>
      </c>
      <c r="J440" s="4" t="s">
        <v>122</v>
      </c>
      <c r="K440" s="4" t="s">
        <v>123</v>
      </c>
      <c r="L440">
        <v>87</v>
      </c>
      <c r="M440" s="4" t="s">
        <v>158</v>
      </c>
    </row>
    <row r="441" spans="1:13" x14ac:dyDescent="0.2">
      <c r="A441" s="4" t="s">
        <v>625</v>
      </c>
      <c r="B441">
        <v>440</v>
      </c>
      <c r="C441" s="4" t="s">
        <v>26</v>
      </c>
      <c r="D441" s="4" t="s">
        <v>32</v>
      </c>
      <c r="E441" s="4" t="s">
        <v>53</v>
      </c>
      <c r="F441" s="4" t="s">
        <v>75</v>
      </c>
      <c r="G441">
        <v>4</v>
      </c>
      <c r="H441">
        <v>19</v>
      </c>
      <c r="I441" s="4" t="s">
        <v>112</v>
      </c>
      <c r="J441" s="4" t="s">
        <v>125</v>
      </c>
      <c r="K441" s="4" t="s">
        <v>126</v>
      </c>
      <c r="L441">
        <v>32</v>
      </c>
      <c r="M441" s="4" t="s">
        <v>158</v>
      </c>
    </row>
    <row r="442" spans="1:13" x14ac:dyDescent="0.2">
      <c r="A442" s="4" t="s">
        <v>626</v>
      </c>
      <c r="B442">
        <v>441</v>
      </c>
      <c r="C442" s="4" t="s">
        <v>26</v>
      </c>
      <c r="D442" s="4" t="s">
        <v>32</v>
      </c>
      <c r="E442" s="4" t="s">
        <v>53</v>
      </c>
      <c r="F442" s="4" t="s">
        <v>75</v>
      </c>
      <c r="G442">
        <v>4</v>
      </c>
      <c r="H442">
        <v>19</v>
      </c>
      <c r="I442" s="4" t="s">
        <v>112</v>
      </c>
      <c r="J442" s="4" t="s">
        <v>127</v>
      </c>
      <c r="K442" s="4" t="s">
        <v>128</v>
      </c>
      <c r="L442">
        <v>55</v>
      </c>
      <c r="M442" s="4" t="s">
        <v>158</v>
      </c>
    </row>
    <row r="443" spans="1:13" x14ac:dyDescent="0.2">
      <c r="A443" s="4" t="s">
        <v>627</v>
      </c>
      <c r="B443">
        <v>442</v>
      </c>
      <c r="C443" s="4" t="s">
        <v>26</v>
      </c>
      <c r="D443" s="4" t="s">
        <v>32</v>
      </c>
      <c r="E443" s="4" t="s">
        <v>53</v>
      </c>
      <c r="F443" s="4" t="s">
        <v>75</v>
      </c>
      <c r="G443">
        <v>4</v>
      </c>
      <c r="H443">
        <v>19</v>
      </c>
      <c r="I443" s="4" t="s">
        <v>112</v>
      </c>
      <c r="J443" s="4" t="s">
        <v>129</v>
      </c>
      <c r="K443" s="4" t="s">
        <v>130</v>
      </c>
      <c r="L443">
        <v>40</v>
      </c>
      <c r="M443" s="4" t="s">
        <v>158</v>
      </c>
    </row>
    <row r="444" spans="1:13" x14ac:dyDescent="0.2">
      <c r="A444" s="4" t="s">
        <v>628</v>
      </c>
      <c r="B444">
        <v>443</v>
      </c>
      <c r="C444" s="4" t="s">
        <v>26</v>
      </c>
      <c r="D444" s="4" t="s">
        <v>32</v>
      </c>
      <c r="E444" s="4" t="s">
        <v>53</v>
      </c>
      <c r="F444" s="4" t="s">
        <v>75</v>
      </c>
      <c r="G444">
        <v>4</v>
      </c>
      <c r="H444">
        <v>19</v>
      </c>
      <c r="I444" s="4" t="s">
        <v>112</v>
      </c>
      <c r="J444" s="4" t="s">
        <v>131</v>
      </c>
      <c r="K444" s="4" t="s">
        <v>132</v>
      </c>
      <c r="L444">
        <v>60</v>
      </c>
      <c r="M444" s="4" t="s">
        <v>158</v>
      </c>
    </row>
    <row r="445" spans="1:13" x14ac:dyDescent="0.2">
      <c r="A445" s="4" t="s">
        <v>629</v>
      </c>
      <c r="B445">
        <v>444</v>
      </c>
      <c r="C445" s="4" t="s">
        <v>26</v>
      </c>
      <c r="D445" s="4" t="s">
        <v>32</v>
      </c>
      <c r="E445" s="4" t="s">
        <v>53</v>
      </c>
      <c r="F445" s="4" t="s">
        <v>75</v>
      </c>
      <c r="G445">
        <v>4</v>
      </c>
      <c r="H445">
        <v>19</v>
      </c>
      <c r="I445" s="4" t="s">
        <v>112</v>
      </c>
      <c r="J445" s="4" t="s">
        <v>133</v>
      </c>
      <c r="K445" s="4" t="s">
        <v>134</v>
      </c>
      <c r="L445">
        <v>19</v>
      </c>
      <c r="M445" s="4" t="s">
        <v>158</v>
      </c>
    </row>
    <row r="446" spans="1:13" x14ac:dyDescent="0.2">
      <c r="A446" s="4" t="s">
        <v>630</v>
      </c>
      <c r="B446">
        <v>445</v>
      </c>
      <c r="C446" s="4" t="s">
        <v>26</v>
      </c>
      <c r="D446" s="4" t="s">
        <v>32</v>
      </c>
      <c r="E446" s="4" t="s">
        <v>53</v>
      </c>
      <c r="F446" s="4" t="s">
        <v>75</v>
      </c>
      <c r="G446">
        <v>4</v>
      </c>
      <c r="H446">
        <v>19</v>
      </c>
      <c r="I446" s="4" t="s">
        <v>114</v>
      </c>
      <c r="J446" s="4" t="s">
        <v>122</v>
      </c>
      <c r="K446" s="4" t="s">
        <v>123</v>
      </c>
      <c r="L446">
        <v>100</v>
      </c>
      <c r="M446" s="4" t="s">
        <v>158</v>
      </c>
    </row>
    <row r="447" spans="1:13" x14ac:dyDescent="0.2">
      <c r="A447" s="4" t="s">
        <v>631</v>
      </c>
      <c r="B447">
        <v>446</v>
      </c>
      <c r="C447" s="4" t="s">
        <v>26</v>
      </c>
      <c r="D447" s="4" t="s">
        <v>32</v>
      </c>
      <c r="E447" s="4" t="s">
        <v>53</v>
      </c>
      <c r="F447" s="4" t="s">
        <v>75</v>
      </c>
      <c r="G447">
        <v>4</v>
      </c>
      <c r="H447">
        <v>19</v>
      </c>
      <c r="I447" s="4" t="s">
        <v>114</v>
      </c>
      <c r="J447" s="4" t="s">
        <v>125</v>
      </c>
      <c r="K447" s="4" t="s">
        <v>126</v>
      </c>
      <c r="L447">
        <v>40</v>
      </c>
      <c r="M447" s="4" t="s">
        <v>158</v>
      </c>
    </row>
    <row r="448" spans="1:13" x14ac:dyDescent="0.2">
      <c r="A448" s="4" t="s">
        <v>632</v>
      </c>
      <c r="B448">
        <v>447</v>
      </c>
      <c r="C448" s="4" t="s">
        <v>26</v>
      </c>
      <c r="D448" s="4" t="s">
        <v>32</v>
      </c>
      <c r="E448" s="4" t="s">
        <v>53</v>
      </c>
      <c r="F448" s="4" t="s">
        <v>75</v>
      </c>
      <c r="G448">
        <v>4</v>
      </c>
      <c r="H448">
        <v>19</v>
      </c>
      <c r="I448" s="4" t="s">
        <v>114</v>
      </c>
      <c r="J448" s="4" t="s">
        <v>127</v>
      </c>
      <c r="K448" s="4" t="s">
        <v>128</v>
      </c>
      <c r="L448">
        <v>123</v>
      </c>
      <c r="M448" s="4" t="s">
        <v>158</v>
      </c>
    </row>
    <row r="449" spans="1:13" x14ac:dyDescent="0.2">
      <c r="A449" s="4" t="s">
        <v>633</v>
      </c>
      <c r="B449">
        <v>448</v>
      </c>
      <c r="C449" s="4" t="s">
        <v>26</v>
      </c>
      <c r="D449" s="4" t="s">
        <v>32</v>
      </c>
      <c r="E449" s="4" t="s">
        <v>53</v>
      </c>
      <c r="F449" s="4" t="s">
        <v>75</v>
      </c>
      <c r="G449">
        <v>4</v>
      </c>
      <c r="H449">
        <v>19</v>
      </c>
      <c r="I449" s="4" t="s">
        <v>114</v>
      </c>
      <c r="J449" s="4" t="s">
        <v>129</v>
      </c>
      <c r="K449" s="4" t="s">
        <v>130</v>
      </c>
      <c r="L449">
        <v>40</v>
      </c>
      <c r="M449" s="4" t="s">
        <v>158</v>
      </c>
    </row>
    <row r="450" spans="1:13" x14ac:dyDescent="0.2">
      <c r="A450" s="4" t="s">
        <v>634</v>
      </c>
      <c r="B450">
        <v>449</v>
      </c>
      <c r="C450" s="4" t="s">
        <v>26</v>
      </c>
      <c r="D450" s="4" t="s">
        <v>32</v>
      </c>
      <c r="E450" s="4" t="s">
        <v>53</v>
      </c>
      <c r="F450" s="4" t="s">
        <v>75</v>
      </c>
      <c r="G450">
        <v>4</v>
      </c>
      <c r="H450">
        <v>19</v>
      </c>
      <c r="I450" s="4" t="s">
        <v>114</v>
      </c>
      <c r="J450" s="4" t="s">
        <v>131</v>
      </c>
      <c r="K450" s="4" t="s">
        <v>132</v>
      </c>
      <c r="L450">
        <v>42</v>
      </c>
      <c r="M450" s="4" t="s">
        <v>158</v>
      </c>
    </row>
    <row r="451" spans="1:13" x14ac:dyDescent="0.2">
      <c r="A451" s="4" t="s">
        <v>635</v>
      </c>
      <c r="B451">
        <v>450</v>
      </c>
      <c r="C451" s="4" t="s">
        <v>26</v>
      </c>
      <c r="D451" s="4" t="s">
        <v>32</v>
      </c>
      <c r="E451" s="4" t="s">
        <v>53</v>
      </c>
      <c r="F451" s="4" t="s">
        <v>75</v>
      </c>
      <c r="G451">
        <v>4</v>
      </c>
      <c r="H451">
        <v>19</v>
      </c>
      <c r="I451" s="4" t="s">
        <v>114</v>
      </c>
      <c r="J451" s="4" t="s">
        <v>133</v>
      </c>
      <c r="K451" s="4" t="s">
        <v>134</v>
      </c>
      <c r="L451">
        <v>40</v>
      </c>
      <c r="M451" s="4" t="s">
        <v>158</v>
      </c>
    </row>
    <row r="452" spans="1:13" x14ac:dyDescent="0.2">
      <c r="A452" s="4" t="s">
        <v>636</v>
      </c>
      <c r="B452">
        <v>451</v>
      </c>
      <c r="C452" s="4" t="s">
        <v>26</v>
      </c>
      <c r="D452" s="4" t="s">
        <v>32</v>
      </c>
      <c r="E452" s="4" t="s">
        <v>53</v>
      </c>
      <c r="F452" s="4" t="s">
        <v>75</v>
      </c>
      <c r="G452">
        <v>4</v>
      </c>
      <c r="H452">
        <v>19</v>
      </c>
      <c r="I452" s="4" t="s">
        <v>116</v>
      </c>
      <c r="J452" s="4" t="s">
        <v>122</v>
      </c>
      <c r="K452" s="4" t="s">
        <v>123</v>
      </c>
      <c r="L452">
        <v>0</v>
      </c>
      <c r="M452" s="4" t="s">
        <v>158</v>
      </c>
    </row>
    <row r="453" spans="1:13" x14ac:dyDescent="0.2">
      <c r="A453" s="4" t="s">
        <v>637</v>
      </c>
      <c r="B453">
        <v>452</v>
      </c>
      <c r="C453" s="4" t="s">
        <v>26</v>
      </c>
      <c r="D453" s="4" t="s">
        <v>32</v>
      </c>
      <c r="E453" s="4" t="s">
        <v>53</v>
      </c>
      <c r="F453" s="4" t="s">
        <v>75</v>
      </c>
      <c r="G453">
        <v>4</v>
      </c>
      <c r="H453">
        <v>19</v>
      </c>
      <c r="I453" s="4" t="s">
        <v>116</v>
      </c>
      <c r="J453" s="4" t="s">
        <v>125</v>
      </c>
      <c r="K453" s="4" t="s">
        <v>126</v>
      </c>
      <c r="L453">
        <v>40</v>
      </c>
      <c r="M453" s="4" t="s">
        <v>158</v>
      </c>
    </row>
    <row r="454" spans="1:13" x14ac:dyDescent="0.2">
      <c r="A454" s="4" t="s">
        <v>638</v>
      </c>
      <c r="B454">
        <v>453</v>
      </c>
      <c r="C454" s="4" t="s">
        <v>26</v>
      </c>
      <c r="D454" s="4" t="s">
        <v>32</v>
      </c>
      <c r="E454" s="4" t="s">
        <v>53</v>
      </c>
      <c r="F454" s="4" t="s">
        <v>75</v>
      </c>
      <c r="G454">
        <v>4</v>
      </c>
      <c r="H454">
        <v>19</v>
      </c>
      <c r="I454" s="4" t="s">
        <v>116</v>
      </c>
      <c r="J454" s="4" t="s">
        <v>127</v>
      </c>
      <c r="K454" s="4" t="s">
        <v>128</v>
      </c>
      <c r="L454">
        <v>30</v>
      </c>
      <c r="M454" s="4" t="s">
        <v>158</v>
      </c>
    </row>
    <row r="455" spans="1:13" x14ac:dyDescent="0.2">
      <c r="A455" s="4" t="s">
        <v>639</v>
      </c>
      <c r="B455">
        <v>454</v>
      </c>
      <c r="C455" s="4" t="s">
        <v>26</v>
      </c>
      <c r="D455" s="4" t="s">
        <v>32</v>
      </c>
      <c r="E455" s="4" t="s">
        <v>53</v>
      </c>
      <c r="F455" s="4" t="s">
        <v>75</v>
      </c>
      <c r="G455">
        <v>4</v>
      </c>
      <c r="H455">
        <v>19</v>
      </c>
      <c r="I455" s="4" t="s">
        <v>116</v>
      </c>
      <c r="J455" s="4" t="s">
        <v>129</v>
      </c>
      <c r="K455" s="4" t="s">
        <v>130</v>
      </c>
      <c r="L455">
        <v>76</v>
      </c>
      <c r="M455" s="4" t="s">
        <v>158</v>
      </c>
    </row>
    <row r="456" spans="1:13" x14ac:dyDescent="0.2">
      <c r="A456" s="4" t="s">
        <v>640</v>
      </c>
      <c r="B456">
        <v>455</v>
      </c>
      <c r="C456" s="4" t="s">
        <v>26</v>
      </c>
      <c r="D456" s="4" t="s">
        <v>32</v>
      </c>
      <c r="E456" s="4" t="s">
        <v>53</v>
      </c>
      <c r="F456" s="4" t="s">
        <v>75</v>
      </c>
      <c r="G456">
        <v>4</v>
      </c>
      <c r="H456">
        <v>19</v>
      </c>
      <c r="I456" s="4" t="s">
        <v>116</v>
      </c>
      <c r="J456" s="4" t="s">
        <v>131</v>
      </c>
      <c r="K456" s="4" t="s">
        <v>132</v>
      </c>
      <c r="L456">
        <v>40</v>
      </c>
      <c r="M456" s="4" t="s">
        <v>158</v>
      </c>
    </row>
    <row r="457" spans="1:13" x14ac:dyDescent="0.2">
      <c r="A457" s="4" t="s">
        <v>641</v>
      </c>
      <c r="B457">
        <v>456</v>
      </c>
      <c r="C457" s="4" t="s">
        <v>26</v>
      </c>
      <c r="D457" s="4" t="s">
        <v>32</v>
      </c>
      <c r="E457" s="4" t="s">
        <v>53</v>
      </c>
      <c r="F457" s="4" t="s">
        <v>75</v>
      </c>
      <c r="G457">
        <v>4</v>
      </c>
      <c r="H457">
        <v>19</v>
      </c>
      <c r="I457" s="4" t="s">
        <v>116</v>
      </c>
      <c r="J457" s="4" t="s">
        <v>133</v>
      </c>
      <c r="K457" s="4" t="s">
        <v>134</v>
      </c>
      <c r="L457">
        <v>40</v>
      </c>
      <c r="M457" s="4" t="s">
        <v>158</v>
      </c>
    </row>
    <row r="458" spans="1:13" x14ac:dyDescent="0.2">
      <c r="A458" s="4" t="s">
        <v>642</v>
      </c>
      <c r="B458">
        <v>457</v>
      </c>
      <c r="C458" s="4" t="s">
        <v>26</v>
      </c>
      <c r="D458" s="4" t="s">
        <v>32</v>
      </c>
      <c r="E458" s="4" t="s">
        <v>56</v>
      </c>
      <c r="F458" s="4" t="s">
        <v>77</v>
      </c>
      <c r="G458">
        <v>4</v>
      </c>
      <c r="H458">
        <v>20</v>
      </c>
      <c r="I458" s="4" t="s">
        <v>35</v>
      </c>
      <c r="J458" s="4" t="s">
        <v>122</v>
      </c>
      <c r="K458" s="4" t="s">
        <v>123</v>
      </c>
      <c r="L458">
        <v>389</v>
      </c>
      <c r="M458" s="4" t="s">
        <v>158</v>
      </c>
    </row>
    <row r="459" spans="1:13" x14ac:dyDescent="0.2">
      <c r="A459" s="4" t="s">
        <v>643</v>
      </c>
      <c r="B459">
        <v>458</v>
      </c>
      <c r="C459" s="4" t="s">
        <v>26</v>
      </c>
      <c r="D459" s="4" t="s">
        <v>32</v>
      </c>
      <c r="E459" s="4" t="s">
        <v>56</v>
      </c>
      <c r="F459" s="4" t="s">
        <v>77</v>
      </c>
      <c r="G459">
        <v>4</v>
      </c>
      <c r="H459">
        <v>20</v>
      </c>
      <c r="I459" s="4" t="s">
        <v>35</v>
      </c>
      <c r="J459" s="4" t="s">
        <v>125</v>
      </c>
      <c r="K459" s="4" t="s">
        <v>126</v>
      </c>
      <c r="L459">
        <v>286</v>
      </c>
      <c r="M459" s="4" t="s">
        <v>158</v>
      </c>
    </row>
    <row r="460" spans="1:13" x14ac:dyDescent="0.2">
      <c r="A460" s="4" t="s">
        <v>644</v>
      </c>
      <c r="B460">
        <v>459</v>
      </c>
      <c r="C460" s="4" t="s">
        <v>26</v>
      </c>
      <c r="D460" s="4" t="s">
        <v>32</v>
      </c>
      <c r="E460" s="4" t="s">
        <v>56</v>
      </c>
      <c r="F460" s="4" t="s">
        <v>77</v>
      </c>
      <c r="G460">
        <v>4</v>
      </c>
      <c r="H460">
        <v>20</v>
      </c>
      <c r="I460" s="4" t="s">
        <v>35</v>
      </c>
      <c r="J460" s="4" t="s">
        <v>127</v>
      </c>
      <c r="K460" s="4" t="s">
        <v>128</v>
      </c>
      <c r="L460">
        <v>268</v>
      </c>
      <c r="M460" s="4" t="s">
        <v>158</v>
      </c>
    </row>
    <row r="461" spans="1:13" x14ac:dyDescent="0.2">
      <c r="A461" s="4" t="s">
        <v>645</v>
      </c>
      <c r="B461">
        <v>460</v>
      </c>
      <c r="C461" s="4" t="s">
        <v>26</v>
      </c>
      <c r="D461" s="4" t="s">
        <v>32</v>
      </c>
      <c r="E461" s="4" t="s">
        <v>56</v>
      </c>
      <c r="F461" s="4" t="s">
        <v>77</v>
      </c>
      <c r="G461">
        <v>4</v>
      </c>
      <c r="H461">
        <v>20</v>
      </c>
      <c r="I461" s="4" t="s">
        <v>35</v>
      </c>
      <c r="J461" s="4" t="s">
        <v>129</v>
      </c>
      <c r="K461" s="4" t="s">
        <v>130</v>
      </c>
      <c r="L461">
        <v>72</v>
      </c>
      <c r="M461" s="4" t="s">
        <v>158</v>
      </c>
    </row>
    <row r="462" spans="1:13" x14ac:dyDescent="0.2">
      <c r="A462" s="4" t="s">
        <v>646</v>
      </c>
      <c r="B462">
        <v>461</v>
      </c>
      <c r="C462" s="4" t="s">
        <v>26</v>
      </c>
      <c r="D462" s="4" t="s">
        <v>32</v>
      </c>
      <c r="E462" s="4" t="s">
        <v>56</v>
      </c>
      <c r="F462" s="4" t="s">
        <v>77</v>
      </c>
      <c r="G462">
        <v>4</v>
      </c>
      <c r="H462">
        <v>20</v>
      </c>
      <c r="I462" s="4" t="s">
        <v>35</v>
      </c>
      <c r="J462" s="4" t="s">
        <v>131</v>
      </c>
      <c r="K462" s="4" t="s">
        <v>132</v>
      </c>
      <c r="L462">
        <v>205</v>
      </c>
      <c r="M462" s="4" t="s">
        <v>158</v>
      </c>
    </row>
    <row r="463" spans="1:13" x14ac:dyDescent="0.2">
      <c r="A463" s="4" t="s">
        <v>647</v>
      </c>
      <c r="B463">
        <v>462</v>
      </c>
      <c r="C463" s="4" t="s">
        <v>26</v>
      </c>
      <c r="D463" s="4" t="s">
        <v>32</v>
      </c>
      <c r="E463" s="4" t="s">
        <v>56</v>
      </c>
      <c r="F463" s="4" t="s">
        <v>77</v>
      </c>
      <c r="G463">
        <v>4</v>
      </c>
      <c r="H463">
        <v>20</v>
      </c>
      <c r="I463" s="4" t="s">
        <v>35</v>
      </c>
      <c r="J463" s="4" t="s">
        <v>133</v>
      </c>
      <c r="K463" s="4" t="s">
        <v>134</v>
      </c>
      <c r="L463">
        <v>68</v>
      </c>
      <c r="M463" s="4" t="s">
        <v>158</v>
      </c>
    </row>
    <row r="464" spans="1:13" x14ac:dyDescent="0.2">
      <c r="A464" s="4" t="s">
        <v>648</v>
      </c>
      <c r="B464">
        <v>463</v>
      </c>
      <c r="C464" s="4" t="s">
        <v>26</v>
      </c>
      <c r="D464" s="4" t="s">
        <v>32</v>
      </c>
      <c r="E464" s="4" t="s">
        <v>56</v>
      </c>
      <c r="F464" s="4" t="s">
        <v>77</v>
      </c>
      <c r="G464">
        <v>4</v>
      </c>
      <c r="H464">
        <v>20</v>
      </c>
      <c r="I464" s="4" t="s">
        <v>112</v>
      </c>
      <c r="J464" s="4" t="s">
        <v>122</v>
      </c>
      <c r="K464" s="4" t="s">
        <v>123</v>
      </c>
      <c r="L464">
        <v>207</v>
      </c>
      <c r="M464" s="4" t="s">
        <v>158</v>
      </c>
    </row>
    <row r="465" spans="1:13" x14ac:dyDescent="0.2">
      <c r="A465" s="4" t="s">
        <v>649</v>
      </c>
      <c r="B465">
        <v>464</v>
      </c>
      <c r="C465" s="4" t="s">
        <v>26</v>
      </c>
      <c r="D465" s="4" t="s">
        <v>32</v>
      </c>
      <c r="E465" s="4" t="s">
        <v>56</v>
      </c>
      <c r="F465" s="4" t="s">
        <v>77</v>
      </c>
      <c r="G465">
        <v>4</v>
      </c>
      <c r="H465">
        <v>20</v>
      </c>
      <c r="I465" s="4" t="s">
        <v>112</v>
      </c>
      <c r="J465" s="4" t="s">
        <v>125</v>
      </c>
      <c r="K465" s="4" t="s">
        <v>126</v>
      </c>
      <c r="L465">
        <v>50</v>
      </c>
      <c r="M465" s="4" t="s">
        <v>158</v>
      </c>
    </row>
    <row r="466" spans="1:13" x14ac:dyDescent="0.2">
      <c r="A466" s="4" t="s">
        <v>650</v>
      </c>
      <c r="B466">
        <v>465</v>
      </c>
      <c r="C466" s="4" t="s">
        <v>26</v>
      </c>
      <c r="D466" s="4" t="s">
        <v>32</v>
      </c>
      <c r="E466" s="4" t="s">
        <v>56</v>
      </c>
      <c r="F466" s="4" t="s">
        <v>77</v>
      </c>
      <c r="G466">
        <v>4</v>
      </c>
      <c r="H466">
        <v>20</v>
      </c>
      <c r="I466" s="4" t="s">
        <v>112</v>
      </c>
      <c r="J466" s="4" t="s">
        <v>127</v>
      </c>
      <c r="K466" s="4" t="s">
        <v>128</v>
      </c>
      <c r="L466">
        <v>120</v>
      </c>
      <c r="M466" s="4" t="s">
        <v>158</v>
      </c>
    </row>
    <row r="467" spans="1:13" x14ac:dyDescent="0.2">
      <c r="A467" s="4" t="s">
        <v>651</v>
      </c>
      <c r="B467">
        <v>466</v>
      </c>
      <c r="C467" s="4" t="s">
        <v>26</v>
      </c>
      <c r="D467" s="4" t="s">
        <v>32</v>
      </c>
      <c r="E467" s="4" t="s">
        <v>56</v>
      </c>
      <c r="F467" s="4" t="s">
        <v>77</v>
      </c>
      <c r="G467">
        <v>4</v>
      </c>
      <c r="H467">
        <v>20</v>
      </c>
      <c r="I467" s="4" t="s">
        <v>112</v>
      </c>
      <c r="J467" s="4" t="s">
        <v>129</v>
      </c>
      <c r="K467" s="4" t="s">
        <v>130</v>
      </c>
      <c r="L467">
        <v>40</v>
      </c>
      <c r="M467" s="4" t="s">
        <v>158</v>
      </c>
    </row>
    <row r="468" spans="1:13" x14ac:dyDescent="0.2">
      <c r="A468" s="4" t="s">
        <v>652</v>
      </c>
      <c r="B468">
        <v>467</v>
      </c>
      <c r="C468" s="4" t="s">
        <v>26</v>
      </c>
      <c r="D468" s="4" t="s">
        <v>32</v>
      </c>
      <c r="E468" s="4" t="s">
        <v>56</v>
      </c>
      <c r="F468" s="4" t="s">
        <v>77</v>
      </c>
      <c r="G468">
        <v>4</v>
      </c>
      <c r="H468">
        <v>20</v>
      </c>
      <c r="I468" s="4" t="s">
        <v>112</v>
      </c>
      <c r="J468" s="4" t="s">
        <v>131</v>
      </c>
      <c r="K468" s="4" t="s">
        <v>132</v>
      </c>
      <c r="L468">
        <v>60</v>
      </c>
      <c r="M468" s="4" t="s">
        <v>158</v>
      </c>
    </row>
    <row r="469" spans="1:13" x14ac:dyDescent="0.2">
      <c r="A469" s="4" t="s">
        <v>653</v>
      </c>
      <c r="B469">
        <v>468</v>
      </c>
      <c r="C469" s="4" t="s">
        <v>26</v>
      </c>
      <c r="D469" s="4" t="s">
        <v>32</v>
      </c>
      <c r="E469" s="4" t="s">
        <v>56</v>
      </c>
      <c r="F469" s="4" t="s">
        <v>77</v>
      </c>
      <c r="G469">
        <v>4</v>
      </c>
      <c r="H469">
        <v>20</v>
      </c>
      <c r="I469" s="4" t="s">
        <v>112</v>
      </c>
      <c r="J469" s="4" t="s">
        <v>133</v>
      </c>
      <c r="K469" s="4" t="s">
        <v>134</v>
      </c>
      <c r="L469">
        <v>41</v>
      </c>
      <c r="M469" s="4" t="s">
        <v>158</v>
      </c>
    </row>
    <row r="470" spans="1:13" x14ac:dyDescent="0.2">
      <c r="A470" s="4" t="s">
        <v>654</v>
      </c>
      <c r="B470">
        <v>469</v>
      </c>
      <c r="C470" s="4" t="s">
        <v>26</v>
      </c>
      <c r="D470" s="4" t="s">
        <v>32</v>
      </c>
      <c r="E470" s="4" t="s">
        <v>56</v>
      </c>
      <c r="F470" s="4" t="s">
        <v>77</v>
      </c>
      <c r="G470">
        <v>4</v>
      </c>
      <c r="H470">
        <v>20</v>
      </c>
      <c r="I470" s="4" t="s">
        <v>114</v>
      </c>
      <c r="J470" s="4" t="s">
        <v>122</v>
      </c>
      <c r="K470" s="4" t="s">
        <v>123</v>
      </c>
      <c r="L470">
        <v>100</v>
      </c>
      <c r="M470" s="4" t="s">
        <v>158</v>
      </c>
    </row>
    <row r="471" spans="1:13" x14ac:dyDescent="0.2">
      <c r="A471" s="4" t="s">
        <v>655</v>
      </c>
      <c r="B471">
        <v>470</v>
      </c>
      <c r="C471" s="4" t="s">
        <v>26</v>
      </c>
      <c r="D471" s="4" t="s">
        <v>32</v>
      </c>
      <c r="E471" s="4" t="s">
        <v>56</v>
      </c>
      <c r="F471" s="4" t="s">
        <v>77</v>
      </c>
      <c r="G471">
        <v>4</v>
      </c>
      <c r="H471">
        <v>20</v>
      </c>
      <c r="I471" s="4" t="s">
        <v>114</v>
      </c>
      <c r="J471" s="4" t="s">
        <v>125</v>
      </c>
      <c r="K471" s="4" t="s">
        <v>126</v>
      </c>
      <c r="L471">
        <v>15</v>
      </c>
      <c r="M471" s="4" t="s">
        <v>158</v>
      </c>
    </row>
    <row r="472" spans="1:13" x14ac:dyDescent="0.2">
      <c r="A472" s="4" t="s">
        <v>656</v>
      </c>
      <c r="B472">
        <v>471</v>
      </c>
      <c r="C472" s="4" t="s">
        <v>26</v>
      </c>
      <c r="D472" s="4" t="s">
        <v>32</v>
      </c>
      <c r="E472" s="4" t="s">
        <v>56</v>
      </c>
      <c r="F472" s="4" t="s">
        <v>77</v>
      </c>
      <c r="G472">
        <v>4</v>
      </c>
      <c r="H472">
        <v>20</v>
      </c>
      <c r="I472" s="4" t="s">
        <v>114</v>
      </c>
      <c r="J472" s="4" t="s">
        <v>127</v>
      </c>
      <c r="K472" s="4" t="s">
        <v>128</v>
      </c>
      <c r="L472">
        <v>27</v>
      </c>
      <c r="M472" s="4" t="s">
        <v>158</v>
      </c>
    </row>
    <row r="473" spans="1:13" x14ac:dyDescent="0.2">
      <c r="A473" s="4" t="s">
        <v>657</v>
      </c>
      <c r="B473">
        <v>472</v>
      </c>
      <c r="C473" s="4" t="s">
        <v>26</v>
      </c>
      <c r="D473" s="4" t="s">
        <v>32</v>
      </c>
      <c r="E473" s="4" t="s">
        <v>56</v>
      </c>
      <c r="F473" s="4" t="s">
        <v>77</v>
      </c>
      <c r="G473">
        <v>4</v>
      </c>
      <c r="H473">
        <v>20</v>
      </c>
      <c r="I473" s="4" t="s">
        <v>114</v>
      </c>
      <c r="J473" s="4" t="s">
        <v>129</v>
      </c>
      <c r="K473" s="4" t="s">
        <v>130</v>
      </c>
      <c r="L473">
        <v>40</v>
      </c>
      <c r="M473" s="4" t="s">
        <v>158</v>
      </c>
    </row>
    <row r="474" spans="1:13" x14ac:dyDescent="0.2">
      <c r="A474" s="4" t="s">
        <v>658</v>
      </c>
      <c r="B474">
        <v>473</v>
      </c>
      <c r="C474" s="4" t="s">
        <v>26</v>
      </c>
      <c r="D474" s="4" t="s">
        <v>32</v>
      </c>
      <c r="E474" s="4" t="s">
        <v>56</v>
      </c>
      <c r="F474" s="4" t="s">
        <v>77</v>
      </c>
      <c r="G474">
        <v>4</v>
      </c>
      <c r="H474">
        <v>20</v>
      </c>
      <c r="I474" s="4" t="s">
        <v>114</v>
      </c>
      <c r="J474" s="4" t="s">
        <v>131</v>
      </c>
      <c r="K474" s="4" t="s">
        <v>132</v>
      </c>
      <c r="L474">
        <v>70</v>
      </c>
      <c r="M474" s="4" t="s">
        <v>158</v>
      </c>
    </row>
    <row r="475" spans="1:13" x14ac:dyDescent="0.2">
      <c r="A475" s="4" t="s">
        <v>659</v>
      </c>
      <c r="B475">
        <v>474</v>
      </c>
      <c r="C475" s="4" t="s">
        <v>26</v>
      </c>
      <c r="D475" s="4" t="s">
        <v>32</v>
      </c>
      <c r="E475" s="4" t="s">
        <v>56</v>
      </c>
      <c r="F475" s="4" t="s">
        <v>77</v>
      </c>
      <c r="G475">
        <v>4</v>
      </c>
      <c r="H475">
        <v>20</v>
      </c>
      <c r="I475" s="4" t="s">
        <v>114</v>
      </c>
      <c r="J475" s="4" t="s">
        <v>133</v>
      </c>
      <c r="K475" s="4" t="s">
        <v>134</v>
      </c>
      <c r="L475">
        <v>40</v>
      </c>
      <c r="M475" s="4" t="s">
        <v>158</v>
      </c>
    </row>
    <row r="476" spans="1:13" x14ac:dyDescent="0.2">
      <c r="A476" s="4" t="s">
        <v>660</v>
      </c>
      <c r="B476">
        <v>475</v>
      </c>
      <c r="C476" s="4" t="s">
        <v>26</v>
      </c>
      <c r="D476" s="4" t="s">
        <v>32</v>
      </c>
      <c r="E476" s="4" t="s">
        <v>56</v>
      </c>
      <c r="F476" s="4" t="s">
        <v>77</v>
      </c>
      <c r="G476">
        <v>4</v>
      </c>
      <c r="H476">
        <v>20</v>
      </c>
      <c r="I476" s="4" t="s">
        <v>116</v>
      </c>
      <c r="J476" s="4" t="s">
        <v>122</v>
      </c>
      <c r="K476" s="4" t="s">
        <v>123</v>
      </c>
      <c r="L476">
        <v>50</v>
      </c>
      <c r="M476" s="4" t="s">
        <v>158</v>
      </c>
    </row>
    <row r="477" spans="1:13" x14ac:dyDescent="0.2">
      <c r="A477" s="4" t="s">
        <v>661</v>
      </c>
      <c r="B477">
        <v>476</v>
      </c>
      <c r="C477" s="4" t="s">
        <v>26</v>
      </c>
      <c r="D477" s="4" t="s">
        <v>32</v>
      </c>
      <c r="E477" s="4" t="s">
        <v>56</v>
      </c>
      <c r="F477" s="4" t="s">
        <v>77</v>
      </c>
      <c r="G477">
        <v>4</v>
      </c>
      <c r="H477">
        <v>20</v>
      </c>
      <c r="I477" s="4" t="s">
        <v>116</v>
      </c>
      <c r="J477" s="4" t="s">
        <v>125</v>
      </c>
      <c r="K477" s="4" t="s">
        <v>126</v>
      </c>
      <c r="L477">
        <v>40</v>
      </c>
      <c r="M477" s="4" t="s">
        <v>158</v>
      </c>
    </row>
    <row r="478" spans="1:13" x14ac:dyDescent="0.2">
      <c r="A478" s="4" t="s">
        <v>662</v>
      </c>
      <c r="B478">
        <v>477</v>
      </c>
      <c r="C478" s="4" t="s">
        <v>26</v>
      </c>
      <c r="D478" s="4" t="s">
        <v>32</v>
      </c>
      <c r="E478" s="4" t="s">
        <v>56</v>
      </c>
      <c r="F478" s="4" t="s">
        <v>77</v>
      </c>
      <c r="G478">
        <v>4</v>
      </c>
      <c r="H478">
        <v>20</v>
      </c>
      <c r="I478" s="4" t="s">
        <v>116</v>
      </c>
      <c r="J478" s="4" t="s">
        <v>127</v>
      </c>
      <c r="K478" s="4" t="s">
        <v>128</v>
      </c>
      <c r="L478">
        <v>50</v>
      </c>
      <c r="M478" s="4" t="s">
        <v>158</v>
      </c>
    </row>
    <row r="479" spans="1:13" x14ac:dyDescent="0.2">
      <c r="A479" s="4" t="s">
        <v>663</v>
      </c>
      <c r="B479">
        <v>478</v>
      </c>
      <c r="C479" s="4" t="s">
        <v>26</v>
      </c>
      <c r="D479" s="4" t="s">
        <v>32</v>
      </c>
      <c r="E479" s="4" t="s">
        <v>56</v>
      </c>
      <c r="F479" s="4" t="s">
        <v>77</v>
      </c>
      <c r="G479">
        <v>4</v>
      </c>
      <c r="H479">
        <v>20</v>
      </c>
      <c r="I479" s="4" t="s">
        <v>116</v>
      </c>
      <c r="J479" s="4" t="s">
        <v>129</v>
      </c>
      <c r="K479" s="4" t="s">
        <v>130</v>
      </c>
      <c r="L479">
        <v>75</v>
      </c>
      <c r="M479" s="4" t="s">
        <v>158</v>
      </c>
    </row>
    <row r="480" spans="1:13" x14ac:dyDescent="0.2">
      <c r="A480" s="4" t="s">
        <v>664</v>
      </c>
      <c r="B480">
        <v>479</v>
      </c>
      <c r="C480" s="4" t="s">
        <v>26</v>
      </c>
      <c r="D480" s="4" t="s">
        <v>32</v>
      </c>
      <c r="E480" s="4" t="s">
        <v>56</v>
      </c>
      <c r="F480" s="4" t="s">
        <v>77</v>
      </c>
      <c r="G480">
        <v>4</v>
      </c>
      <c r="H480">
        <v>20</v>
      </c>
      <c r="I480" s="4" t="s">
        <v>116</v>
      </c>
      <c r="J480" s="4" t="s">
        <v>131</v>
      </c>
      <c r="K480" s="4" t="s">
        <v>132</v>
      </c>
      <c r="L480">
        <v>5</v>
      </c>
      <c r="M480" s="4" t="s">
        <v>158</v>
      </c>
    </row>
    <row r="481" spans="1:13" x14ac:dyDescent="0.2">
      <c r="A481" s="4" t="s">
        <v>665</v>
      </c>
      <c r="B481">
        <v>480</v>
      </c>
      <c r="C481" s="4" t="s">
        <v>26</v>
      </c>
      <c r="D481" s="4" t="s">
        <v>32</v>
      </c>
      <c r="E481" s="4" t="s">
        <v>56</v>
      </c>
      <c r="F481" s="4" t="s">
        <v>77</v>
      </c>
      <c r="G481">
        <v>4</v>
      </c>
      <c r="H481">
        <v>20</v>
      </c>
      <c r="I481" s="4" t="s">
        <v>116</v>
      </c>
      <c r="J481" s="4" t="s">
        <v>133</v>
      </c>
      <c r="K481" s="4" t="s">
        <v>134</v>
      </c>
      <c r="L481">
        <v>40</v>
      </c>
      <c r="M481" s="4" t="s">
        <v>158</v>
      </c>
    </row>
    <row r="482" spans="1:13" x14ac:dyDescent="0.2">
      <c r="A482" s="4" t="s">
        <v>666</v>
      </c>
      <c r="B482">
        <v>481</v>
      </c>
      <c r="C482" s="4" t="s">
        <v>26</v>
      </c>
      <c r="D482" s="4" t="s">
        <v>35</v>
      </c>
      <c r="E482" s="4" t="s">
        <v>27</v>
      </c>
      <c r="F482" s="4" t="s">
        <v>79</v>
      </c>
      <c r="G482">
        <v>5</v>
      </c>
      <c r="H482">
        <v>21</v>
      </c>
      <c r="I482" s="4" t="s">
        <v>35</v>
      </c>
      <c r="J482" s="4" t="s">
        <v>122</v>
      </c>
      <c r="K482" s="4" t="s">
        <v>123</v>
      </c>
      <c r="L482">
        <v>376</v>
      </c>
      <c r="M482" s="4" t="s">
        <v>158</v>
      </c>
    </row>
    <row r="483" spans="1:13" x14ac:dyDescent="0.2">
      <c r="A483" s="4" t="s">
        <v>667</v>
      </c>
      <c r="B483">
        <v>482</v>
      </c>
      <c r="C483" s="4" t="s">
        <v>26</v>
      </c>
      <c r="D483" s="4" t="s">
        <v>35</v>
      </c>
      <c r="E483" s="4" t="s">
        <v>27</v>
      </c>
      <c r="F483" s="4" t="s">
        <v>79</v>
      </c>
      <c r="G483">
        <v>5</v>
      </c>
      <c r="H483">
        <v>21</v>
      </c>
      <c r="I483" s="4" t="s">
        <v>35</v>
      </c>
      <c r="J483" s="4" t="s">
        <v>125</v>
      </c>
      <c r="K483" s="4" t="s">
        <v>126</v>
      </c>
      <c r="L483">
        <v>261</v>
      </c>
      <c r="M483" s="4" t="s">
        <v>158</v>
      </c>
    </row>
    <row r="484" spans="1:13" x14ac:dyDescent="0.2">
      <c r="A484" s="4" t="s">
        <v>668</v>
      </c>
      <c r="B484">
        <v>483</v>
      </c>
      <c r="C484" s="4" t="s">
        <v>26</v>
      </c>
      <c r="D484" s="4" t="s">
        <v>35</v>
      </c>
      <c r="E484" s="4" t="s">
        <v>27</v>
      </c>
      <c r="F484" s="4" t="s">
        <v>79</v>
      </c>
      <c r="G484">
        <v>5</v>
      </c>
      <c r="H484">
        <v>21</v>
      </c>
      <c r="I484" s="4" t="s">
        <v>35</v>
      </c>
      <c r="J484" s="4" t="s">
        <v>127</v>
      </c>
      <c r="K484" s="4" t="s">
        <v>128</v>
      </c>
      <c r="L484">
        <v>145</v>
      </c>
      <c r="M484" s="4" t="s">
        <v>158</v>
      </c>
    </row>
    <row r="485" spans="1:13" x14ac:dyDescent="0.2">
      <c r="A485" s="4" t="s">
        <v>669</v>
      </c>
      <c r="B485">
        <v>484</v>
      </c>
      <c r="C485" s="4" t="s">
        <v>26</v>
      </c>
      <c r="D485" s="4" t="s">
        <v>35</v>
      </c>
      <c r="E485" s="4" t="s">
        <v>27</v>
      </c>
      <c r="F485" s="4" t="s">
        <v>79</v>
      </c>
      <c r="G485">
        <v>5</v>
      </c>
      <c r="H485">
        <v>21</v>
      </c>
      <c r="I485" s="4" t="s">
        <v>35</v>
      </c>
      <c r="J485" s="4" t="s">
        <v>129</v>
      </c>
      <c r="K485" s="4" t="s">
        <v>130</v>
      </c>
      <c r="L485">
        <v>47</v>
      </c>
      <c r="M485" s="4" t="s">
        <v>158</v>
      </c>
    </row>
    <row r="486" spans="1:13" x14ac:dyDescent="0.2">
      <c r="A486" s="4" t="s">
        <v>670</v>
      </c>
      <c r="B486">
        <v>485</v>
      </c>
      <c r="C486" s="4" t="s">
        <v>26</v>
      </c>
      <c r="D486" s="4" t="s">
        <v>35</v>
      </c>
      <c r="E486" s="4" t="s">
        <v>27</v>
      </c>
      <c r="F486" s="4" t="s">
        <v>79</v>
      </c>
      <c r="G486">
        <v>5</v>
      </c>
      <c r="H486">
        <v>21</v>
      </c>
      <c r="I486" s="4" t="s">
        <v>35</v>
      </c>
      <c r="J486" s="4" t="s">
        <v>131</v>
      </c>
      <c r="K486" s="4" t="s">
        <v>132</v>
      </c>
      <c r="L486">
        <v>170</v>
      </c>
      <c r="M486" s="4" t="s">
        <v>158</v>
      </c>
    </row>
    <row r="487" spans="1:13" x14ac:dyDescent="0.2">
      <c r="A487" s="4" t="s">
        <v>671</v>
      </c>
      <c r="B487">
        <v>486</v>
      </c>
      <c r="C487" s="4" t="s">
        <v>26</v>
      </c>
      <c r="D487" s="4" t="s">
        <v>35</v>
      </c>
      <c r="E487" s="4" t="s">
        <v>27</v>
      </c>
      <c r="F487" s="4" t="s">
        <v>79</v>
      </c>
      <c r="G487">
        <v>5</v>
      </c>
      <c r="H487">
        <v>21</v>
      </c>
      <c r="I487" s="4" t="s">
        <v>35</v>
      </c>
      <c r="J487" s="4" t="s">
        <v>133</v>
      </c>
      <c r="K487" s="4" t="s">
        <v>134</v>
      </c>
      <c r="L487">
        <v>49</v>
      </c>
      <c r="M487" s="4" t="s">
        <v>158</v>
      </c>
    </row>
    <row r="488" spans="1:13" x14ac:dyDescent="0.2">
      <c r="A488" s="4" t="s">
        <v>672</v>
      </c>
      <c r="B488">
        <v>487</v>
      </c>
      <c r="C488" s="4" t="s">
        <v>26</v>
      </c>
      <c r="D488" s="4" t="s">
        <v>35</v>
      </c>
      <c r="E488" s="4" t="s">
        <v>27</v>
      </c>
      <c r="F488" s="4" t="s">
        <v>79</v>
      </c>
      <c r="G488">
        <v>5</v>
      </c>
      <c r="H488">
        <v>21</v>
      </c>
      <c r="I488" s="4" t="s">
        <v>112</v>
      </c>
      <c r="J488" s="4" t="s">
        <v>122</v>
      </c>
      <c r="K488" s="4" t="s">
        <v>123</v>
      </c>
      <c r="L488">
        <v>220</v>
      </c>
      <c r="M488" s="4" t="s">
        <v>158</v>
      </c>
    </row>
    <row r="489" spans="1:13" x14ac:dyDescent="0.2">
      <c r="A489" s="4" t="s">
        <v>673</v>
      </c>
      <c r="B489">
        <v>488</v>
      </c>
      <c r="C489" s="4" t="s">
        <v>26</v>
      </c>
      <c r="D489" s="4" t="s">
        <v>35</v>
      </c>
      <c r="E489" s="4" t="s">
        <v>27</v>
      </c>
      <c r="F489" s="4" t="s">
        <v>79</v>
      </c>
      <c r="G489">
        <v>5</v>
      </c>
      <c r="H489">
        <v>21</v>
      </c>
      <c r="I489" s="4" t="s">
        <v>112</v>
      </c>
      <c r="J489" s="4" t="s">
        <v>125</v>
      </c>
      <c r="K489" s="4" t="s">
        <v>126</v>
      </c>
      <c r="L489">
        <v>50</v>
      </c>
      <c r="M489" s="4" t="s">
        <v>158</v>
      </c>
    </row>
    <row r="490" spans="1:13" x14ac:dyDescent="0.2">
      <c r="A490" s="4" t="s">
        <v>674</v>
      </c>
      <c r="B490">
        <v>489</v>
      </c>
      <c r="C490" s="4" t="s">
        <v>26</v>
      </c>
      <c r="D490" s="4" t="s">
        <v>35</v>
      </c>
      <c r="E490" s="4" t="s">
        <v>27</v>
      </c>
      <c r="F490" s="4" t="s">
        <v>79</v>
      </c>
      <c r="G490">
        <v>5</v>
      </c>
      <c r="H490">
        <v>21</v>
      </c>
      <c r="I490" s="4" t="s">
        <v>112</v>
      </c>
      <c r="J490" s="4" t="s">
        <v>127</v>
      </c>
      <c r="K490" s="4" t="s">
        <v>128</v>
      </c>
      <c r="L490">
        <v>120</v>
      </c>
      <c r="M490" s="4" t="s">
        <v>158</v>
      </c>
    </row>
    <row r="491" spans="1:13" x14ac:dyDescent="0.2">
      <c r="A491" s="4" t="s">
        <v>675</v>
      </c>
      <c r="B491">
        <v>490</v>
      </c>
      <c r="C491" s="4" t="s">
        <v>26</v>
      </c>
      <c r="D491" s="4" t="s">
        <v>35</v>
      </c>
      <c r="E491" s="4" t="s">
        <v>27</v>
      </c>
      <c r="F491" s="4" t="s">
        <v>79</v>
      </c>
      <c r="G491">
        <v>5</v>
      </c>
      <c r="H491">
        <v>21</v>
      </c>
      <c r="I491" s="4" t="s">
        <v>112</v>
      </c>
      <c r="J491" s="4" t="s">
        <v>129</v>
      </c>
      <c r="K491" s="4" t="s">
        <v>130</v>
      </c>
      <c r="L491">
        <v>40</v>
      </c>
      <c r="M491" s="4" t="s">
        <v>158</v>
      </c>
    </row>
    <row r="492" spans="1:13" x14ac:dyDescent="0.2">
      <c r="A492" s="4" t="s">
        <v>676</v>
      </c>
      <c r="B492">
        <v>491</v>
      </c>
      <c r="C492" s="4" t="s">
        <v>26</v>
      </c>
      <c r="D492" s="4" t="s">
        <v>35</v>
      </c>
      <c r="E492" s="4" t="s">
        <v>27</v>
      </c>
      <c r="F492" s="4" t="s">
        <v>79</v>
      </c>
      <c r="G492">
        <v>5</v>
      </c>
      <c r="H492">
        <v>21</v>
      </c>
      <c r="I492" s="4" t="s">
        <v>112</v>
      </c>
      <c r="J492" s="4" t="s">
        <v>131</v>
      </c>
      <c r="K492" s="4" t="s">
        <v>132</v>
      </c>
      <c r="L492">
        <v>60</v>
      </c>
      <c r="M492" s="4" t="s">
        <v>158</v>
      </c>
    </row>
    <row r="493" spans="1:13" x14ac:dyDescent="0.2">
      <c r="A493" s="4" t="s">
        <v>677</v>
      </c>
      <c r="B493">
        <v>492</v>
      </c>
      <c r="C493" s="4" t="s">
        <v>26</v>
      </c>
      <c r="D493" s="4" t="s">
        <v>35</v>
      </c>
      <c r="E493" s="4" t="s">
        <v>27</v>
      </c>
      <c r="F493" s="4" t="s">
        <v>79</v>
      </c>
      <c r="G493">
        <v>5</v>
      </c>
      <c r="H493">
        <v>21</v>
      </c>
      <c r="I493" s="4" t="s">
        <v>112</v>
      </c>
      <c r="J493" s="4" t="s">
        <v>133</v>
      </c>
      <c r="K493" s="4" t="s">
        <v>134</v>
      </c>
      <c r="L493">
        <v>60</v>
      </c>
      <c r="M493" s="4" t="s">
        <v>158</v>
      </c>
    </row>
    <row r="494" spans="1:13" x14ac:dyDescent="0.2">
      <c r="A494" s="4" t="s">
        <v>678</v>
      </c>
      <c r="B494">
        <v>493</v>
      </c>
      <c r="C494" s="4" t="s">
        <v>26</v>
      </c>
      <c r="D494" s="4" t="s">
        <v>35</v>
      </c>
      <c r="E494" s="4" t="s">
        <v>27</v>
      </c>
      <c r="F494" s="4" t="s">
        <v>79</v>
      </c>
      <c r="G494">
        <v>5</v>
      </c>
      <c r="H494">
        <v>21</v>
      </c>
      <c r="I494" s="4" t="s">
        <v>114</v>
      </c>
      <c r="J494" s="4" t="s">
        <v>122</v>
      </c>
      <c r="K494" s="4" t="s">
        <v>123</v>
      </c>
      <c r="L494">
        <v>100</v>
      </c>
      <c r="M494" s="4" t="s">
        <v>158</v>
      </c>
    </row>
    <row r="495" spans="1:13" x14ac:dyDescent="0.2">
      <c r="A495" s="4" t="s">
        <v>679</v>
      </c>
      <c r="B495">
        <v>494</v>
      </c>
      <c r="C495" s="4" t="s">
        <v>26</v>
      </c>
      <c r="D495" s="4" t="s">
        <v>35</v>
      </c>
      <c r="E495" s="4" t="s">
        <v>27</v>
      </c>
      <c r="F495" s="4" t="s">
        <v>79</v>
      </c>
      <c r="G495">
        <v>5</v>
      </c>
      <c r="H495">
        <v>21</v>
      </c>
      <c r="I495" s="4" t="s">
        <v>114</v>
      </c>
      <c r="J495" s="4" t="s">
        <v>125</v>
      </c>
      <c r="K495" s="4" t="s">
        <v>126</v>
      </c>
      <c r="L495">
        <v>40</v>
      </c>
      <c r="M495" s="4" t="s">
        <v>158</v>
      </c>
    </row>
    <row r="496" spans="1:13" x14ac:dyDescent="0.2">
      <c r="A496" s="4" t="s">
        <v>680</v>
      </c>
      <c r="B496">
        <v>495</v>
      </c>
      <c r="C496" s="4" t="s">
        <v>26</v>
      </c>
      <c r="D496" s="4" t="s">
        <v>35</v>
      </c>
      <c r="E496" s="4" t="s">
        <v>27</v>
      </c>
      <c r="F496" s="4" t="s">
        <v>79</v>
      </c>
      <c r="G496">
        <v>5</v>
      </c>
      <c r="H496">
        <v>21</v>
      </c>
      <c r="I496" s="4" t="s">
        <v>114</v>
      </c>
      <c r="J496" s="4" t="s">
        <v>127</v>
      </c>
      <c r="K496" s="4" t="s">
        <v>128</v>
      </c>
      <c r="L496">
        <v>123</v>
      </c>
      <c r="M496" s="4" t="s">
        <v>158</v>
      </c>
    </row>
    <row r="497" spans="1:13" x14ac:dyDescent="0.2">
      <c r="A497" s="4" t="s">
        <v>681</v>
      </c>
      <c r="B497">
        <v>496</v>
      </c>
      <c r="C497" s="4" t="s">
        <v>26</v>
      </c>
      <c r="D497" s="4" t="s">
        <v>35</v>
      </c>
      <c r="E497" s="4" t="s">
        <v>27</v>
      </c>
      <c r="F497" s="4" t="s">
        <v>79</v>
      </c>
      <c r="G497">
        <v>5</v>
      </c>
      <c r="H497">
        <v>21</v>
      </c>
      <c r="I497" s="4" t="s">
        <v>114</v>
      </c>
      <c r="J497" s="4" t="s">
        <v>129</v>
      </c>
      <c r="K497" s="4" t="s">
        <v>130</v>
      </c>
      <c r="L497">
        <v>40</v>
      </c>
      <c r="M497" s="4" t="s">
        <v>158</v>
      </c>
    </row>
    <row r="498" spans="1:13" x14ac:dyDescent="0.2">
      <c r="A498" s="4" t="s">
        <v>682</v>
      </c>
      <c r="B498">
        <v>497</v>
      </c>
      <c r="C498" s="4" t="s">
        <v>26</v>
      </c>
      <c r="D498" s="4" t="s">
        <v>35</v>
      </c>
      <c r="E498" s="4" t="s">
        <v>27</v>
      </c>
      <c r="F498" s="4" t="s">
        <v>79</v>
      </c>
      <c r="G498">
        <v>5</v>
      </c>
      <c r="H498">
        <v>21</v>
      </c>
      <c r="I498" s="4" t="s">
        <v>114</v>
      </c>
      <c r="J498" s="4" t="s">
        <v>131</v>
      </c>
      <c r="K498" s="4" t="s">
        <v>132</v>
      </c>
      <c r="L498">
        <v>70</v>
      </c>
      <c r="M498" s="4" t="s">
        <v>158</v>
      </c>
    </row>
    <row r="499" spans="1:13" x14ac:dyDescent="0.2">
      <c r="A499" s="4" t="s">
        <v>683</v>
      </c>
      <c r="B499">
        <v>498</v>
      </c>
      <c r="C499" s="4" t="s">
        <v>26</v>
      </c>
      <c r="D499" s="4" t="s">
        <v>35</v>
      </c>
      <c r="E499" s="4" t="s">
        <v>27</v>
      </c>
      <c r="F499" s="4" t="s">
        <v>79</v>
      </c>
      <c r="G499">
        <v>5</v>
      </c>
      <c r="H499">
        <v>21</v>
      </c>
      <c r="I499" s="4" t="s">
        <v>114</v>
      </c>
      <c r="J499" s="4" t="s">
        <v>133</v>
      </c>
      <c r="K499" s="4" t="s">
        <v>134</v>
      </c>
      <c r="L499">
        <v>40</v>
      </c>
      <c r="M499" s="4" t="s">
        <v>158</v>
      </c>
    </row>
    <row r="500" spans="1:13" x14ac:dyDescent="0.2">
      <c r="A500" s="4" t="s">
        <v>684</v>
      </c>
      <c r="B500">
        <v>499</v>
      </c>
      <c r="C500" s="4" t="s">
        <v>26</v>
      </c>
      <c r="D500" s="4" t="s">
        <v>35</v>
      </c>
      <c r="E500" s="4" t="s">
        <v>27</v>
      </c>
      <c r="F500" s="4" t="s">
        <v>79</v>
      </c>
      <c r="G500">
        <v>5</v>
      </c>
      <c r="H500">
        <v>21</v>
      </c>
      <c r="I500" s="4" t="s">
        <v>116</v>
      </c>
      <c r="J500" s="4" t="s">
        <v>122</v>
      </c>
      <c r="K500" s="4" t="s">
        <v>123</v>
      </c>
      <c r="L500">
        <v>0</v>
      </c>
      <c r="M500" s="4" t="s">
        <v>158</v>
      </c>
    </row>
    <row r="501" spans="1:13" x14ac:dyDescent="0.2">
      <c r="A501" s="4" t="s">
        <v>685</v>
      </c>
      <c r="B501">
        <v>500</v>
      </c>
      <c r="C501" s="4" t="s">
        <v>26</v>
      </c>
      <c r="D501" s="4" t="s">
        <v>35</v>
      </c>
      <c r="E501" s="4" t="s">
        <v>27</v>
      </c>
      <c r="F501" s="4" t="s">
        <v>79</v>
      </c>
      <c r="G501">
        <v>5</v>
      </c>
      <c r="H501">
        <v>21</v>
      </c>
      <c r="I501" s="4" t="s">
        <v>116</v>
      </c>
      <c r="J501" s="4" t="s">
        <v>125</v>
      </c>
      <c r="K501" s="4" t="s">
        <v>126</v>
      </c>
      <c r="L501">
        <v>40</v>
      </c>
      <c r="M501" s="4" t="s">
        <v>158</v>
      </c>
    </row>
    <row r="502" spans="1:13" x14ac:dyDescent="0.2">
      <c r="A502" s="4" t="s">
        <v>686</v>
      </c>
      <c r="B502">
        <v>501</v>
      </c>
      <c r="C502" s="4" t="s">
        <v>26</v>
      </c>
      <c r="D502" s="4" t="s">
        <v>35</v>
      </c>
      <c r="E502" s="4" t="s">
        <v>27</v>
      </c>
      <c r="F502" s="4" t="s">
        <v>79</v>
      </c>
      <c r="G502">
        <v>5</v>
      </c>
      <c r="H502">
        <v>21</v>
      </c>
      <c r="I502" s="4" t="s">
        <v>116</v>
      </c>
      <c r="J502" s="4" t="s">
        <v>127</v>
      </c>
      <c r="K502" s="4" t="s">
        <v>128</v>
      </c>
      <c r="L502">
        <v>50</v>
      </c>
      <c r="M502" s="4" t="s">
        <v>158</v>
      </c>
    </row>
    <row r="503" spans="1:13" x14ac:dyDescent="0.2">
      <c r="A503" s="4" t="s">
        <v>687</v>
      </c>
      <c r="B503">
        <v>502</v>
      </c>
      <c r="C503" s="4" t="s">
        <v>26</v>
      </c>
      <c r="D503" s="4" t="s">
        <v>35</v>
      </c>
      <c r="E503" s="4" t="s">
        <v>27</v>
      </c>
      <c r="F503" s="4" t="s">
        <v>79</v>
      </c>
      <c r="G503">
        <v>5</v>
      </c>
      <c r="H503">
        <v>21</v>
      </c>
      <c r="I503" s="4" t="s">
        <v>116</v>
      </c>
      <c r="J503" s="4" t="s">
        <v>129</v>
      </c>
      <c r="K503" s="4" t="s">
        <v>130</v>
      </c>
      <c r="L503">
        <v>100</v>
      </c>
      <c r="M503" s="4" t="s">
        <v>158</v>
      </c>
    </row>
    <row r="504" spans="1:13" x14ac:dyDescent="0.2">
      <c r="A504" s="4" t="s">
        <v>688</v>
      </c>
      <c r="B504">
        <v>503</v>
      </c>
      <c r="C504" s="4" t="s">
        <v>26</v>
      </c>
      <c r="D504" s="4" t="s">
        <v>35</v>
      </c>
      <c r="E504" s="4" t="s">
        <v>27</v>
      </c>
      <c r="F504" s="4" t="s">
        <v>79</v>
      </c>
      <c r="G504">
        <v>5</v>
      </c>
      <c r="H504">
        <v>21</v>
      </c>
      <c r="I504" s="4" t="s">
        <v>116</v>
      </c>
      <c r="J504" s="4" t="s">
        <v>131</v>
      </c>
      <c r="K504" s="4" t="s">
        <v>132</v>
      </c>
      <c r="L504">
        <v>40</v>
      </c>
      <c r="M504" s="4" t="s">
        <v>158</v>
      </c>
    </row>
    <row r="505" spans="1:13" x14ac:dyDescent="0.2">
      <c r="A505" s="4" t="s">
        <v>689</v>
      </c>
      <c r="B505">
        <v>504</v>
      </c>
      <c r="C505" s="4" t="s">
        <v>26</v>
      </c>
      <c r="D505" s="4" t="s">
        <v>35</v>
      </c>
      <c r="E505" s="4" t="s">
        <v>27</v>
      </c>
      <c r="F505" s="4" t="s">
        <v>79</v>
      </c>
      <c r="G505">
        <v>5</v>
      </c>
      <c r="H505">
        <v>21</v>
      </c>
      <c r="I505" s="4" t="s">
        <v>116</v>
      </c>
      <c r="J505" s="4" t="s">
        <v>133</v>
      </c>
      <c r="K505" s="4" t="s">
        <v>134</v>
      </c>
      <c r="L505">
        <v>40</v>
      </c>
      <c r="M505" s="4" t="s">
        <v>158</v>
      </c>
    </row>
    <row r="506" spans="1:13" x14ac:dyDescent="0.2">
      <c r="A506" s="4" t="s">
        <v>690</v>
      </c>
      <c r="B506">
        <v>505</v>
      </c>
      <c r="C506" s="4" t="s">
        <v>26</v>
      </c>
      <c r="D506" s="4" t="s">
        <v>35</v>
      </c>
      <c r="E506" s="4" t="s">
        <v>32</v>
      </c>
      <c r="F506" s="4" t="s">
        <v>81</v>
      </c>
      <c r="G506">
        <v>5</v>
      </c>
      <c r="H506">
        <v>22</v>
      </c>
      <c r="I506" s="4" t="s">
        <v>35</v>
      </c>
      <c r="J506" s="4" t="s">
        <v>122</v>
      </c>
      <c r="K506" s="4" t="s">
        <v>123</v>
      </c>
      <c r="L506">
        <v>301</v>
      </c>
      <c r="M506" s="4" t="s">
        <v>158</v>
      </c>
    </row>
    <row r="507" spans="1:13" x14ac:dyDescent="0.2">
      <c r="A507" s="4" t="s">
        <v>691</v>
      </c>
      <c r="B507">
        <v>506</v>
      </c>
      <c r="C507" s="4" t="s">
        <v>26</v>
      </c>
      <c r="D507" s="4" t="s">
        <v>35</v>
      </c>
      <c r="E507" s="4" t="s">
        <v>32</v>
      </c>
      <c r="F507" s="4" t="s">
        <v>81</v>
      </c>
      <c r="G507">
        <v>5</v>
      </c>
      <c r="H507">
        <v>22</v>
      </c>
      <c r="I507" s="4" t="s">
        <v>35</v>
      </c>
      <c r="J507" s="4" t="s">
        <v>125</v>
      </c>
      <c r="K507" s="4" t="s">
        <v>126</v>
      </c>
      <c r="L507">
        <v>261</v>
      </c>
      <c r="M507" s="4" t="s">
        <v>158</v>
      </c>
    </row>
    <row r="508" spans="1:13" x14ac:dyDescent="0.2">
      <c r="A508" s="4" t="s">
        <v>692</v>
      </c>
      <c r="B508">
        <v>507</v>
      </c>
      <c r="C508" s="4" t="s">
        <v>26</v>
      </c>
      <c r="D508" s="4" t="s">
        <v>35</v>
      </c>
      <c r="E508" s="4" t="s">
        <v>32</v>
      </c>
      <c r="F508" s="4" t="s">
        <v>81</v>
      </c>
      <c r="G508">
        <v>5</v>
      </c>
      <c r="H508">
        <v>22</v>
      </c>
      <c r="I508" s="4" t="s">
        <v>35</v>
      </c>
      <c r="J508" s="4" t="s">
        <v>127</v>
      </c>
      <c r="K508" s="4" t="s">
        <v>128</v>
      </c>
      <c r="L508">
        <v>38</v>
      </c>
      <c r="M508" s="4" t="s">
        <v>158</v>
      </c>
    </row>
    <row r="509" spans="1:13" x14ac:dyDescent="0.2">
      <c r="A509" s="4" t="s">
        <v>693</v>
      </c>
      <c r="B509">
        <v>508</v>
      </c>
      <c r="C509" s="4" t="s">
        <v>26</v>
      </c>
      <c r="D509" s="4" t="s">
        <v>35</v>
      </c>
      <c r="E509" s="4" t="s">
        <v>32</v>
      </c>
      <c r="F509" s="4" t="s">
        <v>81</v>
      </c>
      <c r="G509">
        <v>5</v>
      </c>
      <c r="H509">
        <v>22</v>
      </c>
      <c r="I509" s="4" t="s">
        <v>35</v>
      </c>
      <c r="J509" s="4" t="s">
        <v>129</v>
      </c>
      <c r="K509" s="4" t="s">
        <v>130</v>
      </c>
      <c r="L509">
        <v>47</v>
      </c>
      <c r="M509" s="4" t="s">
        <v>158</v>
      </c>
    </row>
    <row r="510" spans="1:13" x14ac:dyDescent="0.2">
      <c r="A510" s="4" t="s">
        <v>694</v>
      </c>
      <c r="B510">
        <v>509</v>
      </c>
      <c r="C510" s="4" t="s">
        <v>26</v>
      </c>
      <c r="D510" s="4" t="s">
        <v>35</v>
      </c>
      <c r="E510" s="4" t="s">
        <v>32</v>
      </c>
      <c r="F510" s="4" t="s">
        <v>81</v>
      </c>
      <c r="G510">
        <v>5</v>
      </c>
      <c r="H510">
        <v>22</v>
      </c>
      <c r="I510" s="4" t="s">
        <v>35</v>
      </c>
      <c r="J510" s="4" t="s">
        <v>131</v>
      </c>
      <c r="K510" s="4" t="s">
        <v>132</v>
      </c>
      <c r="L510">
        <v>170</v>
      </c>
      <c r="M510" s="4" t="s">
        <v>158</v>
      </c>
    </row>
    <row r="511" spans="1:13" x14ac:dyDescent="0.2">
      <c r="A511" s="4" t="s">
        <v>695</v>
      </c>
      <c r="B511">
        <v>510</v>
      </c>
      <c r="C511" s="4" t="s">
        <v>26</v>
      </c>
      <c r="D511" s="4" t="s">
        <v>35</v>
      </c>
      <c r="E511" s="4" t="s">
        <v>32</v>
      </c>
      <c r="F511" s="4" t="s">
        <v>81</v>
      </c>
      <c r="G511">
        <v>5</v>
      </c>
      <c r="H511">
        <v>22</v>
      </c>
      <c r="I511" s="4" t="s">
        <v>35</v>
      </c>
      <c r="J511" s="4" t="s">
        <v>133</v>
      </c>
      <c r="K511" s="4" t="s">
        <v>134</v>
      </c>
      <c r="L511">
        <v>49</v>
      </c>
      <c r="M511" s="4" t="s">
        <v>158</v>
      </c>
    </row>
    <row r="512" spans="1:13" x14ac:dyDescent="0.2">
      <c r="A512" s="4" t="s">
        <v>696</v>
      </c>
      <c r="B512">
        <v>511</v>
      </c>
      <c r="C512" s="4" t="s">
        <v>26</v>
      </c>
      <c r="D512" s="4" t="s">
        <v>35</v>
      </c>
      <c r="E512" s="4" t="s">
        <v>32</v>
      </c>
      <c r="F512" s="4" t="s">
        <v>81</v>
      </c>
      <c r="G512">
        <v>5</v>
      </c>
      <c r="H512">
        <v>22</v>
      </c>
      <c r="I512" s="4" t="s">
        <v>112</v>
      </c>
      <c r="J512" s="4" t="s">
        <v>122</v>
      </c>
      <c r="K512" s="4" t="s">
        <v>123</v>
      </c>
      <c r="L512">
        <v>220</v>
      </c>
      <c r="M512" s="4" t="s">
        <v>158</v>
      </c>
    </row>
    <row r="513" spans="1:13" x14ac:dyDescent="0.2">
      <c r="A513" s="4" t="s">
        <v>697</v>
      </c>
      <c r="B513">
        <v>512</v>
      </c>
      <c r="C513" s="4" t="s">
        <v>26</v>
      </c>
      <c r="D513" s="4" t="s">
        <v>35</v>
      </c>
      <c r="E513" s="4" t="s">
        <v>32</v>
      </c>
      <c r="F513" s="4" t="s">
        <v>81</v>
      </c>
      <c r="G513">
        <v>5</v>
      </c>
      <c r="H513">
        <v>22</v>
      </c>
      <c r="I513" s="4" t="s">
        <v>112</v>
      </c>
      <c r="J513" s="4" t="s">
        <v>125</v>
      </c>
      <c r="K513" s="4" t="s">
        <v>126</v>
      </c>
      <c r="L513">
        <v>50</v>
      </c>
      <c r="M513" s="4" t="s">
        <v>158</v>
      </c>
    </row>
    <row r="514" spans="1:13" x14ac:dyDescent="0.2">
      <c r="A514" s="4" t="s">
        <v>698</v>
      </c>
      <c r="B514">
        <v>513</v>
      </c>
      <c r="C514" s="4" t="s">
        <v>26</v>
      </c>
      <c r="D514" s="4" t="s">
        <v>35</v>
      </c>
      <c r="E514" s="4" t="s">
        <v>32</v>
      </c>
      <c r="F514" s="4" t="s">
        <v>81</v>
      </c>
      <c r="G514">
        <v>5</v>
      </c>
      <c r="H514">
        <v>22</v>
      </c>
      <c r="I514" s="4" t="s">
        <v>112</v>
      </c>
      <c r="J514" s="4" t="s">
        <v>127</v>
      </c>
      <c r="K514" s="4" t="s">
        <v>128</v>
      </c>
      <c r="L514">
        <v>150</v>
      </c>
      <c r="M514" s="4" t="s">
        <v>158</v>
      </c>
    </row>
    <row r="515" spans="1:13" x14ac:dyDescent="0.2">
      <c r="A515" s="4" t="s">
        <v>699</v>
      </c>
      <c r="B515">
        <v>514</v>
      </c>
      <c r="C515" s="4" t="s">
        <v>26</v>
      </c>
      <c r="D515" s="4" t="s">
        <v>35</v>
      </c>
      <c r="E515" s="4" t="s">
        <v>32</v>
      </c>
      <c r="F515" s="4" t="s">
        <v>81</v>
      </c>
      <c r="G515">
        <v>5</v>
      </c>
      <c r="H515">
        <v>22</v>
      </c>
      <c r="I515" s="4" t="s">
        <v>112</v>
      </c>
      <c r="J515" s="4" t="s">
        <v>129</v>
      </c>
      <c r="K515" s="4" t="s">
        <v>130</v>
      </c>
      <c r="L515">
        <v>40</v>
      </c>
      <c r="M515" s="4" t="s">
        <v>158</v>
      </c>
    </row>
    <row r="516" spans="1:13" x14ac:dyDescent="0.2">
      <c r="A516" s="4" t="s">
        <v>700</v>
      </c>
      <c r="B516">
        <v>515</v>
      </c>
      <c r="C516" s="4" t="s">
        <v>26</v>
      </c>
      <c r="D516" s="4" t="s">
        <v>35</v>
      </c>
      <c r="E516" s="4" t="s">
        <v>32</v>
      </c>
      <c r="F516" s="4" t="s">
        <v>81</v>
      </c>
      <c r="G516">
        <v>5</v>
      </c>
      <c r="H516">
        <v>22</v>
      </c>
      <c r="I516" s="4" t="s">
        <v>112</v>
      </c>
      <c r="J516" s="4" t="s">
        <v>131</v>
      </c>
      <c r="K516" s="4" t="s">
        <v>132</v>
      </c>
      <c r="L516">
        <v>60</v>
      </c>
      <c r="M516" s="4" t="s">
        <v>158</v>
      </c>
    </row>
    <row r="517" spans="1:13" x14ac:dyDescent="0.2">
      <c r="A517" s="4" t="s">
        <v>701</v>
      </c>
      <c r="B517">
        <v>516</v>
      </c>
      <c r="C517" s="4" t="s">
        <v>26</v>
      </c>
      <c r="D517" s="4" t="s">
        <v>35</v>
      </c>
      <c r="E517" s="4" t="s">
        <v>32</v>
      </c>
      <c r="F517" s="4" t="s">
        <v>81</v>
      </c>
      <c r="G517">
        <v>5</v>
      </c>
      <c r="H517">
        <v>22</v>
      </c>
      <c r="I517" s="4" t="s">
        <v>112</v>
      </c>
      <c r="J517" s="4" t="s">
        <v>133</v>
      </c>
      <c r="K517" s="4" t="s">
        <v>134</v>
      </c>
      <c r="L517">
        <v>60</v>
      </c>
      <c r="M517" s="4" t="s">
        <v>158</v>
      </c>
    </row>
    <row r="518" spans="1:13" x14ac:dyDescent="0.2">
      <c r="A518" s="4" t="s">
        <v>702</v>
      </c>
      <c r="B518">
        <v>517</v>
      </c>
      <c r="C518" s="4" t="s">
        <v>26</v>
      </c>
      <c r="D518" s="4" t="s">
        <v>35</v>
      </c>
      <c r="E518" s="4" t="s">
        <v>32</v>
      </c>
      <c r="F518" s="4" t="s">
        <v>81</v>
      </c>
      <c r="G518">
        <v>5</v>
      </c>
      <c r="H518">
        <v>22</v>
      </c>
      <c r="I518" s="4" t="s">
        <v>114</v>
      </c>
      <c r="J518" s="4" t="s">
        <v>122</v>
      </c>
      <c r="K518" s="4" t="s">
        <v>123</v>
      </c>
      <c r="L518">
        <v>100</v>
      </c>
      <c r="M518" s="4" t="s">
        <v>158</v>
      </c>
    </row>
    <row r="519" spans="1:13" x14ac:dyDescent="0.2">
      <c r="A519" s="4" t="s">
        <v>703</v>
      </c>
      <c r="B519">
        <v>518</v>
      </c>
      <c r="C519" s="4" t="s">
        <v>26</v>
      </c>
      <c r="D519" s="4" t="s">
        <v>35</v>
      </c>
      <c r="E519" s="4" t="s">
        <v>32</v>
      </c>
      <c r="F519" s="4" t="s">
        <v>81</v>
      </c>
      <c r="G519">
        <v>5</v>
      </c>
      <c r="H519">
        <v>22</v>
      </c>
      <c r="I519" s="4" t="s">
        <v>114</v>
      </c>
      <c r="J519" s="4" t="s">
        <v>125</v>
      </c>
      <c r="K519" s="4" t="s">
        <v>126</v>
      </c>
      <c r="L519">
        <v>40</v>
      </c>
      <c r="M519" s="4" t="s">
        <v>158</v>
      </c>
    </row>
    <row r="520" spans="1:13" x14ac:dyDescent="0.2">
      <c r="A520" s="4" t="s">
        <v>704</v>
      </c>
      <c r="B520">
        <v>519</v>
      </c>
      <c r="C520" s="4" t="s">
        <v>26</v>
      </c>
      <c r="D520" s="4" t="s">
        <v>35</v>
      </c>
      <c r="E520" s="4" t="s">
        <v>32</v>
      </c>
      <c r="F520" s="4" t="s">
        <v>81</v>
      </c>
      <c r="G520">
        <v>5</v>
      </c>
      <c r="H520">
        <v>22</v>
      </c>
      <c r="I520" s="4" t="s">
        <v>114</v>
      </c>
      <c r="J520" s="4" t="s">
        <v>127</v>
      </c>
      <c r="K520" s="4" t="s">
        <v>128</v>
      </c>
      <c r="L520">
        <v>175</v>
      </c>
      <c r="M520" s="4" t="s">
        <v>158</v>
      </c>
    </row>
    <row r="521" spans="1:13" x14ac:dyDescent="0.2">
      <c r="A521" s="4" t="s">
        <v>705</v>
      </c>
      <c r="B521">
        <v>520</v>
      </c>
      <c r="C521" s="4" t="s">
        <v>26</v>
      </c>
      <c r="D521" s="4" t="s">
        <v>35</v>
      </c>
      <c r="E521" s="4" t="s">
        <v>32</v>
      </c>
      <c r="F521" s="4" t="s">
        <v>81</v>
      </c>
      <c r="G521">
        <v>5</v>
      </c>
      <c r="H521">
        <v>22</v>
      </c>
      <c r="I521" s="4" t="s">
        <v>114</v>
      </c>
      <c r="J521" s="4" t="s">
        <v>129</v>
      </c>
      <c r="K521" s="4" t="s">
        <v>130</v>
      </c>
      <c r="L521">
        <v>40</v>
      </c>
      <c r="M521" s="4" t="s">
        <v>158</v>
      </c>
    </row>
    <row r="522" spans="1:13" x14ac:dyDescent="0.2">
      <c r="A522" s="4" t="s">
        <v>706</v>
      </c>
      <c r="B522">
        <v>521</v>
      </c>
      <c r="C522" s="4" t="s">
        <v>26</v>
      </c>
      <c r="D522" s="4" t="s">
        <v>35</v>
      </c>
      <c r="E522" s="4" t="s">
        <v>32</v>
      </c>
      <c r="F522" s="4" t="s">
        <v>81</v>
      </c>
      <c r="G522">
        <v>5</v>
      </c>
      <c r="H522">
        <v>22</v>
      </c>
      <c r="I522" s="4" t="s">
        <v>114</v>
      </c>
      <c r="J522" s="4" t="s">
        <v>131</v>
      </c>
      <c r="K522" s="4" t="s">
        <v>132</v>
      </c>
      <c r="L522">
        <v>37</v>
      </c>
      <c r="M522" s="4" t="s">
        <v>158</v>
      </c>
    </row>
    <row r="523" spans="1:13" x14ac:dyDescent="0.2">
      <c r="A523" s="4" t="s">
        <v>707</v>
      </c>
      <c r="B523">
        <v>522</v>
      </c>
      <c r="C523" s="4" t="s">
        <v>26</v>
      </c>
      <c r="D523" s="4" t="s">
        <v>35</v>
      </c>
      <c r="E523" s="4" t="s">
        <v>32</v>
      </c>
      <c r="F523" s="4" t="s">
        <v>81</v>
      </c>
      <c r="G523">
        <v>5</v>
      </c>
      <c r="H523">
        <v>22</v>
      </c>
      <c r="I523" s="4" t="s">
        <v>114</v>
      </c>
      <c r="J523" s="4" t="s">
        <v>133</v>
      </c>
      <c r="K523" s="4" t="s">
        <v>134</v>
      </c>
      <c r="L523">
        <v>40</v>
      </c>
      <c r="M523" s="4" t="s">
        <v>158</v>
      </c>
    </row>
    <row r="524" spans="1:13" x14ac:dyDescent="0.2">
      <c r="A524" s="4" t="s">
        <v>708</v>
      </c>
      <c r="B524">
        <v>523</v>
      </c>
      <c r="C524" s="4" t="s">
        <v>26</v>
      </c>
      <c r="D524" s="4" t="s">
        <v>35</v>
      </c>
      <c r="E524" s="4" t="s">
        <v>32</v>
      </c>
      <c r="F524" s="4" t="s">
        <v>81</v>
      </c>
      <c r="G524">
        <v>5</v>
      </c>
      <c r="H524">
        <v>22</v>
      </c>
      <c r="I524" s="4" t="s">
        <v>116</v>
      </c>
      <c r="J524" s="4" t="s">
        <v>122</v>
      </c>
      <c r="K524" s="4" t="s">
        <v>123</v>
      </c>
      <c r="L524">
        <v>75</v>
      </c>
      <c r="M524" s="4" t="s">
        <v>158</v>
      </c>
    </row>
    <row r="525" spans="1:13" x14ac:dyDescent="0.2">
      <c r="A525" s="4" t="s">
        <v>709</v>
      </c>
      <c r="B525">
        <v>524</v>
      </c>
      <c r="C525" s="4" t="s">
        <v>26</v>
      </c>
      <c r="D525" s="4" t="s">
        <v>35</v>
      </c>
      <c r="E525" s="4" t="s">
        <v>32</v>
      </c>
      <c r="F525" s="4" t="s">
        <v>81</v>
      </c>
      <c r="G525">
        <v>5</v>
      </c>
      <c r="H525">
        <v>22</v>
      </c>
      <c r="I525" s="4" t="s">
        <v>116</v>
      </c>
      <c r="J525" s="4" t="s">
        <v>125</v>
      </c>
      <c r="K525" s="4" t="s">
        <v>126</v>
      </c>
      <c r="L525">
        <v>40</v>
      </c>
      <c r="M525" s="4" t="s">
        <v>158</v>
      </c>
    </row>
    <row r="526" spans="1:13" x14ac:dyDescent="0.2">
      <c r="A526" s="4" t="s">
        <v>710</v>
      </c>
      <c r="B526">
        <v>525</v>
      </c>
      <c r="C526" s="4" t="s">
        <v>26</v>
      </c>
      <c r="D526" s="4" t="s">
        <v>35</v>
      </c>
      <c r="E526" s="4" t="s">
        <v>32</v>
      </c>
      <c r="F526" s="4" t="s">
        <v>81</v>
      </c>
      <c r="G526">
        <v>5</v>
      </c>
      <c r="H526">
        <v>22</v>
      </c>
      <c r="I526" s="4" t="s">
        <v>116</v>
      </c>
      <c r="J526" s="4" t="s">
        <v>127</v>
      </c>
      <c r="K526" s="4" t="s">
        <v>128</v>
      </c>
      <c r="L526">
        <v>75</v>
      </c>
      <c r="M526" s="4" t="s">
        <v>158</v>
      </c>
    </row>
    <row r="527" spans="1:13" x14ac:dyDescent="0.2">
      <c r="A527" s="4" t="s">
        <v>711</v>
      </c>
      <c r="B527">
        <v>526</v>
      </c>
      <c r="C527" s="4" t="s">
        <v>26</v>
      </c>
      <c r="D527" s="4" t="s">
        <v>35</v>
      </c>
      <c r="E527" s="4" t="s">
        <v>32</v>
      </c>
      <c r="F527" s="4" t="s">
        <v>81</v>
      </c>
      <c r="G527">
        <v>5</v>
      </c>
      <c r="H527">
        <v>22</v>
      </c>
      <c r="I527" s="4" t="s">
        <v>116</v>
      </c>
      <c r="J527" s="4" t="s">
        <v>129</v>
      </c>
      <c r="K527" s="4" t="s">
        <v>130</v>
      </c>
      <c r="L527">
        <v>77</v>
      </c>
      <c r="M527" s="4" t="s">
        <v>158</v>
      </c>
    </row>
    <row r="528" spans="1:13" x14ac:dyDescent="0.2">
      <c r="A528" s="4" t="s">
        <v>712</v>
      </c>
      <c r="B528">
        <v>527</v>
      </c>
      <c r="C528" s="4" t="s">
        <v>26</v>
      </c>
      <c r="D528" s="4" t="s">
        <v>35</v>
      </c>
      <c r="E528" s="4" t="s">
        <v>32</v>
      </c>
      <c r="F528" s="4" t="s">
        <v>81</v>
      </c>
      <c r="G528">
        <v>5</v>
      </c>
      <c r="H528">
        <v>22</v>
      </c>
      <c r="I528" s="4" t="s">
        <v>116</v>
      </c>
      <c r="J528" s="4" t="s">
        <v>131</v>
      </c>
      <c r="K528" s="4" t="s">
        <v>132</v>
      </c>
      <c r="L528">
        <v>40</v>
      </c>
      <c r="M528" s="4" t="s">
        <v>158</v>
      </c>
    </row>
    <row r="529" spans="1:13" x14ac:dyDescent="0.2">
      <c r="A529" s="4" t="s">
        <v>713</v>
      </c>
      <c r="B529">
        <v>528</v>
      </c>
      <c r="C529" s="4" t="s">
        <v>26</v>
      </c>
      <c r="D529" s="4" t="s">
        <v>35</v>
      </c>
      <c r="E529" s="4" t="s">
        <v>32</v>
      </c>
      <c r="F529" s="4" t="s">
        <v>81</v>
      </c>
      <c r="G529">
        <v>5</v>
      </c>
      <c r="H529">
        <v>22</v>
      </c>
      <c r="I529" s="4" t="s">
        <v>116</v>
      </c>
      <c r="J529" s="4" t="s">
        <v>133</v>
      </c>
      <c r="K529" s="4" t="s">
        <v>134</v>
      </c>
      <c r="L529">
        <v>40</v>
      </c>
      <c r="M529" s="4" t="s">
        <v>158</v>
      </c>
    </row>
    <row r="530" spans="1:13" x14ac:dyDescent="0.2">
      <c r="A530" s="4" t="s">
        <v>714</v>
      </c>
      <c r="B530">
        <v>529</v>
      </c>
      <c r="C530" s="4" t="s">
        <v>26</v>
      </c>
      <c r="D530" s="4" t="s">
        <v>35</v>
      </c>
      <c r="E530" s="4" t="s">
        <v>35</v>
      </c>
      <c r="F530" s="4" t="s">
        <v>83</v>
      </c>
      <c r="G530">
        <v>5</v>
      </c>
      <c r="H530">
        <v>23</v>
      </c>
      <c r="I530" s="4" t="s">
        <v>35</v>
      </c>
      <c r="J530" s="4" t="s">
        <v>122</v>
      </c>
      <c r="K530" s="4" t="s">
        <v>123</v>
      </c>
      <c r="L530">
        <v>717</v>
      </c>
      <c r="M530" s="4" t="s">
        <v>158</v>
      </c>
    </row>
    <row r="531" spans="1:13" x14ac:dyDescent="0.2">
      <c r="A531" s="4" t="s">
        <v>715</v>
      </c>
      <c r="B531">
        <v>530</v>
      </c>
      <c r="C531" s="4" t="s">
        <v>26</v>
      </c>
      <c r="D531" s="4" t="s">
        <v>35</v>
      </c>
      <c r="E531" s="4" t="s">
        <v>35</v>
      </c>
      <c r="F531" s="4" t="s">
        <v>83</v>
      </c>
      <c r="G531">
        <v>5</v>
      </c>
      <c r="H531">
        <v>23</v>
      </c>
      <c r="I531" s="4" t="s">
        <v>35</v>
      </c>
      <c r="J531" s="4" t="s">
        <v>125</v>
      </c>
      <c r="K531" s="4" t="s">
        <v>126</v>
      </c>
      <c r="L531">
        <v>323</v>
      </c>
      <c r="M531" s="4" t="s">
        <v>158</v>
      </c>
    </row>
    <row r="532" spans="1:13" x14ac:dyDescent="0.2">
      <c r="A532" s="4" t="s">
        <v>716</v>
      </c>
      <c r="B532">
        <v>531</v>
      </c>
      <c r="C532" s="4" t="s">
        <v>26</v>
      </c>
      <c r="D532" s="4" t="s">
        <v>35</v>
      </c>
      <c r="E532" s="4" t="s">
        <v>35</v>
      </c>
      <c r="F532" s="4" t="s">
        <v>83</v>
      </c>
      <c r="G532">
        <v>5</v>
      </c>
      <c r="H532">
        <v>23</v>
      </c>
      <c r="I532" s="4" t="s">
        <v>35</v>
      </c>
      <c r="J532" s="4" t="s">
        <v>127</v>
      </c>
      <c r="K532" s="4" t="s">
        <v>128</v>
      </c>
      <c r="L532">
        <v>597</v>
      </c>
      <c r="M532" s="4" t="s">
        <v>158</v>
      </c>
    </row>
    <row r="533" spans="1:13" x14ac:dyDescent="0.2">
      <c r="A533" s="4" t="s">
        <v>717</v>
      </c>
      <c r="B533">
        <v>532</v>
      </c>
      <c r="C533" s="4" t="s">
        <v>26</v>
      </c>
      <c r="D533" s="4" t="s">
        <v>35</v>
      </c>
      <c r="E533" s="4" t="s">
        <v>35</v>
      </c>
      <c r="F533" s="4" t="s">
        <v>83</v>
      </c>
      <c r="G533">
        <v>5</v>
      </c>
      <c r="H533">
        <v>23</v>
      </c>
      <c r="I533" s="4" t="s">
        <v>35</v>
      </c>
      <c r="J533" s="4" t="s">
        <v>129</v>
      </c>
      <c r="K533" s="4" t="s">
        <v>130</v>
      </c>
      <c r="L533">
        <v>189</v>
      </c>
      <c r="M533" s="4" t="s">
        <v>158</v>
      </c>
    </row>
    <row r="534" spans="1:13" x14ac:dyDescent="0.2">
      <c r="A534" s="4" t="s">
        <v>718</v>
      </c>
      <c r="B534">
        <v>533</v>
      </c>
      <c r="C534" s="4" t="s">
        <v>26</v>
      </c>
      <c r="D534" s="4" t="s">
        <v>35</v>
      </c>
      <c r="E534" s="4" t="s">
        <v>35</v>
      </c>
      <c r="F534" s="4" t="s">
        <v>83</v>
      </c>
      <c r="G534">
        <v>5</v>
      </c>
      <c r="H534">
        <v>23</v>
      </c>
      <c r="I534" s="4" t="s">
        <v>35</v>
      </c>
      <c r="J534" s="4" t="s">
        <v>131</v>
      </c>
      <c r="K534" s="4" t="s">
        <v>132</v>
      </c>
      <c r="L534">
        <v>295</v>
      </c>
      <c r="M534" s="4" t="s">
        <v>158</v>
      </c>
    </row>
    <row r="535" spans="1:13" x14ac:dyDescent="0.2">
      <c r="A535" s="4" t="s">
        <v>719</v>
      </c>
      <c r="B535">
        <v>534</v>
      </c>
      <c r="C535" s="4" t="s">
        <v>26</v>
      </c>
      <c r="D535" s="4" t="s">
        <v>35</v>
      </c>
      <c r="E535" s="4" t="s">
        <v>35</v>
      </c>
      <c r="F535" s="4" t="s">
        <v>83</v>
      </c>
      <c r="G535">
        <v>5</v>
      </c>
      <c r="H535">
        <v>23</v>
      </c>
      <c r="I535" s="4" t="s">
        <v>35</v>
      </c>
      <c r="J535" s="4" t="s">
        <v>133</v>
      </c>
      <c r="K535" s="4" t="s">
        <v>134</v>
      </c>
      <c r="L535">
        <v>247</v>
      </c>
      <c r="M535" s="4" t="s">
        <v>158</v>
      </c>
    </row>
    <row r="536" spans="1:13" x14ac:dyDescent="0.2">
      <c r="A536" s="4" t="s">
        <v>720</v>
      </c>
      <c r="B536">
        <v>535</v>
      </c>
      <c r="C536" s="4" t="s">
        <v>26</v>
      </c>
      <c r="D536" s="4" t="s">
        <v>35</v>
      </c>
      <c r="E536" s="4" t="s">
        <v>35</v>
      </c>
      <c r="F536" s="4" t="s">
        <v>83</v>
      </c>
      <c r="G536">
        <v>5</v>
      </c>
      <c r="H536">
        <v>23</v>
      </c>
      <c r="I536" s="4" t="s">
        <v>112</v>
      </c>
      <c r="J536" s="4" t="s">
        <v>122</v>
      </c>
      <c r="K536" s="4" t="s">
        <v>123</v>
      </c>
      <c r="L536">
        <v>219</v>
      </c>
      <c r="M536" s="4" t="s">
        <v>158</v>
      </c>
    </row>
    <row r="537" spans="1:13" x14ac:dyDescent="0.2">
      <c r="A537" s="4" t="s">
        <v>721</v>
      </c>
      <c r="B537">
        <v>536</v>
      </c>
      <c r="C537" s="4" t="s">
        <v>26</v>
      </c>
      <c r="D537" s="4" t="s">
        <v>35</v>
      </c>
      <c r="E537" s="4" t="s">
        <v>35</v>
      </c>
      <c r="F537" s="4" t="s">
        <v>83</v>
      </c>
      <c r="G537">
        <v>5</v>
      </c>
      <c r="H537">
        <v>23</v>
      </c>
      <c r="I537" s="4" t="s">
        <v>112</v>
      </c>
      <c r="J537" s="4" t="s">
        <v>125</v>
      </c>
      <c r="K537" s="4" t="s">
        <v>126</v>
      </c>
      <c r="L537">
        <v>50</v>
      </c>
      <c r="M537" s="4" t="s">
        <v>158</v>
      </c>
    </row>
    <row r="538" spans="1:13" x14ac:dyDescent="0.2">
      <c r="A538" s="4" t="s">
        <v>722</v>
      </c>
      <c r="B538">
        <v>537</v>
      </c>
      <c r="C538" s="4" t="s">
        <v>26</v>
      </c>
      <c r="D538" s="4" t="s">
        <v>35</v>
      </c>
      <c r="E538" s="4" t="s">
        <v>35</v>
      </c>
      <c r="F538" s="4" t="s">
        <v>83</v>
      </c>
      <c r="G538">
        <v>5</v>
      </c>
      <c r="H538">
        <v>23</v>
      </c>
      <c r="I538" s="4" t="s">
        <v>112</v>
      </c>
      <c r="J538" s="4" t="s">
        <v>127</v>
      </c>
      <c r="K538" s="4" t="s">
        <v>128</v>
      </c>
      <c r="L538">
        <v>150</v>
      </c>
      <c r="M538" s="4" t="s">
        <v>158</v>
      </c>
    </row>
    <row r="539" spans="1:13" x14ac:dyDescent="0.2">
      <c r="A539" s="4" t="s">
        <v>723</v>
      </c>
      <c r="B539">
        <v>538</v>
      </c>
      <c r="C539" s="4" t="s">
        <v>26</v>
      </c>
      <c r="D539" s="4" t="s">
        <v>35</v>
      </c>
      <c r="E539" s="4" t="s">
        <v>35</v>
      </c>
      <c r="F539" s="4" t="s">
        <v>83</v>
      </c>
      <c r="G539">
        <v>5</v>
      </c>
      <c r="H539">
        <v>23</v>
      </c>
      <c r="I539" s="4" t="s">
        <v>112</v>
      </c>
      <c r="J539" s="4" t="s">
        <v>129</v>
      </c>
      <c r="K539" s="4" t="s">
        <v>130</v>
      </c>
      <c r="L539">
        <v>40</v>
      </c>
      <c r="M539" s="4" t="s">
        <v>158</v>
      </c>
    </row>
    <row r="540" spans="1:13" x14ac:dyDescent="0.2">
      <c r="A540" s="4" t="s">
        <v>724</v>
      </c>
      <c r="B540">
        <v>539</v>
      </c>
      <c r="C540" s="4" t="s">
        <v>26</v>
      </c>
      <c r="D540" s="4" t="s">
        <v>35</v>
      </c>
      <c r="E540" s="4" t="s">
        <v>35</v>
      </c>
      <c r="F540" s="4" t="s">
        <v>83</v>
      </c>
      <c r="G540">
        <v>5</v>
      </c>
      <c r="H540">
        <v>23</v>
      </c>
      <c r="I540" s="4" t="s">
        <v>112</v>
      </c>
      <c r="J540" s="4" t="s">
        <v>131</v>
      </c>
      <c r="K540" s="4" t="s">
        <v>132</v>
      </c>
      <c r="L540">
        <v>60</v>
      </c>
      <c r="M540" s="4" t="s">
        <v>158</v>
      </c>
    </row>
    <row r="541" spans="1:13" x14ac:dyDescent="0.2">
      <c r="A541" s="4" t="s">
        <v>725</v>
      </c>
      <c r="B541">
        <v>540</v>
      </c>
      <c r="C541" s="4" t="s">
        <v>26</v>
      </c>
      <c r="D541" s="4" t="s">
        <v>35</v>
      </c>
      <c r="E541" s="4" t="s">
        <v>35</v>
      </c>
      <c r="F541" s="4" t="s">
        <v>83</v>
      </c>
      <c r="G541">
        <v>5</v>
      </c>
      <c r="H541">
        <v>23</v>
      </c>
      <c r="I541" s="4" t="s">
        <v>112</v>
      </c>
      <c r="J541" s="4" t="s">
        <v>133</v>
      </c>
      <c r="K541" s="4" t="s">
        <v>134</v>
      </c>
      <c r="L541">
        <v>60</v>
      </c>
      <c r="M541" s="4" t="s">
        <v>158</v>
      </c>
    </row>
    <row r="542" spans="1:13" x14ac:dyDescent="0.2">
      <c r="A542" s="4" t="s">
        <v>726</v>
      </c>
      <c r="B542">
        <v>541</v>
      </c>
      <c r="C542" s="4" t="s">
        <v>26</v>
      </c>
      <c r="D542" s="4" t="s">
        <v>35</v>
      </c>
      <c r="E542" s="4" t="s">
        <v>35</v>
      </c>
      <c r="F542" s="4" t="s">
        <v>83</v>
      </c>
      <c r="G542">
        <v>5</v>
      </c>
      <c r="H542">
        <v>23</v>
      </c>
      <c r="I542" s="4" t="s">
        <v>114</v>
      </c>
      <c r="J542" s="4" t="s">
        <v>122</v>
      </c>
      <c r="K542" s="4" t="s">
        <v>123</v>
      </c>
      <c r="L542">
        <v>100</v>
      </c>
      <c r="M542" s="4" t="s">
        <v>158</v>
      </c>
    </row>
    <row r="543" spans="1:13" x14ac:dyDescent="0.2">
      <c r="A543" s="4" t="s">
        <v>727</v>
      </c>
      <c r="B543">
        <v>542</v>
      </c>
      <c r="C543" s="4" t="s">
        <v>26</v>
      </c>
      <c r="D543" s="4" t="s">
        <v>35</v>
      </c>
      <c r="E543" s="4" t="s">
        <v>35</v>
      </c>
      <c r="F543" s="4" t="s">
        <v>83</v>
      </c>
      <c r="G543">
        <v>5</v>
      </c>
      <c r="H543">
        <v>23</v>
      </c>
      <c r="I543" s="4" t="s">
        <v>114</v>
      </c>
      <c r="J543" s="4" t="s">
        <v>125</v>
      </c>
      <c r="K543" s="4" t="s">
        <v>126</v>
      </c>
      <c r="L543">
        <v>19</v>
      </c>
      <c r="M543" s="4" t="s">
        <v>158</v>
      </c>
    </row>
    <row r="544" spans="1:13" x14ac:dyDescent="0.2">
      <c r="A544" s="4" t="s">
        <v>728</v>
      </c>
      <c r="B544">
        <v>543</v>
      </c>
      <c r="C544" s="4" t="s">
        <v>26</v>
      </c>
      <c r="D544" s="4" t="s">
        <v>35</v>
      </c>
      <c r="E544" s="4" t="s">
        <v>35</v>
      </c>
      <c r="F544" s="4" t="s">
        <v>83</v>
      </c>
      <c r="G544">
        <v>5</v>
      </c>
      <c r="H544">
        <v>23</v>
      </c>
      <c r="I544" s="4" t="s">
        <v>114</v>
      </c>
      <c r="J544" s="4" t="s">
        <v>127</v>
      </c>
      <c r="K544" s="4" t="s">
        <v>128</v>
      </c>
      <c r="L544">
        <v>119</v>
      </c>
      <c r="M544" s="4" t="s">
        <v>158</v>
      </c>
    </row>
    <row r="545" spans="1:13" x14ac:dyDescent="0.2">
      <c r="A545" s="4" t="s">
        <v>729</v>
      </c>
      <c r="B545">
        <v>544</v>
      </c>
      <c r="C545" s="4" t="s">
        <v>26</v>
      </c>
      <c r="D545" s="4" t="s">
        <v>35</v>
      </c>
      <c r="E545" s="4" t="s">
        <v>35</v>
      </c>
      <c r="F545" s="4" t="s">
        <v>83</v>
      </c>
      <c r="G545">
        <v>5</v>
      </c>
      <c r="H545">
        <v>23</v>
      </c>
      <c r="I545" s="4" t="s">
        <v>114</v>
      </c>
      <c r="J545" s="4" t="s">
        <v>129</v>
      </c>
      <c r="K545" s="4" t="s">
        <v>130</v>
      </c>
      <c r="L545">
        <v>40</v>
      </c>
      <c r="M545" s="4" t="s">
        <v>158</v>
      </c>
    </row>
    <row r="546" spans="1:13" x14ac:dyDescent="0.2">
      <c r="A546" s="4" t="s">
        <v>730</v>
      </c>
      <c r="B546">
        <v>545</v>
      </c>
      <c r="C546" s="4" t="s">
        <v>26</v>
      </c>
      <c r="D546" s="4" t="s">
        <v>35</v>
      </c>
      <c r="E546" s="4" t="s">
        <v>35</v>
      </c>
      <c r="F546" s="4" t="s">
        <v>83</v>
      </c>
      <c r="G546">
        <v>5</v>
      </c>
      <c r="H546">
        <v>23</v>
      </c>
      <c r="I546" s="4" t="s">
        <v>114</v>
      </c>
      <c r="J546" s="4" t="s">
        <v>131</v>
      </c>
      <c r="K546" s="4" t="s">
        <v>132</v>
      </c>
      <c r="L546">
        <v>40</v>
      </c>
      <c r="M546" s="4" t="s">
        <v>158</v>
      </c>
    </row>
    <row r="547" spans="1:13" x14ac:dyDescent="0.2">
      <c r="A547" s="4" t="s">
        <v>731</v>
      </c>
      <c r="B547">
        <v>546</v>
      </c>
      <c r="C547" s="4" t="s">
        <v>26</v>
      </c>
      <c r="D547" s="4" t="s">
        <v>35</v>
      </c>
      <c r="E547" s="4" t="s">
        <v>35</v>
      </c>
      <c r="F547" s="4" t="s">
        <v>83</v>
      </c>
      <c r="G547">
        <v>5</v>
      </c>
      <c r="H547">
        <v>23</v>
      </c>
      <c r="I547" s="4" t="s">
        <v>114</v>
      </c>
      <c r="J547" s="4" t="s">
        <v>133</v>
      </c>
      <c r="K547" s="4" t="s">
        <v>134</v>
      </c>
      <c r="L547">
        <v>40</v>
      </c>
      <c r="M547" s="4" t="s">
        <v>158</v>
      </c>
    </row>
    <row r="548" spans="1:13" x14ac:dyDescent="0.2">
      <c r="A548" s="4" t="s">
        <v>732</v>
      </c>
      <c r="B548">
        <v>547</v>
      </c>
      <c r="C548" s="4" t="s">
        <v>26</v>
      </c>
      <c r="D548" s="4" t="s">
        <v>35</v>
      </c>
      <c r="E548" s="4" t="s">
        <v>35</v>
      </c>
      <c r="F548" s="4" t="s">
        <v>83</v>
      </c>
      <c r="G548">
        <v>5</v>
      </c>
      <c r="H548">
        <v>23</v>
      </c>
      <c r="I548" s="4" t="s">
        <v>116</v>
      </c>
      <c r="J548" s="4" t="s">
        <v>122</v>
      </c>
      <c r="K548" s="4" t="s">
        <v>123</v>
      </c>
      <c r="L548">
        <v>75</v>
      </c>
      <c r="M548" s="4" t="s">
        <v>158</v>
      </c>
    </row>
    <row r="549" spans="1:13" x14ac:dyDescent="0.2">
      <c r="A549" s="4" t="s">
        <v>733</v>
      </c>
      <c r="B549">
        <v>548</v>
      </c>
      <c r="C549" s="4" t="s">
        <v>26</v>
      </c>
      <c r="D549" s="4" t="s">
        <v>35</v>
      </c>
      <c r="E549" s="4" t="s">
        <v>35</v>
      </c>
      <c r="F549" s="4" t="s">
        <v>83</v>
      </c>
      <c r="G549">
        <v>5</v>
      </c>
      <c r="H549">
        <v>23</v>
      </c>
      <c r="I549" s="4" t="s">
        <v>116</v>
      </c>
      <c r="J549" s="4" t="s">
        <v>125</v>
      </c>
      <c r="K549" s="4" t="s">
        <v>126</v>
      </c>
      <c r="L549">
        <v>40</v>
      </c>
      <c r="M549" s="4" t="s">
        <v>158</v>
      </c>
    </row>
    <row r="550" spans="1:13" x14ac:dyDescent="0.2">
      <c r="A550" s="4" t="s">
        <v>734</v>
      </c>
      <c r="B550">
        <v>549</v>
      </c>
      <c r="C550" s="4" t="s">
        <v>26</v>
      </c>
      <c r="D550" s="4" t="s">
        <v>35</v>
      </c>
      <c r="E550" s="4" t="s">
        <v>35</v>
      </c>
      <c r="F550" s="4" t="s">
        <v>83</v>
      </c>
      <c r="G550">
        <v>5</v>
      </c>
      <c r="H550">
        <v>23</v>
      </c>
      <c r="I550" s="4" t="s">
        <v>116</v>
      </c>
      <c r="J550" s="4" t="s">
        <v>127</v>
      </c>
      <c r="K550" s="4" t="s">
        <v>128</v>
      </c>
      <c r="L550">
        <v>75</v>
      </c>
      <c r="M550" s="4" t="s">
        <v>158</v>
      </c>
    </row>
    <row r="551" spans="1:13" x14ac:dyDescent="0.2">
      <c r="A551" s="4" t="s">
        <v>735</v>
      </c>
      <c r="B551">
        <v>550</v>
      </c>
      <c r="C551" s="4" t="s">
        <v>26</v>
      </c>
      <c r="D551" s="4" t="s">
        <v>35</v>
      </c>
      <c r="E551" s="4" t="s">
        <v>35</v>
      </c>
      <c r="F551" s="4" t="s">
        <v>83</v>
      </c>
      <c r="G551">
        <v>5</v>
      </c>
      <c r="H551">
        <v>23</v>
      </c>
      <c r="I551" s="4" t="s">
        <v>116</v>
      </c>
      <c r="J551" s="4" t="s">
        <v>129</v>
      </c>
      <c r="K551" s="4" t="s">
        <v>130</v>
      </c>
      <c r="L551">
        <v>100</v>
      </c>
      <c r="M551" s="4" t="s">
        <v>158</v>
      </c>
    </row>
    <row r="552" spans="1:13" x14ac:dyDescent="0.2">
      <c r="A552" s="4" t="s">
        <v>736</v>
      </c>
      <c r="B552">
        <v>551</v>
      </c>
      <c r="C552" s="4" t="s">
        <v>26</v>
      </c>
      <c r="D552" s="4" t="s">
        <v>35</v>
      </c>
      <c r="E552" s="4" t="s">
        <v>35</v>
      </c>
      <c r="F552" s="4" t="s">
        <v>83</v>
      </c>
      <c r="G552">
        <v>5</v>
      </c>
      <c r="H552">
        <v>23</v>
      </c>
      <c r="I552" s="4" t="s">
        <v>116</v>
      </c>
      <c r="J552" s="4" t="s">
        <v>131</v>
      </c>
      <c r="K552" s="4" t="s">
        <v>132</v>
      </c>
      <c r="L552">
        <v>40</v>
      </c>
      <c r="M552" s="4" t="s">
        <v>158</v>
      </c>
    </row>
    <row r="553" spans="1:13" x14ac:dyDescent="0.2">
      <c r="A553" s="4" t="s">
        <v>737</v>
      </c>
      <c r="B553">
        <v>552</v>
      </c>
      <c r="C553" s="4" t="s">
        <v>26</v>
      </c>
      <c r="D553" s="4" t="s">
        <v>35</v>
      </c>
      <c r="E553" s="4" t="s">
        <v>35</v>
      </c>
      <c r="F553" s="4" t="s">
        <v>83</v>
      </c>
      <c r="G553">
        <v>5</v>
      </c>
      <c r="H553">
        <v>23</v>
      </c>
      <c r="I553" s="4" t="s">
        <v>116</v>
      </c>
      <c r="J553" s="4" t="s">
        <v>133</v>
      </c>
      <c r="K553" s="4" t="s">
        <v>134</v>
      </c>
      <c r="L553">
        <v>40</v>
      </c>
      <c r="M553" s="4" t="s">
        <v>158</v>
      </c>
    </row>
    <row r="554" spans="1:13" x14ac:dyDescent="0.2">
      <c r="A554" s="4" t="s">
        <v>738</v>
      </c>
      <c r="B554">
        <v>553</v>
      </c>
      <c r="C554" s="4" t="s">
        <v>26</v>
      </c>
      <c r="D554" s="4" t="s">
        <v>35</v>
      </c>
      <c r="E554" s="4" t="s">
        <v>38</v>
      </c>
      <c r="F554" s="4" t="s">
        <v>85</v>
      </c>
      <c r="G554">
        <v>5</v>
      </c>
      <c r="H554">
        <v>24</v>
      </c>
      <c r="I554" s="4" t="s">
        <v>35</v>
      </c>
      <c r="J554" s="4" t="s">
        <v>122</v>
      </c>
      <c r="K554" s="4" t="s">
        <v>123</v>
      </c>
      <c r="L554">
        <v>716</v>
      </c>
      <c r="M554" s="4" t="s">
        <v>158</v>
      </c>
    </row>
    <row r="555" spans="1:13" x14ac:dyDescent="0.2">
      <c r="A555" s="4" t="s">
        <v>739</v>
      </c>
      <c r="B555">
        <v>554</v>
      </c>
      <c r="C555" s="4" t="s">
        <v>26</v>
      </c>
      <c r="D555" s="4" t="s">
        <v>35</v>
      </c>
      <c r="E555" s="4" t="s">
        <v>38</v>
      </c>
      <c r="F555" s="4" t="s">
        <v>85</v>
      </c>
      <c r="G555">
        <v>5</v>
      </c>
      <c r="H555">
        <v>24</v>
      </c>
      <c r="I555" s="4" t="s">
        <v>35</v>
      </c>
      <c r="J555" s="4" t="s">
        <v>125</v>
      </c>
      <c r="K555" s="4" t="s">
        <v>126</v>
      </c>
      <c r="L555">
        <v>302</v>
      </c>
      <c r="M555" s="4" t="s">
        <v>158</v>
      </c>
    </row>
    <row r="556" spans="1:13" x14ac:dyDescent="0.2">
      <c r="A556" s="4" t="s">
        <v>740</v>
      </c>
      <c r="B556">
        <v>555</v>
      </c>
      <c r="C556" s="4" t="s">
        <v>26</v>
      </c>
      <c r="D556" s="4" t="s">
        <v>35</v>
      </c>
      <c r="E556" s="4" t="s">
        <v>38</v>
      </c>
      <c r="F556" s="4" t="s">
        <v>85</v>
      </c>
      <c r="G556">
        <v>5</v>
      </c>
      <c r="H556">
        <v>24</v>
      </c>
      <c r="I556" s="4" t="s">
        <v>35</v>
      </c>
      <c r="J556" s="4" t="s">
        <v>127</v>
      </c>
      <c r="K556" s="4" t="s">
        <v>128</v>
      </c>
      <c r="L556">
        <v>541</v>
      </c>
      <c r="M556" s="4" t="s">
        <v>158</v>
      </c>
    </row>
    <row r="557" spans="1:13" x14ac:dyDescent="0.2">
      <c r="A557" s="4" t="s">
        <v>741</v>
      </c>
      <c r="B557">
        <v>556</v>
      </c>
      <c r="C557" s="4" t="s">
        <v>26</v>
      </c>
      <c r="D557" s="4" t="s">
        <v>35</v>
      </c>
      <c r="E557" s="4" t="s">
        <v>38</v>
      </c>
      <c r="F557" s="4" t="s">
        <v>85</v>
      </c>
      <c r="G557">
        <v>5</v>
      </c>
      <c r="H557">
        <v>24</v>
      </c>
      <c r="I557" s="4" t="s">
        <v>35</v>
      </c>
      <c r="J557" s="4" t="s">
        <v>129</v>
      </c>
      <c r="K557" s="4" t="s">
        <v>130</v>
      </c>
      <c r="L557">
        <v>189</v>
      </c>
      <c r="M557" s="4" t="s">
        <v>158</v>
      </c>
    </row>
    <row r="558" spans="1:13" x14ac:dyDescent="0.2">
      <c r="A558" s="4" t="s">
        <v>742</v>
      </c>
      <c r="B558">
        <v>557</v>
      </c>
      <c r="C558" s="4" t="s">
        <v>26</v>
      </c>
      <c r="D558" s="4" t="s">
        <v>35</v>
      </c>
      <c r="E558" s="4" t="s">
        <v>38</v>
      </c>
      <c r="F558" s="4" t="s">
        <v>85</v>
      </c>
      <c r="G558">
        <v>5</v>
      </c>
      <c r="H558">
        <v>24</v>
      </c>
      <c r="I558" s="4" t="s">
        <v>35</v>
      </c>
      <c r="J558" s="4" t="s">
        <v>131</v>
      </c>
      <c r="K558" s="4" t="s">
        <v>132</v>
      </c>
      <c r="L558">
        <v>265</v>
      </c>
      <c r="M558" s="4" t="s">
        <v>158</v>
      </c>
    </row>
    <row r="559" spans="1:13" x14ac:dyDescent="0.2">
      <c r="A559" s="4" t="s">
        <v>743</v>
      </c>
      <c r="B559">
        <v>558</v>
      </c>
      <c r="C559" s="4" t="s">
        <v>26</v>
      </c>
      <c r="D559" s="4" t="s">
        <v>35</v>
      </c>
      <c r="E559" s="4" t="s">
        <v>38</v>
      </c>
      <c r="F559" s="4" t="s">
        <v>85</v>
      </c>
      <c r="G559">
        <v>5</v>
      </c>
      <c r="H559">
        <v>24</v>
      </c>
      <c r="I559" s="4" t="s">
        <v>35</v>
      </c>
      <c r="J559" s="4" t="s">
        <v>133</v>
      </c>
      <c r="K559" s="4" t="s">
        <v>134</v>
      </c>
      <c r="L559">
        <v>247</v>
      </c>
      <c r="M559" s="4" t="s">
        <v>158</v>
      </c>
    </row>
    <row r="560" spans="1:13" x14ac:dyDescent="0.2">
      <c r="A560" s="4" t="s">
        <v>744</v>
      </c>
      <c r="B560">
        <v>559</v>
      </c>
      <c r="C560" s="4" t="s">
        <v>26</v>
      </c>
      <c r="D560" s="4" t="s">
        <v>35</v>
      </c>
      <c r="E560" s="4" t="s">
        <v>38</v>
      </c>
      <c r="F560" s="4" t="s">
        <v>85</v>
      </c>
      <c r="G560">
        <v>5</v>
      </c>
      <c r="H560">
        <v>24</v>
      </c>
      <c r="I560" s="4" t="s">
        <v>112</v>
      </c>
      <c r="J560" s="4" t="s">
        <v>122</v>
      </c>
      <c r="K560" s="4" t="s">
        <v>123</v>
      </c>
      <c r="L560">
        <v>72</v>
      </c>
      <c r="M560" s="4" t="s">
        <v>158</v>
      </c>
    </row>
    <row r="561" spans="1:13" x14ac:dyDescent="0.2">
      <c r="A561" s="4" t="s">
        <v>745</v>
      </c>
      <c r="B561">
        <v>560</v>
      </c>
      <c r="C561" s="4" t="s">
        <v>26</v>
      </c>
      <c r="D561" s="4" t="s">
        <v>35</v>
      </c>
      <c r="E561" s="4" t="s">
        <v>38</v>
      </c>
      <c r="F561" s="4" t="s">
        <v>85</v>
      </c>
      <c r="G561">
        <v>5</v>
      </c>
      <c r="H561">
        <v>24</v>
      </c>
      <c r="I561" s="4" t="s">
        <v>112</v>
      </c>
      <c r="J561" s="4" t="s">
        <v>125</v>
      </c>
      <c r="K561" s="4" t="s">
        <v>126</v>
      </c>
      <c r="L561">
        <v>50</v>
      </c>
      <c r="M561" s="4" t="s">
        <v>158</v>
      </c>
    </row>
    <row r="562" spans="1:13" x14ac:dyDescent="0.2">
      <c r="A562" s="4" t="s">
        <v>746</v>
      </c>
      <c r="B562">
        <v>561</v>
      </c>
      <c r="C562" s="4" t="s">
        <v>26</v>
      </c>
      <c r="D562" s="4" t="s">
        <v>35</v>
      </c>
      <c r="E562" s="4" t="s">
        <v>38</v>
      </c>
      <c r="F562" s="4" t="s">
        <v>85</v>
      </c>
      <c r="G562">
        <v>5</v>
      </c>
      <c r="H562">
        <v>24</v>
      </c>
      <c r="I562" s="4" t="s">
        <v>112</v>
      </c>
      <c r="J562" s="4" t="s">
        <v>127</v>
      </c>
      <c r="K562" s="4" t="s">
        <v>128</v>
      </c>
      <c r="L562">
        <v>92</v>
      </c>
      <c r="M562" s="4" t="s">
        <v>158</v>
      </c>
    </row>
    <row r="563" spans="1:13" x14ac:dyDescent="0.2">
      <c r="A563" s="4" t="s">
        <v>747</v>
      </c>
      <c r="B563">
        <v>562</v>
      </c>
      <c r="C563" s="4" t="s">
        <v>26</v>
      </c>
      <c r="D563" s="4" t="s">
        <v>35</v>
      </c>
      <c r="E563" s="4" t="s">
        <v>38</v>
      </c>
      <c r="F563" s="4" t="s">
        <v>85</v>
      </c>
      <c r="G563">
        <v>5</v>
      </c>
      <c r="H563">
        <v>24</v>
      </c>
      <c r="I563" s="4" t="s">
        <v>112</v>
      </c>
      <c r="J563" s="4" t="s">
        <v>129</v>
      </c>
      <c r="K563" s="4" t="s">
        <v>130</v>
      </c>
      <c r="L563">
        <v>40</v>
      </c>
      <c r="M563" s="4" t="s">
        <v>158</v>
      </c>
    </row>
    <row r="564" spans="1:13" x14ac:dyDescent="0.2">
      <c r="A564" s="4" t="s">
        <v>748</v>
      </c>
      <c r="B564">
        <v>563</v>
      </c>
      <c r="C564" s="4" t="s">
        <v>26</v>
      </c>
      <c r="D564" s="4" t="s">
        <v>35</v>
      </c>
      <c r="E564" s="4" t="s">
        <v>38</v>
      </c>
      <c r="F564" s="4" t="s">
        <v>85</v>
      </c>
      <c r="G564">
        <v>5</v>
      </c>
      <c r="H564">
        <v>24</v>
      </c>
      <c r="I564" s="4" t="s">
        <v>112</v>
      </c>
      <c r="J564" s="4" t="s">
        <v>131</v>
      </c>
      <c r="K564" s="4" t="s">
        <v>132</v>
      </c>
      <c r="L564">
        <v>60</v>
      </c>
      <c r="M564" s="4" t="s">
        <v>158</v>
      </c>
    </row>
    <row r="565" spans="1:13" x14ac:dyDescent="0.2">
      <c r="A565" s="4" t="s">
        <v>749</v>
      </c>
      <c r="B565">
        <v>564</v>
      </c>
      <c r="C565" s="4" t="s">
        <v>26</v>
      </c>
      <c r="D565" s="4" t="s">
        <v>35</v>
      </c>
      <c r="E565" s="4" t="s">
        <v>38</v>
      </c>
      <c r="F565" s="4" t="s">
        <v>85</v>
      </c>
      <c r="G565">
        <v>5</v>
      </c>
      <c r="H565">
        <v>24</v>
      </c>
      <c r="I565" s="4" t="s">
        <v>112</v>
      </c>
      <c r="J565" s="4" t="s">
        <v>133</v>
      </c>
      <c r="K565" s="4" t="s">
        <v>134</v>
      </c>
      <c r="L565">
        <v>0</v>
      </c>
      <c r="M565" s="4" t="s">
        <v>158</v>
      </c>
    </row>
    <row r="566" spans="1:13" x14ac:dyDescent="0.2">
      <c r="A566" s="4" t="s">
        <v>750</v>
      </c>
      <c r="B566">
        <v>565</v>
      </c>
      <c r="C566" s="4" t="s">
        <v>26</v>
      </c>
      <c r="D566" s="4" t="s">
        <v>35</v>
      </c>
      <c r="E566" s="4" t="s">
        <v>38</v>
      </c>
      <c r="F566" s="4" t="s">
        <v>85</v>
      </c>
      <c r="G566">
        <v>5</v>
      </c>
      <c r="H566">
        <v>24</v>
      </c>
      <c r="I566" s="4" t="s">
        <v>114</v>
      </c>
      <c r="J566" s="4" t="s">
        <v>122</v>
      </c>
      <c r="K566" s="4" t="s">
        <v>123</v>
      </c>
      <c r="L566">
        <v>100</v>
      </c>
      <c r="M566" s="4" t="s">
        <v>158</v>
      </c>
    </row>
    <row r="567" spans="1:13" x14ac:dyDescent="0.2">
      <c r="A567" s="4" t="s">
        <v>751</v>
      </c>
      <c r="B567">
        <v>566</v>
      </c>
      <c r="C567" s="4" t="s">
        <v>26</v>
      </c>
      <c r="D567" s="4" t="s">
        <v>35</v>
      </c>
      <c r="E567" s="4" t="s">
        <v>38</v>
      </c>
      <c r="F567" s="4" t="s">
        <v>85</v>
      </c>
      <c r="G567">
        <v>5</v>
      </c>
      <c r="H567">
        <v>24</v>
      </c>
      <c r="I567" s="4" t="s">
        <v>114</v>
      </c>
      <c r="J567" s="4" t="s">
        <v>125</v>
      </c>
      <c r="K567" s="4" t="s">
        <v>126</v>
      </c>
      <c r="L567">
        <v>40</v>
      </c>
      <c r="M567" s="4" t="s">
        <v>158</v>
      </c>
    </row>
    <row r="568" spans="1:13" x14ac:dyDescent="0.2">
      <c r="A568" s="4" t="s">
        <v>752</v>
      </c>
      <c r="B568">
        <v>567</v>
      </c>
      <c r="C568" s="4" t="s">
        <v>26</v>
      </c>
      <c r="D568" s="4" t="s">
        <v>35</v>
      </c>
      <c r="E568" s="4" t="s">
        <v>38</v>
      </c>
      <c r="F568" s="4" t="s">
        <v>85</v>
      </c>
      <c r="G568">
        <v>5</v>
      </c>
      <c r="H568">
        <v>24</v>
      </c>
      <c r="I568" s="4" t="s">
        <v>114</v>
      </c>
      <c r="J568" s="4" t="s">
        <v>127</v>
      </c>
      <c r="K568" s="4" t="s">
        <v>128</v>
      </c>
      <c r="L568">
        <v>114</v>
      </c>
      <c r="M568" s="4" t="s">
        <v>158</v>
      </c>
    </row>
    <row r="569" spans="1:13" x14ac:dyDescent="0.2">
      <c r="A569" s="4" t="s">
        <v>753</v>
      </c>
      <c r="B569">
        <v>568</v>
      </c>
      <c r="C569" s="4" t="s">
        <v>26</v>
      </c>
      <c r="D569" s="4" t="s">
        <v>35</v>
      </c>
      <c r="E569" s="4" t="s">
        <v>38</v>
      </c>
      <c r="F569" s="4" t="s">
        <v>85</v>
      </c>
      <c r="G569">
        <v>5</v>
      </c>
      <c r="H569">
        <v>24</v>
      </c>
      <c r="I569" s="4" t="s">
        <v>114</v>
      </c>
      <c r="J569" s="4" t="s">
        <v>129</v>
      </c>
      <c r="K569" s="4" t="s">
        <v>130</v>
      </c>
      <c r="L569">
        <v>40</v>
      </c>
      <c r="M569" s="4" t="s">
        <v>158</v>
      </c>
    </row>
    <row r="570" spans="1:13" x14ac:dyDescent="0.2">
      <c r="A570" s="4" t="s">
        <v>754</v>
      </c>
      <c r="B570">
        <v>569</v>
      </c>
      <c r="C570" s="4" t="s">
        <v>26</v>
      </c>
      <c r="D570" s="4" t="s">
        <v>35</v>
      </c>
      <c r="E570" s="4" t="s">
        <v>38</v>
      </c>
      <c r="F570" s="4" t="s">
        <v>85</v>
      </c>
      <c r="G570">
        <v>5</v>
      </c>
      <c r="H570">
        <v>24</v>
      </c>
      <c r="I570" s="4" t="s">
        <v>114</v>
      </c>
      <c r="J570" s="4" t="s">
        <v>131</v>
      </c>
      <c r="K570" s="4" t="s">
        <v>132</v>
      </c>
      <c r="L570">
        <v>70</v>
      </c>
      <c r="M570" s="4" t="s">
        <v>158</v>
      </c>
    </row>
    <row r="571" spans="1:13" x14ac:dyDescent="0.2">
      <c r="A571" s="4" t="s">
        <v>755</v>
      </c>
      <c r="B571">
        <v>570</v>
      </c>
      <c r="C571" s="4" t="s">
        <v>26</v>
      </c>
      <c r="D571" s="4" t="s">
        <v>35</v>
      </c>
      <c r="E571" s="4" t="s">
        <v>38</v>
      </c>
      <c r="F571" s="4" t="s">
        <v>85</v>
      </c>
      <c r="G571">
        <v>5</v>
      </c>
      <c r="H571">
        <v>24</v>
      </c>
      <c r="I571" s="4" t="s">
        <v>114</v>
      </c>
      <c r="J571" s="4" t="s">
        <v>133</v>
      </c>
      <c r="K571" s="4" t="s">
        <v>134</v>
      </c>
      <c r="L571">
        <v>40</v>
      </c>
      <c r="M571" s="4" t="s">
        <v>158</v>
      </c>
    </row>
    <row r="572" spans="1:13" x14ac:dyDescent="0.2">
      <c r="A572" s="4" t="s">
        <v>756</v>
      </c>
      <c r="B572">
        <v>571</v>
      </c>
      <c r="C572" s="4" t="s">
        <v>26</v>
      </c>
      <c r="D572" s="4" t="s">
        <v>35</v>
      </c>
      <c r="E572" s="4" t="s">
        <v>38</v>
      </c>
      <c r="F572" s="4" t="s">
        <v>85</v>
      </c>
      <c r="G572">
        <v>5</v>
      </c>
      <c r="H572">
        <v>24</v>
      </c>
      <c r="I572" s="4" t="s">
        <v>116</v>
      </c>
      <c r="J572" s="4" t="s">
        <v>122</v>
      </c>
      <c r="K572" s="4" t="s">
        <v>123</v>
      </c>
      <c r="L572">
        <v>75</v>
      </c>
      <c r="M572" s="4" t="s">
        <v>158</v>
      </c>
    </row>
    <row r="573" spans="1:13" x14ac:dyDescent="0.2">
      <c r="A573" s="4" t="s">
        <v>757</v>
      </c>
      <c r="B573">
        <v>572</v>
      </c>
      <c r="C573" s="4" t="s">
        <v>26</v>
      </c>
      <c r="D573" s="4" t="s">
        <v>35</v>
      </c>
      <c r="E573" s="4" t="s">
        <v>38</v>
      </c>
      <c r="F573" s="4" t="s">
        <v>85</v>
      </c>
      <c r="G573">
        <v>5</v>
      </c>
      <c r="H573">
        <v>24</v>
      </c>
      <c r="I573" s="4" t="s">
        <v>116</v>
      </c>
      <c r="J573" s="4" t="s">
        <v>125</v>
      </c>
      <c r="K573" s="4" t="s">
        <v>126</v>
      </c>
      <c r="L573">
        <v>40</v>
      </c>
      <c r="M573" s="4" t="s">
        <v>158</v>
      </c>
    </row>
    <row r="574" spans="1:13" x14ac:dyDescent="0.2">
      <c r="A574" s="4" t="s">
        <v>758</v>
      </c>
      <c r="B574">
        <v>573</v>
      </c>
      <c r="C574" s="4" t="s">
        <v>26</v>
      </c>
      <c r="D574" s="4" t="s">
        <v>35</v>
      </c>
      <c r="E574" s="4" t="s">
        <v>38</v>
      </c>
      <c r="F574" s="4" t="s">
        <v>85</v>
      </c>
      <c r="G574">
        <v>5</v>
      </c>
      <c r="H574">
        <v>24</v>
      </c>
      <c r="I574" s="4" t="s">
        <v>116</v>
      </c>
      <c r="J574" s="4" t="s">
        <v>127</v>
      </c>
      <c r="K574" s="4" t="s">
        <v>128</v>
      </c>
      <c r="L574">
        <v>75</v>
      </c>
      <c r="M574" s="4" t="s">
        <v>158</v>
      </c>
    </row>
    <row r="575" spans="1:13" x14ac:dyDescent="0.2">
      <c r="A575" s="4" t="s">
        <v>759</v>
      </c>
      <c r="B575">
        <v>574</v>
      </c>
      <c r="C575" s="4" t="s">
        <v>26</v>
      </c>
      <c r="D575" s="4" t="s">
        <v>35</v>
      </c>
      <c r="E575" s="4" t="s">
        <v>38</v>
      </c>
      <c r="F575" s="4" t="s">
        <v>85</v>
      </c>
      <c r="G575">
        <v>5</v>
      </c>
      <c r="H575">
        <v>24</v>
      </c>
      <c r="I575" s="4" t="s">
        <v>116</v>
      </c>
      <c r="J575" s="4" t="s">
        <v>129</v>
      </c>
      <c r="K575" s="4" t="s">
        <v>130</v>
      </c>
      <c r="L575">
        <v>100</v>
      </c>
      <c r="M575" s="4" t="s">
        <v>158</v>
      </c>
    </row>
    <row r="576" spans="1:13" x14ac:dyDescent="0.2">
      <c r="A576" s="4" t="s">
        <v>760</v>
      </c>
      <c r="B576">
        <v>575</v>
      </c>
      <c r="C576" s="4" t="s">
        <v>26</v>
      </c>
      <c r="D576" s="4" t="s">
        <v>35</v>
      </c>
      <c r="E576" s="4" t="s">
        <v>38</v>
      </c>
      <c r="F576" s="4" t="s">
        <v>85</v>
      </c>
      <c r="G576">
        <v>5</v>
      </c>
      <c r="H576">
        <v>24</v>
      </c>
      <c r="I576" s="4" t="s">
        <v>116</v>
      </c>
      <c r="J576" s="4" t="s">
        <v>131</v>
      </c>
      <c r="K576" s="4" t="s">
        <v>132</v>
      </c>
      <c r="L576">
        <v>40</v>
      </c>
      <c r="M576" s="4" t="s">
        <v>158</v>
      </c>
    </row>
    <row r="577" spans="1:13" x14ac:dyDescent="0.2">
      <c r="A577" s="4" t="s">
        <v>761</v>
      </c>
      <c r="B577">
        <v>576</v>
      </c>
      <c r="C577" s="4" t="s">
        <v>26</v>
      </c>
      <c r="D577" s="4" t="s">
        <v>35</v>
      </c>
      <c r="E577" s="4" t="s">
        <v>38</v>
      </c>
      <c r="F577" s="4" t="s">
        <v>85</v>
      </c>
      <c r="G577">
        <v>5</v>
      </c>
      <c r="H577">
        <v>24</v>
      </c>
      <c r="I577" s="4" t="s">
        <v>116</v>
      </c>
      <c r="J577" s="4" t="s">
        <v>133</v>
      </c>
      <c r="K577" s="4" t="s">
        <v>134</v>
      </c>
      <c r="L577">
        <v>40</v>
      </c>
      <c r="M577" s="4" t="s">
        <v>158</v>
      </c>
    </row>
    <row r="578" spans="1:13" x14ac:dyDescent="0.2">
      <c r="A578" s="4" t="s">
        <v>762</v>
      </c>
      <c r="B578">
        <v>577</v>
      </c>
      <c r="C578" s="4" t="s">
        <v>26</v>
      </c>
      <c r="D578" s="4" t="s">
        <v>35</v>
      </c>
      <c r="E578" s="4" t="s">
        <v>41</v>
      </c>
      <c r="F578" s="4" t="s">
        <v>87</v>
      </c>
      <c r="G578">
        <v>5</v>
      </c>
      <c r="H578">
        <v>25</v>
      </c>
      <c r="I578" s="4" t="s">
        <v>35</v>
      </c>
      <c r="J578" s="4" t="s">
        <v>122</v>
      </c>
      <c r="K578" s="4" t="s">
        <v>123</v>
      </c>
      <c r="L578">
        <v>568</v>
      </c>
      <c r="M578" s="4" t="s">
        <v>158</v>
      </c>
    </row>
    <row r="579" spans="1:13" x14ac:dyDescent="0.2">
      <c r="A579" s="4" t="s">
        <v>763</v>
      </c>
      <c r="B579">
        <v>578</v>
      </c>
      <c r="C579" s="4" t="s">
        <v>26</v>
      </c>
      <c r="D579" s="4" t="s">
        <v>35</v>
      </c>
      <c r="E579" s="4" t="s">
        <v>41</v>
      </c>
      <c r="F579" s="4" t="s">
        <v>87</v>
      </c>
      <c r="G579">
        <v>5</v>
      </c>
      <c r="H579">
        <v>25</v>
      </c>
      <c r="I579" s="4" t="s">
        <v>35</v>
      </c>
      <c r="J579" s="4" t="s">
        <v>125</v>
      </c>
      <c r="K579" s="4" t="s">
        <v>126</v>
      </c>
      <c r="L579">
        <v>302</v>
      </c>
      <c r="M579" s="4" t="s">
        <v>158</v>
      </c>
    </row>
    <row r="580" spans="1:13" x14ac:dyDescent="0.2">
      <c r="A580" s="4" t="s">
        <v>764</v>
      </c>
      <c r="B580">
        <v>579</v>
      </c>
      <c r="C580" s="4" t="s">
        <v>26</v>
      </c>
      <c r="D580" s="4" t="s">
        <v>35</v>
      </c>
      <c r="E580" s="4" t="s">
        <v>41</v>
      </c>
      <c r="F580" s="4" t="s">
        <v>87</v>
      </c>
      <c r="G580">
        <v>5</v>
      </c>
      <c r="H580">
        <v>25</v>
      </c>
      <c r="I580" s="4" t="s">
        <v>35</v>
      </c>
      <c r="J580" s="4" t="s">
        <v>127</v>
      </c>
      <c r="K580" s="4" t="s">
        <v>128</v>
      </c>
      <c r="L580">
        <v>422</v>
      </c>
      <c r="M580" s="4" t="s">
        <v>158</v>
      </c>
    </row>
    <row r="581" spans="1:13" x14ac:dyDescent="0.2">
      <c r="A581" s="4" t="s">
        <v>765</v>
      </c>
      <c r="B581">
        <v>580</v>
      </c>
      <c r="C581" s="4" t="s">
        <v>26</v>
      </c>
      <c r="D581" s="4" t="s">
        <v>35</v>
      </c>
      <c r="E581" s="4" t="s">
        <v>41</v>
      </c>
      <c r="F581" s="4" t="s">
        <v>87</v>
      </c>
      <c r="G581">
        <v>5</v>
      </c>
      <c r="H581">
        <v>25</v>
      </c>
      <c r="I581" s="4" t="s">
        <v>35</v>
      </c>
      <c r="J581" s="4" t="s">
        <v>129</v>
      </c>
      <c r="K581" s="4" t="s">
        <v>130</v>
      </c>
      <c r="L581">
        <v>189</v>
      </c>
      <c r="M581" s="4" t="s">
        <v>158</v>
      </c>
    </row>
    <row r="582" spans="1:13" x14ac:dyDescent="0.2">
      <c r="A582" s="4" t="s">
        <v>766</v>
      </c>
      <c r="B582">
        <v>581</v>
      </c>
      <c r="C582" s="4" t="s">
        <v>26</v>
      </c>
      <c r="D582" s="4" t="s">
        <v>35</v>
      </c>
      <c r="E582" s="4" t="s">
        <v>41</v>
      </c>
      <c r="F582" s="4" t="s">
        <v>87</v>
      </c>
      <c r="G582">
        <v>5</v>
      </c>
      <c r="H582">
        <v>25</v>
      </c>
      <c r="I582" s="4" t="s">
        <v>35</v>
      </c>
      <c r="J582" s="4" t="s">
        <v>131</v>
      </c>
      <c r="K582" s="4" t="s">
        <v>132</v>
      </c>
      <c r="L582">
        <v>265</v>
      </c>
      <c r="M582" s="4" t="s">
        <v>158</v>
      </c>
    </row>
    <row r="583" spans="1:13" x14ac:dyDescent="0.2">
      <c r="A583" s="4" t="s">
        <v>767</v>
      </c>
      <c r="B583">
        <v>582</v>
      </c>
      <c r="C583" s="4" t="s">
        <v>26</v>
      </c>
      <c r="D583" s="4" t="s">
        <v>35</v>
      </c>
      <c r="E583" s="4" t="s">
        <v>41</v>
      </c>
      <c r="F583" s="4" t="s">
        <v>87</v>
      </c>
      <c r="G583">
        <v>5</v>
      </c>
      <c r="H583">
        <v>25</v>
      </c>
      <c r="I583" s="4" t="s">
        <v>35</v>
      </c>
      <c r="J583" s="4" t="s">
        <v>133</v>
      </c>
      <c r="K583" s="4" t="s">
        <v>134</v>
      </c>
      <c r="L583">
        <v>187</v>
      </c>
      <c r="M583" s="4" t="s">
        <v>158</v>
      </c>
    </row>
    <row r="584" spans="1:13" x14ac:dyDescent="0.2">
      <c r="A584" s="4" t="s">
        <v>768</v>
      </c>
      <c r="B584">
        <v>583</v>
      </c>
      <c r="C584" s="4" t="s">
        <v>26</v>
      </c>
      <c r="D584" s="4" t="s">
        <v>35</v>
      </c>
      <c r="E584" s="4" t="s">
        <v>41</v>
      </c>
      <c r="F584" s="4" t="s">
        <v>87</v>
      </c>
      <c r="G584">
        <v>5</v>
      </c>
      <c r="H584">
        <v>25</v>
      </c>
      <c r="I584" s="4" t="s">
        <v>112</v>
      </c>
      <c r="J584" s="4" t="s">
        <v>122</v>
      </c>
      <c r="K584" s="4" t="s">
        <v>123</v>
      </c>
      <c r="L584">
        <v>148</v>
      </c>
      <c r="M584" s="4" t="s">
        <v>158</v>
      </c>
    </row>
    <row r="585" spans="1:13" x14ac:dyDescent="0.2">
      <c r="A585" s="4" t="s">
        <v>769</v>
      </c>
      <c r="B585">
        <v>584</v>
      </c>
      <c r="C585" s="4" t="s">
        <v>26</v>
      </c>
      <c r="D585" s="4" t="s">
        <v>35</v>
      </c>
      <c r="E585" s="4" t="s">
        <v>41</v>
      </c>
      <c r="F585" s="4" t="s">
        <v>87</v>
      </c>
      <c r="G585">
        <v>5</v>
      </c>
      <c r="H585">
        <v>25</v>
      </c>
      <c r="I585" s="4" t="s">
        <v>112</v>
      </c>
      <c r="J585" s="4" t="s">
        <v>125</v>
      </c>
      <c r="K585" s="4" t="s">
        <v>126</v>
      </c>
      <c r="L585">
        <v>50</v>
      </c>
      <c r="M585" s="4" t="s">
        <v>158</v>
      </c>
    </row>
    <row r="586" spans="1:13" x14ac:dyDescent="0.2">
      <c r="A586" s="4" t="s">
        <v>770</v>
      </c>
      <c r="B586">
        <v>585</v>
      </c>
      <c r="C586" s="4" t="s">
        <v>26</v>
      </c>
      <c r="D586" s="4" t="s">
        <v>35</v>
      </c>
      <c r="E586" s="4" t="s">
        <v>41</v>
      </c>
      <c r="F586" s="4" t="s">
        <v>87</v>
      </c>
      <c r="G586">
        <v>5</v>
      </c>
      <c r="H586">
        <v>25</v>
      </c>
      <c r="I586" s="4" t="s">
        <v>112</v>
      </c>
      <c r="J586" s="4" t="s">
        <v>127</v>
      </c>
      <c r="K586" s="4" t="s">
        <v>128</v>
      </c>
      <c r="L586">
        <v>150</v>
      </c>
      <c r="M586" s="4" t="s">
        <v>158</v>
      </c>
    </row>
    <row r="587" spans="1:13" x14ac:dyDescent="0.2">
      <c r="A587" s="4" t="s">
        <v>771</v>
      </c>
      <c r="B587">
        <v>586</v>
      </c>
      <c r="C587" s="4" t="s">
        <v>26</v>
      </c>
      <c r="D587" s="4" t="s">
        <v>35</v>
      </c>
      <c r="E587" s="4" t="s">
        <v>41</v>
      </c>
      <c r="F587" s="4" t="s">
        <v>87</v>
      </c>
      <c r="G587">
        <v>5</v>
      </c>
      <c r="H587">
        <v>25</v>
      </c>
      <c r="I587" s="4" t="s">
        <v>112</v>
      </c>
      <c r="J587" s="4" t="s">
        <v>129</v>
      </c>
      <c r="K587" s="4" t="s">
        <v>130</v>
      </c>
      <c r="L587">
        <v>40</v>
      </c>
      <c r="M587" s="4" t="s">
        <v>158</v>
      </c>
    </row>
    <row r="588" spans="1:13" x14ac:dyDescent="0.2">
      <c r="A588" s="4" t="s">
        <v>772</v>
      </c>
      <c r="B588">
        <v>587</v>
      </c>
      <c r="C588" s="4" t="s">
        <v>26</v>
      </c>
      <c r="D588" s="4" t="s">
        <v>35</v>
      </c>
      <c r="E588" s="4" t="s">
        <v>41</v>
      </c>
      <c r="F588" s="4" t="s">
        <v>87</v>
      </c>
      <c r="G588">
        <v>5</v>
      </c>
      <c r="H588">
        <v>25</v>
      </c>
      <c r="I588" s="4" t="s">
        <v>112</v>
      </c>
      <c r="J588" s="4" t="s">
        <v>131</v>
      </c>
      <c r="K588" s="4" t="s">
        <v>132</v>
      </c>
      <c r="L588">
        <v>13</v>
      </c>
      <c r="M588" s="4" t="s">
        <v>158</v>
      </c>
    </row>
    <row r="589" spans="1:13" x14ac:dyDescent="0.2">
      <c r="A589" s="4" t="s">
        <v>773</v>
      </c>
      <c r="B589">
        <v>588</v>
      </c>
      <c r="C589" s="4" t="s">
        <v>26</v>
      </c>
      <c r="D589" s="4" t="s">
        <v>35</v>
      </c>
      <c r="E589" s="4" t="s">
        <v>41</v>
      </c>
      <c r="F589" s="4" t="s">
        <v>87</v>
      </c>
      <c r="G589">
        <v>5</v>
      </c>
      <c r="H589">
        <v>25</v>
      </c>
      <c r="I589" s="4" t="s">
        <v>112</v>
      </c>
      <c r="J589" s="4" t="s">
        <v>133</v>
      </c>
      <c r="K589" s="4" t="s">
        <v>134</v>
      </c>
      <c r="L589">
        <v>60</v>
      </c>
      <c r="M589" s="4" t="s">
        <v>158</v>
      </c>
    </row>
    <row r="590" spans="1:13" x14ac:dyDescent="0.2">
      <c r="A590" s="4" t="s">
        <v>774</v>
      </c>
      <c r="B590">
        <v>589</v>
      </c>
      <c r="C590" s="4" t="s">
        <v>26</v>
      </c>
      <c r="D590" s="4" t="s">
        <v>35</v>
      </c>
      <c r="E590" s="4" t="s">
        <v>41</v>
      </c>
      <c r="F590" s="4" t="s">
        <v>87</v>
      </c>
      <c r="G590">
        <v>5</v>
      </c>
      <c r="H590">
        <v>25</v>
      </c>
      <c r="I590" s="4" t="s">
        <v>114</v>
      </c>
      <c r="J590" s="4" t="s">
        <v>122</v>
      </c>
      <c r="K590" s="4" t="s">
        <v>123</v>
      </c>
      <c r="L590">
        <v>100</v>
      </c>
      <c r="M590" s="4" t="s">
        <v>158</v>
      </c>
    </row>
    <row r="591" spans="1:13" x14ac:dyDescent="0.2">
      <c r="A591" s="4" t="s">
        <v>775</v>
      </c>
      <c r="B591">
        <v>590</v>
      </c>
      <c r="C591" s="4" t="s">
        <v>26</v>
      </c>
      <c r="D591" s="4" t="s">
        <v>35</v>
      </c>
      <c r="E591" s="4" t="s">
        <v>41</v>
      </c>
      <c r="F591" s="4" t="s">
        <v>87</v>
      </c>
      <c r="G591">
        <v>5</v>
      </c>
      <c r="H591">
        <v>25</v>
      </c>
      <c r="I591" s="4" t="s">
        <v>114</v>
      </c>
      <c r="J591" s="4" t="s">
        <v>125</v>
      </c>
      <c r="K591" s="4" t="s">
        <v>126</v>
      </c>
      <c r="L591">
        <v>40</v>
      </c>
      <c r="M591" s="4" t="s">
        <v>158</v>
      </c>
    </row>
    <row r="592" spans="1:13" x14ac:dyDescent="0.2">
      <c r="A592" s="4" t="s">
        <v>776</v>
      </c>
      <c r="B592">
        <v>591</v>
      </c>
      <c r="C592" s="4" t="s">
        <v>26</v>
      </c>
      <c r="D592" s="4" t="s">
        <v>35</v>
      </c>
      <c r="E592" s="4" t="s">
        <v>41</v>
      </c>
      <c r="F592" s="4" t="s">
        <v>87</v>
      </c>
      <c r="G592">
        <v>5</v>
      </c>
      <c r="H592">
        <v>25</v>
      </c>
      <c r="I592" s="4" t="s">
        <v>114</v>
      </c>
      <c r="J592" s="4" t="s">
        <v>127</v>
      </c>
      <c r="K592" s="4" t="s">
        <v>128</v>
      </c>
      <c r="L592">
        <v>71</v>
      </c>
      <c r="M592" s="4" t="s">
        <v>158</v>
      </c>
    </row>
    <row r="593" spans="1:13" x14ac:dyDescent="0.2">
      <c r="A593" s="4" t="s">
        <v>777</v>
      </c>
      <c r="B593">
        <v>592</v>
      </c>
      <c r="C593" s="4" t="s">
        <v>26</v>
      </c>
      <c r="D593" s="4" t="s">
        <v>35</v>
      </c>
      <c r="E593" s="4" t="s">
        <v>41</v>
      </c>
      <c r="F593" s="4" t="s">
        <v>87</v>
      </c>
      <c r="G593">
        <v>5</v>
      </c>
      <c r="H593">
        <v>25</v>
      </c>
      <c r="I593" s="4" t="s">
        <v>114</v>
      </c>
      <c r="J593" s="4" t="s">
        <v>129</v>
      </c>
      <c r="K593" s="4" t="s">
        <v>130</v>
      </c>
      <c r="L593">
        <v>18</v>
      </c>
      <c r="M593" s="4" t="s">
        <v>158</v>
      </c>
    </row>
    <row r="594" spans="1:13" x14ac:dyDescent="0.2">
      <c r="A594" s="4" t="s">
        <v>778</v>
      </c>
      <c r="B594">
        <v>593</v>
      </c>
      <c r="C594" s="4" t="s">
        <v>26</v>
      </c>
      <c r="D594" s="4" t="s">
        <v>35</v>
      </c>
      <c r="E594" s="4" t="s">
        <v>41</v>
      </c>
      <c r="F594" s="4" t="s">
        <v>87</v>
      </c>
      <c r="G594">
        <v>5</v>
      </c>
      <c r="H594">
        <v>25</v>
      </c>
      <c r="I594" s="4" t="s">
        <v>114</v>
      </c>
      <c r="J594" s="4" t="s">
        <v>131</v>
      </c>
      <c r="K594" s="4" t="s">
        <v>132</v>
      </c>
      <c r="L594">
        <v>46</v>
      </c>
      <c r="M594" s="4" t="s">
        <v>158</v>
      </c>
    </row>
    <row r="595" spans="1:13" x14ac:dyDescent="0.2">
      <c r="A595" s="4" t="s">
        <v>779</v>
      </c>
      <c r="B595">
        <v>594</v>
      </c>
      <c r="C595" s="4" t="s">
        <v>26</v>
      </c>
      <c r="D595" s="4" t="s">
        <v>35</v>
      </c>
      <c r="E595" s="4" t="s">
        <v>41</v>
      </c>
      <c r="F595" s="4" t="s">
        <v>87</v>
      </c>
      <c r="G595">
        <v>5</v>
      </c>
      <c r="H595">
        <v>25</v>
      </c>
      <c r="I595" s="4" t="s">
        <v>114</v>
      </c>
      <c r="J595" s="4" t="s">
        <v>133</v>
      </c>
      <c r="K595" s="4" t="s">
        <v>134</v>
      </c>
      <c r="L595">
        <v>40</v>
      </c>
      <c r="M595" s="4" t="s">
        <v>158</v>
      </c>
    </row>
    <row r="596" spans="1:13" x14ac:dyDescent="0.2">
      <c r="A596" s="4" t="s">
        <v>780</v>
      </c>
      <c r="B596">
        <v>595</v>
      </c>
      <c r="C596" s="4" t="s">
        <v>26</v>
      </c>
      <c r="D596" s="4" t="s">
        <v>35</v>
      </c>
      <c r="E596" s="4" t="s">
        <v>41</v>
      </c>
      <c r="F596" s="4" t="s">
        <v>87</v>
      </c>
      <c r="G596">
        <v>5</v>
      </c>
      <c r="H596">
        <v>25</v>
      </c>
      <c r="I596" s="4" t="s">
        <v>116</v>
      </c>
      <c r="J596" s="4" t="s">
        <v>122</v>
      </c>
      <c r="K596" s="4" t="s">
        <v>123</v>
      </c>
      <c r="L596">
        <v>0</v>
      </c>
      <c r="M596" s="4" t="s">
        <v>158</v>
      </c>
    </row>
    <row r="597" spans="1:13" x14ac:dyDescent="0.2">
      <c r="A597" s="4" t="s">
        <v>781</v>
      </c>
      <c r="B597">
        <v>596</v>
      </c>
      <c r="C597" s="4" t="s">
        <v>26</v>
      </c>
      <c r="D597" s="4" t="s">
        <v>35</v>
      </c>
      <c r="E597" s="4" t="s">
        <v>41</v>
      </c>
      <c r="F597" s="4" t="s">
        <v>87</v>
      </c>
      <c r="G597">
        <v>5</v>
      </c>
      <c r="H597">
        <v>25</v>
      </c>
      <c r="I597" s="4" t="s">
        <v>116</v>
      </c>
      <c r="J597" s="4" t="s">
        <v>125</v>
      </c>
      <c r="K597" s="4" t="s">
        <v>126</v>
      </c>
      <c r="L597">
        <v>40</v>
      </c>
      <c r="M597" s="4" t="s">
        <v>158</v>
      </c>
    </row>
    <row r="598" spans="1:13" x14ac:dyDescent="0.2">
      <c r="A598" s="4" t="s">
        <v>782</v>
      </c>
      <c r="B598">
        <v>597</v>
      </c>
      <c r="C598" s="4" t="s">
        <v>26</v>
      </c>
      <c r="D598" s="4" t="s">
        <v>35</v>
      </c>
      <c r="E598" s="4" t="s">
        <v>41</v>
      </c>
      <c r="F598" s="4" t="s">
        <v>87</v>
      </c>
      <c r="G598">
        <v>5</v>
      </c>
      <c r="H598">
        <v>25</v>
      </c>
      <c r="I598" s="4" t="s">
        <v>116</v>
      </c>
      <c r="J598" s="4" t="s">
        <v>127</v>
      </c>
      <c r="K598" s="4" t="s">
        <v>128</v>
      </c>
      <c r="L598">
        <v>75</v>
      </c>
      <c r="M598" s="4" t="s">
        <v>158</v>
      </c>
    </row>
    <row r="599" spans="1:13" x14ac:dyDescent="0.2">
      <c r="A599" s="4" t="s">
        <v>783</v>
      </c>
      <c r="B599">
        <v>598</v>
      </c>
      <c r="C599" s="4" t="s">
        <v>26</v>
      </c>
      <c r="D599" s="4" t="s">
        <v>35</v>
      </c>
      <c r="E599" s="4" t="s">
        <v>41</v>
      </c>
      <c r="F599" s="4" t="s">
        <v>87</v>
      </c>
      <c r="G599">
        <v>5</v>
      </c>
      <c r="H599">
        <v>25</v>
      </c>
      <c r="I599" s="4" t="s">
        <v>116</v>
      </c>
      <c r="J599" s="4" t="s">
        <v>129</v>
      </c>
      <c r="K599" s="4" t="s">
        <v>130</v>
      </c>
      <c r="L599">
        <v>78</v>
      </c>
      <c r="M599" s="4" t="s">
        <v>158</v>
      </c>
    </row>
    <row r="600" spans="1:13" x14ac:dyDescent="0.2">
      <c r="A600" s="4" t="s">
        <v>784</v>
      </c>
      <c r="B600">
        <v>599</v>
      </c>
      <c r="C600" s="4" t="s">
        <v>26</v>
      </c>
      <c r="D600" s="4" t="s">
        <v>35</v>
      </c>
      <c r="E600" s="4" t="s">
        <v>41</v>
      </c>
      <c r="F600" s="4" t="s">
        <v>87</v>
      </c>
      <c r="G600">
        <v>5</v>
      </c>
      <c r="H600">
        <v>25</v>
      </c>
      <c r="I600" s="4" t="s">
        <v>116</v>
      </c>
      <c r="J600" s="4" t="s">
        <v>131</v>
      </c>
      <c r="K600" s="4" t="s">
        <v>132</v>
      </c>
      <c r="L600">
        <v>40</v>
      </c>
      <c r="M600" s="4" t="s">
        <v>158</v>
      </c>
    </row>
    <row r="601" spans="1:13" x14ac:dyDescent="0.2">
      <c r="A601" s="4" t="s">
        <v>785</v>
      </c>
      <c r="B601">
        <v>600</v>
      </c>
      <c r="C601" s="4" t="s">
        <v>26</v>
      </c>
      <c r="D601" s="4" t="s">
        <v>35</v>
      </c>
      <c r="E601" s="4" t="s">
        <v>41</v>
      </c>
      <c r="F601" s="4" t="s">
        <v>87</v>
      </c>
      <c r="G601">
        <v>5</v>
      </c>
      <c r="H601">
        <v>25</v>
      </c>
      <c r="I601" s="4" t="s">
        <v>116</v>
      </c>
      <c r="J601" s="4" t="s">
        <v>133</v>
      </c>
      <c r="K601" s="4" t="s">
        <v>134</v>
      </c>
      <c r="L601">
        <v>5</v>
      </c>
      <c r="M601" s="4" t="s">
        <v>158</v>
      </c>
    </row>
    <row r="602" spans="1:13" x14ac:dyDescent="0.2">
      <c r="A602" s="4" t="s">
        <v>786</v>
      </c>
      <c r="B602">
        <v>601</v>
      </c>
      <c r="C602" s="4" t="s">
        <v>26</v>
      </c>
      <c r="D602" s="4" t="s">
        <v>35</v>
      </c>
      <c r="E602" s="4" t="s">
        <v>44</v>
      </c>
      <c r="F602" s="4" t="s">
        <v>89</v>
      </c>
      <c r="G602">
        <v>6</v>
      </c>
      <c r="H602">
        <v>26</v>
      </c>
      <c r="I602" s="4" t="s">
        <v>35</v>
      </c>
      <c r="J602" s="4" t="s">
        <v>122</v>
      </c>
      <c r="K602" s="4" t="s">
        <v>123</v>
      </c>
      <c r="L602">
        <v>421</v>
      </c>
      <c r="M602" s="4" t="s">
        <v>158</v>
      </c>
    </row>
    <row r="603" spans="1:13" x14ac:dyDescent="0.2">
      <c r="A603" s="4" t="s">
        <v>787</v>
      </c>
      <c r="B603">
        <v>602</v>
      </c>
      <c r="C603" s="4" t="s">
        <v>26</v>
      </c>
      <c r="D603" s="4" t="s">
        <v>35</v>
      </c>
      <c r="E603" s="4" t="s">
        <v>44</v>
      </c>
      <c r="F603" s="4" t="s">
        <v>89</v>
      </c>
      <c r="G603">
        <v>6</v>
      </c>
      <c r="H603">
        <v>26</v>
      </c>
      <c r="I603" s="4" t="s">
        <v>35</v>
      </c>
      <c r="J603" s="4" t="s">
        <v>125</v>
      </c>
      <c r="K603" s="4" t="s">
        <v>126</v>
      </c>
      <c r="L603">
        <v>302</v>
      </c>
      <c r="M603" s="4" t="s">
        <v>158</v>
      </c>
    </row>
    <row r="604" spans="1:13" x14ac:dyDescent="0.2">
      <c r="A604" s="4" t="s">
        <v>788</v>
      </c>
      <c r="B604">
        <v>603</v>
      </c>
      <c r="C604" s="4" t="s">
        <v>26</v>
      </c>
      <c r="D604" s="4" t="s">
        <v>35</v>
      </c>
      <c r="E604" s="4" t="s">
        <v>44</v>
      </c>
      <c r="F604" s="4" t="s">
        <v>89</v>
      </c>
      <c r="G604">
        <v>6</v>
      </c>
      <c r="H604">
        <v>26</v>
      </c>
      <c r="I604" s="4" t="s">
        <v>35</v>
      </c>
      <c r="J604" s="4" t="s">
        <v>127</v>
      </c>
      <c r="K604" s="4" t="s">
        <v>128</v>
      </c>
      <c r="L604">
        <v>318</v>
      </c>
      <c r="M604" s="4" t="s">
        <v>158</v>
      </c>
    </row>
    <row r="605" spans="1:13" x14ac:dyDescent="0.2">
      <c r="A605" s="4" t="s">
        <v>789</v>
      </c>
      <c r="B605">
        <v>604</v>
      </c>
      <c r="C605" s="4" t="s">
        <v>26</v>
      </c>
      <c r="D605" s="4" t="s">
        <v>35</v>
      </c>
      <c r="E605" s="4" t="s">
        <v>44</v>
      </c>
      <c r="F605" s="4" t="s">
        <v>89</v>
      </c>
      <c r="G605">
        <v>6</v>
      </c>
      <c r="H605">
        <v>26</v>
      </c>
      <c r="I605" s="4" t="s">
        <v>35</v>
      </c>
      <c r="J605" s="4" t="s">
        <v>129</v>
      </c>
      <c r="K605" s="4" t="s">
        <v>130</v>
      </c>
      <c r="L605">
        <v>145</v>
      </c>
      <c r="M605" s="4" t="s">
        <v>158</v>
      </c>
    </row>
    <row r="606" spans="1:13" x14ac:dyDescent="0.2">
      <c r="A606" s="4" t="s">
        <v>790</v>
      </c>
      <c r="B606">
        <v>605</v>
      </c>
      <c r="C606" s="4" t="s">
        <v>26</v>
      </c>
      <c r="D606" s="4" t="s">
        <v>35</v>
      </c>
      <c r="E606" s="4" t="s">
        <v>44</v>
      </c>
      <c r="F606" s="4" t="s">
        <v>89</v>
      </c>
      <c r="G606">
        <v>6</v>
      </c>
      <c r="H606">
        <v>26</v>
      </c>
      <c r="I606" s="4" t="s">
        <v>35</v>
      </c>
      <c r="J606" s="4" t="s">
        <v>131</v>
      </c>
      <c r="K606" s="4" t="s">
        <v>132</v>
      </c>
      <c r="L606">
        <v>194</v>
      </c>
      <c r="M606" s="4" t="s">
        <v>158</v>
      </c>
    </row>
    <row r="607" spans="1:13" x14ac:dyDescent="0.2">
      <c r="A607" s="4" t="s">
        <v>791</v>
      </c>
      <c r="B607">
        <v>606</v>
      </c>
      <c r="C607" s="4" t="s">
        <v>26</v>
      </c>
      <c r="D607" s="4" t="s">
        <v>35</v>
      </c>
      <c r="E607" s="4" t="s">
        <v>44</v>
      </c>
      <c r="F607" s="4" t="s">
        <v>89</v>
      </c>
      <c r="G607">
        <v>6</v>
      </c>
      <c r="H607">
        <v>26</v>
      </c>
      <c r="I607" s="4" t="s">
        <v>35</v>
      </c>
      <c r="J607" s="4" t="s">
        <v>133</v>
      </c>
      <c r="K607" s="4" t="s">
        <v>134</v>
      </c>
      <c r="L607">
        <v>152</v>
      </c>
      <c r="M607" s="4" t="s">
        <v>158</v>
      </c>
    </row>
    <row r="608" spans="1:13" x14ac:dyDescent="0.2">
      <c r="A608" s="4" t="s">
        <v>792</v>
      </c>
      <c r="B608">
        <v>607</v>
      </c>
      <c r="C608" s="4" t="s">
        <v>26</v>
      </c>
      <c r="D608" s="4" t="s">
        <v>35</v>
      </c>
      <c r="E608" s="4" t="s">
        <v>44</v>
      </c>
      <c r="F608" s="4" t="s">
        <v>89</v>
      </c>
      <c r="G608">
        <v>6</v>
      </c>
      <c r="H608">
        <v>26</v>
      </c>
      <c r="I608" s="4" t="s">
        <v>112</v>
      </c>
      <c r="J608" s="4" t="s">
        <v>122</v>
      </c>
      <c r="K608" s="4" t="s">
        <v>123</v>
      </c>
      <c r="L608">
        <v>209</v>
      </c>
      <c r="M608" s="4" t="s">
        <v>158</v>
      </c>
    </row>
    <row r="609" spans="1:13" x14ac:dyDescent="0.2">
      <c r="A609" s="4" t="s">
        <v>793</v>
      </c>
      <c r="B609">
        <v>608</v>
      </c>
      <c r="C609" s="4" t="s">
        <v>26</v>
      </c>
      <c r="D609" s="4" t="s">
        <v>35</v>
      </c>
      <c r="E609" s="4" t="s">
        <v>44</v>
      </c>
      <c r="F609" s="4" t="s">
        <v>89</v>
      </c>
      <c r="G609">
        <v>6</v>
      </c>
      <c r="H609">
        <v>26</v>
      </c>
      <c r="I609" s="4" t="s">
        <v>112</v>
      </c>
      <c r="J609" s="4" t="s">
        <v>125</v>
      </c>
      <c r="K609" s="4" t="s">
        <v>126</v>
      </c>
      <c r="L609">
        <v>21</v>
      </c>
      <c r="M609" s="4" t="s">
        <v>158</v>
      </c>
    </row>
    <row r="610" spans="1:13" x14ac:dyDescent="0.2">
      <c r="A610" s="4" t="s">
        <v>794</v>
      </c>
      <c r="B610">
        <v>609</v>
      </c>
      <c r="C610" s="4" t="s">
        <v>26</v>
      </c>
      <c r="D610" s="4" t="s">
        <v>35</v>
      </c>
      <c r="E610" s="4" t="s">
        <v>44</v>
      </c>
      <c r="F610" s="4" t="s">
        <v>89</v>
      </c>
      <c r="G610">
        <v>6</v>
      </c>
      <c r="H610">
        <v>26</v>
      </c>
      <c r="I610" s="4" t="s">
        <v>112</v>
      </c>
      <c r="J610" s="4" t="s">
        <v>127</v>
      </c>
      <c r="K610" s="4" t="s">
        <v>128</v>
      </c>
      <c r="L610">
        <v>150</v>
      </c>
      <c r="M610" s="4" t="s">
        <v>158</v>
      </c>
    </row>
    <row r="611" spans="1:13" x14ac:dyDescent="0.2">
      <c r="A611" s="4" t="s">
        <v>795</v>
      </c>
      <c r="B611">
        <v>610</v>
      </c>
      <c r="C611" s="4" t="s">
        <v>26</v>
      </c>
      <c r="D611" s="4" t="s">
        <v>35</v>
      </c>
      <c r="E611" s="4" t="s">
        <v>44</v>
      </c>
      <c r="F611" s="4" t="s">
        <v>89</v>
      </c>
      <c r="G611">
        <v>6</v>
      </c>
      <c r="H611">
        <v>26</v>
      </c>
      <c r="I611" s="4" t="s">
        <v>112</v>
      </c>
      <c r="J611" s="4" t="s">
        <v>129</v>
      </c>
      <c r="K611" s="4" t="s">
        <v>130</v>
      </c>
      <c r="L611">
        <v>40</v>
      </c>
      <c r="M611" s="4" t="s">
        <v>158</v>
      </c>
    </row>
    <row r="612" spans="1:13" x14ac:dyDescent="0.2">
      <c r="A612" s="4" t="s">
        <v>796</v>
      </c>
      <c r="B612">
        <v>611</v>
      </c>
      <c r="C612" s="4" t="s">
        <v>26</v>
      </c>
      <c r="D612" s="4" t="s">
        <v>35</v>
      </c>
      <c r="E612" s="4" t="s">
        <v>44</v>
      </c>
      <c r="F612" s="4" t="s">
        <v>89</v>
      </c>
      <c r="G612">
        <v>6</v>
      </c>
      <c r="H612">
        <v>26</v>
      </c>
      <c r="I612" s="4" t="s">
        <v>112</v>
      </c>
      <c r="J612" s="4" t="s">
        <v>131</v>
      </c>
      <c r="K612" s="4" t="s">
        <v>132</v>
      </c>
      <c r="L612">
        <v>47</v>
      </c>
      <c r="M612" s="4" t="s">
        <v>158</v>
      </c>
    </row>
    <row r="613" spans="1:13" x14ac:dyDescent="0.2">
      <c r="A613" s="4" t="s">
        <v>797</v>
      </c>
      <c r="B613">
        <v>612</v>
      </c>
      <c r="C613" s="4" t="s">
        <v>26</v>
      </c>
      <c r="D613" s="4" t="s">
        <v>35</v>
      </c>
      <c r="E613" s="4" t="s">
        <v>44</v>
      </c>
      <c r="F613" s="4" t="s">
        <v>89</v>
      </c>
      <c r="G613">
        <v>6</v>
      </c>
      <c r="H613">
        <v>26</v>
      </c>
      <c r="I613" s="4" t="s">
        <v>112</v>
      </c>
      <c r="J613" s="4" t="s">
        <v>133</v>
      </c>
      <c r="K613" s="4" t="s">
        <v>134</v>
      </c>
      <c r="L613">
        <v>60</v>
      </c>
      <c r="M613" s="4" t="s">
        <v>158</v>
      </c>
    </row>
    <row r="614" spans="1:13" x14ac:dyDescent="0.2">
      <c r="A614" s="4" t="s">
        <v>798</v>
      </c>
      <c r="B614">
        <v>613</v>
      </c>
      <c r="C614" s="4" t="s">
        <v>26</v>
      </c>
      <c r="D614" s="4" t="s">
        <v>35</v>
      </c>
      <c r="E614" s="4" t="s">
        <v>44</v>
      </c>
      <c r="F614" s="4" t="s">
        <v>89</v>
      </c>
      <c r="G614">
        <v>6</v>
      </c>
      <c r="H614">
        <v>26</v>
      </c>
      <c r="I614" s="4" t="s">
        <v>114</v>
      </c>
      <c r="J614" s="4" t="s">
        <v>122</v>
      </c>
      <c r="K614" s="4" t="s">
        <v>123</v>
      </c>
      <c r="L614">
        <v>100</v>
      </c>
      <c r="M614" s="4" t="s">
        <v>158</v>
      </c>
    </row>
    <row r="615" spans="1:13" x14ac:dyDescent="0.2">
      <c r="A615" s="4" t="s">
        <v>799</v>
      </c>
      <c r="B615">
        <v>614</v>
      </c>
      <c r="C615" s="4" t="s">
        <v>26</v>
      </c>
      <c r="D615" s="4" t="s">
        <v>35</v>
      </c>
      <c r="E615" s="4" t="s">
        <v>44</v>
      </c>
      <c r="F615" s="4" t="s">
        <v>89</v>
      </c>
      <c r="G615">
        <v>6</v>
      </c>
      <c r="H615">
        <v>26</v>
      </c>
      <c r="I615" s="4" t="s">
        <v>114</v>
      </c>
      <c r="J615" s="4" t="s">
        <v>125</v>
      </c>
      <c r="K615" s="4" t="s">
        <v>126</v>
      </c>
      <c r="L615">
        <v>40</v>
      </c>
      <c r="M615" s="4" t="s">
        <v>158</v>
      </c>
    </row>
    <row r="616" spans="1:13" x14ac:dyDescent="0.2">
      <c r="A616" s="4" t="s">
        <v>800</v>
      </c>
      <c r="B616">
        <v>615</v>
      </c>
      <c r="C616" s="4" t="s">
        <v>26</v>
      </c>
      <c r="D616" s="4" t="s">
        <v>35</v>
      </c>
      <c r="E616" s="4" t="s">
        <v>44</v>
      </c>
      <c r="F616" s="4" t="s">
        <v>89</v>
      </c>
      <c r="G616">
        <v>6</v>
      </c>
      <c r="H616">
        <v>26</v>
      </c>
      <c r="I616" s="4" t="s">
        <v>114</v>
      </c>
      <c r="J616" s="4" t="s">
        <v>127</v>
      </c>
      <c r="K616" s="4" t="s">
        <v>128</v>
      </c>
      <c r="L616">
        <v>175</v>
      </c>
      <c r="M616" s="4" t="s">
        <v>158</v>
      </c>
    </row>
    <row r="617" spans="1:13" x14ac:dyDescent="0.2">
      <c r="A617" s="4" t="s">
        <v>801</v>
      </c>
      <c r="B617">
        <v>616</v>
      </c>
      <c r="C617" s="4" t="s">
        <v>26</v>
      </c>
      <c r="D617" s="4" t="s">
        <v>35</v>
      </c>
      <c r="E617" s="4" t="s">
        <v>44</v>
      </c>
      <c r="F617" s="4" t="s">
        <v>89</v>
      </c>
      <c r="G617">
        <v>6</v>
      </c>
      <c r="H617">
        <v>26</v>
      </c>
      <c r="I617" s="4" t="s">
        <v>114</v>
      </c>
      <c r="J617" s="4" t="s">
        <v>129</v>
      </c>
      <c r="K617" s="4" t="s">
        <v>130</v>
      </c>
      <c r="L617">
        <v>40</v>
      </c>
      <c r="M617" s="4" t="s">
        <v>158</v>
      </c>
    </row>
    <row r="618" spans="1:13" x14ac:dyDescent="0.2">
      <c r="A618" s="4" t="s">
        <v>802</v>
      </c>
      <c r="B618">
        <v>617</v>
      </c>
      <c r="C618" s="4" t="s">
        <v>26</v>
      </c>
      <c r="D618" s="4" t="s">
        <v>35</v>
      </c>
      <c r="E618" s="4" t="s">
        <v>44</v>
      </c>
      <c r="F618" s="4" t="s">
        <v>89</v>
      </c>
      <c r="G618">
        <v>6</v>
      </c>
      <c r="H618">
        <v>26</v>
      </c>
      <c r="I618" s="4" t="s">
        <v>114</v>
      </c>
      <c r="J618" s="4" t="s">
        <v>131</v>
      </c>
      <c r="K618" s="4" t="s">
        <v>132</v>
      </c>
      <c r="L618">
        <v>24</v>
      </c>
      <c r="M618" s="4" t="s">
        <v>158</v>
      </c>
    </row>
    <row r="619" spans="1:13" x14ac:dyDescent="0.2">
      <c r="A619" s="4" t="s">
        <v>803</v>
      </c>
      <c r="B619">
        <v>618</v>
      </c>
      <c r="C619" s="4" t="s">
        <v>26</v>
      </c>
      <c r="D619" s="4" t="s">
        <v>35</v>
      </c>
      <c r="E619" s="4" t="s">
        <v>44</v>
      </c>
      <c r="F619" s="4" t="s">
        <v>89</v>
      </c>
      <c r="G619">
        <v>6</v>
      </c>
      <c r="H619">
        <v>26</v>
      </c>
      <c r="I619" s="4" t="s">
        <v>114</v>
      </c>
      <c r="J619" s="4" t="s">
        <v>133</v>
      </c>
      <c r="K619" s="4" t="s">
        <v>134</v>
      </c>
      <c r="L619">
        <v>1</v>
      </c>
      <c r="M619" s="4" t="s">
        <v>158</v>
      </c>
    </row>
    <row r="620" spans="1:13" x14ac:dyDescent="0.2">
      <c r="A620" s="4" t="s">
        <v>804</v>
      </c>
      <c r="B620">
        <v>619</v>
      </c>
      <c r="C620" s="4" t="s">
        <v>26</v>
      </c>
      <c r="D620" s="4" t="s">
        <v>35</v>
      </c>
      <c r="E620" s="4" t="s">
        <v>44</v>
      </c>
      <c r="F620" s="4" t="s">
        <v>89</v>
      </c>
      <c r="G620">
        <v>6</v>
      </c>
      <c r="H620">
        <v>26</v>
      </c>
      <c r="I620" s="4" t="s">
        <v>116</v>
      </c>
      <c r="J620" s="4" t="s">
        <v>122</v>
      </c>
      <c r="K620" s="4" t="s">
        <v>123</v>
      </c>
      <c r="L620">
        <v>75</v>
      </c>
      <c r="M620" s="4" t="s">
        <v>158</v>
      </c>
    </row>
    <row r="621" spans="1:13" x14ac:dyDescent="0.2">
      <c r="A621" s="4" t="s">
        <v>805</v>
      </c>
      <c r="B621">
        <v>620</v>
      </c>
      <c r="C621" s="4" t="s">
        <v>26</v>
      </c>
      <c r="D621" s="4" t="s">
        <v>35</v>
      </c>
      <c r="E621" s="4" t="s">
        <v>44</v>
      </c>
      <c r="F621" s="4" t="s">
        <v>89</v>
      </c>
      <c r="G621">
        <v>6</v>
      </c>
      <c r="H621">
        <v>26</v>
      </c>
      <c r="I621" s="4" t="s">
        <v>116</v>
      </c>
      <c r="J621" s="4" t="s">
        <v>125</v>
      </c>
      <c r="K621" s="4" t="s">
        <v>126</v>
      </c>
      <c r="L621">
        <v>40</v>
      </c>
      <c r="M621" s="4" t="s">
        <v>158</v>
      </c>
    </row>
    <row r="622" spans="1:13" x14ac:dyDescent="0.2">
      <c r="A622" s="4" t="s">
        <v>806</v>
      </c>
      <c r="B622">
        <v>621</v>
      </c>
      <c r="C622" s="4" t="s">
        <v>26</v>
      </c>
      <c r="D622" s="4" t="s">
        <v>35</v>
      </c>
      <c r="E622" s="4" t="s">
        <v>44</v>
      </c>
      <c r="F622" s="4" t="s">
        <v>89</v>
      </c>
      <c r="G622">
        <v>6</v>
      </c>
      <c r="H622">
        <v>26</v>
      </c>
      <c r="I622" s="4" t="s">
        <v>116</v>
      </c>
      <c r="J622" s="4" t="s">
        <v>127</v>
      </c>
      <c r="K622" s="4" t="s">
        <v>128</v>
      </c>
      <c r="L622">
        <v>75</v>
      </c>
      <c r="M622" s="4" t="s">
        <v>158</v>
      </c>
    </row>
    <row r="623" spans="1:13" x14ac:dyDescent="0.2">
      <c r="A623" s="4" t="s">
        <v>807</v>
      </c>
      <c r="B623">
        <v>622</v>
      </c>
      <c r="C623" s="4" t="s">
        <v>26</v>
      </c>
      <c r="D623" s="4" t="s">
        <v>35</v>
      </c>
      <c r="E623" s="4" t="s">
        <v>44</v>
      </c>
      <c r="F623" s="4" t="s">
        <v>89</v>
      </c>
      <c r="G623">
        <v>6</v>
      </c>
      <c r="H623">
        <v>26</v>
      </c>
      <c r="I623" s="4" t="s">
        <v>116</v>
      </c>
      <c r="J623" s="4" t="s">
        <v>129</v>
      </c>
      <c r="K623" s="4" t="s">
        <v>130</v>
      </c>
      <c r="L623">
        <v>100</v>
      </c>
      <c r="M623" s="4" t="s">
        <v>158</v>
      </c>
    </row>
    <row r="624" spans="1:13" x14ac:dyDescent="0.2">
      <c r="A624" s="4" t="s">
        <v>808</v>
      </c>
      <c r="B624">
        <v>623</v>
      </c>
      <c r="C624" s="4" t="s">
        <v>26</v>
      </c>
      <c r="D624" s="4" t="s">
        <v>35</v>
      </c>
      <c r="E624" s="4" t="s">
        <v>44</v>
      </c>
      <c r="F624" s="4" t="s">
        <v>89</v>
      </c>
      <c r="G624">
        <v>6</v>
      </c>
      <c r="H624">
        <v>26</v>
      </c>
      <c r="I624" s="4" t="s">
        <v>116</v>
      </c>
      <c r="J624" s="4" t="s">
        <v>131</v>
      </c>
      <c r="K624" s="4" t="s">
        <v>132</v>
      </c>
      <c r="L624">
        <v>40</v>
      </c>
      <c r="M624" s="4" t="s">
        <v>158</v>
      </c>
    </row>
    <row r="625" spans="1:13" x14ac:dyDescent="0.2">
      <c r="A625" s="4" t="s">
        <v>809</v>
      </c>
      <c r="B625">
        <v>624</v>
      </c>
      <c r="C625" s="4" t="s">
        <v>26</v>
      </c>
      <c r="D625" s="4" t="s">
        <v>35</v>
      </c>
      <c r="E625" s="4" t="s">
        <v>44</v>
      </c>
      <c r="F625" s="4" t="s">
        <v>89</v>
      </c>
      <c r="G625">
        <v>6</v>
      </c>
      <c r="H625">
        <v>26</v>
      </c>
      <c r="I625" s="4" t="s">
        <v>116</v>
      </c>
      <c r="J625" s="4" t="s">
        <v>133</v>
      </c>
      <c r="K625" s="4" t="s">
        <v>134</v>
      </c>
      <c r="L625">
        <v>35</v>
      </c>
      <c r="M625" s="4" t="s">
        <v>158</v>
      </c>
    </row>
    <row r="626" spans="1:13" x14ac:dyDescent="0.2">
      <c r="A626" s="4" t="s">
        <v>810</v>
      </c>
      <c r="B626">
        <v>625</v>
      </c>
      <c r="C626" s="4" t="s">
        <v>26</v>
      </c>
      <c r="D626" s="4" t="s">
        <v>35</v>
      </c>
      <c r="E626" s="4" t="s">
        <v>47</v>
      </c>
      <c r="F626" s="4" t="s">
        <v>91</v>
      </c>
      <c r="G626">
        <v>6</v>
      </c>
      <c r="H626">
        <v>27</v>
      </c>
      <c r="I626" s="4" t="s">
        <v>35</v>
      </c>
      <c r="J626" s="4" t="s">
        <v>122</v>
      </c>
      <c r="K626" s="4" t="s">
        <v>123</v>
      </c>
      <c r="L626">
        <v>410</v>
      </c>
      <c r="M626" s="4" t="s">
        <v>158</v>
      </c>
    </row>
    <row r="627" spans="1:13" x14ac:dyDescent="0.2">
      <c r="A627" s="4" t="s">
        <v>811</v>
      </c>
      <c r="B627">
        <v>626</v>
      </c>
      <c r="C627" s="4" t="s">
        <v>26</v>
      </c>
      <c r="D627" s="4" t="s">
        <v>35</v>
      </c>
      <c r="E627" s="4" t="s">
        <v>47</v>
      </c>
      <c r="F627" s="4" t="s">
        <v>91</v>
      </c>
      <c r="G627">
        <v>6</v>
      </c>
      <c r="H627">
        <v>27</v>
      </c>
      <c r="I627" s="4" t="s">
        <v>35</v>
      </c>
      <c r="J627" s="4" t="s">
        <v>125</v>
      </c>
      <c r="K627" s="4" t="s">
        <v>126</v>
      </c>
      <c r="L627">
        <v>273</v>
      </c>
      <c r="M627" s="4" t="s">
        <v>158</v>
      </c>
    </row>
    <row r="628" spans="1:13" x14ac:dyDescent="0.2">
      <c r="A628" s="4" t="s">
        <v>812</v>
      </c>
      <c r="B628">
        <v>627</v>
      </c>
      <c r="C628" s="4" t="s">
        <v>26</v>
      </c>
      <c r="D628" s="4" t="s">
        <v>35</v>
      </c>
      <c r="E628" s="4" t="s">
        <v>47</v>
      </c>
      <c r="F628" s="4" t="s">
        <v>91</v>
      </c>
      <c r="G628">
        <v>6</v>
      </c>
      <c r="H628">
        <v>27</v>
      </c>
      <c r="I628" s="4" t="s">
        <v>35</v>
      </c>
      <c r="J628" s="4" t="s">
        <v>127</v>
      </c>
      <c r="K628" s="4" t="s">
        <v>128</v>
      </c>
      <c r="L628">
        <v>318</v>
      </c>
      <c r="M628" s="4" t="s">
        <v>158</v>
      </c>
    </row>
    <row r="629" spans="1:13" x14ac:dyDescent="0.2">
      <c r="A629" s="4" t="s">
        <v>813</v>
      </c>
      <c r="B629">
        <v>628</v>
      </c>
      <c r="C629" s="4" t="s">
        <v>26</v>
      </c>
      <c r="D629" s="4" t="s">
        <v>35</v>
      </c>
      <c r="E629" s="4" t="s">
        <v>47</v>
      </c>
      <c r="F629" s="4" t="s">
        <v>91</v>
      </c>
      <c r="G629">
        <v>6</v>
      </c>
      <c r="H629">
        <v>27</v>
      </c>
      <c r="I629" s="4" t="s">
        <v>35</v>
      </c>
      <c r="J629" s="4" t="s">
        <v>129</v>
      </c>
      <c r="K629" s="4" t="s">
        <v>130</v>
      </c>
      <c r="L629">
        <v>145</v>
      </c>
      <c r="M629" s="4" t="s">
        <v>158</v>
      </c>
    </row>
    <row r="630" spans="1:13" x14ac:dyDescent="0.2">
      <c r="A630" s="4" t="s">
        <v>814</v>
      </c>
      <c r="B630">
        <v>629</v>
      </c>
      <c r="C630" s="4" t="s">
        <v>26</v>
      </c>
      <c r="D630" s="4" t="s">
        <v>35</v>
      </c>
      <c r="E630" s="4" t="s">
        <v>47</v>
      </c>
      <c r="F630" s="4" t="s">
        <v>91</v>
      </c>
      <c r="G630">
        <v>6</v>
      </c>
      <c r="H630">
        <v>27</v>
      </c>
      <c r="I630" s="4" t="s">
        <v>35</v>
      </c>
      <c r="J630" s="4" t="s">
        <v>131</v>
      </c>
      <c r="K630" s="4" t="s">
        <v>132</v>
      </c>
      <c r="L630">
        <v>135</v>
      </c>
      <c r="M630" s="4" t="s">
        <v>158</v>
      </c>
    </row>
    <row r="631" spans="1:13" x14ac:dyDescent="0.2">
      <c r="A631" s="4" t="s">
        <v>815</v>
      </c>
      <c r="B631">
        <v>630</v>
      </c>
      <c r="C631" s="4" t="s">
        <v>26</v>
      </c>
      <c r="D631" s="4" t="s">
        <v>35</v>
      </c>
      <c r="E631" s="4" t="s">
        <v>47</v>
      </c>
      <c r="F631" s="4" t="s">
        <v>91</v>
      </c>
      <c r="G631">
        <v>6</v>
      </c>
      <c r="H631">
        <v>27</v>
      </c>
      <c r="I631" s="4" t="s">
        <v>35</v>
      </c>
      <c r="J631" s="4" t="s">
        <v>133</v>
      </c>
      <c r="K631" s="4" t="s">
        <v>134</v>
      </c>
      <c r="L631">
        <v>108</v>
      </c>
      <c r="M631" s="4" t="s">
        <v>158</v>
      </c>
    </row>
    <row r="632" spans="1:13" x14ac:dyDescent="0.2">
      <c r="A632" s="4" t="s">
        <v>816</v>
      </c>
      <c r="B632">
        <v>631</v>
      </c>
      <c r="C632" s="4" t="s">
        <v>26</v>
      </c>
      <c r="D632" s="4" t="s">
        <v>35</v>
      </c>
      <c r="E632" s="4" t="s">
        <v>47</v>
      </c>
      <c r="F632" s="4" t="s">
        <v>91</v>
      </c>
      <c r="G632">
        <v>6</v>
      </c>
      <c r="H632">
        <v>27</v>
      </c>
      <c r="I632" s="4" t="s">
        <v>112</v>
      </c>
      <c r="J632" s="4" t="s">
        <v>122</v>
      </c>
      <c r="K632" s="4" t="s">
        <v>123</v>
      </c>
      <c r="L632">
        <v>150</v>
      </c>
      <c r="M632" s="4" t="s">
        <v>158</v>
      </c>
    </row>
    <row r="633" spans="1:13" x14ac:dyDescent="0.2">
      <c r="A633" s="4" t="s">
        <v>817</v>
      </c>
      <c r="B633">
        <v>632</v>
      </c>
      <c r="C633" s="4" t="s">
        <v>26</v>
      </c>
      <c r="D633" s="4" t="s">
        <v>35</v>
      </c>
      <c r="E633" s="4" t="s">
        <v>47</v>
      </c>
      <c r="F633" s="4" t="s">
        <v>91</v>
      </c>
      <c r="G633">
        <v>6</v>
      </c>
      <c r="H633">
        <v>27</v>
      </c>
      <c r="I633" s="4" t="s">
        <v>112</v>
      </c>
      <c r="J633" s="4" t="s">
        <v>125</v>
      </c>
      <c r="K633" s="4" t="s">
        <v>126</v>
      </c>
      <c r="L633">
        <v>50</v>
      </c>
      <c r="M633" s="4" t="s">
        <v>158</v>
      </c>
    </row>
    <row r="634" spans="1:13" x14ac:dyDescent="0.2">
      <c r="A634" s="4" t="s">
        <v>818</v>
      </c>
      <c r="B634">
        <v>633</v>
      </c>
      <c r="C634" s="4" t="s">
        <v>26</v>
      </c>
      <c r="D634" s="4" t="s">
        <v>35</v>
      </c>
      <c r="E634" s="4" t="s">
        <v>47</v>
      </c>
      <c r="F634" s="4" t="s">
        <v>91</v>
      </c>
      <c r="G634">
        <v>6</v>
      </c>
      <c r="H634">
        <v>27</v>
      </c>
      <c r="I634" s="4" t="s">
        <v>112</v>
      </c>
      <c r="J634" s="4" t="s">
        <v>127</v>
      </c>
      <c r="K634" s="4" t="s">
        <v>128</v>
      </c>
      <c r="L634">
        <v>98</v>
      </c>
      <c r="M634" s="4" t="s">
        <v>158</v>
      </c>
    </row>
    <row r="635" spans="1:13" x14ac:dyDescent="0.2">
      <c r="A635" s="4" t="s">
        <v>819</v>
      </c>
      <c r="B635">
        <v>634</v>
      </c>
      <c r="C635" s="4" t="s">
        <v>26</v>
      </c>
      <c r="D635" s="4" t="s">
        <v>35</v>
      </c>
      <c r="E635" s="4" t="s">
        <v>47</v>
      </c>
      <c r="F635" s="4" t="s">
        <v>91</v>
      </c>
      <c r="G635">
        <v>6</v>
      </c>
      <c r="H635">
        <v>27</v>
      </c>
      <c r="I635" s="4" t="s">
        <v>112</v>
      </c>
      <c r="J635" s="4" t="s">
        <v>129</v>
      </c>
      <c r="K635" s="4" t="s">
        <v>130</v>
      </c>
      <c r="L635">
        <v>40</v>
      </c>
      <c r="M635" s="4" t="s">
        <v>158</v>
      </c>
    </row>
    <row r="636" spans="1:13" x14ac:dyDescent="0.2">
      <c r="A636" s="4" t="s">
        <v>820</v>
      </c>
      <c r="B636">
        <v>635</v>
      </c>
      <c r="C636" s="4" t="s">
        <v>26</v>
      </c>
      <c r="D636" s="4" t="s">
        <v>35</v>
      </c>
      <c r="E636" s="4" t="s">
        <v>47</v>
      </c>
      <c r="F636" s="4" t="s">
        <v>91</v>
      </c>
      <c r="G636">
        <v>6</v>
      </c>
      <c r="H636">
        <v>27</v>
      </c>
      <c r="I636" s="4" t="s">
        <v>112</v>
      </c>
      <c r="J636" s="4" t="s">
        <v>131</v>
      </c>
      <c r="K636" s="4" t="s">
        <v>132</v>
      </c>
      <c r="L636">
        <v>60</v>
      </c>
      <c r="M636" s="4" t="s">
        <v>158</v>
      </c>
    </row>
    <row r="637" spans="1:13" x14ac:dyDescent="0.2">
      <c r="A637" s="4" t="s">
        <v>821</v>
      </c>
      <c r="B637">
        <v>636</v>
      </c>
      <c r="C637" s="4" t="s">
        <v>26</v>
      </c>
      <c r="D637" s="4" t="s">
        <v>35</v>
      </c>
      <c r="E637" s="4" t="s">
        <v>47</v>
      </c>
      <c r="F637" s="4" t="s">
        <v>91</v>
      </c>
      <c r="G637">
        <v>6</v>
      </c>
      <c r="H637">
        <v>27</v>
      </c>
      <c r="I637" s="4" t="s">
        <v>112</v>
      </c>
      <c r="J637" s="4" t="s">
        <v>133</v>
      </c>
      <c r="K637" s="4" t="s">
        <v>134</v>
      </c>
      <c r="L637">
        <v>14</v>
      </c>
      <c r="M637" s="4" t="s">
        <v>158</v>
      </c>
    </row>
    <row r="638" spans="1:13" x14ac:dyDescent="0.2">
      <c r="A638" s="4" t="s">
        <v>822</v>
      </c>
      <c r="B638">
        <v>637</v>
      </c>
      <c r="C638" s="4" t="s">
        <v>26</v>
      </c>
      <c r="D638" s="4" t="s">
        <v>35</v>
      </c>
      <c r="E638" s="4" t="s">
        <v>47</v>
      </c>
      <c r="F638" s="4" t="s">
        <v>91</v>
      </c>
      <c r="G638">
        <v>6</v>
      </c>
      <c r="H638">
        <v>27</v>
      </c>
      <c r="I638" s="4" t="s">
        <v>114</v>
      </c>
      <c r="J638" s="4" t="s">
        <v>122</v>
      </c>
      <c r="K638" s="4" t="s">
        <v>123</v>
      </c>
      <c r="L638">
        <v>73</v>
      </c>
      <c r="M638" s="4" t="s">
        <v>158</v>
      </c>
    </row>
    <row r="639" spans="1:13" x14ac:dyDescent="0.2">
      <c r="A639" s="4" t="s">
        <v>823</v>
      </c>
      <c r="B639">
        <v>638</v>
      </c>
      <c r="C639" s="4" t="s">
        <v>26</v>
      </c>
      <c r="D639" s="4" t="s">
        <v>35</v>
      </c>
      <c r="E639" s="4" t="s">
        <v>47</v>
      </c>
      <c r="F639" s="4" t="s">
        <v>91</v>
      </c>
      <c r="G639">
        <v>6</v>
      </c>
      <c r="H639">
        <v>27</v>
      </c>
      <c r="I639" s="4" t="s">
        <v>114</v>
      </c>
      <c r="J639" s="4" t="s">
        <v>125</v>
      </c>
      <c r="K639" s="4" t="s">
        <v>126</v>
      </c>
      <c r="L639">
        <v>40</v>
      </c>
      <c r="M639" s="4" t="s">
        <v>158</v>
      </c>
    </row>
    <row r="640" spans="1:13" x14ac:dyDescent="0.2">
      <c r="A640" s="4" t="s">
        <v>824</v>
      </c>
      <c r="B640">
        <v>639</v>
      </c>
      <c r="C640" s="4" t="s">
        <v>26</v>
      </c>
      <c r="D640" s="4" t="s">
        <v>35</v>
      </c>
      <c r="E640" s="4" t="s">
        <v>47</v>
      </c>
      <c r="F640" s="4" t="s">
        <v>91</v>
      </c>
      <c r="G640">
        <v>6</v>
      </c>
      <c r="H640">
        <v>27</v>
      </c>
      <c r="I640" s="4" t="s">
        <v>114</v>
      </c>
      <c r="J640" s="4" t="s">
        <v>127</v>
      </c>
      <c r="K640" s="4" t="s">
        <v>128</v>
      </c>
      <c r="L640">
        <v>175</v>
      </c>
      <c r="M640" s="4" t="s">
        <v>158</v>
      </c>
    </row>
    <row r="641" spans="1:13" x14ac:dyDescent="0.2">
      <c r="A641" s="4" t="s">
        <v>825</v>
      </c>
      <c r="B641">
        <v>640</v>
      </c>
      <c r="C641" s="4" t="s">
        <v>26</v>
      </c>
      <c r="D641" s="4" t="s">
        <v>35</v>
      </c>
      <c r="E641" s="4" t="s">
        <v>47</v>
      </c>
      <c r="F641" s="4" t="s">
        <v>91</v>
      </c>
      <c r="G641">
        <v>6</v>
      </c>
      <c r="H641">
        <v>27</v>
      </c>
      <c r="I641" s="4" t="s">
        <v>114</v>
      </c>
      <c r="J641" s="4" t="s">
        <v>129</v>
      </c>
      <c r="K641" s="4" t="s">
        <v>130</v>
      </c>
      <c r="L641">
        <v>40</v>
      </c>
      <c r="M641" s="4" t="s">
        <v>158</v>
      </c>
    </row>
    <row r="642" spans="1:13" x14ac:dyDescent="0.2">
      <c r="A642" s="4" t="s">
        <v>826</v>
      </c>
      <c r="B642">
        <v>641</v>
      </c>
      <c r="C642" s="4" t="s">
        <v>26</v>
      </c>
      <c r="D642" s="4" t="s">
        <v>35</v>
      </c>
      <c r="E642" s="4" t="s">
        <v>47</v>
      </c>
      <c r="F642" s="4" t="s">
        <v>91</v>
      </c>
      <c r="G642">
        <v>6</v>
      </c>
      <c r="H642">
        <v>27</v>
      </c>
      <c r="I642" s="4" t="s">
        <v>114</v>
      </c>
      <c r="J642" s="4" t="s">
        <v>131</v>
      </c>
      <c r="K642" s="4" t="s">
        <v>132</v>
      </c>
      <c r="L642">
        <v>70</v>
      </c>
      <c r="M642" s="4" t="s">
        <v>158</v>
      </c>
    </row>
    <row r="643" spans="1:13" x14ac:dyDescent="0.2">
      <c r="A643" s="4" t="s">
        <v>827</v>
      </c>
      <c r="B643">
        <v>642</v>
      </c>
      <c r="C643" s="4" t="s">
        <v>26</v>
      </c>
      <c r="D643" s="4" t="s">
        <v>35</v>
      </c>
      <c r="E643" s="4" t="s">
        <v>47</v>
      </c>
      <c r="F643" s="4" t="s">
        <v>91</v>
      </c>
      <c r="G643">
        <v>6</v>
      </c>
      <c r="H643">
        <v>27</v>
      </c>
      <c r="I643" s="4" t="s">
        <v>114</v>
      </c>
      <c r="J643" s="4" t="s">
        <v>133</v>
      </c>
      <c r="K643" s="4" t="s">
        <v>134</v>
      </c>
      <c r="L643">
        <v>40</v>
      </c>
      <c r="M643" s="4" t="s">
        <v>158</v>
      </c>
    </row>
    <row r="644" spans="1:13" x14ac:dyDescent="0.2">
      <c r="A644" s="4" t="s">
        <v>828</v>
      </c>
      <c r="B644">
        <v>643</v>
      </c>
      <c r="C644" s="4" t="s">
        <v>26</v>
      </c>
      <c r="D644" s="4" t="s">
        <v>35</v>
      </c>
      <c r="E644" s="4" t="s">
        <v>47</v>
      </c>
      <c r="F644" s="4" t="s">
        <v>91</v>
      </c>
      <c r="G644">
        <v>6</v>
      </c>
      <c r="H644">
        <v>27</v>
      </c>
      <c r="I644" s="4" t="s">
        <v>116</v>
      </c>
      <c r="J644" s="4" t="s">
        <v>122</v>
      </c>
      <c r="K644" s="4" t="s">
        <v>123</v>
      </c>
      <c r="L644">
        <v>75</v>
      </c>
      <c r="M644" s="4" t="s">
        <v>158</v>
      </c>
    </row>
    <row r="645" spans="1:13" x14ac:dyDescent="0.2">
      <c r="A645" s="4" t="s">
        <v>829</v>
      </c>
      <c r="B645">
        <v>644</v>
      </c>
      <c r="C645" s="4" t="s">
        <v>26</v>
      </c>
      <c r="D645" s="4" t="s">
        <v>35</v>
      </c>
      <c r="E645" s="4" t="s">
        <v>47</v>
      </c>
      <c r="F645" s="4" t="s">
        <v>91</v>
      </c>
      <c r="G645">
        <v>6</v>
      </c>
      <c r="H645">
        <v>27</v>
      </c>
      <c r="I645" s="4" t="s">
        <v>116</v>
      </c>
      <c r="J645" s="4" t="s">
        <v>125</v>
      </c>
      <c r="K645" s="4" t="s">
        <v>126</v>
      </c>
      <c r="L645">
        <v>40</v>
      </c>
      <c r="M645" s="4" t="s">
        <v>158</v>
      </c>
    </row>
    <row r="646" spans="1:13" x14ac:dyDescent="0.2">
      <c r="A646" s="4" t="s">
        <v>830</v>
      </c>
      <c r="B646">
        <v>645</v>
      </c>
      <c r="C646" s="4" t="s">
        <v>26</v>
      </c>
      <c r="D646" s="4" t="s">
        <v>35</v>
      </c>
      <c r="E646" s="4" t="s">
        <v>47</v>
      </c>
      <c r="F646" s="4" t="s">
        <v>91</v>
      </c>
      <c r="G646">
        <v>6</v>
      </c>
      <c r="H646">
        <v>27</v>
      </c>
      <c r="I646" s="4" t="s">
        <v>116</v>
      </c>
      <c r="J646" s="4" t="s">
        <v>127</v>
      </c>
      <c r="K646" s="4" t="s">
        <v>128</v>
      </c>
      <c r="L646">
        <v>75</v>
      </c>
      <c r="M646" s="4" t="s">
        <v>158</v>
      </c>
    </row>
    <row r="647" spans="1:13" x14ac:dyDescent="0.2">
      <c r="A647" s="4" t="s">
        <v>831</v>
      </c>
      <c r="B647">
        <v>646</v>
      </c>
      <c r="C647" s="4" t="s">
        <v>26</v>
      </c>
      <c r="D647" s="4" t="s">
        <v>35</v>
      </c>
      <c r="E647" s="4" t="s">
        <v>47</v>
      </c>
      <c r="F647" s="4" t="s">
        <v>91</v>
      </c>
      <c r="G647">
        <v>6</v>
      </c>
      <c r="H647">
        <v>27</v>
      </c>
      <c r="I647" s="4" t="s">
        <v>116</v>
      </c>
      <c r="J647" s="4" t="s">
        <v>129</v>
      </c>
      <c r="K647" s="4" t="s">
        <v>130</v>
      </c>
      <c r="L647">
        <v>100</v>
      </c>
      <c r="M647" s="4" t="s">
        <v>158</v>
      </c>
    </row>
    <row r="648" spans="1:13" x14ac:dyDescent="0.2">
      <c r="A648" s="4" t="s">
        <v>832</v>
      </c>
      <c r="B648">
        <v>647</v>
      </c>
      <c r="C648" s="4" t="s">
        <v>26</v>
      </c>
      <c r="D648" s="4" t="s">
        <v>35</v>
      </c>
      <c r="E648" s="4" t="s">
        <v>47</v>
      </c>
      <c r="F648" s="4" t="s">
        <v>91</v>
      </c>
      <c r="G648">
        <v>6</v>
      </c>
      <c r="H648">
        <v>27</v>
      </c>
      <c r="I648" s="4" t="s">
        <v>116</v>
      </c>
      <c r="J648" s="4" t="s">
        <v>131</v>
      </c>
      <c r="K648" s="4" t="s">
        <v>132</v>
      </c>
      <c r="L648">
        <v>40</v>
      </c>
      <c r="M648" s="4" t="s">
        <v>158</v>
      </c>
    </row>
    <row r="649" spans="1:13" x14ac:dyDescent="0.2">
      <c r="A649" s="4" t="s">
        <v>833</v>
      </c>
      <c r="B649">
        <v>648</v>
      </c>
      <c r="C649" s="4" t="s">
        <v>26</v>
      </c>
      <c r="D649" s="4" t="s">
        <v>35</v>
      </c>
      <c r="E649" s="4" t="s">
        <v>47</v>
      </c>
      <c r="F649" s="4" t="s">
        <v>91</v>
      </c>
      <c r="G649">
        <v>6</v>
      </c>
      <c r="H649">
        <v>27</v>
      </c>
      <c r="I649" s="4" t="s">
        <v>116</v>
      </c>
      <c r="J649" s="4" t="s">
        <v>133</v>
      </c>
      <c r="K649" s="4" t="s">
        <v>134</v>
      </c>
      <c r="L649">
        <v>40</v>
      </c>
      <c r="M649" s="4" t="s">
        <v>158</v>
      </c>
    </row>
    <row r="650" spans="1:13" x14ac:dyDescent="0.2">
      <c r="A650" s="4" t="s">
        <v>834</v>
      </c>
      <c r="B650">
        <v>649</v>
      </c>
      <c r="C650" s="4" t="s">
        <v>26</v>
      </c>
      <c r="D650" s="4" t="s">
        <v>35</v>
      </c>
      <c r="E650" s="4" t="s">
        <v>50</v>
      </c>
      <c r="F650" s="4" t="s">
        <v>93</v>
      </c>
      <c r="G650">
        <v>6</v>
      </c>
      <c r="H650">
        <v>28</v>
      </c>
      <c r="I650" s="4" t="s">
        <v>35</v>
      </c>
      <c r="J650" s="4" t="s">
        <v>122</v>
      </c>
      <c r="K650" s="4" t="s">
        <v>123</v>
      </c>
      <c r="L650">
        <v>708</v>
      </c>
      <c r="M650" s="4" t="s">
        <v>158</v>
      </c>
    </row>
    <row r="651" spans="1:13" x14ac:dyDescent="0.2">
      <c r="A651" s="4" t="s">
        <v>835</v>
      </c>
      <c r="B651">
        <v>650</v>
      </c>
      <c r="C651" s="4" t="s">
        <v>26</v>
      </c>
      <c r="D651" s="4" t="s">
        <v>35</v>
      </c>
      <c r="E651" s="4" t="s">
        <v>50</v>
      </c>
      <c r="F651" s="4" t="s">
        <v>93</v>
      </c>
      <c r="G651">
        <v>6</v>
      </c>
      <c r="H651">
        <v>28</v>
      </c>
      <c r="I651" s="4" t="s">
        <v>35</v>
      </c>
      <c r="J651" s="4" t="s">
        <v>125</v>
      </c>
      <c r="K651" s="4" t="s">
        <v>126</v>
      </c>
      <c r="L651">
        <v>273</v>
      </c>
      <c r="M651" s="4" t="s">
        <v>158</v>
      </c>
    </row>
    <row r="652" spans="1:13" x14ac:dyDescent="0.2">
      <c r="A652" s="4" t="s">
        <v>836</v>
      </c>
      <c r="B652">
        <v>651</v>
      </c>
      <c r="C652" s="4" t="s">
        <v>26</v>
      </c>
      <c r="D652" s="4" t="s">
        <v>35</v>
      </c>
      <c r="E652" s="4" t="s">
        <v>50</v>
      </c>
      <c r="F652" s="4" t="s">
        <v>93</v>
      </c>
      <c r="G652">
        <v>6</v>
      </c>
      <c r="H652">
        <v>28</v>
      </c>
      <c r="I652" s="4" t="s">
        <v>35</v>
      </c>
      <c r="J652" s="4" t="s">
        <v>127</v>
      </c>
      <c r="K652" s="4" t="s">
        <v>128</v>
      </c>
      <c r="L652">
        <v>748</v>
      </c>
      <c r="M652" s="4" t="s">
        <v>158</v>
      </c>
    </row>
    <row r="653" spans="1:13" x14ac:dyDescent="0.2">
      <c r="A653" s="4" t="s">
        <v>837</v>
      </c>
      <c r="B653">
        <v>652</v>
      </c>
      <c r="C653" s="4" t="s">
        <v>26</v>
      </c>
      <c r="D653" s="4" t="s">
        <v>35</v>
      </c>
      <c r="E653" s="4" t="s">
        <v>50</v>
      </c>
      <c r="F653" s="4" t="s">
        <v>93</v>
      </c>
      <c r="G653">
        <v>6</v>
      </c>
      <c r="H653">
        <v>28</v>
      </c>
      <c r="I653" s="4" t="s">
        <v>35</v>
      </c>
      <c r="J653" s="4" t="s">
        <v>129</v>
      </c>
      <c r="K653" s="4" t="s">
        <v>130</v>
      </c>
      <c r="L653">
        <v>145</v>
      </c>
      <c r="M653" s="4" t="s">
        <v>158</v>
      </c>
    </row>
    <row r="654" spans="1:13" x14ac:dyDescent="0.2">
      <c r="A654" s="4" t="s">
        <v>838</v>
      </c>
      <c r="B654">
        <v>653</v>
      </c>
      <c r="C654" s="4" t="s">
        <v>26</v>
      </c>
      <c r="D654" s="4" t="s">
        <v>35</v>
      </c>
      <c r="E654" s="4" t="s">
        <v>50</v>
      </c>
      <c r="F654" s="4" t="s">
        <v>93</v>
      </c>
      <c r="G654">
        <v>6</v>
      </c>
      <c r="H654">
        <v>28</v>
      </c>
      <c r="I654" s="4" t="s">
        <v>35</v>
      </c>
      <c r="J654" s="4" t="s">
        <v>131</v>
      </c>
      <c r="K654" s="4" t="s">
        <v>132</v>
      </c>
      <c r="L654">
        <v>280</v>
      </c>
      <c r="M654" s="4" t="s">
        <v>158</v>
      </c>
    </row>
    <row r="655" spans="1:13" x14ac:dyDescent="0.2">
      <c r="A655" s="4" t="s">
        <v>839</v>
      </c>
      <c r="B655">
        <v>654</v>
      </c>
      <c r="C655" s="4" t="s">
        <v>26</v>
      </c>
      <c r="D655" s="4" t="s">
        <v>35</v>
      </c>
      <c r="E655" s="4" t="s">
        <v>50</v>
      </c>
      <c r="F655" s="4" t="s">
        <v>93</v>
      </c>
      <c r="G655">
        <v>6</v>
      </c>
      <c r="H655">
        <v>28</v>
      </c>
      <c r="I655" s="4" t="s">
        <v>35</v>
      </c>
      <c r="J655" s="4" t="s">
        <v>133</v>
      </c>
      <c r="K655" s="4" t="s">
        <v>134</v>
      </c>
      <c r="L655">
        <v>314</v>
      </c>
      <c r="M655" s="4" t="s">
        <v>158</v>
      </c>
    </row>
    <row r="656" spans="1:13" x14ac:dyDescent="0.2">
      <c r="A656" s="4" t="s">
        <v>840</v>
      </c>
      <c r="B656">
        <v>655</v>
      </c>
      <c r="C656" s="4" t="s">
        <v>26</v>
      </c>
      <c r="D656" s="4" t="s">
        <v>35</v>
      </c>
      <c r="E656" s="4" t="s">
        <v>50</v>
      </c>
      <c r="F656" s="4" t="s">
        <v>93</v>
      </c>
      <c r="G656">
        <v>6</v>
      </c>
      <c r="H656">
        <v>28</v>
      </c>
      <c r="I656" s="4" t="s">
        <v>112</v>
      </c>
      <c r="J656" s="4" t="s">
        <v>122</v>
      </c>
      <c r="K656" s="4" t="s">
        <v>123</v>
      </c>
      <c r="L656">
        <v>79</v>
      </c>
      <c r="M656" s="4" t="s">
        <v>158</v>
      </c>
    </row>
    <row r="657" spans="1:13" x14ac:dyDescent="0.2">
      <c r="A657" s="4" t="s">
        <v>841</v>
      </c>
      <c r="B657">
        <v>656</v>
      </c>
      <c r="C657" s="4" t="s">
        <v>26</v>
      </c>
      <c r="D657" s="4" t="s">
        <v>35</v>
      </c>
      <c r="E657" s="4" t="s">
        <v>50</v>
      </c>
      <c r="F657" s="4" t="s">
        <v>93</v>
      </c>
      <c r="G657">
        <v>6</v>
      </c>
      <c r="H657">
        <v>28</v>
      </c>
      <c r="I657" s="4" t="s">
        <v>112</v>
      </c>
      <c r="J657" s="4" t="s">
        <v>125</v>
      </c>
      <c r="K657" s="4" t="s">
        <v>126</v>
      </c>
      <c r="L657">
        <v>29</v>
      </c>
      <c r="M657" s="4" t="s">
        <v>158</v>
      </c>
    </row>
    <row r="658" spans="1:13" x14ac:dyDescent="0.2">
      <c r="A658" s="4" t="s">
        <v>842</v>
      </c>
      <c r="B658">
        <v>657</v>
      </c>
      <c r="C658" s="4" t="s">
        <v>26</v>
      </c>
      <c r="D658" s="4" t="s">
        <v>35</v>
      </c>
      <c r="E658" s="4" t="s">
        <v>50</v>
      </c>
      <c r="F658" s="4" t="s">
        <v>93</v>
      </c>
      <c r="G658">
        <v>6</v>
      </c>
      <c r="H658">
        <v>28</v>
      </c>
      <c r="I658" s="4" t="s">
        <v>112</v>
      </c>
      <c r="J658" s="4" t="s">
        <v>127</v>
      </c>
      <c r="K658" s="4" t="s">
        <v>128</v>
      </c>
      <c r="L658">
        <v>96</v>
      </c>
      <c r="M658" s="4" t="s">
        <v>158</v>
      </c>
    </row>
    <row r="659" spans="1:13" x14ac:dyDescent="0.2">
      <c r="A659" s="4" t="s">
        <v>843</v>
      </c>
      <c r="B659">
        <v>658</v>
      </c>
      <c r="C659" s="4" t="s">
        <v>26</v>
      </c>
      <c r="D659" s="4" t="s">
        <v>35</v>
      </c>
      <c r="E659" s="4" t="s">
        <v>50</v>
      </c>
      <c r="F659" s="4" t="s">
        <v>93</v>
      </c>
      <c r="G659">
        <v>6</v>
      </c>
      <c r="H659">
        <v>28</v>
      </c>
      <c r="I659" s="4" t="s">
        <v>112</v>
      </c>
      <c r="J659" s="4" t="s">
        <v>129</v>
      </c>
      <c r="K659" s="4" t="s">
        <v>130</v>
      </c>
      <c r="L659">
        <v>40</v>
      </c>
      <c r="M659" s="4" t="s">
        <v>158</v>
      </c>
    </row>
    <row r="660" spans="1:13" x14ac:dyDescent="0.2">
      <c r="A660" s="4" t="s">
        <v>844</v>
      </c>
      <c r="B660">
        <v>659</v>
      </c>
      <c r="C660" s="4" t="s">
        <v>26</v>
      </c>
      <c r="D660" s="4" t="s">
        <v>35</v>
      </c>
      <c r="E660" s="4" t="s">
        <v>50</v>
      </c>
      <c r="F660" s="4" t="s">
        <v>93</v>
      </c>
      <c r="G660">
        <v>6</v>
      </c>
      <c r="H660">
        <v>28</v>
      </c>
      <c r="I660" s="4" t="s">
        <v>112</v>
      </c>
      <c r="J660" s="4" t="s">
        <v>131</v>
      </c>
      <c r="K660" s="4" t="s">
        <v>132</v>
      </c>
      <c r="L660">
        <v>60</v>
      </c>
      <c r="M660" s="4" t="s">
        <v>158</v>
      </c>
    </row>
    <row r="661" spans="1:13" x14ac:dyDescent="0.2">
      <c r="A661" s="4" t="s">
        <v>845</v>
      </c>
      <c r="B661">
        <v>660</v>
      </c>
      <c r="C661" s="4" t="s">
        <v>26</v>
      </c>
      <c r="D661" s="4" t="s">
        <v>35</v>
      </c>
      <c r="E661" s="4" t="s">
        <v>50</v>
      </c>
      <c r="F661" s="4" t="s">
        <v>93</v>
      </c>
      <c r="G661">
        <v>6</v>
      </c>
      <c r="H661">
        <v>28</v>
      </c>
      <c r="I661" s="4" t="s">
        <v>112</v>
      </c>
      <c r="J661" s="4" t="s">
        <v>133</v>
      </c>
      <c r="K661" s="4" t="s">
        <v>134</v>
      </c>
      <c r="L661">
        <v>60</v>
      </c>
      <c r="M661" s="4" t="s">
        <v>158</v>
      </c>
    </row>
    <row r="662" spans="1:13" x14ac:dyDescent="0.2">
      <c r="A662" s="4" t="s">
        <v>846</v>
      </c>
      <c r="B662">
        <v>661</v>
      </c>
      <c r="C662" s="4" t="s">
        <v>26</v>
      </c>
      <c r="D662" s="4" t="s">
        <v>35</v>
      </c>
      <c r="E662" s="4" t="s">
        <v>50</v>
      </c>
      <c r="F662" s="4" t="s">
        <v>93</v>
      </c>
      <c r="G662">
        <v>6</v>
      </c>
      <c r="H662">
        <v>28</v>
      </c>
      <c r="I662" s="4" t="s">
        <v>114</v>
      </c>
      <c r="J662" s="4" t="s">
        <v>122</v>
      </c>
      <c r="K662" s="4" t="s">
        <v>123</v>
      </c>
      <c r="L662">
        <v>100</v>
      </c>
      <c r="M662" s="4" t="s">
        <v>158</v>
      </c>
    </row>
    <row r="663" spans="1:13" x14ac:dyDescent="0.2">
      <c r="A663" s="4" t="s">
        <v>847</v>
      </c>
      <c r="B663">
        <v>662</v>
      </c>
      <c r="C663" s="4" t="s">
        <v>26</v>
      </c>
      <c r="D663" s="4" t="s">
        <v>35</v>
      </c>
      <c r="E663" s="4" t="s">
        <v>50</v>
      </c>
      <c r="F663" s="4" t="s">
        <v>93</v>
      </c>
      <c r="G663">
        <v>6</v>
      </c>
      <c r="H663">
        <v>28</v>
      </c>
      <c r="I663" s="4" t="s">
        <v>114</v>
      </c>
      <c r="J663" s="4" t="s">
        <v>125</v>
      </c>
      <c r="K663" s="4" t="s">
        <v>126</v>
      </c>
      <c r="L663">
        <v>40</v>
      </c>
      <c r="M663" s="4" t="s">
        <v>158</v>
      </c>
    </row>
    <row r="664" spans="1:13" x14ac:dyDescent="0.2">
      <c r="A664" s="4" t="s">
        <v>848</v>
      </c>
      <c r="B664">
        <v>663</v>
      </c>
      <c r="C664" s="4" t="s">
        <v>26</v>
      </c>
      <c r="D664" s="4" t="s">
        <v>35</v>
      </c>
      <c r="E664" s="4" t="s">
        <v>50</v>
      </c>
      <c r="F664" s="4" t="s">
        <v>93</v>
      </c>
      <c r="G664">
        <v>6</v>
      </c>
      <c r="H664">
        <v>28</v>
      </c>
      <c r="I664" s="4" t="s">
        <v>114</v>
      </c>
      <c r="J664" s="4" t="s">
        <v>127</v>
      </c>
      <c r="K664" s="4" t="s">
        <v>128</v>
      </c>
      <c r="L664">
        <v>66</v>
      </c>
      <c r="M664" s="4" t="s">
        <v>158</v>
      </c>
    </row>
    <row r="665" spans="1:13" x14ac:dyDescent="0.2">
      <c r="A665" s="4" t="s">
        <v>849</v>
      </c>
      <c r="B665">
        <v>664</v>
      </c>
      <c r="C665" s="4" t="s">
        <v>26</v>
      </c>
      <c r="D665" s="4" t="s">
        <v>35</v>
      </c>
      <c r="E665" s="4" t="s">
        <v>50</v>
      </c>
      <c r="F665" s="4" t="s">
        <v>93</v>
      </c>
      <c r="G665">
        <v>6</v>
      </c>
      <c r="H665">
        <v>28</v>
      </c>
      <c r="I665" s="4" t="s">
        <v>114</v>
      </c>
      <c r="J665" s="4" t="s">
        <v>129</v>
      </c>
      <c r="K665" s="4" t="s">
        <v>130</v>
      </c>
      <c r="L665">
        <v>40</v>
      </c>
      <c r="M665" s="4" t="s">
        <v>158</v>
      </c>
    </row>
    <row r="666" spans="1:13" x14ac:dyDescent="0.2">
      <c r="A666" s="4" t="s">
        <v>850</v>
      </c>
      <c r="B666">
        <v>665</v>
      </c>
      <c r="C666" s="4" t="s">
        <v>26</v>
      </c>
      <c r="D666" s="4" t="s">
        <v>35</v>
      </c>
      <c r="E666" s="4" t="s">
        <v>50</v>
      </c>
      <c r="F666" s="4" t="s">
        <v>93</v>
      </c>
      <c r="G666">
        <v>6</v>
      </c>
      <c r="H666">
        <v>28</v>
      </c>
      <c r="I666" s="4" t="s">
        <v>114</v>
      </c>
      <c r="J666" s="4" t="s">
        <v>131</v>
      </c>
      <c r="K666" s="4" t="s">
        <v>132</v>
      </c>
      <c r="L666">
        <v>14</v>
      </c>
      <c r="M666" s="4" t="s">
        <v>158</v>
      </c>
    </row>
    <row r="667" spans="1:13" x14ac:dyDescent="0.2">
      <c r="A667" s="4" t="s">
        <v>851</v>
      </c>
      <c r="B667">
        <v>666</v>
      </c>
      <c r="C667" s="4" t="s">
        <v>26</v>
      </c>
      <c r="D667" s="4" t="s">
        <v>35</v>
      </c>
      <c r="E667" s="4" t="s">
        <v>50</v>
      </c>
      <c r="F667" s="4" t="s">
        <v>93</v>
      </c>
      <c r="G667">
        <v>6</v>
      </c>
      <c r="H667">
        <v>28</v>
      </c>
      <c r="I667" s="4" t="s">
        <v>114</v>
      </c>
      <c r="J667" s="4" t="s">
        <v>133</v>
      </c>
      <c r="K667" s="4" t="s">
        <v>134</v>
      </c>
      <c r="L667">
        <v>40</v>
      </c>
      <c r="M667" s="4" t="s">
        <v>158</v>
      </c>
    </row>
    <row r="668" spans="1:13" x14ac:dyDescent="0.2">
      <c r="A668" s="4" t="s">
        <v>852</v>
      </c>
      <c r="B668">
        <v>667</v>
      </c>
      <c r="C668" s="4" t="s">
        <v>26</v>
      </c>
      <c r="D668" s="4" t="s">
        <v>35</v>
      </c>
      <c r="E668" s="4" t="s">
        <v>50</v>
      </c>
      <c r="F668" s="4" t="s">
        <v>93</v>
      </c>
      <c r="G668">
        <v>6</v>
      </c>
      <c r="H668">
        <v>28</v>
      </c>
      <c r="I668" s="4" t="s">
        <v>116</v>
      </c>
      <c r="J668" s="4" t="s">
        <v>122</v>
      </c>
      <c r="K668" s="4" t="s">
        <v>123</v>
      </c>
      <c r="L668">
        <v>75</v>
      </c>
      <c r="M668" s="4" t="s">
        <v>158</v>
      </c>
    </row>
    <row r="669" spans="1:13" x14ac:dyDescent="0.2">
      <c r="A669" s="4" t="s">
        <v>853</v>
      </c>
      <c r="B669">
        <v>668</v>
      </c>
      <c r="C669" s="4" t="s">
        <v>26</v>
      </c>
      <c r="D669" s="4" t="s">
        <v>35</v>
      </c>
      <c r="E669" s="4" t="s">
        <v>50</v>
      </c>
      <c r="F669" s="4" t="s">
        <v>93</v>
      </c>
      <c r="G669">
        <v>6</v>
      </c>
      <c r="H669">
        <v>28</v>
      </c>
      <c r="I669" s="4" t="s">
        <v>116</v>
      </c>
      <c r="J669" s="4" t="s">
        <v>125</v>
      </c>
      <c r="K669" s="4" t="s">
        <v>126</v>
      </c>
      <c r="L669">
        <v>40</v>
      </c>
      <c r="M669" s="4" t="s">
        <v>158</v>
      </c>
    </row>
    <row r="670" spans="1:13" x14ac:dyDescent="0.2">
      <c r="A670" s="4" t="s">
        <v>854</v>
      </c>
      <c r="B670">
        <v>669</v>
      </c>
      <c r="C670" s="4" t="s">
        <v>26</v>
      </c>
      <c r="D670" s="4" t="s">
        <v>35</v>
      </c>
      <c r="E670" s="4" t="s">
        <v>50</v>
      </c>
      <c r="F670" s="4" t="s">
        <v>93</v>
      </c>
      <c r="G670">
        <v>6</v>
      </c>
      <c r="H670">
        <v>28</v>
      </c>
      <c r="I670" s="4" t="s">
        <v>116</v>
      </c>
      <c r="J670" s="4" t="s">
        <v>127</v>
      </c>
      <c r="K670" s="4" t="s">
        <v>128</v>
      </c>
      <c r="L670">
        <v>75</v>
      </c>
      <c r="M670" s="4" t="s">
        <v>158</v>
      </c>
    </row>
    <row r="671" spans="1:13" x14ac:dyDescent="0.2">
      <c r="A671" s="4" t="s">
        <v>855</v>
      </c>
      <c r="B671">
        <v>670</v>
      </c>
      <c r="C671" s="4" t="s">
        <v>26</v>
      </c>
      <c r="D671" s="4" t="s">
        <v>35</v>
      </c>
      <c r="E671" s="4" t="s">
        <v>50</v>
      </c>
      <c r="F671" s="4" t="s">
        <v>93</v>
      </c>
      <c r="G671">
        <v>6</v>
      </c>
      <c r="H671">
        <v>28</v>
      </c>
      <c r="I671" s="4" t="s">
        <v>116</v>
      </c>
      <c r="J671" s="4" t="s">
        <v>129</v>
      </c>
      <c r="K671" s="4" t="s">
        <v>130</v>
      </c>
      <c r="L671">
        <v>100</v>
      </c>
      <c r="M671" s="4" t="s">
        <v>158</v>
      </c>
    </row>
    <row r="672" spans="1:13" x14ac:dyDescent="0.2">
      <c r="A672" s="4" t="s">
        <v>856</v>
      </c>
      <c r="B672">
        <v>671</v>
      </c>
      <c r="C672" s="4" t="s">
        <v>26</v>
      </c>
      <c r="D672" s="4" t="s">
        <v>35</v>
      </c>
      <c r="E672" s="4" t="s">
        <v>50</v>
      </c>
      <c r="F672" s="4" t="s">
        <v>93</v>
      </c>
      <c r="G672">
        <v>6</v>
      </c>
      <c r="H672">
        <v>28</v>
      </c>
      <c r="I672" s="4" t="s">
        <v>116</v>
      </c>
      <c r="J672" s="4" t="s">
        <v>131</v>
      </c>
      <c r="K672" s="4" t="s">
        <v>132</v>
      </c>
      <c r="L672">
        <v>40</v>
      </c>
      <c r="M672" s="4" t="s">
        <v>158</v>
      </c>
    </row>
    <row r="673" spans="1:13" x14ac:dyDescent="0.2">
      <c r="A673" s="4" t="s">
        <v>857</v>
      </c>
      <c r="B673">
        <v>672</v>
      </c>
      <c r="C673" s="4" t="s">
        <v>26</v>
      </c>
      <c r="D673" s="4" t="s">
        <v>35</v>
      </c>
      <c r="E673" s="4" t="s">
        <v>50</v>
      </c>
      <c r="F673" s="4" t="s">
        <v>93</v>
      </c>
      <c r="G673">
        <v>6</v>
      </c>
      <c r="H673">
        <v>28</v>
      </c>
      <c r="I673" s="4" t="s">
        <v>116</v>
      </c>
      <c r="J673" s="4" t="s">
        <v>133</v>
      </c>
      <c r="K673" s="4" t="s">
        <v>134</v>
      </c>
      <c r="L673">
        <v>40</v>
      </c>
      <c r="M673" s="4" t="s">
        <v>158</v>
      </c>
    </row>
    <row r="674" spans="1:13" x14ac:dyDescent="0.2">
      <c r="A674" s="4" t="s">
        <v>858</v>
      </c>
      <c r="B674">
        <v>673</v>
      </c>
      <c r="C674" s="4" t="s">
        <v>26</v>
      </c>
      <c r="D674" s="4" t="s">
        <v>35</v>
      </c>
      <c r="E674" s="4" t="s">
        <v>53</v>
      </c>
      <c r="F674" s="4" t="s">
        <v>95</v>
      </c>
      <c r="G674">
        <v>6</v>
      </c>
      <c r="H674">
        <v>29</v>
      </c>
      <c r="I674" s="4" t="s">
        <v>35</v>
      </c>
      <c r="J674" s="4" t="s">
        <v>122</v>
      </c>
      <c r="K674" s="4" t="s">
        <v>123</v>
      </c>
      <c r="L674">
        <v>567</v>
      </c>
      <c r="M674" s="4" t="s">
        <v>158</v>
      </c>
    </row>
    <row r="675" spans="1:13" x14ac:dyDescent="0.2">
      <c r="A675" s="4" t="s">
        <v>859</v>
      </c>
      <c r="B675">
        <v>674</v>
      </c>
      <c r="C675" s="4" t="s">
        <v>26</v>
      </c>
      <c r="D675" s="4" t="s">
        <v>35</v>
      </c>
      <c r="E675" s="4" t="s">
        <v>53</v>
      </c>
      <c r="F675" s="4" t="s">
        <v>95</v>
      </c>
      <c r="G675">
        <v>6</v>
      </c>
      <c r="H675">
        <v>29</v>
      </c>
      <c r="I675" s="4" t="s">
        <v>35</v>
      </c>
      <c r="J675" s="4" t="s">
        <v>125</v>
      </c>
      <c r="K675" s="4" t="s">
        <v>126</v>
      </c>
      <c r="L675">
        <v>252</v>
      </c>
      <c r="M675" s="4" t="s">
        <v>158</v>
      </c>
    </row>
    <row r="676" spans="1:13" x14ac:dyDescent="0.2">
      <c r="A676" s="4" t="s">
        <v>860</v>
      </c>
      <c r="B676">
        <v>675</v>
      </c>
      <c r="C676" s="4" t="s">
        <v>26</v>
      </c>
      <c r="D676" s="4" t="s">
        <v>35</v>
      </c>
      <c r="E676" s="4" t="s">
        <v>53</v>
      </c>
      <c r="F676" s="4" t="s">
        <v>95</v>
      </c>
      <c r="G676">
        <v>6</v>
      </c>
      <c r="H676">
        <v>29</v>
      </c>
      <c r="I676" s="4" t="s">
        <v>35</v>
      </c>
      <c r="J676" s="4" t="s">
        <v>127</v>
      </c>
      <c r="K676" s="4" t="s">
        <v>128</v>
      </c>
      <c r="L676">
        <v>585</v>
      </c>
      <c r="M676" s="4" t="s">
        <v>158</v>
      </c>
    </row>
    <row r="677" spans="1:13" x14ac:dyDescent="0.2">
      <c r="A677" s="4" t="s">
        <v>861</v>
      </c>
      <c r="B677">
        <v>676</v>
      </c>
      <c r="C677" s="4" t="s">
        <v>26</v>
      </c>
      <c r="D677" s="4" t="s">
        <v>35</v>
      </c>
      <c r="E677" s="4" t="s">
        <v>53</v>
      </c>
      <c r="F677" s="4" t="s">
        <v>95</v>
      </c>
      <c r="G677">
        <v>6</v>
      </c>
      <c r="H677">
        <v>29</v>
      </c>
      <c r="I677" s="4" t="s">
        <v>35</v>
      </c>
      <c r="J677" s="4" t="s">
        <v>129</v>
      </c>
      <c r="K677" s="4" t="s">
        <v>130</v>
      </c>
      <c r="L677">
        <v>145</v>
      </c>
      <c r="M677" s="4" t="s">
        <v>158</v>
      </c>
    </row>
    <row r="678" spans="1:13" x14ac:dyDescent="0.2">
      <c r="A678" s="4" t="s">
        <v>862</v>
      </c>
      <c r="B678">
        <v>677</v>
      </c>
      <c r="C678" s="4" t="s">
        <v>26</v>
      </c>
      <c r="D678" s="4" t="s">
        <v>35</v>
      </c>
      <c r="E678" s="4" t="s">
        <v>53</v>
      </c>
      <c r="F678" s="4" t="s">
        <v>95</v>
      </c>
      <c r="G678">
        <v>6</v>
      </c>
      <c r="H678">
        <v>29</v>
      </c>
      <c r="I678" s="4" t="s">
        <v>35</v>
      </c>
      <c r="J678" s="4" t="s">
        <v>131</v>
      </c>
      <c r="K678" s="4" t="s">
        <v>132</v>
      </c>
      <c r="L678">
        <v>224</v>
      </c>
      <c r="M678" s="4" t="s">
        <v>158</v>
      </c>
    </row>
    <row r="679" spans="1:13" x14ac:dyDescent="0.2">
      <c r="A679" s="4" t="s">
        <v>863</v>
      </c>
      <c r="B679">
        <v>678</v>
      </c>
      <c r="C679" s="4" t="s">
        <v>26</v>
      </c>
      <c r="D679" s="4" t="s">
        <v>35</v>
      </c>
      <c r="E679" s="4" t="s">
        <v>53</v>
      </c>
      <c r="F679" s="4" t="s">
        <v>95</v>
      </c>
      <c r="G679">
        <v>6</v>
      </c>
      <c r="H679">
        <v>29</v>
      </c>
      <c r="I679" s="4" t="s">
        <v>35</v>
      </c>
      <c r="J679" s="4" t="s">
        <v>133</v>
      </c>
      <c r="K679" s="4" t="s">
        <v>134</v>
      </c>
      <c r="L679">
        <v>314</v>
      </c>
      <c r="M679" s="4" t="s">
        <v>158</v>
      </c>
    </row>
    <row r="680" spans="1:13" x14ac:dyDescent="0.2">
      <c r="A680" s="4" t="s">
        <v>864</v>
      </c>
      <c r="B680">
        <v>679</v>
      </c>
      <c r="C680" s="4" t="s">
        <v>26</v>
      </c>
      <c r="D680" s="4" t="s">
        <v>35</v>
      </c>
      <c r="E680" s="4" t="s">
        <v>53</v>
      </c>
      <c r="F680" s="4" t="s">
        <v>95</v>
      </c>
      <c r="G680">
        <v>6</v>
      </c>
      <c r="H680">
        <v>29</v>
      </c>
      <c r="I680" s="4" t="s">
        <v>112</v>
      </c>
      <c r="J680" s="4" t="s">
        <v>122</v>
      </c>
      <c r="K680" s="4" t="s">
        <v>123</v>
      </c>
      <c r="L680">
        <v>149</v>
      </c>
      <c r="M680" s="4" t="s">
        <v>158</v>
      </c>
    </row>
    <row r="681" spans="1:13" x14ac:dyDescent="0.2">
      <c r="A681" s="4" t="s">
        <v>865</v>
      </c>
      <c r="B681">
        <v>680</v>
      </c>
      <c r="C681" s="4" t="s">
        <v>26</v>
      </c>
      <c r="D681" s="4" t="s">
        <v>35</v>
      </c>
      <c r="E681" s="4" t="s">
        <v>53</v>
      </c>
      <c r="F681" s="4" t="s">
        <v>95</v>
      </c>
      <c r="G681">
        <v>6</v>
      </c>
      <c r="H681">
        <v>29</v>
      </c>
      <c r="I681" s="4" t="s">
        <v>112</v>
      </c>
      <c r="J681" s="4" t="s">
        <v>125</v>
      </c>
      <c r="K681" s="4" t="s">
        <v>126</v>
      </c>
      <c r="L681">
        <v>50</v>
      </c>
      <c r="M681" s="4" t="s">
        <v>158</v>
      </c>
    </row>
    <row r="682" spans="1:13" x14ac:dyDescent="0.2">
      <c r="A682" s="4" t="s">
        <v>866</v>
      </c>
      <c r="B682">
        <v>681</v>
      </c>
      <c r="C682" s="4" t="s">
        <v>26</v>
      </c>
      <c r="D682" s="4" t="s">
        <v>35</v>
      </c>
      <c r="E682" s="4" t="s">
        <v>53</v>
      </c>
      <c r="F682" s="4" t="s">
        <v>95</v>
      </c>
      <c r="G682">
        <v>6</v>
      </c>
      <c r="H682">
        <v>29</v>
      </c>
      <c r="I682" s="4" t="s">
        <v>112</v>
      </c>
      <c r="J682" s="4" t="s">
        <v>127</v>
      </c>
      <c r="K682" s="4" t="s">
        <v>128</v>
      </c>
      <c r="L682">
        <v>150</v>
      </c>
      <c r="M682" s="4" t="s">
        <v>158</v>
      </c>
    </row>
    <row r="683" spans="1:13" x14ac:dyDescent="0.2">
      <c r="A683" s="4" t="s">
        <v>867</v>
      </c>
      <c r="B683">
        <v>682</v>
      </c>
      <c r="C683" s="4" t="s">
        <v>26</v>
      </c>
      <c r="D683" s="4" t="s">
        <v>35</v>
      </c>
      <c r="E683" s="4" t="s">
        <v>53</v>
      </c>
      <c r="F683" s="4" t="s">
        <v>95</v>
      </c>
      <c r="G683">
        <v>6</v>
      </c>
      <c r="H683">
        <v>29</v>
      </c>
      <c r="I683" s="4" t="s">
        <v>112</v>
      </c>
      <c r="J683" s="4" t="s">
        <v>129</v>
      </c>
      <c r="K683" s="4" t="s">
        <v>130</v>
      </c>
      <c r="L683">
        <v>40</v>
      </c>
      <c r="M683" s="4" t="s">
        <v>158</v>
      </c>
    </row>
    <row r="684" spans="1:13" x14ac:dyDescent="0.2">
      <c r="A684" s="4" t="s">
        <v>868</v>
      </c>
      <c r="B684">
        <v>683</v>
      </c>
      <c r="C684" s="4" t="s">
        <v>26</v>
      </c>
      <c r="D684" s="4" t="s">
        <v>35</v>
      </c>
      <c r="E684" s="4" t="s">
        <v>53</v>
      </c>
      <c r="F684" s="4" t="s">
        <v>95</v>
      </c>
      <c r="G684">
        <v>6</v>
      </c>
      <c r="H684">
        <v>29</v>
      </c>
      <c r="I684" s="4" t="s">
        <v>112</v>
      </c>
      <c r="J684" s="4" t="s">
        <v>131</v>
      </c>
      <c r="K684" s="4" t="s">
        <v>132</v>
      </c>
      <c r="L684">
        <v>60</v>
      </c>
      <c r="M684" s="4" t="s">
        <v>158</v>
      </c>
    </row>
    <row r="685" spans="1:13" x14ac:dyDescent="0.2">
      <c r="A685" s="4" t="s">
        <v>869</v>
      </c>
      <c r="B685">
        <v>684</v>
      </c>
      <c r="C685" s="4" t="s">
        <v>26</v>
      </c>
      <c r="D685" s="4" t="s">
        <v>35</v>
      </c>
      <c r="E685" s="4" t="s">
        <v>53</v>
      </c>
      <c r="F685" s="4" t="s">
        <v>95</v>
      </c>
      <c r="G685">
        <v>6</v>
      </c>
      <c r="H685">
        <v>29</v>
      </c>
      <c r="I685" s="4" t="s">
        <v>112</v>
      </c>
      <c r="J685" s="4" t="s">
        <v>133</v>
      </c>
      <c r="K685" s="4" t="s">
        <v>134</v>
      </c>
      <c r="L685">
        <v>60</v>
      </c>
      <c r="M685" s="4" t="s">
        <v>158</v>
      </c>
    </row>
    <row r="686" spans="1:13" x14ac:dyDescent="0.2">
      <c r="A686" s="4" t="s">
        <v>870</v>
      </c>
      <c r="B686">
        <v>685</v>
      </c>
      <c r="C686" s="4" t="s">
        <v>26</v>
      </c>
      <c r="D686" s="4" t="s">
        <v>35</v>
      </c>
      <c r="E686" s="4" t="s">
        <v>53</v>
      </c>
      <c r="F686" s="4" t="s">
        <v>95</v>
      </c>
      <c r="G686">
        <v>6</v>
      </c>
      <c r="H686">
        <v>29</v>
      </c>
      <c r="I686" s="4" t="s">
        <v>114</v>
      </c>
      <c r="J686" s="4" t="s">
        <v>122</v>
      </c>
      <c r="K686" s="4" t="s">
        <v>123</v>
      </c>
      <c r="L686">
        <v>39</v>
      </c>
      <c r="M686" s="4" t="s">
        <v>158</v>
      </c>
    </row>
    <row r="687" spans="1:13" x14ac:dyDescent="0.2">
      <c r="A687" s="4" t="s">
        <v>871</v>
      </c>
      <c r="B687">
        <v>686</v>
      </c>
      <c r="C687" s="4" t="s">
        <v>26</v>
      </c>
      <c r="D687" s="4" t="s">
        <v>35</v>
      </c>
      <c r="E687" s="4" t="s">
        <v>53</v>
      </c>
      <c r="F687" s="4" t="s">
        <v>95</v>
      </c>
      <c r="G687">
        <v>6</v>
      </c>
      <c r="H687">
        <v>29</v>
      </c>
      <c r="I687" s="4" t="s">
        <v>114</v>
      </c>
      <c r="J687" s="4" t="s">
        <v>125</v>
      </c>
      <c r="K687" s="4" t="s">
        <v>126</v>
      </c>
      <c r="L687">
        <v>11</v>
      </c>
      <c r="M687" s="4" t="s">
        <v>158</v>
      </c>
    </row>
    <row r="688" spans="1:13" x14ac:dyDescent="0.2">
      <c r="A688" s="4" t="s">
        <v>872</v>
      </c>
      <c r="B688">
        <v>687</v>
      </c>
      <c r="C688" s="4" t="s">
        <v>26</v>
      </c>
      <c r="D688" s="4" t="s">
        <v>35</v>
      </c>
      <c r="E688" s="4" t="s">
        <v>53</v>
      </c>
      <c r="F688" s="4" t="s">
        <v>95</v>
      </c>
      <c r="G688">
        <v>6</v>
      </c>
      <c r="H688">
        <v>29</v>
      </c>
      <c r="I688" s="4" t="s">
        <v>114</v>
      </c>
      <c r="J688" s="4" t="s">
        <v>127</v>
      </c>
      <c r="K688" s="4" t="s">
        <v>128</v>
      </c>
      <c r="L688">
        <v>109</v>
      </c>
      <c r="M688" s="4" t="s">
        <v>158</v>
      </c>
    </row>
    <row r="689" spans="1:13" x14ac:dyDescent="0.2">
      <c r="A689" s="4" t="s">
        <v>873</v>
      </c>
      <c r="B689">
        <v>688</v>
      </c>
      <c r="C689" s="4" t="s">
        <v>26</v>
      </c>
      <c r="D689" s="4" t="s">
        <v>35</v>
      </c>
      <c r="E689" s="4" t="s">
        <v>53</v>
      </c>
      <c r="F689" s="4" t="s">
        <v>95</v>
      </c>
      <c r="G689">
        <v>6</v>
      </c>
      <c r="H689">
        <v>29</v>
      </c>
      <c r="I689" s="4" t="s">
        <v>114</v>
      </c>
      <c r="J689" s="4" t="s">
        <v>129</v>
      </c>
      <c r="K689" s="4" t="s">
        <v>130</v>
      </c>
      <c r="L689">
        <v>40</v>
      </c>
      <c r="M689" s="4" t="s">
        <v>158</v>
      </c>
    </row>
    <row r="690" spans="1:13" x14ac:dyDescent="0.2">
      <c r="A690" s="4" t="s">
        <v>874</v>
      </c>
      <c r="B690">
        <v>689</v>
      </c>
      <c r="C690" s="4" t="s">
        <v>26</v>
      </c>
      <c r="D690" s="4" t="s">
        <v>35</v>
      </c>
      <c r="E690" s="4" t="s">
        <v>53</v>
      </c>
      <c r="F690" s="4" t="s">
        <v>95</v>
      </c>
      <c r="G690">
        <v>6</v>
      </c>
      <c r="H690">
        <v>29</v>
      </c>
      <c r="I690" s="4" t="s">
        <v>114</v>
      </c>
      <c r="J690" s="4" t="s">
        <v>131</v>
      </c>
      <c r="K690" s="4" t="s">
        <v>132</v>
      </c>
      <c r="L690">
        <v>56</v>
      </c>
      <c r="M690" s="4" t="s">
        <v>158</v>
      </c>
    </row>
    <row r="691" spans="1:13" x14ac:dyDescent="0.2">
      <c r="A691" s="4" t="s">
        <v>875</v>
      </c>
      <c r="B691">
        <v>690</v>
      </c>
      <c r="C691" s="4" t="s">
        <v>26</v>
      </c>
      <c r="D691" s="4" t="s">
        <v>35</v>
      </c>
      <c r="E691" s="4" t="s">
        <v>53</v>
      </c>
      <c r="F691" s="4" t="s">
        <v>95</v>
      </c>
      <c r="G691">
        <v>6</v>
      </c>
      <c r="H691">
        <v>29</v>
      </c>
      <c r="I691" s="4" t="s">
        <v>114</v>
      </c>
      <c r="J691" s="4" t="s">
        <v>133</v>
      </c>
      <c r="K691" s="4" t="s">
        <v>134</v>
      </c>
      <c r="L691">
        <v>0</v>
      </c>
      <c r="M691" s="4" t="s">
        <v>158</v>
      </c>
    </row>
    <row r="692" spans="1:13" x14ac:dyDescent="0.2">
      <c r="A692" s="4" t="s">
        <v>876</v>
      </c>
      <c r="B692">
        <v>691</v>
      </c>
      <c r="C692" s="4" t="s">
        <v>26</v>
      </c>
      <c r="D692" s="4" t="s">
        <v>35</v>
      </c>
      <c r="E692" s="4" t="s">
        <v>53</v>
      </c>
      <c r="F692" s="4" t="s">
        <v>95</v>
      </c>
      <c r="G692">
        <v>6</v>
      </c>
      <c r="H692">
        <v>29</v>
      </c>
      <c r="I692" s="4" t="s">
        <v>116</v>
      </c>
      <c r="J692" s="4" t="s">
        <v>122</v>
      </c>
      <c r="K692" s="4" t="s">
        <v>123</v>
      </c>
      <c r="L692">
        <v>19</v>
      </c>
      <c r="M692" s="4" t="s">
        <v>158</v>
      </c>
    </row>
    <row r="693" spans="1:13" x14ac:dyDescent="0.2">
      <c r="A693" s="4" t="s">
        <v>877</v>
      </c>
      <c r="B693">
        <v>692</v>
      </c>
      <c r="C693" s="4" t="s">
        <v>26</v>
      </c>
      <c r="D693" s="4" t="s">
        <v>35</v>
      </c>
      <c r="E693" s="4" t="s">
        <v>53</v>
      </c>
      <c r="F693" s="4" t="s">
        <v>95</v>
      </c>
      <c r="G693">
        <v>6</v>
      </c>
      <c r="H693">
        <v>29</v>
      </c>
      <c r="I693" s="4" t="s">
        <v>116</v>
      </c>
      <c r="J693" s="4" t="s">
        <v>125</v>
      </c>
      <c r="K693" s="4" t="s">
        <v>126</v>
      </c>
      <c r="L693">
        <v>40</v>
      </c>
      <c r="M693" s="4" t="s">
        <v>158</v>
      </c>
    </row>
    <row r="694" spans="1:13" x14ac:dyDescent="0.2">
      <c r="A694" s="4" t="s">
        <v>878</v>
      </c>
      <c r="B694">
        <v>693</v>
      </c>
      <c r="C694" s="4" t="s">
        <v>26</v>
      </c>
      <c r="D694" s="4" t="s">
        <v>35</v>
      </c>
      <c r="E694" s="4" t="s">
        <v>53</v>
      </c>
      <c r="F694" s="4" t="s">
        <v>95</v>
      </c>
      <c r="G694">
        <v>6</v>
      </c>
      <c r="H694">
        <v>29</v>
      </c>
      <c r="I694" s="4" t="s">
        <v>116</v>
      </c>
      <c r="J694" s="4" t="s">
        <v>127</v>
      </c>
      <c r="K694" s="4" t="s">
        <v>128</v>
      </c>
      <c r="L694">
        <v>75</v>
      </c>
      <c r="M694" s="4" t="s">
        <v>158</v>
      </c>
    </row>
    <row r="695" spans="1:13" x14ac:dyDescent="0.2">
      <c r="A695" s="4" t="s">
        <v>879</v>
      </c>
      <c r="B695">
        <v>694</v>
      </c>
      <c r="C695" s="4" t="s">
        <v>26</v>
      </c>
      <c r="D695" s="4" t="s">
        <v>35</v>
      </c>
      <c r="E695" s="4" t="s">
        <v>53</v>
      </c>
      <c r="F695" s="4" t="s">
        <v>95</v>
      </c>
      <c r="G695">
        <v>6</v>
      </c>
      <c r="H695">
        <v>29</v>
      </c>
      <c r="I695" s="4" t="s">
        <v>116</v>
      </c>
      <c r="J695" s="4" t="s">
        <v>129</v>
      </c>
      <c r="K695" s="4" t="s">
        <v>130</v>
      </c>
      <c r="L695">
        <v>100</v>
      </c>
      <c r="M695" s="4" t="s">
        <v>158</v>
      </c>
    </row>
    <row r="696" spans="1:13" x14ac:dyDescent="0.2">
      <c r="A696" s="4" t="s">
        <v>880</v>
      </c>
      <c r="B696">
        <v>695</v>
      </c>
      <c r="C696" s="4" t="s">
        <v>26</v>
      </c>
      <c r="D696" s="4" t="s">
        <v>35</v>
      </c>
      <c r="E696" s="4" t="s">
        <v>53</v>
      </c>
      <c r="F696" s="4" t="s">
        <v>95</v>
      </c>
      <c r="G696">
        <v>6</v>
      </c>
      <c r="H696">
        <v>29</v>
      </c>
      <c r="I696" s="4" t="s">
        <v>116</v>
      </c>
      <c r="J696" s="4" t="s">
        <v>131</v>
      </c>
      <c r="K696" s="4" t="s">
        <v>132</v>
      </c>
      <c r="L696">
        <v>40</v>
      </c>
      <c r="M696" s="4" t="s">
        <v>158</v>
      </c>
    </row>
    <row r="697" spans="1:13" x14ac:dyDescent="0.2">
      <c r="A697" s="4" t="s">
        <v>881</v>
      </c>
      <c r="B697">
        <v>696</v>
      </c>
      <c r="C697" s="4" t="s">
        <v>26</v>
      </c>
      <c r="D697" s="4" t="s">
        <v>35</v>
      </c>
      <c r="E697" s="4" t="s">
        <v>53</v>
      </c>
      <c r="F697" s="4" t="s">
        <v>95</v>
      </c>
      <c r="G697">
        <v>6</v>
      </c>
      <c r="H697">
        <v>29</v>
      </c>
      <c r="I697" s="4" t="s">
        <v>116</v>
      </c>
      <c r="J697" s="4" t="s">
        <v>133</v>
      </c>
      <c r="K697" s="4" t="s">
        <v>134</v>
      </c>
      <c r="L697">
        <v>40</v>
      </c>
      <c r="M697" s="4" t="s">
        <v>158</v>
      </c>
    </row>
    <row r="698" spans="1:13" x14ac:dyDescent="0.2">
      <c r="A698" s="4" t="s">
        <v>882</v>
      </c>
      <c r="B698">
        <v>697</v>
      </c>
      <c r="C698" s="4" t="s">
        <v>26</v>
      </c>
      <c r="D698" s="4" t="s">
        <v>35</v>
      </c>
      <c r="E698" s="4" t="s">
        <v>56</v>
      </c>
      <c r="F698" s="4" t="s">
        <v>97</v>
      </c>
      <c r="G698">
        <v>6</v>
      </c>
      <c r="H698">
        <v>30</v>
      </c>
      <c r="I698" s="4" t="s">
        <v>35</v>
      </c>
      <c r="J698" s="4" t="s">
        <v>122</v>
      </c>
      <c r="K698" s="4" t="s">
        <v>123</v>
      </c>
      <c r="L698">
        <v>379</v>
      </c>
      <c r="M698" s="4" t="s">
        <v>158</v>
      </c>
    </row>
    <row r="699" spans="1:13" x14ac:dyDescent="0.2">
      <c r="A699" s="4" t="s">
        <v>883</v>
      </c>
      <c r="B699">
        <v>698</v>
      </c>
      <c r="C699" s="4" t="s">
        <v>26</v>
      </c>
      <c r="D699" s="4" t="s">
        <v>35</v>
      </c>
      <c r="E699" s="4" t="s">
        <v>56</v>
      </c>
      <c r="F699" s="4" t="s">
        <v>97</v>
      </c>
      <c r="G699">
        <v>6</v>
      </c>
      <c r="H699">
        <v>30</v>
      </c>
      <c r="I699" s="4" t="s">
        <v>35</v>
      </c>
      <c r="J699" s="4" t="s">
        <v>125</v>
      </c>
      <c r="K699" s="4" t="s">
        <v>126</v>
      </c>
      <c r="L699">
        <v>223</v>
      </c>
      <c r="M699" s="4" t="s">
        <v>158</v>
      </c>
    </row>
    <row r="700" spans="1:13" x14ac:dyDescent="0.2">
      <c r="A700" s="4" t="s">
        <v>884</v>
      </c>
      <c r="B700">
        <v>699</v>
      </c>
      <c r="C700" s="4" t="s">
        <v>26</v>
      </c>
      <c r="D700" s="4" t="s">
        <v>35</v>
      </c>
      <c r="E700" s="4" t="s">
        <v>56</v>
      </c>
      <c r="F700" s="4" t="s">
        <v>97</v>
      </c>
      <c r="G700">
        <v>6</v>
      </c>
      <c r="H700">
        <v>30</v>
      </c>
      <c r="I700" s="4" t="s">
        <v>35</v>
      </c>
      <c r="J700" s="4" t="s">
        <v>127</v>
      </c>
      <c r="K700" s="4" t="s">
        <v>128</v>
      </c>
      <c r="L700">
        <v>519</v>
      </c>
      <c r="M700" s="4" t="s">
        <v>158</v>
      </c>
    </row>
    <row r="701" spans="1:13" x14ac:dyDescent="0.2">
      <c r="A701" s="4" t="s">
        <v>885</v>
      </c>
      <c r="B701">
        <v>700</v>
      </c>
      <c r="C701" s="4" t="s">
        <v>26</v>
      </c>
      <c r="D701" s="4" t="s">
        <v>35</v>
      </c>
      <c r="E701" s="4" t="s">
        <v>56</v>
      </c>
      <c r="F701" s="4" t="s">
        <v>97</v>
      </c>
      <c r="G701">
        <v>6</v>
      </c>
      <c r="H701">
        <v>30</v>
      </c>
      <c r="I701" s="4" t="s">
        <v>35</v>
      </c>
      <c r="J701" s="4" t="s">
        <v>129</v>
      </c>
      <c r="K701" s="4" t="s">
        <v>130</v>
      </c>
      <c r="L701">
        <v>145</v>
      </c>
      <c r="M701" s="4" t="s">
        <v>158</v>
      </c>
    </row>
    <row r="702" spans="1:13" x14ac:dyDescent="0.2">
      <c r="A702" s="4" t="s">
        <v>886</v>
      </c>
      <c r="B702">
        <v>701</v>
      </c>
      <c r="C702" s="4" t="s">
        <v>26</v>
      </c>
      <c r="D702" s="4" t="s">
        <v>35</v>
      </c>
      <c r="E702" s="4" t="s">
        <v>56</v>
      </c>
      <c r="F702" s="4" t="s">
        <v>97</v>
      </c>
      <c r="G702">
        <v>6</v>
      </c>
      <c r="H702">
        <v>30</v>
      </c>
      <c r="I702" s="4" t="s">
        <v>35</v>
      </c>
      <c r="J702" s="4" t="s">
        <v>131</v>
      </c>
      <c r="K702" s="4" t="s">
        <v>132</v>
      </c>
      <c r="L702">
        <v>210</v>
      </c>
      <c r="M702" s="4" t="s">
        <v>158</v>
      </c>
    </row>
    <row r="703" spans="1:13" x14ac:dyDescent="0.2">
      <c r="A703" s="4" t="s">
        <v>887</v>
      </c>
      <c r="B703">
        <v>702</v>
      </c>
      <c r="C703" s="4" t="s">
        <v>26</v>
      </c>
      <c r="D703" s="4" t="s">
        <v>35</v>
      </c>
      <c r="E703" s="4" t="s">
        <v>56</v>
      </c>
      <c r="F703" s="4" t="s">
        <v>97</v>
      </c>
      <c r="G703">
        <v>6</v>
      </c>
      <c r="H703">
        <v>30</v>
      </c>
      <c r="I703" s="4" t="s">
        <v>35</v>
      </c>
      <c r="J703" s="4" t="s">
        <v>133</v>
      </c>
      <c r="K703" s="4" t="s">
        <v>134</v>
      </c>
      <c r="L703">
        <v>274</v>
      </c>
      <c r="M703" s="4" t="s">
        <v>158</v>
      </c>
    </row>
    <row r="704" spans="1:13" x14ac:dyDescent="0.2">
      <c r="A704" s="4" t="s">
        <v>888</v>
      </c>
      <c r="B704">
        <v>703</v>
      </c>
      <c r="C704" s="4" t="s">
        <v>26</v>
      </c>
      <c r="D704" s="4" t="s">
        <v>35</v>
      </c>
      <c r="E704" s="4" t="s">
        <v>56</v>
      </c>
      <c r="F704" s="4" t="s">
        <v>97</v>
      </c>
      <c r="G704">
        <v>6</v>
      </c>
      <c r="H704">
        <v>30</v>
      </c>
      <c r="I704" s="4" t="s">
        <v>112</v>
      </c>
      <c r="J704" s="4" t="s">
        <v>122</v>
      </c>
      <c r="K704" s="4" t="s">
        <v>123</v>
      </c>
      <c r="L704">
        <v>145</v>
      </c>
      <c r="M704" s="4" t="s">
        <v>158</v>
      </c>
    </row>
    <row r="705" spans="1:13" x14ac:dyDescent="0.2">
      <c r="A705" s="4" t="s">
        <v>889</v>
      </c>
      <c r="B705">
        <v>704</v>
      </c>
      <c r="C705" s="4" t="s">
        <v>26</v>
      </c>
      <c r="D705" s="4" t="s">
        <v>35</v>
      </c>
      <c r="E705" s="4" t="s">
        <v>56</v>
      </c>
      <c r="F705" s="4" t="s">
        <v>97</v>
      </c>
      <c r="G705">
        <v>6</v>
      </c>
      <c r="H705">
        <v>30</v>
      </c>
      <c r="I705" s="4" t="s">
        <v>112</v>
      </c>
      <c r="J705" s="4" t="s">
        <v>125</v>
      </c>
      <c r="K705" s="4" t="s">
        <v>126</v>
      </c>
      <c r="L705">
        <v>50</v>
      </c>
      <c r="M705" s="4" t="s">
        <v>158</v>
      </c>
    </row>
    <row r="706" spans="1:13" x14ac:dyDescent="0.2">
      <c r="A706" s="4" t="s">
        <v>890</v>
      </c>
      <c r="B706">
        <v>705</v>
      </c>
      <c r="C706" s="4" t="s">
        <v>26</v>
      </c>
      <c r="D706" s="4" t="s">
        <v>35</v>
      </c>
      <c r="E706" s="4" t="s">
        <v>56</v>
      </c>
      <c r="F706" s="4" t="s">
        <v>97</v>
      </c>
      <c r="G706">
        <v>6</v>
      </c>
      <c r="H706">
        <v>30</v>
      </c>
      <c r="I706" s="4" t="s">
        <v>112</v>
      </c>
      <c r="J706" s="4" t="s">
        <v>127</v>
      </c>
      <c r="K706" s="4" t="s">
        <v>128</v>
      </c>
      <c r="L706">
        <v>100</v>
      </c>
      <c r="M706" s="4" t="s">
        <v>158</v>
      </c>
    </row>
    <row r="707" spans="1:13" x14ac:dyDescent="0.2">
      <c r="A707" s="4" t="s">
        <v>891</v>
      </c>
      <c r="B707">
        <v>706</v>
      </c>
      <c r="C707" s="4" t="s">
        <v>26</v>
      </c>
      <c r="D707" s="4" t="s">
        <v>35</v>
      </c>
      <c r="E707" s="4" t="s">
        <v>56</v>
      </c>
      <c r="F707" s="4" t="s">
        <v>97</v>
      </c>
      <c r="G707">
        <v>6</v>
      </c>
      <c r="H707">
        <v>30</v>
      </c>
      <c r="I707" s="4" t="s">
        <v>112</v>
      </c>
      <c r="J707" s="4" t="s">
        <v>129</v>
      </c>
      <c r="K707" s="4" t="s">
        <v>130</v>
      </c>
      <c r="L707">
        <v>22</v>
      </c>
      <c r="M707" s="4" t="s">
        <v>158</v>
      </c>
    </row>
    <row r="708" spans="1:13" x14ac:dyDescent="0.2">
      <c r="A708" s="4" t="s">
        <v>892</v>
      </c>
      <c r="B708">
        <v>707</v>
      </c>
      <c r="C708" s="4" t="s">
        <v>26</v>
      </c>
      <c r="D708" s="4" t="s">
        <v>35</v>
      </c>
      <c r="E708" s="4" t="s">
        <v>56</v>
      </c>
      <c r="F708" s="4" t="s">
        <v>97</v>
      </c>
      <c r="G708">
        <v>6</v>
      </c>
      <c r="H708">
        <v>30</v>
      </c>
      <c r="I708" s="4" t="s">
        <v>112</v>
      </c>
      <c r="J708" s="4" t="s">
        <v>131</v>
      </c>
      <c r="K708" s="4" t="s">
        <v>132</v>
      </c>
      <c r="L708">
        <v>31</v>
      </c>
      <c r="M708" s="4" t="s">
        <v>158</v>
      </c>
    </row>
    <row r="709" spans="1:13" x14ac:dyDescent="0.2">
      <c r="A709" s="4" t="s">
        <v>893</v>
      </c>
      <c r="B709">
        <v>708</v>
      </c>
      <c r="C709" s="4" t="s">
        <v>26</v>
      </c>
      <c r="D709" s="4" t="s">
        <v>35</v>
      </c>
      <c r="E709" s="4" t="s">
        <v>56</v>
      </c>
      <c r="F709" s="4" t="s">
        <v>97</v>
      </c>
      <c r="G709">
        <v>6</v>
      </c>
      <c r="H709">
        <v>30</v>
      </c>
      <c r="I709" s="4" t="s">
        <v>112</v>
      </c>
      <c r="J709" s="4" t="s">
        <v>133</v>
      </c>
      <c r="K709" s="4" t="s">
        <v>134</v>
      </c>
      <c r="L709">
        <v>60</v>
      </c>
      <c r="M709" s="4" t="s">
        <v>158</v>
      </c>
    </row>
    <row r="710" spans="1:13" x14ac:dyDescent="0.2">
      <c r="A710" s="4" t="s">
        <v>894</v>
      </c>
      <c r="B710">
        <v>709</v>
      </c>
      <c r="C710" s="4" t="s">
        <v>26</v>
      </c>
      <c r="D710" s="4" t="s">
        <v>35</v>
      </c>
      <c r="E710" s="4" t="s">
        <v>56</v>
      </c>
      <c r="F710" s="4" t="s">
        <v>97</v>
      </c>
      <c r="G710">
        <v>6</v>
      </c>
      <c r="H710">
        <v>30</v>
      </c>
      <c r="I710" s="4" t="s">
        <v>114</v>
      </c>
      <c r="J710" s="4" t="s">
        <v>122</v>
      </c>
      <c r="K710" s="4" t="s">
        <v>123</v>
      </c>
      <c r="L710">
        <v>61</v>
      </c>
      <c r="M710" s="4" t="s">
        <v>158</v>
      </c>
    </row>
    <row r="711" spans="1:13" x14ac:dyDescent="0.2">
      <c r="A711" s="4" t="s">
        <v>895</v>
      </c>
      <c r="B711">
        <v>710</v>
      </c>
      <c r="C711" s="4" t="s">
        <v>26</v>
      </c>
      <c r="D711" s="4" t="s">
        <v>35</v>
      </c>
      <c r="E711" s="4" t="s">
        <v>56</v>
      </c>
      <c r="F711" s="4" t="s">
        <v>97</v>
      </c>
      <c r="G711">
        <v>6</v>
      </c>
      <c r="H711">
        <v>30</v>
      </c>
      <c r="I711" s="4" t="s">
        <v>114</v>
      </c>
      <c r="J711" s="4" t="s">
        <v>125</v>
      </c>
      <c r="K711" s="4" t="s">
        <v>126</v>
      </c>
      <c r="L711">
        <v>40</v>
      </c>
      <c r="M711" s="4" t="s">
        <v>158</v>
      </c>
    </row>
    <row r="712" spans="1:13" x14ac:dyDescent="0.2">
      <c r="A712" s="4" t="s">
        <v>896</v>
      </c>
      <c r="B712">
        <v>711</v>
      </c>
      <c r="C712" s="4" t="s">
        <v>26</v>
      </c>
      <c r="D712" s="4" t="s">
        <v>35</v>
      </c>
      <c r="E712" s="4" t="s">
        <v>56</v>
      </c>
      <c r="F712" s="4" t="s">
        <v>97</v>
      </c>
      <c r="G712">
        <v>6</v>
      </c>
      <c r="H712">
        <v>30</v>
      </c>
      <c r="I712" s="4" t="s">
        <v>114</v>
      </c>
      <c r="J712" s="4" t="s">
        <v>127</v>
      </c>
      <c r="K712" s="4" t="s">
        <v>128</v>
      </c>
      <c r="L712">
        <v>66</v>
      </c>
      <c r="M712" s="4" t="s">
        <v>158</v>
      </c>
    </row>
    <row r="713" spans="1:13" x14ac:dyDescent="0.2">
      <c r="A713" s="4" t="s">
        <v>897</v>
      </c>
      <c r="B713">
        <v>712</v>
      </c>
      <c r="C713" s="4" t="s">
        <v>26</v>
      </c>
      <c r="D713" s="4" t="s">
        <v>35</v>
      </c>
      <c r="E713" s="4" t="s">
        <v>56</v>
      </c>
      <c r="F713" s="4" t="s">
        <v>97</v>
      </c>
      <c r="G713">
        <v>6</v>
      </c>
      <c r="H713">
        <v>30</v>
      </c>
      <c r="I713" s="4" t="s">
        <v>114</v>
      </c>
      <c r="J713" s="4" t="s">
        <v>129</v>
      </c>
      <c r="K713" s="4" t="s">
        <v>130</v>
      </c>
      <c r="L713">
        <v>40</v>
      </c>
      <c r="M713" s="4" t="s">
        <v>158</v>
      </c>
    </row>
    <row r="714" spans="1:13" x14ac:dyDescent="0.2">
      <c r="A714" s="4" t="s">
        <v>898</v>
      </c>
      <c r="B714">
        <v>713</v>
      </c>
      <c r="C714" s="4" t="s">
        <v>26</v>
      </c>
      <c r="D714" s="4" t="s">
        <v>35</v>
      </c>
      <c r="E714" s="4" t="s">
        <v>56</v>
      </c>
      <c r="F714" s="4" t="s">
        <v>97</v>
      </c>
      <c r="G714">
        <v>6</v>
      </c>
      <c r="H714">
        <v>30</v>
      </c>
      <c r="I714" s="4" t="s">
        <v>114</v>
      </c>
      <c r="J714" s="4" t="s">
        <v>131</v>
      </c>
      <c r="K714" s="4" t="s">
        <v>132</v>
      </c>
      <c r="L714">
        <v>14</v>
      </c>
      <c r="M714" s="4" t="s">
        <v>158</v>
      </c>
    </row>
    <row r="715" spans="1:13" x14ac:dyDescent="0.2">
      <c r="A715" s="4" t="s">
        <v>899</v>
      </c>
      <c r="B715">
        <v>714</v>
      </c>
      <c r="C715" s="4" t="s">
        <v>26</v>
      </c>
      <c r="D715" s="4" t="s">
        <v>35</v>
      </c>
      <c r="E715" s="4" t="s">
        <v>56</v>
      </c>
      <c r="F715" s="4" t="s">
        <v>97</v>
      </c>
      <c r="G715">
        <v>6</v>
      </c>
      <c r="H715">
        <v>30</v>
      </c>
      <c r="I715" s="4" t="s">
        <v>114</v>
      </c>
      <c r="J715" s="4" t="s">
        <v>133</v>
      </c>
      <c r="K715" s="4" t="s">
        <v>134</v>
      </c>
      <c r="L715">
        <v>40</v>
      </c>
      <c r="M715" s="4" t="s">
        <v>158</v>
      </c>
    </row>
    <row r="716" spans="1:13" x14ac:dyDescent="0.2">
      <c r="A716" s="4" t="s">
        <v>900</v>
      </c>
      <c r="B716">
        <v>715</v>
      </c>
      <c r="C716" s="4" t="s">
        <v>26</v>
      </c>
      <c r="D716" s="4" t="s">
        <v>35</v>
      </c>
      <c r="E716" s="4" t="s">
        <v>56</v>
      </c>
      <c r="F716" s="4" t="s">
        <v>97</v>
      </c>
      <c r="G716">
        <v>6</v>
      </c>
      <c r="H716">
        <v>30</v>
      </c>
      <c r="I716" s="4" t="s">
        <v>116</v>
      </c>
      <c r="J716" s="4" t="s">
        <v>122</v>
      </c>
      <c r="K716" s="4" t="s">
        <v>123</v>
      </c>
      <c r="L716">
        <v>75</v>
      </c>
      <c r="M716" s="4" t="s">
        <v>158</v>
      </c>
    </row>
    <row r="717" spans="1:13" x14ac:dyDescent="0.2">
      <c r="A717" s="4" t="s">
        <v>901</v>
      </c>
      <c r="B717">
        <v>716</v>
      </c>
      <c r="C717" s="4" t="s">
        <v>26</v>
      </c>
      <c r="D717" s="4" t="s">
        <v>35</v>
      </c>
      <c r="E717" s="4" t="s">
        <v>56</v>
      </c>
      <c r="F717" s="4" t="s">
        <v>97</v>
      </c>
      <c r="G717">
        <v>6</v>
      </c>
      <c r="H717">
        <v>30</v>
      </c>
      <c r="I717" s="4" t="s">
        <v>116</v>
      </c>
      <c r="J717" s="4" t="s">
        <v>125</v>
      </c>
      <c r="K717" s="4" t="s">
        <v>126</v>
      </c>
      <c r="L717">
        <v>40</v>
      </c>
      <c r="M717" s="4" t="s">
        <v>158</v>
      </c>
    </row>
    <row r="718" spans="1:13" x14ac:dyDescent="0.2">
      <c r="A718" s="4" t="s">
        <v>902</v>
      </c>
      <c r="B718">
        <v>717</v>
      </c>
      <c r="C718" s="4" t="s">
        <v>26</v>
      </c>
      <c r="D718" s="4" t="s">
        <v>35</v>
      </c>
      <c r="E718" s="4" t="s">
        <v>56</v>
      </c>
      <c r="F718" s="4" t="s">
        <v>97</v>
      </c>
      <c r="G718">
        <v>6</v>
      </c>
      <c r="H718">
        <v>30</v>
      </c>
      <c r="I718" s="4" t="s">
        <v>116</v>
      </c>
      <c r="J718" s="4" t="s">
        <v>127</v>
      </c>
      <c r="K718" s="4" t="s">
        <v>128</v>
      </c>
      <c r="L718">
        <v>75</v>
      </c>
      <c r="M718" s="4" t="s">
        <v>158</v>
      </c>
    </row>
    <row r="719" spans="1:13" x14ac:dyDescent="0.2">
      <c r="A719" s="4" t="s">
        <v>903</v>
      </c>
      <c r="B719">
        <v>718</v>
      </c>
      <c r="C719" s="4" t="s">
        <v>26</v>
      </c>
      <c r="D719" s="4" t="s">
        <v>35</v>
      </c>
      <c r="E719" s="4" t="s">
        <v>56</v>
      </c>
      <c r="F719" s="4" t="s">
        <v>97</v>
      </c>
      <c r="G719">
        <v>6</v>
      </c>
      <c r="H719">
        <v>30</v>
      </c>
      <c r="I719" s="4" t="s">
        <v>116</v>
      </c>
      <c r="J719" s="4" t="s">
        <v>129</v>
      </c>
      <c r="K719" s="4" t="s">
        <v>130</v>
      </c>
      <c r="L719">
        <v>78</v>
      </c>
      <c r="M719" s="4" t="s">
        <v>158</v>
      </c>
    </row>
    <row r="720" spans="1:13" x14ac:dyDescent="0.2">
      <c r="A720" s="4" t="s">
        <v>904</v>
      </c>
      <c r="B720">
        <v>719</v>
      </c>
      <c r="C720" s="4" t="s">
        <v>26</v>
      </c>
      <c r="D720" s="4" t="s">
        <v>35</v>
      </c>
      <c r="E720" s="4" t="s">
        <v>56</v>
      </c>
      <c r="F720" s="4" t="s">
        <v>97</v>
      </c>
      <c r="G720">
        <v>6</v>
      </c>
      <c r="H720">
        <v>30</v>
      </c>
      <c r="I720" s="4" t="s">
        <v>116</v>
      </c>
      <c r="J720" s="4" t="s">
        <v>131</v>
      </c>
      <c r="K720" s="4" t="s">
        <v>132</v>
      </c>
      <c r="L720">
        <v>40</v>
      </c>
      <c r="M720" s="4" t="s">
        <v>158</v>
      </c>
    </row>
    <row r="721" spans="1:13" x14ac:dyDescent="0.2">
      <c r="A721" s="4" t="s">
        <v>905</v>
      </c>
      <c r="B721">
        <v>720</v>
      </c>
      <c r="C721" s="4" t="s">
        <v>26</v>
      </c>
      <c r="D721" s="4" t="s">
        <v>35</v>
      </c>
      <c r="E721" s="4" t="s">
        <v>56</v>
      </c>
      <c r="F721" s="4" t="s">
        <v>97</v>
      </c>
      <c r="G721">
        <v>6</v>
      </c>
      <c r="H721">
        <v>30</v>
      </c>
      <c r="I721" s="4" t="s">
        <v>116</v>
      </c>
      <c r="J721" s="4" t="s">
        <v>133</v>
      </c>
      <c r="K721" s="4" t="s">
        <v>134</v>
      </c>
      <c r="L721">
        <v>40</v>
      </c>
      <c r="M721" s="4" t="s">
        <v>158</v>
      </c>
    </row>
    <row r="722" spans="1:13" x14ac:dyDescent="0.2">
      <c r="A722" s="4" t="s">
        <v>906</v>
      </c>
      <c r="B722">
        <v>721</v>
      </c>
      <c r="C722" s="4" t="s">
        <v>26</v>
      </c>
      <c r="D722" s="4" t="s">
        <v>38</v>
      </c>
      <c r="E722" s="4" t="s">
        <v>27</v>
      </c>
      <c r="F722" s="4" t="s">
        <v>907</v>
      </c>
      <c r="G722">
        <v>7</v>
      </c>
      <c r="H722">
        <v>31</v>
      </c>
      <c r="I722" s="4" t="s">
        <v>35</v>
      </c>
      <c r="J722" s="4" t="s">
        <v>122</v>
      </c>
      <c r="K722" s="4" t="s">
        <v>123</v>
      </c>
      <c r="L722">
        <v>265</v>
      </c>
      <c r="M722" s="4" t="s">
        <v>158</v>
      </c>
    </row>
    <row r="723" spans="1:13" x14ac:dyDescent="0.2">
      <c r="A723" s="4" t="s">
        <v>908</v>
      </c>
      <c r="B723">
        <v>722</v>
      </c>
      <c r="C723" s="4" t="s">
        <v>26</v>
      </c>
      <c r="D723" s="4" t="s">
        <v>38</v>
      </c>
      <c r="E723" s="4" t="s">
        <v>27</v>
      </c>
      <c r="F723" s="4" t="s">
        <v>907</v>
      </c>
      <c r="G723">
        <v>7</v>
      </c>
      <c r="H723">
        <v>31</v>
      </c>
      <c r="I723" s="4" t="s">
        <v>35</v>
      </c>
      <c r="J723" s="4" t="s">
        <v>125</v>
      </c>
      <c r="K723" s="4" t="s">
        <v>126</v>
      </c>
      <c r="L723">
        <v>223</v>
      </c>
      <c r="M723" s="4" t="s">
        <v>158</v>
      </c>
    </row>
    <row r="724" spans="1:13" x14ac:dyDescent="0.2">
      <c r="A724" s="4" t="s">
        <v>909</v>
      </c>
      <c r="B724">
        <v>723</v>
      </c>
      <c r="C724" s="4" t="s">
        <v>26</v>
      </c>
      <c r="D724" s="4" t="s">
        <v>38</v>
      </c>
      <c r="E724" s="4" t="s">
        <v>27</v>
      </c>
      <c r="F724" s="4" t="s">
        <v>907</v>
      </c>
      <c r="G724">
        <v>7</v>
      </c>
      <c r="H724">
        <v>31</v>
      </c>
      <c r="I724" s="4" t="s">
        <v>35</v>
      </c>
      <c r="J724" s="4" t="s">
        <v>127</v>
      </c>
      <c r="K724" s="4" t="s">
        <v>128</v>
      </c>
      <c r="L724">
        <v>360</v>
      </c>
      <c r="M724" s="4" t="s">
        <v>158</v>
      </c>
    </row>
    <row r="725" spans="1:13" x14ac:dyDescent="0.2">
      <c r="A725" s="4" t="s">
        <v>910</v>
      </c>
      <c r="B725">
        <v>724</v>
      </c>
      <c r="C725" s="4" t="s">
        <v>26</v>
      </c>
      <c r="D725" s="4" t="s">
        <v>38</v>
      </c>
      <c r="E725" s="4" t="s">
        <v>27</v>
      </c>
      <c r="F725" s="4" t="s">
        <v>907</v>
      </c>
      <c r="G725">
        <v>7</v>
      </c>
      <c r="H725">
        <v>31</v>
      </c>
      <c r="I725" s="4" t="s">
        <v>35</v>
      </c>
      <c r="J725" s="4" t="s">
        <v>129</v>
      </c>
      <c r="K725" s="4" t="s">
        <v>130</v>
      </c>
      <c r="L725">
        <v>105</v>
      </c>
      <c r="M725" s="4" t="s">
        <v>158</v>
      </c>
    </row>
    <row r="726" spans="1:13" x14ac:dyDescent="0.2">
      <c r="A726" s="4" t="s">
        <v>911</v>
      </c>
      <c r="B726">
        <v>725</v>
      </c>
      <c r="C726" s="4" t="s">
        <v>26</v>
      </c>
      <c r="D726" s="4" t="s">
        <v>38</v>
      </c>
      <c r="E726" s="4" t="s">
        <v>27</v>
      </c>
      <c r="F726" s="4" t="s">
        <v>907</v>
      </c>
      <c r="G726">
        <v>7</v>
      </c>
      <c r="H726">
        <v>31</v>
      </c>
      <c r="I726" s="4" t="s">
        <v>35</v>
      </c>
      <c r="J726" s="4" t="s">
        <v>131</v>
      </c>
      <c r="K726" s="4" t="s">
        <v>132</v>
      </c>
      <c r="L726">
        <v>125</v>
      </c>
      <c r="M726" s="4" t="s">
        <v>158</v>
      </c>
    </row>
    <row r="727" spans="1:13" x14ac:dyDescent="0.2">
      <c r="A727" s="4" t="s">
        <v>912</v>
      </c>
      <c r="B727">
        <v>726</v>
      </c>
      <c r="C727" s="4" t="s">
        <v>26</v>
      </c>
      <c r="D727" s="4" t="s">
        <v>38</v>
      </c>
      <c r="E727" s="4" t="s">
        <v>27</v>
      </c>
      <c r="F727" s="4" t="s">
        <v>907</v>
      </c>
      <c r="G727">
        <v>7</v>
      </c>
      <c r="H727">
        <v>31</v>
      </c>
      <c r="I727" s="4" t="s">
        <v>35</v>
      </c>
      <c r="J727" s="4" t="s">
        <v>133</v>
      </c>
      <c r="K727" s="4" t="s">
        <v>134</v>
      </c>
      <c r="L727">
        <v>274</v>
      </c>
      <c r="M727" s="4" t="s">
        <v>158</v>
      </c>
    </row>
    <row r="728" spans="1:13" x14ac:dyDescent="0.2">
      <c r="A728" s="4" t="s">
        <v>913</v>
      </c>
      <c r="B728">
        <v>727</v>
      </c>
      <c r="C728" s="4" t="s">
        <v>26</v>
      </c>
      <c r="D728" s="4" t="s">
        <v>38</v>
      </c>
      <c r="E728" s="4" t="s">
        <v>27</v>
      </c>
      <c r="F728" s="4" t="s">
        <v>907</v>
      </c>
      <c r="G728">
        <v>7</v>
      </c>
      <c r="H728">
        <v>31</v>
      </c>
      <c r="I728" s="4" t="s">
        <v>112</v>
      </c>
      <c r="J728" s="4" t="s">
        <v>122</v>
      </c>
      <c r="K728" s="4" t="s">
        <v>123</v>
      </c>
      <c r="L728">
        <v>79</v>
      </c>
      <c r="M728" s="4" t="s">
        <v>158</v>
      </c>
    </row>
    <row r="729" spans="1:13" x14ac:dyDescent="0.2">
      <c r="A729" s="4" t="s">
        <v>914</v>
      </c>
      <c r="B729">
        <v>728</v>
      </c>
      <c r="C729" s="4" t="s">
        <v>26</v>
      </c>
      <c r="D729" s="4" t="s">
        <v>38</v>
      </c>
      <c r="E729" s="4" t="s">
        <v>27</v>
      </c>
      <c r="F729" s="4" t="s">
        <v>907</v>
      </c>
      <c r="G729">
        <v>7</v>
      </c>
      <c r="H729">
        <v>31</v>
      </c>
      <c r="I729" s="4" t="s">
        <v>112</v>
      </c>
      <c r="J729" s="4" t="s">
        <v>125</v>
      </c>
      <c r="K729" s="4" t="s">
        <v>126</v>
      </c>
      <c r="L729">
        <v>27</v>
      </c>
      <c r="M729" s="4" t="s">
        <v>158</v>
      </c>
    </row>
    <row r="730" spans="1:13" x14ac:dyDescent="0.2">
      <c r="A730" s="4" t="s">
        <v>915</v>
      </c>
      <c r="B730">
        <v>729</v>
      </c>
      <c r="C730" s="4" t="s">
        <v>26</v>
      </c>
      <c r="D730" s="4" t="s">
        <v>38</v>
      </c>
      <c r="E730" s="4" t="s">
        <v>27</v>
      </c>
      <c r="F730" s="4" t="s">
        <v>907</v>
      </c>
      <c r="G730">
        <v>7</v>
      </c>
      <c r="H730">
        <v>31</v>
      </c>
      <c r="I730" s="4" t="s">
        <v>112</v>
      </c>
      <c r="J730" s="4" t="s">
        <v>127</v>
      </c>
      <c r="K730" s="4" t="s">
        <v>128</v>
      </c>
      <c r="L730">
        <v>150</v>
      </c>
      <c r="M730" s="4" t="s">
        <v>158</v>
      </c>
    </row>
    <row r="731" spans="1:13" x14ac:dyDescent="0.2">
      <c r="A731" s="4" t="s">
        <v>916</v>
      </c>
      <c r="B731">
        <v>730</v>
      </c>
      <c r="C731" s="4" t="s">
        <v>26</v>
      </c>
      <c r="D731" s="4" t="s">
        <v>38</v>
      </c>
      <c r="E731" s="4" t="s">
        <v>27</v>
      </c>
      <c r="F731" s="4" t="s">
        <v>907</v>
      </c>
      <c r="G731">
        <v>7</v>
      </c>
      <c r="H731">
        <v>31</v>
      </c>
      <c r="I731" s="4" t="s">
        <v>112</v>
      </c>
      <c r="J731" s="4" t="s">
        <v>129</v>
      </c>
      <c r="K731" s="4" t="s">
        <v>130</v>
      </c>
      <c r="L731">
        <v>40</v>
      </c>
      <c r="M731" s="4" t="s">
        <v>158</v>
      </c>
    </row>
    <row r="732" spans="1:13" x14ac:dyDescent="0.2">
      <c r="A732" s="4" t="s">
        <v>917</v>
      </c>
      <c r="B732">
        <v>731</v>
      </c>
      <c r="C732" s="4" t="s">
        <v>26</v>
      </c>
      <c r="D732" s="4" t="s">
        <v>38</v>
      </c>
      <c r="E732" s="4" t="s">
        <v>27</v>
      </c>
      <c r="F732" s="4" t="s">
        <v>907</v>
      </c>
      <c r="G732">
        <v>7</v>
      </c>
      <c r="H732">
        <v>31</v>
      </c>
      <c r="I732" s="4" t="s">
        <v>112</v>
      </c>
      <c r="J732" s="4" t="s">
        <v>131</v>
      </c>
      <c r="K732" s="4" t="s">
        <v>132</v>
      </c>
      <c r="L732">
        <v>60</v>
      </c>
      <c r="M732" s="4" t="s">
        <v>158</v>
      </c>
    </row>
    <row r="733" spans="1:13" x14ac:dyDescent="0.2">
      <c r="A733" s="4" t="s">
        <v>918</v>
      </c>
      <c r="B733">
        <v>732</v>
      </c>
      <c r="C733" s="4" t="s">
        <v>26</v>
      </c>
      <c r="D733" s="4" t="s">
        <v>38</v>
      </c>
      <c r="E733" s="4" t="s">
        <v>27</v>
      </c>
      <c r="F733" s="4" t="s">
        <v>907</v>
      </c>
      <c r="G733">
        <v>7</v>
      </c>
      <c r="H733">
        <v>31</v>
      </c>
      <c r="I733" s="4" t="s">
        <v>112</v>
      </c>
      <c r="J733" s="4" t="s">
        <v>133</v>
      </c>
      <c r="K733" s="4" t="s">
        <v>134</v>
      </c>
      <c r="L733">
        <v>19</v>
      </c>
      <c r="M733" s="4" t="s">
        <v>158</v>
      </c>
    </row>
    <row r="734" spans="1:13" x14ac:dyDescent="0.2">
      <c r="A734" s="4" t="s">
        <v>919</v>
      </c>
      <c r="B734">
        <v>733</v>
      </c>
      <c r="C734" s="4" t="s">
        <v>26</v>
      </c>
      <c r="D734" s="4" t="s">
        <v>38</v>
      </c>
      <c r="E734" s="4" t="s">
        <v>27</v>
      </c>
      <c r="F734" s="4" t="s">
        <v>907</v>
      </c>
      <c r="G734">
        <v>7</v>
      </c>
      <c r="H734">
        <v>31</v>
      </c>
      <c r="I734" s="4" t="s">
        <v>114</v>
      </c>
      <c r="J734" s="4" t="s">
        <v>122</v>
      </c>
      <c r="K734" s="4" t="s">
        <v>123</v>
      </c>
      <c r="L734">
        <v>100</v>
      </c>
      <c r="M734" s="4" t="s">
        <v>158</v>
      </c>
    </row>
    <row r="735" spans="1:13" x14ac:dyDescent="0.2">
      <c r="A735" s="4" t="s">
        <v>920</v>
      </c>
      <c r="B735">
        <v>734</v>
      </c>
      <c r="C735" s="4" t="s">
        <v>26</v>
      </c>
      <c r="D735" s="4" t="s">
        <v>38</v>
      </c>
      <c r="E735" s="4" t="s">
        <v>27</v>
      </c>
      <c r="F735" s="4" t="s">
        <v>907</v>
      </c>
      <c r="G735">
        <v>7</v>
      </c>
      <c r="H735">
        <v>31</v>
      </c>
      <c r="I735" s="4" t="s">
        <v>114</v>
      </c>
      <c r="J735" s="4" t="s">
        <v>125</v>
      </c>
      <c r="K735" s="4" t="s">
        <v>126</v>
      </c>
      <c r="L735">
        <v>40</v>
      </c>
      <c r="M735" s="4" t="s">
        <v>158</v>
      </c>
    </row>
    <row r="736" spans="1:13" x14ac:dyDescent="0.2">
      <c r="A736" s="4" t="s">
        <v>921</v>
      </c>
      <c r="B736">
        <v>735</v>
      </c>
      <c r="C736" s="4" t="s">
        <v>26</v>
      </c>
      <c r="D736" s="4" t="s">
        <v>38</v>
      </c>
      <c r="E736" s="4" t="s">
        <v>27</v>
      </c>
      <c r="F736" s="4" t="s">
        <v>907</v>
      </c>
      <c r="G736">
        <v>7</v>
      </c>
      <c r="H736">
        <v>31</v>
      </c>
      <c r="I736" s="4" t="s">
        <v>114</v>
      </c>
      <c r="J736" s="4" t="s">
        <v>127</v>
      </c>
      <c r="K736" s="4" t="s">
        <v>128</v>
      </c>
      <c r="L736">
        <v>123</v>
      </c>
      <c r="M736" s="4" t="s">
        <v>158</v>
      </c>
    </row>
    <row r="737" spans="1:13" x14ac:dyDescent="0.2">
      <c r="A737" s="4" t="s">
        <v>922</v>
      </c>
      <c r="B737">
        <v>736</v>
      </c>
      <c r="C737" s="4" t="s">
        <v>26</v>
      </c>
      <c r="D737" s="4" t="s">
        <v>38</v>
      </c>
      <c r="E737" s="4" t="s">
        <v>27</v>
      </c>
      <c r="F737" s="4" t="s">
        <v>907</v>
      </c>
      <c r="G737">
        <v>7</v>
      </c>
      <c r="H737">
        <v>31</v>
      </c>
      <c r="I737" s="4" t="s">
        <v>114</v>
      </c>
      <c r="J737" s="4" t="s">
        <v>129</v>
      </c>
      <c r="K737" s="4" t="s">
        <v>130</v>
      </c>
      <c r="L737">
        <v>40</v>
      </c>
      <c r="M737" s="4" t="s">
        <v>158</v>
      </c>
    </row>
    <row r="738" spans="1:13" x14ac:dyDescent="0.2">
      <c r="A738" s="4" t="s">
        <v>923</v>
      </c>
      <c r="B738">
        <v>737</v>
      </c>
      <c r="C738" s="4" t="s">
        <v>26</v>
      </c>
      <c r="D738" s="4" t="s">
        <v>38</v>
      </c>
      <c r="E738" s="4" t="s">
        <v>27</v>
      </c>
      <c r="F738" s="4" t="s">
        <v>907</v>
      </c>
      <c r="G738">
        <v>7</v>
      </c>
      <c r="H738">
        <v>31</v>
      </c>
      <c r="I738" s="4" t="s">
        <v>114</v>
      </c>
      <c r="J738" s="4" t="s">
        <v>131</v>
      </c>
      <c r="K738" s="4" t="s">
        <v>132</v>
      </c>
      <c r="L738">
        <v>56</v>
      </c>
      <c r="M738" s="4" t="s">
        <v>158</v>
      </c>
    </row>
    <row r="739" spans="1:13" x14ac:dyDescent="0.2">
      <c r="A739" s="4" t="s">
        <v>924</v>
      </c>
      <c r="B739">
        <v>738</v>
      </c>
      <c r="C739" s="4" t="s">
        <v>26</v>
      </c>
      <c r="D739" s="4" t="s">
        <v>38</v>
      </c>
      <c r="E739" s="4" t="s">
        <v>27</v>
      </c>
      <c r="F739" s="4" t="s">
        <v>907</v>
      </c>
      <c r="G739">
        <v>7</v>
      </c>
      <c r="H739">
        <v>31</v>
      </c>
      <c r="I739" s="4" t="s">
        <v>114</v>
      </c>
      <c r="J739" s="4" t="s">
        <v>133</v>
      </c>
      <c r="K739" s="4" t="s">
        <v>134</v>
      </c>
      <c r="L739">
        <v>40</v>
      </c>
      <c r="M739" s="4" t="s">
        <v>158</v>
      </c>
    </row>
    <row r="740" spans="1:13" x14ac:dyDescent="0.2">
      <c r="A740" s="4" t="s">
        <v>925</v>
      </c>
      <c r="B740">
        <v>739</v>
      </c>
      <c r="C740" s="4" t="s">
        <v>26</v>
      </c>
      <c r="D740" s="4" t="s">
        <v>38</v>
      </c>
      <c r="E740" s="4" t="s">
        <v>27</v>
      </c>
      <c r="F740" s="4" t="s">
        <v>907</v>
      </c>
      <c r="G740">
        <v>7</v>
      </c>
      <c r="H740">
        <v>31</v>
      </c>
      <c r="I740" s="4" t="s">
        <v>116</v>
      </c>
      <c r="J740" s="4" t="s">
        <v>122</v>
      </c>
      <c r="K740" s="4" t="s">
        <v>123</v>
      </c>
      <c r="L740">
        <v>75</v>
      </c>
      <c r="M740" s="4" t="s">
        <v>158</v>
      </c>
    </row>
    <row r="741" spans="1:13" x14ac:dyDescent="0.2">
      <c r="A741" s="4" t="s">
        <v>926</v>
      </c>
      <c r="B741">
        <v>740</v>
      </c>
      <c r="C741" s="4" t="s">
        <v>26</v>
      </c>
      <c r="D741" s="4" t="s">
        <v>38</v>
      </c>
      <c r="E741" s="4" t="s">
        <v>27</v>
      </c>
      <c r="F741" s="4" t="s">
        <v>907</v>
      </c>
      <c r="G741">
        <v>7</v>
      </c>
      <c r="H741">
        <v>31</v>
      </c>
      <c r="I741" s="4" t="s">
        <v>116</v>
      </c>
      <c r="J741" s="4" t="s">
        <v>125</v>
      </c>
      <c r="K741" s="4" t="s">
        <v>126</v>
      </c>
      <c r="L741">
        <v>40</v>
      </c>
      <c r="M741" s="4" t="s">
        <v>158</v>
      </c>
    </row>
    <row r="742" spans="1:13" x14ac:dyDescent="0.2">
      <c r="A742" s="4" t="s">
        <v>927</v>
      </c>
      <c r="B742">
        <v>741</v>
      </c>
      <c r="C742" s="4" t="s">
        <v>26</v>
      </c>
      <c r="D742" s="4" t="s">
        <v>38</v>
      </c>
      <c r="E742" s="4" t="s">
        <v>27</v>
      </c>
      <c r="F742" s="4" t="s">
        <v>907</v>
      </c>
      <c r="G742">
        <v>7</v>
      </c>
      <c r="H742">
        <v>31</v>
      </c>
      <c r="I742" s="4" t="s">
        <v>116</v>
      </c>
      <c r="J742" s="4" t="s">
        <v>127</v>
      </c>
      <c r="K742" s="4" t="s">
        <v>128</v>
      </c>
      <c r="L742">
        <v>75</v>
      </c>
      <c r="M742" s="4" t="s">
        <v>158</v>
      </c>
    </row>
    <row r="743" spans="1:13" x14ac:dyDescent="0.2">
      <c r="A743" s="4" t="s">
        <v>928</v>
      </c>
      <c r="B743">
        <v>742</v>
      </c>
      <c r="C743" s="4" t="s">
        <v>26</v>
      </c>
      <c r="D743" s="4" t="s">
        <v>38</v>
      </c>
      <c r="E743" s="4" t="s">
        <v>27</v>
      </c>
      <c r="F743" s="4" t="s">
        <v>907</v>
      </c>
      <c r="G743">
        <v>7</v>
      </c>
      <c r="H743">
        <v>31</v>
      </c>
      <c r="I743" s="4" t="s">
        <v>116</v>
      </c>
      <c r="J743" s="4" t="s">
        <v>129</v>
      </c>
      <c r="K743" s="4" t="s">
        <v>130</v>
      </c>
      <c r="L743">
        <v>82</v>
      </c>
      <c r="M743" s="4" t="s">
        <v>158</v>
      </c>
    </row>
    <row r="744" spans="1:13" x14ac:dyDescent="0.2">
      <c r="A744" s="4" t="s">
        <v>929</v>
      </c>
      <c r="B744">
        <v>743</v>
      </c>
      <c r="C744" s="4" t="s">
        <v>26</v>
      </c>
      <c r="D744" s="4" t="s">
        <v>38</v>
      </c>
      <c r="E744" s="4" t="s">
        <v>27</v>
      </c>
      <c r="F744" s="4" t="s">
        <v>907</v>
      </c>
      <c r="G744">
        <v>7</v>
      </c>
      <c r="H744">
        <v>31</v>
      </c>
      <c r="I744" s="4" t="s">
        <v>116</v>
      </c>
      <c r="J744" s="4" t="s">
        <v>131</v>
      </c>
      <c r="K744" s="4" t="s">
        <v>132</v>
      </c>
      <c r="L744">
        <v>40</v>
      </c>
      <c r="M744" s="4" t="s">
        <v>158</v>
      </c>
    </row>
    <row r="745" spans="1:13" x14ac:dyDescent="0.2">
      <c r="A745" s="4" t="s">
        <v>930</v>
      </c>
      <c r="B745">
        <v>744</v>
      </c>
      <c r="C745" s="4" t="s">
        <v>26</v>
      </c>
      <c r="D745" s="4" t="s">
        <v>38</v>
      </c>
      <c r="E745" s="4" t="s">
        <v>27</v>
      </c>
      <c r="F745" s="4" t="s">
        <v>907</v>
      </c>
      <c r="G745">
        <v>7</v>
      </c>
      <c r="H745">
        <v>31</v>
      </c>
      <c r="I745" s="4" t="s">
        <v>116</v>
      </c>
      <c r="J745" s="4" t="s">
        <v>133</v>
      </c>
      <c r="K745" s="4" t="s">
        <v>134</v>
      </c>
      <c r="L745">
        <v>10</v>
      </c>
      <c r="M745" s="4" t="s">
        <v>158</v>
      </c>
    </row>
    <row r="746" spans="1:13" x14ac:dyDescent="0.2">
      <c r="A746" s="4" t="s">
        <v>1092</v>
      </c>
      <c r="B746">
        <v>745</v>
      </c>
      <c r="C746" s="4" t="s">
        <v>26</v>
      </c>
      <c r="D746" s="4" t="s">
        <v>38</v>
      </c>
      <c r="E746" s="4" t="s">
        <v>32</v>
      </c>
      <c r="F746" s="4" t="s">
        <v>1093</v>
      </c>
      <c r="G746">
        <v>7</v>
      </c>
      <c r="H746">
        <v>32</v>
      </c>
      <c r="I746" s="4" t="s">
        <v>35</v>
      </c>
      <c r="J746" s="4" t="s">
        <v>122</v>
      </c>
      <c r="K746" s="4" t="s">
        <v>123</v>
      </c>
      <c r="L746">
        <v>49</v>
      </c>
      <c r="M746" s="4" t="s">
        <v>158</v>
      </c>
    </row>
    <row r="747" spans="1:13" x14ac:dyDescent="0.2">
      <c r="A747" s="4" t="s">
        <v>1094</v>
      </c>
      <c r="B747">
        <v>746</v>
      </c>
      <c r="C747" s="4" t="s">
        <v>26</v>
      </c>
      <c r="D747" s="4" t="s">
        <v>38</v>
      </c>
      <c r="E747" s="4" t="s">
        <v>32</v>
      </c>
      <c r="F747" s="4" t="s">
        <v>1093</v>
      </c>
      <c r="G747">
        <v>7</v>
      </c>
      <c r="H747">
        <v>32</v>
      </c>
      <c r="I747" s="4" t="s">
        <v>35</v>
      </c>
      <c r="J747" s="4" t="s">
        <v>125</v>
      </c>
      <c r="K747" s="4" t="s">
        <v>126</v>
      </c>
      <c r="L747">
        <v>210</v>
      </c>
      <c r="M747" s="4" t="s">
        <v>158</v>
      </c>
    </row>
    <row r="748" spans="1:13" x14ac:dyDescent="0.2">
      <c r="A748" s="4" t="s">
        <v>1095</v>
      </c>
      <c r="B748">
        <v>747</v>
      </c>
      <c r="C748" s="4" t="s">
        <v>26</v>
      </c>
      <c r="D748" s="4" t="s">
        <v>38</v>
      </c>
      <c r="E748" s="4" t="s">
        <v>32</v>
      </c>
      <c r="F748" s="4" t="s">
        <v>1093</v>
      </c>
      <c r="G748">
        <v>7</v>
      </c>
      <c r="H748">
        <v>32</v>
      </c>
      <c r="I748" s="4" t="s">
        <v>35</v>
      </c>
      <c r="J748" s="4" t="s">
        <v>127</v>
      </c>
      <c r="K748" s="4" t="s">
        <v>128</v>
      </c>
      <c r="L748">
        <v>273</v>
      </c>
      <c r="M748" s="4" t="s">
        <v>158</v>
      </c>
    </row>
    <row r="749" spans="1:13" x14ac:dyDescent="0.2">
      <c r="A749" s="4" t="s">
        <v>1096</v>
      </c>
      <c r="B749">
        <v>748</v>
      </c>
      <c r="C749" s="4" t="s">
        <v>26</v>
      </c>
      <c r="D749" s="4" t="s">
        <v>38</v>
      </c>
      <c r="E749" s="4" t="s">
        <v>32</v>
      </c>
      <c r="F749" s="4" t="s">
        <v>1093</v>
      </c>
      <c r="G749">
        <v>7</v>
      </c>
      <c r="H749">
        <v>32</v>
      </c>
      <c r="I749" s="4" t="s">
        <v>35</v>
      </c>
      <c r="J749" s="4" t="s">
        <v>129</v>
      </c>
      <c r="K749" s="4" t="s">
        <v>130</v>
      </c>
      <c r="L749">
        <v>105</v>
      </c>
      <c r="M749" s="4" t="s">
        <v>158</v>
      </c>
    </row>
    <row r="750" spans="1:13" x14ac:dyDescent="0.2">
      <c r="A750" s="4" t="s">
        <v>1097</v>
      </c>
      <c r="B750">
        <v>749</v>
      </c>
      <c r="C750" s="4" t="s">
        <v>26</v>
      </c>
      <c r="D750" s="4" t="s">
        <v>38</v>
      </c>
      <c r="E750" s="4" t="s">
        <v>32</v>
      </c>
      <c r="F750" s="4" t="s">
        <v>1093</v>
      </c>
      <c r="G750">
        <v>7</v>
      </c>
      <c r="H750">
        <v>32</v>
      </c>
      <c r="I750" s="4" t="s">
        <v>35</v>
      </c>
      <c r="J750" s="4" t="s">
        <v>131</v>
      </c>
      <c r="K750" s="4" t="s">
        <v>132</v>
      </c>
      <c r="L750">
        <v>106</v>
      </c>
      <c r="M750" s="4" t="s">
        <v>158</v>
      </c>
    </row>
    <row r="751" spans="1:13" x14ac:dyDescent="0.2">
      <c r="A751" s="4" t="s">
        <v>1098</v>
      </c>
      <c r="B751">
        <v>750</v>
      </c>
      <c r="C751" s="4" t="s">
        <v>26</v>
      </c>
      <c r="D751" s="4" t="s">
        <v>38</v>
      </c>
      <c r="E751" s="4" t="s">
        <v>32</v>
      </c>
      <c r="F751" s="4" t="s">
        <v>1093</v>
      </c>
      <c r="G751">
        <v>7</v>
      </c>
      <c r="H751">
        <v>32</v>
      </c>
      <c r="I751" s="4" t="s">
        <v>35</v>
      </c>
      <c r="J751" s="4" t="s">
        <v>133</v>
      </c>
      <c r="K751" s="4" t="s">
        <v>134</v>
      </c>
      <c r="L751">
        <v>223</v>
      </c>
      <c r="M751" s="4" t="s">
        <v>158</v>
      </c>
    </row>
    <row r="752" spans="1:13" x14ac:dyDescent="0.2">
      <c r="A752" s="4" t="s">
        <v>1099</v>
      </c>
      <c r="B752">
        <v>751</v>
      </c>
      <c r="C752" s="4" t="s">
        <v>26</v>
      </c>
      <c r="D752" s="4" t="s">
        <v>38</v>
      </c>
      <c r="E752" s="4" t="s">
        <v>32</v>
      </c>
      <c r="F752" s="4" t="s">
        <v>1093</v>
      </c>
      <c r="G752">
        <v>7</v>
      </c>
      <c r="H752">
        <v>32</v>
      </c>
      <c r="I752" s="4" t="s">
        <v>112</v>
      </c>
      <c r="J752" s="4" t="s">
        <v>122</v>
      </c>
      <c r="K752" s="4" t="s">
        <v>123</v>
      </c>
      <c r="L752">
        <v>252</v>
      </c>
      <c r="M752" s="4" t="s">
        <v>158</v>
      </c>
    </row>
    <row r="753" spans="1:13" x14ac:dyDescent="0.2">
      <c r="A753" s="4" t="s">
        <v>1100</v>
      </c>
      <c r="B753">
        <v>752</v>
      </c>
      <c r="C753" s="4" t="s">
        <v>26</v>
      </c>
      <c r="D753" s="4" t="s">
        <v>38</v>
      </c>
      <c r="E753" s="4" t="s">
        <v>32</v>
      </c>
      <c r="F753" s="4" t="s">
        <v>1093</v>
      </c>
      <c r="G753">
        <v>7</v>
      </c>
      <c r="H753">
        <v>32</v>
      </c>
      <c r="I753" s="4" t="s">
        <v>112</v>
      </c>
      <c r="J753" s="4" t="s">
        <v>125</v>
      </c>
      <c r="K753" s="4" t="s">
        <v>126</v>
      </c>
      <c r="L753">
        <v>30</v>
      </c>
      <c r="M753" s="4" t="s">
        <v>158</v>
      </c>
    </row>
    <row r="754" spans="1:13" x14ac:dyDescent="0.2">
      <c r="A754" s="4" t="s">
        <v>1101</v>
      </c>
      <c r="B754">
        <v>753</v>
      </c>
      <c r="C754" s="4" t="s">
        <v>26</v>
      </c>
      <c r="D754" s="4" t="s">
        <v>38</v>
      </c>
      <c r="E754" s="4" t="s">
        <v>32</v>
      </c>
      <c r="F754" s="4" t="s">
        <v>1093</v>
      </c>
      <c r="G754">
        <v>7</v>
      </c>
      <c r="H754">
        <v>32</v>
      </c>
      <c r="I754" s="4" t="s">
        <v>112</v>
      </c>
      <c r="J754" s="4" t="s">
        <v>127</v>
      </c>
      <c r="K754" s="4" t="s">
        <v>128</v>
      </c>
      <c r="L754">
        <v>20</v>
      </c>
      <c r="M754" s="4" t="s">
        <v>158</v>
      </c>
    </row>
    <row r="755" spans="1:13" x14ac:dyDescent="0.2">
      <c r="A755" s="4" t="s">
        <v>1102</v>
      </c>
      <c r="B755">
        <v>754</v>
      </c>
      <c r="C755" s="4" t="s">
        <v>26</v>
      </c>
      <c r="D755" s="4" t="s">
        <v>38</v>
      </c>
      <c r="E755" s="4" t="s">
        <v>32</v>
      </c>
      <c r="F755" s="4" t="s">
        <v>1093</v>
      </c>
      <c r="G755">
        <v>7</v>
      </c>
      <c r="H755">
        <v>32</v>
      </c>
      <c r="I755" s="4" t="s">
        <v>112</v>
      </c>
      <c r="J755" s="4" t="s">
        <v>129</v>
      </c>
      <c r="K755" s="4" t="s">
        <v>130</v>
      </c>
      <c r="L755">
        <v>40</v>
      </c>
      <c r="M755" s="4" t="s">
        <v>158</v>
      </c>
    </row>
    <row r="756" spans="1:13" x14ac:dyDescent="0.2">
      <c r="A756" s="4" t="s">
        <v>1103</v>
      </c>
      <c r="B756">
        <v>755</v>
      </c>
      <c r="C756" s="4" t="s">
        <v>26</v>
      </c>
      <c r="D756" s="4" t="s">
        <v>38</v>
      </c>
      <c r="E756" s="4" t="s">
        <v>32</v>
      </c>
      <c r="F756" s="4" t="s">
        <v>1093</v>
      </c>
      <c r="G756">
        <v>7</v>
      </c>
      <c r="H756">
        <v>32</v>
      </c>
      <c r="I756" s="4" t="s">
        <v>112</v>
      </c>
      <c r="J756" s="4" t="s">
        <v>131</v>
      </c>
      <c r="K756" s="4" t="s">
        <v>132</v>
      </c>
      <c r="L756">
        <v>60</v>
      </c>
      <c r="M756" s="4" t="s">
        <v>158</v>
      </c>
    </row>
    <row r="757" spans="1:13" x14ac:dyDescent="0.2">
      <c r="A757" s="4" t="s">
        <v>1104</v>
      </c>
      <c r="B757">
        <v>756</v>
      </c>
      <c r="C757" s="4" t="s">
        <v>26</v>
      </c>
      <c r="D757" s="4" t="s">
        <v>38</v>
      </c>
      <c r="E757" s="4" t="s">
        <v>32</v>
      </c>
      <c r="F757" s="4" t="s">
        <v>1093</v>
      </c>
      <c r="G757">
        <v>7</v>
      </c>
      <c r="H757">
        <v>32</v>
      </c>
      <c r="I757" s="4" t="s">
        <v>112</v>
      </c>
      <c r="J757" s="4" t="s">
        <v>133</v>
      </c>
      <c r="K757" s="4" t="s">
        <v>134</v>
      </c>
      <c r="L757">
        <v>31</v>
      </c>
      <c r="M757" s="4" t="s">
        <v>158</v>
      </c>
    </row>
    <row r="758" spans="1:13" x14ac:dyDescent="0.2">
      <c r="A758" s="4" t="s">
        <v>1105</v>
      </c>
      <c r="B758">
        <v>757</v>
      </c>
      <c r="C758" s="4" t="s">
        <v>26</v>
      </c>
      <c r="D758" s="4" t="s">
        <v>38</v>
      </c>
      <c r="E758" s="4" t="s">
        <v>32</v>
      </c>
      <c r="F758" s="4" t="s">
        <v>1093</v>
      </c>
      <c r="G758">
        <v>7</v>
      </c>
      <c r="H758">
        <v>32</v>
      </c>
      <c r="I758" s="4" t="s">
        <v>114</v>
      </c>
      <c r="J758" s="4" t="s">
        <v>122</v>
      </c>
      <c r="K758" s="4" t="s">
        <v>123</v>
      </c>
      <c r="L758">
        <v>43</v>
      </c>
      <c r="M758" s="4" t="s">
        <v>158</v>
      </c>
    </row>
    <row r="759" spans="1:13" x14ac:dyDescent="0.2">
      <c r="A759" s="4" t="s">
        <v>1106</v>
      </c>
      <c r="B759">
        <v>758</v>
      </c>
      <c r="C759" s="4" t="s">
        <v>26</v>
      </c>
      <c r="D759" s="4" t="s">
        <v>38</v>
      </c>
      <c r="E759" s="4" t="s">
        <v>32</v>
      </c>
      <c r="F759" s="4" t="s">
        <v>1093</v>
      </c>
      <c r="G759">
        <v>7</v>
      </c>
      <c r="H759">
        <v>32</v>
      </c>
      <c r="I759" s="4" t="s">
        <v>114</v>
      </c>
      <c r="J759" s="4" t="s">
        <v>125</v>
      </c>
      <c r="K759" s="4" t="s">
        <v>126</v>
      </c>
      <c r="L759">
        <v>30</v>
      </c>
      <c r="M759" s="4" t="s">
        <v>158</v>
      </c>
    </row>
    <row r="760" spans="1:13" x14ac:dyDescent="0.2">
      <c r="A760" s="4" t="s">
        <v>1107</v>
      </c>
      <c r="B760">
        <v>759</v>
      </c>
      <c r="C760" s="4" t="s">
        <v>26</v>
      </c>
      <c r="D760" s="4" t="s">
        <v>38</v>
      </c>
      <c r="E760" s="4" t="s">
        <v>32</v>
      </c>
      <c r="F760" s="4" t="s">
        <v>1093</v>
      </c>
      <c r="G760">
        <v>7</v>
      </c>
      <c r="H760">
        <v>32</v>
      </c>
      <c r="I760" s="4" t="s">
        <v>114</v>
      </c>
      <c r="J760" s="4" t="s">
        <v>127</v>
      </c>
      <c r="K760" s="4" t="s">
        <v>128</v>
      </c>
      <c r="L760">
        <v>87</v>
      </c>
      <c r="M760" s="4" t="s">
        <v>158</v>
      </c>
    </row>
    <row r="761" spans="1:13" x14ac:dyDescent="0.2">
      <c r="A761" s="4" t="s">
        <v>1108</v>
      </c>
      <c r="B761">
        <v>760</v>
      </c>
      <c r="C761" s="4" t="s">
        <v>26</v>
      </c>
      <c r="D761" s="4" t="s">
        <v>38</v>
      </c>
      <c r="E761" s="4" t="s">
        <v>32</v>
      </c>
      <c r="F761" s="4" t="s">
        <v>1093</v>
      </c>
      <c r="G761">
        <v>7</v>
      </c>
      <c r="H761">
        <v>32</v>
      </c>
      <c r="I761" s="4" t="s">
        <v>114</v>
      </c>
      <c r="J761" s="4" t="s">
        <v>129</v>
      </c>
      <c r="K761" s="4" t="s">
        <v>130</v>
      </c>
      <c r="L761">
        <v>40</v>
      </c>
      <c r="M761" s="4" t="s">
        <v>158</v>
      </c>
    </row>
    <row r="762" spans="1:13" x14ac:dyDescent="0.2">
      <c r="A762" s="4" t="s">
        <v>1109</v>
      </c>
      <c r="B762">
        <v>761</v>
      </c>
      <c r="C762" s="4" t="s">
        <v>26</v>
      </c>
      <c r="D762" s="4" t="s">
        <v>38</v>
      </c>
      <c r="E762" s="4" t="s">
        <v>32</v>
      </c>
      <c r="F762" s="4" t="s">
        <v>1093</v>
      </c>
      <c r="G762">
        <v>7</v>
      </c>
      <c r="H762">
        <v>32</v>
      </c>
      <c r="I762" s="4" t="s">
        <v>114</v>
      </c>
      <c r="J762" s="4" t="s">
        <v>131</v>
      </c>
      <c r="K762" s="4" t="s">
        <v>132</v>
      </c>
      <c r="L762">
        <v>19</v>
      </c>
      <c r="M762" s="4" t="s">
        <v>158</v>
      </c>
    </row>
    <row r="763" spans="1:13" x14ac:dyDescent="0.2">
      <c r="A763" s="4" t="s">
        <v>1110</v>
      </c>
      <c r="B763">
        <v>762</v>
      </c>
      <c r="C763" s="4" t="s">
        <v>26</v>
      </c>
      <c r="D763" s="4" t="s">
        <v>38</v>
      </c>
      <c r="E763" s="4" t="s">
        <v>32</v>
      </c>
      <c r="F763" s="4" t="s">
        <v>1093</v>
      </c>
      <c r="G763">
        <v>7</v>
      </c>
      <c r="H763">
        <v>32</v>
      </c>
      <c r="I763" s="4" t="s">
        <v>114</v>
      </c>
      <c r="J763" s="4" t="s">
        <v>133</v>
      </c>
      <c r="K763" s="4" t="s">
        <v>134</v>
      </c>
      <c r="L763">
        <v>40</v>
      </c>
      <c r="M763" s="4" t="s">
        <v>158</v>
      </c>
    </row>
    <row r="764" spans="1:13" x14ac:dyDescent="0.2">
      <c r="A764" s="4" t="s">
        <v>1111</v>
      </c>
      <c r="B764">
        <v>763</v>
      </c>
      <c r="C764" s="4" t="s">
        <v>26</v>
      </c>
      <c r="D764" s="4" t="s">
        <v>38</v>
      </c>
      <c r="E764" s="4" t="s">
        <v>32</v>
      </c>
      <c r="F764" s="4" t="s">
        <v>1093</v>
      </c>
      <c r="G764">
        <v>7</v>
      </c>
      <c r="H764">
        <v>32</v>
      </c>
      <c r="I764" s="4" t="s">
        <v>116</v>
      </c>
      <c r="J764" s="4" t="s">
        <v>122</v>
      </c>
      <c r="K764" s="4" t="s">
        <v>123</v>
      </c>
      <c r="L764">
        <v>47</v>
      </c>
      <c r="M764" s="4" t="s">
        <v>158</v>
      </c>
    </row>
    <row r="765" spans="1:13" x14ac:dyDescent="0.2">
      <c r="A765" s="4" t="s">
        <v>1112</v>
      </c>
      <c r="B765">
        <v>764</v>
      </c>
      <c r="C765" s="4" t="s">
        <v>26</v>
      </c>
      <c r="D765" s="4" t="s">
        <v>38</v>
      </c>
      <c r="E765" s="4" t="s">
        <v>32</v>
      </c>
      <c r="F765" s="4" t="s">
        <v>1093</v>
      </c>
      <c r="G765">
        <v>7</v>
      </c>
      <c r="H765">
        <v>32</v>
      </c>
      <c r="I765" s="4" t="s">
        <v>116</v>
      </c>
      <c r="J765" s="4" t="s">
        <v>125</v>
      </c>
      <c r="K765" s="4" t="s">
        <v>126</v>
      </c>
      <c r="L765">
        <v>40</v>
      </c>
      <c r="M765" s="4" t="s">
        <v>158</v>
      </c>
    </row>
    <row r="766" spans="1:13" x14ac:dyDescent="0.2">
      <c r="A766" s="4" t="s">
        <v>1113</v>
      </c>
      <c r="B766">
        <v>765</v>
      </c>
      <c r="C766" s="4" t="s">
        <v>26</v>
      </c>
      <c r="D766" s="4" t="s">
        <v>38</v>
      </c>
      <c r="E766" s="4" t="s">
        <v>32</v>
      </c>
      <c r="F766" s="4" t="s">
        <v>1093</v>
      </c>
      <c r="G766">
        <v>7</v>
      </c>
      <c r="H766">
        <v>32</v>
      </c>
      <c r="I766" s="4" t="s">
        <v>116</v>
      </c>
      <c r="J766" s="4" t="s">
        <v>127</v>
      </c>
      <c r="K766" s="4" t="s">
        <v>128</v>
      </c>
      <c r="L766">
        <v>0</v>
      </c>
      <c r="M766" s="4" t="s">
        <v>158</v>
      </c>
    </row>
    <row r="767" spans="1:13" x14ac:dyDescent="0.2">
      <c r="A767" s="4" t="s">
        <v>1114</v>
      </c>
      <c r="B767">
        <v>766</v>
      </c>
      <c r="C767" s="4" t="s">
        <v>26</v>
      </c>
      <c r="D767" s="4" t="s">
        <v>38</v>
      </c>
      <c r="E767" s="4" t="s">
        <v>32</v>
      </c>
      <c r="F767" s="4" t="s">
        <v>1093</v>
      </c>
      <c r="G767">
        <v>7</v>
      </c>
      <c r="H767">
        <v>32</v>
      </c>
      <c r="I767" s="4" t="s">
        <v>116</v>
      </c>
      <c r="J767" s="4" t="s">
        <v>129</v>
      </c>
      <c r="K767" s="4" t="s">
        <v>130</v>
      </c>
      <c r="L767">
        <v>35</v>
      </c>
      <c r="M767" s="4" t="s">
        <v>158</v>
      </c>
    </row>
    <row r="768" spans="1:13" x14ac:dyDescent="0.2">
      <c r="A768" s="4" t="s">
        <v>1115</v>
      </c>
      <c r="B768">
        <v>767</v>
      </c>
      <c r="C768" s="4" t="s">
        <v>26</v>
      </c>
      <c r="D768" s="4" t="s">
        <v>38</v>
      </c>
      <c r="E768" s="4" t="s">
        <v>32</v>
      </c>
      <c r="F768" s="4" t="s">
        <v>1093</v>
      </c>
      <c r="G768">
        <v>7</v>
      </c>
      <c r="H768">
        <v>32</v>
      </c>
      <c r="I768" s="4" t="s">
        <v>116</v>
      </c>
      <c r="J768" s="4" t="s">
        <v>131</v>
      </c>
      <c r="K768" s="4" t="s">
        <v>132</v>
      </c>
      <c r="L768">
        <v>0</v>
      </c>
      <c r="M768" s="4" t="s">
        <v>158</v>
      </c>
    </row>
    <row r="769" spans="1:13" x14ac:dyDescent="0.2">
      <c r="A769" s="4" t="s">
        <v>1116</v>
      </c>
      <c r="B769">
        <v>768</v>
      </c>
      <c r="C769" s="4" t="s">
        <v>26</v>
      </c>
      <c r="D769" s="4" t="s">
        <v>38</v>
      </c>
      <c r="E769" s="4" t="s">
        <v>32</v>
      </c>
      <c r="F769" s="4" t="s">
        <v>1093</v>
      </c>
      <c r="G769">
        <v>7</v>
      </c>
      <c r="H769">
        <v>32</v>
      </c>
      <c r="I769" s="4" t="s">
        <v>116</v>
      </c>
      <c r="J769" s="4" t="s">
        <v>133</v>
      </c>
      <c r="K769" s="4" t="s">
        <v>134</v>
      </c>
      <c r="L769">
        <v>30</v>
      </c>
      <c r="M769" s="4" t="s">
        <v>158</v>
      </c>
    </row>
    <row r="770" spans="1:13" x14ac:dyDescent="0.2">
      <c r="A770" s="4" t="s">
        <v>1121</v>
      </c>
      <c r="B770">
        <v>769</v>
      </c>
      <c r="C770" s="4" t="s">
        <v>26</v>
      </c>
      <c r="D770" s="4" t="s">
        <v>38</v>
      </c>
      <c r="E770" s="4" t="s">
        <v>35</v>
      </c>
      <c r="F770" s="4" t="s">
        <v>1122</v>
      </c>
      <c r="G770">
        <v>7</v>
      </c>
      <c r="H770">
        <v>33</v>
      </c>
      <c r="I770" s="4" t="s">
        <v>35</v>
      </c>
      <c r="J770" s="4" t="s">
        <v>122</v>
      </c>
      <c r="K770" s="4" t="s">
        <v>123</v>
      </c>
      <c r="L770">
        <v>0</v>
      </c>
      <c r="M770" s="4" t="s">
        <v>158</v>
      </c>
    </row>
    <row r="771" spans="1:13" x14ac:dyDescent="0.2">
      <c r="A771" s="4" t="s">
        <v>1123</v>
      </c>
      <c r="B771">
        <v>770</v>
      </c>
      <c r="C771" s="4" t="s">
        <v>26</v>
      </c>
      <c r="D771" s="4" t="s">
        <v>38</v>
      </c>
      <c r="E771" s="4" t="s">
        <v>35</v>
      </c>
      <c r="F771" s="4" t="s">
        <v>1122</v>
      </c>
      <c r="G771">
        <v>7</v>
      </c>
      <c r="H771">
        <v>33</v>
      </c>
      <c r="I771" s="4" t="s">
        <v>35</v>
      </c>
      <c r="J771" s="4" t="s">
        <v>125</v>
      </c>
      <c r="K771" s="4" t="s">
        <v>126</v>
      </c>
      <c r="L771">
        <v>190</v>
      </c>
      <c r="M771" s="4" t="s">
        <v>158</v>
      </c>
    </row>
    <row r="772" spans="1:13" x14ac:dyDescent="0.2">
      <c r="A772" s="4" t="s">
        <v>1124</v>
      </c>
      <c r="B772">
        <v>771</v>
      </c>
      <c r="C772" s="4" t="s">
        <v>26</v>
      </c>
      <c r="D772" s="4" t="s">
        <v>38</v>
      </c>
      <c r="E772" s="4" t="s">
        <v>35</v>
      </c>
      <c r="F772" s="4" t="s">
        <v>1122</v>
      </c>
      <c r="G772">
        <v>7</v>
      </c>
      <c r="H772">
        <v>33</v>
      </c>
      <c r="I772" s="4" t="s">
        <v>35</v>
      </c>
      <c r="J772" s="4" t="s">
        <v>127</v>
      </c>
      <c r="K772" s="4" t="s">
        <v>128</v>
      </c>
      <c r="L772">
        <v>0</v>
      </c>
      <c r="M772" s="4" t="s">
        <v>158</v>
      </c>
    </row>
    <row r="773" spans="1:13" x14ac:dyDescent="0.2">
      <c r="A773" s="4" t="s">
        <v>1125</v>
      </c>
      <c r="B773">
        <v>772</v>
      </c>
      <c r="C773" s="4" t="s">
        <v>26</v>
      </c>
      <c r="D773" s="4" t="s">
        <v>38</v>
      </c>
      <c r="E773" s="4" t="s">
        <v>35</v>
      </c>
      <c r="F773" s="4" t="s">
        <v>1122</v>
      </c>
      <c r="G773">
        <v>7</v>
      </c>
      <c r="H773">
        <v>33</v>
      </c>
      <c r="I773" s="4" t="s">
        <v>35</v>
      </c>
      <c r="J773" s="4" t="s">
        <v>129</v>
      </c>
      <c r="K773" s="4" t="s">
        <v>130</v>
      </c>
      <c r="L773">
        <v>80</v>
      </c>
      <c r="M773" s="4" t="s">
        <v>158</v>
      </c>
    </row>
    <row r="774" spans="1:13" x14ac:dyDescent="0.2">
      <c r="A774" s="4" t="s">
        <v>1126</v>
      </c>
      <c r="B774">
        <v>773</v>
      </c>
      <c r="C774" s="4" t="s">
        <v>26</v>
      </c>
      <c r="D774" s="4" t="s">
        <v>38</v>
      </c>
      <c r="E774" s="4" t="s">
        <v>35</v>
      </c>
      <c r="F774" s="4" t="s">
        <v>1122</v>
      </c>
      <c r="G774">
        <v>7</v>
      </c>
      <c r="H774">
        <v>33</v>
      </c>
      <c r="I774" s="4" t="s">
        <v>35</v>
      </c>
      <c r="J774" s="4" t="s">
        <v>131</v>
      </c>
      <c r="K774" s="4" t="s">
        <v>132</v>
      </c>
      <c r="L774">
        <v>20</v>
      </c>
      <c r="M774" s="4" t="s">
        <v>158</v>
      </c>
    </row>
    <row r="775" spans="1:13" x14ac:dyDescent="0.2">
      <c r="A775" s="4" t="s">
        <v>1127</v>
      </c>
      <c r="B775">
        <v>774</v>
      </c>
      <c r="C775" s="4" t="s">
        <v>26</v>
      </c>
      <c r="D775" s="4" t="s">
        <v>38</v>
      </c>
      <c r="E775" s="4" t="s">
        <v>35</v>
      </c>
      <c r="F775" s="4" t="s">
        <v>1122</v>
      </c>
      <c r="G775">
        <v>7</v>
      </c>
      <c r="H775">
        <v>33</v>
      </c>
      <c r="I775" s="4" t="s">
        <v>35</v>
      </c>
      <c r="J775" s="4" t="s">
        <v>133</v>
      </c>
      <c r="K775" s="4" t="s">
        <v>134</v>
      </c>
      <c r="L775">
        <v>204</v>
      </c>
      <c r="M775" s="4" t="s">
        <v>158</v>
      </c>
    </row>
    <row r="776" spans="1:13" x14ac:dyDescent="0.2">
      <c r="A776" s="4" t="s">
        <v>1128</v>
      </c>
      <c r="B776">
        <v>775</v>
      </c>
      <c r="C776" s="4" t="s">
        <v>26</v>
      </c>
      <c r="D776" s="4" t="s">
        <v>38</v>
      </c>
      <c r="E776" s="4" t="s">
        <v>35</v>
      </c>
      <c r="F776" s="4" t="s">
        <v>1122</v>
      </c>
      <c r="G776">
        <v>7</v>
      </c>
      <c r="H776">
        <v>33</v>
      </c>
      <c r="I776" s="4" t="s">
        <v>112</v>
      </c>
      <c r="J776" s="4" t="s">
        <v>122</v>
      </c>
      <c r="K776" s="4" t="s">
        <v>123</v>
      </c>
      <c r="L776">
        <v>137</v>
      </c>
      <c r="M776" s="4" t="s">
        <v>158</v>
      </c>
    </row>
    <row r="777" spans="1:13" x14ac:dyDescent="0.2">
      <c r="A777" s="4" t="s">
        <v>1129</v>
      </c>
      <c r="B777">
        <v>776</v>
      </c>
      <c r="C777" s="4" t="s">
        <v>26</v>
      </c>
      <c r="D777" s="4" t="s">
        <v>38</v>
      </c>
      <c r="E777" s="4" t="s">
        <v>35</v>
      </c>
      <c r="F777" s="4" t="s">
        <v>1122</v>
      </c>
      <c r="G777">
        <v>7</v>
      </c>
      <c r="H777">
        <v>33</v>
      </c>
      <c r="I777" s="4" t="s">
        <v>112</v>
      </c>
      <c r="J777" s="4" t="s">
        <v>125</v>
      </c>
      <c r="K777" s="4" t="s">
        <v>126</v>
      </c>
      <c r="L777">
        <v>30</v>
      </c>
      <c r="M777" s="4" t="s">
        <v>158</v>
      </c>
    </row>
    <row r="778" spans="1:13" x14ac:dyDescent="0.2">
      <c r="A778" s="4" t="s">
        <v>1130</v>
      </c>
      <c r="B778">
        <v>777</v>
      </c>
      <c r="C778" s="4" t="s">
        <v>26</v>
      </c>
      <c r="D778" s="4" t="s">
        <v>38</v>
      </c>
      <c r="E778" s="4" t="s">
        <v>35</v>
      </c>
      <c r="F778" s="4" t="s">
        <v>1122</v>
      </c>
      <c r="G778">
        <v>7</v>
      </c>
      <c r="H778">
        <v>33</v>
      </c>
      <c r="I778" s="4" t="s">
        <v>112</v>
      </c>
      <c r="J778" s="4" t="s">
        <v>127</v>
      </c>
      <c r="K778" s="4" t="s">
        <v>128</v>
      </c>
      <c r="L778">
        <v>118</v>
      </c>
      <c r="M778" s="4" t="s">
        <v>158</v>
      </c>
    </row>
    <row r="779" spans="1:13" x14ac:dyDescent="0.2">
      <c r="A779" s="4" t="s">
        <v>1131</v>
      </c>
      <c r="B779">
        <v>778</v>
      </c>
      <c r="C779" s="4" t="s">
        <v>26</v>
      </c>
      <c r="D779" s="4" t="s">
        <v>38</v>
      </c>
      <c r="E779" s="4" t="s">
        <v>35</v>
      </c>
      <c r="F779" s="4" t="s">
        <v>1122</v>
      </c>
      <c r="G779">
        <v>7</v>
      </c>
      <c r="H779">
        <v>33</v>
      </c>
      <c r="I779" s="4" t="s">
        <v>112</v>
      </c>
      <c r="J779" s="4" t="s">
        <v>129</v>
      </c>
      <c r="K779" s="4" t="s">
        <v>130</v>
      </c>
      <c r="L779">
        <v>40</v>
      </c>
      <c r="M779" s="4" t="s">
        <v>158</v>
      </c>
    </row>
    <row r="780" spans="1:13" x14ac:dyDescent="0.2">
      <c r="A780" s="4" t="s">
        <v>1132</v>
      </c>
      <c r="B780">
        <v>779</v>
      </c>
      <c r="C780" s="4" t="s">
        <v>26</v>
      </c>
      <c r="D780" s="4" t="s">
        <v>38</v>
      </c>
      <c r="E780" s="4" t="s">
        <v>35</v>
      </c>
      <c r="F780" s="4" t="s">
        <v>1122</v>
      </c>
      <c r="G780">
        <v>7</v>
      </c>
      <c r="H780">
        <v>33</v>
      </c>
      <c r="I780" s="4" t="s">
        <v>112</v>
      </c>
      <c r="J780" s="4" t="s">
        <v>131</v>
      </c>
      <c r="K780" s="4" t="s">
        <v>132</v>
      </c>
      <c r="L780">
        <v>28</v>
      </c>
      <c r="M780" s="4" t="s">
        <v>158</v>
      </c>
    </row>
    <row r="781" spans="1:13" x14ac:dyDescent="0.2">
      <c r="A781" s="4" t="s">
        <v>1133</v>
      </c>
      <c r="B781">
        <v>780</v>
      </c>
      <c r="C781" s="4" t="s">
        <v>26</v>
      </c>
      <c r="D781" s="4" t="s">
        <v>38</v>
      </c>
      <c r="E781" s="4" t="s">
        <v>35</v>
      </c>
      <c r="F781" s="4" t="s">
        <v>1122</v>
      </c>
      <c r="G781">
        <v>7</v>
      </c>
      <c r="H781">
        <v>33</v>
      </c>
      <c r="I781" s="4" t="s">
        <v>112</v>
      </c>
      <c r="J781" s="4" t="s">
        <v>133</v>
      </c>
      <c r="K781" s="4" t="s">
        <v>134</v>
      </c>
      <c r="L781">
        <v>50</v>
      </c>
      <c r="M781" s="4" t="s">
        <v>158</v>
      </c>
    </row>
    <row r="782" spans="1:13" x14ac:dyDescent="0.2">
      <c r="A782" s="4" t="s">
        <v>1134</v>
      </c>
      <c r="B782">
        <v>781</v>
      </c>
      <c r="C782" s="4" t="s">
        <v>26</v>
      </c>
      <c r="D782" s="4" t="s">
        <v>38</v>
      </c>
      <c r="E782" s="4" t="s">
        <v>35</v>
      </c>
      <c r="F782" s="4" t="s">
        <v>1122</v>
      </c>
      <c r="G782">
        <v>7</v>
      </c>
      <c r="H782">
        <v>33</v>
      </c>
      <c r="I782" s="4" t="s">
        <v>114</v>
      </c>
      <c r="J782" s="4" t="s">
        <v>122</v>
      </c>
      <c r="K782" s="4" t="s">
        <v>123</v>
      </c>
      <c r="L782">
        <v>65</v>
      </c>
      <c r="M782" s="4" t="s">
        <v>158</v>
      </c>
    </row>
    <row r="783" spans="1:13" x14ac:dyDescent="0.2">
      <c r="A783" s="4" t="s">
        <v>1135</v>
      </c>
      <c r="B783">
        <v>782</v>
      </c>
      <c r="C783" s="4" t="s">
        <v>26</v>
      </c>
      <c r="D783" s="4" t="s">
        <v>38</v>
      </c>
      <c r="E783" s="4" t="s">
        <v>35</v>
      </c>
      <c r="F783" s="4" t="s">
        <v>1122</v>
      </c>
      <c r="G783">
        <v>7</v>
      </c>
      <c r="H783">
        <v>33</v>
      </c>
      <c r="I783" s="4" t="s">
        <v>114</v>
      </c>
      <c r="J783" s="4" t="s">
        <v>125</v>
      </c>
      <c r="K783" s="4" t="s">
        <v>126</v>
      </c>
      <c r="L783">
        <v>44</v>
      </c>
      <c r="M783" s="4" t="s">
        <v>158</v>
      </c>
    </row>
    <row r="784" spans="1:13" x14ac:dyDescent="0.2">
      <c r="A784" s="4" t="s">
        <v>1136</v>
      </c>
      <c r="B784">
        <v>783</v>
      </c>
      <c r="C784" s="4" t="s">
        <v>26</v>
      </c>
      <c r="D784" s="4" t="s">
        <v>38</v>
      </c>
      <c r="E784" s="4" t="s">
        <v>35</v>
      </c>
      <c r="F784" s="4" t="s">
        <v>1122</v>
      </c>
      <c r="G784">
        <v>7</v>
      </c>
      <c r="H784">
        <v>33</v>
      </c>
      <c r="I784" s="4" t="s">
        <v>114</v>
      </c>
      <c r="J784" s="4" t="s">
        <v>127</v>
      </c>
      <c r="K784" s="4" t="s">
        <v>128</v>
      </c>
      <c r="L784">
        <v>160</v>
      </c>
      <c r="M784" s="4" t="s">
        <v>158</v>
      </c>
    </row>
    <row r="785" spans="1:13" x14ac:dyDescent="0.2">
      <c r="A785" s="4" t="s">
        <v>1137</v>
      </c>
      <c r="B785">
        <v>784</v>
      </c>
      <c r="C785" s="4" t="s">
        <v>26</v>
      </c>
      <c r="D785" s="4" t="s">
        <v>38</v>
      </c>
      <c r="E785" s="4" t="s">
        <v>35</v>
      </c>
      <c r="F785" s="4" t="s">
        <v>1122</v>
      </c>
      <c r="G785">
        <v>7</v>
      </c>
      <c r="H785">
        <v>33</v>
      </c>
      <c r="I785" s="4" t="s">
        <v>114</v>
      </c>
      <c r="J785" s="4" t="s">
        <v>129</v>
      </c>
      <c r="K785" s="4" t="s">
        <v>130</v>
      </c>
      <c r="L785">
        <v>40</v>
      </c>
      <c r="M785" s="4" t="s">
        <v>158</v>
      </c>
    </row>
    <row r="786" spans="1:13" x14ac:dyDescent="0.2">
      <c r="A786" s="4" t="s">
        <v>1138</v>
      </c>
      <c r="B786">
        <v>785</v>
      </c>
      <c r="C786" s="4" t="s">
        <v>26</v>
      </c>
      <c r="D786" s="4" t="s">
        <v>38</v>
      </c>
      <c r="E786" s="4" t="s">
        <v>35</v>
      </c>
      <c r="F786" s="4" t="s">
        <v>1122</v>
      </c>
      <c r="G786">
        <v>7</v>
      </c>
      <c r="H786">
        <v>33</v>
      </c>
      <c r="I786" s="4" t="s">
        <v>114</v>
      </c>
      <c r="J786" s="4" t="s">
        <v>131</v>
      </c>
      <c r="K786" s="4" t="s">
        <v>132</v>
      </c>
      <c r="L786">
        <v>75</v>
      </c>
      <c r="M786" s="4" t="s">
        <v>158</v>
      </c>
    </row>
    <row r="787" spans="1:13" x14ac:dyDescent="0.2">
      <c r="A787" s="4" t="s">
        <v>1139</v>
      </c>
      <c r="B787">
        <v>786</v>
      </c>
      <c r="C787" s="4" t="s">
        <v>26</v>
      </c>
      <c r="D787" s="4" t="s">
        <v>38</v>
      </c>
      <c r="E787" s="4" t="s">
        <v>35</v>
      </c>
      <c r="F787" s="4" t="s">
        <v>1122</v>
      </c>
      <c r="G787">
        <v>7</v>
      </c>
      <c r="H787">
        <v>33</v>
      </c>
      <c r="I787" s="4" t="s">
        <v>114</v>
      </c>
      <c r="J787" s="4" t="s">
        <v>133</v>
      </c>
      <c r="K787" s="4" t="s">
        <v>134</v>
      </c>
      <c r="L787">
        <v>40</v>
      </c>
      <c r="M787" s="4" t="s">
        <v>158</v>
      </c>
    </row>
    <row r="788" spans="1:13" x14ac:dyDescent="0.2">
      <c r="A788" s="4" t="s">
        <v>1140</v>
      </c>
      <c r="B788">
        <v>787</v>
      </c>
      <c r="C788" s="4" t="s">
        <v>26</v>
      </c>
      <c r="D788" s="4" t="s">
        <v>38</v>
      </c>
      <c r="E788" s="4" t="s">
        <v>35</v>
      </c>
      <c r="F788" s="4" t="s">
        <v>1122</v>
      </c>
      <c r="G788">
        <v>7</v>
      </c>
      <c r="H788">
        <v>33</v>
      </c>
      <c r="I788" s="4" t="s">
        <v>116</v>
      </c>
      <c r="J788" s="4" t="s">
        <v>122</v>
      </c>
      <c r="K788" s="4" t="s">
        <v>123</v>
      </c>
      <c r="L788">
        <v>20</v>
      </c>
      <c r="M788" s="4" t="s">
        <v>158</v>
      </c>
    </row>
    <row r="789" spans="1:13" x14ac:dyDescent="0.2">
      <c r="A789" s="4" t="s">
        <v>1141</v>
      </c>
      <c r="B789">
        <v>788</v>
      </c>
      <c r="C789" s="4" t="s">
        <v>26</v>
      </c>
      <c r="D789" s="4" t="s">
        <v>38</v>
      </c>
      <c r="E789" s="4" t="s">
        <v>35</v>
      </c>
      <c r="F789" s="4" t="s">
        <v>1122</v>
      </c>
      <c r="G789">
        <v>7</v>
      </c>
      <c r="H789">
        <v>33</v>
      </c>
      <c r="I789" s="4" t="s">
        <v>116</v>
      </c>
      <c r="J789" s="4" t="s">
        <v>125</v>
      </c>
      <c r="K789" s="4" t="s">
        <v>126</v>
      </c>
      <c r="L789">
        <v>40</v>
      </c>
      <c r="M789" s="4" t="s">
        <v>158</v>
      </c>
    </row>
    <row r="790" spans="1:13" x14ac:dyDescent="0.2">
      <c r="A790" s="4" t="s">
        <v>1142</v>
      </c>
      <c r="B790">
        <v>789</v>
      </c>
      <c r="C790" s="4" t="s">
        <v>26</v>
      </c>
      <c r="D790" s="4" t="s">
        <v>38</v>
      </c>
      <c r="E790" s="4" t="s">
        <v>35</v>
      </c>
      <c r="F790" s="4" t="s">
        <v>1122</v>
      </c>
      <c r="G790">
        <v>7</v>
      </c>
      <c r="H790">
        <v>33</v>
      </c>
      <c r="I790" s="4" t="s">
        <v>116</v>
      </c>
      <c r="J790" s="4" t="s">
        <v>127</v>
      </c>
      <c r="K790" s="4" t="s">
        <v>128</v>
      </c>
      <c r="L790">
        <v>45</v>
      </c>
      <c r="M790" s="4" t="s">
        <v>158</v>
      </c>
    </row>
    <row r="791" spans="1:13" x14ac:dyDescent="0.2">
      <c r="A791" s="4" t="s">
        <v>1143</v>
      </c>
      <c r="B791">
        <v>790</v>
      </c>
      <c r="C791" s="4" t="s">
        <v>26</v>
      </c>
      <c r="D791" s="4" t="s">
        <v>38</v>
      </c>
      <c r="E791" s="4" t="s">
        <v>35</v>
      </c>
      <c r="F791" s="4" t="s">
        <v>1122</v>
      </c>
      <c r="G791">
        <v>7</v>
      </c>
      <c r="H791">
        <v>33</v>
      </c>
      <c r="I791" s="4" t="s">
        <v>116</v>
      </c>
      <c r="J791" s="4" t="s">
        <v>129</v>
      </c>
      <c r="K791" s="4" t="s">
        <v>130</v>
      </c>
      <c r="L791">
        <v>25</v>
      </c>
      <c r="M791" s="4" t="s">
        <v>158</v>
      </c>
    </row>
    <row r="792" spans="1:13" x14ac:dyDescent="0.2">
      <c r="A792" s="4" t="s">
        <v>1144</v>
      </c>
      <c r="B792">
        <v>791</v>
      </c>
      <c r="C792" s="4" t="s">
        <v>26</v>
      </c>
      <c r="D792" s="4" t="s">
        <v>38</v>
      </c>
      <c r="E792" s="4" t="s">
        <v>35</v>
      </c>
      <c r="F792" s="4" t="s">
        <v>1122</v>
      </c>
      <c r="G792">
        <v>7</v>
      </c>
      <c r="H792">
        <v>33</v>
      </c>
      <c r="I792" s="4" t="s">
        <v>116</v>
      </c>
      <c r="J792" s="4" t="s">
        <v>131</v>
      </c>
      <c r="K792" s="4" t="s">
        <v>132</v>
      </c>
      <c r="L792">
        <v>30</v>
      </c>
      <c r="M792" s="4" t="s">
        <v>158</v>
      </c>
    </row>
    <row r="793" spans="1:13" x14ac:dyDescent="0.2">
      <c r="A793" s="4" t="s">
        <v>1145</v>
      </c>
      <c r="B793">
        <v>792</v>
      </c>
      <c r="C793" s="4" t="s">
        <v>26</v>
      </c>
      <c r="D793" s="4" t="s">
        <v>38</v>
      </c>
      <c r="E793" s="4" t="s">
        <v>35</v>
      </c>
      <c r="F793" s="4" t="s">
        <v>1122</v>
      </c>
      <c r="G793">
        <v>7</v>
      </c>
      <c r="H793">
        <v>33</v>
      </c>
      <c r="I793" s="4" t="s">
        <v>116</v>
      </c>
      <c r="J793" s="4" t="s">
        <v>133</v>
      </c>
      <c r="K793" s="4" t="s">
        <v>134</v>
      </c>
      <c r="L793">
        <v>30</v>
      </c>
      <c r="M793" s="4" t="s">
        <v>158</v>
      </c>
    </row>
    <row r="794" spans="1:13" x14ac:dyDescent="0.2">
      <c r="A794" s="4" t="s">
        <v>1150</v>
      </c>
      <c r="B794">
        <v>793</v>
      </c>
      <c r="C794" s="4" t="s">
        <v>26</v>
      </c>
      <c r="D794" s="4" t="s">
        <v>38</v>
      </c>
      <c r="E794" s="4" t="s">
        <v>38</v>
      </c>
      <c r="F794" s="4" t="s">
        <v>1151</v>
      </c>
      <c r="G794">
        <v>7</v>
      </c>
      <c r="H794">
        <v>34</v>
      </c>
      <c r="I794" s="4" t="s">
        <v>35</v>
      </c>
      <c r="J794" s="4" t="s">
        <v>122</v>
      </c>
      <c r="K794" s="4" t="s">
        <v>123</v>
      </c>
      <c r="L794">
        <v>881</v>
      </c>
      <c r="M794" s="4" t="s">
        <v>158</v>
      </c>
    </row>
    <row r="795" spans="1:13" x14ac:dyDescent="0.2">
      <c r="A795" s="4" t="s">
        <v>1152</v>
      </c>
      <c r="B795">
        <v>794</v>
      </c>
      <c r="C795" s="4" t="s">
        <v>26</v>
      </c>
      <c r="D795" s="4" t="s">
        <v>38</v>
      </c>
      <c r="E795" s="4" t="s">
        <v>38</v>
      </c>
      <c r="F795" s="4" t="s">
        <v>1151</v>
      </c>
      <c r="G795">
        <v>7</v>
      </c>
      <c r="H795">
        <v>34</v>
      </c>
      <c r="I795" s="4" t="s">
        <v>35</v>
      </c>
      <c r="J795" s="4" t="s">
        <v>125</v>
      </c>
      <c r="K795" s="4" t="s">
        <v>126</v>
      </c>
      <c r="L795">
        <v>184</v>
      </c>
      <c r="M795" s="4" t="s">
        <v>158</v>
      </c>
    </row>
    <row r="796" spans="1:13" x14ac:dyDescent="0.2">
      <c r="A796" s="4" t="s">
        <v>1153</v>
      </c>
      <c r="B796">
        <v>795</v>
      </c>
      <c r="C796" s="4" t="s">
        <v>26</v>
      </c>
      <c r="D796" s="4" t="s">
        <v>38</v>
      </c>
      <c r="E796" s="4" t="s">
        <v>38</v>
      </c>
      <c r="F796" s="4" t="s">
        <v>1151</v>
      </c>
      <c r="G796">
        <v>7</v>
      </c>
      <c r="H796">
        <v>34</v>
      </c>
      <c r="I796" s="4" t="s">
        <v>35</v>
      </c>
      <c r="J796" s="4" t="s">
        <v>127</v>
      </c>
      <c r="K796" s="4" t="s">
        <v>128</v>
      </c>
      <c r="L796">
        <v>492</v>
      </c>
      <c r="M796" s="4" t="s">
        <v>158</v>
      </c>
    </row>
    <row r="797" spans="1:13" x14ac:dyDescent="0.2">
      <c r="A797" s="4" t="s">
        <v>1154</v>
      </c>
      <c r="B797">
        <v>796</v>
      </c>
      <c r="C797" s="4" t="s">
        <v>26</v>
      </c>
      <c r="D797" s="4" t="s">
        <v>38</v>
      </c>
      <c r="E797" s="4" t="s">
        <v>38</v>
      </c>
      <c r="F797" s="4" t="s">
        <v>1151</v>
      </c>
      <c r="G797">
        <v>7</v>
      </c>
      <c r="H797">
        <v>34</v>
      </c>
      <c r="I797" s="4" t="s">
        <v>35</v>
      </c>
      <c r="J797" s="4" t="s">
        <v>129</v>
      </c>
      <c r="K797" s="4" t="s">
        <v>130</v>
      </c>
      <c r="L797">
        <v>45</v>
      </c>
      <c r="M797" s="4" t="s">
        <v>158</v>
      </c>
    </row>
    <row r="798" spans="1:13" x14ac:dyDescent="0.2">
      <c r="A798" s="4" t="s">
        <v>1155</v>
      </c>
      <c r="B798">
        <v>797</v>
      </c>
      <c r="C798" s="4" t="s">
        <v>26</v>
      </c>
      <c r="D798" s="4" t="s">
        <v>38</v>
      </c>
      <c r="E798" s="4" t="s">
        <v>38</v>
      </c>
      <c r="F798" s="4" t="s">
        <v>1151</v>
      </c>
      <c r="G798">
        <v>7</v>
      </c>
      <c r="H798">
        <v>34</v>
      </c>
      <c r="I798" s="4" t="s">
        <v>35</v>
      </c>
      <c r="J798" s="4" t="s">
        <v>131</v>
      </c>
      <c r="K798" s="4" t="s">
        <v>132</v>
      </c>
      <c r="L798">
        <v>169</v>
      </c>
      <c r="M798" s="4" t="s">
        <v>158</v>
      </c>
    </row>
    <row r="799" spans="1:13" x14ac:dyDescent="0.2">
      <c r="A799" s="4" t="s">
        <v>1156</v>
      </c>
      <c r="B799">
        <v>798</v>
      </c>
      <c r="C799" s="4" t="s">
        <v>26</v>
      </c>
      <c r="D799" s="4" t="s">
        <v>38</v>
      </c>
      <c r="E799" s="4" t="s">
        <v>38</v>
      </c>
      <c r="F799" s="4" t="s">
        <v>1151</v>
      </c>
      <c r="G799">
        <v>7</v>
      </c>
      <c r="H799">
        <v>34</v>
      </c>
      <c r="I799" s="4" t="s">
        <v>35</v>
      </c>
      <c r="J799" s="4" t="s">
        <v>133</v>
      </c>
      <c r="K799" s="4" t="s">
        <v>134</v>
      </c>
      <c r="L799">
        <v>204</v>
      </c>
      <c r="M799" s="4" t="s">
        <v>158</v>
      </c>
    </row>
    <row r="800" spans="1:13" x14ac:dyDescent="0.2">
      <c r="A800" s="4" t="s">
        <v>1157</v>
      </c>
      <c r="B800">
        <v>799</v>
      </c>
      <c r="C800" s="4" t="s">
        <v>26</v>
      </c>
      <c r="D800" s="4" t="s">
        <v>38</v>
      </c>
      <c r="E800" s="4" t="s">
        <v>38</v>
      </c>
      <c r="F800" s="4" t="s">
        <v>1151</v>
      </c>
      <c r="G800">
        <v>7</v>
      </c>
      <c r="H800">
        <v>34</v>
      </c>
      <c r="I800" s="4" t="s">
        <v>112</v>
      </c>
      <c r="J800" s="4" t="s">
        <v>122</v>
      </c>
      <c r="K800" s="4" t="s">
        <v>123</v>
      </c>
      <c r="L800">
        <v>55</v>
      </c>
      <c r="M800" s="4" t="s">
        <v>158</v>
      </c>
    </row>
    <row r="801" spans="1:13" x14ac:dyDescent="0.2">
      <c r="A801" s="4" t="s">
        <v>1158</v>
      </c>
      <c r="B801">
        <v>800</v>
      </c>
      <c r="C801" s="4" t="s">
        <v>26</v>
      </c>
      <c r="D801" s="4" t="s">
        <v>38</v>
      </c>
      <c r="E801" s="4" t="s">
        <v>38</v>
      </c>
      <c r="F801" s="4" t="s">
        <v>1151</v>
      </c>
      <c r="G801">
        <v>7</v>
      </c>
      <c r="H801">
        <v>34</v>
      </c>
      <c r="I801" s="4" t="s">
        <v>112</v>
      </c>
      <c r="J801" s="4" t="s">
        <v>125</v>
      </c>
      <c r="K801" s="4" t="s">
        <v>126</v>
      </c>
      <c r="L801">
        <v>30</v>
      </c>
      <c r="M801" s="4" t="s">
        <v>158</v>
      </c>
    </row>
    <row r="802" spans="1:13" x14ac:dyDescent="0.2">
      <c r="A802" s="4" t="s">
        <v>1159</v>
      </c>
      <c r="B802">
        <v>801</v>
      </c>
      <c r="C802" s="4" t="s">
        <v>26</v>
      </c>
      <c r="D802" s="4" t="s">
        <v>38</v>
      </c>
      <c r="E802" s="4" t="s">
        <v>38</v>
      </c>
      <c r="F802" s="4" t="s">
        <v>1151</v>
      </c>
      <c r="G802">
        <v>7</v>
      </c>
      <c r="H802">
        <v>34</v>
      </c>
      <c r="I802" s="4" t="s">
        <v>112</v>
      </c>
      <c r="J802" s="4" t="s">
        <v>127</v>
      </c>
      <c r="K802" s="4" t="s">
        <v>128</v>
      </c>
      <c r="L802">
        <v>48</v>
      </c>
      <c r="M802" s="4" t="s">
        <v>158</v>
      </c>
    </row>
    <row r="803" spans="1:13" x14ac:dyDescent="0.2">
      <c r="A803" s="4" t="s">
        <v>1160</v>
      </c>
      <c r="B803">
        <v>802</v>
      </c>
      <c r="C803" s="4" t="s">
        <v>26</v>
      </c>
      <c r="D803" s="4" t="s">
        <v>38</v>
      </c>
      <c r="E803" s="4" t="s">
        <v>38</v>
      </c>
      <c r="F803" s="4" t="s">
        <v>1151</v>
      </c>
      <c r="G803">
        <v>7</v>
      </c>
      <c r="H803">
        <v>34</v>
      </c>
      <c r="I803" s="4" t="s">
        <v>112</v>
      </c>
      <c r="J803" s="4" t="s">
        <v>129</v>
      </c>
      <c r="K803" s="4" t="s">
        <v>130</v>
      </c>
      <c r="L803">
        <v>40</v>
      </c>
      <c r="M803" s="4" t="s">
        <v>158</v>
      </c>
    </row>
    <row r="804" spans="1:13" x14ac:dyDescent="0.2">
      <c r="A804" s="4" t="s">
        <v>1161</v>
      </c>
      <c r="B804">
        <v>803</v>
      </c>
      <c r="C804" s="4" t="s">
        <v>26</v>
      </c>
      <c r="D804" s="4" t="s">
        <v>38</v>
      </c>
      <c r="E804" s="4" t="s">
        <v>38</v>
      </c>
      <c r="F804" s="4" t="s">
        <v>1151</v>
      </c>
      <c r="G804">
        <v>7</v>
      </c>
      <c r="H804">
        <v>34</v>
      </c>
      <c r="I804" s="4" t="s">
        <v>112</v>
      </c>
      <c r="J804" s="4" t="s">
        <v>131</v>
      </c>
      <c r="K804" s="4" t="s">
        <v>132</v>
      </c>
      <c r="L804">
        <v>48</v>
      </c>
      <c r="M804" s="4" t="s">
        <v>158</v>
      </c>
    </row>
    <row r="805" spans="1:13" x14ac:dyDescent="0.2">
      <c r="A805" s="4" t="s">
        <v>1162</v>
      </c>
      <c r="B805">
        <v>804</v>
      </c>
      <c r="C805" s="4" t="s">
        <v>26</v>
      </c>
      <c r="D805" s="4" t="s">
        <v>38</v>
      </c>
      <c r="E805" s="4" t="s">
        <v>38</v>
      </c>
      <c r="F805" s="4" t="s">
        <v>1151</v>
      </c>
      <c r="G805">
        <v>7</v>
      </c>
      <c r="H805">
        <v>34</v>
      </c>
      <c r="I805" s="4" t="s">
        <v>112</v>
      </c>
      <c r="J805" s="4" t="s">
        <v>133</v>
      </c>
      <c r="K805" s="4" t="s">
        <v>134</v>
      </c>
      <c r="L805">
        <v>50</v>
      </c>
      <c r="M805" s="4" t="s">
        <v>158</v>
      </c>
    </row>
    <row r="806" spans="1:13" x14ac:dyDescent="0.2">
      <c r="A806" s="4" t="s">
        <v>1163</v>
      </c>
      <c r="B806">
        <v>805</v>
      </c>
      <c r="C806" s="4" t="s">
        <v>26</v>
      </c>
      <c r="D806" s="4" t="s">
        <v>38</v>
      </c>
      <c r="E806" s="4" t="s">
        <v>38</v>
      </c>
      <c r="F806" s="4" t="s">
        <v>1151</v>
      </c>
      <c r="G806">
        <v>7</v>
      </c>
      <c r="H806">
        <v>34</v>
      </c>
      <c r="I806" s="4" t="s">
        <v>114</v>
      </c>
      <c r="J806" s="4" t="s">
        <v>122</v>
      </c>
      <c r="K806" s="4" t="s">
        <v>123</v>
      </c>
      <c r="L806">
        <v>65</v>
      </c>
      <c r="M806" s="4" t="s">
        <v>158</v>
      </c>
    </row>
    <row r="807" spans="1:13" x14ac:dyDescent="0.2">
      <c r="A807" s="4" t="s">
        <v>1164</v>
      </c>
      <c r="B807">
        <v>806</v>
      </c>
      <c r="C807" s="4" t="s">
        <v>26</v>
      </c>
      <c r="D807" s="4" t="s">
        <v>38</v>
      </c>
      <c r="E807" s="4" t="s">
        <v>38</v>
      </c>
      <c r="F807" s="4" t="s">
        <v>1151</v>
      </c>
      <c r="G807">
        <v>7</v>
      </c>
      <c r="H807">
        <v>34</v>
      </c>
      <c r="I807" s="4" t="s">
        <v>114</v>
      </c>
      <c r="J807" s="4" t="s">
        <v>125</v>
      </c>
      <c r="K807" s="4" t="s">
        <v>126</v>
      </c>
      <c r="L807">
        <v>50</v>
      </c>
      <c r="M807" s="4" t="s">
        <v>158</v>
      </c>
    </row>
    <row r="808" spans="1:13" x14ac:dyDescent="0.2">
      <c r="A808" s="4" t="s">
        <v>1165</v>
      </c>
      <c r="B808">
        <v>807</v>
      </c>
      <c r="C808" s="4" t="s">
        <v>26</v>
      </c>
      <c r="D808" s="4" t="s">
        <v>38</v>
      </c>
      <c r="E808" s="4" t="s">
        <v>38</v>
      </c>
      <c r="F808" s="4" t="s">
        <v>1151</v>
      </c>
      <c r="G808">
        <v>7</v>
      </c>
      <c r="H808">
        <v>34</v>
      </c>
      <c r="I808" s="4" t="s">
        <v>114</v>
      </c>
      <c r="J808" s="4" t="s">
        <v>127</v>
      </c>
      <c r="K808" s="4" t="s">
        <v>128</v>
      </c>
      <c r="L808">
        <v>0</v>
      </c>
      <c r="M808" s="4" t="s">
        <v>158</v>
      </c>
    </row>
    <row r="809" spans="1:13" x14ac:dyDescent="0.2">
      <c r="A809" s="4" t="s">
        <v>1166</v>
      </c>
      <c r="B809">
        <v>808</v>
      </c>
      <c r="C809" s="4" t="s">
        <v>26</v>
      </c>
      <c r="D809" s="4" t="s">
        <v>38</v>
      </c>
      <c r="E809" s="4" t="s">
        <v>38</v>
      </c>
      <c r="F809" s="4" t="s">
        <v>1151</v>
      </c>
      <c r="G809">
        <v>7</v>
      </c>
      <c r="H809">
        <v>34</v>
      </c>
      <c r="I809" s="4" t="s">
        <v>114</v>
      </c>
      <c r="J809" s="4" t="s">
        <v>129</v>
      </c>
      <c r="K809" s="4" t="s">
        <v>130</v>
      </c>
      <c r="L809">
        <v>40</v>
      </c>
      <c r="M809" s="4" t="s">
        <v>158</v>
      </c>
    </row>
    <row r="810" spans="1:13" x14ac:dyDescent="0.2">
      <c r="A810" s="4" t="s">
        <v>1167</v>
      </c>
      <c r="B810">
        <v>809</v>
      </c>
      <c r="C810" s="4" t="s">
        <v>26</v>
      </c>
      <c r="D810" s="4" t="s">
        <v>38</v>
      </c>
      <c r="E810" s="4" t="s">
        <v>38</v>
      </c>
      <c r="F810" s="4" t="s">
        <v>1151</v>
      </c>
      <c r="G810">
        <v>7</v>
      </c>
      <c r="H810">
        <v>34</v>
      </c>
      <c r="I810" s="4" t="s">
        <v>114</v>
      </c>
      <c r="J810" s="4" t="s">
        <v>131</v>
      </c>
      <c r="K810" s="4" t="s">
        <v>132</v>
      </c>
      <c r="L810">
        <v>24</v>
      </c>
      <c r="M810" s="4" t="s">
        <v>158</v>
      </c>
    </row>
    <row r="811" spans="1:13" x14ac:dyDescent="0.2">
      <c r="A811" s="4" t="s">
        <v>1168</v>
      </c>
      <c r="B811">
        <v>810</v>
      </c>
      <c r="C811" s="4" t="s">
        <v>26</v>
      </c>
      <c r="D811" s="4" t="s">
        <v>38</v>
      </c>
      <c r="E811" s="4" t="s">
        <v>38</v>
      </c>
      <c r="F811" s="4" t="s">
        <v>1151</v>
      </c>
      <c r="G811">
        <v>7</v>
      </c>
      <c r="H811">
        <v>34</v>
      </c>
      <c r="I811" s="4" t="s">
        <v>114</v>
      </c>
      <c r="J811" s="4" t="s">
        <v>133</v>
      </c>
      <c r="K811" s="4" t="s">
        <v>134</v>
      </c>
      <c r="L811">
        <v>0</v>
      </c>
      <c r="M811" s="4" t="s">
        <v>158</v>
      </c>
    </row>
    <row r="812" spans="1:13" x14ac:dyDescent="0.2">
      <c r="A812" s="4" t="s">
        <v>1169</v>
      </c>
      <c r="B812">
        <v>811</v>
      </c>
      <c r="C812" s="4" t="s">
        <v>26</v>
      </c>
      <c r="D812" s="4" t="s">
        <v>38</v>
      </c>
      <c r="E812" s="4" t="s">
        <v>38</v>
      </c>
      <c r="F812" s="4" t="s">
        <v>1151</v>
      </c>
      <c r="G812">
        <v>7</v>
      </c>
      <c r="H812">
        <v>34</v>
      </c>
      <c r="I812" s="4" t="s">
        <v>116</v>
      </c>
      <c r="J812" s="4" t="s">
        <v>122</v>
      </c>
      <c r="K812" s="4" t="s">
        <v>123</v>
      </c>
      <c r="L812">
        <v>0</v>
      </c>
      <c r="M812" s="4" t="s">
        <v>158</v>
      </c>
    </row>
    <row r="813" spans="1:13" x14ac:dyDescent="0.2">
      <c r="A813" s="4" t="s">
        <v>1170</v>
      </c>
      <c r="B813">
        <v>812</v>
      </c>
      <c r="C813" s="4" t="s">
        <v>26</v>
      </c>
      <c r="D813" s="4" t="s">
        <v>38</v>
      </c>
      <c r="E813" s="4" t="s">
        <v>38</v>
      </c>
      <c r="F813" s="4" t="s">
        <v>1151</v>
      </c>
      <c r="G813">
        <v>7</v>
      </c>
      <c r="H813">
        <v>34</v>
      </c>
      <c r="I813" s="4" t="s">
        <v>116</v>
      </c>
      <c r="J813" s="4" t="s">
        <v>125</v>
      </c>
      <c r="K813" s="4" t="s">
        <v>126</v>
      </c>
      <c r="L813">
        <v>12</v>
      </c>
      <c r="M813" s="4" t="s">
        <v>158</v>
      </c>
    </row>
    <row r="814" spans="1:13" x14ac:dyDescent="0.2">
      <c r="A814" s="4" t="s">
        <v>1171</v>
      </c>
      <c r="B814">
        <v>813</v>
      </c>
      <c r="C814" s="4" t="s">
        <v>26</v>
      </c>
      <c r="D814" s="4" t="s">
        <v>38</v>
      </c>
      <c r="E814" s="4" t="s">
        <v>38</v>
      </c>
      <c r="F814" s="4" t="s">
        <v>1151</v>
      </c>
      <c r="G814">
        <v>7</v>
      </c>
      <c r="H814">
        <v>34</v>
      </c>
      <c r="I814" s="4" t="s">
        <v>116</v>
      </c>
      <c r="J814" s="4" t="s">
        <v>127</v>
      </c>
      <c r="K814" s="4" t="s">
        <v>128</v>
      </c>
      <c r="L814">
        <v>45</v>
      </c>
      <c r="M814" s="4" t="s">
        <v>158</v>
      </c>
    </row>
    <row r="815" spans="1:13" x14ac:dyDescent="0.2">
      <c r="A815" s="4" t="s">
        <v>1172</v>
      </c>
      <c r="B815">
        <v>814</v>
      </c>
      <c r="C815" s="4" t="s">
        <v>26</v>
      </c>
      <c r="D815" s="4" t="s">
        <v>38</v>
      </c>
      <c r="E815" s="4" t="s">
        <v>38</v>
      </c>
      <c r="F815" s="4" t="s">
        <v>1151</v>
      </c>
      <c r="G815">
        <v>7</v>
      </c>
      <c r="H815">
        <v>34</v>
      </c>
      <c r="I815" s="4" t="s">
        <v>116</v>
      </c>
      <c r="J815" s="4" t="s">
        <v>129</v>
      </c>
      <c r="K815" s="4" t="s">
        <v>130</v>
      </c>
      <c r="L815">
        <v>60</v>
      </c>
      <c r="M815" s="4" t="s">
        <v>158</v>
      </c>
    </row>
    <row r="816" spans="1:13" x14ac:dyDescent="0.2">
      <c r="A816" s="4" t="s">
        <v>1173</v>
      </c>
      <c r="B816">
        <v>815</v>
      </c>
      <c r="C816" s="4" t="s">
        <v>26</v>
      </c>
      <c r="D816" s="4" t="s">
        <v>38</v>
      </c>
      <c r="E816" s="4" t="s">
        <v>38</v>
      </c>
      <c r="F816" s="4" t="s">
        <v>1151</v>
      </c>
      <c r="G816">
        <v>7</v>
      </c>
      <c r="H816">
        <v>34</v>
      </c>
      <c r="I816" s="4" t="s">
        <v>116</v>
      </c>
      <c r="J816" s="4" t="s">
        <v>131</v>
      </c>
      <c r="K816" s="4" t="s">
        <v>132</v>
      </c>
      <c r="L816">
        <v>30</v>
      </c>
      <c r="M816" s="4" t="s">
        <v>158</v>
      </c>
    </row>
    <row r="817" spans="1:13" x14ac:dyDescent="0.2">
      <c r="A817" s="4" t="s">
        <v>1174</v>
      </c>
      <c r="B817">
        <v>816</v>
      </c>
      <c r="C817" s="4" t="s">
        <v>26</v>
      </c>
      <c r="D817" s="4" t="s">
        <v>38</v>
      </c>
      <c r="E817" s="4" t="s">
        <v>38</v>
      </c>
      <c r="F817" s="4" t="s">
        <v>1151</v>
      </c>
      <c r="G817">
        <v>7</v>
      </c>
      <c r="H817">
        <v>34</v>
      </c>
      <c r="I817" s="4" t="s">
        <v>116</v>
      </c>
      <c r="J817" s="4" t="s">
        <v>133</v>
      </c>
      <c r="K817" s="4" t="s">
        <v>134</v>
      </c>
      <c r="L817">
        <v>30</v>
      </c>
      <c r="M817" s="4" t="s">
        <v>158</v>
      </c>
    </row>
    <row r="818" spans="1:13" x14ac:dyDescent="0.2">
      <c r="A818" s="4" t="s">
        <v>1179</v>
      </c>
      <c r="B818">
        <v>817</v>
      </c>
      <c r="C818" s="4" t="s">
        <v>26</v>
      </c>
      <c r="D818" s="4" t="s">
        <v>38</v>
      </c>
      <c r="E818" s="4" t="s">
        <v>41</v>
      </c>
      <c r="F818" s="4" t="s">
        <v>1180</v>
      </c>
      <c r="G818">
        <v>7</v>
      </c>
      <c r="H818">
        <v>35</v>
      </c>
      <c r="I818" s="4" t="s">
        <v>35</v>
      </c>
      <c r="J818" s="4" t="s">
        <v>122</v>
      </c>
      <c r="K818" s="4" t="s">
        <v>123</v>
      </c>
      <c r="L818">
        <v>531</v>
      </c>
      <c r="M818" s="4" t="s">
        <v>158</v>
      </c>
    </row>
    <row r="819" spans="1:13" x14ac:dyDescent="0.2">
      <c r="A819" s="4" t="s">
        <v>1181</v>
      </c>
      <c r="B819">
        <v>818</v>
      </c>
      <c r="C819" s="4" t="s">
        <v>26</v>
      </c>
      <c r="D819" s="4" t="s">
        <v>38</v>
      </c>
      <c r="E819" s="4" t="s">
        <v>41</v>
      </c>
      <c r="F819" s="4" t="s">
        <v>1180</v>
      </c>
      <c r="G819">
        <v>7</v>
      </c>
      <c r="H819">
        <v>35</v>
      </c>
      <c r="I819" s="4" t="s">
        <v>35</v>
      </c>
      <c r="J819" s="4" t="s">
        <v>125</v>
      </c>
      <c r="K819" s="4" t="s">
        <v>126</v>
      </c>
      <c r="L819">
        <v>166</v>
      </c>
      <c r="M819" s="4" t="s">
        <v>158</v>
      </c>
    </row>
    <row r="820" spans="1:13" x14ac:dyDescent="0.2">
      <c r="A820" s="4" t="s">
        <v>1182</v>
      </c>
      <c r="B820">
        <v>819</v>
      </c>
      <c r="C820" s="4" t="s">
        <v>26</v>
      </c>
      <c r="D820" s="4" t="s">
        <v>38</v>
      </c>
      <c r="E820" s="4" t="s">
        <v>41</v>
      </c>
      <c r="F820" s="4" t="s">
        <v>1180</v>
      </c>
      <c r="G820">
        <v>7</v>
      </c>
      <c r="H820">
        <v>35</v>
      </c>
      <c r="I820" s="4" t="s">
        <v>35</v>
      </c>
      <c r="J820" s="4" t="s">
        <v>127</v>
      </c>
      <c r="K820" s="4" t="s">
        <v>128</v>
      </c>
      <c r="L820">
        <v>175</v>
      </c>
      <c r="M820" s="4" t="s">
        <v>158</v>
      </c>
    </row>
    <row r="821" spans="1:13" x14ac:dyDescent="0.2">
      <c r="A821" s="4" t="s">
        <v>1183</v>
      </c>
      <c r="B821">
        <v>820</v>
      </c>
      <c r="C821" s="4" t="s">
        <v>26</v>
      </c>
      <c r="D821" s="4" t="s">
        <v>38</v>
      </c>
      <c r="E821" s="4" t="s">
        <v>41</v>
      </c>
      <c r="F821" s="4" t="s">
        <v>1180</v>
      </c>
      <c r="G821">
        <v>7</v>
      </c>
      <c r="H821">
        <v>35</v>
      </c>
      <c r="I821" s="4" t="s">
        <v>35</v>
      </c>
      <c r="J821" s="4" t="s">
        <v>129</v>
      </c>
      <c r="K821" s="4" t="s">
        <v>130</v>
      </c>
      <c r="L821">
        <v>45</v>
      </c>
      <c r="M821" s="4" t="s">
        <v>158</v>
      </c>
    </row>
    <row r="822" spans="1:13" x14ac:dyDescent="0.2">
      <c r="A822" s="4" t="s">
        <v>1184</v>
      </c>
      <c r="B822">
        <v>821</v>
      </c>
      <c r="C822" s="4" t="s">
        <v>26</v>
      </c>
      <c r="D822" s="4" t="s">
        <v>38</v>
      </c>
      <c r="E822" s="4" t="s">
        <v>41</v>
      </c>
      <c r="F822" s="4" t="s">
        <v>1180</v>
      </c>
      <c r="G822">
        <v>7</v>
      </c>
      <c r="H822">
        <v>35</v>
      </c>
      <c r="I822" s="4" t="s">
        <v>35</v>
      </c>
      <c r="J822" s="4" t="s">
        <v>131</v>
      </c>
      <c r="K822" s="4" t="s">
        <v>132</v>
      </c>
      <c r="L822">
        <v>116</v>
      </c>
      <c r="M822" s="4" t="s">
        <v>158</v>
      </c>
    </row>
    <row r="823" spans="1:13" x14ac:dyDescent="0.2">
      <c r="A823" s="4" t="s">
        <v>1185</v>
      </c>
      <c r="B823">
        <v>822</v>
      </c>
      <c r="C823" s="4" t="s">
        <v>26</v>
      </c>
      <c r="D823" s="4" t="s">
        <v>38</v>
      </c>
      <c r="E823" s="4" t="s">
        <v>41</v>
      </c>
      <c r="F823" s="4" t="s">
        <v>1180</v>
      </c>
      <c r="G823">
        <v>7</v>
      </c>
      <c r="H823">
        <v>35</v>
      </c>
      <c r="I823" s="4" t="s">
        <v>35</v>
      </c>
      <c r="J823" s="4" t="s">
        <v>133</v>
      </c>
      <c r="K823" s="4" t="s">
        <v>134</v>
      </c>
      <c r="L823">
        <v>174</v>
      </c>
      <c r="M823" s="4" t="s">
        <v>158</v>
      </c>
    </row>
    <row r="824" spans="1:13" x14ac:dyDescent="0.2">
      <c r="A824" s="4" t="s">
        <v>1186</v>
      </c>
      <c r="B824">
        <v>823</v>
      </c>
      <c r="C824" s="4" t="s">
        <v>26</v>
      </c>
      <c r="D824" s="4" t="s">
        <v>38</v>
      </c>
      <c r="E824" s="4" t="s">
        <v>41</v>
      </c>
      <c r="F824" s="4" t="s">
        <v>1180</v>
      </c>
      <c r="G824">
        <v>7</v>
      </c>
      <c r="H824">
        <v>35</v>
      </c>
      <c r="I824" s="4" t="s">
        <v>112</v>
      </c>
      <c r="J824" s="4" t="s">
        <v>122</v>
      </c>
      <c r="K824" s="4" t="s">
        <v>123</v>
      </c>
      <c r="L824">
        <v>270</v>
      </c>
      <c r="M824" s="4" t="s">
        <v>158</v>
      </c>
    </row>
    <row r="825" spans="1:13" x14ac:dyDescent="0.2">
      <c r="A825" s="4" t="s">
        <v>1187</v>
      </c>
      <c r="B825">
        <v>824</v>
      </c>
      <c r="C825" s="4" t="s">
        <v>26</v>
      </c>
      <c r="D825" s="4" t="s">
        <v>38</v>
      </c>
      <c r="E825" s="4" t="s">
        <v>41</v>
      </c>
      <c r="F825" s="4" t="s">
        <v>1180</v>
      </c>
      <c r="G825">
        <v>7</v>
      </c>
      <c r="H825">
        <v>35</v>
      </c>
      <c r="I825" s="4" t="s">
        <v>112</v>
      </c>
      <c r="J825" s="4" t="s">
        <v>125</v>
      </c>
      <c r="K825" s="4" t="s">
        <v>126</v>
      </c>
      <c r="L825">
        <v>30</v>
      </c>
      <c r="M825" s="4" t="s">
        <v>158</v>
      </c>
    </row>
    <row r="826" spans="1:13" x14ac:dyDescent="0.2">
      <c r="A826" s="4" t="s">
        <v>1188</v>
      </c>
      <c r="B826">
        <v>825</v>
      </c>
      <c r="C826" s="4" t="s">
        <v>26</v>
      </c>
      <c r="D826" s="4" t="s">
        <v>38</v>
      </c>
      <c r="E826" s="4" t="s">
        <v>41</v>
      </c>
      <c r="F826" s="4" t="s">
        <v>1180</v>
      </c>
      <c r="G826">
        <v>7</v>
      </c>
      <c r="H826">
        <v>35</v>
      </c>
      <c r="I826" s="4" t="s">
        <v>112</v>
      </c>
      <c r="J826" s="4" t="s">
        <v>127</v>
      </c>
      <c r="K826" s="4" t="s">
        <v>128</v>
      </c>
      <c r="L826">
        <v>150</v>
      </c>
      <c r="M826" s="4" t="s">
        <v>158</v>
      </c>
    </row>
    <row r="827" spans="1:13" x14ac:dyDescent="0.2">
      <c r="A827" s="4" t="s">
        <v>1189</v>
      </c>
      <c r="B827">
        <v>826</v>
      </c>
      <c r="C827" s="4" t="s">
        <v>26</v>
      </c>
      <c r="D827" s="4" t="s">
        <v>38</v>
      </c>
      <c r="E827" s="4" t="s">
        <v>41</v>
      </c>
      <c r="F827" s="4" t="s">
        <v>1180</v>
      </c>
      <c r="G827">
        <v>7</v>
      </c>
      <c r="H827">
        <v>35</v>
      </c>
      <c r="I827" s="4" t="s">
        <v>112</v>
      </c>
      <c r="J827" s="4" t="s">
        <v>129</v>
      </c>
      <c r="K827" s="4" t="s">
        <v>130</v>
      </c>
      <c r="L827">
        <v>40</v>
      </c>
      <c r="M827" s="4" t="s">
        <v>158</v>
      </c>
    </row>
    <row r="828" spans="1:13" x14ac:dyDescent="0.2">
      <c r="A828" s="4" t="s">
        <v>1190</v>
      </c>
      <c r="B828">
        <v>827</v>
      </c>
      <c r="C828" s="4" t="s">
        <v>26</v>
      </c>
      <c r="D828" s="4" t="s">
        <v>38</v>
      </c>
      <c r="E828" s="4" t="s">
        <v>41</v>
      </c>
      <c r="F828" s="4" t="s">
        <v>1180</v>
      </c>
      <c r="G828">
        <v>7</v>
      </c>
      <c r="H828">
        <v>35</v>
      </c>
      <c r="I828" s="4" t="s">
        <v>112</v>
      </c>
      <c r="J828" s="4" t="s">
        <v>131</v>
      </c>
      <c r="K828" s="4" t="s">
        <v>132</v>
      </c>
      <c r="L828">
        <v>50</v>
      </c>
      <c r="M828" s="4" t="s">
        <v>158</v>
      </c>
    </row>
    <row r="829" spans="1:13" x14ac:dyDescent="0.2">
      <c r="A829" s="4" t="s">
        <v>1191</v>
      </c>
      <c r="B829">
        <v>828</v>
      </c>
      <c r="C829" s="4" t="s">
        <v>26</v>
      </c>
      <c r="D829" s="4" t="s">
        <v>38</v>
      </c>
      <c r="E829" s="4" t="s">
        <v>41</v>
      </c>
      <c r="F829" s="4" t="s">
        <v>1180</v>
      </c>
      <c r="G829">
        <v>7</v>
      </c>
      <c r="H829">
        <v>35</v>
      </c>
      <c r="I829" s="4" t="s">
        <v>112</v>
      </c>
      <c r="J829" s="4" t="s">
        <v>133</v>
      </c>
      <c r="K829" s="4" t="s">
        <v>134</v>
      </c>
      <c r="L829">
        <v>39</v>
      </c>
      <c r="M829" s="4" t="s">
        <v>158</v>
      </c>
    </row>
    <row r="830" spans="1:13" x14ac:dyDescent="0.2">
      <c r="A830" s="4" t="s">
        <v>1192</v>
      </c>
      <c r="B830">
        <v>829</v>
      </c>
      <c r="C830" s="4" t="s">
        <v>26</v>
      </c>
      <c r="D830" s="4" t="s">
        <v>38</v>
      </c>
      <c r="E830" s="4" t="s">
        <v>41</v>
      </c>
      <c r="F830" s="4" t="s">
        <v>1180</v>
      </c>
      <c r="G830">
        <v>7</v>
      </c>
      <c r="H830">
        <v>35</v>
      </c>
      <c r="I830" s="4" t="s">
        <v>114</v>
      </c>
      <c r="J830" s="4" t="s">
        <v>122</v>
      </c>
      <c r="K830" s="4" t="s">
        <v>123</v>
      </c>
      <c r="L830">
        <v>35</v>
      </c>
      <c r="M830" s="4" t="s">
        <v>158</v>
      </c>
    </row>
    <row r="831" spans="1:13" x14ac:dyDescent="0.2">
      <c r="A831" s="4" t="s">
        <v>1193</v>
      </c>
      <c r="B831">
        <v>830</v>
      </c>
      <c r="C831" s="4" t="s">
        <v>26</v>
      </c>
      <c r="D831" s="4" t="s">
        <v>38</v>
      </c>
      <c r="E831" s="4" t="s">
        <v>41</v>
      </c>
      <c r="F831" s="4" t="s">
        <v>1180</v>
      </c>
      <c r="G831">
        <v>7</v>
      </c>
      <c r="H831">
        <v>35</v>
      </c>
      <c r="I831" s="4" t="s">
        <v>114</v>
      </c>
      <c r="J831" s="4" t="s">
        <v>125</v>
      </c>
      <c r="K831" s="4" t="s">
        <v>126</v>
      </c>
      <c r="L831">
        <v>50</v>
      </c>
      <c r="M831" s="4" t="s">
        <v>158</v>
      </c>
    </row>
    <row r="832" spans="1:13" x14ac:dyDescent="0.2">
      <c r="A832" s="4" t="s">
        <v>1194</v>
      </c>
      <c r="B832">
        <v>831</v>
      </c>
      <c r="C832" s="4" t="s">
        <v>26</v>
      </c>
      <c r="D832" s="4" t="s">
        <v>38</v>
      </c>
      <c r="E832" s="4" t="s">
        <v>41</v>
      </c>
      <c r="F832" s="4" t="s">
        <v>1180</v>
      </c>
      <c r="G832">
        <v>7</v>
      </c>
      <c r="H832">
        <v>35</v>
      </c>
      <c r="I832" s="4" t="s">
        <v>114</v>
      </c>
      <c r="J832" s="4" t="s">
        <v>127</v>
      </c>
      <c r="K832" s="4" t="s">
        <v>128</v>
      </c>
      <c r="L832">
        <v>210</v>
      </c>
      <c r="M832" s="4" t="s">
        <v>158</v>
      </c>
    </row>
    <row r="833" spans="1:13" x14ac:dyDescent="0.2">
      <c r="A833" s="4" t="s">
        <v>1195</v>
      </c>
      <c r="B833">
        <v>832</v>
      </c>
      <c r="C833" s="4" t="s">
        <v>26</v>
      </c>
      <c r="D833" s="4" t="s">
        <v>38</v>
      </c>
      <c r="E833" s="4" t="s">
        <v>41</v>
      </c>
      <c r="F833" s="4" t="s">
        <v>1180</v>
      </c>
      <c r="G833">
        <v>7</v>
      </c>
      <c r="H833">
        <v>35</v>
      </c>
      <c r="I833" s="4" t="s">
        <v>114</v>
      </c>
      <c r="J833" s="4" t="s">
        <v>129</v>
      </c>
      <c r="K833" s="4" t="s">
        <v>130</v>
      </c>
      <c r="L833">
        <v>17</v>
      </c>
      <c r="M833" s="4" t="s">
        <v>158</v>
      </c>
    </row>
    <row r="834" spans="1:13" x14ac:dyDescent="0.2">
      <c r="A834" s="4" t="s">
        <v>1196</v>
      </c>
      <c r="B834">
        <v>833</v>
      </c>
      <c r="C834" s="4" t="s">
        <v>26</v>
      </c>
      <c r="D834" s="4" t="s">
        <v>38</v>
      </c>
      <c r="E834" s="4" t="s">
        <v>41</v>
      </c>
      <c r="F834" s="4" t="s">
        <v>1180</v>
      </c>
      <c r="G834">
        <v>7</v>
      </c>
      <c r="H834">
        <v>35</v>
      </c>
      <c r="I834" s="4" t="s">
        <v>114</v>
      </c>
      <c r="J834" s="4" t="s">
        <v>131</v>
      </c>
      <c r="K834" s="4" t="s">
        <v>132</v>
      </c>
      <c r="L834">
        <v>75</v>
      </c>
      <c r="M834" s="4" t="s">
        <v>158</v>
      </c>
    </row>
    <row r="835" spans="1:13" x14ac:dyDescent="0.2">
      <c r="A835" s="4" t="s">
        <v>1197</v>
      </c>
      <c r="B835">
        <v>834</v>
      </c>
      <c r="C835" s="4" t="s">
        <v>26</v>
      </c>
      <c r="D835" s="4" t="s">
        <v>38</v>
      </c>
      <c r="E835" s="4" t="s">
        <v>41</v>
      </c>
      <c r="F835" s="4" t="s">
        <v>1180</v>
      </c>
      <c r="G835">
        <v>7</v>
      </c>
      <c r="H835">
        <v>35</v>
      </c>
      <c r="I835" s="4" t="s">
        <v>114</v>
      </c>
      <c r="J835" s="4" t="s">
        <v>133</v>
      </c>
      <c r="K835" s="4" t="s">
        <v>134</v>
      </c>
      <c r="L835">
        <v>30</v>
      </c>
      <c r="M835" s="4" t="s">
        <v>158</v>
      </c>
    </row>
    <row r="836" spans="1:13" x14ac:dyDescent="0.2">
      <c r="A836" s="4" t="s">
        <v>1198</v>
      </c>
      <c r="B836">
        <v>835</v>
      </c>
      <c r="C836" s="4" t="s">
        <v>26</v>
      </c>
      <c r="D836" s="4" t="s">
        <v>38</v>
      </c>
      <c r="E836" s="4" t="s">
        <v>41</v>
      </c>
      <c r="F836" s="4" t="s">
        <v>1180</v>
      </c>
      <c r="G836">
        <v>7</v>
      </c>
      <c r="H836">
        <v>35</v>
      </c>
      <c r="I836" s="4" t="s">
        <v>116</v>
      </c>
      <c r="J836" s="4" t="s">
        <v>122</v>
      </c>
      <c r="K836" s="4" t="s">
        <v>123</v>
      </c>
      <c r="L836">
        <v>100</v>
      </c>
      <c r="M836" s="4" t="s">
        <v>158</v>
      </c>
    </row>
    <row r="837" spans="1:13" x14ac:dyDescent="0.2">
      <c r="A837" s="4" t="s">
        <v>1199</v>
      </c>
      <c r="B837">
        <v>836</v>
      </c>
      <c r="C837" s="4" t="s">
        <v>26</v>
      </c>
      <c r="D837" s="4" t="s">
        <v>38</v>
      </c>
      <c r="E837" s="4" t="s">
        <v>41</v>
      </c>
      <c r="F837" s="4" t="s">
        <v>1180</v>
      </c>
      <c r="G837">
        <v>7</v>
      </c>
      <c r="H837">
        <v>35</v>
      </c>
      <c r="I837" s="4" t="s">
        <v>116</v>
      </c>
      <c r="J837" s="4" t="s">
        <v>125</v>
      </c>
      <c r="K837" s="4" t="s">
        <v>126</v>
      </c>
      <c r="L837">
        <v>30</v>
      </c>
      <c r="M837" s="4" t="s">
        <v>158</v>
      </c>
    </row>
    <row r="838" spans="1:13" x14ac:dyDescent="0.2">
      <c r="A838" s="4" t="s">
        <v>1200</v>
      </c>
      <c r="B838">
        <v>837</v>
      </c>
      <c r="C838" s="4" t="s">
        <v>26</v>
      </c>
      <c r="D838" s="4" t="s">
        <v>38</v>
      </c>
      <c r="E838" s="4" t="s">
        <v>41</v>
      </c>
      <c r="F838" s="4" t="s">
        <v>1180</v>
      </c>
      <c r="G838">
        <v>7</v>
      </c>
      <c r="H838">
        <v>35</v>
      </c>
      <c r="I838" s="4" t="s">
        <v>116</v>
      </c>
      <c r="J838" s="4" t="s">
        <v>127</v>
      </c>
      <c r="K838" s="4" t="s">
        <v>128</v>
      </c>
      <c r="L838">
        <v>50</v>
      </c>
      <c r="M838" s="4" t="s">
        <v>158</v>
      </c>
    </row>
    <row r="839" spans="1:13" x14ac:dyDescent="0.2">
      <c r="A839" s="4" t="s">
        <v>1201</v>
      </c>
      <c r="B839">
        <v>838</v>
      </c>
      <c r="C839" s="4" t="s">
        <v>26</v>
      </c>
      <c r="D839" s="4" t="s">
        <v>38</v>
      </c>
      <c r="E839" s="4" t="s">
        <v>41</v>
      </c>
      <c r="F839" s="4" t="s">
        <v>1180</v>
      </c>
      <c r="G839">
        <v>7</v>
      </c>
      <c r="H839">
        <v>35</v>
      </c>
      <c r="I839" s="4" t="s">
        <v>116</v>
      </c>
      <c r="J839" s="4" t="s">
        <v>129</v>
      </c>
      <c r="K839" s="4" t="s">
        <v>130</v>
      </c>
      <c r="L839">
        <v>0</v>
      </c>
      <c r="M839" s="4" t="s">
        <v>158</v>
      </c>
    </row>
    <row r="840" spans="1:13" x14ac:dyDescent="0.2">
      <c r="A840" s="4" t="s">
        <v>1202</v>
      </c>
      <c r="B840">
        <v>839</v>
      </c>
      <c r="C840" s="4" t="s">
        <v>26</v>
      </c>
      <c r="D840" s="4" t="s">
        <v>38</v>
      </c>
      <c r="E840" s="4" t="s">
        <v>41</v>
      </c>
      <c r="F840" s="4" t="s">
        <v>1180</v>
      </c>
      <c r="G840">
        <v>7</v>
      </c>
      <c r="H840">
        <v>35</v>
      </c>
      <c r="I840" s="4" t="s">
        <v>116</v>
      </c>
      <c r="J840" s="4" t="s">
        <v>131</v>
      </c>
      <c r="K840" s="4" t="s">
        <v>132</v>
      </c>
      <c r="L840">
        <v>0</v>
      </c>
      <c r="M840" s="4" t="s">
        <v>158</v>
      </c>
    </row>
    <row r="841" spans="1:13" x14ac:dyDescent="0.2">
      <c r="A841" s="4" t="s">
        <v>1203</v>
      </c>
      <c r="B841">
        <v>840</v>
      </c>
      <c r="C841" s="4" t="s">
        <v>26</v>
      </c>
      <c r="D841" s="4" t="s">
        <v>38</v>
      </c>
      <c r="E841" s="4" t="s">
        <v>41</v>
      </c>
      <c r="F841" s="4" t="s">
        <v>1180</v>
      </c>
      <c r="G841">
        <v>7</v>
      </c>
      <c r="H841">
        <v>35</v>
      </c>
      <c r="I841" s="4" t="s">
        <v>116</v>
      </c>
      <c r="J841" s="4" t="s">
        <v>133</v>
      </c>
      <c r="K841" s="4" t="s">
        <v>134</v>
      </c>
      <c r="L841">
        <v>0</v>
      </c>
      <c r="M841" s="4" t="s">
        <v>158</v>
      </c>
    </row>
    <row r="842" spans="1:13" x14ac:dyDescent="0.2">
      <c r="A842" s="4" t="s">
        <v>1209</v>
      </c>
      <c r="B842">
        <v>841</v>
      </c>
      <c r="C842" s="4" t="s">
        <v>26</v>
      </c>
      <c r="D842" s="4" t="s">
        <v>38</v>
      </c>
      <c r="E842" s="4" t="s">
        <v>44</v>
      </c>
      <c r="F842" s="4" t="s">
        <v>1210</v>
      </c>
      <c r="G842">
        <v>8</v>
      </c>
      <c r="H842">
        <v>36</v>
      </c>
      <c r="I842" s="4" t="s">
        <v>35</v>
      </c>
      <c r="J842" s="4" t="s">
        <v>122</v>
      </c>
      <c r="K842" s="4" t="s">
        <v>123</v>
      </c>
      <c r="L842">
        <v>466</v>
      </c>
      <c r="M842" s="4" t="s">
        <v>158</v>
      </c>
    </row>
    <row r="843" spans="1:13" x14ac:dyDescent="0.2">
      <c r="A843" s="4" t="s">
        <v>1211</v>
      </c>
      <c r="B843">
        <v>842</v>
      </c>
      <c r="C843" s="4" t="s">
        <v>26</v>
      </c>
      <c r="D843" s="4" t="s">
        <v>38</v>
      </c>
      <c r="E843" s="4" t="s">
        <v>44</v>
      </c>
      <c r="F843" s="4" t="s">
        <v>1210</v>
      </c>
      <c r="G843">
        <v>8</v>
      </c>
      <c r="H843">
        <v>36</v>
      </c>
      <c r="I843" s="4" t="s">
        <v>35</v>
      </c>
      <c r="J843" s="4" t="s">
        <v>125</v>
      </c>
      <c r="K843" s="4" t="s">
        <v>126</v>
      </c>
      <c r="L843">
        <v>166</v>
      </c>
      <c r="M843" s="4" t="s">
        <v>158</v>
      </c>
    </row>
    <row r="844" spans="1:13" x14ac:dyDescent="0.2">
      <c r="A844" s="4" t="s">
        <v>1212</v>
      </c>
      <c r="B844">
        <v>843</v>
      </c>
      <c r="C844" s="4" t="s">
        <v>26</v>
      </c>
      <c r="D844" s="4" t="s">
        <v>38</v>
      </c>
      <c r="E844" s="4" t="s">
        <v>44</v>
      </c>
      <c r="F844" s="4" t="s">
        <v>1210</v>
      </c>
      <c r="G844">
        <v>8</v>
      </c>
      <c r="H844">
        <v>36</v>
      </c>
      <c r="I844" s="4" t="s">
        <v>35</v>
      </c>
      <c r="J844" s="4" t="s">
        <v>127</v>
      </c>
      <c r="K844" s="4" t="s">
        <v>128</v>
      </c>
      <c r="L844">
        <v>175</v>
      </c>
      <c r="M844" s="4" t="s">
        <v>158</v>
      </c>
    </row>
    <row r="845" spans="1:13" x14ac:dyDescent="0.2">
      <c r="A845" s="4" t="s">
        <v>1213</v>
      </c>
      <c r="B845">
        <v>844</v>
      </c>
      <c r="C845" s="4" t="s">
        <v>26</v>
      </c>
      <c r="D845" s="4" t="s">
        <v>38</v>
      </c>
      <c r="E845" s="4" t="s">
        <v>44</v>
      </c>
      <c r="F845" s="4" t="s">
        <v>1210</v>
      </c>
      <c r="G845">
        <v>8</v>
      </c>
      <c r="H845">
        <v>36</v>
      </c>
      <c r="I845" s="4" t="s">
        <v>35</v>
      </c>
      <c r="J845" s="4" t="s">
        <v>129</v>
      </c>
      <c r="K845" s="4" t="s">
        <v>130</v>
      </c>
      <c r="L845">
        <v>0</v>
      </c>
      <c r="M845" s="4" t="s">
        <v>158</v>
      </c>
    </row>
    <row r="846" spans="1:13" x14ac:dyDescent="0.2">
      <c r="A846" s="4" t="s">
        <v>1214</v>
      </c>
      <c r="B846">
        <v>845</v>
      </c>
      <c r="C846" s="4" t="s">
        <v>26</v>
      </c>
      <c r="D846" s="4" t="s">
        <v>38</v>
      </c>
      <c r="E846" s="4" t="s">
        <v>44</v>
      </c>
      <c r="F846" s="4" t="s">
        <v>1210</v>
      </c>
      <c r="G846">
        <v>8</v>
      </c>
      <c r="H846">
        <v>36</v>
      </c>
      <c r="I846" s="4" t="s">
        <v>35</v>
      </c>
      <c r="J846" s="4" t="s">
        <v>131</v>
      </c>
      <c r="K846" s="4" t="s">
        <v>132</v>
      </c>
      <c r="L846">
        <v>86</v>
      </c>
      <c r="M846" s="4" t="s">
        <v>158</v>
      </c>
    </row>
    <row r="847" spans="1:13" x14ac:dyDescent="0.2">
      <c r="A847" s="4" t="s">
        <v>1215</v>
      </c>
      <c r="B847">
        <v>846</v>
      </c>
      <c r="C847" s="4" t="s">
        <v>26</v>
      </c>
      <c r="D847" s="4" t="s">
        <v>38</v>
      </c>
      <c r="E847" s="4" t="s">
        <v>44</v>
      </c>
      <c r="F847" s="4" t="s">
        <v>1210</v>
      </c>
      <c r="G847">
        <v>8</v>
      </c>
      <c r="H847">
        <v>36</v>
      </c>
      <c r="I847" s="4" t="s">
        <v>35</v>
      </c>
      <c r="J847" s="4" t="s">
        <v>133</v>
      </c>
      <c r="K847" s="4" t="s">
        <v>134</v>
      </c>
      <c r="L847">
        <v>133</v>
      </c>
      <c r="M847" s="4" t="s">
        <v>158</v>
      </c>
    </row>
    <row r="848" spans="1:13" x14ac:dyDescent="0.2">
      <c r="A848" s="4" t="s">
        <v>1216</v>
      </c>
      <c r="B848">
        <v>847</v>
      </c>
      <c r="C848" s="4" t="s">
        <v>26</v>
      </c>
      <c r="D848" s="4" t="s">
        <v>38</v>
      </c>
      <c r="E848" s="4" t="s">
        <v>44</v>
      </c>
      <c r="F848" s="4" t="s">
        <v>1210</v>
      </c>
      <c r="G848">
        <v>8</v>
      </c>
      <c r="H848">
        <v>36</v>
      </c>
      <c r="I848" s="4" t="s">
        <v>112</v>
      </c>
      <c r="J848" s="4" t="s">
        <v>122</v>
      </c>
      <c r="K848" s="4" t="s">
        <v>123</v>
      </c>
      <c r="L848">
        <v>68</v>
      </c>
      <c r="M848" s="4" t="s">
        <v>158</v>
      </c>
    </row>
    <row r="849" spans="1:13" x14ac:dyDescent="0.2">
      <c r="A849" s="4" t="s">
        <v>1217</v>
      </c>
      <c r="B849">
        <v>848</v>
      </c>
      <c r="C849" s="4" t="s">
        <v>26</v>
      </c>
      <c r="D849" s="4" t="s">
        <v>38</v>
      </c>
      <c r="E849" s="4" t="s">
        <v>44</v>
      </c>
      <c r="F849" s="4" t="s">
        <v>1210</v>
      </c>
      <c r="G849">
        <v>8</v>
      </c>
      <c r="H849">
        <v>36</v>
      </c>
      <c r="I849" s="4" t="s">
        <v>112</v>
      </c>
      <c r="J849" s="4" t="s">
        <v>125</v>
      </c>
      <c r="K849" s="4" t="s">
        <v>126</v>
      </c>
      <c r="L849">
        <v>30</v>
      </c>
      <c r="M849" s="4" t="s">
        <v>158</v>
      </c>
    </row>
    <row r="850" spans="1:13" x14ac:dyDescent="0.2">
      <c r="A850" s="4" t="s">
        <v>1218</v>
      </c>
      <c r="B850">
        <v>849</v>
      </c>
      <c r="C850" s="4" t="s">
        <v>26</v>
      </c>
      <c r="D850" s="4" t="s">
        <v>38</v>
      </c>
      <c r="E850" s="4" t="s">
        <v>44</v>
      </c>
      <c r="F850" s="4" t="s">
        <v>1210</v>
      </c>
      <c r="G850">
        <v>8</v>
      </c>
      <c r="H850">
        <v>36</v>
      </c>
      <c r="I850" s="4" t="s">
        <v>112</v>
      </c>
      <c r="J850" s="4" t="s">
        <v>127</v>
      </c>
      <c r="K850" s="4" t="s">
        <v>128</v>
      </c>
      <c r="L850">
        <v>150</v>
      </c>
      <c r="M850" s="4" t="s">
        <v>158</v>
      </c>
    </row>
    <row r="851" spans="1:13" x14ac:dyDescent="0.2">
      <c r="A851" s="4" t="s">
        <v>1219</v>
      </c>
      <c r="B851">
        <v>850</v>
      </c>
      <c r="C851" s="4" t="s">
        <v>26</v>
      </c>
      <c r="D851" s="4" t="s">
        <v>38</v>
      </c>
      <c r="E851" s="4" t="s">
        <v>44</v>
      </c>
      <c r="F851" s="4" t="s">
        <v>1210</v>
      </c>
      <c r="G851">
        <v>8</v>
      </c>
      <c r="H851">
        <v>36</v>
      </c>
      <c r="I851" s="4" t="s">
        <v>112</v>
      </c>
      <c r="J851" s="4" t="s">
        <v>129</v>
      </c>
      <c r="K851" s="4" t="s">
        <v>130</v>
      </c>
      <c r="L851">
        <v>22</v>
      </c>
      <c r="M851" s="4" t="s">
        <v>158</v>
      </c>
    </row>
    <row r="852" spans="1:13" x14ac:dyDescent="0.2">
      <c r="A852" s="4" t="s">
        <v>1220</v>
      </c>
      <c r="B852">
        <v>851</v>
      </c>
      <c r="C852" s="4" t="s">
        <v>26</v>
      </c>
      <c r="D852" s="4" t="s">
        <v>38</v>
      </c>
      <c r="E852" s="4" t="s">
        <v>44</v>
      </c>
      <c r="F852" s="4" t="s">
        <v>1210</v>
      </c>
      <c r="G852">
        <v>8</v>
      </c>
      <c r="H852">
        <v>36</v>
      </c>
      <c r="I852" s="4" t="s">
        <v>112</v>
      </c>
      <c r="J852" s="4" t="s">
        <v>131</v>
      </c>
      <c r="K852" s="4" t="s">
        <v>132</v>
      </c>
      <c r="L852">
        <v>50</v>
      </c>
      <c r="M852" s="4" t="s">
        <v>158</v>
      </c>
    </row>
    <row r="853" spans="1:13" x14ac:dyDescent="0.2">
      <c r="A853" s="4" t="s">
        <v>1221</v>
      </c>
      <c r="B853">
        <v>852</v>
      </c>
      <c r="C853" s="4" t="s">
        <v>26</v>
      </c>
      <c r="D853" s="4" t="s">
        <v>38</v>
      </c>
      <c r="E853" s="4" t="s">
        <v>44</v>
      </c>
      <c r="F853" s="4" t="s">
        <v>1210</v>
      </c>
      <c r="G853">
        <v>8</v>
      </c>
      <c r="H853">
        <v>36</v>
      </c>
      <c r="I853" s="4" t="s">
        <v>112</v>
      </c>
      <c r="J853" s="4" t="s">
        <v>133</v>
      </c>
      <c r="K853" s="4" t="s">
        <v>134</v>
      </c>
      <c r="L853">
        <v>50</v>
      </c>
      <c r="M853" s="4" t="s">
        <v>158</v>
      </c>
    </row>
    <row r="854" spans="1:13" x14ac:dyDescent="0.2">
      <c r="A854" s="4" t="s">
        <v>1222</v>
      </c>
      <c r="B854">
        <v>853</v>
      </c>
      <c r="C854" s="4" t="s">
        <v>26</v>
      </c>
      <c r="D854" s="4" t="s">
        <v>38</v>
      </c>
      <c r="E854" s="4" t="s">
        <v>44</v>
      </c>
      <c r="F854" s="4" t="s">
        <v>1210</v>
      </c>
      <c r="G854">
        <v>8</v>
      </c>
      <c r="H854">
        <v>36</v>
      </c>
      <c r="I854" s="4" t="s">
        <v>114</v>
      </c>
      <c r="J854" s="4" t="s">
        <v>122</v>
      </c>
      <c r="K854" s="4" t="s">
        <v>123</v>
      </c>
      <c r="L854">
        <v>100</v>
      </c>
      <c r="M854" s="4" t="s">
        <v>158</v>
      </c>
    </row>
    <row r="855" spans="1:13" x14ac:dyDescent="0.2">
      <c r="A855" s="4" t="s">
        <v>1223</v>
      </c>
      <c r="B855">
        <v>854</v>
      </c>
      <c r="C855" s="4" t="s">
        <v>26</v>
      </c>
      <c r="D855" s="4" t="s">
        <v>38</v>
      </c>
      <c r="E855" s="4" t="s">
        <v>44</v>
      </c>
      <c r="F855" s="4" t="s">
        <v>1210</v>
      </c>
      <c r="G855">
        <v>8</v>
      </c>
      <c r="H855">
        <v>36</v>
      </c>
      <c r="I855" s="4" t="s">
        <v>114</v>
      </c>
      <c r="J855" s="4" t="s">
        <v>125</v>
      </c>
      <c r="K855" s="4" t="s">
        <v>126</v>
      </c>
      <c r="L855">
        <v>50</v>
      </c>
      <c r="M855" s="4" t="s">
        <v>158</v>
      </c>
    </row>
    <row r="856" spans="1:13" x14ac:dyDescent="0.2">
      <c r="A856" s="4" t="s">
        <v>1224</v>
      </c>
      <c r="B856">
        <v>855</v>
      </c>
      <c r="C856" s="4" t="s">
        <v>26</v>
      </c>
      <c r="D856" s="4" t="s">
        <v>38</v>
      </c>
      <c r="E856" s="4" t="s">
        <v>44</v>
      </c>
      <c r="F856" s="4" t="s">
        <v>1210</v>
      </c>
      <c r="G856">
        <v>8</v>
      </c>
      <c r="H856">
        <v>36</v>
      </c>
      <c r="I856" s="4" t="s">
        <v>114</v>
      </c>
      <c r="J856" s="4" t="s">
        <v>127</v>
      </c>
      <c r="K856" s="4" t="s">
        <v>128</v>
      </c>
      <c r="L856">
        <v>76</v>
      </c>
      <c r="M856" s="4" t="s">
        <v>158</v>
      </c>
    </row>
    <row r="857" spans="1:13" x14ac:dyDescent="0.2">
      <c r="A857" s="4" t="s">
        <v>1225</v>
      </c>
      <c r="B857">
        <v>856</v>
      </c>
      <c r="C857" s="4" t="s">
        <v>26</v>
      </c>
      <c r="D857" s="4" t="s">
        <v>38</v>
      </c>
      <c r="E857" s="4" t="s">
        <v>44</v>
      </c>
      <c r="F857" s="4" t="s">
        <v>1210</v>
      </c>
      <c r="G857">
        <v>8</v>
      </c>
      <c r="H857">
        <v>36</v>
      </c>
      <c r="I857" s="4" t="s">
        <v>114</v>
      </c>
      <c r="J857" s="4" t="s">
        <v>129</v>
      </c>
      <c r="K857" s="4" t="s">
        <v>130</v>
      </c>
      <c r="L857">
        <v>25</v>
      </c>
      <c r="M857" s="4" t="s">
        <v>158</v>
      </c>
    </row>
    <row r="858" spans="1:13" x14ac:dyDescent="0.2">
      <c r="A858" s="4" t="s">
        <v>1226</v>
      </c>
      <c r="B858">
        <v>857</v>
      </c>
      <c r="C858" s="4" t="s">
        <v>26</v>
      </c>
      <c r="D858" s="4" t="s">
        <v>38</v>
      </c>
      <c r="E858" s="4" t="s">
        <v>44</v>
      </c>
      <c r="F858" s="4" t="s">
        <v>1210</v>
      </c>
      <c r="G858">
        <v>8</v>
      </c>
      <c r="H858">
        <v>36</v>
      </c>
      <c r="I858" s="4" t="s">
        <v>114</v>
      </c>
      <c r="J858" s="4" t="s">
        <v>131</v>
      </c>
      <c r="K858" s="4" t="s">
        <v>132</v>
      </c>
      <c r="L858">
        <v>50</v>
      </c>
      <c r="M858" s="4" t="s">
        <v>158</v>
      </c>
    </row>
    <row r="859" spans="1:13" x14ac:dyDescent="0.2">
      <c r="A859" s="4" t="s">
        <v>1227</v>
      </c>
      <c r="B859">
        <v>858</v>
      </c>
      <c r="C859" s="4" t="s">
        <v>26</v>
      </c>
      <c r="D859" s="4" t="s">
        <v>38</v>
      </c>
      <c r="E859" s="4" t="s">
        <v>44</v>
      </c>
      <c r="F859" s="4" t="s">
        <v>1210</v>
      </c>
      <c r="G859">
        <v>8</v>
      </c>
      <c r="H859">
        <v>36</v>
      </c>
      <c r="I859" s="4" t="s">
        <v>114</v>
      </c>
      <c r="J859" s="4" t="s">
        <v>133</v>
      </c>
      <c r="K859" s="4" t="s">
        <v>134</v>
      </c>
      <c r="L859">
        <v>30</v>
      </c>
      <c r="M859" s="4" t="s">
        <v>158</v>
      </c>
    </row>
    <row r="860" spans="1:13" x14ac:dyDescent="0.2">
      <c r="A860" s="4" t="s">
        <v>1228</v>
      </c>
      <c r="B860">
        <v>859</v>
      </c>
      <c r="C860" s="4" t="s">
        <v>26</v>
      </c>
      <c r="D860" s="4" t="s">
        <v>38</v>
      </c>
      <c r="E860" s="4" t="s">
        <v>44</v>
      </c>
      <c r="F860" s="4" t="s">
        <v>1210</v>
      </c>
      <c r="G860">
        <v>8</v>
      </c>
      <c r="H860">
        <v>36</v>
      </c>
      <c r="I860" s="4" t="s">
        <v>116</v>
      </c>
      <c r="J860" s="4" t="s">
        <v>122</v>
      </c>
      <c r="K860" s="4" t="s">
        <v>123</v>
      </c>
      <c r="L860">
        <v>100</v>
      </c>
      <c r="M860" s="4" t="s">
        <v>158</v>
      </c>
    </row>
    <row r="861" spans="1:13" x14ac:dyDescent="0.2">
      <c r="A861" s="4" t="s">
        <v>1229</v>
      </c>
      <c r="B861">
        <v>860</v>
      </c>
      <c r="C861" s="4" t="s">
        <v>26</v>
      </c>
      <c r="D861" s="4" t="s">
        <v>38</v>
      </c>
      <c r="E861" s="4" t="s">
        <v>44</v>
      </c>
      <c r="F861" s="4" t="s">
        <v>1210</v>
      </c>
      <c r="G861">
        <v>8</v>
      </c>
      <c r="H861">
        <v>36</v>
      </c>
      <c r="I861" s="4" t="s">
        <v>116</v>
      </c>
      <c r="J861" s="4" t="s">
        <v>125</v>
      </c>
      <c r="K861" s="4" t="s">
        <v>126</v>
      </c>
      <c r="L861">
        <v>30</v>
      </c>
      <c r="M861" s="4" t="s">
        <v>158</v>
      </c>
    </row>
    <row r="862" spans="1:13" x14ac:dyDescent="0.2">
      <c r="A862" s="4" t="s">
        <v>1230</v>
      </c>
      <c r="B862">
        <v>861</v>
      </c>
      <c r="C862" s="4" t="s">
        <v>26</v>
      </c>
      <c r="D862" s="4" t="s">
        <v>38</v>
      </c>
      <c r="E862" s="4" t="s">
        <v>44</v>
      </c>
      <c r="F862" s="4" t="s">
        <v>1210</v>
      </c>
      <c r="G862">
        <v>8</v>
      </c>
      <c r="H862">
        <v>36</v>
      </c>
      <c r="I862" s="4" t="s">
        <v>116</v>
      </c>
      <c r="J862" s="4" t="s">
        <v>127</v>
      </c>
      <c r="K862" s="4" t="s">
        <v>128</v>
      </c>
      <c r="L862">
        <v>0</v>
      </c>
      <c r="M862" s="4" t="s">
        <v>158</v>
      </c>
    </row>
    <row r="863" spans="1:13" x14ac:dyDescent="0.2">
      <c r="A863" s="4" t="s">
        <v>1231</v>
      </c>
      <c r="B863">
        <v>862</v>
      </c>
      <c r="C863" s="4" t="s">
        <v>26</v>
      </c>
      <c r="D863" s="4" t="s">
        <v>38</v>
      </c>
      <c r="E863" s="4" t="s">
        <v>44</v>
      </c>
      <c r="F863" s="4" t="s">
        <v>1210</v>
      </c>
      <c r="G863">
        <v>8</v>
      </c>
      <c r="H863">
        <v>36</v>
      </c>
      <c r="I863" s="4" t="s">
        <v>116</v>
      </c>
      <c r="J863" s="4" t="s">
        <v>129</v>
      </c>
      <c r="K863" s="4" t="s">
        <v>130</v>
      </c>
      <c r="L863">
        <v>36</v>
      </c>
      <c r="M863" s="4" t="s">
        <v>158</v>
      </c>
    </row>
    <row r="864" spans="1:13" x14ac:dyDescent="0.2">
      <c r="A864" s="4" t="s">
        <v>1232</v>
      </c>
      <c r="B864">
        <v>863</v>
      </c>
      <c r="C864" s="4" t="s">
        <v>26</v>
      </c>
      <c r="D864" s="4" t="s">
        <v>38</v>
      </c>
      <c r="E864" s="4" t="s">
        <v>44</v>
      </c>
      <c r="F864" s="4" t="s">
        <v>1210</v>
      </c>
      <c r="G864">
        <v>8</v>
      </c>
      <c r="H864">
        <v>36</v>
      </c>
      <c r="I864" s="4" t="s">
        <v>116</v>
      </c>
      <c r="J864" s="4" t="s">
        <v>131</v>
      </c>
      <c r="K864" s="4" t="s">
        <v>132</v>
      </c>
      <c r="L864">
        <v>30</v>
      </c>
      <c r="M864" s="4" t="s">
        <v>158</v>
      </c>
    </row>
    <row r="865" spans="1:13" x14ac:dyDescent="0.2">
      <c r="A865" s="4" t="s">
        <v>1233</v>
      </c>
      <c r="B865">
        <v>864</v>
      </c>
      <c r="C865" s="4" t="s">
        <v>26</v>
      </c>
      <c r="D865" s="4" t="s">
        <v>38</v>
      </c>
      <c r="E865" s="4" t="s">
        <v>44</v>
      </c>
      <c r="F865" s="4" t="s">
        <v>1210</v>
      </c>
      <c r="G865">
        <v>8</v>
      </c>
      <c r="H865">
        <v>36</v>
      </c>
      <c r="I865" s="4" t="s">
        <v>116</v>
      </c>
      <c r="J865" s="4" t="s">
        <v>133</v>
      </c>
      <c r="K865" s="4" t="s">
        <v>134</v>
      </c>
      <c r="L865">
        <v>30</v>
      </c>
      <c r="M865" s="4" t="s">
        <v>158</v>
      </c>
    </row>
    <row r="866" spans="1:13" x14ac:dyDescent="0.2">
      <c r="A866" s="4" t="s">
        <v>1239</v>
      </c>
      <c r="B866">
        <v>865</v>
      </c>
      <c r="C866" s="4" t="s">
        <v>26</v>
      </c>
      <c r="D866" s="4" t="s">
        <v>38</v>
      </c>
      <c r="E866" s="4" t="s">
        <v>47</v>
      </c>
      <c r="F866" s="4" t="s">
        <v>1240</v>
      </c>
      <c r="G866">
        <v>8</v>
      </c>
      <c r="H866">
        <v>37</v>
      </c>
      <c r="I866" s="4" t="s">
        <v>35</v>
      </c>
      <c r="J866" s="4" t="s">
        <v>122</v>
      </c>
      <c r="K866" s="4" t="s">
        <v>123</v>
      </c>
      <c r="L866">
        <v>264</v>
      </c>
      <c r="M866" s="4" t="s">
        <v>158</v>
      </c>
    </row>
    <row r="867" spans="1:13" x14ac:dyDescent="0.2">
      <c r="A867" s="4" t="s">
        <v>1241</v>
      </c>
      <c r="B867">
        <v>866</v>
      </c>
      <c r="C867" s="4" t="s">
        <v>26</v>
      </c>
      <c r="D867" s="4" t="s">
        <v>38</v>
      </c>
      <c r="E867" s="4" t="s">
        <v>47</v>
      </c>
      <c r="F867" s="4" t="s">
        <v>1240</v>
      </c>
      <c r="G867">
        <v>8</v>
      </c>
      <c r="H867">
        <v>37</v>
      </c>
      <c r="I867" s="4" t="s">
        <v>35</v>
      </c>
      <c r="J867" s="4" t="s">
        <v>125</v>
      </c>
      <c r="K867" s="4" t="s">
        <v>126</v>
      </c>
      <c r="L867">
        <v>166</v>
      </c>
      <c r="M867" s="4" t="s">
        <v>158</v>
      </c>
    </row>
    <row r="868" spans="1:13" x14ac:dyDescent="0.2">
      <c r="A868" s="4" t="s">
        <v>1242</v>
      </c>
      <c r="B868">
        <v>867</v>
      </c>
      <c r="C868" s="4" t="s">
        <v>26</v>
      </c>
      <c r="D868" s="4" t="s">
        <v>38</v>
      </c>
      <c r="E868" s="4" t="s">
        <v>47</v>
      </c>
      <c r="F868" s="4" t="s">
        <v>1240</v>
      </c>
      <c r="G868">
        <v>8</v>
      </c>
      <c r="H868">
        <v>37</v>
      </c>
      <c r="I868" s="4" t="s">
        <v>35</v>
      </c>
      <c r="J868" s="4" t="s">
        <v>127</v>
      </c>
      <c r="K868" s="4" t="s">
        <v>128</v>
      </c>
      <c r="L868">
        <v>0</v>
      </c>
      <c r="M868" s="4" t="s">
        <v>158</v>
      </c>
    </row>
    <row r="869" spans="1:13" x14ac:dyDescent="0.2">
      <c r="A869" s="4" t="s">
        <v>1243</v>
      </c>
      <c r="B869">
        <v>868</v>
      </c>
      <c r="C869" s="4" t="s">
        <v>26</v>
      </c>
      <c r="D869" s="4" t="s">
        <v>38</v>
      </c>
      <c r="E869" s="4" t="s">
        <v>47</v>
      </c>
      <c r="F869" s="4" t="s">
        <v>1240</v>
      </c>
      <c r="G869">
        <v>8</v>
      </c>
      <c r="H869">
        <v>37</v>
      </c>
      <c r="I869" s="4" t="s">
        <v>35</v>
      </c>
      <c r="J869" s="4" t="s">
        <v>129</v>
      </c>
      <c r="K869" s="4" t="s">
        <v>130</v>
      </c>
      <c r="L869">
        <v>0</v>
      </c>
      <c r="M869" s="4" t="s">
        <v>158</v>
      </c>
    </row>
    <row r="870" spans="1:13" x14ac:dyDescent="0.2">
      <c r="A870" s="4" t="s">
        <v>1244</v>
      </c>
      <c r="B870">
        <v>869</v>
      </c>
      <c r="C870" s="4" t="s">
        <v>26</v>
      </c>
      <c r="D870" s="4" t="s">
        <v>38</v>
      </c>
      <c r="E870" s="4" t="s">
        <v>47</v>
      </c>
      <c r="F870" s="4" t="s">
        <v>1240</v>
      </c>
      <c r="G870">
        <v>8</v>
      </c>
      <c r="H870">
        <v>37</v>
      </c>
      <c r="I870" s="4" t="s">
        <v>35</v>
      </c>
      <c r="J870" s="4" t="s">
        <v>131</v>
      </c>
      <c r="K870" s="4" t="s">
        <v>132</v>
      </c>
      <c r="L870">
        <v>61</v>
      </c>
      <c r="M870" s="4" t="s">
        <v>158</v>
      </c>
    </row>
    <row r="871" spans="1:13" x14ac:dyDescent="0.2">
      <c r="A871" s="4" t="s">
        <v>1245</v>
      </c>
      <c r="B871">
        <v>870</v>
      </c>
      <c r="C871" s="4" t="s">
        <v>26</v>
      </c>
      <c r="D871" s="4" t="s">
        <v>38</v>
      </c>
      <c r="E871" s="4" t="s">
        <v>47</v>
      </c>
      <c r="F871" s="4" t="s">
        <v>1240</v>
      </c>
      <c r="G871">
        <v>8</v>
      </c>
      <c r="H871">
        <v>37</v>
      </c>
      <c r="I871" s="4" t="s">
        <v>35</v>
      </c>
      <c r="J871" s="4" t="s">
        <v>133</v>
      </c>
      <c r="K871" s="4" t="s">
        <v>134</v>
      </c>
      <c r="L871">
        <v>133</v>
      </c>
      <c r="M871" s="4" t="s">
        <v>158</v>
      </c>
    </row>
    <row r="872" spans="1:13" x14ac:dyDescent="0.2">
      <c r="A872" s="4" t="s">
        <v>1246</v>
      </c>
      <c r="B872">
        <v>871</v>
      </c>
      <c r="C872" s="4" t="s">
        <v>26</v>
      </c>
      <c r="D872" s="4" t="s">
        <v>38</v>
      </c>
      <c r="E872" s="4" t="s">
        <v>47</v>
      </c>
      <c r="F872" s="4" t="s">
        <v>1240</v>
      </c>
      <c r="G872">
        <v>8</v>
      </c>
      <c r="H872">
        <v>37</v>
      </c>
      <c r="I872" s="4" t="s">
        <v>112</v>
      </c>
      <c r="J872" s="4" t="s">
        <v>122</v>
      </c>
      <c r="K872" s="4" t="s">
        <v>123</v>
      </c>
      <c r="L872">
        <v>202</v>
      </c>
      <c r="M872" s="4" t="s">
        <v>158</v>
      </c>
    </row>
    <row r="873" spans="1:13" x14ac:dyDescent="0.2">
      <c r="A873" s="4" t="s">
        <v>1247</v>
      </c>
      <c r="B873">
        <v>872</v>
      </c>
      <c r="C873" s="4" t="s">
        <v>26</v>
      </c>
      <c r="D873" s="4" t="s">
        <v>38</v>
      </c>
      <c r="E873" s="4" t="s">
        <v>47</v>
      </c>
      <c r="F873" s="4" t="s">
        <v>1240</v>
      </c>
      <c r="G873">
        <v>8</v>
      </c>
      <c r="H873">
        <v>37</v>
      </c>
      <c r="I873" s="4" t="s">
        <v>112</v>
      </c>
      <c r="J873" s="4" t="s">
        <v>125</v>
      </c>
      <c r="K873" s="4" t="s">
        <v>126</v>
      </c>
      <c r="L873">
        <v>5</v>
      </c>
      <c r="M873" s="4" t="s">
        <v>158</v>
      </c>
    </row>
    <row r="874" spans="1:13" x14ac:dyDescent="0.2">
      <c r="A874" s="4" t="s">
        <v>1248</v>
      </c>
      <c r="B874">
        <v>873</v>
      </c>
      <c r="C874" s="4" t="s">
        <v>26</v>
      </c>
      <c r="D874" s="4" t="s">
        <v>38</v>
      </c>
      <c r="E874" s="4" t="s">
        <v>47</v>
      </c>
      <c r="F874" s="4" t="s">
        <v>1240</v>
      </c>
      <c r="G874">
        <v>8</v>
      </c>
      <c r="H874">
        <v>37</v>
      </c>
      <c r="I874" s="4" t="s">
        <v>112</v>
      </c>
      <c r="J874" s="4" t="s">
        <v>127</v>
      </c>
      <c r="K874" s="4" t="s">
        <v>128</v>
      </c>
      <c r="L874">
        <v>151</v>
      </c>
      <c r="M874" s="4" t="s">
        <v>158</v>
      </c>
    </row>
    <row r="875" spans="1:13" x14ac:dyDescent="0.2">
      <c r="A875" s="4" t="s">
        <v>1249</v>
      </c>
      <c r="B875">
        <v>874</v>
      </c>
      <c r="C875" s="4" t="s">
        <v>26</v>
      </c>
      <c r="D875" s="4" t="s">
        <v>38</v>
      </c>
      <c r="E875" s="4" t="s">
        <v>47</v>
      </c>
      <c r="F875" s="4" t="s">
        <v>1240</v>
      </c>
      <c r="G875">
        <v>8</v>
      </c>
      <c r="H875">
        <v>37</v>
      </c>
      <c r="I875" s="4" t="s">
        <v>112</v>
      </c>
      <c r="J875" s="4" t="s">
        <v>129</v>
      </c>
      <c r="K875" s="4" t="s">
        <v>130</v>
      </c>
      <c r="L875">
        <v>2</v>
      </c>
      <c r="M875" s="4" t="s">
        <v>158</v>
      </c>
    </row>
    <row r="876" spans="1:13" x14ac:dyDescent="0.2">
      <c r="A876" s="4" t="s">
        <v>1250</v>
      </c>
      <c r="B876">
        <v>875</v>
      </c>
      <c r="C876" s="4" t="s">
        <v>26</v>
      </c>
      <c r="D876" s="4" t="s">
        <v>38</v>
      </c>
      <c r="E876" s="4" t="s">
        <v>47</v>
      </c>
      <c r="F876" s="4" t="s">
        <v>1240</v>
      </c>
      <c r="G876">
        <v>8</v>
      </c>
      <c r="H876">
        <v>37</v>
      </c>
      <c r="I876" s="4" t="s">
        <v>112</v>
      </c>
      <c r="J876" s="4" t="s">
        <v>131</v>
      </c>
      <c r="K876" s="4" t="s">
        <v>132</v>
      </c>
      <c r="L876">
        <v>15</v>
      </c>
      <c r="M876" s="4" t="s">
        <v>158</v>
      </c>
    </row>
    <row r="877" spans="1:13" x14ac:dyDescent="0.2">
      <c r="A877" s="4" t="s">
        <v>1251</v>
      </c>
      <c r="B877">
        <v>876</v>
      </c>
      <c r="C877" s="4" t="s">
        <v>26</v>
      </c>
      <c r="D877" s="4" t="s">
        <v>38</v>
      </c>
      <c r="E877" s="4" t="s">
        <v>47</v>
      </c>
      <c r="F877" s="4" t="s">
        <v>1240</v>
      </c>
      <c r="G877">
        <v>8</v>
      </c>
      <c r="H877">
        <v>37</v>
      </c>
      <c r="I877" s="4" t="s">
        <v>112</v>
      </c>
      <c r="J877" s="4" t="s">
        <v>133</v>
      </c>
      <c r="K877" s="4" t="s">
        <v>134</v>
      </c>
      <c r="L877">
        <v>0</v>
      </c>
      <c r="M877" s="4" t="s">
        <v>158</v>
      </c>
    </row>
    <row r="878" spans="1:13" x14ac:dyDescent="0.2">
      <c r="A878" s="4" t="s">
        <v>1252</v>
      </c>
      <c r="B878">
        <v>877</v>
      </c>
      <c r="C878" s="4" t="s">
        <v>26</v>
      </c>
      <c r="D878" s="4" t="s">
        <v>38</v>
      </c>
      <c r="E878" s="4" t="s">
        <v>47</v>
      </c>
      <c r="F878" s="4" t="s">
        <v>1240</v>
      </c>
      <c r="G878">
        <v>8</v>
      </c>
      <c r="H878">
        <v>37</v>
      </c>
      <c r="I878" s="4" t="s">
        <v>114</v>
      </c>
      <c r="J878" s="4" t="s">
        <v>122</v>
      </c>
      <c r="K878" s="4" t="s">
        <v>123</v>
      </c>
      <c r="L878">
        <v>0</v>
      </c>
      <c r="M878" s="4" t="s">
        <v>158</v>
      </c>
    </row>
    <row r="879" spans="1:13" x14ac:dyDescent="0.2">
      <c r="A879" s="4" t="s">
        <v>1253</v>
      </c>
      <c r="B879">
        <v>878</v>
      </c>
      <c r="C879" s="4" t="s">
        <v>26</v>
      </c>
      <c r="D879" s="4" t="s">
        <v>38</v>
      </c>
      <c r="E879" s="4" t="s">
        <v>47</v>
      </c>
      <c r="F879" s="4" t="s">
        <v>1240</v>
      </c>
      <c r="G879">
        <v>8</v>
      </c>
      <c r="H879">
        <v>37</v>
      </c>
      <c r="I879" s="4" t="s">
        <v>114</v>
      </c>
      <c r="J879" s="4" t="s">
        <v>125</v>
      </c>
      <c r="K879" s="4" t="s">
        <v>126</v>
      </c>
      <c r="L879">
        <v>23</v>
      </c>
      <c r="M879" s="4" t="s">
        <v>158</v>
      </c>
    </row>
    <row r="880" spans="1:13" x14ac:dyDescent="0.2">
      <c r="A880" s="4" t="s">
        <v>1254</v>
      </c>
      <c r="B880">
        <v>879</v>
      </c>
      <c r="C880" s="4" t="s">
        <v>26</v>
      </c>
      <c r="D880" s="4" t="s">
        <v>38</v>
      </c>
      <c r="E880" s="4" t="s">
        <v>47</v>
      </c>
      <c r="F880" s="4" t="s">
        <v>1240</v>
      </c>
      <c r="G880">
        <v>8</v>
      </c>
      <c r="H880">
        <v>37</v>
      </c>
      <c r="I880" s="4" t="s">
        <v>114</v>
      </c>
      <c r="J880" s="4" t="s">
        <v>127</v>
      </c>
      <c r="K880" s="4" t="s">
        <v>128</v>
      </c>
      <c r="L880">
        <v>203</v>
      </c>
      <c r="M880" s="4" t="s">
        <v>158</v>
      </c>
    </row>
    <row r="881" spans="1:13" x14ac:dyDescent="0.2">
      <c r="A881" s="4" t="s">
        <v>1255</v>
      </c>
      <c r="B881">
        <v>880</v>
      </c>
      <c r="C881" s="4" t="s">
        <v>26</v>
      </c>
      <c r="D881" s="4" t="s">
        <v>38</v>
      </c>
      <c r="E881" s="4" t="s">
        <v>47</v>
      </c>
      <c r="F881" s="4" t="s">
        <v>1240</v>
      </c>
      <c r="G881">
        <v>8</v>
      </c>
      <c r="H881">
        <v>37</v>
      </c>
      <c r="I881" s="4" t="s">
        <v>114</v>
      </c>
      <c r="J881" s="4" t="s">
        <v>129</v>
      </c>
      <c r="K881" s="4" t="s">
        <v>130</v>
      </c>
      <c r="L881">
        <v>23</v>
      </c>
      <c r="M881" s="4" t="s">
        <v>158</v>
      </c>
    </row>
    <row r="882" spans="1:13" x14ac:dyDescent="0.2">
      <c r="A882" s="4" t="s">
        <v>1256</v>
      </c>
      <c r="B882">
        <v>881</v>
      </c>
      <c r="C882" s="4" t="s">
        <v>26</v>
      </c>
      <c r="D882" s="4" t="s">
        <v>38</v>
      </c>
      <c r="E882" s="4" t="s">
        <v>47</v>
      </c>
      <c r="F882" s="4" t="s">
        <v>1240</v>
      </c>
      <c r="G882">
        <v>8</v>
      </c>
      <c r="H882">
        <v>37</v>
      </c>
      <c r="I882" s="4" t="s">
        <v>114</v>
      </c>
      <c r="J882" s="4" t="s">
        <v>131</v>
      </c>
      <c r="K882" s="4" t="s">
        <v>132</v>
      </c>
      <c r="L882">
        <v>75</v>
      </c>
      <c r="M882" s="4" t="s">
        <v>158</v>
      </c>
    </row>
    <row r="883" spans="1:13" x14ac:dyDescent="0.2">
      <c r="A883" s="4" t="s">
        <v>1257</v>
      </c>
      <c r="B883">
        <v>882</v>
      </c>
      <c r="C883" s="4" t="s">
        <v>26</v>
      </c>
      <c r="D883" s="4" t="s">
        <v>38</v>
      </c>
      <c r="E883" s="4" t="s">
        <v>47</v>
      </c>
      <c r="F883" s="4" t="s">
        <v>1240</v>
      </c>
      <c r="G883">
        <v>8</v>
      </c>
      <c r="H883">
        <v>37</v>
      </c>
      <c r="I883" s="4" t="s">
        <v>114</v>
      </c>
      <c r="J883" s="4" t="s">
        <v>133</v>
      </c>
      <c r="K883" s="4" t="s">
        <v>134</v>
      </c>
      <c r="L883">
        <v>30</v>
      </c>
      <c r="M883" s="4" t="s">
        <v>158</v>
      </c>
    </row>
    <row r="884" spans="1:13" x14ac:dyDescent="0.2">
      <c r="A884" s="4" t="s">
        <v>1258</v>
      </c>
      <c r="B884">
        <v>883</v>
      </c>
      <c r="C884" s="4" t="s">
        <v>26</v>
      </c>
      <c r="D884" s="4" t="s">
        <v>38</v>
      </c>
      <c r="E884" s="4" t="s">
        <v>47</v>
      </c>
      <c r="F884" s="4" t="s">
        <v>1240</v>
      </c>
      <c r="G884">
        <v>8</v>
      </c>
      <c r="H884">
        <v>37</v>
      </c>
      <c r="I884" s="4" t="s">
        <v>116</v>
      </c>
      <c r="J884" s="4" t="s">
        <v>122</v>
      </c>
      <c r="K884" s="4" t="s">
        <v>123</v>
      </c>
      <c r="L884">
        <v>100</v>
      </c>
      <c r="M884" s="4" t="s">
        <v>158</v>
      </c>
    </row>
    <row r="885" spans="1:13" x14ac:dyDescent="0.2">
      <c r="A885" s="4" t="s">
        <v>1259</v>
      </c>
      <c r="B885">
        <v>884</v>
      </c>
      <c r="C885" s="4" t="s">
        <v>26</v>
      </c>
      <c r="D885" s="4" t="s">
        <v>38</v>
      </c>
      <c r="E885" s="4" t="s">
        <v>47</v>
      </c>
      <c r="F885" s="4" t="s">
        <v>1240</v>
      </c>
      <c r="G885">
        <v>8</v>
      </c>
      <c r="H885">
        <v>37</v>
      </c>
      <c r="I885" s="4" t="s">
        <v>116</v>
      </c>
      <c r="J885" s="4" t="s">
        <v>125</v>
      </c>
      <c r="K885" s="4" t="s">
        <v>126</v>
      </c>
      <c r="L885">
        <v>30</v>
      </c>
      <c r="M885" s="4" t="s">
        <v>158</v>
      </c>
    </row>
    <row r="886" spans="1:13" x14ac:dyDescent="0.2">
      <c r="A886" s="4" t="s">
        <v>1260</v>
      </c>
      <c r="B886">
        <v>885</v>
      </c>
      <c r="C886" s="4" t="s">
        <v>26</v>
      </c>
      <c r="D886" s="4" t="s">
        <v>38</v>
      </c>
      <c r="E886" s="4" t="s">
        <v>47</v>
      </c>
      <c r="F886" s="4" t="s">
        <v>1240</v>
      </c>
      <c r="G886">
        <v>8</v>
      </c>
      <c r="H886">
        <v>37</v>
      </c>
      <c r="I886" s="4" t="s">
        <v>116</v>
      </c>
      <c r="J886" s="4" t="s">
        <v>127</v>
      </c>
      <c r="K886" s="4" t="s">
        <v>128</v>
      </c>
      <c r="L886">
        <v>47</v>
      </c>
      <c r="M886" s="4" t="s">
        <v>158</v>
      </c>
    </row>
    <row r="887" spans="1:13" x14ac:dyDescent="0.2">
      <c r="A887" s="4" t="s">
        <v>1261</v>
      </c>
      <c r="B887">
        <v>886</v>
      </c>
      <c r="C887" s="4" t="s">
        <v>26</v>
      </c>
      <c r="D887" s="4" t="s">
        <v>38</v>
      </c>
      <c r="E887" s="4" t="s">
        <v>47</v>
      </c>
      <c r="F887" s="4" t="s">
        <v>1240</v>
      </c>
      <c r="G887">
        <v>8</v>
      </c>
      <c r="H887">
        <v>37</v>
      </c>
      <c r="I887" s="4" t="s">
        <v>116</v>
      </c>
      <c r="J887" s="4" t="s">
        <v>129</v>
      </c>
      <c r="K887" s="4" t="s">
        <v>130</v>
      </c>
      <c r="L887">
        <v>14</v>
      </c>
      <c r="M887" s="4" t="s">
        <v>158</v>
      </c>
    </row>
    <row r="888" spans="1:13" x14ac:dyDescent="0.2">
      <c r="A888" s="4" t="s">
        <v>1262</v>
      </c>
      <c r="B888">
        <v>887</v>
      </c>
      <c r="C888" s="4" t="s">
        <v>26</v>
      </c>
      <c r="D888" s="4" t="s">
        <v>38</v>
      </c>
      <c r="E888" s="4" t="s">
        <v>47</v>
      </c>
      <c r="F888" s="4" t="s">
        <v>1240</v>
      </c>
      <c r="G888">
        <v>8</v>
      </c>
      <c r="H888">
        <v>37</v>
      </c>
      <c r="I888" s="4" t="s">
        <v>116</v>
      </c>
      <c r="J888" s="4" t="s">
        <v>131</v>
      </c>
      <c r="K888" s="4" t="s">
        <v>132</v>
      </c>
      <c r="L888">
        <v>30</v>
      </c>
      <c r="M888" s="4" t="s">
        <v>158</v>
      </c>
    </row>
    <row r="889" spans="1:13" x14ac:dyDescent="0.2">
      <c r="A889" s="4" t="s">
        <v>1263</v>
      </c>
      <c r="B889">
        <v>888</v>
      </c>
      <c r="C889" s="4" t="s">
        <v>26</v>
      </c>
      <c r="D889" s="4" t="s">
        <v>38</v>
      </c>
      <c r="E889" s="4" t="s">
        <v>47</v>
      </c>
      <c r="F889" s="4" t="s">
        <v>1240</v>
      </c>
      <c r="G889">
        <v>8</v>
      </c>
      <c r="H889">
        <v>37</v>
      </c>
      <c r="I889" s="4" t="s">
        <v>116</v>
      </c>
      <c r="J889" s="4" t="s">
        <v>133</v>
      </c>
      <c r="K889" s="4" t="s">
        <v>134</v>
      </c>
      <c r="L889">
        <v>30</v>
      </c>
      <c r="M889" s="4" t="s">
        <v>158</v>
      </c>
    </row>
    <row r="890" spans="1:13" x14ac:dyDescent="0.2">
      <c r="A890" s="4" t="s">
        <v>1269</v>
      </c>
      <c r="B890">
        <v>889</v>
      </c>
      <c r="C890" s="4" t="s">
        <v>26</v>
      </c>
      <c r="D890" s="4" t="s">
        <v>38</v>
      </c>
      <c r="E890" s="4" t="s">
        <v>50</v>
      </c>
      <c r="F890" s="4" t="s">
        <v>1270</v>
      </c>
      <c r="G890">
        <v>8</v>
      </c>
      <c r="H890">
        <v>38</v>
      </c>
      <c r="I890" s="4" t="s">
        <v>35</v>
      </c>
      <c r="J890" s="4" t="s">
        <v>122</v>
      </c>
      <c r="K890" s="4" t="s">
        <v>123</v>
      </c>
      <c r="L890">
        <v>96</v>
      </c>
      <c r="M890" s="4" t="s">
        <v>158</v>
      </c>
    </row>
    <row r="891" spans="1:13" x14ac:dyDescent="0.2">
      <c r="A891" s="4" t="s">
        <v>1271</v>
      </c>
      <c r="B891">
        <v>890</v>
      </c>
      <c r="C891" s="4" t="s">
        <v>26</v>
      </c>
      <c r="D891" s="4" t="s">
        <v>38</v>
      </c>
      <c r="E891" s="4" t="s">
        <v>50</v>
      </c>
      <c r="F891" s="4" t="s">
        <v>1270</v>
      </c>
      <c r="G891">
        <v>8</v>
      </c>
      <c r="H891">
        <v>38</v>
      </c>
      <c r="I891" s="4" t="s">
        <v>35</v>
      </c>
      <c r="J891" s="4" t="s">
        <v>125</v>
      </c>
      <c r="K891" s="4" t="s">
        <v>126</v>
      </c>
      <c r="L891">
        <v>114</v>
      </c>
      <c r="M891" s="4" t="s">
        <v>158</v>
      </c>
    </row>
    <row r="892" spans="1:13" x14ac:dyDescent="0.2">
      <c r="A892" s="4" t="s">
        <v>1272</v>
      </c>
      <c r="B892">
        <v>891</v>
      </c>
      <c r="C892" s="4" t="s">
        <v>26</v>
      </c>
      <c r="D892" s="4" t="s">
        <v>38</v>
      </c>
      <c r="E892" s="4" t="s">
        <v>50</v>
      </c>
      <c r="F892" s="4" t="s">
        <v>1270</v>
      </c>
      <c r="G892">
        <v>8</v>
      </c>
      <c r="H892">
        <v>38</v>
      </c>
      <c r="I892" s="4" t="s">
        <v>35</v>
      </c>
      <c r="J892" s="4" t="s">
        <v>127</v>
      </c>
      <c r="K892" s="4" t="s">
        <v>128</v>
      </c>
      <c r="L892">
        <v>0</v>
      </c>
      <c r="M892" s="4" t="s">
        <v>158</v>
      </c>
    </row>
    <row r="893" spans="1:13" x14ac:dyDescent="0.2">
      <c r="A893" s="4" t="s">
        <v>1273</v>
      </c>
      <c r="B893">
        <v>892</v>
      </c>
      <c r="C893" s="4" t="s">
        <v>26</v>
      </c>
      <c r="D893" s="4" t="s">
        <v>38</v>
      </c>
      <c r="E893" s="4" t="s">
        <v>50</v>
      </c>
      <c r="F893" s="4" t="s">
        <v>1270</v>
      </c>
      <c r="G893">
        <v>8</v>
      </c>
      <c r="H893">
        <v>38</v>
      </c>
      <c r="I893" s="4" t="s">
        <v>35</v>
      </c>
      <c r="J893" s="4" t="s">
        <v>129</v>
      </c>
      <c r="K893" s="4" t="s">
        <v>130</v>
      </c>
      <c r="L893">
        <v>0</v>
      </c>
      <c r="M893" s="4" t="s">
        <v>158</v>
      </c>
    </row>
    <row r="894" spans="1:13" x14ac:dyDescent="0.2">
      <c r="A894" s="4" t="s">
        <v>1274</v>
      </c>
      <c r="B894">
        <v>893</v>
      </c>
      <c r="C894" s="4" t="s">
        <v>26</v>
      </c>
      <c r="D894" s="4" t="s">
        <v>38</v>
      </c>
      <c r="E894" s="4" t="s">
        <v>50</v>
      </c>
      <c r="F894" s="4" t="s">
        <v>1270</v>
      </c>
      <c r="G894">
        <v>8</v>
      </c>
      <c r="H894">
        <v>38</v>
      </c>
      <c r="I894" s="4" t="s">
        <v>35</v>
      </c>
      <c r="J894" s="4" t="s">
        <v>131</v>
      </c>
      <c r="K894" s="4" t="s">
        <v>132</v>
      </c>
      <c r="L894">
        <v>26</v>
      </c>
      <c r="M894" s="4" t="s">
        <v>158</v>
      </c>
    </row>
    <row r="895" spans="1:13" x14ac:dyDescent="0.2">
      <c r="A895" s="4" t="s">
        <v>1275</v>
      </c>
      <c r="B895">
        <v>894</v>
      </c>
      <c r="C895" s="4" t="s">
        <v>26</v>
      </c>
      <c r="D895" s="4" t="s">
        <v>38</v>
      </c>
      <c r="E895" s="4" t="s">
        <v>50</v>
      </c>
      <c r="F895" s="4" t="s">
        <v>1270</v>
      </c>
      <c r="G895">
        <v>8</v>
      </c>
      <c r="H895">
        <v>38</v>
      </c>
      <c r="I895" s="4" t="s">
        <v>35</v>
      </c>
      <c r="J895" s="4" t="s">
        <v>133</v>
      </c>
      <c r="K895" s="4" t="s">
        <v>134</v>
      </c>
      <c r="L895">
        <v>83</v>
      </c>
      <c r="M895" s="4" t="s">
        <v>158</v>
      </c>
    </row>
    <row r="896" spans="1:13" x14ac:dyDescent="0.2">
      <c r="A896" s="4" t="s">
        <v>1276</v>
      </c>
      <c r="B896">
        <v>895</v>
      </c>
      <c r="C896" s="4" t="s">
        <v>26</v>
      </c>
      <c r="D896" s="4" t="s">
        <v>38</v>
      </c>
      <c r="E896" s="4" t="s">
        <v>50</v>
      </c>
      <c r="F896" s="4" t="s">
        <v>1270</v>
      </c>
      <c r="G896">
        <v>8</v>
      </c>
      <c r="H896">
        <v>38</v>
      </c>
      <c r="I896" s="4" t="s">
        <v>112</v>
      </c>
      <c r="J896" s="4" t="s">
        <v>122</v>
      </c>
      <c r="K896" s="4" t="s">
        <v>123</v>
      </c>
      <c r="L896">
        <v>68</v>
      </c>
      <c r="M896" s="4" t="s">
        <v>158</v>
      </c>
    </row>
    <row r="897" spans="1:13" x14ac:dyDescent="0.2">
      <c r="A897" s="4" t="s">
        <v>1277</v>
      </c>
      <c r="B897">
        <v>896</v>
      </c>
      <c r="C897" s="4" t="s">
        <v>26</v>
      </c>
      <c r="D897" s="4" t="s">
        <v>38</v>
      </c>
      <c r="E897" s="4" t="s">
        <v>50</v>
      </c>
      <c r="F897" s="4" t="s">
        <v>1270</v>
      </c>
      <c r="G897">
        <v>8</v>
      </c>
      <c r="H897">
        <v>38</v>
      </c>
      <c r="I897" s="4" t="s">
        <v>112</v>
      </c>
      <c r="J897" s="4" t="s">
        <v>125</v>
      </c>
      <c r="K897" s="4" t="s">
        <v>126</v>
      </c>
      <c r="L897">
        <v>30</v>
      </c>
      <c r="M897" s="4" t="s">
        <v>158</v>
      </c>
    </row>
    <row r="898" spans="1:13" x14ac:dyDescent="0.2">
      <c r="A898" s="4" t="s">
        <v>1278</v>
      </c>
      <c r="B898">
        <v>897</v>
      </c>
      <c r="C898" s="4" t="s">
        <v>26</v>
      </c>
      <c r="D898" s="4" t="s">
        <v>38</v>
      </c>
      <c r="E898" s="4" t="s">
        <v>50</v>
      </c>
      <c r="F898" s="4" t="s">
        <v>1270</v>
      </c>
      <c r="G898">
        <v>8</v>
      </c>
      <c r="H898">
        <v>38</v>
      </c>
      <c r="I898" s="4" t="s">
        <v>112</v>
      </c>
      <c r="J898" s="4" t="s">
        <v>127</v>
      </c>
      <c r="K898" s="4" t="s">
        <v>128</v>
      </c>
      <c r="L898">
        <v>77</v>
      </c>
      <c r="M898" s="4" t="s">
        <v>158</v>
      </c>
    </row>
    <row r="899" spans="1:13" x14ac:dyDescent="0.2">
      <c r="A899" s="4" t="s">
        <v>1279</v>
      </c>
      <c r="B899">
        <v>898</v>
      </c>
      <c r="C899" s="4" t="s">
        <v>26</v>
      </c>
      <c r="D899" s="4" t="s">
        <v>38</v>
      </c>
      <c r="E899" s="4" t="s">
        <v>50</v>
      </c>
      <c r="F899" s="4" t="s">
        <v>1270</v>
      </c>
      <c r="G899">
        <v>8</v>
      </c>
      <c r="H899">
        <v>38</v>
      </c>
      <c r="I899" s="4" t="s">
        <v>112</v>
      </c>
      <c r="J899" s="4" t="s">
        <v>129</v>
      </c>
      <c r="K899" s="4" t="s">
        <v>130</v>
      </c>
      <c r="L899">
        <v>0</v>
      </c>
      <c r="M899" s="4" t="s">
        <v>158</v>
      </c>
    </row>
    <row r="900" spans="1:13" x14ac:dyDescent="0.2">
      <c r="A900" s="4" t="s">
        <v>1280</v>
      </c>
      <c r="B900">
        <v>899</v>
      </c>
      <c r="C900" s="4" t="s">
        <v>26</v>
      </c>
      <c r="D900" s="4" t="s">
        <v>38</v>
      </c>
      <c r="E900" s="4" t="s">
        <v>50</v>
      </c>
      <c r="F900" s="4" t="s">
        <v>1270</v>
      </c>
      <c r="G900">
        <v>8</v>
      </c>
      <c r="H900">
        <v>38</v>
      </c>
      <c r="I900" s="4" t="s">
        <v>112</v>
      </c>
      <c r="J900" s="4" t="s">
        <v>131</v>
      </c>
      <c r="K900" s="4" t="s">
        <v>132</v>
      </c>
      <c r="L900">
        <v>35</v>
      </c>
      <c r="M900" s="4" t="s">
        <v>158</v>
      </c>
    </row>
    <row r="901" spans="1:13" x14ac:dyDescent="0.2">
      <c r="A901" s="4" t="s">
        <v>1281</v>
      </c>
      <c r="B901">
        <v>900</v>
      </c>
      <c r="C901" s="4" t="s">
        <v>26</v>
      </c>
      <c r="D901" s="4" t="s">
        <v>38</v>
      </c>
      <c r="E901" s="4" t="s">
        <v>50</v>
      </c>
      <c r="F901" s="4" t="s">
        <v>1270</v>
      </c>
      <c r="G901">
        <v>8</v>
      </c>
      <c r="H901">
        <v>38</v>
      </c>
      <c r="I901" s="4" t="s">
        <v>112</v>
      </c>
      <c r="J901" s="4" t="s">
        <v>133</v>
      </c>
      <c r="K901" s="4" t="s">
        <v>134</v>
      </c>
      <c r="L901">
        <v>50</v>
      </c>
      <c r="M901" s="4" t="s">
        <v>158</v>
      </c>
    </row>
    <row r="902" spans="1:13" x14ac:dyDescent="0.2">
      <c r="A902" s="4" t="s">
        <v>1282</v>
      </c>
      <c r="B902">
        <v>901</v>
      </c>
      <c r="C902" s="4" t="s">
        <v>26</v>
      </c>
      <c r="D902" s="4" t="s">
        <v>38</v>
      </c>
      <c r="E902" s="4" t="s">
        <v>50</v>
      </c>
      <c r="F902" s="4" t="s">
        <v>1270</v>
      </c>
      <c r="G902">
        <v>8</v>
      </c>
      <c r="H902">
        <v>38</v>
      </c>
      <c r="I902" s="4" t="s">
        <v>114</v>
      </c>
      <c r="J902" s="4" t="s">
        <v>122</v>
      </c>
      <c r="K902" s="4" t="s">
        <v>123</v>
      </c>
      <c r="L902">
        <v>100</v>
      </c>
      <c r="M902" s="4" t="s">
        <v>158</v>
      </c>
    </row>
    <row r="903" spans="1:13" x14ac:dyDescent="0.2">
      <c r="A903" s="4" t="s">
        <v>1283</v>
      </c>
      <c r="B903">
        <v>902</v>
      </c>
      <c r="C903" s="4" t="s">
        <v>26</v>
      </c>
      <c r="D903" s="4" t="s">
        <v>38</v>
      </c>
      <c r="E903" s="4" t="s">
        <v>50</v>
      </c>
      <c r="F903" s="4" t="s">
        <v>1270</v>
      </c>
      <c r="G903">
        <v>8</v>
      </c>
      <c r="H903">
        <v>38</v>
      </c>
      <c r="I903" s="4" t="s">
        <v>114</v>
      </c>
      <c r="J903" s="4" t="s">
        <v>125</v>
      </c>
      <c r="K903" s="4" t="s">
        <v>126</v>
      </c>
      <c r="L903">
        <v>50</v>
      </c>
      <c r="M903" s="4" t="s">
        <v>158</v>
      </c>
    </row>
    <row r="904" spans="1:13" x14ac:dyDescent="0.2">
      <c r="A904" s="4" t="s">
        <v>1284</v>
      </c>
      <c r="B904">
        <v>903</v>
      </c>
      <c r="C904" s="4" t="s">
        <v>26</v>
      </c>
      <c r="D904" s="4" t="s">
        <v>38</v>
      </c>
      <c r="E904" s="4" t="s">
        <v>50</v>
      </c>
      <c r="F904" s="4" t="s">
        <v>1270</v>
      </c>
      <c r="G904">
        <v>8</v>
      </c>
      <c r="H904">
        <v>38</v>
      </c>
      <c r="I904" s="4" t="s">
        <v>114</v>
      </c>
      <c r="J904" s="4" t="s">
        <v>127</v>
      </c>
      <c r="K904" s="4" t="s">
        <v>128</v>
      </c>
      <c r="L904">
        <v>149</v>
      </c>
      <c r="M904" s="4" t="s">
        <v>158</v>
      </c>
    </row>
    <row r="905" spans="1:13" x14ac:dyDescent="0.2">
      <c r="A905" s="4" t="s">
        <v>1285</v>
      </c>
      <c r="B905">
        <v>904</v>
      </c>
      <c r="C905" s="4" t="s">
        <v>26</v>
      </c>
      <c r="D905" s="4" t="s">
        <v>38</v>
      </c>
      <c r="E905" s="4" t="s">
        <v>50</v>
      </c>
      <c r="F905" s="4" t="s">
        <v>1270</v>
      </c>
      <c r="G905">
        <v>8</v>
      </c>
      <c r="H905">
        <v>38</v>
      </c>
      <c r="I905" s="4" t="s">
        <v>114</v>
      </c>
      <c r="J905" s="4" t="s">
        <v>129</v>
      </c>
      <c r="K905" s="4" t="s">
        <v>130</v>
      </c>
      <c r="L905">
        <v>23</v>
      </c>
      <c r="M905" s="4" t="s">
        <v>158</v>
      </c>
    </row>
    <row r="906" spans="1:13" x14ac:dyDescent="0.2">
      <c r="A906" s="4" t="s">
        <v>1286</v>
      </c>
      <c r="B906">
        <v>905</v>
      </c>
      <c r="C906" s="4" t="s">
        <v>26</v>
      </c>
      <c r="D906" s="4" t="s">
        <v>38</v>
      </c>
      <c r="E906" s="4" t="s">
        <v>50</v>
      </c>
      <c r="F906" s="4" t="s">
        <v>1270</v>
      </c>
      <c r="G906">
        <v>8</v>
      </c>
      <c r="H906">
        <v>38</v>
      </c>
      <c r="I906" s="4" t="s">
        <v>114</v>
      </c>
      <c r="J906" s="4" t="s">
        <v>131</v>
      </c>
      <c r="K906" s="4" t="s">
        <v>132</v>
      </c>
      <c r="L906">
        <v>41</v>
      </c>
      <c r="M906" s="4" t="s">
        <v>158</v>
      </c>
    </row>
    <row r="907" spans="1:13" x14ac:dyDescent="0.2">
      <c r="A907" s="4" t="s">
        <v>1287</v>
      </c>
      <c r="B907">
        <v>906</v>
      </c>
      <c r="C907" s="4" t="s">
        <v>26</v>
      </c>
      <c r="D907" s="4" t="s">
        <v>38</v>
      </c>
      <c r="E907" s="4" t="s">
        <v>50</v>
      </c>
      <c r="F907" s="4" t="s">
        <v>1270</v>
      </c>
      <c r="G907">
        <v>8</v>
      </c>
      <c r="H907">
        <v>38</v>
      </c>
      <c r="I907" s="4" t="s">
        <v>114</v>
      </c>
      <c r="J907" s="4" t="s">
        <v>133</v>
      </c>
      <c r="K907" s="4" t="s">
        <v>134</v>
      </c>
      <c r="L907">
        <v>30</v>
      </c>
      <c r="M907" s="4" t="s">
        <v>158</v>
      </c>
    </row>
    <row r="908" spans="1:13" x14ac:dyDescent="0.2">
      <c r="A908" s="4" t="s">
        <v>1288</v>
      </c>
      <c r="B908">
        <v>907</v>
      </c>
      <c r="C908" s="4" t="s">
        <v>26</v>
      </c>
      <c r="D908" s="4" t="s">
        <v>38</v>
      </c>
      <c r="E908" s="4" t="s">
        <v>50</v>
      </c>
      <c r="F908" s="4" t="s">
        <v>1270</v>
      </c>
      <c r="G908">
        <v>8</v>
      </c>
      <c r="H908">
        <v>38</v>
      </c>
      <c r="I908" s="4" t="s">
        <v>116</v>
      </c>
      <c r="J908" s="4" t="s">
        <v>122</v>
      </c>
      <c r="K908" s="4" t="s">
        <v>123</v>
      </c>
      <c r="L908">
        <v>38</v>
      </c>
      <c r="M908" s="4" t="s">
        <v>158</v>
      </c>
    </row>
    <row r="909" spans="1:13" x14ac:dyDescent="0.2">
      <c r="A909" s="4" t="s">
        <v>1289</v>
      </c>
      <c r="B909">
        <v>908</v>
      </c>
      <c r="C909" s="4" t="s">
        <v>26</v>
      </c>
      <c r="D909" s="4" t="s">
        <v>38</v>
      </c>
      <c r="E909" s="4" t="s">
        <v>50</v>
      </c>
      <c r="F909" s="4" t="s">
        <v>1270</v>
      </c>
      <c r="G909">
        <v>8</v>
      </c>
      <c r="H909">
        <v>38</v>
      </c>
      <c r="I909" s="4" t="s">
        <v>116</v>
      </c>
      <c r="J909" s="4" t="s">
        <v>125</v>
      </c>
      <c r="K909" s="4" t="s">
        <v>126</v>
      </c>
      <c r="L909">
        <v>30</v>
      </c>
      <c r="M909" s="4" t="s">
        <v>158</v>
      </c>
    </row>
    <row r="910" spans="1:13" x14ac:dyDescent="0.2">
      <c r="A910" s="4" t="s">
        <v>1290</v>
      </c>
      <c r="B910">
        <v>909</v>
      </c>
      <c r="C910" s="4" t="s">
        <v>26</v>
      </c>
      <c r="D910" s="4" t="s">
        <v>38</v>
      </c>
      <c r="E910" s="4" t="s">
        <v>50</v>
      </c>
      <c r="F910" s="4" t="s">
        <v>1270</v>
      </c>
      <c r="G910">
        <v>8</v>
      </c>
      <c r="H910">
        <v>38</v>
      </c>
      <c r="I910" s="4" t="s">
        <v>116</v>
      </c>
      <c r="J910" s="4" t="s">
        <v>127</v>
      </c>
      <c r="K910" s="4" t="s">
        <v>128</v>
      </c>
      <c r="L910">
        <v>47</v>
      </c>
      <c r="M910" s="4" t="s">
        <v>158</v>
      </c>
    </row>
    <row r="911" spans="1:13" x14ac:dyDescent="0.2">
      <c r="A911" s="4" t="s">
        <v>1291</v>
      </c>
      <c r="B911">
        <v>910</v>
      </c>
      <c r="C911" s="4" t="s">
        <v>26</v>
      </c>
      <c r="D911" s="4" t="s">
        <v>38</v>
      </c>
      <c r="E911" s="4" t="s">
        <v>50</v>
      </c>
      <c r="F911" s="4" t="s">
        <v>1270</v>
      </c>
      <c r="G911">
        <v>8</v>
      </c>
      <c r="H911">
        <v>38</v>
      </c>
      <c r="I911" s="4" t="s">
        <v>116</v>
      </c>
      <c r="J911" s="4" t="s">
        <v>129</v>
      </c>
      <c r="K911" s="4" t="s">
        <v>130</v>
      </c>
      <c r="L911">
        <v>0</v>
      </c>
      <c r="M911" s="4" t="s">
        <v>158</v>
      </c>
    </row>
    <row r="912" spans="1:13" x14ac:dyDescent="0.2">
      <c r="A912" s="4" t="s">
        <v>1292</v>
      </c>
      <c r="B912">
        <v>911</v>
      </c>
      <c r="C912" s="4" t="s">
        <v>26</v>
      </c>
      <c r="D912" s="4" t="s">
        <v>38</v>
      </c>
      <c r="E912" s="4" t="s">
        <v>50</v>
      </c>
      <c r="F912" s="4" t="s">
        <v>1270</v>
      </c>
      <c r="G912">
        <v>8</v>
      </c>
      <c r="H912">
        <v>38</v>
      </c>
      <c r="I912" s="4" t="s">
        <v>116</v>
      </c>
      <c r="J912" s="4" t="s">
        <v>131</v>
      </c>
      <c r="K912" s="4" t="s">
        <v>132</v>
      </c>
      <c r="L912">
        <v>30</v>
      </c>
      <c r="M912" s="4" t="s">
        <v>158</v>
      </c>
    </row>
    <row r="913" spans="1:13" x14ac:dyDescent="0.2">
      <c r="A913" s="4" t="s">
        <v>1293</v>
      </c>
      <c r="B913">
        <v>912</v>
      </c>
      <c r="C913" s="4" t="s">
        <v>26</v>
      </c>
      <c r="D913" s="4" t="s">
        <v>38</v>
      </c>
      <c r="E913" s="4" t="s">
        <v>50</v>
      </c>
      <c r="F913" s="4" t="s">
        <v>1270</v>
      </c>
      <c r="G913">
        <v>8</v>
      </c>
      <c r="H913">
        <v>38</v>
      </c>
      <c r="I913" s="4" t="s">
        <v>116</v>
      </c>
      <c r="J913" s="4" t="s">
        <v>133</v>
      </c>
      <c r="K913" s="4" t="s">
        <v>134</v>
      </c>
      <c r="L913">
        <v>0</v>
      </c>
      <c r="M913" s="4" t="s">
        <v>158</v>
      </c>
    </row>
    <row r="914" spans="1:13" x14ac:dyDescent="0.2">
      <c r="A914" s="4" t="s">
        <v>1300</v>
      </c>
      <c r="B914">
        <v>913</v>
      </c>
      <c r="C914" s="4" t="s">
        <v>26</v>
      </c>
      <c r="D914" s="4" t="s">
        <v>38</v>
      </c>
      <c r="E914" s="4" t="s">
        <v>53</v>
      </c>
      <c r="F914" s="4" t="s">
        <v>1295</v>
      </c>
      <c r="G914">
        <v>8</v>
      </c>
      <c r="H914">
        <v>39</v>
      </c>
      <c r="I914" s="4" t="s">
        <v>35</v>
      </c>
      <c r="J914" s="4" t="s">
        <v>122</v>
      </c>
      <c r="K914" s="4" t="s">
        <v>123</v>
      </c>
      <c r="L914">
        <v>0</v>
      </c>
      <c r="M914" s="4" t="s">
        <v>158</v>
      </c>
    </row>
    <row r="915" spans="1:13" x14ac:dyDescent="0.2">
      <c r="A915" s="4" t="s">
        <v>1301</v>
      </c>
      <c r="B915">
        <v>914</v>
      </c>
      <c r="C915" s="4" t="s">
        <v>26</v>
      </c>
      <c r="D915" s="4" t="s">
        <v>38</v>
      </c>
      <c r="E915" s="4" t="s">
        <v>53</v>
      </c>
      <c r="F915" s="4" t="s">
        <v>1295</v>
      </c>
      <c r="G915">
        <v>8</v>
      </c>
      <c r="H915">
        <v>39</v>
      </c>
      <c r="I915" s="4" t="s">
        <v>35</v>
      </c>
      <c r="J915" s="4" t="s">
        <v>125</v>
      </c>
      <c r="K915" s="4" t="s">
        <v>126</v>
      </c>
      <c r="L915">
        <v>114</v>
      </c>
      <c r="M915" s="4" t="s">
        <v>158</v>
      </c>
    </row>
    <row r="916" spans="1:13" x14ac:dyDescent="0.2">
      <c r="A916" s="4" t="s">
        <v>1302</v>
      </c>
      <c r="B916">
        <v>915</v>
      </c>
      <c r="C916" s="4" t="s">
        <v>26</v>
      </c>
      <c r="D916" s="4" t="s">
        <v>38</v>
      </c>
      <c r="E916" s="4" t="s">
        <v>53</v>
      </c>
      <c r="F916" s="4" t="s">
        <v>1295</v>
      </c>
      <c r="G916">
        <v>8</v>
      </c>
      <c r="H916">
        <v>39</v>
      </c>
      <c r="I916" s="4" t="s">
        <v>35</v>
      </c>
      <c r="J916" s="4" t="s">
        <v>127</v>
      </c>
      <c r="K916" s="4" t="s">
        <v>128</v>
      </c>
      <c r="L916">
        <v>0</v>
      </c>
      <c r="M916" s="4" t="s">
        <v>158</v>
      </c>
    </row>
    <row r="917" spans="1:13" x14ac:dyDescent="0.2">
      <c r="A917" s="4" t="s">
        <v>1303</v>
      </c>
      <c r="B917">
        <v>916</v>
      </c>
      <c r="C917" s="4" t="s">
        <v>26</v>
      </c>
      <c r="D917" s="4" t="s">
        <v>38</v>
      </c>
      <c r="E917" s="4" t="s">
        <v>53</v>
      </c>
      <c r="F917" s="4" t="s">
        <v>1295</v>
      </c>
      <c r="G917">
        <v>8</v>
      </c>
      <c r="H917">
        <v>39</v>
      </c>
      <c r="I917" s="4" t="s">
        <v>35</v>
      </c>
      <c r="J917" s="4" t="s">
        <v>129</v>
      </c>
      <c r="K917" s="4" t="s">
        <v>130</v>
      </c>
      <c r="L917">
        <v>0</v>
      </c>
      <c r="M917" s="4" t="s">
        <v>158</v>
      </c>
    </row>
    <row r="918" spans="1:13" x14ac:dyDescent="0.2">
      <c r="A918" s="4" t="s">
        <v>1304</v>
      </c>
      <c r="B918">
        <v>917</v>
      </c>
      <c r="C918" s="4" t="s">
        <v>26</v>
      </c>
      <c r="D918" s="4" t="s">
        <v>38</v>
      </c>
      <c r="E918" s="4" t="s">
        <v>53</v>
      </c>
      <c r="F918" s="4" t="s">
        <v>1295</v>
      </c>
      <c r="G918">
        <v>8</v>
      </c>
      <c r="H918">
        <v>39</v>
      </c>
      <c r="I918" s="4" t="s">
        <v>35</v>
      </c>
      <c r="J918" s="4" t="s">
        <v>131</v>
      </c>
      <c r="K918" s="4" t="s">
        <v>132</v>
      </c>
      <c r="L918">
        <v>0</v>
      </c>
      <c r="M918" s="4" t="s">
        <v>158</v>
      </c>
    </row>
    <row r="919" spans="1:13" x14ac:dyDescent="0.2">
      <c r="A919" s="4" t="s">
        <v>1305</v>
      </c>
      <c r="B919">
        <v>918</v>
      </c>
      <c r="C919" s="4" t="s">
        <v>26</v>
      </c>
      <c r="D919" s="4" t="s">
        <v>38</v>
      </c>
      <c r="E919" s="4" t="s">
        <v>53</v>
      </c>
      <c r="F919" s="4" t="s">
        <v>1295</v>
      </c>
      <c r="G919">
        <v>8</v>
      </c>
      <c r="H919">
        <v>39</v>
      </c>
      <c r="I919" s="4" t="s">
        <v>35</v>
      </c>
      <c r="J919" s="4" t="s">
        <v>133</v>
      </c>
      <c r="K919" s="4" t="s">
        <v>134</v>
      </c>
      <c r="L919">
        <v>53</v>
      </c>
      <c r="M919" s="4" t="s">
        <v>158</v>
      </c>
    </row>
    <row r="920" spans="1:13" x14ac:dyDescent="0.2">
      <c r="A920" s="4" t="s">
        <v>1306</v>
      </c>
      <c r="B920">
        <v>919</v>
      </c>
      <c r="C920" s="4" t="s">
        <v>26</v>
      </c>
      <c r="D920" s="4" t="s">
        <v>38</v>
      </c>
      <c r="E920" s="4" t="s">
        <v>53</v>
      </c>
      <c r="F920" s="4" t="s">
        <v>1295</v>
      </c>
      <c r="G920">
        <v>8</v>
      </c>
      <c r="H920">
        <v>39</v>
      </c>
      <c r="I920" s="4" t="s">
        <v>112</v>
      </c>
      <c r="J920" s="4" t="s">
        <v>122</v>
      </c>
      <c r="K920" s="4" t="s">
        <v>123</v>
      </c>
      <c r="L920">
        <v>74</v>
      </c>
      <c r="M920" s="4" t="s">
        <v>158</v>
      </c>
    </row>
    <row r="921" spans="1:13" x14ac:dyDescent="0.2">
      <c r="A921" s="4" t="s">
        <v>1307</v>
      </c>
      <c r="B921">
        <v>920</v>
      </c>
      <c r="C921" s="4" t="s">
        <v>26</v>
      </c>
      <c r="D921" s="4" t="s">
        <v>38</v>
      </c>
      <c r="E921" s="4" t="s">
        <v>53</v>
      </c>
      <c r="F921" s="4" t="s">
        <v>1295</v>
      </c>
      <c r="G921">
        <v>8</v>
      </c>
      <c r="H921">
        <v>39</v>
      </c>
      <c r="I921" s="4" t="s">
        <v>112</v>
      </c>
      <c r="J921" s="4" t="s">
        <v>125</v>
      </c>
      <c r="K921" s="4" t="s">
        <v>126</v>
      </c>
      <c r="L921">
        <v>30</v>
      </c>
      <c r="M921" s="4" t="s">
        <v>158</v>
      </c>
    </row>
    <row r="922" spans="1:13" x14ac:dyDescent="0.2">
      <c r="A922" s="4" t="s">
        <v>1308</v>
      </c>
      <c r="B922">
        <v>921</v>
      </c>
      <c r="C922" s="4" t="s">
        <v>26</v>
      </c>
      <c r="D922" s="4" t="s">
        <v>38</v>
      </c>
      <c r="E922" s="4" t="s">
        <v>53</v>
      </c>
      <c r="F922" s="4" t="s">
        <v>1295</v>
      </c>
      <c r="G922">
        <v>8</v>
      </c>
      <c r="H922">
        <v>39</v>
      </c>
      <c r="I922" s="4" t="s">
        <v>112</v>
      </c>
      <c r="J922" s="4" t="s">
        <v>127</v>
      </c>
      <c r="K922" s="4" t="s">
        <v>128</v>
      </c>
      <c r="L922">
        <v>0</v>
      </c>
      <c r="M922" s="4" t="s">
        <v>158</v>
      </c>
    </row>
    <row r="923" spans="1:13" x14ac:dyDescent="0.2">
      <c r="A923" s="4" t="s">
        <v>1309</v>
      </c>
      <c r="B923">
        <v>922</v>
      </c>
      <c r="C923" s="4" t="s">
        <v>26</v>
      </c>
      <c r="D923" s="4" t="s">
        <v>38</v>
      </c>
      <c r="E923" s="4" t="s">
        <v>53</v>
      </c>
      <c r="F923" s="4" t="s">
        <v>1295</v>
      </c>
      <c r="G923">
        <v>8</v>
      </c>
      <c r="H923">
        <v>39</v>
      </c>
      <c r="I923" s="4" t="s">
        <v>112</v>
      </c>
      <c r="J923" s="4" t="s">
        <v>129</v>
      </c>
      <c r="K923" s="4" t="s">
        <v>130</v>
      </c>
      <c r="L923">
        <v>0</v>
      </c>
      <c r="M923" s="4" t="s">
        <v>158</v>
      </c>
    </row>
    <row r="924" spans="1:13" x14ac:dyDescent="0.2">
      <c r="A924" s="4" t="s">
        <v>1310</v>
      </c>
      <c r="B924">
        <v>923</v>
      </c>
      <c r="C924" s="4" t="s">
        <v>26</v>
      </c>
      <c r="D924" s="4" t="s">
        <v>38</v>
      </c>
      <c r="E924" s="4" t="s">
        <v>53</v>
      </c>
      <c r="F924" s="4" t="s">
        <v>1295</v>
      </c>
      <c r="G924">
        <v>8</v>
      </c>
      <c r="H924">
        <v>39</v>
      </c>
      <c r="I924" s="4" t="s">
        <v>112</v>
      </c>
      <c r="J924" s="4" t="s">
        <v>131</v>
      </c>
      <c r="K924" s="4" t="s">
        <v>132</v>
      </c>
      <c r="L924">
        <v>43</v>
      </c>
      <c r="M924" s="4" t="s">
        <v>158</v>
      </c>
    </row>
    <row r="925" spans="1:13" x14ac:dyDescent="0.2">
      <c r="A925" s="4" t="s">
        <v>1311</v>
      </c>
      <c r="B925">
        <v>924</v>
      </c>
      <c r="C925" s="4" t="s">
        <v>26</v>
      </c>
      <c r="D925" s="4" t="s">
        <v>38</v>
      </c>
      <c r="E925" s="4" t="s">
        <v>53</v>
      </c>
      <c r="F925" s="4" t="s">
        <v>1295</v>
      </c>
      <c r="G925">
        <v>8</v>
      </c>
      <c r="H925">
        <v>39</v>
      </c>
      <c r="I925" s="4" t="s">
        <v>112</v>
      </c>
      <c r="J925" s="4" t="s">
        <v>133</v>
      </c>
      <c r="K925" s="4" t="s">
        <v>134</v>
      </c>
      <c r="L925">
        <v>2</v>
      </c>
      <c r="M925" s="4" t="s">
        <v>158</v>
      </c>
    </row>
    <row r="926" spans="1:13" x14ac:dyDescent="0.2">
      <c r="A926" s="4" t="s">
        <v>1312</v>
      </c>
      <c r="B926">
        <v>925</v>
      </c>
      <c r="C926" s="4" t="s">
        <v>26</v>
      </c>
      <c r="D926" s="4" t="s">
        <v>38</v>
      </c>
      <c r="E926" s="4" t="s">
        <v>53</v>
      </c>
      <c r="F926" s="4" t="s">
        <v>1295</v>
      </c>
      <c r="G926">
        <v>8</v>
      </c>
      <c r="H926">
        <v>39</v>
      </c>
      <c r="I926" s="4" t="s">
        <v>114</v>
      </c>
      <c r="J926" s="4" t="s">
        <v>122</v>
      </c>
      <c r="K926" s="4" t="s">
        <v>123</v>
      </c>
      <c r="L926">
        <v>25</v>
      </c>
      <c r="M926" s="4" t="s">
        <v>158</v>
      </c>
    </row>
    <row r="927" spans="1:13" x14ac:dyDescent="0.2">
      <c r="A927" s="4" t="s">
        <v>1313</v>
      </c>
      <c r="B927">
        <v>926</v>
      </c>
      <c r="C927" s="4" t="s">
        <v>26</v>
      </c>
      <c r="D927" s="4" t="s">
        <v>38</v>
      </c>
      <c r="E927" s="4" t="s">
        <v>53</v>
      </c>
      <c r="F927" s="4" t="s">
        <v>1295</v>
      </c>
      <c r="G927">
        <v>8</v>
      </c>
      <c r="H927">
        <v>39</v>
      </c>
      <c r="I927" s="4" t="s">
        <v>114</v>
      </c>
      <c r="J927" s="4" t="s">
        <v>125</v>
      </c>
      <c r="K927" s="4" t="s">
        <v>126</v>
      </c>
      <c r="L927">
        <v>28</v>
      </c>
      <c r="M927" s="4" t="s">
        <v>158</v>
      </c>
    </row>
    <row r="928" spans="1:13" x14ac:dyDescent="0.2">
      <c r="A928" s="4" t="s">
        <v>1314</v>
      </c>
      <c r="B928">
        <v>927</v>
      </c>
      <c r="C928" s="4" t="s">
        <v>26</v>
      </c>
      <c r="D928" s="4" t="s">
        <v>38</v>
      </c>
      <c r="E928" s="4" t="s">
        <v>53</v>
      </c>
      <c r="F928" s="4" t="s">
        <v>1295</v>
      </c>
      <c r="G928">
        <v>8</v>
      </c>
      <c r="H928">
        <v>39</v>
      </c>
      <c r="I928" s="4" t="s">
        <v>114</v>
      </c>
      <c r="J928" s="4" t="s">
        <v>127</v>
      </c>
      <c r="K928" s="4" t="s">
        <v>128</v>
      </c>
      <c r="L928">
        <v>92</v>
      </c>
      <c r="M928" s="4" t="s">
        <v>158</v>
      </c>
    </row>
    <row r="929" spans="1:13" x14ac:dyDescent="0.2">
      <c r="A929" s="4" t="s">
        <v>1315</v>
      </c>
      <c r="B929">
        <v>928</v>
      </c>
      <c r="C929" s="4" t="s">
        <v>26</v>
      </c>
      <c r="D929" s="4" t="s">
        <v>38</v>
      </c>
      <c r="E929" s="4" t="s">
        <v>53</v>
      </c>
      <c r="F929" s="4" t="s">
        <v>1295</v>
      </c>
      <c r="G929">
        <v>8</v>
      </c>
      <c r="H929">
        <v>39</v>
      </c>
      <c r="I929" s="4" t="s">
        <v>114</v>
      </c>
      <c r="J929" s="4" t="s">
        <v>129</v>
      </c>
      <c r="K929" s="4" t="s">
        <v>130</v>
      </c>
      <c r="L929">
        <v>23</v>
      </c>
      <c r="M929" s="4" t="s">
        <v>158</v>
      </c>
    </row>
    <row r="930" spans="1:13" x14ac:dyDescent="0.2">
      <c r="A930" s="4" t="s">
        <v>1316</v>
      </c>
      <c r="B930">
        <v>929</v>
      </c>
      <c r="C930" s="4" t="s">
        <v>26</v>
      </c>
      <c r="D930" s="4" t="s">
        <v>38</v>
      </c>
      <c r="E930" s="4" t="s">
        <v>53</v>
      </c>
      <c r="F930" s="4" t="s">
        <v>1295</v>
      </c>
      <c r="G930">
        <v>8</v>
      </c>
      <c r="H930">
        <v>39</v>
      </c>
      <c r="I930" s="4" t="s">
        <v>114</v>
      </c>
      <c r="J930" s="4" t="s">
        <v>131</v>
      </c>
      <c r="K930" s="4" t="s">
        <v>132</v>
      </c>
      <c r="L930">
        <v>18</v>
      </c>
      <c r="M930" s="4" t="s">
        <v>158</v>
      </c>
    </row>
    <row r="931" spans="1:13" x14ac:dyDescent="0.2">
      <c r="A931" s="4" t="s">
        <v>1317</v>
      </c>
      <c r="B931">
        <v>930</v>
      </c>
      <c r="C931" s="4" t="s">
        <v>26</v>
      </c>
      <c r="D931" s="4" t="s">
        <v>38</v>
      </c>
      <c r="E931" s="4" t="s">
        <v>53</v>
      </c>
      <c r="F931" s="4" t="s">
        <v>1295</v>
      </c>
      <c r="G931">
        <v>8</v>
      </c>
      <c r="H931">
        <v>39</v>
      </c>
      <c r="I931" s="4" t="s">
        <v>114</v>
      </c>
      <c r="J931" s="4" t="s">
        <v>133</v>
      </c>
      <c r="K931" s="4" t="s">
        <v>134</v>
      </c>
      <c r="L931">
        <v>30</v>
      </c>
      <c r="M931" s="4" t="s">
        <v>158</v>
      </c>
    </row>
    <row r="932" spans="1:13" x14ac:dyDescent="0.2">
      <c r="A932" s="4" t="s">
        <v>1318</v>
      </c>
      <c r="B932">
        <v>931</v>
      </c>
      <c r="C932" s="4" t="s">
        <v>26</v>
      </c>
      <c r="D932" s="4" t="s">
        <v>38</v>
      </c>
      <c r="E932" s="4" t="s">
        <v>53</v>
      </c>
      <c r="F932" s="4" t="s">
        <v>1295</v>
      </c>
      <c r="G932">
        <v>8</v>
      </c>
      <c r="H932">
        <v>39</v>
      </c>
      <c r="I932" s="4" t="s">
        <v>116</v>
      </c>
      <c r="J932" s="4" t="s">
        <v>122</v>
      </c>
      <c r="K932" s="4" t="s">
        <v>123</v>
      </c>
      <c r="L932">
        <v>22</v>
      </c>
      <c r="M932" s="4" t="s">
        <v>158</v>
      </c>
    </row>
    <row r="933" spans="1:13" x14ac:dyDescent="0.2">
      <c r="A933" s="4" t="s">
        <v>1319</v>
      </c>
      <c r="B933">
        <v>932</v>
      </c>
      <c r="C933" s="4" t="s">
        <v>26</v>
      </c>
      <c r="D933" s="4" t="s">
        <v>38</v>
      </c>
      <c r="E933" s="4" t="s">
        <v>53</v>
      </c>
      <c r="F933" s="4" t="s">
        <v>1295</v>
      </c>
      <c r="G933">
        <v>8</v>
      </c>
      <c r="H933">
        <v>39</v>
      </c>
      <c r="I933" s="4" t="s">
        <v>116</v>
      </c>
      <c r="J933" s="4" t="s">
        <v>125</v>
      </c>
      <c r="K933" s="4" t="s">
        <v>126</v>
      </c>
      <c r="L933">
        <v>30</v>
      </c>
      <c r="M933" s="4" t="s">
        <v>158</v>
      </c>
    </row>
    <row r="934" spans="1:13" x14ac:dyDescent="0.2">
      <c r="A934" s="4" t="s">
        <v>1320</v>
      </c>
      <c r="B934">
        <v>933</v>
      </c>
      <c r="C934" s="4" t="s">
        <v>26</v>
      </c>
      <c r="D934" s="4" t="s">
        <v>38</v>
      </c>
      <c r="E934" s="4" t="s">
        <v>53</v>
      </c>
      <c r="F934" s="4" t="s">
        <v>1295</v>
      </c>
      <c r="G934">
        <v>8</v>
      </c>
      <c r="H934">
        <v>39</v>
      </c>
      <c r="I934" s="4" t="s">
        <v>116</v>
      </c>
      <c r="J934" s="4" t="s">
        <v>127</v>
      </c>
      <c r="K934" s="4" t="s">
        <v>128</v>
      </c>
      <c r="L934">
        <v>47</v>
      </c>
      <c r="M934" s="4" t="s">
        <v>158</v>
      </c>
    </row>
    <row r="935" spans="1:13" x14ac:dyDescent="0.2">
      <c r="A935" s="4" t="s">
        <v>1321</v>
      </c>
      <c r="B935">
        <v>934</v>
      </c>
      <c r="C935" s="4" t="s">
        <v>26</v>
      </c>
      <c r="D935" s="4" t="s">
        <v>38</v>
      </c>
      <c r="E935" s="4" t="s">
        <v>53</v>
      </c>
      <c r="F935" s="4" t="s">
        <v>1295</v>
      </c>
      <c r="G935">
        <v>8</v>
      </c>
      <c r="H935">
        <v>39</v>
      </c>
      <c r="I935" s="4" t="s">
        <v>116</v>
      </c>
      <c r="J935" s="4" t="s">
        <v>129</v>
      </c>
      <c r="K935" s="4" t="s">
        <v>130</v>
      </c>
      <c r="L935">
        <v>0</v>
      </c>
      <c r="M935" s="4" t="s">
        <v>158</v>
      </c>
    </row>
    <row r="936" spans="1:13" x14ac:dyDescent="0.2">
      <c r="A936" s="4" t="s">
        <v>1322</v>
      </c>
      <c r="B936">
        <v>935</v>
      </c>
      <c r="C936" s="4" t="s">
        <v>26</v>
      </c>
      <c r="D936" s="4" t="s">
        <v>38</v>
      </c>
      <c r="E936" s="4" t="s">
        <v>53</v>
      </c>
      <c r="F936" s="4" t="s">
        <v>1295</v>
      </c>
      <c r="G936">
        <v>8</v>
      </c>
      <c r="H936">
        <v>39</v>
      </c>
      <c r="I936" s="4" t="s">
        <v>116</v>
      </c>
      <c r="J936" s="4" t="s">
        <v>131</v>
      </c>
      <c r="K936" s="4" t="s">
        <v>132</v>
      </c>
      <c r="L936">
        <v>30</v>
      </c>
      <c r="M936" s="4" t="s">
        <v>158</v>
      </c>
    </row>
    <row r="937" spans="1:13" x14ac:dyDescent="0.2">
      <c r="A937" s="4" t="s">
        <v>1323</v>
      </c>
      <c r="B937">
        <v>936</v>
      </c>
      <c r="C937" s="4" t="s">
        <v>26</v>
      </c>
      <c r="D937" s="4" t="s">
        <v>38</v>
      </c>
      <c r="E937" s="4" t="s">
        <v>53</v>
      </c>
      <c r="F937" s="4" t="s">
        <v>1295</v>
      </c>
      <c r="G937">
        <v>8</v>
      </c>
      <c r="H937">
        <v>39</v>
      </c>
      <c r="I937" s="4" t="s">
        <v>116</v>
      </c>
      <c r="J937" s="4" t="s">
        <v>133</v>
      </c>
      <c r="K937" s="4" t="s">
        <v>134</v>
      </c>
      <c r="L937">
        <v>30</v>
      </c>
      <c r="M937" s="4" t="s">
        <v>158</v>
      </c>
    </row>
    <row r="938" spans="1:13" x14ac:dyDescent="0.2">
      <c r="A938" s="4" t="s">
        <v>1328</v>
      </c>
      <c r="B938">
        <v>937</v>
      </c>
      <c r="C938" s="4" t="s">
        <v>26</v>
      </c>
      <c r="D938" s="4" t="s">
        <v>38</v>
      </c>
      <c r="E938" s="4" t="s">
        <v>56</v>
      </c>
      <c r="F938" s="4" t="s">
        <v>1329</v>
      </c>
      <c r="G938">
        <v>8</v>
      </c>
      <c r="H938">
        <v>40</v>
      </c>
      <c r="I938" s="4" t="s">
        <v>35</v>
      </c>
      <c r="J938" s="4" t="s">
        <v>122</v>
      </c>
      <c r="K938" s="4" t="s">
        <v>123</v>
      </c>
      <c r="L938">
        <v>1400</v>
      </c>
      <c r="M938" s="4" t="s">
        <v>158</v>
      </c>
    </row>
    <row r="939" spans="1:13" x14ac:dyDescent="0.2">
      <c r="A939" s="4" t="s">
        <v>1330</v>
      </c>
      <c r="B939">
        <v>938</v>
      </c>
      <c r="C939" s="4" t="s">
        <v>26</v>
      </c>
      <c r="D939" s="4" t="s">
        <v>38</v>
      </c>
      <c r="E939" s="4" t="s">
        <v>56</v>
      </c>
      <c r="F939" s="4" t="s">
        <v>1329</v>
      </c>
      <c r="G939">
        <v>8</v>
      </c>
      <c r="H939">
        <v>40</v>
      </c>
      <c r="I939" s="4" t="s">
        <v>35</v>
      </c>
      <c r="J939" s="4" t="s">
        <v>125</v>
      </c>
      <c r="K939" s="4" t="s">
        <v>126</v>
      </c>
      <c r="L939">
        <v>192</v>
      </c>
      <c r="M939" s="4" t="s">
        <v>158</v>
      </c>
    </row>
    <row r="940" spans="1:13" x14ac:dyDescent="0.2">
      <c r="A940" s="4" t="s">
        <v>1331</v>
      </c>
      <c r="B940">
        <v>939</v>
      </c>
      <c r="C940" s="4" t="s">
        <v>26</v>
      </c>
      <c r="D940" s="4" t="s">
        <v>38</v>
      </c>
      <c r="E940" s="4" t="s">
        <v>56</v>
      </c>
      <c r="F940" s="4" t="s">
        <v>1329</v>
      </c>
      <c r="G940">
        <v>8</v>
      </c>
      <c r="H940">
        <v>40</v>
      </c>
      <c r="I940" s="4" t="s">
        <v>35</v>
      </c>
      <c r="J940" s="4" t="s">
        <v>127</v>
      </c>
      <c r="K940" s="4" t="s">
        <v>128</v>
      </c>
      <c r="L940">
        <v>1200</v>
      </c>
      <c r="M940" s="4" t="s">
        <v>158</v>
      </c>
    </row>
    <row r="941" spans="1:13" x14ac:dyDescent="0.2">
      <c r="A941" s="4" t="s">
        <v>1332</v>
      </c>
      <c r="B941">
        <v>940</v>
      </c>
      <c r="C941" s="4" t="s">
        <v>26</v>
      </c>
      <c r="D941" s="4" t="s">
        <v>38</v>
      </c>
      <c r="E941" s="4" t="s">
        <v>56</v>
      </c>
      <c r="F941" s="4" t="s">
        <v>1329</v>
      </c>
      <c r="G941">
        <v>8</v>
      </c>
      <c r="H941">
        <v>40</v>
      </c>
      <c r="I941" s="4" t="s">
        <v>35</v>
      </c>
      <c r="J941" s="4" t="s">
        <v>129</v>
      </c>
      <c r="K941" s="4" t="s">
        <v>130</v>
      </c>
      <c r="L941">
        <v>253</v>
      </c>
      <c r="M941" s="4" t="s">
        <v>158</v>
      </c>
    </row>
    <row r="942" spans="1:13" x14ac:dyDescent="0.2">
      <c r="A942" s="4" t="s">
        <v>1333</v>
      </c>
      <c r="B942">
        <v>941</v>
      </c>
      <c r="C942" s="4" t="s">
        <v>26</v>
      </c>
      <c r="D942" s="4" t="s">
        <v>38</v>
      </c>
      <c r="E942" s="4" t="s">
        <v>56</v>
      </c>
      <c r="F942" s="4" t="s">
        <v>1329</v>
      </c>
      <c r="G942">
        <v>8</v>
      </c>
      <c r="H942">
        <v>40</v>
      </c>
      <c r="I942" s="4" t="s">
        <v>35</v>
      </c>
      <c r="J942" s="4" t="s">
        <v>131</v>
      </c>
      <c r="K942" s="4" t="s">
        <v>132</v>
      </c>
      <c r="L942">
        <v>450</v>
      </c>
      <c r="M942" s="4" t="s">
        <v>158</v>
      </c>
    </row>
    <row r="943" spans="1:13" x14ac:dyDescent="0.2">
      <c r="A943" s="4" t="s">
        <v>1334</v>
      </c>
      <c r="B943">
        <v>942</v>
      </c>
      <c r="C943" s="4" t="s">
        <v>26</v>
      </c>
      <c r="D943" s="4" t="s">
        <v>38</v>
      </c>
      <c r="E943" s="4" t="s">
        <v>56</v>
      </c>
      <c r="F943" s="4" t="s">
        <v>1329</v>
      </c>
      <c r="G943">
        <v>8</v>
      </c>
      <c r="H943">
        <v>40</v>
      </c>
      <c r="I943" s="4" t="s">
        <v>35</v>
      </c>
      <c r="J943" s="4" t="s">
        <v>133</v>
      </c>
      <c r="K943" s="4" t="s">
        <v>134</v>
      </c>
      <c r="L943">
        <v>262</v>
      </c>
      <c r="M943" s="4" t="s">
        <v>158</v>
      </c>
    </row>
    <row r="944" spans="1:13" x14ac:dyDescent="0.2">
      <c r="A944" s="4" t="s">
        <v>1335</v>
      </c>
      <c r="B944">
        <v>943</v>
      </c>
      <c r="C944" s="4" t="s">
        <v>26</v>
      </c>
      <c r="D944" s="4" t="s">
        <v>38</v>
      </c>
      <c r="E944" s="4" t="s">
        <v>56</v>
      </c>
      <c r="F944" s="4" t="s">
        <v>1329</v>
      </c>
      <c r="G944">
        <v>8</v>
      </c>
      <c r="H944">
        <v>40</v>
      </c>
      <c r="I944" s="4" t="s">
        <v>112</v>
      </c>
      <c r="J944" s="4" t="s">
        <v>122</v>
      </c>
      <c r="K944" s="4" t="s">
        <v>123</v>
      </c>
      <c r="L944">
        <v>0</v>
      </c>
      <c r="M944" s="4" t="s">
        <v>158</v>
      </c>
    </row>
    <row r="945" spans="1:13" x14ac:dyDescent="0.2">
      <c r="A945" s="4" t="s">
        <v>1336</v>
      </c>
      <c r="B945">
        <v>944</v>
      </c>
      <c r="C945" s="4" t="s">
        <v>26</v>
      </c>
      <c r="D945" s="4" t="s">
        <v>38</v>
      </c>
      <c r="E945" s="4" t="s">
        <v>56</v>
      </c>
      <c r="F945" s="4" t="s">
        <v>1329</v>
      </c>
      <c r="G945">
        <v>8</v>
      </c>
      <c r="H945">
        <v>40</v>
      </c>
      <c r="I945" s="4" t="s">
        <v>112</v>
      </c>
      <c r="J945" s="4" t="s">
        <v>125</v>
      </c>
      <c r="K945" s="4" t="s">
        <v>126</v>
      </c>
      <c r="L945">
        <v>30</v>
      </c>
      <c r="M945" s="4" t="s">
        <v>158</v>
      </c>
    </row>
    <row r="946" spans="1:13" x14ac:dyDescent="0.2">
      <c r="A946" s="4" t="s">
        <v>1337</v>
      </c>
      <c r="B946">
        <v>945</v>
      </c>
      <c r="C946" s="4" t="s">
        <v>26</v>
      </c>
      <c r="D946" s="4" t="s">
        <v>38</v>
      </c>
      <c r="E946" s="4" t="s">
        <v>56</v>
      </c>
      <c r="F946" s="4" t="s">
        <v>1329</v>
      </c>
      <c r="G946">
        <v>8</v>
      </c>
      <c r="H946">
        <v>40</v>
      </c>
      <c r="I946" s="4" t="s">
        <v>112</v>
      </c>
      <c r="J946" s="4" t="s">
        <v>127</v>
      </c>
      <c r="K946" s="4" t="s">
        <v>128</v>
      </c>
      <c r="L946">
        <v>0</v>
      </c>
      <c r="M946" s="4" t="s">
        <v>158</v>
      </c>
    </row>
    <row r="947" spans="1:13" x14ac:dyDescent="0.2">
      <c r="A947" s="4" t="s">
        <v>1338</v>
      </c>
      <c r="B947">
        <v>946</v>
      </c>
      <c r="C947" s="4" t="s">
        <v>26</v>
      </c>
      <c r="D947" s="4" t="s">
        <v>38</v>
      </c>
      <c r="E947" s="4" t="s">
        <v>56</v>
      </c>
      <c r="F947" s="4" t="s">
        <v>1329</v>
      </c>
      <c r="G947">
        <v>8</v>
      </c>
      <c r="H947">
        <v>40</v>
      </c>
      <c r="I947" s="4" t="s">
        <v>112</v>
      </c>
      <c r="J947" s="4" t="s">
        <v>129</v>
      </c>
      <c r="K947" s="4" t="s">
        <v>130</v>
      </c>
      <c r="L947">
        <v>0</v>
      </c>
      <c r="M947" s="4" t="s">
        <v>158</v>
      </c>
    </row>
    <row r="948" spans="1:13" x14ac:dyDescent="0.2">
      <c r="A948" s="4" t="s">
        <v>1339</v>
      </c>
      <c r="B948">
        <v>947</v>
      </c>
      <c r="C948" s="4" t="s">
        <v>26</v>
      </c>
      <c r="D948" s="4" t="s">
        <v>38</v>
      </c>
      <c r="E948" s="4" t="s">
        <v>56</v>
      </c>
      <c r="F948" s="4" t="s">
        <v>1329</v>
      </c>
      <c r="G948">
        <v>8</v>
      </c>
      <c r="H948">
        <v>40</v>
      </c>
      <c r="I948" s="4" t="s">
        <v>112</v>
      </c>
      <c r="J948" s="4" t="s">
        <v>131</v>
      </c>
      <c r="K948" s="4" t="s">
        <v>132</v>
      </c>
      <c r="L948">
        <v>43</v>
      </c>
      <c r="M948" s="4" t="s">
        <v>158</v>
      </c>
    </row>
    <row r="949" spans="1:13" x14ac:dyDescent="0.2">
      <c r="A949" s="4" t="s">
        <v>1340</v>
      </c>
      <c r="B949">
        <v>948</v>
      </c>
      <c r="C949" s="4" t="s">
        <v>26</v>
      </c>
      <c r="D949" s="4" t="s">
        <v>38</v>
      </c>
      <c r="E949" s="4" t="s">
        <v>56</v>
      </c>
      <c r="F949" s="4" t="s">
        <v>1329</v>
      </c>
      <c r="G949">
        <v>8</v>
      </c>
      <c r="H949">
        <v>40</v>
      </c>
      <c r="I949" s="4" t="s">
        <v>112</v>
      </c>
      <c r="J949" s="4" t="s">
        <v>133</v>
      </c>
      <c r="K949" s="4" t="s">
        <v>134</v>
      </c>
      <c r="L949">
        <v>48</v>
      </c>
      <c r="M949" s="4" t="s">
        <v>158</v>
      </c>
    </row>
    <row r="950" spans="1:13" x14ac:dyDescent="0.2">
      <c r="A950" s="4" t="s">
        <v>1341</v>
      </c>
      <c r="B950">
        <v>949</v>
      </c>
      <c r="C950" s="4" t="s">
        <v>26</v>
      </c>
      <c r="D950" s="4" t="s">
        <v>38</v>
      </c>
      <c r="E950" s="4" t="s">
        <v>56</v>
      </c>
      <c r="F950" s="4" t="s">
        <v>1329</v>
      </c>
      <c r="G950">
        <v>8</v>
      </c>
      <c r="H950">
        <v>40</v>
      </c>
      <c r="I950" s="4" t="s">
        <v>114</v>
      </c>
      <c r="J950" s="4" t="s">
        <v>122</v>
      </c>
      <c r="K950" s="4" t="s">
        <v>123</v>
      </c>
      <c r="L950">
        <v>25</v>
      </c>
      <c r="M950" s="4" t="s">
        <v>158</v>
      </c>
    </row>
    <row r="951" spans="1:13" x14ac:dyDescent="0.2">
      <c r="A951" s="4" t="s">
        <v>1342</v>
      </c>
      <c r="B951">
        <v>950</v>
      </c>
      <c r="C951" s="4" t="s">
        <v>26</v>
      </c>
      <c r="D951" s="4" t="s">
        <v>38</v>
      </c>
      <c r="E951" s="4" t="s">
        <v>56</v>
      </c>
      <c r="F951" s="4" t="s">
        <v>1329</v>
      </c>
      <c r="G951">
        <v>8</v>
      </c>
      <c r="H951">
        <v>40</v>
      </c>
      <c r="I951" s="4" t="s">
        <v>114</v>
      </c>
      <c r="J951" s="4" t="s">
        <v>125</v>
      </c>
      <c r="K951" s="4" t="s">
        <v>126</v>
      </c>
      <c r="L951">
        <v>50</v>
      </c>
      <c r="M951" s="4" t="s">
        <v>158</v>
      </c>
    </row>
    <row r="952" spans="1:13" x14ac:dyDescent="0.2">
      <c r="A952" s="4" t="s">
        <v>1343</v>
      </c>
      <c r="B952">
        <v>951</v>
      </c>
      <c r="C952" s="4" t="s">
        <v>26</v>
      </c>
      <c r="D952" s="4" t="s">
        <v>38</v>
      </c>
      <c r="E952" s="4" t="s">
        <v>56</v>
      </c>
      <c r="F952" s="4" t="s">
        <v>1329</v>
      </c>
      <c r="G952">
        <v>8</v>
      </c>
      <c r="H952">
        <v>40</v>
      </c>
      <c r="I952" s="4" t="s">
        <v>114</v>
      </c>
      <c r="J952" s="4" t="s">
        <v>127</v>
      </c>
      <c r="K952" s="4" t="s">
        <v>128</v>
      </c>
      <c r="L952">
        <v>6</v>
      </c>
      <c r="M952" s="4" t="s">
        <v>158</v>
      </c>
    </row>
    <row r="953" spans="1:13" x14ac:dyDescent="0.2">
      <c r="A953" s="4" t="s">
        <v>1344</v>
      </c>
      <c r="B953">
        <v>952</v>
      </c>
      <c r="C953" s="4" t="s">
        <v>26</v>
      </c>
      <c r="D953" s="4" t="s">
        <v>38</v>
      </c>
      <c r="E953" s="4" t="s">
        <v>56</v>
      </c>
      <c r="F953" s="4" t="s">
        <v>1329</v>
      </c>
      <c r="G953">
        <v>8</v>
      </c>
      <c r="H953">
        <v>40</v>
      </c>
      <c r="I953" s="4" t="s">
        <v>114</v>
      </c>
      <c r="J953" s="4" t="s">
        <v>129</v>
      </c>
      <c r="K953" s="4" t="s">
        <v>130</v>
      </c>
      <c r="L953">
        <v>23</v>
      </c>
      <c r="M953" s="4" t="s">
        <v>158</v>
      </c>
    </row>
    <row r="954" spans="1:13" x14ac:dyDescent="0.2">
      <c r="A954" s="4" t="s">
        <v>1345</v>
      </c>
      <c r="B954">
        <v>953</v>
      </c>
      <c r="C954" s="4" t="s">
        <v>26</v>
      </c>
      <c r="D954" s="4" t="s">
        <v>38</v>
      </c>
      <c r="E954" s="4" t="s">
        <v>56</v>
      </c>
      <c r="F954" s="4" t="s">
        <v>1329</v>
      </c>
      <c r="G954">
        <v>8</v>
      </c>
      <c r="H954">
        <v>40</v>
      </c>
      <c r="I954" s="4" t="s">
        <v>114</v>
      </c>
      <c r="J954" s="4" t="s">
        <v>131</v>
      </c>
      <c r="K954" s="4" t="s">
        <v>132</v>
      </c>
      <c r="L954">
        <v>18</v>
      </c>
      <c r="M954" s="4" t="s">
        <v>158</v>
      </c>
    </row>
    <row r="955" spans="1:13" x14ac:dyDescent="0.2">
      <c r="A955" s="4" t="s">
        <v>1346</v>
      </c>
      <c r="B955">
        <v>954</v>
      </c>
      <c r="C955" s="4" t="s">
        <v>26</v>
      </c>
      <c r="D955" s="4" t="s">
        <v>38</v>
      </c>
      <c r="E955" s="4" t="s">
        <v>56</v>
      </c>
      <c r="F955" s="4" t="s">
        <v>1329</v>
      </c>
      <c r="G955">
        <v>8</v>
      </c>
      <c r="H955">
        <v>40</v>
      </c>
      <c r="I955" s="4" t="s">
        <v>114</v>
      </c>
      <c r="J955" s="4" t="s">
        <v>133</v>
      </c>
      <c r="K955" s="4" t="s">
        <v>134</v>
      </c>
      <c r="L955">
        <v>30</v>
      </c>
      <c r="M955" s="4" t="s">
        <v>158</v>
      </c>
    </row>
    <row r="956" spans="1:13" x14ac:dyDescent="0.2">
      <c r="A956" s="4" t="s">
        <v>1347</v>
      </c>
      <c r="B956">
        <v>955</v>
      </c>
      <c r="C956" s="4" t="s">
        <v>26</v>
      </c>
      <c r="D956" s="4" t="s">
        <v>38</v>
      </c>
      <c r="E956" s="4" t="s">
        <v>56</v>
      </c>
      <c r="F956" s="4" t="s">
        <v>1329</v>
      </c>
      <c r="G956">
        <v>8</v>
      </c>
      <c r="H956">
        <v>40</v>
      </c>
      <c r="I956" s="4" t="s">
        <v>116</v>
      </c>
      <c r="J956" s="4" t="s">
        <v>122</v>
      </c>
      <c r="K956" s="4" t="s">
        <v>123</v>
      </c>
      <c r="L956">
        <v>22</v>
      </c>
      <c r="M956" s="4" t="s">
        <v>158</v>
      </c>
    </row>
    <row r="957" spans="1:13" x14ac:dyDescent="0.2">
      <c r="A957" s="4" t="s">
        <v>1348</v>
      </c>
      <c r="B957">
        <v>956</v>
      </c>
      <c r="C957" s="4" t="s">
        <v>26</v>
      </c>
      <c r="D957" s="4" t="s">
        <v>38</v>
      </c>
      <c r="E957" s="4" t="s">
        <v>56</v>
      </c>
      <c r="F957" s="4" t="s">
        <v>1329</v>
      </c>
      <c r="G957">
        <v>8</v>
      </c>
      <c r="H957">
        <v>40</v>
      </c>
      <c r="I957" s="4" t="s">
        <v>116</v>
      </c>
      <c r="J957" s="4" t="s">
        <v>125</v>
      </c>
      <c r="K957" s="4" t="s">
        <v>126</v>
      </c>
      <c r="L957">
        <v>4</v>
      </c>
      <c r="M957" s="4" t="s">
        <v>158</v>
      </c>
    </row>
    <row r="958" spans="1:13" x14ac:dyDescent="0.2">
      <c r="A958" s="4" t="s">
        <v>1349</v>
      </c>
      <c r="B958">
        <v>957</v>
      </c>
      <c r="C958" s="4" t="s">
        <v>26</v>
      </c>
      <c r="D958" s="4" t="s">
        <v>38</v>
      </c>
      <c r="E958" s="4" t="s">
        <v>56</v>
      </c>
      <c r="F958" s="4" t="s">
        <v>1329</v>
      </c>
      <c r="G958">
        <v>8</v>
      </c>
      <c r="H958">
        <v>40</v>
      </c>
      <c r="I958" s="4" t="s">
        <v>116</v>
      </c>
      <c r="J958" s="4" t="s">
        <v>127</v>
      </c>
      <c r="K958" s="4" t="s">
        <v>128</v>
      </c>
      <c r="L958">
        <v>47</v>
      </c>
      <c r="M958" s="4" t="s">
        <v>158</v>
      </c>
    </row>
    <row r="959" spans="1:13" x14ac:dyDescent="0.2">
      <c r="A959" s="4" t="s">
        <v>1350</v>
      </c>
      <c r="B959">
        <v>958</v>
      </c>
      <c r="C959" s="4" t="s">
        <v>26</v>
      </c>
      <c r="D959" s="4" t="s">
        <v>38</v>
      </c>
      <c r="E959" s="4" t="s">
        <v>56</v>
      </c>
      <c r="F959" s="4" t="s">
        <v>1329</v>
      </c>
      <c r="G959">
        <v>8</v>
      </c>
      <c r="H959">
        <v>40</v>
      </c>
      <c r="I959" s="4" t="s">
        <v>116</v>
      </c>
      <c r="J959" s="4" t="s">
        <v>129</v>
      </c>
      <c r="K959" s="4" t="s">
        <v>130</v>
      </c>
      <c r="L959">
        <v>0</v>
      </c>
      <c r="M959" s="4" t="s">
        <v>158</v>
      </c>
    </row>
    <row r="960" spans="1:13" x14ac:dyDescent="0.2">
      <c r="A960" s="4" t="s">
        <v>1351</v>
      </c>
      <c r="B960">
        <v>959</v>
      </c>
      <c r="C960" s="4" t="s">
        <v>26</v>
      </c>
      <c r="D960" s="4" t="s">
        <v>38</v>
      </c>
      <c r="E960" s="4" t="s">
        <v>56</v>
      </c>
      <c r="F960" s="4" t="s">
        <v>1329</v>
      </c>
      <c r="G960">
        <v>8</v>
      </c>
      <c r="H960">
        <v>40</v>
      </c>
      <c r="I960" s="4" t="s">
        <v>116</v>
      </c>
      <c r="J960" s="4" t="s">
        <v>131</v>
      </c>
      <c r="K960" s="4" t="s">
        <v>132</v>
      </c>
      <c r="L960">
        <v>30</v>
      </c>
      <c r="M960" s="4" t="s">
        <v>158</v>
      </c>
    </row>
    <row r="961" spans="1:13" x14ac:dyDescent="0.2">
      <c r="A961" s="4" t="s">
        <v>1352</v>
      </c>
      <c r="B961">
        <v>960</v>
      </c>
      <c r="C961" s="4" t="s">
        <v>26</v>
      </c>
      <c r="D961" s="4" t="s">
        <v>38</v>
      </c>
      <c r="E961" s="4" t="s">
        <v>56</v>
      </c>
      <c r="F961" s="4" t="s">
        <v>1329</v>
      </c>
      <c r="G961">
        <v>8</v>
      </c>
      <c r="H961">
        <v>40</v>
      </c>
      <c r="I961" s="4" t="s">
        <v>116</v>
      </c>
      <c r="J961" s="4" t="s">
        <v>133</v>
      </c>
      <c r="K961" s="4" t="s">
        <v>134</v>
      </c>
      <c r="L961">
        <v>30</v>
      </c>
      <c r="M961" s="4" t="s">
        <v>158</v>
      </c>
    </row>
    <row r="962" spans="1:13" x14ac:dyDescent="0.2">
      <c r="A962" s="4" t="s">
        <v>1366</v>
      </c>
      <c r="B962">
        <v>961</v>
      </c>
      <c r="C962" s="4" t="s">
        <v>26</v>
      </c>
      <c r="D962" s="4" t="s">
        <v>41</v>
      </c>
      <c r="E962" s="4" t="s">
        <v>27</v>
      </c>
      <c r="F962" s="4" t="s">
        <v>1353</v>
      </c>
      <c r="G962">
        <v>9</v>
      </c>
      <c r="H962">
        <v>41</v>
      </c>
      <c r="I962" s="4" t="s">
        <v>35</v>
      </c>
      <c r="J962" s="4" t="s">
        <v>122</v>
      </c>
      <c r="K962" s="4" t="s">
        <v>123</v>
      </c>
      <c r="L962">
        <v>977</v>
      </c>
      <c r="M962" s="4" t="s">
        <v>158</v>
      </c>
    </row>
    <row r="963" spans="1:13" x14ac:dyDescent="0.2">
      <c r="A963" s="4" t="s">
        <v>1367</v>
      </c>
      <c r="B963">
        <v>962</v>
      </c>
      <c r="C963" s="4" t="s">
        <v>26</v>
      </c>
      <c r="D963" s="4" t="s">
        <v>41</v>
      </c>
      <c r="E963" s="4" t="s">
        <v>27</v>
      </c>
      <c r="F963" s="4" t="s">
        <v>1353</v>
      </c>
      <c r="G963">
        <v>9</v>
      </c>
      <c r="H963">
        <v>41</v>
      </c>
      <c r="I963" s="4" t="s">
        <v>35</v>
      </c>
      <c r="J963" s="4" t="s">
        <v>125</v>
      </c>
      <c r="K963" s="4" t="s">
        <v>126</v>
      </c>
      <c r="L963">
        <v>166</v>
      </c>
      <c r="M963" s="4" t="s">
        <v>158</v>
      </c>
    </row>
    <row r="964" spans="1:13" x14ac:dyDescent="0.2">
      <c r="A964" s="4" t="s">
        <v>1368</v>
      </c>
      <c r="B964">
        <v>963</v>
      </c>
      <c r="C964" s="4" t="s">
        <v>26</v>
      </c>
      <c r="D964" s="4" t="s">
        <v>41</v>
      </c>
      <c r="E964" s="4" t="s">
        <v>27</v>
      </c>
      <c r="F964" s="4" t="s">
        <v>1353</v>
      </c>
      <c r="G964">
        <v>9</v>
      </c>
      <c r="H964">
        <v>41</v>
      </c>
      <c r="I964" s="4" t="s">
        <v>35</v>
      </c>
      <c r="J964" s="4" t="s">
        <v>127</v>
      </c>
      <c r="K964" s="4" t="s">
        <v>128</v>
      </c>
      <c r="L964">
        <v>843</v>
      </c>
      <c r="M964" s="4" t="s">
        <v>158</v>
      </c>
    </row>
    <row r="965" spans="1:13" x14ac:dyDescent="0.2">
      <c r="A965" s="4" t="s">
        <v>1369</v>
      </c>
      <c r="B965">
        <v>964</v>
      </c>
      <c r="C965" s="4" t="s">
        <v>26</v>
      </c>
      <c r="D965" s="4" t="s">
        <v>41</v>
      </c>
      <c r="E965" s="4" t="s">
        <v>27</v>
      </c>
      <c r="F965" s="4" t="s">
        <v>1353</v>
      </c>
      <c r="G965">
        <v>9</v>
      </c>
      <c r="H965">
        <v>41</v>
      </c>
      <c r="I965" s="4" t="s">
        <v>35</v>
      </c>
      <c r="J965" s="4" t="s">
        <v>129</v>
      </c>
      <c r="K965" s="4" t="s">
        <v>130</v>
      </c>
      <c r="L965">
        <v>156</v>
      </c>
      <c r="M965" s="4" t="s">
        <v>158</v>
      </c>
    </row>
    <row r="966" spans="1:13" x14ac:dyDescent="0.2">
      <c r="A966" s="4" t="s">
        <v>1370</v>
      </c>
      <c r="B966">
        <v>965</v>
      </c>
      <c r="C966" s="4" t="s">
        <v>26</v>
      </c>
      <c r="D966" s="4" t="s">
        <v>41</v>
      </c>
      <c r="E966" s="4" t="s">
        <v>27</v>
      </c>
      <c r="F966" s="4" t="s">
        <v>1353</v>
      </c>
      <c r="G966">
        <v>9</v>
      </c>
      <c r="H966">
        <v>41</v>
      </c>
      <c r="I966" s="4" t="s">
        <v>35</v>
      </c>
      <c r="J966" s="4" t="s">
        <v>131</v>
      </c>
      <c r="K966" s="4" t="s">
        <v>132</v>
      </c>
      <c r="L966">
        <v>386</v>
      </c>
      <c r="M966" s="4" t="s">
        <v>158</v>
      </c>
    </row>
    <row r="967" spans="1:13" x14ac:dyDescent="0.2">
      <c r="A967" s="4" t="s">
        <v>1371</v>
      </c>
      <c r="B967">
        <v>966</v>
      </c>
      <c r="C967" s="4" t="s">
        <v>26</v>
      </c>
      <c r="D967" s="4" t="s">
        <v>41</v>
      </c>
      <c r="E967" s="4" t="s">
        <v>27</v>
      </c>
      <c r="F967" s="4" t="s">
        <v>1353</v>
      </c>
      <c r="G967">
        <v>9</v>
      </c>
      <c r="H967">
        <v>41</v>
      </c>
      <c r="I967" s="4" t="s">
        <v>35</v>
      </c>
      <c r="J967" s="4" t="s">
        <v>133</v>
      </c>
      <c r="K967" s="4" t="s">
        <v>134</v>
      </c>
      <c r="L967">
        <v>260</v>
      </c>
      <c r="M967" s="4" t="s">
        <v>158</v>
      </c>
    </row>
    <row r="968" spans="1:13" x14ac:dyDescent="0.2">
      <c r="A968" s="4" t="s">
        <v>1372</v>
      </c>
      <c r="B968">
        <v>967</v>
      </c>
      <c r="C968" s="4" t="s">
        <v>26</v>
      </c>
      <c r="D968" s="4" t="s">
        <v>41</v>
      </c>
      <c r="E968" s="4" t="s">
        <v>27</v>
      </c>
      <c r="F968" s="4" t="s">
        <v>1353</v>
      </c>
      <c r="G968">
        <v>9</v>
      </c>
      <c r="H968">
        <v>41</v>
      </c>
      <c r="I968" s="4" t="s">
        <v>112</v>
      </c>
      <c r="J968" s="4" t="s">
        <v>122</v>
      </c>
      <c r="K968" s="4" t="s">
        <v>123</v>
      </c>
      <c r="L968">
        <v>270</v>
      </c>
      <c r="M968" s="4" t="s">
        <v>158</v>
      </c>
    </row>
    <row r="969" spans="1:13" x14ac:dyDescent="0.2">
      <c r="A969" s="4" t="s">
        <v>1373</v>
      </c>
      <c r="B969">
        <v>968</v>
      </c>
      <c r="C969" s="4" t="s">
        <v>26</v>
      </c>
      <c r="D969" s="4" t="s">
        <v>41</v>
      </c>
      <c r="E969" s="4" t="s">
        <v>27</v>
      </c>
      <c r="F969" s="4" t="s">
        <v>1353</v>
      </c>
      <c r="G969">
        <v>9</v>
      </c>
      <c r="H969">
        <v>41</v>
      </c>
      <c r="I969" s="4" t="s">
        <v>112</v>
      </c>
      <c r="J969" s="4" t="s">
        <v>125</v>
      </c>
      <c r="K969" s="4" t="s">
        <v>126</v>
      </c>
      <c r="L969">
        <v>30</v>
      </c>
      <c r="M969" s="4" t="s">
        <v>158</v>
      </c>
    </row>
    <row r="970" spans="1:13" x14ac:dyDescent="0.2">
      <c r="A970" s="4" t="s">
        <v>1374</v>
      </c>
      <c r="B970">
        <v>969</v>
      </c>
      <c r="C970" s="4" t="s">
        <v>26</v>
      </c>
      <c r="D970" s="4" t="s">
        <v>41</v>
      </c>
      <c r="E970" s="4" t="s">
        <v>27</v>
      </c>
      <c r="F970" s="4" t="s">
        <v>1353</v>
      </c>
      <c r="G970">
        <v>9</v>
      </c>
      <c r="H970">
        <v>41</v>
      </c>
      <c r="I970" s="4" t="s">
        <v>112</v>
      </c>
      <c r="J970" s="4" t="s">
        <v>127</v>
      </c>
      <c r="K970" s="4" t="s">
        <v>128</v>
      </c>
      <c r="L970">
        <v>150</v>
      </c>
      <c r="M970" s="4" t="s">
        <v>158</v>
      </c>
    </row>
    <row r="971" spans="1:13" x14ac:dyDescent="0.2">
      <c r="A971" s="4" t="s">
        <v>1375</v>
      </c>
      <c r="B971">
        <v>970</v>
      </c>
      <c r="C971" s="4" t="s">
        <v>26</v>
      </c>
      <c r="D971" s="4" t="s">
        <v>41</v>
      </c>
      <c r="E971" s="4" t="s">
        <v>27</v>
      </c>
      <c r="F971" s="4" t="s">
        <v>1353</v>
      </c>
      <c r="G971">
        <v>9</v>
      </c>
      <c r="H971">
        <v>41</v>
      </c>
      <c r="I971" s="4" t="s">
        <v>112</v>
      </c>
      <c r="J971" s="4" t="s">
        <v>129</v>
      </c>
      <c r="K971" s="4" t="s">
        <v>130</v>
      </c>
      <c r="L971">
        <v>30</v>
      </c>
      <c r="M971" s="4" t="s">
        <v>158</v>
      </c>
    </row>
    <row r="972" spans="1:13" x14ac:dyDescent="0.2">
      <c r="A972" s="4" t="s">
        <v>1376</v>
      </c>
      <c r="B972">
        <v>971</v>
      </c>
      <c r="C972" s="4" t="s">
        <v>26</v>
      </c>
      <c r="D972" s="4" t="s">
        <v>41</v>
      </c>
      <c r="E972" s="4" t="s">
        <v>27</v>
      </c>
      <c r="F972" s="4" t="s">
        <v>1353</v>
      </c>
      <c r="G972">
        <v>9</v>
      </c>
      <c r="H972">
        <v>41</v>
      </c>
      <c r="I972" s="4" t="s">
        <v>112</v>
      </c>
      <c r="J972" s="4" t="s">
        <v>131</v>
      </c>
      <c r="K972" s="4" t="s">
        <v>132</v>
      </c>
      <c r="L972">
        <v>7</v>
      </c>
      <c r="M972" s="4" t="s">
        <v>158</v>
      </c>
    </row>
    <row r="973" spans="1:13" x14ac:dyDescent="0.2">
      <c r="A973" s="4" t="s">
        <v>1377</v>
      </c>
      <c r="B973">
        <v>972</v>
      </c>
      <c r="C973" s="4" t="s">
        <v>26</v>
      </c>
      <c r="D973" s="4" t="s">
        <v>41</v>
      </c>
      <c r="E973" s="4" t="s">
        <v>27</v>
      </c>
      <c r="F973" s="4" t="s">
        <v>1353</v>
      </c>
      <c r="G973">
        <v>9</v>
      </c>
      <c r="H973">
        <v>41</v>
      </c>
      <c r="I973" s="4" t="s">
        <v>112</v>
      </c>
      <c r="J973" s="4" t="s">
        <v>133</v>
      </c>
      <c r="K973" s="4" t="s">
        <v>134</v>
      </c>
      <c r="L973">
        <v>5</v>
      </c>
      <c r="M973" s="4" t="s">
        <v>158</v>
      </c>
    </row>
    <row r="974" spans="1:13" x14ac:dyDescent="0.2">
      <c r="A974" s="4" t="s">
        <v>1378</v>
      </c>
      <c r="B974">
        <v>973</v>
      </c>
      <c r="C974" s="4" t="s">
        <v>26</v>
      </c>
      <c r="D974" s="4" t="s">
        <v>41</v>
      </c>
      <c r="E974" s="4" t="s">
        <v>27</v>
      </c>
      <c r="F974" s="4" t="s">
        <v>1353</v>
      </c>
      <c r="G974">
        <v>9</v>
      </c>
      <c r="H974">
        <v>41</v>
      </c>
      <c r="I974" s="4" t="s">
        <v>114</v>
      </c>
      <c r="J974" s="4" t="s">
        <v>122</v>
      </c>
      <c r="K974" s="4" t="s">
        <v>123</v>
      </c>
      <c r="L974">
        <v>100</v>
      </c>
      <c r="M974" s="4" t="s">
        <v>158</v>
      </c>
    </row>
    <row r="975" spans="1:13" x14ac:dyDescent="0.2">
      <c r="A975" s="4" t="s">
        <v>1379</v>
      </c>
      <c r="B975">
        <v>974</v>
      </c>
      <c r="C975" s="4" t="s">
        <v>26</v>
      </c>
      <c r="D975" s="4" t="s">
        <v>41</v>
      </c>
      <c r="E975" s="4" t="s">
        <v>27</v>
      </c>
      <c r="F975" s="4" t="s">
        <v>1353</v>
      </c>
      <c r="G975">
        <v>9</v>
      </c>
      <c r="H975">
        <v>41</v>
      </c>
      <c r="I975" s="4" t="s">
        <v>114</v>
      </c>
      <c r="J975" s="4" t="s">
        <v>125</v>
      </c>
      <c r="K975" s="4" t="s">
        <v>126</v>
      </c>
      <c r="L975">
        <v>50</v>
      </c>
      <c r="M975" s="4" t="s">
        <v>158</v>
      </c>
    </row>
    <row r="976" spans="1:13" x14ac:dyDescent="0.2">
      <c r="A976" s="4" t="s">
        <v>1380</v>
      </c>
      <c r="B976">
        <v>975</v>
      </c>
      <c r="C976" s="4" t="s">
        <v>26</v>
      </c>
      <c r="D976" s="4" t="s">
        <v>41</v>
      </c>
      <c r="E976" s="4" t="s">
        <v>27</v>
      </c>
      <c r="F976" s="4" t="s">
        <v>1353</v>
      </c>
      <c r="G976">
        <v>9</v>
      </c>
      <c r="H976">
        <v>41</v>
      </c>
      <c r="I976" s="4" t="s">
        <v>114</v>
      </c>
      <c r="J976" s="4" t="s">
        <v>127</v>
      </c>
      <c r="K976" s="4" t="s">
        <v>128</v>
      </c>
      <c r="L976">
        <v>204</v>
      </c>
      <c r="M976" s="4" t="s">
        <v>158</v>
      </c>
    </row>
    <row r="977" spans="1:13" x14ac:dyDescent="0.2">
      <c r="A977" s="4" t="s">
        <v>1381</v>
      </c>
      <c r="B977">
        <v>976</v>
      </c>
      <c r="C977" s="4" t="s">
        <v>26</v>
      </c>
      <c r="D977" s="4" t="s">
        <v>41</v>
      </c>
      <c r="E977" s="4" t="s">
        <v>27</v>
      </c>
      <c r="F977" s="4" t="s">
        <v>1353</v>
      </c>
      <c r="G977">
        <v>9</v>
      </c>
      <c r="H977">
        <v>41</v>
      </c>
      <c r="I977" s="4" t="s">
        <v>114</v>
      </c>
      <c r="J977" s="4" t="s">
        <v>129</v>
      </c>
      <c r="K977" s="4" t="s">
        <v>130</v>
      </c>
      <c r="L977">
        <v>12</v>
      </c>
      <c r="M977" s="4" t="s">
        <v>158</v>
      </c>
    </row>
    <row r="978" spans="1:13" x14ac:dyDescent="0.2">
      <c r="A978" s="4" t="s">
        <v>1382</v>
      </c>
      <c r="B978">
        <v>977</v>
      </c>
      <c r="C978" s="4" t="s">
        <v>26</v>
      </c>
      <c r="D978" s="4" t="s">
        <v>41</v>
      </c>
      <c r="E978" s="4" t="s">
        <v>27</v>
      </c>
      <c r="F978" s="4" t="s">
        <v>1353</v>
      </c>
      <c r="G978">
        <v>9</v>
      </c>
      <c r="H978">
        <v>41</v>
      </c>
      <c r="I978" s="4" t="s">
        <v>114</v>
      </c>
      <c r="J978" s="4" t="s">
        <v>131</v>
      </c>
      <c r="K978" s="4" t="s">
        <v>132</v>
      </c>
      <c r="L978">
        <v>57</v>
      </c>
      <c r="M978" s="4" t="s">
        <v>158</v>
      </c>
    </row>
    <row r="979" spans="1:13" x14ac:dyDescent="0.2">
      <c r="A979" s="4" t="s">
        <v>1383</v>
      </c>
      <c r="B979">
        <v>978</v>
      </c>
      <c r="C979" s="4" t="s">
        <v>26</v>
      </c>
      <c r="D979" s="4" t="s">
        <v>41</v>
      </c>
      <c r="E979" s="4" t="s">
        <v>27</v>
      </c>
      <c r="F979" s="4" t="s">
        <v>1353</v>
      </c>
      <c r="G979">
        <v>9</v>
      </c>
      <c r="H979">
        <v>41</v>
      </c>
      <c r="I979" s="4" t="s">
        <v>114</v>
      </c>
      <c r="J979" s="4" t="s">
        <v>133</v>
      </c>
      <c r="K979" s="4" t="s">
        <v>134</v>
      </c>
      <c r="L979">
        <v>30</v>
      </c>
      <c r="M979" s="4" t="s">
        <v>158</v>
      </c>
    </row>
    <row r="980" spans="1:13" x14ac:dyDescent="0.2">
      <c r="A980" s="4" t="s">
        <v>1384</v>
      </c>
      <c r="B980">
        <v>979</v>
      </c>
      <c r="C980" s="4" t="s">
        <v>26</v>
      </c>
      <c r="D980" s="4" t="s">
        <v>41</v>
      </c>
      <c r="E980" s="4" t="s">
        <v>27</v>
      </c>
      <c r="F980" s="4" t="s">
        <v>1353</v>
      </c>
      <c r="G980">
        <v>9</v>
      </c>
      <c r="H980">
        <v>41</v>
      </c>
      <c r="I980" s="4" t="s">
        <v>116</v>
      </c>
      <c r="J980" s="4" t="s">
        <v>122</v>
      </c>
      <c r="K980" s="4" t="s">
        <v>123</v>
      </c>
      <c r="L980">
        <v>100</v>
      </c>
      <c r="M980" s="4" t="s">
        <v>158</v>
      </c>
    </row>
    <row r="981" spans="1:13" x14ac:dyDescent="0.2">
      <c r="A981" s="4" t="s">
        <v>1385</v>
      </c>
      <c r="B981">
        <v>980</v>
      </c>
      <c r="C981" s="4" t="s">
        <v>26</v>
      </c>
      <c r="D981" s="4" t="s">
        <v>41</v>
      </c>
      <c r="E981" s="4" t="s">
        <v>27</v>
      </c>
      <c r="F981" s="4" t="s">
        <v>1353</v>
      </c>
      <c r="G981">
        <v>9</v>
      </c>
      <c r="H981">
        <v>41</v>
      </c>
      <c r="I981" s="4" t="s">
        <v>116</v>
      </c>
      <c r="J981" s="4" t="s">
        <v>125</v>
      </c>
      <c r="K981" s="4" t="s">
        <v>126</v>
      </c>
      <c r="L981">
        <v>30</v>
      </c>
      <c r="M981" s="4" t="s">
        <v>158</v>
      </c>
    </row>
    <row r="982" spans="1:13" x14ac:dyDescent="0.2">
      <c r="A982" s="4" t="s">
        <v>1386</v>
      </c>
      <c r="B982">
        <v>981</v>
      </c>
      <c r="C982" s="4" t="s">
        <v>26</v>
      </c>
      <c r="D982" s="4" t="s">
        <v>41</v>
      </c>
      <c r="E982" s="4" t="s">
        <v>27</v>
      </c>
      <c r="F982" s="4" t="s">
        <v>1353</v>
      </c>
      <c r="G982">
        <v>9</v>
      </c>
      <c r="H982">
        <v>41</v>
      </c>
      <c r="I982" s="4" t="s">
        <v>116</v>
      </c>
      <c r="J982" s="4" t="s">
        <v>127</v>
      </c>
      <c r="K982" s="4" t="s">
        <v>128</v>
      </c>
      <c r="L982">
        <v>50</v>
      </c>
      <c r="M982" s="4" t="s">
        <v>158</v>
      </c>
    </row>
    <row r="983" spans="1:13" x14ac:dyDescent="0.2">
      <c r="A983" s="4" t="s">
        <v>1387</v>
      </c>
      <c r="B983">
        <v>982</v>
      </c>
      <c r="C983" s="4" t="s">
        <v>26</v>
      </c>
      <c r="D983" s="4" t="s">
        <v>41</v>
      </c>
      <c r="E983" s="4" t="s">
        <v>27</v>
      </c>
      <c r="F983" s="4" t="s">
        <v>1353</v>
      </c>
      <c r="G983">
        <v>9</v>
      </c>
      <c r="H983">
        <v>41</v>
      </c>
      <c r="I983" s="4" t="s">
        <v>116</v>
      </c>
      <c r="J983" s="4" t="s">
        <v>129</v>
      </c>
      <c r="K983" s="4" t="s">
        <v>130</v>
      </c>
      <c r="L983">
        <v>60</v>
      </c>
      <c r="M983" s="4" t="s">
        <v>158</v>
      </c>
    </row>
    <row r="984" spans="1:13" x14ac:dyDescent="0.2">
      <c r="A984" s="4" t="s">
        <v>1388</v>
      </c>
      <c r="B984">
        <v>983</v>
      </c>
      <c r="C984" s="4" t="s">
        <v>26</v>
      </c>
      <c r="D984" s="4" t="s">
        <v>41</v>
      </c>
      <c r="E984" s="4" t="s">
        <v>27</v>
      </c>
      <c r="F984" s="4" t="s">
        <v>1353</v>
      </c>
      <c r="G984">
        <v>9</v>
      </c>
      <c r="H984">
        <v>41</v>
      </c>
      <c r="I984" s="4" t="s">
        <v>116</v>
      </c>
      <c r="J984" s="4" t="s">
        <v>131</v>
      </c>
      <c r="K984" s="4" t="s">
        <v>132</v>
      </c>
      <c r="L984">
        <v>30</v>
      </c>
      <c r="M984" s="4" t="s">
        <v>158</v>
      </c>
    </row>
    <row r="985" spans="1:13" x14ac:dyDescent="0.2">
      <c r="A985" s="4" t="s">
        <v>1389</v>
      </c>
      <c r="B985">
        <v>984</v>
      </c>
      <c r="C985" s="4" t="s">
        <v>26</v>
      </c>
      <c r="D985" s="4" t="s">
        <v>41</v>
      </c>
      <c r="E985" s="4" t="s">
        <v>27</v>
      </c>
      <c r="F985" s="4" t="s">
        <v>1353</v>
      </c>
      <c r="G985">
        <v>9</v>
      </c>
      <c r="H985">
        <v>41</v>
      </c>
      <c r="I985" s="4" t="s">
        <v>116</v>
      </c>
      <c r="J985" s="4" t="s">
        <v>133</v>
      </c>
      <c r="K985" s="4" t="s">
        <v>134</v>
      </c>
      <c r="L985">
        <v>30</v>
      </c>
      <c r="M985" s="4" t="s">
        <v>158</v>
      </c>
    </row>
    <row r="986" spans="1:13" x14ac:dyDescent="0.2">
      <c r="A986" s="4" t="s">
        <v>1390</v>
      </c>
      <c r="B986">
        <v>985</v>
      </c>
      <c r="C986" s="4" t="s">
        <v>26</v>
      </c>
      <c r="D986" s="4" t="s">
        <v>41</v>
      </c>
      <c r="E986" s="4" t="s">
        <v>32</v>
      </c>
      <c r="F986" s="4" t="s">
        <v>1354</v>
      </c>
      <c r="G986">
        <v>9</v>
      </c>
      <c r="H986">
        <v>42</v>
      </c>
      <c r="I986" s="4" t="s">
        <v>35</v>
      </c>
      <c r="J986" s="4" t="s">
        <v>122</v>
      </c>
      <c r="K986" s="4" t="s">
        <v>123</v>
      </c>
      <c r="L986">
        <v>977</v>
      </c>
      <c r="M986" s="4" t="s">
        <v>158</v>
      </c>
    </row>
    <row r="987" spans="1:13" x14ac:dyDescent="0.2">
      <c r="A987" s="4" t="s">
        <v>1391</v>
      </c>
      <c r="B987">
        <v>986</v>
      </c>
      <c r="C987" s="4" t="s">
        <v>26</v>
      </c>
      <c r="D987" s="4" t="s">
        <v>41</v>
      </c>
      <c r="E987" s="4" t="s">
        <v>32</v>
      </c>
      <c r="F987" s="4" t="s">
        <v>1354</v>
      </c>
      <c r="G987">
        <v>9</v>
      </c>
      <c r="H987">
        <v>42</v>
      </c>
      <c r="I987" s="4" t="s">
        <v>35</v>
      </c>
      <c r="J987" s="4" t="s">
        <v>125</v>
      </c>
      <c r="K987" s="4" t="s">
        <v>126</v>
      </c>
      <c r="L987">
        <v>166</v>
      </c>
      <c r="M987" s="4" t="s">
        <v>158</v>
      </c>
    </row>
    <row r="988" spans="1:13" x14ac:dyDescent="0.2">
      <c r="A988" s="4" t="s">
        <v>1392</v>
      </c>
      <c r="B988">
        <v>987</v>
      </c>
      <c r="C988" s="4" t="s">
        <v>26</v>
      </c>
      <c r="D988" s="4" t="s">
        <v>41</v>
      </c>
      <c r="E988" s="4" t="s">
        <v>32</v>
      </c>
      <c r="F988" s="4" t="s">
        <v>1354</v>
      </c>
      <c r="G988">
        <v>9</v>
      </c>
      <c r="H988">
        <v>42</v>
      </c>
      <c r="I988" s="4" t="s">
        <v>35</v>
      </c>
      <c r="J988" s="4" t="s">
        <v>127</v>
      </c>
      <c r="K988" s="4" t="s">
        <v>128</v>
      </c>
      <c r="L988">
        <v>837</v>
      </c>
      <c r="M988" s="4" t="s">
        <v>158</v>
      </c>
    </row>
    <row r="989" spans="1:13" x14ac:dyDescent="0.2">
      <c r="A989" s="4" t="s">
        <v>1393</v>
      </c>
      <c r="B989">
        <v>988</v>
      </c>
      <c r="C989" s="4" t="s">
        <v>26</v>
      </c>
      <c r="D989" s="4" t="s">
        <v>41</v>
      </c>
      <c r="E989" s="4" t="s">
        <v>32</v>
      </c>
      <c r="F989" s="4" t="s">
        <v>1354</v>
      </c>
      <c r="G989">
        <v>9</v>
      </c>
      <c r="H989">
        <v>42</v>
      </c>
      <c r="I989" s="4" t="s">
        <v>35</v>
      </c>
      <c r="J989" s="4" t="s">
        <v>129</v>
      </c>
      <c r="K989" s="4" t="s">
        <v>130</v>
      </c>
      <c r="L989">
        <v>138</v>
      </c>
      <c r="M989" s="4" t="s">
        <v>158</v>
      </c>
    </row>
    <row r="990" spans="1:13" x14ac:dyDescent="0.2">
      <c r="A990" s="4" t="s">
        <v>1394</v>
      </c>
      <c r="B990">
        <v>989</v>
      </c>
      <c r="C990" s="4" t="s">
        <v>26</v>
      </c>
      <c r="D990" s="4" t="s">
        <v>41</v>
      </c>
      <c r="E990" s="4" t="s">
        <v>32</v>
      </c>
      <c r="F990" s="4" t="s">
        <v>1354</v>
      </c>
      <c r="G990">
        <v>9</v>
      </c>
      <c r="H990">
        <v>42</v>
      </c>
      <c r="I990" s="4" t="s">
        <v>35</v>
      </c>
      <c r="J990" s="4" t="s">
        <v>131</v>
      </c>
      <c r="K990" s="4" t="s">
        <v>132</v>
      </c>
      <c r="L990">
        <v>325</v>
      </c>
      <c r="M990" s="4" t="s">
        <v>158</v>
      </c>
    </row>
    <row r="991" spans="1:13" x14ac:dyDescent="0.2">
      <c r="A991" s="4" t="s">
        <v>1395</v>
      </c>
      <c r="B991">
        <v>990</v>
      </c>
      <c r="C991" s="4" t="s">
        <v>26</v>
      </c>
      <c r="D991" s="4" t="s">
        <v>41</v>
      </c>
      <c r="E991" s="4" t="s">
        <v>32</v>
      </c>
      <c r="F991" s="4" t="s">
        <v>1354</v>
      </c>
      <c r="G991">
        <v>9</v>
      </c>
      <c r="H991">
        <v>42</v>
      </c>
      <c r="I991" s="4" t="s">
        <v>35</v>
      </c>
      <c r="J991" s="4" t="s">
        <v>133</v>
      </c>
      <c r="K991" s="4" t="s">
        <v>134</v>
      </c>
      <c r="L991">
        <v>215</v>
      </c>
      <c r="M991" s="4" t="s">
        <v>158</v>
      </c>
    </row>
    <row r="992" spans="1:13" x14ac:dyDescent="0.2">
      <c r="A992" s="4" t="s">
        <v>1396</v>
      </c>
      <c r="B992">
        <v>991</v>
      </c>
      <c r="C992" s="4" t="s">
        <v>26</v>
      </c>
      <c r="D992" s="4" t="s">
        <v>41</v>
      </c>
      <c r="E992" s="4" t="s">
        <v>32</v>
      </c>
      <c r="F992" s="4" t="s">
        <v>1354</v>
      </c>
      <c r="G992">
        <v>9</v>
      </c>
      <c r="H992">
        <v>42</v>
      </c>
      <c r="I992" s="4" t="s">
        <v>112</v>
      </c>
      <c r="J992" s="4" t="s">
        <v>122</v>
      </c>
      <c r="K992" s="4" t="s">
        <v>123</v>
      </c>
      <c r="L992">
        <v>189</v>
      </c>
      <c r="M992" s="4" t="s">
        <v>158</v>
      </c>
    </row>
    <row r="993" spans="1:13" x14ac:dyDescent="0.2">
      <c r="A993" s="4" t="s">
        <v>1397</v>
      </c>
      <c r="B993">
        <v>992</v>
      </c>
      <c r="C993" s="4" t="s">
        <v>26</v>
      </c>
      <c r="D993" s="4" t="s">
        <v>41</v>
      </c>
      <c r="E993" s="4" t="s">
        <v>32</v>
      </c>
      <c r="F993" s="4" t="s">
        <v>1354</v>
      </c>
      <c r="G993">
        <v>9</v>
      </c>
      <c r="H993">
        <v>42</v>
      </c>
      <c r="I993" s="4" t="s">
        <v>112</v>
      </c>
      <c r="J993" s="4" t="s">
        <v>125</v>
      </c>
      <c r="K993" s="4" t="s">
        <v>126</v>
      </c>
      <c r="L993">
        <v>30</v>
      </c>
      <c r="M993" s="4" t="s">
        <v>158</v>
      </c>
    </row>
    <row r="994" spans="1:13" x14ac:dyDescent="0.2">
      <c r="A994" s="4" t="s">
        <v>1398</v>
      </c>
      <c r="B994">
        <v>993</v>
      </c>
      <c r="C994" s="4" t="s">
        <v>26</v>
      </c>
      <c r="D994" s="4" t="s">
        <v>41</v>
      </c>
      <c r="E994" s="4" t="s">
        <v>32</v>
      </c>
      <c r="F994" s="4" t="s">
        <v>1354</v>
      </c>
      <c r="G994">
        <v>9</v>
      </c>
      <c r="H994">
        <v>42</v>
      </c>
      <c r="I994" s="4" t="s">
        <v>112</v>
      </c>
      <c r="J994" s="4" t="s">
        <v>127</v>
      </c>
      <c r="K994" s="4" t="s">
        <v>128</v>
      </c>
      <c r="L994">
        <v>73</v>
      </c>
      <c r="M994" s="4" t="s">
        <v>158</v>
      </c>
    </row>
    <row r="995" spans="1:13" x14ac:dyDescent="0.2">
      <c r="A995" s="4" t="s">
        <v>1399</v>
      </c>
      <c r="B995">
        <v>994</v>
      </c>
      <c r="C995" s="4" t="s">
        <v>26</v>
      </c>
      <c r="D995" s="4" t="s">
        <v>41</v>
      </c>
      <c r="E995" s="4" t="s">
        <v>32</v>
      </c>
      <c r="F995" s="4" t="s">
        <v>1354</v>
      </c>
      <c r="G995">
        <v>9</v>
      </c>
      <c r="H995">
        <v>42</v>
      </c>
      <c r="I995" s="4" t="s">
        <v>112</v>
      </c>
      <c r="J995" s="4" t="s">
        <v>129</v>
      </c>
      <c r="K995" s="4" t="s">
        <v>130</v>
      </c>
      <c r="L995">
        <v>0</v>
      </c>
      <c r="M995" s="4" t="s">
        <v>158</v>
      </c>
    </row>
    <row r="996" spans="1:13" x14ac:dyDescent="0.2">
      <c r="A996" s="4" t="s">
        <v>1400</v>
      </c>
      <c r="B996">
        <v>995</v>
      </c>
      <c r="C996" s="4" t="s">
        <v>26</v>
      </c>
      <c r="D996" s="4" t="s">
        <v>41</v>
      </c>
      <c r="E996" s="4" t="s">
        <v>32</v>
      </c>
      <c r="F996" s="4" t="s">
        <v>1354</v>
      </c>
      <c r="G996">
        <v>9</v>
      </c>
      <c r="H996">
        <v>42</v>
      </c>
      <c r="I996" s="4" t="s">
        <v>112</v>
      </c>
      <c r="J996" s="4" t="s">
        <v>131</v>
      </c>
      <c r="K996" s="4" t="s">
        <v>132</v>
      </c>
      <c r="L996">
        <v>50</v>
      </c>
      <c r="M996" s="4" t="s">
        <v>158</v>
      </c>
    </row>
    <row r="997" spans="1:13" x14ac:dyDescent="0.2">
      <c r="A997" s="4" t="s">
        <v>1401</v>
      </c>
      <c r="B997">
        <v>996</v>
      </c>
      <c r="C997" s="4" t="s">
        <v>26</v>
      </c>
      <c r="D997" s="4" t="s">
        <v>41</v>
      </c>
      <c r="E997" s="4" t="s">
        <v>32</v>
      </c>
      <c r="F997" s="4" t="s">
        <v>1354</v>
      </c>
      <c r="G997">
        <v>9</v>
      </c>
      <c r="H997">
        <v>42</v>
      </c>
      <c r="I997" s="4" t="s">
        <v>112</v>
      </c>
      <c r="J997" s="4" t="s">
        <v>133</v>
      </c>
      <c r="K997" s="4" t="s">
        <v>134</v>
      </c>
      <c r="L997">
        <v>50</v>
      </c>
      <c r="M997" s="4" t="s">
        <v>158</v>
      </c>
    </row>
    <row r="998" spans="1:13" x14ac:dyDescent="0.2">
      <c r="A998" s="4" t="s">
        <v>1402</v>
      </c>
      <c r="B998">
        <v>997</v>
      </c>
      <c r="C998" s="4" t="s">
        <v>26</v>
      </c>
      <c r="D998" s="4" t="s">
        <v>41</v>
      </c>
      <c r="E998" s="4" t="s">
        <v>32</v>
      </c>
      <c r="F998" s="4" t="s">
        <v>1354</v>
      </c>
      <c r="G998">
        <v>9</v>
      </c>
      <c r="H998">
        <v>42</v>
      </c>
      <c r="I998" s="4" t="s">
        <v>114</v>
      </c>
      <c r="J998" s="4" t="s">
        <v>122</v>
      </c>
      <c r="K998" s="4" t="s">
        <v>123</v>
      </c>
      <c r="L998">
        <v>100</v>
      </c>
      <c r="M998" s="4" t="s">
        <v>158</v>
      </c>
    </row>
    <row r="999" spans="1:13" x14ac:dyDescent="0.2">
      <c r="A999" s="4" t="s">
        <v>1403</v>
      </c>
      <c r="B999">
        <v>998</v>
      </c>
      <c r="C999" s="4" t="s">
        <v>26</v>
      </c>
      <c r="D999" s="4" t="s">
        <v>41</v>
      </c>
      <c r="E999" s="4" t="s">
        <v>32</v>
      </c>
      <c r="F999" s="4" t="s">
        <v>1354</v>
      </c>
      <c r="G999">
        <v>9</v>
      </c>
      <c r="H999">
        <v>42</v>
      </c>
      <c r="I999" s="4" t="s">
        <v>114</v>
      </c>
      <c r="J999" s="4" t="s">
        <v>125</v>
      </c>
      <c r="K999" s="4" t="s">
        <v>126</v>
      </c>
      <c r="L999">
        <v>50</v>
      </c>
      <c r="M999" s="4" t="s">
        <v>158</v>
      </c>
    </row>
    <row r="1000" spans="1:13" x14ac:dyDescent="0.2">
      <c r="A1000" s="4" t="s">
        <v>1404</v>
      </c>
      <c r="B1000">
        <v>999</v>
      </c>
      <c r="C1000" s="4" t="s">
        <v>26</v>
      </c>
      <c r="D1000" s="4" t="s">
        <v>41</v>
      </c>
      <c r="E1000" s="4" t="s">
        <v>32</v>
      </c>
      <c r="F1000" s="4" t="s">
        <v>1354</v>
      </c>
      <c r="G1000">
        <v>9</v>
      </c>
      <c r="H1000">
        <v>42</v>
      </c>
      <c r="I1000" s="4" t="s">
        <v>114</v>
      </c>
      <c r="J1000" s="4" t="s">
        <v>127</v>
      </c>
      <c r="K1000" s="4" t="s">
        <v>128</v>
      </c>
      <c r="L1000">
        <v>24</v>
      </c>
      <c r="M1000" s="4" t="s">
        <v>158</v>
      </c>
    </row>
    <row r="1001" spans="1:13" x14ac:dyDescent="0.2">
      <c r="A1001" s="4" t="s">
        <v>1405</v>
      </c>
      <c r="B1001">
        <v>1000</v>
      </c>
      <c r="C1001" s="4" t="s">
        <v>26</v>
      </c>
      <c r="D1001" s="4" t="s">
        <v>41</v>
      </c>
      <c r="E1001" s="4" t="s">
        <v>32</v>
      </c>
      <c r="F1001" s="4" t="s">
        <v>1354</v>
      </c>
      <c r="G1001">
        <v>9</v>
      </c>
      <c r="H1001">
        <v>42</v>
      </c>
      <c r="I1001" s="4" t="s">
        <v>114</v>
      </c>
      <c r="J1001" s="4" t="s">
        <v>129</v>
      </c>
      <c r="K1001" s="4" t="s">
        <v>130</v>
      </c>
      <c r="L1001">
        <v>30</v>
      </c>
      <c r="M1001" s="4" t="s">
        <v>158</v>
      </c>
    </row>
    <row r="1002" spans="1:13" x14ac:dyDescent="0.2">
      <c r="A1002" s="4" t="s">
        <v>1406</v>
      </c>
      <c r="B1002">
        <v>1001</v>
      </c>
      <c r="C1002" s="4" t="s">
        <v>26</v>
      </c>
      <c r="D1002" s="4" t="s">
        <v>41</v>
      </c>
      <c r="E1002" s="4" t="s">
        <v>32</v>
      </c>
      <c r="F1002" s="4" t="s">
        <v>1354</v>
      </c>
      <c r="G1002">
        <v>9</v>
      </c>
      <c r="H1002">
        <v>42</v>
      </c>
      <c r="I1002" s="4" t="s">
        <v>114</v>
      </c>
      <c r="J1002" s="4" t="s">
        <v>131</v>
      </c>
      <c r="K1002" s="4" t="s">
        <v>132</v>
      </c>
      <c r="L1002">
        <v>51</v>
      </c>
      <c r="M1002" s="4" t="s">
        <v>158</v>
      </c>
    </row>
    <row r="1003" spans="1:13" x14ac:dyDescent="0.2">
      <c r="A1003" s="4" t="s">
        <v>1407</v>
      </c>
      <c r="B1003">
        <v>1002</v>
      </c>
      <c r="C1003" s="4" t="s">
        <v>26</v>
      </c>
      <c r="D1003" s="4" t="s">
        <v>41</v>
      </c>
      <c r="E1003" s="4" t="s">
        <v>32</v>
      </c>
      <c r="F1003" s="4" t="s">
        <v>1354</v>
      </c>
      <c r="G1003">
        <v>9</v>
      </c>
      <c r="H1003">
        <v>42</v>
      </c>
      <c r="I1003" s="4" t="s">
        <v>114</v>
      </c>
      <c r="J1003" s="4" t="s">
        <v>133</v>
      </c>
      <c r="K1003" s="4" t="s">
        <v>134</v>
      </c>
      <c r="L1003">
        <v>30</v>
      </c>
      <c r="M1003" s="4" t="s">
        <v>158</v>
      </c>
    </row>
    <row r="1004" spans="1:13" x14ac:dyDescent="0.2">
      <c r="A1004" s="4" t="s">
        <v>1408</v>
      </c>
      <c r="B1004">
        <v>1003</v>
      </c>
      <c r="C1004" s="4" t="s">
        <v>26</v>
      </c>
      <c r="D1004" s="4" t="s">
        <v>41</v>
      </c>
      <c r="E1004" s="4" t="s">
        <v>32</v>
      </c>
      <c r="F1004" s="4" t="s">
        <v>1354</v>
      </c>
      <c r="G1004">
        <v>9</v>
      </c>
      <c r="H1004">
        <v>42</v>
      </c>
      <c r="I1004" s="4" t="s">
        <v>116</v>
      </c>
      <c r="J1004" s="4" t="s">
        <v>122</v>
      </c>
      <c r="K1004" s="4" t="s">
        <v>123</v>
      </c>
      <c r="L1004">
        <v>100</v>
      </c>
      <c r="M1004" s="4" t="s">
        <v>158</v>
      </c>
    </row>
    <row r="1005" spans="1:13" x14ac:dyDescent="0.2">
      <c r="A1005" s="4" t="s">
        <v>1409</v>
      </c>
      <c r="B1005">
        <v>1004</v>
      </c>
      <c r="C1005" s="4" t="s">
        <v>26</v>
      </c>
      <c r="D1005" s="4" t="s">
        <v>41</v>
      </c>
      <c r="E1005" s="4" t="s">
        <v>32</v>
      </c>
      <c r="F1005" s="4" t="s">
        <v>1354</v>
      </c>
      <c r="G1005">
        <v>9</v>
      </c>
      <c r="H1005">
        <v>42</v>
      </c>
      <c r="I1005" s="4" t="s">
        <v>116</v>
      </c>
      <c r="J1005" s="4" t="s">
        <v>125</v>
      </c>
      <c r="K1005" s="4" t="s">
        <v>126</v>
      </c>
      <c r="L1005">
        <v>30</v>
      </c>
      <c r="M1005" s="4" t="s">
        <v>158</v>
      </c>
    </row>
    <row r="1006" spans="1:13" x14ac:dyDescent="0.2">
      <c r="A1006" s="4" t="s">
        <v>1410</v>
      </c>
      <c r="B1006">
        <v>1005</v>
      </c>
      <c r="C1006" s="4" t="s">
        <v>26</v>
      </c>
      <c r="D1006" s="4" t="s">
        <v>41</v>
      </c>
      <c r="E1006" s="4" t="s">
        <v>32</v>
      </c>
      <c r="F1006" s="4" t="s">
        <v>1354</v>
      </c>
      <c r="G1006">
        <v>9</v>
      </c>
      <c r="H1006">
        <v>42</v>
      </c>
      <c r="I1006" s="4" t="s">
        <v>116</v>
      </c>
      <c r="J1006" s="4" t="s">
        <v>127</v>
      </c>
      <c r="K1006" s="4" t="s">
        <v>128</v>
      </c>
      <c r="L1006">
        <v>50</v>
      </c>
      <c r="M1006" s="4" t="s">
        <v>158</v>
      </c>
    </row>
    <row r="1007" spans="1:13" x14ac:dyDescent="0.2">
      <c r="A1007" s="4" t="s">
        <v>1411</v>
      </c>
      <c r="B1007">
        <v>1006</v>
      </c>
      <c r="C1007" s="4" t="s">
        <v>26</v>
      </c>
      <c r="D1007" s="4" t="s">
        <v>41</v>
      </c>
      <c r="E1007" s="4" t="s">
        <v>32</v>
      </c>
      <c r="F1007" s="4" t="s">
        <v>1354</v>
      </c>
      <c r="G1007">
        <v>9</v>
      </c>
      <c r="H1007">
        <v>42</v>
      </c>
      <c r="I1007" s="4" t="s">
        <v>116</v>
      </c>
      <c r="J1007" s="4" t="s">
        <v>129</v>
      </c>
      <c r="K1007" s="4" t="s">
        <v>130</v>
      </c>
      <c r="L1007">
        <v>60</v>
      </c>
      <c r="M1007" s="4" t="s">
        <v>158</v>
      </c>
    </row>
    <row r="1008" spans="1:13" x14ac:dyDescent="0.2">
      <c r="A1008" s="4" t="s">
        <v>1412</v>
      </c>
      <c r="B1008">
        <v>1007</v>
      </c>
      <c r="C1008" s="4" t="s">
        <v>26</v>
      </c>
      <c r="D1008" s="4" t="s">
        <v>41</v>
      </c>
      <c r="E1008" s="4" t="s">
        <v>32</v>
      </c>
      <c r="F1008" s="4" t="s">
        <v>1354</v>
      </c>
      <c r="G1008">
        <v>9</v>
      </c>
      <c r="H1008">
        <v>42</v>
      </c>
      <c r="I1008" s="4" t="s">
        <v>116</v>
      </c>
      <c r="J1008" s="4" t="s">
        <v>131</v>
      </c>
      <c r="K1008" s="4" t="s">
        <v>132</v>
      </c>
      <c r="L1008">
        <v>30</v>
      </c>
      <c r="M1008" s="4" t="s">
        <v>158</v>
      </c>
    </row>
    <row r="1009" spans="1:13" x14ac:dyDescent="0.2">
      <c r="A1009" s="4" t="s">
        <v>1413</v>
      </c>
      <c r="B1009">
        <v>1008</v>
      </c>
      <c r="C1009" s="4" t="s">
        <v>26</v>
      </c>
      <c r="D1009" s="4" t="s">
        <v>41</v>
      </c>
      <c r="E1009" s="4" t="s">
        <v>32</v>
      </c>
      <c r="F1009" s="4" t="s">
        <v>1354</v>
      </c>
      <c r="G1009">
        <v>9</v>
      </c>
      <c r="H1009">
        <v>42</v>
      </c>
      <c r="I1009" s="4" t="s">
        <v>116</v>
      </c>
      <c r="J1009" s="4" t="s">
        <v>133</v>
      </c>
      <c r="K1009" s="4" t="s">
        <v>134</v>
      </c>
      <c r="L1009">
        <v>30</v>
      </c>
      <c r="M1009" s="4" t="s">
        <v>158</v>
      </c>
    </row>
    <row r="1010" spans="1:13" x14ac:dyDescent="0.2">
      <c r="A1010" s="4" t="s">
        <v>1414</v>
      </c>
      <c r="B1010">
        <v>1009</v>
      </c>
      <c r="C1010" s="4" t="s">
        <v>26</v>
      </c>
      <c r="D1010" s="4" t="s">
        <v>41</v>
      </c>
      <c r="E1010" s="4" t="s">
        <v>35</v>
      </c>
      <c r="F1010" s="4" t="s">
        <v>1415</v>
      </c>
      <c r="G1010">
        <v>9</v>
      </c>
      <c r="H1010">
        <v>43</v>
      </c>
      <c r="I1010" s="4" t="s">
        <v>35</v>
      </c>
      <c r="J1010" s="4" t="s">
        <v>122</v>
      </c>
      <c r="K1010" s="4" t="s">
        <v>123</v>
      </c>
      <c r="L1010">
        <v>896</v>
      </c>
      <c r="M1010" s="4" t="s">
        <v>158</v>
      </c>
    </row>
    <row r="1011" spans="1:13" x14ac:dyDescent="0.2">
      <c r="A1011" s="4" t="s">
        <v>1416</v>
      </c>
      <c r="B1011">
        <v>1010</v>
      </c>
      <c r="C1011" s="4" t="s">
        <v>26</v>
      </c>
      <c r="D1011" s="4" t="s">
        <v>41</v>
      </c>
      <c r="E1011" s="4" t="s">
        <v>35</v>
      </c>
      <c r="F1011" s="4" t="s">
        <v>1415</v>
      </c>
      <c r="G1011">
        <v>9</v>
      </c>
      <c r="H1011">
        <v>43</v>
      </c>
      <c r="I1011" s="4" t="s">
        <v>35</v>
      </c>
      <c r="J1011" s="4" t="s">
        <v>125</v>
      </c>
      <c r="K1011" s="4" t="s">
        <v>126</v>
      </c>
      <c r="L1011">
        <v>166</v>
      </c>
      <c r="M1011" s="4" t="s">
        <v>158</v>
      </c>
    </row>
    <row r="1012" spans="1:13" x14ac:dyDescent="0.2">
      <c r="A1012" s="4" t="s">
        <v>1417</v>
      </c>
      <c r="B1012">
        <v>1011</v>
      </c>
      <c r="C1012" s="4" t="s">
        <v>26</v>
      </c>
      <c r="D1012" s="4" t="s">
        <v>41</v>
      </c>
      <c r="E1012" s="4" t="s">
        <v>35</v>
      </c>
      <c r="F1012" s="4" t="s">
        <v>1415</v>
      </c>
      <c r="G1012">
        <v>9</v>
      </c>
      <c r="H1012">
        <v>43</v>
      </c>
      <c r="I1012" s="4" t="s">
        <v>35</v>
      </c>
      <c r="J1012" s="4" t="s">
        <v>127</v>
      </c>
      <c r="K1012" s="4" t="s">
        <v>128</v>
      </c>
      <c r="L1012">
        <v>524</v>
      </c>
      <c r="M1012" s="4" t="s">
        <v>158</v>
      </c>
    </row>
    <row r="1013" spans="1:13" x14ac:dyDescent="0.2">
      <c r="A1013" s="4" t="s">
        <v>1418</v>
      </c>
      <c r="B1013">
        <v>1012</v>
      </c>
      <c r="C1013" s="4" t="s">
        <v>26</v>
      </c>
      <c r="D1013" s="4" t="s">
        <v>41</v>
      </c>
      <c r="E1013" s="4" t="s">
        <v>35</v>
      </c>
      <c r="F1013" s="4" t="s">
        <v>1415</v>
      </c>
      <c r="G1013">
        <v>9</v>
      </c>
      <c r="H1013">
        <v>43</v>
      </c>
      <c r="I1013" s="4" t="s">
        <v>35</v>
      </c>
      <c r="J1013" s="4" t="s">
        <v>129</v>
      </c>
      <c r="K1013" s="4" t="s">
        <v>130</v>
      </c>
      <c r="L1013">
        <v>108</v>
      </c>
      <c r="M1013" s="4" t="s">
        <v>158</v>
      </c>
    </row>
    <row r="1014" spans="1:13" x14ac:dyDescent="0.2">
      <c r="A1014" s="4" t="s">
        <v>1419</v>
      </c>
      <c r="B1014">
        <v>1013</v>
      </c>
      <c r="C1014" s="4" t="s">
        <v>26</v>
      </c>
      <c r="D1014" s="4" t="s">
        <v>41</v>
      </c>
      <c r="E1014" s="4" t="s">
        <v>35</v>
      </c>
      <c r="F1014" s="4" t="s">
        <v>1415</v>
      </c>
      <c r="G1014">
        <v>9</v>
      </c>
      <c r="H1014">
        <v>43</v>
      </c>
      <c r="I1014" s="4" t="s">
        <v>35</v>
      </c>
      <c r="J1014" s="4" t="s">
        <v>131</v>
      </c>
      <c r="K1014" s="4" t="s">
        <v>132</v>
      </c>
      <c r="L1014">
        <v>281</v>
      </c>
      <c r="M1014" s="4" t="s">
        <v>158</v>
      </c>
    </row>
    <row r="1015" spans="1:13" x14ac:dyDescent="0.2">
      <c r="A1015" s="4" t="s">
        <v>1420</v>
      </c>
      <c r="B1015">
        <v>1014</v>
      </c>
      <c r="C1015" s="4" t="s">
        <v>26</v>
      </c>
      <c r="D1015" s="4" t="s">
        <v>41</v>
      </c>
      <c r="E1015" s="4" t="s">
        <v>35</v>
      </c>
      <c r="F1015" s="4" t="s">
        <v>1415</v>
      </c>
      <c r="G1015">
        <v>9</v>
      </c>
      <c r="H1015">
        <v>43</v>
      </c>
      <c r="I1015" s="4" t="s">
        <v>35</v>
      </c>
      <c r="J1015" s="4" t="s">
        <v>133</v>
      </c>
      <c r="K1015" s="4" t="s">
        <v>134</v>
      </c>
      <c r="L1015">
        <v>215</v>
      </c>
      <c r="M1015" s="4" t="s">
        <v>158</v>
      </c>
    </row>
    <row r="1016" spans="1:13" x14ac:dyDescent="0.2">
      <c r="A1016" s="4" t="s">
        <v>1421</v>
      </c>
      <c r="B1016">
        <v>1015</v>
      </c>
      <c r="C1016" s="4" t="s">
        <v>26</v>
      </c>
      <c r="D1016" s="4" t="s">
        <v>41</v>
      </c>
      <c r="E1016" s="4" t="s">
        <v>35</v>
      </c>
      <c r="F1016" s="4" t="s">
        <v>1415</v>
      </c>
      <c r="G1016">
        <v>9</v>
      </c>
      <c r="H1016">
        <v>43</v>
      </c>
      <c r="I1016" s="4" t="s">
        <v>112</v>
      </c>
      <c r="J1016" s="4" t="s">
        <v>122</v>
      </c>
      <c r="K1016" s="4" t="s">
        <v>123</v>
      </c>
      <c r="L1016">
        <v>136</v>
      </c>
      <c r="M1016" s="4" t="s">
        <v>158</v>
      </c>
    </row>
    <row r="1017" spans="1:13" x14ac:dyDescent="0.2">
      <c r="A1017" s="4" t="s">
        <v>1422</v>
      </c>
      <c r="B1017">
        <v>1016</v>
      </c>
      <c r="C1017" s="4" t="s">
        <v>26</v>
      </c>
      <c r="D1017" s="4" t="s">
        <v>41</v>
      </c>
      <c r="E1017" s="4" t="s">
        <v>35</v>
      </c>
      <c r="F1017" s="4" t="s">
        <v>1415</v>
      </c>
      <c r="G1017">
        <v>9</v>
      </c>
      <c r="H1017">
        <v>43</v>
      </c>
      <c r="I1017" s="4" t="s">
        <v>112</v>
      </c>
      <c r="J1017" s="4" t="s">
        <v>125</v>
      </c>
      <c r="K1017" s="4" t="s">
        <v>126</v>
      </c>
      <c r="L1017">
        <v>30</v>
      </c>
      <c r="M1017" s="4" t="s">
        <v>158</v>
      </c>
    </row>
    <row r="1018" spans="1:13" x14ac:dyDescent="0.2">
      <c r="A1018" s="4" t="s">
        <v>1423</v>
      </c>
      <c r="B1018">
        <v>1017</v>
      </c>
      <c r="C1018" s="4" t="s">
        <v>26</v>
      </c>
      <c r="D1018" s="4" t="s">
        <v>41</v>
      </c>
      <c r="E1018" s="4" t="s">
        <v>35</v>
      </c>
      <c r="F1018" s="4" t="s">
        <v>1415</v>
      </c>
      <c r="G1018">
        <v>9</v>
      </c>
      <c r="H1018">
        <v>43</v>
      </c>
      <c r="I1018" s="4" t="s">
        <v>112</v>
      </c>
      <c r="J1018" s="4" t="s">
        <v>127</v>
      </c>
      <c r="K1018" s="4" t="s">
        <v>128</v>
      </c>
      <c r="L1018">
        <v>77</v>
      </c>
      <c r="M1018" s="4" t="s">
        <v>158</v>
      </c>
    </row>
    <row r="1019" spans="1:13" x14ac:dyDescent="0.2">
      <c r="A1019" s="4" t="s">
        <v>1424</v>
      </c>
      <c r="B1019">
        <v>1018</v>
      </c>
      <c r="C1019" s="4" t="s">
        <v>26</v>
      </c>
      <c r="D1019" s="4" t="s">
        <v>41</v>
      </c>
      <c r="E1019" s="4" t="s">
        <v>35</v>
      </c>
      <c r="F1019" s="4" t="s">
        <v>1415</v>
      </c>
      <c r="G1019">
        <v>9</v>
      </c>
      <c r="H1019">
        <v>43</v>
      </c>
      <c r="I1019" s="4" t="s">
        <v>112</v>
      </c>
      <c r="J1019" s="4" t="s">
        <v>129</v>
      </c>
      <c r="K1019" s="4" t="s">
        <v>130</v>
      </c>
      <c r="L1019">
        <v>30</v>
      </c>
      <c r="M1019" s="4" t="s">
        <v>158</v>
      </c>
    </row>
    <row r="1020" spans="1:13" x14ac:dyDescent="0.2">
      <c r="A1020" s="4" t="s">
        <v>1425</v>
      </c>
      <c r="B1020">
        <v>1019</v>
      </c>
      <c r="C1020" s="4" t="s">
        <v>26</v>
      </c>
      <c r="D1020" s="4" t="s">
        <v>41</v>
      </c>
      <c r="E1020" s="4" t="s">
        <v>35</v>
      </c>
      <c r="F1020" s="4" t="s">
        <v>1415</v>
      </c>
      <c r="G1020">
        <v>9</v>
      </c>
      <c r="H1020">
        <v>43</v>
      </c>
      <c r="I1020" s="4" t="s">
        <v>112</v>
      </c>
      <c r="J1020" s="4" t="s">
        <v>131</v>
      </c>
      <c r="K1020" s="4" t="s">
        <v>132</v>
      </c>
      <c r="L1020">
        <v>22</v>
      </c>
      <c r="M1020" s="4" t="s">
        <v>158</v>
      </c>
    </row>
    <row r="1021" spans="1:13" x14ac:dyDescent="0.2">
      <c r="A1021" s="4" t="s">
        <v>1426</v>
      </c>
      <c r="B1021">
        <v>1020</v>
      </c>
      <c r="C1021" s="4" t="s">
        <v>26</v>
      </c>
      <c r="D1021" s="4" t="s">
        <v>41</v>
      </c>
      <c r="E1021" s="4" t="s">
        <v>35</v>
      </c>
      <c r="F1021" s="4" t="s">
        <v>1415</v>
      </c>
      <c r="G1021">
        <v>9</v>
      </c>
      <c r="H1021">
        <v>43</v>
      </c>
      <c r="I1021" s="4" t="s">
        <v>112</v>
      </c>
      <c r="J1021" s="4" t="s">
        <v>133</v>
      </c>
      <c r="K1021" s="4" t="s">
        <v>134</v>
      </c>
      <c r="L1021">
        <v>50</v>
      </c>
      <c r="M1021" s="4" t="s">
        <v>158</v>
      </c>
    </row>
    <row r="1022" spans="1:13" x14ac:dyDescent="0.2">
      <c r="A1022" s="4" t="s">
        <v>1427</v>
      </c>
      <c r="B1022">
        <v>1021</v>
      </c>
      <c r="C1022" s="4" t="s">
        <v>26</v>
      </c>
      <c r="D1022" s="4" t="s">
        <v>41</v>
      </c>
      <c r="E1022" s="4" t="s">
        <v>35</v>
      </c>
      <c r="F1022" s="4" t="s">
        <v>1415</v>
      </c>
      <c r="G1022">
        <v>9</v>
      </c>
      <c r="H1022">
        <v>43</v>
      </c>
      <c r="I1022" s="4" t="s">
        <v>114</v>
      </c>
      <c r="J1022" s="4" t="s">
        <v>122</v>
      </c>
      <c r="K1022" s="4" t="s">
        <v>123</v>
      </c>
      <c r="L1022">
        <v>100</v>
      </c>
      <c r="M1022" s="4" t="s">
        <v>158</v>
      </c>
    </row>
    <row r="1023" spans="1:13" x14ac:dyDescent="0.2">
      <c r="A1023" s="4" t="s">
        <v>1428</v>
      </c>
      <c r="B1023">
        <v>1022</v>
      </c>
      <c r="C1023" s="4" t="s">
        <v>26</v>
      </c>
      <c r="D1023" s="4" t="s">
        <v>41</v>
      </c>
      <c r="E1023" s="4" t="s">
        <v>35</v>
      </c>
      <c r="F1023" s="4" t="s">
        <v>1415</v>
      </c>
      <c r="G1023">
        <v>9</v>
      </c>
      <c r="H1023">
        <v>43</v>
      </c>
      <c r="I1023" s="4" t="s">
        <v>114</v>
      </c>
      <c r="J1023" s="4" t="s">
        <v>125</v>
      </c>
      <c r="K1023" s="4" t="s">
        <v>126</v>
      </c>
      <c r="L1023">
        <v>0</v>
      </c>
      <c r="M1023" s="4" t="s">
        <v>158</v>
      </c>
    </row>
    <row r="1024" spans="1:13" x14ac:dyDescent="0.2">
      <c r="A1024" s="4" t="s">
        <v>1429</v>
      </c>
      <c r="B1024">
        <v>1023</v>
      </c>
      <c r="C1024" s="4" t="s">
        <v>26</v>
      </c>
      <c r="D1024" s="4" t="s">
        <v>41</v>
      </c>
      <c r="E1024" s="4" t="s">
        <v>35</v>
      </c>
      <c r="F1024" s="4" t="s">
        <v>1415</v>
      </c>
      <c r="G1024">
        <v>9</v>
      </c>
      <c r="H1024">
        <v>43</v>
      </c>
      <c r="I1024" s="4" t="s">
        <v>114</v>
      </c>
      <c r="J1024" s="4" t="s">
        <v>127</v>
      </c>
      <c r="K1024" s="4" t="s">
        <v>128</v>
      </c>
      <c r="L1024">
        <v>186</v>
      </c>
      <c r="M1024" s="4" t="s">
        <v>158</v>
      </c>
    </row>
    <row r="1025" spans="1:13" x14ac:dyDescent="0.2">
      <c r="A1025" s="4" t="s">
        <v>1430</v>
      </c>
      <c r="B1025">
        <v>1024</v>
      </c>
      <c r="C1025" s="4" t="s">
        <v>26</v>
      </c>
      <c r="D1025" s="4" t="s">
        <v>41</v>
      </c>
      <c r="E1025" s="4" t="s">
        <v>35</v>
      </c>
      <c r="F1025" s="4" t="s">
        <v>1415</v>
      </c>
      <c r="G1025">
        <v>9</v>
      </c>
      <c r="H1025">
        <v>43</v>
      </c>
      <c r="I1025" s="4" t="s">
        <v>114</v>
      </c>
      <c r="J1025" s="4" t="s">
        <v>129</v>
      </c>
      <c r="K1025" s="4" t="s">
        <v>130</v>
      </c>
      <c r="L1025">
        <v>30</v>
      </c>
      <c r="M1025" s="4" t="s">
        <v>158</v>
      </c>
    </row>
    <row r="1026" spans="1:13" x14ac:dyDescent="0.2">
      <c r="A1026" s="4" t="s">
        <v>1431</v>
      </c>
      <c r="B1026">
        <v>1025</v>
      </c>
      <c r="C1026" s="4" t="s">
        <v>26</v>
      </c>
      <c r="D1026" s="4" t="s">
        <v>41</v>
      </c>
      <c r="E1026" s="4" t="s">
        <v>35</v>
      </c>
      <c r="F1026" s="4" t="s">
        <v>1415</v>
      </c>
      <c r="G1026">
        <v>9</v>
      </c>
      <c r="H1026">
        <v>43</v>
      </c>
      <c r="I1026" s="4" t="s">
        <v>114</v>
      </c>
      <c r="J1026" s="4" t="s">
        <v>131</v>
      </c>
      <c r="K1026" s="4" t="s">
        <v>132</v>
      </c>
      <c r="L1026">
        <v>75</v>
      </c>
      <c r="M1026" s="4" t="s">
        <v>158</v>
      </c>
    </row>
    <row r="1027" spans="1:13" x14ac:dyDescent="0.2">
      <c r="A1027" s="4" t="s">
        <v>1432</v>
      </c>
      <c r="B1027">
        <v>1026</v>
      </c>
      <c r="C1027" s="4" t="s">
        <v>26</v>
      </c>
      <c r="D1027" s="4" t="s">
        <v>41</v>
      </c>
      <c r="E1027" s="4" t="s">
        <v>35</v>
      </c>
      <c r="F1027" s="4" t="s">
        <v>1415</v>
      </c>
      <c r="G1027">
        <v>9</v>
      </c>
      <c r="H1027">
        <v>43</v>
      </c>
      <c r="I1027" s="4" t="s">
        <v>114</v>
      </c>
      <c r="J1027" s="4" t="s">
        <v>133</v>
      </c>
      <c r="K1027" s="4" t="s">
        <v>134</v>
      </c>
      <c r="L1027">
        <v>30</v>
      </c>
      <c r="M1027" s="4" t="s">
        <v>158</v>
      </c>
    </row>
    <row r="1028" spans="1:13" x14ac:dyDescent="0.2">
      <c r="A1028" s="4" t="s">
        <v>1433</v>
      </c>
      <c r="B1028">
        <v>1027</v>
      </c>
      <c r="C1028" s="4" t="s">
        <v>26</v>
      </c>
      <c r="D1028" s="4" t="s">
        <v>41</v>
      </c>
      <c r="E1028" s="4" t="s">
        <v>35</v>
      </c>
      <c r="F1028" s="4" t="s">
        <v>1415</v>
      </c>
      <c r="G1028">
        <v>9</v>
      </c>
      <c r="H1028">
        <v>43</v>
      </c>
      <c r="I1028" s="4" t="s">
        <v>116</v>
      </c>
      <c r="J1028" s="4" t="s">
        <v>122</v>
      </c>
      <c r="K1028" s="4" t="s">
        <v>123</v>
      </c>
      <c r="L1028">
        <v>15</v>
      </c>
      <c r="M1028" s="4" t="s">
        <v>158</v>
      </c>
    </row>
    <row r="1029" spans="1:13" x14ac:dyDescent="0.2">
      <c r="A1029" s="4" t="s">
        <v>1434</v>
      </c>
      <c r="B1029">
        <v>1028</v>
      </c>
      <c r="C1029" s="4" t="s">
        <v>26</v>
      </c>
      <c r="D1029" s="4" t="s">
        <v>41</v>
      </c>
      <c r="E1029" s="4" t="s">
        <v>35</v>
      </c>
      <c r="F1029" s="4" t="s">
        <v>1415</v>
      </c>
      <c r="G1029">
        <v>9</v>
      </c>
      <c r="H1029">
        <v>43</v>
      </c>
      <c r="I1029" s="4" t="s">
        <v>116</v>
      </c>
      <c r="J1029" s="4" t="s">
        <v>125</v>
      </c>
      <c r="K1029" s="4" t="s">
        <v>126</v>
      </c>
      <c r="L1029">
        <v>30</v>
      </c>
      <c r="M1029" s="4" t="s">
        <v>158</v>
      </c>
    </row>
    <row r="1030" spans="1:13" x14ac:dyDescent="0.2">
      <c r="A1030" s="4" t="s">
        <v>1435</v>
      </c>
      <c r="B1030">
        <v>1029</v>
      </c>
      <c r="C1030" s="4" t="s">
        <v>26</v>
      </c>
      <c r="D1030" s="4" t="s">
        <v>41</v>
      </c>
      <c r="E1030" s="4" t="s">
        <v>35</v>
      </c>
      <c r="F1030" s="4" t="s">
        <v>1415</v>
      </c>
      <c r="G1030">
        <v>9</v>
      </c>
      <c r="H1030">
        <v>43</v>
      </c>
      <c r="I1030" s="4" t="s">
        <v>116</v>
      </c>
      <c r="J1030" s="4" t="s">
        <v>127</v>
      </c>
      <c r="K1030" s="4" t="s">
        <v>128</v>
      </c>
      <c r="L1030">
        <v>100</v>
      </c>
      <c r="M1030" s="4" t="s">
        <v>158</v>
      </c>
    </row>
    <row r="1031" spans="1:13" x14ac:dyDescent="0.2">
      <c r="A1031" s="4" t="s">
        <v>1436</v>
      </c>
      <c r="B1031">
        <v>1030</v>
      </c>
      <c r="C1031" s="4" t="s">
        <v>26</v>
      </c>
      <c r="D1031" s="4" t="s">
        <v>41</v>
      </c>
      <c r="E1031" s="4" t="s">
        <v>35</v>
      </c>
      <c r="F1031" s="4" t="s">
        <v>1415</v>
      </c>
      <c r="G1031">
        <v>9</v>
      </c>
      <c r="H1031">
        <v>43</v>
      </c>
      <c r="I1031" s="4" t="s">
        <v>116</v>
      </c>
      <c r="J1031" s="4" t="s">
        <v>129</v>
      </c>
      <c r="K1031" s="4" t="s">
        <v>130</v>
      </c>
      <c r="L1031">
        <v>37</v>
      </c>
      <c r="M1031" s="4" t="s">
        <v>158</v>
      </c>
    </row>
    <row r="1032" spans="1:13" x14ac:dyDescent="0.2">
      <c r="A1032" s="4" t="s">
        <v>1437</v>
      </c>
      <c r="B1032">
        <v>1031</v>
      </c>
      <c r="C1032" s="4" t="s">
        <v>26</v>
      </c>
      <c r="D1032" s="4" t="s">
        <v>41</v>
      </c>
      <c r="E1032" s="4" t="s">
        <v>35</v>
      </c>
      <c r="F1032" s="4" t="s">
        <v>1415</v>
      </c>
      <c r="G1032">
        <v>9</v>
      </c>
      <c r="H1032">
        <v>43</v>
      </c>
      <c r="I1032" s="4" t="s">
        <v>116</v>
      </c>
      <c r="J1032" s="4" t="s">
        <v>131</v>
      </c>
      <c r="K1032" s="4" t="s">
        <v>132</v>
      </c>
      <c r="L1032">
        <v>50</v>
      </c>
      <c r="M1032" s="4" t="s">
        <v>158</v>
      </c>
    </row>
    <row r="1033" spans="1:13" x14ac:dyDescent="0.2">
      <c r="A1033" s="4" t="s">
        <v>1438</v>
      </c>
      <c r="B1033">
        <v>1032</v>
      </c>
      <c r="C1033" s="4" t="s">
        <v>26</v>
      </c>
      <c r="D1033" s="4" t="s">
        <v>41</v>
      </c>
      <c r="E1033" s="4" t="s">
        <v>35</v>
      </c>
      <c r="F1033" s="4" t="s">
        <v>1415</v>
      </c>
      <c r="G1033">
        <v>9</v>
      </c>
      <c r="H1033">
        <v>43</v>
      </c>
      <c r="I1033" s="4" t="s">
        <v>116</v>
      </c>
      <c r="J1033" s="4" t="s">
        <v>133</v>
      </c>
      <c r="K1033" s="4" t="s">
        <v>134</v>
      </c>
      <c r="L1033">
        <v>30</v>
      </c>
      <c r="M1033" s="4" t="s">
        <v>158</v>
      </c>
    </row>
    <row r="1034" spans="1:13" x14ac:dyDescent="0.2">
      <c r="A1034" s="4" t="s">
        <v>1445</v>
      </c>
      <c r="B1034">
        <v>1033</v>
      </c>
      <c r="C1034" s="4" t="s">
        <v>26</v>
      </c>
      <c r="D1034" s="4" t="s">
        <v>41</v>
      </c>
      <c r="E1034" s="4" t="s">
        <v>38</v>
      </c>
      <c r="F1034" s="4" t="s">
        <v>1446</v>
      </c>
      <c r="G1034">
        <v>9</v>
      </c>
      <c r="H1034">
        <v>44</v>
      </c>
      <c r="I1034" s="4" t="s">
        <v>35</v>
      </c>
      <c r="J1034" s="4" t="s">
        <v>122</v>
      </c>
      <c r="K1034" s="4" t="s">
        <v>123</v>
      </c>
      <c r="L1034">
        <v>677</v>
      </c>
      <c r="M1034" s="4" t="s">
        <v>158</v>
      </c>
    </row>
    <row r="1035" spans="1:13" x14ac:dyDescent="0.2">
      <c r="A1035" s="4" t="s">
        <v>1447</v>
      </c>
      <c r="B1035">
        <v>1034</v>
      </c>
      <c r="C1035" s="4" t="s">
        <v>26</v>
      </c>
      <c r="D1035" s="4" t="s">
        <v>41</v>
      </c>
      <c r="E1035" s="4" t="s">
        <v>38</v>
      </c>
      <c r="F1035" s="4" t="s">
        <v>1446</v>
      </c>
      <c r="G1035">
        <v>9</v>
      </c>
      <c r="H1035">
        <v>44</v>
      </c>
      <c r="I1035" s="4" t="s">
        <v>35</v>
      </c>
      <c r="J1035" s="4" t="s">
        <v>125</v>
      </c>
      <c r="K1035" s="4" t="s">
        <v>126</v>
      </c>
      <c r="L1035">
        <v>116</v>
      </c>
      <c r="M1035" s="4" t="s">
        <v>158</v>
      </c>
    </row>
    <row r="1036" spans="1:13" x14ac:dyDescent="0.2">
      <c r="A1036" s="4" t="s">
        <v>1448</v>
      </c>
      <c r="B1036">
        <v>1035</v>
      </c>
      <c r="C1036" s="4" t="s">
        <v>26</v>
      </c>
      <c r="D1036" s="4" t="s">
        <v>41</v>
      </c>
      <c r="E1036" s="4" t="s">
        <v>38</v>
      </c>
      <c r="F1036" s="4" t="s">
        <v>1446</v>
      </c>
      <c r="G1036">
        <v>9</v>
      </c>
      <c r="H1036">
        <v>44</v>
      </c>
      <c r="I1036" s="4" t="s">
        <v>35</v>
      </c>
      <c r="J1036" s="4" t="s">
        <v>127</v>
      </c>
      <c r="K1036" s="4" t="s">
        <v>128</v>
      </c>
      <c r="L1036">
        <v>427</v>
      </c>
      <c r="M1036" s="4" t="s">
        <v>158</v>
      </c>
    </row>
    <row r="1037" spans="1:13" x14ac:dyDescent="0.2">
      <c r="A1037" s="4" t="s">
        <v>1449</v>
      </c>
      <c r="B1037">
        <v>1036</v>
      </c>
      <c r="C1037" s="4" t="s">
        <v>26</v>
      </c>
      <c r="D1037" s="4" t="s">
        <v>41</v>
      </c>
      <c r="E1037" s="4" t="s">
        <v>38</v>
      </c>
      <c r="F1037" s="4" t="s">
        <v>1446</v>
      </c>
      <c r="G1037">
        <v>9</v>
      </c>
      <c r="H1037">
        <v>44</v>
      </c>
      <c r="I1037" s="4" t="s">
        <v>35</v>
      </c>
      <c r="J1037" s="4" t="s">
        <v>129</v>
      </c>
      <c r="K1037" s="4" t="s">
        <v>130</v>
      </c>
      <c r="L1037">
        <v>85</v>
      </c>
      <c r="M1037" s="4" t="s">
        <v>158</v>
      </c>
    </row>
    <row r="1038" spans="1:13" x14ac:dyDescent="0.2">
      <c r="A1038" s="4" t="s">
        <v>1450</v>
      </c>
      <c r="B1038">
        <v>1037</v>
      </c>
      <c r="C1038" s="4" t="s">
        <v>26</v>
      </c>
      <c r="D1038" s="4" t="s">
        <v>41</v>
      </c>
      <c r="E1038" s="4" t="s">
        <v>38</v>
      </c>
      <c r="F1038" s="4" t="s">
        <v>1446</v>
      </c>
      <c r="G1038">
        <v>9</v>
      </c>
      <c r="H1038">
        <v>44</v>
      </c>
      <c r="I1038" s="4" t="s">
        <v>35</v>
      </c>
      <c r="J1038" s="4" t="s">
        <v>131</v>
      </c>
      <c r="K1038" s="4" t="s">
        <v>132</v>
      </c>
      <c r="L1038">
        <v>253</v>
      </c>
      <c r="M1038" s="4" t="s">
        <v>158</v>
      </c>
    </row>
    <row r="1039" spans="1:13" x14ac:dyDescent="0.2">
      <c r="A1039" s="4" t="s">
        <v>1451</v>
      </c>
      <c r="B1039">
        <v>1038</v>
      </c>
      <c r="C1039" s="4" t="s">
        <v>26</v>
      </c>
      <c r="D1039" s="4" t="s">
        <v>41</v>
      </c>
      <c r="E1039" s="4" t="s">
        <v>38</v>
      </c>
      <c r="F1039" s="4" t="s">
        <v>1446</v>
      </c>
      <c r="G1039">
        <v>9</v>
      </c>
      <c r="H1039">
        <v>44</v>
      </c>
      <c r="I1039" s="4" t="s">
        <v>35</v>
      </c>
      <c r="J1039" s="4" t="s">
        <v>133</v>
      </c>
      <c r="K1039" s="4" t="s">
        <v>134</v>
      </c>
      <c r="L1039">
        <v>215</v>
      </c>
      <c r="M1039" s="4" t="s">
        <v>158</v>
      </c>
    </row>
    <row r="1040" spans="1:13" x14ac:dyDescent="0.2">
      <c r="A1040" s="4" t="s">
        <v>1452</v>
      </c>
      <c r="B1040">
        <v>1039</v>
      </c>
      <c r="C1040" s="4" t="s">
        <v>26</v>
      </c>
      <c r="D1040" s="4" t="s">
        <v>41</v>
      </c>
      <c r="E1040" s="4" t="s">
        <v>38</v>
      </c>
      <c r="F1040" s="4" t="s">
        <v>1446</v>
      </c>
      <c r="G1040">
        <v>9</v>
      </c>
      <c r="H1040">
        <v>44</v>
      </c>
      <c r="I1040" s="4" t="s">
        <v>112</v>
      </c>
      <c r="J1040" s="4" t="s">
        <v>122</v>
      </c>
      <c r="K1040" s="4" t="s">
        <v>123</v>
      </c>
      <c r="L1040">
        <v>198</v>
      </c>
      <c r="M1040" s="4" t="s">
        <v>158</v>
      </c>
    </row>
    <row r="1041" spans="1:13" x14ac:dyDescent="0.2">
      <c r="A1041" s="4" t="s">
        <v>1453</v>
      </c>
      <c r="B1041">
        <v>1040</v>
      </c>
      <c r="C1041" s="4" t="s">
        <v>26</v>
      </c>
      <c r="D1041" s="4" t="s">
        <v>41</v>
      </c>
      <c r="E1041" s="4" t="s">
        <v>38</v>
      </c>
      <c r="F1041" s="4" t="s">
        <v>1446</v>
      </c>
      <c r="G1041">
        <v>9</v>
      </c>
      <c r="H1041">
        <v>44</v>
      </c>
      <c r="I1041" s="4" t="s">
        <v>112</v>
      </c>
      <c r="J1041" s="4" t="s">
        <v>125</v>
      </c>
      <c r="K1041" s="4" t="s">
        <v>126</v>
      </c>
      <c r="L1041">
        <v>7</v>
      </c>
      <c r="M1041" s="4" t="s">
        <v>158</v>
      </c>
    </row>
    <row r="1042" spans="1:13" x14ac:dyDescent="0.2">
      <c r="A1042" s="4" t="s">
        <v>1454</v>
      </c>
      <c r="B1042">
        <v>1041</v>
      </c>
      <c r="C1042" s="4" t="s">
        <v>26</v>
      </c>
      <c r="D1042" s="4" t="s">
        <v>41</v>
      </c>
      <c r="E1042" s="4" t="s">
        <v>38</v>
      </c>
      <c r="F1042" s="4" t="s">
        <v>1446</v>
      </c>
      <c r="G1042">
        <v>9</v>
      </c>
      <c r="H1042">
        <v>44</v>
      </c>
      <c r="I1042" s="4" t="s">
        <v>112</v>
      </c>
      <c r="J1042" s="4" t="s">
        <v>127</v>
      </c>
      <c r="K1042" s="4" t="s">
        <v>128</v>
      </c>
      <c r="L1042">
        <v>73</v>
      </c>
      <c r="M1042" s="4" t="s">
        <v>158</v>
      </c>
    </row>
    <row r="1043" spans="1:13" x14ac:dyDescent="0.2">
      <c r="A1043" s="4" t="s">
        <v>1455</v>
      </c>
      <c r="B1043">
        <v>1042</v>
      </c>
      <c r="C1043" s="4" t="s">
        <v>26</v>
      </c>
      <c r="D1043" s="4" t="s">
        <v>41</v>
      </c>
      <c r="E1043" s="4" t="s">
        <v>38</v>
      </c>
      <c r="F1043" s="4" t="s">
        <v>1446</v>
      </c>
      <c r="G1043">
        <v>9</v>
      </c>
      <c r="H1043">
        <v>44</v>
      </c>
      <c r="I1043" s="4" t="s">
        <v>112</v>
      </c>
      <c r="J1043" s="4" t="s">
        <v>129</v>
      </c>
      <c r="K1043" s="4" t="s">
        <v>130</v>
      </c>
      <c r="L1043">
        <v>30</v>
      </c>
      <c r="M1043" s="4" t="s">
        <v>158</v>
      </c>
    </row>
    <row r="1044" spans="1:13" x14ac:dyDescent="0.2">
      <c r="A1044" s="4" t="s">
        <v>1456</v>
      </c>
      <c r="B1044">
        <v>1043</v>
      </c>
      <c r="C1044" s="4" t="s">
        <v>26</v>
      </c>
      <c r="D1044" s="4" t="s">
        <v>41</v>
      </c>
      <c r="E1044" s="4" t="s">
        <v>38</v>
      </c>
      <c r="F1044" s="4" t="s">
        <v>1446</v>
      </c>
      <c r="G1044">
        <v>9</v>
      </c>
      <c r="H1044">
        <v>44</v>
      </c>
      <c r="I1044" s="4" t="s">
        <v>112</v>
      </c>
      <c r="J1044" s="4" t="s">
        <v>131</v>
      </c>
      <c r="K1044" s="4" t="s">
        <v>132</v>
      </c>
      <c r="L1044">
        <v>50</v>
      </c>
      <c r="M1044" s="4" t="s">
        <v>158</v>
      </c>
    </row>
    <row r="1045" spans="1:13" x14ac:dyDescent="0.2">
      <c r="A1045" s="4" t="s">
        <v>1457</v>
      </c>
      <c r="B1045">
        <v>1044</v>
      </c>
      <c r="C1045" s="4" t="s">
        <v>26</v>
      </c>
      <c r="D1045" s="4" t="s">
        <v>41</v>
      </c>
      <c r="E1045" s="4" t="s">
        <v>38</v>
      </c>
      <c r="F1045" s="4" t="s">
        <v>1446</v>
      </c>
      <c r="G1045">
        <v>9</v>
      </c>
      <c r="H1045">
        <v>44</v>
      </c>
      <c r="I1045" s="4" t="s">
        <v>112</v>
      </c>
      <c r="J1045" s="4" t="s">
        <v>133</v>
      </c>
      <c r="K1045" s="4" t="s">
        <v>134</v>
      </c>
      <c r="L1045">
        <v>0</v>
      </c>
      <c r="M1045" s="4" t="s">
        <v>158</v>
      </c>
    </row>
    <row r="1046" spans="1:13" x14ac:dyDescent="0.2">
      <c r="A1046" s="4" t="s">
        <v>1458</v>
      </c>
      <c r="B1046">
        <v>1045</v>
      </c>
      <c r="C1046" s="4" t="s">
        <v>26</v>
      </c>
      <c r="D1046" s="4" t="s">
        <v>41</v>
      </c>
      <c r="E1046" s="4" t="s">
        <v>38</v>
      </c>
      <c r="F1046" s="4" t="s">
        <v>1446</v>
      </c>
      <c r="G1046">
        <v>9</v>
      </c>
      <c r="H1046">
        <v>44</v>
      </c>
      <c r="I1046" s="4" t="s">
        <v>114</v>
      </c>
      <c r="J1046" s="4" t="s">
        <v>122</v>
      </c>
      <c r="K1046" s="4" t="s">
        <v>123</v>
      </c>
      <c r="L1046">
        <v>46</v>
      </c>
      <c r="M1046" s="4" t="s">
        <v>158</v>
      </c>
    </row>
    <row r="1047" spans="1:13" x14ac:dyDescent="0.2">
      <c r="A1047" s="4" t="s">
        <v>1459</v>
      </c>
      <c r="B1047">
        <v>1046</v>
      </c>
      <c r="C1047" s="4" t="s">
        <v>26</v>
      </c>
      <c r="D1047" s="4" t="s">
        <v>41</v>
      </c>
      <c r="E1047" s="4" t="s">
        <v>38</v>
      </c>
      <c r="F1047" s="4" t="s">
        <v>1446</v>
      </c>
      <c r="G1047">
        <v>9</v>
      </c>
      <c r="H1047">
        <v>44</v>
      </c>
      <c r="I1047" s="4" t="s">
        <v>114</v>
      </c>
      <c r="J1047" s="4" t="s">
        <v>125</v>
      </c>
      <c r="K1047" s="4" t="s">
        <v>126</v>
      </c>
      <c r="L1047">
        <v>50</v>
      </c>
      <c r="M1047" s="4" t="s">
        <v>158</v>
      </c>
    </row>
    <row r="1048" spans="1:13" x14ac:dyDescent="0.2">
      <c r="A1048" s="4" t="s">
        <v>1460</v>
      </c>
      <c r="B1048">
        <v>1047</v>
      </c>
      <c r="C1048" s="4" t="s">
        <v>26</v>
      </c>
      <c r="D1048" s="4" t="s">
        <v>41</v>
      </c>
      <c r="E1048" s="4" t="s">
        <v>38</v>
      </c>
      <c r="F1048" s="4" t="s">
        <v>1446</v>
      </c>
      <c r="G1048">
        <v>9</v>
      </c>
      <c r="H1048">
        <v>44</v>
      </c>
      <c r="I1048" s="4" t="s">
        <v>114</v>
      </c>
      <c r="J1048" s="4" t="s">
        <v>127</v>
      </c>
      <c r="K1048" s="4" t="s">
        <v>128</v>
      </c>
      <c r="L1048">
        <v>210</v>
      </c>
      <c r="M1048" s="4" t="s">
        <v>158</v>
      </c>
    </row>
    <row r="1049" spans="1:13" x14ac:dyDescent="0.2">
      <c r="A1049" s="4" t="s">
        <v>1461</v>
      </c>
      <c r="B1049">
        <v>1048</v>
      </c>
      <c r="C1049" s="4" t="s">
        <v>26</v>
      </c>
      <c r="D1049" s="4" t="s">
        <v>41</v>
      </c>
      <c r="E1049" s="4" t="s">
        <v>38</v>
      </c>
      <c r="F1049" s="4" t="s">
        <v>1446</v>
      </c>
      <c r="G1049">
        <v>9</v>
      </c>
      <c r="H1049">
        <v>44</v>
      </c>
      <c r="I1049" s="4" t="s">
        <v>114</v>
      </c>
      <c r="J1049" s="4" t="s">
        <v>129</v>
      </c>
      <c r="K1049" s="4" t="s">
        <v>130</v>
      </c>
      <c r="L1049">
        <v>30</v>
      </c>
      <c r="M1049" s="4" t="s">
        <v>158</v>
      </c>
    </row>
    <row r="1050" spans="1:13" x14ac:dyDescent="0.2">
      <c r="A1050" s="4" t="s">
        <v>1462</v>
      </c>
      <c r="B1050">
        <v>1049</v>
      </c>
      <c r="C1050" s="4" t="s">
        <v>26</v>
      </c>
      <c r="D1050" s="4" t="s">
        <v>41</v>
      </c>
      <c r="E1050" s="4" t="s">
        <v>38</v>
      </c>
      <c r="F1050" s="4" t="s">
        <v>1446</v>
      </c>
      <c r="G1050">
        <v>9</v>
      </c>
      <c r="H1050">
        <v>44</v>
      </c>
      <c r="I1050" s="4" t="s">
        <v>114</v>
      </c>
      <c r="J1050" s="4" t="s">
        <v>131</v>
      </c>
      <c r="K1050" s="4" t="s">
        <v>132</v>
      </c>
      <c r="L1050">
        <v>8</v>
      </c>
      <c r="M1050" s="4" t="s">
        <v>158</v>
      </c>
    </row>
    <row r="1051" spans="1:13" x14ac:dyDescent="0.2">
      <c r="A1051" s="4" t="s">
        <v>1463</v>
      </c>
      <c r="B1051">
        <v>1050</v>
      </c>
      <c r="C1051" s="4" t="s">
        <v>26</v>
      </c>
      <c r="D1051" s="4" t="s">
        <v>41</v>
      </c>
      <c r="E1051" s="4" t="s">
        <v>38</v>
      </c>
      <c r="F1051" s="4" t="s">
        <v>1446</v>
      </c>
      <c r="G1051">
        <v>9</v>
      </c>
      <c r="H1051">
        <v>44</v>
      </c>
      <c r="I1051" s="4" t="s">
        <v>114</v>
      </c>
      <c r="J1051" s="4" t="s">
        <v>133</v>
      </c>
      <c r="K1051" s="4" t="s">
        <v>134</v>
      </c>
      <c r="L1051">
        <v>30</v>
      </c>
      <c r="M1051" s="4" t="s">
        <v>158</v>
      </c>
    </row>
    <row r="1052" spans="1:13" x14ac:dyDescent="0.2">
      <c r="A1052" s="4" t="s">
        <v>1464</v>
      </c>
      <c r="B1052">
        <v>1051</v>
      </c>
      <c r="C1052" s="4" t="s">
        <v>26</v>
      </c>
      <c r="D1052" s="4" t="s">
        <v>41</v>
      </c>
      <c r="E1052" s="4" t="s">
        <v>38</v>
      </c>
      <c r="F1052" s="4" t="s">
        <v>1446</v>
      </c>
      <c r="G1052">
        <v>9</v>
      </c>
      <c r="H1052">
        <v>44</v>
      </c>
      <c r="I1052" s="4" t="s">
        <v>116</v>
      </c>
      <c r="J1052" s="4" t="s">
        <v>122</v>
      </c>
      <c r="K1052" s="4" t="s">
        <v>123</v>
      </c>
      <c r="L1052">
        <v>85</v>
      </c>
      <c r="M1052" s="4" t="s">
        <v>158</v>
      </c>
    </row>
    <row r="1053" spans="1:13" x14ac:dyDescent="0.2">
      <c r="A1053" s="4" t="s">
        <v>1465</v>
      </c>
      <c r="B1053">
        <v>1052</v>
      </c>
      <c r="C1053" s="4" t="s">
        <v>26</v>
      </c>
      <c r="D1053" s="4" t="s">
        <v>41</v>
      </c>
      <c r="E1053" s="4" t="s">
        <v>38</v>
      </c>
      <c r="F1053" s="4" t="s">
        <v>1446</v>
      </c>
      <c r="G1053">
        <v>9</v>
      </c>
      <c r="H1053">
        <v>44</v>
      </c>
      <c r="I1053" s="4" t="s">
        <v>116</v>
      </c>
      <c r="J1053" s="4" t="s">
        <v>125</v>
      </c>
      <c r="K1053" s="4" t="s">
        <v>126</v>
      </c>
      <c r="L1053">
        <v>30</v>
      </c>
      <c r="M1053" s="4" t="s">
        <v>158</v>
      </c>
    </row>
    <row r="1054" spans="1:13" x14ac:dyDescent="0.2">
      <c r="A1054" s="4" t="s">
        <v>1466</v>
      </c>
      <c r="B1054">
        <v>1053</v>
      </c>
      <c r="C1054" s="4" t="s">
        <v>26</v>
      </c>
      <c r="D1054" s="4" t="s">
        <v>41</v>
      </c>
      <c r="E1054" s="4" t="s">
        <v>38</v>
      </c>
      <c r="F1054" s="4" t="s">
        <v>1446</v>
      </c>
      <c r="G1054">
        <v>9</v>
      </c>
      <c r="H1054">
        <v>44</v>
      </c>
      <c r="I1054" s="4" t="s">
        <v>116</v>
      </c>
      <c r="J1054" s="4" t="s">
        <v>127</v>
      </c>
      <c r="K1054" s="4" t="s">
        <v>128</v>
      </c>
      <c r="L1054">
        <v>100</v>
      </c>
      <c r="M1054" s="4" t="s">
        <v>158</v>
      </c>
    </row>
    <row r="1055" spans="1:13" x14ac:dyDescent="0.2">
      <c r="A1055" s="4" t="s">
        <v>1467</v>
      </c>
      <c r="B1055">
        <v>1054</v>
      </c>
      <c r="C1055" s="4" t="s">
        <v>26</v>
      </c>
      <c r="D1055" s="4" t="s">
        <v>41</v>
      </c>
      <c r="E1055" s="4" t="s">
        <v>38</v>
      </c>
      <c r="F1055" s="4" t="s">
        <v>1446</v>
      </c>
      <c r="G1055">
        <v>9</v>
      </c>
      <c r="H1055">
        <v>44</v>
      </c>
      <c r="I1055" s="4" t="s">
        <v>116</v>
      </c>
      <c r="J1055" s="4" t="s">
        <v>129</v>
      </c>
      <c r="K1055" s="4" t="s">
        <v>130</v>
      </c>
      <c r="L1055">
        <v>60</v>
      </c>
      <c r="M1055" s="4" t="s">
        <v>158</v>
      </c>
    </row>
    <row r="1056" spans="1:13" x14ac:dyDescent="0.2">
      <c r="A1056" s="4" t="s">
        <v>1468</v>
      </c>
      <c r="B1056">
        <v>1055</v>
      </c>
      <c r="C1056" s="4" t="s">
        <v>26</v>
      </c>
      <c r="D1056" s="4" t="s">
        <v>41</v>
      </c>
      <c r="E1056" s="4" t="s">
        <v>38</v>
      </c>
      <c r="F1056" s="4" t="s">
        <v>1446</v>
      </c>
      <c r="G1056">
        <v>9</v>
      </c>
      <c r="H1056">
        <v>44</v>
      </c>
      <c r="I1056" s="4" t="s">
        <v>116</v>
      </c>
      <c r="J1056" s="4" t="s">
        <v>131</v>
      </c>
      <c r="K1056" s="4" t="s">
        <v>132</v>
      </c>
      <c r="L1056">
        <v>50</v>
      </c>
      <c r="M1056" s="4" t="s">
        <v>158</v>
      </c>
    </row>
    <row r="1057" spans="1:13" x14ac:dyDescent="0.2">
      <c r="A1057" s="4" t="s">
        <v>1469</v>
      </c>
      <c r="B1057">
        <v>1056</v>
      </c>
      <c r="C1057" s="4" t="s">
        <v>26</v>
      </c>
      <c r="D1057" s="4" t="s">
        <v>41</v>
      </c>
      <c r="E1057" s="4" t="s">
        <v>38</v>
      </c>
      <c r="F1057" s="4" t="s">
        <v>1446</v>
      </c>
      <c r="G1057">
        <v>9</v>
      </c>
      <c r="H1057">
        <v>44</v>
      </c>
      <c r="I1057" s="4" t="s">
        <v>116</v>
      </c>
      <c r="J1057" s="4" t="s">
        <v>133</v>
      </c>
      <c r="K1057" s="4" t="s">
        <v>134</v>
      </c>
      <c r="L1057">
        <v>30</v>
      </c>
      <c r="M1057" s="4" t="s">
        <v>158</v>
      </c>
    </row>
    <row r="1058" spans="1:13" x14ac:dyDescent="0.2">
      <c r="A1058" s="4" t="s">
        <v>1499</v>
      </c>
      <c r="B1058">
        <v>1057</v>
      </c>
      <c r="C1058" s="4" t="s">
        <v>26</v>
      </c>
      <c r="D1058" s="4" t="s">
        <v>41</v>
      </c>
      <c r="E1058" s="4" t="s">
        <v>41</v>
      </c>
      <c r="F1058" s="4" t="s">
        <v>1474</v>
      </c>
      <c r="G1058">
        <v>9</v>
      </c>
      <c r="H1058">
        <v>45</v>
      </c>
      <c r="I1058" s="4" t="s">
        <v>35</v>
      </c>
      <c r="J1058" s="4" t="s">
        <v>122</v>
      </c>
      <c r="K1058" s="4" t="s">
        <v>123</v>
      </c>
      <c r="L1058">
        <v>536</v>
      </c>
      <c r="M1058" s="4" t="s">
        <v>158</v>
      </c>
    </row>
    <row r="1059" spans="1:13" x14ac:dyDescent="0.2">
      <c r="A1059" s="4" t="s">
        <v>1500</v>
      </c>
      <c r="B1059">
        <v>1058</v>
      </c>
      <c r="C1059" s="4" t="s">
        <v>26</v>
      </c>
      <c r="D1059" s="4" t="s">
        <v>41</v>
      </c>
      <c r="E1059" s="4" t="s">
        <v>41</v>
      </c>
      <c r="F1059" s="4" t="s">
        <v>1474</v>
      </c>
      <c r="G1059">
        <v>9</v>
      </c>
      <c r="H1059">
        <v>45</v>
      </c>
      <c r="I1059" s="4" t="s">
        <v>35</v>
      </c>
      <c r="J1059" s="4" t="s">
        <v>125</v>
      </c>
      <c r="K1059" s="4" t="s">
        <v>126</v>
      </c>
      <c r="L1059">
        <v>93</v>
      </c>
      <c r="M1059" s="4" t="s">
        <v>158</v>
      </c>
    </row>
    <row r="1060" spans="1:13" x14ac:dyDescent="0.2">
      <c r="A1060" s="4" t="s">
        <v>1501</v>
      </c>
      <c r="B1060">
        <v>1059</v>
      </c>
      <c r="C1060" s="4" t="s">
        <v>26</v>
      </c>
      <c r="D1060" s="4" t="s">
        <v>41</v>
      </c>
      <c r="E1060" s="4" t="s">
        <v>41</v>
      </c>
      <c r="F1060" s="4" t="s">
        <v>1474</v>
      </c>
      <c r="G1060">
        <v>9</v>
      </c>
      <c r="H1060">
        <v>45</v>
      </c>
      <c r="I1060" s="4" t="s">
        <v>35</v>
      </c>
      <c r="J1060" s="4" t="s">
        <v>127</v>
      </c>
      <c r="K1060" s="4" t="s">
        <v>128</v>
      </c>
      <c r="L1060">
        <v>350</v>
      </c>
      <c r="M1060" s="4" t="s">
        <v>158</v>
      </c>
    </row>
    <row r="1061" spans="1:13" x14ac:dyDescent="0.2">
      <c r="A1061" s="4" t="s">
        <v>1502</v>
      </c>
      <c r="B1061">
        <v>1060</v>
      </c>
      <c r="C1061" s="4" t="s">
        <v>26</v>
      </c>
      <c r="D1061" s="4" t="s">
        <v>41</v>
      </c>
      <c r="E1061" s="4" t="s">
        <v>41</v>
      </c>
      <c r="F1061" s="4" t="s">
        <v>1474</v>
      </c>
      <c r="G1061">
        <v>9</v>
      </c>
      <c r="H1061">
        <v>45</v>
      </c>
      <c r="I1061" s="4" t="s">
        <v>35</v>
      </c>
      <c r="J1061" s="4" t="s">
        <v>129</v>
      </c>
      <c r="K1061" s="4" t="s">
        <v>130</v>
      </c>
      <c r="L1061">
        <v>85</v>
      </c>
      <c r="M1061" s="4" t="s">
        <v>158</v>
      </c>
    </row>
    <row r="1062" spans="1:13" x14ac:dyDescent="0.2">
      <c r="A1062" s="4" t="s">
        <v>1503</v>
      </c>
      <c r="B1062">
        <v>1061</v>
      </c>
      <c r="C1062" s="4" t="s">
        <v>26</v>
      </c>
      <c r="D1062" s="4" t="s">
        <v>41</v>
      </c>
      <c r="E1062" s="4" t="s">
        <v>41</v>
      </c>
      <c r="F1062" s="4" t="s">
        <v>1474</v>
      </c>
      <c r="G1062">
        <v>9</v>
      </c>
      <c r="H1062">
        <v>45</v>
      </c>
      <c r="I1062" s="4" t="s">
        <v>35</v>
      </c>
      <c r="J1062" s="4" t="s">
        <v>131</v>
      </c>
      <c r="K1062" s="4" t="s">
        <v>132</v>
      </c>
      <c r="L1062">
        <v>186</v>
      </c>
      <c r="M1062" s="4" t="s">
        <v>158</v>
      </c>
    </row>
    <row r="1063" spans="1:13" x14ac:dyDescent="0.2">
      <c r="A1063" s="4" t="s">
        <v>1504</v>
      </c>
      <c r="B1063">
        <v>1062</v>
      </c>
      <c r="C1063" s="4" t="s">
        <v>26</v>
      </c>
      <c r="D1063" s="4" t="s">
        <v>41</v>
      </c>
      <c r="E1063" s="4" t="s">
        <v>41</v>
      </c>
      <c r="F1063" s="4" t="s">
        <v>1474</v>
      </c>
      <c r="G1063">
        <v>9</v>
      </c>
      <c r="H1063">
        <v>45</v>
      </c>
      <c r="I1063" s="4" t="s">
        <v>35</v>
      </c>
      <c r="J1063" s="4" t="s">
        <v>133</v>
      </c>
      <c r="K1063" s="4" t="s">
        <v>134</v>
      </c>
      <c r="L1063">
        <v>165</v>
      </c>
      <c r="M1063" s="4" t="s">
        <v>158</v>
      </c>
    </row>
    <row r="1064" spans="1:13" x14ac:dyDescent="0.2">
      <c r="A1064" s="4" t="s">
        <v>1505</v>
      </c>
      <c r="B1064">
        <v>1063</v>
      </c>
      <c r="C1064" s="4" t="s">
        <v>26</v>
      </c>
      <c r="D1064" s="4" t="s">
        <v>41</v>
      </c>
      <c r="E1064" s="4" t="s">
        <v>41</v>
      </c>
      <c r="F1064" s="4" t="s">
        <v>1474</v>
      </c>
      <c r="G1064">
        <v>9</v>
      </c>
      <c r="H1064">
        <v>45</v>
      </c>
      <c r="I1064" s="4" t="s">
        <v>112</v>
      </c>
      <c r="J1064" s="4" t="s">
        <v>122</v>
      </c>
      <c r="K1064" s="4" t="s">
        <v>123</v>
      </c>
      <c r="L1064">
        <v>136</v>
      </c>
      <c r="M1064" s="4" t="s">
        <v>158</v>
      </c>
    </row>
    <row r="1065" spans="1:13" x14ac:dyDescent="0.2">
      <c r="A1065" s="4" t="s">
        <v>1506</v>
      </c>
      <c r="B1065">
        <v>1064</v>
      </c>
      <c r="C1065" s="4" t="s">
        <v>26</v>
      </c>
      <c r="D1065" s="4" t="s">
        <v>41</v>
      </c>
      <c r="E1065" s="4" t="s">
        <v>41</v>
      </c>
      <c r="F1065" s="4" t="s">
        <v>1474</v>
      </c>
      <c r="G1065">
        <v>9</v>
      </c>
      <c r="H1065">
        <v>45</v>
      </c>
      <c r="I1065" s="4" t="s">
        <v>112</v>
      </c>
      <c r="J1065" s="4" t="s">
        <v>125</v>
      </c>
      <c r="K1065" s="4" t="s">
        <v>126</v>
      </c>
      <c r="L1065">
        <v>30</v>
      </c>
      <c r="M1065" s="4" t="s">
        <v>158</v>
      </c>
    </row>
    <row r="1066" spans="1:13" x14ac:dyDescent="0.2">
      <c r="A1066" s="4" t="s">
        <v>1507</v>
      </c>
      <c r="B1066">
        <v>1065</v>
      </c>
      <c r="C1066" s="4" t="s">
        <v>26</v>
      </c>
      <c r="D1066" s="4" t="s">
        <v>41</v>
      </c>
      <c r="E1066" s="4" t="s">
        <v>41</v>
      </c>
      <c r="F1066" s="4" t="s">
        <v>1474</v>
      </c>
      <c r="G1066">
        <v>9</v>
      </c>
      <c r="H1066">
        <v>45</v>
      </c>
      <c r="I1066" s="4" t="s">
        <v>112</v>
      </c>
      <c r="J1066" s="4" t="s">
        <v>127</v>
      </c>
      <c r="K1066" s="4" t="s">
        <v>128</v>
      </c>
      <c r="L1066">
        <v>150</v>
      </c>
      <c r="M1066" s="4" t="s">
        <v>158</v>
      </c>
    </row>
    <row r="1067" spans="1:13" x14ac:dyDescent="0.2">
      <c r="A1067" s="4" t="s">
        <v>1508</v>
      </c>
      <c r="B1067">
        <v>1066</v>
      </c>
      <c r="C1067" s="4" t="s">
        <v>26</v>
      </c>
      <c r="D1067" s="4" t="s">
        <v>41</v>
      </c>
      <c r="E1067" s="4" t="s">
        <v>41</v>
      </c>
      <c r="F1067" s="4" t="s">
        <v>1474</v>
      </c>
      <c r="G1067">
        <v>9</v>
      </c>
      <c r="H1067">
        <v>45</v>
      </c>
      <c r="I1067" s="4" t="s">
        <v>112</v>
      </c>
      <c r="J1067" s="4" t="s">
        <v>129</v>
      </c>
      <c r="K1067" s="4" t="s">
        <v>130</v>
      </c>
      <c r="L1067">
        <v>30</v>
      </c>
      <c r="M1067" s="4" t="s">
        <v>158</v>
      </c>
    </row>
    <row r="1068" spans="1:13" x14ac:dyDescent="0.2">
      <c r="A1068" s="4" t="s">
        <v>1509</v>
      </c>
      <c r="B1068">
        <v>1067</v>
      </c>
      <c r="C1068" s="4" t="s">
        <v>26</v>
      </c>
      <c r="D1068" s="4" t="s">
        <v>41</v>
      </c>
      <c r="E1068" s="4" t="s">
        <v>41</v>
      </c>
      <c r="F1068" s="4" t="s">
        <v>1474</v>
      </c>
      <c r="G1068">
        <v>9</v>
      </c>
      <c r="H1068">
        <v>45</v>
      </c>
      <c r="I1068" s="4" t="s">
        <v>112</v>
      </c>
      <c r="J1068" s="4" t="s">
        <v>131</v>
      </c>
      <c r="K1068" s="4" t="s">
        <v>132</v>
      </c>
      <c r="L1068">
        <v>4</v>
      </c>
      <c r="M1068" s="4" t="s">
        <v>158</v>
      </c>
    </row>
    <row r="1069" spans="1:13" x14ac:dyDescent="0.2">
      <c r="A1069" s="4" t="s">
        <v>1510</v>
      </c>
      <c r="B1069">
        <v>1068</v>
      </c>
      <c r="C1069" s="4" t="s">
        <v>26</v>
      </c>
      <c r="D1069" s="4" t="s">
        <v>41</v>
      </c>
      <c r="E1069" s="4" t="s">
        <v>41</v>
      </c>
      <c r="F1069" s="4" t="s">
        <v>1474</v>
      </c>
      <c r="G1069">
        <v>9</v>
      </c>
      <c r="H1069">
        <v>45</v>
      </c>
      <c r="I1069" s="4" t="s">
        <v>112</v>
      </c>
      <c r="J1069" s="4" t="s">
        <v>133</v>
      </c>
      <c r="K1069" s="4" t="s">
        <v>134</v>
      </c>
      <c r="L1069">
        <v>50</v>
      </c>
      <c r="M1069" s="4" t="s">
        <v>158</v>
      </c>
    </row>
    <row r="1070" spans="1:13" x14ac:dyDescent="0.2">
      <c r="A1070" s="4" t="s">
        <v>1511</v>
      </c>
      <c r="B1070">
        <v>1069</v>
      </c>
      <c r="C1070" s="4" t="s">
        <v>26</v>
      </c>
      <c r="D1070" s="4" t="s">
        <v>41</v>
      </c>
      <c r="E1070" s="4" t="s">
        <v>41</v>
      </c>
      <c r="F1070" s="4" t="s">
        <v>1474</v>
      </c>
      <c r="G1070">
        <v>9</v>
      </c>
      <c r="H1070">
        <v>45</v>
      </c>
      <c r="I1070" s="4" t="s">
        <v>114</v>
      </c>
      <c r="J1070" s="4" t="s">
        <v>122</v>
      </c>
      <c r="K1070" s="4" t="s">
        <v>123</v>
      </c>
      <c r="L1070">
        <v>100</v>
      </c>
      <c r="M1070" s="4" t="s">
        <v>158</v>
      </c>
    </row>
    <row r="1071" spans="1:13" x14ac:dyDescent="0.2">
      <c r="A1071" s="4" t="s">
        <v>1512</v>
      </c>
      <c r="B1071">
        <v>1070</v>
      </c>
      <c r="C1071" s="4" t="s">
        <v>26</v>
      </c>
      <c r="D1071" s="4" t="s">
        <v>41</v>
      </c>
      <c r="E1071" s="4" t="s">
        <v>41</v>
      </c>
      <c r="F1071" s="4" t="s">
        <v>1474</v>
      </c>
      <c r="G1071">
        <v>9</v>
      </c>
      <c r="H1071">
        <v>45</v>
      </c>
      <c r="I1071" s="4" t="s">
        <v>114</v>
      </c>
      <c r="J1071" s="4" t="s">
        <v>125</v>
      </c>
      <c r="K1071" s="4" t="s">
        <v>126</v>
      </c>
      <c r="L1071">
        <v>50</v>
      </c>
      <c r="M1071" s="4" t="s">
        <v>158</v>
      </c>
    </row>
    <row r="1072" spans="1:13" x14ac:dyDescent="0.2">
      <c r="A1072" s="4" t="s">
        <v>1513</v>
      </c>
      <c r="B1072">
        <v>1071</v>
      </c>
      <c r="C1072" s="4" t="s">
        <v>26</v>
      </c>
      <c r="D1072" s="4" t="s">
        <v>41</v>
      </c>
      <c r="E1072" s="4" t="s">
        <v>41</v>
      </c>
      <c r="F1072" s="4" t="s">
        <v>1474</v>
      </c>
      <c r="G1072">
        <v>9</v>
      </c>
      <c r="H1072">
        <v>45</v>
      </c>
      <c r="I1072" s="4" t="s">
        <v>114</v>
      </c>
      <c r="J1072" s="4" t="s">
        <v>127</v>
      </c>
      <c r="K1072" s="4" t="s">
        <v>128</v>
      </c>
      <c r="L1072">
        <v>210</v>
      </c>
      <c r="M1072" s="4" t="s">
        <v>158</v>
      </c>
    </row>
    <row r="1073" spans="1:13" x14ac:dyDescent="0.2">
      <c r="A1073" s="4" t="s">
        <v>1514</v>
      </c>
      <c r="B1073">
        <v>1072</v>
      </c>
      <c r="C1073" s="4" t="s">
        <v>26</v>
      </c>
      <c r="D1073" s="4" t="s">
        <v>41</v>
      </c>
      <c r="E1073" s="4" t="s">
        <v>41</v>
      </c>
      <c r="F1073" s="4" t="s">
        <v>1474</v>
      </c>
      <c r="G1073">
        <v>9</v>
      </c>
      <c r="H1073">
        <v>45</v>
      </c>
      <c r="I1073" s="4" t="s">
        <v>114</v>
      </c>
      <c r="J1073" s="4" t="s">
        <v>129</v>
      </c>
      <c r="K1073" s="4" t="s">
        <v>130</v>
      </c>
      <c r="L1073">
        <v>30</v>
      </c>
      <c r="M1073" s="4" t="s">
        <v>158</v>
      </c>
    </row>
    <row r="1074" spans="1:13" x14ac:dyDescent="0.2">
      <c r="A1074" s="4" t="s">
        <v>1515</v>
      </c>
      <c r="B1074">
        <v>1073</v>
      </c>
      <c r="C1074" s="4" t="s">
        <v>26</v>
      </c>
      <c r="D1074" s="4" t="s">
        <v>41</v>
      </c>
      <c r="E1074" s="4" t="s">
        <v>41</v>
      </c>
      <c r="F1074" s="4" t="s">
        <v>1474</v>
      </c>
      <c r="G1074">
        <v>9</v>
      </c>
      <c r="H1074">
        <v>45</v>
      </c>
      <c r="I1074" s="4" t="s">
        <v>114</v>
      </c>
      <c r="J1074" s="4" t="s">
        <v>131</v>
      </c>
      <c r="K1074" s="4" t="s">
        <v>132</v>
      </c>
      <c r="L1074">
        <v>75</v>
      </c>
      <c r="M1074" s="4" t="s">
        <v>158</v>
      </c>
    </row>
    <row r="1075" spans="1:13" x14ac:dyDescent="0.2">
      <c r="A1075" s="4" t="s">
        <v>1516</v>
      </c>
      <c r="B1075">
        <v>1074</v>
      </c>
      <c r="C1075" s="4" t="s">
        <v>26</v>
      </c>
      <c r="D1075" s="4" t="s">
        <v>41</v>
      </c>
      <c r="E1075" s="4" t="s">
        <v>41</v>
      </c>
      <c r="F1075" s="4" t="s">
        <v>1474</v>
      </c>
      <c r="G1075">
        <v>9</v>
      </c>
      <c r="H1075">
        <v>45</v>
      </c>
      <c r="I1075" s="4" t="s">
        <v>114</v>
      </c>
      <c r="J1075" s="4" t="s">
        <v>133</v>
      </c>
      <c r="K1075" s="4" t="s">
        <v>134</v>
      </c>
      <c r="L1075">
        <v>30</v>
      </c>
      <c r="M1075" s="4" t="s">
        <v>158</v>
      </c>
    </row>
    <row r="1076" spans="1:13" x14ac:dyDescent="0.2">
      <c r="A1076" s="4" t="s">
        <v>1517</v>
      </c>
      <c r="B1076">
        <v>1075</v>
      </c>
      <c r="C1076" s="4" t="s">
        <v>26</v>
      </c>
      <c r="D1076" s="4" t="s">
        <v>41</v>
      </c>
      <c r="E1076" s="4" t="s">
        <v>41</v>
      </c>
      <c r="F1076" s="4" t="s">
        <v>1474</v>
      </c>
      <c r="G1076">
        <v>9</v>
      </c>
      <c r="H1076">
        <v>45</v>
      </c>
      <c r="I1076" s="4" t="s">
        <v>116</v>
      </c>
      <c r="J1076" s="4" t="s">
        <v>122</v>
      </c>
      <c r="K1076" s="4" t="s">
        <v>123</v>
      </c>
      <c r="L1076">
        <v>80</v>
      </c>
      <c r="M1076" s="4" t="s">
        <v>158</v>
      </c>
    </row>
    <row r="1077" spans="1:13" x14ac:dyDescent="0.2">
      <c r="A1077" s="4" t="s">
        <v>1518</v>
      </c>
      <c r="B1077">
        <v>1076</v>
      </c>
      <c r="C1077" s="4" t="s">
        <v>26</v>
      </c>
      <c r="D1077" s="4" t="s">
        <v>41</v>
      </c>
      <c r="E1077" s="4" t="s">
        <v>41</v>
      </c>
      <c r="F1077" s="4" t="s">
        <v>1474</v>
      </c>
      <c r="G1077">
        <v>9</v>
      </c>
      <c r="H1077">
        <v>45</v>
      </c>
      <c r="I1077" s="4" t="s">
        <v>116</v>
      </c>
      <c r="J1077" s="4" t="s">
        <v>125</v>
      </c>
      <c r="K1077" s="4" t="s">
        <v>126</v>
      </c>
      <c r="L1077">
        <v>7</v>
      </c>
      <c r="M1077" s="4" t="s">
        <v>158</v>
      </c>
    </row>
    <row r="1078" spans="1:13" x14ac:dyDescent="0.2">
      <c r="A1078" s="4" t="s">
        <v>1519</v>
      </c>
      <c r="B1078">
        <v>1077</v>
      </c>
      <c r="C1078" s="4" t="s">
        <v>26</v>
      </c>
      <c r="D1078" s="4" t="s">
        <v>41</v>
      </c>
      <c r="E1078" s="4" t="s">
        <v>41</v>
      </c>
      <c r="F1078" s="4" t="s">
        <v>1474</v>
      </c>
      <c r="G1078">
        <v>9</v>
      </c>
      <c r="H1078">
        <v>45</v>
      </c>
      <c r="I1078" s="4" t="s">
        <v>116</v>
      </c>
      <c r="J1078" s="4" t="s">
        <v>127</v>
      </c>
      <c r="K1078" s="4" t="s">
        <v>128</v>
      </c>
      <c r="L1078">
        <v>100</v>
      </c>
      <c r="M1078" s="4" t="s">
        <v>158</v>
      </c>
    </row>
    <row r="1079" spans="1:13" x14ac:dyDescent="0.2">
      <c r="A1079" s="4" t="s">
        <v>1520</v>
      </c>
      <c r="B1079">
        <v>1078</v>
      </c>
      <c r="C1079" s="4" t="s">
        <v>26</v>
      </c>
      <c r="D1079" s="4" t="s">
        <v>41</v>
      </c>
      <c r="E1079" s="4" t="s">
        <v>41</v>
      </c>
      <c r="F1079" s="4" t="s">
        <v>1474</v>
      </c>
      <c r="G1079">
        <v>9</v>
      </c>
      <c r="H1079">
        <v>45</v>
      </c>
      <c r="I1079" s="4" t="s">
        <v>116</v>
      </c>
      <c r="J1079" s="4" t="s">
        <v>129</v>
      </c>
      <c r="K1079" s="4" t="s">
        <v>130</v>
      </c>
      <c r="L1079">
        <v>18</v>
      </c>
      <c r="M1079" s="4" t="s">
        <v>158</v>
      </c>
    </row>
    <row r="1080" spans="1:13" x14ac:dyDescent="0.2">
      <c r="A1080" s="4" t="s">
        <v>1521</v>
      </c>
      <c r="B1080">
        <v>1079</v>
      </c>
      <c r="C1080" s="4" t="s">
        <v>26</v>
      </c>
      <c r="D1080" s="4" t="s">
        <v>41</v>
      </c>
      <c r="E1080" s="4" t="s">
        <v>41</v>
      </c>
      <c r="F1080" s="4" t="s">
        <v>1474</v>
      </c>
      <c r="G1080">
        <v>9</v>
      </c>
      <c r="H1080">
        <v>45</v>
      </c>
      <c r="I1080" s="4" t="s">
        <v>116</v>
      </c>
      <c r="J1080" s="4" t="s">
        <v>131</v>
      </c>
      <c r="K1080" s="4" t="s">
        <v>132</v>
      </c>
      <c r="L1080">
        <v>21</v>
      </c>
      <c r="M1080" s="4" t="s">
        <v>158</v>
      </c>
    </row>
    <row r="1081" spans="1:13" x14ac:dyDescent="0.2">
      <c r="A1081" s="4" t="s">
        <v>1522</v>
      </c>
      <c r="B1081">
        <v>1080</v>
      </c>
      <c r="C1081" s="4" t="s">
        <v>26</v>
      </c>
      <c r="D1081" s="4" t="s">
        <v>41</v>
      </c>
      <c r="E1081" s="4" t="s">
        <v>41</v>
      </c>
      <c r="F1081" s="4" t="s">
        <v>1474</v>
      </c>
      <c r="G1081">
        <v>9</v>
      </c>
      <c r="H1081">
        <v>45</v>
      </c>
      <c r="I1081" s="4" t="s">
        <v>116</v>
      </c>
      <c r="J1081" s="4" t="s">
        <v>133</v>
      </c>
      <c r="K1081" s="4" t="s">
        <v>134</v>
      </c>
      <c r="L1081">
        <v>30</v>
      </c>
      <c r="M1081" s="4" t="s">
        <v>158</v>
      </c>
    </row>
    <row r="1082" spans="1:13" x14ac:dyDescent="0.2">
      <c r="A1082" s="4" t="s">
        <v>1523</v>
      </c>
      <c r="B1082">
        <v>1081</v>
      </c>
      <c r="C1082" s="4" t="s">
        <v>26</v>
      </c>
      <c r="D1082" s="4" t="s">
        <v>41</v>
      </c>
      <c r="E1082" s="4" t="s">
        <v>44</v>
      </c>
      <c r="F1082" s="4" t="s">
        <v>1475</v>
      </c>
      <c r="G1082">
        <v>10</v>
      </c>
      <c r="H1082">
        <v>46</v>
      </c>
      <c r="I1082" s="4" t="s">
        <v>35</v>
      </c>
      <c r="J1082" s="4" t="s">
        <v>122</v>
      </c>
      <c r="K1082" s="4" t="s">
        <v>123</v>
      </c>
      <c r="L1082">
        <v>382</v>
      </c>
      <c r="M1082" s="4" t="s">
        <v>158</v>
      </c>
    </row>
    <row r="1083" spans="1:13" x14ac:dyDescent="0.2">
      <c r="A1083" s="4" t="s">
        <v>1524</v>
      </c>
      <c r="B1083">
        <v>1082</v>
      </c>
      <c r="C1083" s="4" t="s">
        <v>26</v>
      </c>
      <c r="D1083" s="4" t="s">
        <v>41</v>
      </c>
      <c r="E1083" s="4" t="s">
        <v>44</v>
      </c>
      <c r="F1083" s="4" t="s">
        <v>1475</v>
      </c>
      <c r="G1083">
        <v>10</v>
      </c>
      <c r="H1083">
        <v>46</v>
      </c>
      <c r="I1083" s="4" t="s">
        <v>35</v>
      </c>
      <c r="J1083" s="4" t="s">
        <v>125</v>
      </c>
      <c r="K1083" s="4" t="s">
        <v>126</v>
      </c>
      <c r="L1083">
        <v>70</v>
      </c>
      <c r="M1083" s="4" t="s">
        <v>158</v>
      </c>
    </row>
    <row r="1084" spans="1:13" x14ac:dyDescent="0.2">
      <c r="A1084" s="4" t="s">
        <v>1525</v>
      </c>
      <c r="B1084">
        <v>1083</v>
      </c>
      <c r="C1084" s="4" t="s">
        <v>26</v>
      </c>
      <c r="D1084" s="4" t="s">
        <v>41</v>
      </c>
      <c r="E1084" s="4" t="s">
        <v>44</v>
      </c>
      <c r="F1084" s="4" t="s">
        <v>1475</v>
      </c>
      <c r="G1084">
        <v>10</v>
      </c>
      <c r="H1084">
        <v>46</v>
      </c>
      <c r="I1084" s="4" t="s">
        <v>35</v>
      </c>
      <c r="J1084" s="4" t="s">
        <v>127</v>
      </c>
      <c r="K1084" s="4" t="s">
        <v>128</v>
      </c>
      <c r="L1084">
        <v>350</v>
      </c>
      <c r="M1084" s="4" t="s">
        <v>158</v>
      </c>
    </row>
    <row r="1085" spans="1:13" x14ac:dyDescent="0.2">
      <c r="A1085" s="4" t="s">
        <v>1526</v>
      </c>
      <c r="B1085">
        <v>1084</v>
      </c>
      <c r="C1085" s="4" t="s">
        <v>26</v>
      </c>
      <c r="D1085" s="4" t="s">
        <v>41</v>
      </c>
      <c r="E1085" s="4" t="s">
        <v>44</v>
      </c>
      <c r="F1085" s="4" t="s">
        <v>1475</v>
      </c>
      <c r="G1085">
        <v>10</v>
      </c>
      <c r="H1085">
        <v>46</v>
      </c>
      <c r="I1085" s="4" t="s">
        <v>35</v>
      </c>
      <c r="J1085" s="4" t="s">
        <v>129</v>
      </c>
      <c r="K1085" s="4" t="s">
        <v>130</v>
      </c>
      <c r="L1085">
        <v>43</v>
      </c>
      <c r="M1085" s="4" t="s">
        <v>158</v>
      </c>
    </row>
    <row r="1086" spans="1:13" x14ac:dyDescent="0.2">
      <c r="A1086" s="4" t="s">
        <v>1527</v>
      </c>
      <c r="B1086">
        <v>1085</v>
      </c>
      <c r="C1086" s="4" t="s">
        <v>26</v>
      </c>
      <c r="D1086" s="4" t="s">
        <v>41</v>
      </c>
      <c r="E1086" s="4" t="s">
        <v>44</v>
      </c>
      <c r="F1086" s="4" t="s">
        <v>1475</v>
      </c>
      <c r="G1086">
        <v>10</v>
      </c>
      <c r="H1086">
        <v>46</v>
      </c>
      <c r="I1086" s="4" t="s">
        <v>35</v>
      </c>
      <c r="J1086" s="4" t="s">
        <v>131</v>
      </c>
      <c r="K1086" s="4" t="s">
        <v>132</v>
      </c>
      <c r="L1086">
        <v>111</v>
      </c>
      <c r="M1086" s="4" t="s">
        <v>158</v>
      </c>
    </row>
    <row r="1087" spans="1:13" x14ac:dyDescent="0.2">
      <c r="A1087" s="4" t="s">
        <v>1528</v>
      </c>
      <c r="B1087">
        <v>1086</v>
      </c>
      <c r="C1087" s="4" t="s">
        <v>26</v>
      </c>
      <c r="D1087" s="4" t="s">
        <v>41</v>
      </c>
      <c r="E1087" s="4" t="s">
        <v>44</v>
      </c>
      <c r="F1087" s="4" t="s">
        <v>1475</v>
      </c>
      <c r="G1087">
        <v>10</v>
      </c>
      <c r="H1087">
        <v>46</v>
      </c>
      <c r="I1087" s="4" t="s">
        <v>35</v>
      </c>
      <c r="J1087" s="4" t="s">
        <v>133</v>
      </c>
      <c r="K1087" s="4" t="s">
        <v>134</v>
      </c>
      <c r="L1087">
        <v>165</v>
      </c>
      <c r="M1087" s="4" t="s">
        <v>158</v>
      </c>
    </row>
    <row r="1088" spans="1:13" x14ac:dyDescent="0.2">
      <c r="A1088" s="4" t="s">
        <v>1529</v>
      </c>
      <c r="B1088">
        <v>1087</v>
      </c>
      <c r="C1088" s="4" t="s">
        <v>26</v>
      </c>
      <c r="D1088" s="4" t="s">
        <v>41</v>
      </c>
      <c r="E1088" s="4" t="s">
        <v>44</v>
      </c>
      <c r="F1088" s="4" t="s">
        <v>1475</v>
      </c>
      <c r="G1088">
        <v>10</v>
      </c>
      <c r="H1088">
        <v>46</v>
      </c>
      <c r="I1088" s="4" t="s">
        <v>112</v>
      </c>
      <c r="J1088" s="4" t="s">
        <v>122</v>
      </c>
      <c r="K1088" s="4" t="s">
        <v>123</v>
      </c>
      <c r="L1088">
        <v>191</v>
      </c>
      <c r="M1088" s="4" t="s">
        <v>158</v>
      </c>
    </row>
    <row r="1089" spans="1:13" x14ac:dyDescent="0.2">
      <c r="A1089" s="4" t="s">
        <v>1530</v>
      </c>
      <c r="B1089">
        <v>1088</v>
      </c>
      <c r="C1089" s="4" t="s">
        <v>26</v>
      </c>
      <c r="D1089" s="4" t="s">
        <v>41</v>
      </c>
      <c r="E1089" s="4" t="s">
        <v>44</v>
      </c>
      <c r="F1089" s="4" t="s">
        <v>1475</v>
      </c>
      <c r="G1089">
        <v>10</v>
      </c>
      <c r="H1089">
        <v>46</v>
      </c>
      <c r="I1089" s="4" t="s">
        <v>112</v>
      </c>
      <c r="J1089" s="4" t="s">
        <v>125</v>
      </c>
      <c r="K1089" s="4" t="s">
        <v>126</v>
      </c>
      <c r="L1089">
        <v>3</v>
      </c>
      <c r="M1089" s="4" t="s">
        <v>158</v>
      </c>
    </row>
    <row r="1090" spans="1:13" x14ac:dyDescent="0.2">
      <c r="A1090" s="4" t="s">
        <v>1531</v>
      </c>
      <c r="B1090">
        <v>1089</v>
      </c>
      <c r="C1090" s="4" t="s">
        <v>26</v>
      </c>
      <c r="D1090" s="4" t="s">
        <v>41</v>
      </c>
      <c r="E1090" s="4" t="s">
        <v>44</v>
      </c>
      <c r="F1090" s="4" t="s">
        <v>1475</v>
      </c>
      <c r="G1090">
        <v>10</v>
      </c>
      <c r="H1090">
        <v>46</v>
      </c>
      <c r="I1090" s="4" t="s">
        <v>112</v>
      </c>
      <c r="J1090" s="4" t="s">
        <v>127</v>
      </c>
      <c r="K1090" s="4" t="s">
        <v>128</v>
      </c>
      <c r="L1090">
        <v>79</v>
      </c>
      <c r="M1090" s="4" t="s">
        <v>158</v>
      </c>
    </row>
    <row r="1091" spans="1:13" x14ac:dyDescent="0.2">
      <c r="A1091" s="4" t="s">
        <v>1532</v>
      </c>
      <c r="B1091">
        <v>1090</v>
      </c>
      <c r="C1091" s="4" t="s">
        <v>26</v>
      </c>
      <c r="D1091" s="4" t="s">
        <v>41</v>
      </c>
      <c r="E1091" s="4" t="s">
        <v>44</v>
      </c>
      <c r="F1091" s="4" t="s">
        <v>1475</v>
      </c>
      <c r="G1091">
        <v>10</v>
      </c>
      <c r="H1091">
        <v>46</v>
      </c>
      <c r="I1091" s="4" t="s">
        <v>112</v>
      </c>
      <c r="J1091" s="4" t="s">
        <v>129</v>
      </c>
      <c r="K1091" s="4" t="s">
        <v>130</v>
      </c>
      <c r="L1091">
        <v>30</v>
      </c>
      <c r="M1091" s="4" t="s">
        <v>158</v>
      </c>
    </row>
    <row r="1092" spans="1:13" x14ac:dyDescent="0.2">
      <c r="A1092" s="4" t="s">
        <v>1533</v>
      </c>
      <c r="B1092">
        <v>1091</v>
      </c>
      <c r="C1092" s="4" t="s">
        <v>26</v>
      </c>
      <c r="D1092" s="4" t="s">
        <v>41</v>
      </c>
      <c r="E1092" s="4" t="s">
        <v>44</v>
      </c>
      <c r="F1092" s="4" t="s">
        <v>1475</v>
      </c>
      <c r="G1092">
        <v>10</v>
      </c>
      <c r="H1092">
        <v>46</v>
      </c>
      <c r="I1092" s="4" t="s">
        <v>112</v>
      </c>
      <c r="J1092" s="4" t="s">
        <v>131</v>
      </c>
      <c r="K1092" s="4" t="s">
        <v>132</v>
      </c>
      <c r="L1092">
        <v>50</v>
      </c>
      <c r="M1092" s="4" t="s">
        <v>158</v>
      </c>
    </row>
    <row r="1093" spans="1:13" x14ac:dyDescent="0.2">
      <c r="A1093" s="4" t="s">
        <v>1534</v>
      </c>
      <c r="B1093">
        <v>1092</v>
      </c>
      <c r="C1093" s="4" t="s">
        <v>26</v>
      </c>
      <c r="D1093" s="4" t="s">
        <v>41</v>
      </c>
      <c r="E1093" s="4" t="s">
        <v>44</v>
      </c>
      <c r="F1093" s="4" t="s">
        <v>1475</v>
      </c>
      <c r="G1093">
        <v>10</v>
      </c>
      <c r="H1093">
        <v>46</v>
      </c>
      <c r="I1093" s="4" t="s">
        <v>112</v>
      </c>
      <c r="J1093" s="4" t="s">
        <v>133</v>
      </c>
      <c r="K1093" s="4" t="s">
        <v>134</v>
      </c>
      <c r="L1093">
        <v>50</v>
      </c>
      <c r="M1093" s="4" t="s">
        <v>158</v>
      </c>
    </row>
    <row r="1094" spans="1:13" x14ac:dyDescent="0.2">
      <c r="A1094" s="4" t="s">
        <v>1535</v>
      </c>
      <c r="B1094">
        <v>1093</v>
      </c>
      <c r="C1094" s="4" t="s">
        <v>26</v>
      </c>
      <c r="D1094" s="4" t="s">
        <v>41</v>
      </c>
      <c r="E1094" s="4" t="s">
        <v>44</v>
      </c>
      <c r="F1094" s="4" t="s">
        <v>1475</v>
      </c>
      <c r="G1094">
        <v>10</v>
      </c>
      <c r="H1094">
        <v>46</v>
      </c>
      <c r="I1094" s="4" t="s">
        <v>114</v>
      </c>
      <c r="J1094" s="4" t="s">
        <v>122</v>
      </c>
      <c r="K1094" s="4" t="s">
        <v>123</v>
      </c>
      <c r="L1094">
        <v>100</v>
      </c>
      <c r="M1094" s="4" t="s">
        <v>158</v>
      </c>
    </row>
    <row r="1095" spans="1:13" x14ac:dyDescent="0.2">
      <c r="A1095" s="4" t="s">
        <v>1536</v>
      </c>
      <c r="B1095">
        <v>1094</v>
      </c>
      <c r="C1095" s="4" t="s">
        <v>26</v>
      </c>
      <c r="D1095" s="4" t="s">
        <v>41</v>
      </c>
      <c r="E1095" s="4" t="s">
        <v>44</v>
      </c>
      <c r="F1095" s="4" t="s">
        <v>1475</v>
      </c>
      <c r="G1095">
        <v>10</v>
      </c>
      <c r="H1095">
        <v>46</v>
      </c>
      <c r="I1095" s="4" t="s">
        <v>114</v>
      </c>
      <c r="J1095" s="4" t="s">
        <v>125</v>
      </c>
      <c r="K1095" s="4" t="s">
        <v>126</v>
      </c>
      <c r="L1095">
        <v>50</v>
      </c>
      <c r="M1095" s="4" t="s">
        <v>158</v>
      </c>
    </row>
    <row r="1096" spans="1:13" x14ac:dyDescent="0.2">
      <c r="A1096" s="4" t="s">
        <v>1537</v>
      </c>
      <c r="B1096">
        <v>1095</v>
      </c>
      <c r="C1096" s="4" t="s">
        <v>26</v>
      </c>
      <c r="D1096" s="4" t="s">
        <v>41</v>
      </c>
      <c r="E1096" s="4" t="s">
        <v>44</v>
      </c>
      <c r="F1096" s="4" t="s">
        <v>1475</v>
      </c>
      <c r="G1096">
        <v>10</v>
      </c>
      <c r="H1096">
        <v>46</v>
      </c>
      <c r="I1096" s="4" t="s">
        <v>114</v>
      </c>
      <c r="J1096" s="4" t="s">
        <v>127</v>
      </c>
      <c r="K1096" s="4" t="s">
        <v>128</v>
      </c>
      <c r="L1096">
        <v>80</v>
      </c>
      <c r="M1096" s="4" t="s">
        <v>158</v>
      </c>
    </row>
    <row r="1097" spans="1:13" x14ac:dyDescent="0.2">
      <c r="A1097" s="4" t="s">
        <v>1538</v>
      </c>
      <c r="B1097">
        <v>1096</v>
      </c>
      <c r="C1097" s="4" t="s">
        <v>26</v>
      </c>
      <c r="D1097" s="4" t="s">
        <v>41</v>
      </c>
      <c r="E1097" s="4" t="s">
        <v>44</v>
      </c>
      <c r="F1097" s="4" t="s">
        <v>1475</v>
      </c>
      <c r="G1097">
        <v>10</v>
      </c>
      <c r="H1097">
        <v>46</v>
      </c>
      <c r="I1097" s="4" t="s">
        <v>114</v>
      </c>
      <c r="J1097" s="4" t="s">
        <v>129</v>
      </c>
      <c r="K1097" s="4" t="s">
        <v>130</v>
      </c>
      <c r="L1097">
        <v>30</v>
      </c>
      <c r="M1097" s="4" t="s">
        <v>158</v>
      </c>
    </row>
    <row r="1098" spans="1:13" x14ac:dyDescent="0.2">
      <c r="A1098" s="4" t="s">
        <v>1539</v>
      </c>
      <c r="B1098">
        <v>1097</v>
      </c>
      <c r="C1098" s="4" t="s">
        <v>26</v>
      </c>
      <c r="D1098" s="4" t="s">
        <v>41</v>
      </c>
      <c r="E1098" s="4" t="s">
        <v>44</v>
      </c>
      <c r="F1098" s="4" t="s">
        <v>1475</v>
      </c>
      <c r="G1098">
        <v>10</v>
      </c>
      <c r="H1098">
        <v>46</v>
      </c>
      <c r="I1098" s="4" t="s">
        <v>114</v>
      </c>
      <c r="J1098" s="4" t="s">
        <v>131</v>
      </c>
      <c r="K1098" s="4" t="s">
        <v>132</v>
      </c>
      <c r="L1098">
        <v>75</v>
      </c>
      <c r="M1098" s="4" t="s">
        <v>158</v>
      </c>
    </row>
    <row r="1099" spans="1:13" x14ac:dyDescent="0.2">
      <c r="A1099" s="4" t="s">
        <v>1540</v>
      </c>
      <c r="B1099">
        <v>1098</v>
      </c>
      <c r="C1099" s="4" t="s">
        <v>26</v>
      </c>
      <c r="D1099" s="4" t="s">
        <v>41</v>
      </c>
      <c r="E1099" s="4" t="s">
        <v>44</v>
      </c>
      <c r="F1099" s="4" t="s">
        <v>1475</v>
      </c>
      <c r="G1099">
        <v>10</v>
      </c>
      <c r="H1099">
        <v>46</v>
      </c>
      <c r="I1099" s="4" t="s">
        <v>114</v>
      </c>
      <c r="J1099" s="4" t="s">
        <v>133</v>
      </c>
      <c r="K1099" s="4" t="s">
        <v>134</v>
      </c>
      <c r="L1099">
        <v>30</v>
      </c>
      <c r="M1099" s="4" t="s">
        <v>158</v>
      </c>
    </row>
    <row r="1100" spans="1:13" x14ac:dyDescent="0.2">
      <c r="A1100" s="4" t="s">
        <v>1541</v>
      </c>
      <c r="B1100">
        <v>1099</v>
      </c>
      <c r="C1100" s="4" t="s">
        <v>26</v>
      </c>
      <c r="D1100" s="4" t="s">
        <v>41</v>
      </c>
      <c r="E1100" s="4" t="s">
        <v>44</v>
      </c>
      <c r="F1100" s="4" t="s">
        <v>1475</v>
      </c>
      <c r="G1100">
        <v>10</v>
      </c>
      <c r="H1100">
        <v>46</v>
      </c>
      <c r="I1100" s="4" t="s">
        <v>116</v>
      </c>
      <c r="J1100" s="4" t="s">
        <v>122</v>
      </c>
      <c r="K1100" s="4" t="s">
        <v>123</v>
      </c>
      <c r="L1100">
        <v>100</v>
      </c>
      <c r="M1100" s="4" t="s">
        <v>158</v>
      </c>
    </row>
    <row r="1101" spans="1:13" x14ac:dyDescent="0.2">
      <c r="A1101" s="4" t="s">
        <v>1542</v>
      </c>
      <c r="B1101">
        <v>1100</v>
      </c>
      <c r="C1101" s="4" t="s">
        <v>26</v>
      </c>
      <c r="D1101" s="4" t="s">
        <v>41</v>
      </c>
      <c r="E1101" s="4" t="s">
        <v>44</v>
      </c>
      <c r="F1101" s="4" t="s">
        <v>1475</v>
      </c>
      <c r="G1101">
        <v>10</v>
      </c>
      <c r="H1101">
        <v>46</v>
      </c>
      <c r="I1101" s="4" t="s">
        <v>116</v>
      </c>
      <c r="J1101" s="4" t="s">
        <v>125</v>
      </c>
      <c r="K1101" s="4" t="s">
        <v>126</v>
      </c>
      <c r="L1101">
        <v>30</v>
      </c>
      <c r="M1101" s="4" t="s">
        <v>158</v>
      </c>
    </row>
    <row r="1102" spans="1:13" x14ac:dyDescent="0.2">
      <c r="A1102" s="4" t="s">
        <v>1543</v>
      </c>
      <c r="B1102">
        <v>1101</v>
      </c>
      <c r="C1102" s="4" t="s">
        <v>26</v>
      </c>
      <c r="D1102" s="4" t="s">
        <v>41</v>
      </c>
      <c r="E1102" s="4" t="s">
        <v>44</v>
      </c>
      <c r="F1102" s="4" t="s">
        <v>1475</v>
      </c>
      <c r="G1102">
        <v>10</v>
      </c>
      <c r="H1102">
        <v>46</v>
      </c>
      <c r="I1102" s="4" t="s">
        <v>116</v>
      </c>
      <c r="J1102" s="4" t="s">
        <v>127</v>
      </c>
      <c r="K1102" s="4" t="s">
        <v>128</v>
      </c>
      <c r="L1102">
        <v>29</v>
      </c>
      <c r="M1102" s="4" t="s">
        <v>158</v>
      </c>
    </row>
    <row r="1103" spans="1:13" x14ac:dyDescent="0.2">
      <c r="A1103" s="4" t="s">
        <v>1544</v>
      </c>
      <c r="B1103">
        <v>1102</v>
      </c>
      <c r="C1103" s="4" t="s">
        <v>26</v>
      </c>
      <c r="D1103" s="4" t="s">
        <v>41</v>
      </c>
      <c r="E1103" s="4" t="s">
        <v>44</v>
      </c>
      <c r="F1103" s="4" t="s">
        <v>1475</v>
      </c>
      <c r="G1103">
        <v>10</v>
      </c>
      <c r="H1103">
        <v>46</v>
      </c>
      <c r="I1103" s="4" t="s">
        <v>116</v>
      </c>
      <c r="J1103" s="4" t="s">
        <v>129</v>
      </c>
      <c r="K1103" s="4" t="s">
        <v>130</v>
      </c>
      <c r="L1103">
        <v>42</v>
      </c>
      <c r="M1103" s="4" t="s">
        <v>158</v>
      </c>
    </row>
    <row r="1104" spans="1:13" x14ac:dyDescent="0.2">
      <c r="A1104" s="4" t="s">
        <v>1545</v>
      </c>
      <c r="B1104">
        <v>1103</v>
      </c>
      <c r="C1104" s="4" t="s">
        <v>26</v>
      </c>
      <c r="D1104" s="4" t="s">
        <v>41</v>
      </c>
      <c r="E1104" s="4" t="s">
        <v>44</v>
      </c>
      <c r="F1104" s="4" t="s">
        <v>1475</v>
      </c>
      <c r="G1104">
        <v>10</v>
      </c>
      <c r="H1104">
        <v>46</v>
      </c>
      <c r="I1104" s="4" t="s">
        <v>116</v>
      </c>
      <c r="J1104" s="4" t="s">
        <v>131</v>
      </c>
      <c r="K1104" s="4" t="s">
        <v>132</v>
      </c>
      <c r="L1104">
        <v>50</v>
      </c>
      <c r="M1104" s="4" t="s">
        <v>158</v>
      </c>
    </row>
    <row r="1105" spans="1:13" x14ac:dyDescent="0.2">
      <c r="A1105" s="4" t="s">
        <v>1546</v>
      </c>
      <c r="B1105">
        <v>1104</v>
      </c>
      <c r="C1105" s="4" t="s">
        <v>26</v>
      </c>
      <c r="D1105" s="4" t="s">
        <v>41</v>
      </c>
      <c r="E1105" s="4" t="s">
        <v>44</v>
      </c>
      <c r="F1105" s="4" t="s">
        <v>1475</v>
      </c>
      <c r="G1105">
        <v>10</v>
      </c>
      <c r="H1105">
        <v>46</v>
      </c>
      <c r="I1105" s="4" t="s">
        <v>116</v>
      </c>
      <c r="J1105" s="4" t="s">
        <v>133</v>
      </c>
      <c r="K1105" s="4" t="s">
        <v>134</v>
      </c>
      <c r="L1105">
        <v>30</v>
      </c>
      <c r="M1105" s="4" t="s">
        <v>158</v>
      </c>
    </row>
    <row r="1106" spans="1:13" x14ac:dyDescent="0.2">
      <c r="A1106" s="4" t="s">
        <v>1547</v>
      </c>
      <c r="B1106">
        <v>1105</v>
      </c>
      <c r="C1106" s="4" t="s">
        <v>26</v>
      </c>
      <c r="D1106" s="4" t="s">
        <v>41</v>
      </c>
      <c r="E1106" s="4" t="s">
        <v>47</v>
      </c>
      <c r="F1106" s="4" t="s">
        <v>1476</v>
      </c>
      <c r="G1106">
        <v>10</v>
      </c>
      <c r="H1106">
        <v>47</v>
      </c>
      <c r="I1106" s="4" t="s">
        <v>35</v>
      </c>
      <c r="J1106" s="4" t="s">
        <v>122</v>
      </c>
      <c r="K1106" s="4" t="s">
        <v>123</v>
      </c>
      <c r="L1106">
        <v>303</v>
      </c>
      <c r="M1106" s="4" t="s">
        <v>158</v>
      </c>
    </row>
    <row r="1107" spans="1:13" x14ac:dyDescent="0.2">
      <c r="A1107" s="4" t="s">
        <v>1548</v>
      </c>
      <c r="B1107">
        <v>1106</v>
      </c>
      <c r="C1107" s="4" t="s">
        <v>26</v>
      </c>
      <c r="D1107" s="4" t="s">
        <v>41</v>
      </c>
      <c r="E1107" s="4" t="s">
        <v>47</v>
      </c>
      <c r="F1107" s="4" t="s">
        <v>1476</v>
      </c>
      <c r="G1107">
        <v>10</v>
      </c>
      <c r="H1107">
        <v>47</v>
      </c>
      <c r="I1107" s="4" t="s">
        <v>35</v>
      </c>
      <c r="J1107" s="4" t="s">
        <v>125</v>
      </c>
      <c r="K1107" s="4" t="s">
        <v>126</v>
      </c>
      <c r="L1107">
        <v>43</v>
      </c>
      <c r="M1107" s="4" t="s">
        <v>158</v>
      </c>
    </row>
    <row r="1108" spans="1:13" x14ac:dyDescent="0.2">
      <c r="A1108" s="4" t="s">
        <v>1549</v>
      </c>
      <c r="B1108">
        <v>1107</v>
      </c>
      <c r="C1108" s="4" t="s">
        <v>26</v>
      </c>
      <c r="D1108" s="4" t="s">
        <v>41</v>
      </c>
      <c r="E1108" s="4" t="s">
        <v>47</v>
      </c>
      <c r="F1108" s="4" t="s">
        <v>1476</v>
      </c>
      <c r="G1108">
        <v>10</v>
      </c>
      <c r="H1108">
        <v>47</v>
      </c>
      <c r="I1108" s="4" t="s">
        <v>35</v>
      </c>
      <c r="J1108" s="4" t="s">
        <v>127</v>
      </c>
      <c r="K1108" s="4" t="s">
        <v>128</v>
      </c>
      <c r="L1108">
        <v>78</v>
      </c>
      <c r="M1108" s="4" t="s">
        <v>158</v>
      </c>
    </row>
    <row r="1109" spans="1:13" x14ac:dyDescent="0.2">
      <c r="A1109" s="4" t="s">
        <v>1550</v>
      </c>
      <c r="B1109">
        <v>1108</v>
      </c>
      <c r="C1109" s="4" t="s">
        <v>26</v>
      </c>
      <c r="D1109" s="4" t="s">
        <v>41</v>
      </c>
      <c r="E1109" s="4" t="s">
        <v>47</v>
      </c>
      <c r="F1109" s="4" t="s">
        <v>1476</v>
      </c>
      <c r="G1109">
        <v>10</v>
      </c>
      <c r="H1109">
        <v>47</v>
      </c>
      <c r="I1109" s="4" t="s">
        <v>35</v>
      </c>
      <c r="J1109" s="4" t="s">
        <v>129</v>
      </c>
      <c r="K1109" s="4" t="s">
        <v>130</v>
      </c>
      <c r="L1109">
        <v>25</v>
      </c>
      <c r="M1109" s="4" t="s">
        <v>158</v>
      </c>
    </row>
    <row r="1110" spans="1:13" x14ac:dyDescent="0.2">
      <c r="A1110" s="4" t="s">
        <v>1551</v>
      </c>
      <c r="B1110">
        <v>1109</v>
      </c>
      <c r="C1110" s="4" t="s">
        <v>26</v>
      </c>
      <c r="D1110" s="4" t="s">
        <v>41</v>
      </c>
      <c r="E1110" s="4" t="s">
        <v>47</v>
      </c>
      <c r="F1110" s="4" t="s">
        <v>1476</v>
      </c>
      <c r="G1110">
        <v>10</v>
      </c>
      <c r="H1110">
        <v>47</v>
      </c>
      <c r="I1110" s="4" t="s">
        <v>35</v>
      </c>
      <c r="J1110" s="4" t="s">
        <v>131</v>
      </c>
      <c r="K1110" s="4" t="s">
        <v>132</v>
      </c>
      <c r="L1110">
        <v>111</v>
      </c>
      <c r="M1110" s="4" t="s">
        <v>158</v>
      </c>
    </row>
    <row r="1111" spans="1:13" x14ac:dyDescent="0.2">
      <c r="A1111" s="4" t="s">
        <v>1552</v>
      </c>
      <c r="B1111">
        <v>1110</v>
      </c>
      <c r="C1111" s="4" t="s">
        <v>26</v>
      </c>
      <c r="D1111" s="4" t="s">
        <v>41</v>
      </c>
      <c r="E1111" s="4" t="s">
        <v>47</v>
      </c>
      <c r="F1111" s="4" t="s">
        <v>1476</v>
      </c>
      <c r="G1111">
        <v>10</v>
      </c>
      <c r="H1111">
        <v>47</v>
      </c>
      <c r="I1111" s="4" t="s">
        <v>35</v>
      </c>
      <c r="J1111" s="4" t="s">
        <v>133</v>
      </c>
      <c r="K1111" s="4" t="s">
        <v>134</v>
      </c>
      <c r="L1111">
        <v>165</v>
      </c>
      <c r="M1111" s="4" t="s">
        <v>158</v>
      </c>
    </row>
    <row r="1112" spans="1:13" x14ac:dyDescent="0.2">
      <c r="A1112" s="4" t="s">
        <v>1553</v>
      </c>
      <c r="B1112">
        <v>1111</v>
      </c>
      <c r="C1112" s="4" t="s">
        <v>26</v>
      </c>
      <c r="D1112" s="4" t="s">
        <v>41</v>
      </c>
      <c r="E1112" s="4" t="s">
        <v>47</v>
      </c>
      <c r="F1112" s="4" t="s">
        <v>1476</v>
      </c>
      <c r="G1112">
        <v>10</v>
      </c>
      <c r="H1112">
        <v>47</v>
      </c>
      <c r="I1112" s="4" t="s">
        <v>112</v>
      </c>
      <c r="J1112" s="4" t="s">
        <v>122</v>
      </c>
      <c r="K1112" s="4" t="s">
        <v>123</v>
      </c>
      <c r="L1112">
        <v>79</v>
      </c>
      <c r="M1112" s="4" t="s">
        <v>158</v>
      </c>
    </row>
    <row r="1113" spans="1:13" x14ac:dyDescent="0.2">
      <c r="A1113" s="4" t="s">
        <v>1554</v>
      </c>
      <c r="B1113">
        <v>1112</v>
      </c>
      <c r="C1113" s="4" t="s">
        <v>26</v>
      </c>
      <c r="D1113" s="4" t="s">
        <v>41</v>
      </c>
      <c r="E1113" s="4" t="s">
        <v>47</v>
      </c>
      <c r="F1113" s="4" t="s">
        <v>1476</v>
      </c>
      <c r="G1113">
        <v>10</v>
      </c>
      <c r="H1113">
        <v>47</v>
      </c>
      <c r="I1113" s="4" t="s">
        <v>112</v>
      </c>
      <c r="J1113" s="4" t="s">
        <v>125</v>
      </c>
      <c r="K1113" s="4" t="s">
        <v>126</v>
      </c>
      <c r="L1113">
        <v>30</v>
      </c>
      <c r="M1113" s="4" t="s">
        <v>158</v>
      </c>
    </row>
    <row r="1114" spans="1:13" x14ac:dyDescent="0.2">
      <c r="A1114" s="4" t="s">
        <v>1555</v>
      </c>
      <c r="B1114">
        <v>1113</v>
      </c>
      <c r="C1114" s="4" t="s">
        <v>26</v>
      </c>
      <c r="D1114" s="4" t="s">
        <v>41</v>
      </c>
      <c r="E1114" s="4" t="s">
        <v>47</v>
      </c>
      <c r="F1114" s="4" t="s">
        <v>1476</v>
      </c>
      <c r="G1114">
        <v>10</v>
      </c>
      <c r="H1114">
        <v>47</v>
      </c>
      <c r="I1114" s="4" t="s">
        <v>112</v>
      </c>
      <c r="J1114" s="4" t="s">
        <v>127</v>
      </c>
      <c r="K1114" s="4" t="s">
        <v>128</v>
      </c>
      <c r="L1114">
        <v>71</v>
      </c>
      <c r="M1114" s="4" t="s">
        <v>158</v>
      </c>
    </row>
    <row r="1115" spans="1:13" x14ac:dyDescent="0.2">
      <c r="A1115" s="4" t="s">
        <v>1556</v>
      </c>
      <c r="B1115">
        <v>1114</v>
      </c>
      <c r="C1115" s="4" t="s">
        <v>26</v>
      </c>
      <c r="D1115" s="4" t="s">
        <v>41</v>
      </c>
      <c r="E1115" s="4" t="s">
        <v>47</v>
      </c>
      <c r="F1115" s="4" t="s">
        <v>1476</v>
      </c>
      <c r="G1115">
        <v>10</v>
      </c>
      <c r="H1115">
        <v>47</v>
      </c>
      <c r="I1115" s="4" t="s">
        <v>112</v>
      </c>
      <c r="J1115" s="4" t="s">
        <v>129</v>
      </c>
      <c r="K1115" s="4" t="s">
        <v>130</v>
      </c>
      <c r="L1115">
        <v>30</v>
      </c>
      <c r="M1115" s="4" t="s">
        <v>158</v>
      </c>
    </row>
    <row r="1116" spans="1:13" x14ac:dyDescent="0.2">
      <c r="A1116" s="4" t="s">
        <v>1557</v>
      </c>
      <c r="B1116">
        <v>1115</v>
      </c>
      <c r="C1116" s="4" t="s">
        <v>26</v>
      </c>
      <c r="D1116" s="4" t="s">
        <v>41</v>
      </c>
      <c r="E1116" s="4" t="s">
        <v>47</v>
      </c>
      <c r="F1116" s="4" t="s">
        <v>1476</v>
      </c>
      <c r="G1116">
        <v>10</v>
      </c>
      <c r="H1116">
        <v>47</v>
      </c>
      <c r="I1116" s="4" t="s">
        <v>112</v>
      </c>
      <c r="J1116" s="4" t="s">
        <v>131</v>
      </c>
      <c r="K1116" s="4" t="s">
        <v>132</v>
      </c>
      <c r="L1116">
        <v>50</v>
      </c>
      <c r="M1116" s="4" t="s">
        <v>158</v>
      </c>
    </row>
    <row r="1117" spans="1:13" x14ac:dyDescent="0.2">
      <c r="A1117" s="4" t="s">
        <v>1558</v>
      </c>
      <c r="B1117">
        <v>1116</v>
      </c>
      <c r="C1117" s="4" t="s">
        <v>26</v>
      </c>
      <c r="D1117" s="4" t="s">
        <v>41</v>
      </c>
      <c r="E1117" s="4" t="s">
        <v>47</v>
      </c>
      <c r="F1117" s="4" t="s">
        <v>1476</v>
      </c>
      <c r="G1117">
        <v>10</v>
      </c>
      <c r="H1117">
        <v>47</v>
      </c>
      <c r="I1117" s="4" t="s">
        <v>112</v>
      </c>
      <c r="J1117" s="4" t="s">
        <v>133</v>
      </c>
      <c r="K1117" s="4" t="s">
        <v>134</v>
      </c>
      <c r="L1117">
        <v>0</v>
      </c>
      <c r="M1117" s="4" t="s">
        <v>158</v>
      </c>
    </row>
    <row r="1118" spans="1:13" x14ac:dyDescent="0.2">
      <c r="A1118" s="4" t="s">
        <v>1559</v>
      </c>
      <c r="B1118">
        <v>1117</v>
      </c>
      <c r="C1118" s="4" t="s">
        <v>26</v>
      </c>
      <c r="D1118" s="4" t="s">
        <v>41</v>
      </c>
      <c r="E1118" s="4" t="s">
        <v>47</v>
      </c>
      <c r="F1118" s="4" t="s">
        <v>1476</v>
      </c>
      <c r="G1118">
        <v>10</v>
      </c>
      <c r="H1118">
        <v>47</v>
      </c>
      <c r="I1118" s="4" t="s">
        <v>114</v>
      </c>
      <c r="J1118" s="4" t="s">
        <v>122</v>
      </c>
      <c r="K1118" s="4" t="s">
        <v>123</v>
      </c>
      <c r="L1118">
        <v>100</v>
      </c>
      <c r="M1118" s="4" t="s">
        <v>158</v>
      </c>
    </row>
    <row r="1119" spans="1:13" x14ac:dyDescent="0.2">
      <c r="A1119" s="4" t="s">
        <v>1560</v>
      </c>
      <c r="B1119">
        <v>1118</v>
      </c>
      <c r="C1119" s="4" t="s">
        <v>26</v>
      </c>
      <c r="D1119" s="4" t="s">
        <v>41</v>
      </c>
      <c r="E1119" s="4" t="s">
        <v>47</v>
      </c>
      <c r="F1119" s="4" t="s">
        <v>1476</v>
      </c>
      <c r="G1119">
        <v>10</v>
      </c>
      <c r="H1119">
        <v>47</v>
      </c>
      <c r="I1119" s="4" t="s">
        <v>114</v>
      </c>
      <c r="J1119" s="4" t="s">
        <v>125</v>
      </c>
      <c r="K1119" s="4" t="s">
        <v>126</v>
      </c>
      <c r="L1119">
        <v>50</v>
      </c>
      <c r="M1119" s="4" t="s">
        <v>158</v>
      </c>
    </row>
    <row r="1120" spans="1:13" x14ac:dyDescent="0.2">
      <c r="A1120" s="4" t="s">
        <v>1561</v>
      </c>
      <c r="B1120">
        <v>1119</v>
      </c>
      <c r="C1120" s="4" t="s">
        <v>26</v>
      </c>
      <c r="D1120" s="4" t="s">
        <v>41</v>
      </c>
      <c r="E1120" s="4" t="s">
        <v>47</v>
      </c>
      <c r="F1120" s="4" t="s">
        <v>1476</v>
      </c>
      <c r="G1120">
        <v>10</v>
      </c>
      <c r="H1120">
        <v>47</v>
      </c>
      <c r="I1120" s="4" t="s">
        <v>114</v>
      </c>
      <c r="J1120" s="4" t="s">
        <v>127</v>
      </c>
      <c r="K1120" s="4" t="s">
        <v>128</v>
      </c>
      <c r="L1120">
        <v>210</v>
      </c>
      <c r="M1120" s="4" t="s">
        <v>158</v>
      </c>
    </row>
    <row r="1121" spans="1:13" x14ac:dyDescent="0.2">
      <c r="A1121" s="4" t="s">
        <v>1562</v>
      </c>
      <c r="B1121">
        <v>1120</v>
      </c>
      <c r="C1121" s="4" t="s">
        <v>26</v>
      </c>
      <c r="D1121" s="4" t="s">
        <v>41</v>
      </c>
      <c r="E1121" s="4" t="s">
        <v>47</v>
      </c>
      <c r="F1121" s="4" t="s">
        <v>1476</v>
      </c>
      <c r="G1121">
        <v>10</v>
      </c>
      <c r="H1121">
        <v>47</v>
      </c>
      <c r="I1121" s="4" t="s">
        <v>114</v>
      </c>
      <c r="J1121" s="4" t="s">
        <v>129</v>
      </c>
      <c r="K1121" s="4" t="s">
        <v>130</v>
      </c>
      <c r="L1121">
        <v>30</v>
      </c>
      <c r="M1121" s="4" t="s">
        <v>158</v>
      </c>
    </row>
    <row r="1122" spans="1:13" x14ac:dyDescent="0.2">
      <c r="A1122" s="4" t="s">
        <v>1563</v>
      </c>
      <c r="B1122">
        <v>1121</v>
      </c>
      <c r="C1122" s="4" t="s">
        <v>26</v>
      </c>
      <c r="D1122" s="4" t="s">
        <v>41</v>
      </c>
      <c r="E1122" s="4" t="s">
        <v>47</v>
      </c>
      <c r="F1122" s="4" t="s">
        <v>1476</v>
      </c>
      <c r="G1122">
        <v>10</v>
      </c>
      <c r="H1122">
        <v>47</v>
      </c>
      <c r="I1122" s="4" t="s">
        <v>114</v>
      </c>
      <c r="J1122" s="4" t="s">
        <v>131</v>
      </c>
      <c r="K1122" s="4" t="s">
        <v>132</v>
      </c>
      <c r="L1122">
        <v>75</v>
      </c>
      <c r="M1122" s="4" t="s">
        <v>158</v>
      </c>
    </row>
    <row r="1123" spans="1:13" x14ac:dyDescent="0.2">
      <c r="A1123" s="4" t="s">
        <v>1564</v>
      </c>
      <c r="B1123">
        <v>1122</v>
      </c>
      <c r="C1123" s="4" t="s">
        <v>26</v>
      </c>
      <c r="D1123" s="4" t="s">
        <v>41</v>
      </c>
      <c r="E1123" s="4" t="s">
        <v>47</v>
      </c>
      <c r="F1123" s="4" t="s">
        <v>1476</v>
      </c>
      <c r="G1123">
        <v>10</v>
      </c>
      <c r="H1123">
        <v>47</v>
      </c>
      <c r="I1123" s="4" t="s">
        <v>114</v>
      </c>
      <c r="J1123" s="4" t="s">
        <v>133</v>
      </c>
      <c r="K1123" s="4" t="s">
        <v>134</v>
      </c>
      <c r="L1123">
        <v>0</v>
      </c>
      <c r="M1123" s="4" t="s">
        <v>158</v>
      </c>
    </row>
    <row r="1124" spans="1:13" x14ac:dyDescent="0.2">
      <c r="A1124" s="4" t="s">
        <v>1565</v>
      </c>
      <c r="B1124">
        <v>1123</v>
      </c>
      <c r="C1124" s="4" t="s">
        <v>26</v>
      </c>
      <c r="D1124" s="4" t="s">
        <v>41</v>
      </c>
      <c r="E1124" s="4" t="s">
        <v>47</v>
      </c>
      <c r="F1124" s="4" t="s">
        <v>1476</v>
      </c>
      <c r="G1124">
        <v>10</v>
      </c>
      <c r="H1124">
        <v>47</v>
      </c>
      <c r="I1124" s="4" t="s">
        <v>116</v>
      </c>
      <c r="J1124" s="4" t="s">
        <v>122</v>
      </c>
      <c r="K1124" s="4" t="s">
        <v>123</v>
      </c>
      <c r="L1124">
        <v>100</v>
      </c>
      <c r="M1124" s="4" t="s">
        <v>158</v>
      </c>
    </row>
    <row r="1125" spans="1:13" x14ac:dyDescent="0.2">
      <c r="A1125" s="4" t="s">
        <v>1566</v>
      </c>
      <c r="B1125">
        <v>1124</v>
      </c>
      <c r="C1125" s="4" t="s">
        <v>26</v>
      </c>
      <c r="D1125" s="4" t="s">
        <v>41</v>
      </c>
      <c r="E1125" s="4" t="s">
        <v>47</v>
      </c>
      <c r="F1125" s="4" t="s">
        <v>1476</v>
      </c>
      <c r="G1125">
        <v>10</v>
      </c>
      <c r="H1125">
        <v>47</v>
      </c>
      <c r="I1125" s="4" t="s">
        <v>116</v>
      </c>
      <c r="J1125" s="4" t="s">
        <v>125</v>
      </c>
      <c r="K1125" s="4" t="s">
        <v>126</v>
      </c>
      <c r="L1125">
        <v>30</v>
      </c>
      <c r="M1125" s="4" t="s">
        <v>158</v>
      </c>
    </row>
    <row r="1126" spans="1:13" x14ac:dyDescent="0.2">
      <c r="A1126" s="4" t="s">
        <v>1567</v>
      </c>
      <c r="B1126">
        <v>1125</v>
      </c>
      <c r="C1126" s="4" t="s">
        <v>26</v>
      </c>
      <c r="D1126" s="4" t="s">
        <v>41</v>
      </c>
      <c r="E1126" s="4" t="s">
        <v>47</v>
      </c>
      <c r="F1126" s="4" t="s">
        <v>1476</v>
      </c>
      <c r="G1126">
        <v>10</v>
      </c>
      <c r="H1126">
        <v>47</v>
      </c>
      <c r="I1126" s="4" t="s">
        <v>116</v>
      </c>
      <c r="J1126" s="4" t="s">
        <v>127</v>
      </c>
      <c r="K1126" s="4" t="s">
        <v>128</v>
      </c>
      <c r="L1126">
        <v>100</v>
      </c>
      <c r="M1126" s="4" t="s">
        <v>158</v>
      </c>
    </row>
    <row r="1127" spans="1:13" x14ac:dyDescent="0.2">
      <c r="A1127" s="4" t="s">
        <v>1568</v>
      </c>
      <c r="B1127">
        <v>1126</v>
      </c>
      <c r="C1127" s="4" t="s">
        <v>26</v>
      </c>
      <c r="D1127" s="4" t="s">
        <v>41</v>
      </c>
      <c r="E1127" s="4" t="s">
        <v>47</v>
      </c>
      <c r="F1127" s="4" t="s">
        <v>1476</v>
      </c>
      <c r="G1127">
        <v>10</v>
      </c>
      <c r="H1127">
        <v>47</v>
      </c>
      <c r="I1127" s="4" t="s">
        <v>116</v>
      </c>
      <c r="J1127" s="4" t="s">
        <v>129</v>
      </c>
      <c r="K1127" s="4" t="s">
        <v>130</v>
      </c>
      <c r="L1127">
        <v>60</v>
      </c>
      <c r="M1127" s="4" t="s">
        <v>158</v>
      </c>
    </row>
    <row r="1128" spans="1:13" x14ac:dyDescent="0.2">
      <c r="A1128" s="4" t="s">
        <v>1569</v>
      </c>
      <c r="B1128">
        <v>1127</v>
      </c>
      <c r="C1128" s="4" t="s">
        <v>26</v>
      </c>
      <c r="D1128" s="4" t="s">
        <v>41</v>
      </c>
      <c r="E1128" s="4" t="s">
        <v>47</v>
      </c>
      <c r="F1128" s="4" t="s">
        <v>1476</v>
      </c>
      <c r="G1128">
        <v>10</v>
      </c>
      <c r="H1128">
        <v>47</v>
      </c>
      <c r="I1128" s="4" t="s">
        <v>116</v>
      </c>
      <c r="J1128" s="4" t="s">
        <v>131</v>
      </c>
      <c r="K1128" s="4" t="s">
        <v>132</v>
      </c>
      <c r="L1128">
        <v>18</v>
      </c>
      <c r="M1128" s="4" t="s">
        <v>158</v>
      </c>
    </row>
    <row r="1129" spans="1:13" x14ac:dyDescent="0.2">
      <c r="A1129" s="4" t="s">
        <v>1570</v>
      </c>
      <c r="B1129">
        <v>1128</v>
      </c>
      <c r="C1129" s="4" t="s">
        <v>26</v>
      </c>
      <c r="D1129" s="4" t="s">
        <v>41</v>
      </c>
      <c r="E1129" s="4" t="s">
        <v>47</v>
      </c>
      <c r="F1129" s="4" t="s">
        <v>1476</v>
      </c>
      <c r="G1129">
        <v>10</v>
      </c>
      <c r="H1129">
        <v>47</v>
      </c>
      <c r="I1129" s="4" t="s">
        <v>116</v>
      </c>
      <c r="J1129" s="4" t="s">
        <v>133</v>
      </c>
      <c r="K1129" s="4" t="s">
        <v>134</v>
      </c>
      <c r="L1129">
        <v>30</v>
      </c>
      <c r="M1129" s="4" t="s">
        <v>158</v>
      </c>
    </row>
    <row r="1130" spans="1:13" x14ac:dyDescent="0.2">
      <c r="A1130" s="4" t="s">
        <v>1571</v>
      </c>
      <c r="B1130">
        <v>1129</v>
      </c>
      <c r="C1130" s="4" t="s">
        <v>26</v>
      </c>
      <c r="D1130" s="4" t="s">
        <v>41</v>
      </c>
      <c r="E1130" s="4" t="s">
        <v>50</v>
      </c>
      <c r="F1130" s="4" t="s">
        <v>1477</v>
      </c>
      <c r="G1130">
        <v>10</v>
      </c>
      <c r="H1130">
        <v>48</v>
      </c>
      <c r="I1130" s="4" t="s">
        <v>35</v>
      </c>
      <c r="J1130" s="4" t="s">
        <v>122</v>
      </c>
      <c r="K1130" s="4" t="s">
        <v>123</v>
      </c>
      <c r="L1130">
        <v>660</v>
      </c>
      <c r="M1130" s="4" t="s">
        <v>158</v>
      </c>
    </row>
    <row r="1131" spans="1:13" x14ac:dyDescent="0.2">
      <c r="A1131" s="4" t="s">
        <v>1572</v>
      </c>
      <c r="B1131">
        <v>1130</v>
      </c>
      <c r="C1131" s="4" t="s">
        <v>26</v>
      </c>
      <c r="D1131" s="4" t="s">
        <v>41</v>
      </c>
      <c r="E1131" s="4" t="s">
        <v>50</v>
      </c>
      <c r="F1131" s="4" t="s">
        <v>1477</v>
      </c>
      <c r="G1131">
        <v>10</v>
      </c>
      <c r="H1131">
        <v>48</v>
      </c>
      <c r="I1131" s="4" t="s">
        <v>35</v>
      </c>
      <c r="J1131" s="4" t="s">
        <v>125</v>
      </c>
      <c r="K1131" s="4" t="s">
        <v>126</v>
      </c>
      <c r="L1131">
        <v>43</v>
      </c>
      <c r="M1131" s="4" t="s">
        <v>158</v>
      </c>
    </row>
    <row r="1132" spans="1:13" x14ac:dyDescent="0.2">
      <c r="A1132" s="4" t="s">
        <v>1573</v>
      </c>
      <c r="B1132">
        <v>1131</v>
      </c>
      <c r="C1132" s="4" t="s">
        <v>26</v>
      </c>
      <c r="D1132" s="4" t="s">
        <v>41</v>
      </c>
      <c r="E1132" s="4" t="s">
        <v>50</v>
      </c>
      <c r="F1132" s="4" t="s">
        <v>1477</v>
      </c>
      <c r="G1132">
        <v>10</v>
      </c>
      <c r="H1132">
        <v>48</v>
      </c>
      <c r="I1132" s="4" t="s">
        <v>35</v>
      </c>
      <c r="J1132" s="4" t="s">
        <v>127</v>
      </c>
      <c r="K1132" s="4" t="s">
        <v>128</v>
      </c>
      <c r="L1132">
        <v>390</v>
      </c>
      <c r="M1132" s="4" t="s">
        <v>158</v>
      </c>
    </row>
    <row r="1133" spans="1:13" x14ac:dyDescent="0.2">
      <c r="A1133" s="4" t="s">
        <v>1574</v>
      </c>
      <c r="B1133">
        <v>1132</v>
      </c>
      <c r="C1133" s="4" t="s">
        <v>26</v>
      </c>
      <c r="D1133" s="4" t="s">
        <v>41</v>
      </c>
      <c r="E1133" s="4" t="s">
        <v>50</v>
      </c>
      <c r="F1133" s="4" t="s">
        <v>1477</v>
      </c>
      <c r="G1133">
        <v>10</v>
      </c>
      <c r="H1133">
        <v>48</v>
      </c>
      <c r="I1133" s="4" t="s">
        <v>35</v>
      </c>
      <c r="J1133" s="4" t="s">
        <v>129</v>
      </c>
      <c r="K1133" s="4" t="s">
        <v>130</v>
      </c>
      <c r="L1133">
        <v>162</v>
      </c>
      <c r="M1133" s="4" t="s">
        <v>158</v>
      </c>
    </row>
    <row r="1134" spans="1:13" x14ac:dyDescent="0.2">
      <c r="A1134" s="4" t="s">
        <v>1575</v>
      </c>
      <c r="B1134">
        <v>1133</v>
      </c>
      <c r="C1134" s="4" t="s">
        <v>26</v>
      </c>
      <c r="D1134" s="4" t="s">
        <v>41</v>
      </c>
      <c r="E1134" s="4" t="s">
        <v>50</v>
      </c>
      <c r="F1134" s="4" t="s">
        <v>1477</v>
      </c>
      <c r="G1134">
        <v>10</v>
      </c>
      <c r="H1134">
        <v>48</v>
      </c>
      <c r="I1134" s="4" t="s">
        <v>35</v>
      </c>
      <c r="J1134" s="4" t="s">
        <v>131</v>
      </c>
      <c r="K1134" s="4" t="s">
        <v>132</v>
      </c>
      <c r="L1134">
        <v>243</v>
      </c>
      <c r="M1134" s="4" t="s">
        <v>158</v>
      </c>
    </row>
    <row r="1135" spans="1:13" x14ac:dyDescent="0.2">
      <c r="A1135" s="4" t="s">
        <v>1576</v>
      </c>
      <c r="B1135">
        <v>1134</v>
      </c>
      <c r="C1135" s="4" t="s">
        <v>26</v>
      </c>
      <c r="D1135" s="4" t="s">
        <v>41</v>
      </c>
      <c r="E1135" s="4" t="s">
        <v>50</v>
      </c>
      <c r="F1135" s="4" t="s">
        <v>1477</v>
      </c>
      <c r="G1135">
        <v>10</v>
      </c>
      <c r="H1135">
        <v>48</v>
      </c>
      <c r="I1135" s="4" t="s">
        <v>35</v>
      </c>
      <c r="J1135" s="4" t="s">
        <v>133</v>
      </c>
      <c r="K1135" s="4" t="s">
        <v>134</v>
      </c>
      <c r="L1135">
        <v>110</v>
      </c>
      <c r="M1135" s="4" t="s">
        <v>158</v>
      </c>
    </row>
    <row r="1136" spans="1:13" x14ac:dyDescent="0.2">
      <c r="A1136" s="4" t="s">
        <v>1577</v>
      </c>
      <c r="B1136">
        <v>1135</v>
      </c>
      <c r="C1136" s="4" t="s">
        <v>26</v>
      </c>
      <c r="D1136" s="4" t="s">
        <v>41</v>
      </c>
      <c r="E1136" s="4" t="s">
        <v>50</v>
      </c>
      <c r="F1136" s="4" t="s">
        <v>1477</v>
      </c>
      <c r="G1136">
        <v>10</v>
      </c>
      <c r="H1136">
        <v>48</v>
      </c>
      <c r="I1136" s="4" t="s">
        <v>112</v>
      </c>
      <c r="J1136" s="4" t="s">
        <v>122</v>
      </c>
      <c r="K1136" s="4" t="s">
        <v>123</v>
      </c>
      <c r="L1136">
        <v>191</v>
      </c>
      <c r="M1136" s="4" t="s">
        <v>158</v>
      </c>
    </row>
    <row r="1137" spans="1:13" x14ac:dyDescent="0.2">
      <c r="A1137" s="4" t="s">
        <v>1578</v>
      </c>
      <c r="B1137">
        <v>1136</v>
      </c>
      <c r="C1137" s="4" t="s">
        <v>26</v>
      </c>
      <c r="D1137" s="4" t="s">
        <v>41</v>
      </c>
      <c r="E1137" s="4" t="s">
        <v>50</v>
      </c>
      <c r="F1137" s="4" t="s">
        <v>1477</v>
      </c>
      <c r="G1137">
        <v>10</v>
      </c>
      <c r="H1137">
        <v>48</v>
      </c>
      <c r="I1137" s="4" t="s">
        <v>112</v>
      </c>
      <c r="J1137" s="4" t="s">
        <v>125</v>
      </c>
      <c r="K1137" s="4" t="s">
        <v>126</v>
      </c>
      <c r="L1137">
        <v>30</v>
      </c>
      <c r="M1137" s="4" t="s">
        <v>158</v>
      </c>
    </row>
    <row r="1138" spans="1:13" x14ac:dyDescent="0.2">
      <c r="A1138" s="4" t="s">
        <v>1579</v>
      </c>
      <c r="B1138">
        <v>1137</v>
      </c>
      <c r="C1138" s="4" t="s">
        <v>26</v>
      </c>
      <c r="D1138" s="4" t="s">
        <v>41</v>
      </c>
      <c r="E1138" s="4" t="s">
        <v>50</v>
      </c>
      <c r="F1138" s="4" t="s">
        <v>1477</v>
      </c>
      <c r="G1138">
        <v>10</v>
      </c>
      <c r="H1138">
        <v>48</v>
      </c>
      <c r="I1138" s="4" t="s">
        <v>112</v>
      </c>
      <c r="J1138" s="4" t="s">
        <v>127</v>
      </c>
      <c r="K1138" s="4" t="s">
        <v>128</v>
      </c>
      <c r="L1138">
        <v>149</v>
      </c>
      <c r="M1138" s="4" t="s">
        <v>158</v>
      </c>
    </row>
    <row r="1139" spans="1:13" x14ac:dyDescent="0.2">
      <c r="A1139" s="4" t="s">
        <v>1580</v>
      </c>
      <c r="B1139">
        <v>1138</v>
      </c>
      <c r="C1139" s="4" t="s">
        <v>26</v>
      </c>
      <c r="D1139" s="4" t="s">
        <v>41</v>
      </c>
      <c r="E1139" s="4" t="s">
        <v>50</v>
      </c>
      <c r="F1139" s="4" t="s">
        <v>1477</v>
      </c>
      <c r="G1139">
        <v>10</v>
      </c>
      <c r="H1139">
        <v>48</v>
      </c>
      <c r="I1139" s="4" t="s">
        <v>112</v>
      </c>
      <c r="J1139" s="4" t="s">
        <v>129</v>
      </c>
      <c r="K1139" s="4" t="s">
        <v>130</v>
      </c>
      <c r="L1139">
        <v>30</v>
      </c>
      <c r="M1139" s="4" t="s">
        <v>158</v>
      </c>
    </row>
    <row r="1140" spans="1:13" x14ac:dyDescent="0.2">
      <c r="A1140" s="4" t="s">
        <v>1581</v>
      </c>
      <c r="B1140">
        <v>1139</v>
      </c>
      <c r="C1140" s="4" t="s">
        <v>26</v>
      </c>
      <c r="D1140" s="4" t="s">
        <v>41</v>
      </c>
      <c r="E1140" s="4" t="s">
        <v>50</v>
      </c>
      <c r="F1140" s="4" t="s">
        <v>1477</v>
      </c>
      <c r="G1140">
        <v>10</v>
      </c>
      <c r="H1140">
        <v>48</v>
      </c>
      <c r="I1140" s="4" t="s">
        <v>112</v>
      </c>
      <c r="J1140" s="4" t="s">
        <v>131</v>
      </c>
      <c r="K1140" s="4" t="s">
        <v>132</v>
      </c>
      <c r="L1140">
        <v>50</v>
      </c>
      <c r="M1140" s="4" t="s">
        <v>158</v>
      </c>
    </row>
    <row r="1141" spans="1:13" x14ac:dyDescent="0.2">
      <c r="A1141" s="4" t="s">
        <v>1582</v>
      </c>
      <c r="B1141">
        <v>1140</v>
      </c>
      <c r="C1141" s="4" t="s">
        <v>26</v>
      </c>
      <c r="D1141" s="4" t="s">
        <v>41</v>
      </c>
      <c r="E1141" s="4" t="s">
        <v>50</v>
      </c>
      <c r="F1141" s="4" t="s">
        <v>1477</v>
      </c>
      <c r="G1141">
        <v>10</v>
      </c>
      <c r="H1141">
        <v>48</v>
      </c>
      <c r="I1141" s="4" t="s">
        <v>112</v>
      </c>
      <c r="J1141" s="4" t="s">
        <v>133</v>
      </c>
      <c r="K1141" s="4" t="s">
        <v>134</v>
      </c>
      <c r="L1141">
        <v>50</v>
      </c>
      <c r="M1141" s="4" t="s">
        <v>158</v>
      </c>
    </row>
    <row r="1142" spans="1:13" x14ac:dyDescent="0.2">
      <c r="A1142" s="4" t="s">
        <v>1583</v>
      </c>
      <c r="B1142">
        <v>1141</v>
      </c>
      <c r="C1142" s="4" t="s">
        <v>26</v>
      </c>
      <c r="D1142" s="4" t="s">
        <v>41</v>
      </c>
      <c r="E1142" s="4" t="s">
        <v>50</v>
      </c>
      <c r="F1142" s="4" t="s">
        <v>1477</v>
      </c>
      <c r="G1142">
        <v>10</v>
      </c>
      <c r="H1142">
        <v>48</v>
      </c>
      <c r="I1142" s="4" t="s">
        <v>114</v>
      </c>
      <c r="J1142" s="4" t="s">
        <v>122</v>
      </c>
      <c r="K1142" s="4" t="s">
        <v>123</v>
      </c>
      <c r="L1142">
        <v>100</v>
      </c>
      <c r="M1142" s="4" t="s">
        <v>158</v>
      </c>
    </row>
    <row r="1143" spans="1:13" x14ac:dyDescent="0.2">
      <c r="A1143" s="4" t="s">
        <v>1584</v>
      </c>
      <c r="B1143">
        <v>1142</v>
      </c>
      <c r="C1143" s="4" t="s">
        <v>26</v>
      </c>
      <c r="D1143" s="4" t="s">
        <v>41</v>
      </c>
      <c r="E1143" s="4" t="s">
        <v>50</v>
      </c>
      <c r="F1143" s="4" t="s">
        <v>1477</v>
      </c>
      <c r="G1143">
        <v>10</v>
      </c>
      <c r="H1143">
        <v>48</v>
      </c>
      <c r="I1143" s="4" t="s">
        <v>114</v>
      </c>
      <c r="J1143" s="4" t="s">
        <v>125</v>
      </c>
      <c r="K1143" s="4" t="s">
        <v>126</v>
      </c>
      <c r="L1143">
        <v>50</v>
      </c>
      <c r="M1143" s="4" t="s">
        <v>158</v>
      </c>
    </row>
    <row r="1144" spans="1:13" x14ac:dyDescent="0.2">
      <c r="A1144" s="4" t="s">
        <v>1585</v>
      </c>
      <c r="B1144">
        <v>1143</v>
      </c>
      <c r="C1144" s="4" t="s">
        <v>26</v>
      </c>
      <c r="D1144" s="4" t="s">
        <v>41</v>
      </c>
      <c r="E1144" s="4" t="s">
        <v>50</v>
      </c>
      <c r="F1144" s="4" t="s">
        <v>1477</v>
      </c>
      <c r="G1144">
        <v>10</v>
      </c>
      <c r="H1144">
        <v>48</v>
      </c>
      <c r="I1144" s="4" t="s">
        <v>114</v>
      </c>
      <c r="J1144" s="4" t="s">
        <v>127</v>
      </c>
      <c r="K1144" s="4" t="s">
        <v>128</v>
      </c>
      <c r="L1144">
        <v>210</v>
      </c>
      <c r="M1144" s="4" t="s">
        <v>158</v>
      </c>
    </row>
    <row r="1145" spans="1:13" x14ac:dyDescent="0.2">
      <c r="A1145" s="4" t="s">
        <v>1586</v>
      </c>
      <c r="B1145">
        <v>1144</v>
      </c>
      <c r="C1145" s="4" t="s">
        <v>26</v>
      </c>
      <c r="D1145" s="4" t="s">
        <v>41</v>
      </c>
      <c r="E1145" s="4" t="s">
        <v>50</v>
      </c>
      <c r="F1145" s="4" t="s">
        <v>1477</v>
      </c>
      <c r="G1145">
        <v>10</v>
      </c>
      <c r="H1145">
        <v>48</v>
      </c>
      <c r="I1145" s="4" t="s">
        <v>114</v>
      </c>
      <c r="J1145" s="4" t="s">
        <v>129</v>
      </c>
      <c r="K1145" s="4" t="s">
        <v>130</v>
      </c>
      <c r="L1145">
        <v>30</v>
      </c>
      <c r="M1145" s="4" t="s">
        <v>158</v>
      </c>
    </row>
    <row r="1146" spans="1:13" x14ac:dyDescent="0.2">
      <c r="A1146" s="4" t="s">
        <v>1587</v>
      </c>
      <c r="B1146">
        <v>1145</v>
      </c>
      <c r="C1146" s="4" t="s">
        <v>26</v>
      </c>
      <c r="D1146" s="4" t="s">
        <v>41</v>
      </c>
      <c r="E1146" s="4" t="s">
        <v>50</v>
      </c>
      <c r="F1146" s="4" t="s">
        <v>1477</v>
      </c>
      <c r="G1146">
        <v>10</v>
      </c>
      <c r="H1146">
        <v>48</v>
      </c>
      <c r="I1146" s="4" t="s">
        <v>114</v>
      </c>
      <c r="J1146" s="4" t="s">
        <v>131</v>
      </c>
      <c r="K1146" s="4" t="s">
        <v>132</v>
      </c>
      <c r="L1146">
        <v>44</v>
      </c>
      <c r="M1146" s="4" t="s">
        <v>158</v>
      </c>
    </row>
    <row r="1147" spans="1:13" x14ac:dyDescent="0.2">
      <c r="A1147" s="4" t="s">
        <v>1588</v>
      </c>
      <c r="B1147">
        <v>1146</v>
      </c>
      <c r="C1147" s="4" t="s">
        <v>26</v>
      </c>
      <c r="D1147" s="4" t="s">
        <v>41</v>
      </c>
      <c r="E1147" s="4" t="s">
        <v>50</v>
      </c>
      <c r="F1147" s="4" t="s">
        <v>1477</v>
      </c>
      <c r="G1147">
        <v>10</v>
      </c>
      <c r="H1147">
        <v>48</v>
      </c>
      <c r="I1147" s="4" t="s">
        <v>114</v>
      </c>
      <c r="J1147" s="4" t="s">
        <v>133</v>
      </c>
      <c r="K1147" s="4" t="s">
        <v>134</v>
      </c>
      <c r="L1147">
        <v>30</v>
      </c>
      <c r="M1147" s="4" t="s">
        <v>158</v>
      </c>
    </row>
    <row r="1148" spans="1:13" x14ac:dyDescent="0.2">
      <c r="A1148" s="4" t="s">
        <v>1589</v>
      </c>
      <c r="B1148">
        <v>1147</v>
      </c>
      <c r="C1148" s="4" t="s">
        <v>26</v>
      </c>
      <c r="D1148" s="4" t="s">
        <v>41</v>
      </c>
      <c r="E1148" s="4" t="s">
        <v>50</v>
      </c>
      <c r="F1148" s="4" t="s">
        <v>1477</v>
      </c>
      <c r="G1148">
        <v>10</v>
      </c>
      <c r="H1148">
        <v>48</v>
      </c>
      <c r="I1148" s="4" t="s">
        <v>116</v>
      </c>
      <c r="J1148" s="4" t="s">
        <v>122</v>
      </c>
      <c r="K1148" s="4" t="s">
        <v>123</v>
      </c>
      <c r="L1148">
        <v>100</v>
      </c>
      <c r="M1148" s="4" t="s">
        <v>158</v>
      </c>
    </row>
    <row r="1149" spans="1:13" x14ac:dyDescent="0.2">
      <c r="A1149" s="4" t="s">
        <v>1590</v>
      </c>
      <c r="B1149">
        <v>1148</v>
      </c>
      <c r="C1149" s="4" t="s">
        <v>26</v>
      </c>
      <c r="D1149" s="4" t="s">
        <v>41</v>
      </c>
      <c r="E1149" s="4" t="s">
        <v>50</v>
      </c>
      <c r="F1149" s="4" t="s">
        <v>1477</v>
      </c>
      <c r="G1149">
        <v>10</v>
      </c>
      <c r="H1149">
        <v>48</v>
      </c>
      <c r="I1149" s="4" t="s">
        <v>116</v>
      </c>
      <c r="J1149" s="4" t="s">
        <v>125</v>
      </c>
      <c r="K1149" s="4" t="s">
        <v>126</v>
      </c>
      <c r="L1149">
        <v>30</v>
      </c>
      <c r="M1149" s="4" t="s">
        <v>158</v>
      </c>
    </row>
    <row r="1150" spans="1:13" x14ac:dyDescent="0.2">
      <c r="A1150" s="4" t="s">
        <v>1591</v>
      </c>
      <c r="B1150">
        <v>1149</v>
      </c>
      <c r="C1150" s="4" t="s">
        <v>26</v>
      </c>
      <c r="D1150" s="4" t="s">
        <v>41</v>
      </c>
      <c r="E1150" s="4" t="s">
        <v>50</v>
      </c>
      <c r="F1150" s="4" t="s">
        <v>1477</v>
      </c>
      <c r="G1150">
        <v>10</v>
      </c>
      <c r="H1150">
        <v>48</v>
      </c>
      <c r="I1150" s="4" t="s">
        <v>116</v>
      </c>
      <c r="J1150" s="4" t="s">
        <v>127</v>
      </c>
      <c r="K1150" s="4" t="s">
        <v>128</v>
      </c>
      <c r="L1150">
        <v>100</v>
      </c>
      <c r="M1150" s="4" t="s">
        <v>158</v>
      </c>
    </row>
    <row r="1151" spans="1:13" x14ac:dyDescent="0.2">
      <c r="A1151" s="4" t="s">
        <v>1592</v>
      </c>
      <c r="B1151">
        <v>1150</v>
      </c>
      <c r="C1151" s="4" t="s">
        <v>26</v>
      </c>
      <c r="D1151" s="4" t="s">
        <v>41</v>
      </c>
      <c r="E1151" s="4" t="s">
        <v>50</v>
      </c>
      <c r="F1151" s="4" t="s">
        <v>1477</v>
      </c>
      <c r="G1151">
        <v>10</v>
      </c>
      <c r="H1151">
        <v>48</v>
      </c>
      <c r="I1151" s="4" t="s">
        <v>116</v>
      </c>
      <c r="J1151" s="4" t="s">
        <v>129</v>
      </c>
      <c r="K1151" s="4" t="s">
        <v>130</v>
      </c>
      <c r="L1151">
        <v>43</v>
      </c>
      <c r="M1151" s="4" t="s">
        <v>158</v>
      </c>
    </row>
    <row r="1152" spans="1:13" x14ac:dyDescent="0.2">
      <c r="A1152" s="4" t="s">
        <v>1593</v>
      </c>
      <c r="B1152">
        <v>1151</v>
      </c>
      <c r="C1152" s="4" t="s">
        <v>26</v>
      </c>
      <c r="D1152" s="4" t="s">
        <v>41</v>
      </c>
      <c r="E1152" s="4" t="s">
        <v>50</v>
      </c>
      <c r="F1152" s="4" t="s">
        <v>1477</v>
      </c>
      <c r="G1152">
        <v>10</v>
      </c>
      <c r="H1152">
        <v>48</v>
      </c>
      <c r="I1152" s="4" t="s">
        <v>116</v>
      </c>
      <c r="J1152" s="4" t="s">
        <v>131</v>
      </c>
      <c r="K1152" s="4" t="s">
        <v>132</v>
      </c>
      <c r="L1152">
        <v>50</v>
      </c>
      <c r="M1152" s="4" t="s">
        <v>158</v>
      </c>
    </row>
    <row r="1153" spans="1:13" x14ac:dyDescent="0.2">
      <c r="A1153" s="4" t="s">
        <v>1594</v>
      </c>
      <c r="B1153">
        <v>1152</v>
      </c>
      <c r="C1153" s="4" t="s">
        <v>26</v>
      </c>
      <c r="D1153" s="4" t="s">
        <v>41</v>
      </c>
      <c r="E1153" s="4" t="s">
        <v>50</v>
      </c>
      <c r="F1153" s="4" t="s">
        <v>1477</v>
      </c>
      <c r="G1153">
        <v>10</v>
      </c>
      <c r="H1153">
        <v>48</v>
      </c>
      <c r="I1153" s="4" t="s">
        <v>116</v>
      </c>
      <c r="J1153" s="4" t="s">
        <v>133</v>
      </c>
      <c r="K1153" s="4" t="s">
        <v>134</v>
      </c>
      <c r="L1153">
        <v>30</v>
      </c>
      <c r="M1153" s="4" t="s">
        <v>158</v>
      </c>
    </row>
    <row r="1154" spans="1:13" x14ac:dyDescent="0.2">
      <c r="A1154" s="4" t="s">
        <v>1595</v>
      </c>
      <c r="B1154">
        <v>1153</v>
      </c>
      <c r="C1154" s="4" t="s">
        <v>26</v>
      </c>
      <c r="D1154" s="4" t="s">
        <v>41</v>
      </c>
      <c r="E1154" s="4" t="s">
        <v>53</v>
      </c>
      <c r="F1154" s="4" t="s">
        <v>1596</v>
      </c>
      <c r="G1154">
        <v>10</v>
      </c>
      <c r="H1154">
        <v>49</v>
      </c>
      <c r="I1154" s="4" t="s">
        <v>35</v>
      </c>
      <c r="J1154" s="4" t="s">
        <v>122</v>
      </c>
      <c r="K1154" s="4" t="s">
        <v>123</v>
      </c>
      <c r="L1154">
        <v>581</v>
      </c>
      <c r="M1154" s="4" t="s">
        <v>158</v>
      </c>
    </row>
    <row r="1155" spans="1:13" x14ac:dyDescent="0.2">
      <c r="A1155" s="4" t="s">
        <v>1597</v>
      </c>
      <c r="B1155">
        <v>1154</v>
      </c>
      <c r="C1155" s="4" t="s">
        <v>26</v>
      </c>
      <c r="D1155" s="4" t="s">
        <v>41</v>
      </c>
      <c r="E1155" s="4" t="s">
        <v>53</v>
      </c>
      <c r="F1155" s="4" t="s">
        <v>1596</v>
      </c>
      <c r="G1155">
        <v>10</v>
      </c>
      <c r="H1155">
        <v>49</v>
      </c>
      <c r="I1155" s="4" t="s">
        <v>35</v>
      </c>
      <c r="J1155" s="4" t="s">
        <v>125</v>
      </c>
      <c r="K1155" s="4" t="s">
        <v>126</v>
      </c>
      <c r="L1155">
        <v>43</v>
      </c>
      <c r="M1155" s="4" t="s">
        <v>158</v>
      </c>
    </row>
    <row r="1156" spans="1:13" x14ac:dyDescent="0.2">
      <c r="A1156" s="4" t="s">
        <v>1598</v>
      </c>
      <c r="B1156">
        <v>1155</v>
      </c>
      <c r="C1156" s="4" t="s">
        <v>26</v>
      </c>
      <c r="D1156" s="4" t="s">
        <v>41</v>
      </c>
      <c r="E1156" s="4" t="s">
        <v>53</v>
      </c>
      <c r="F1156" s="4" t="s">
        <v>1596</v>
      </c>
      <c r="G1156">
        <v>10</v>
      </c>
      <c r="H1156">
        <v>49</v>
      </c>
      <c r="I1156" s="4" t="s">
        <v>35</v>
      </c>
      <c r="J1156" s="4" t="s">
        <v>127</v>
      </c>
      <c r="K1156" s="4" t="s">
        <v>128</v>
      </c>
      <c r="L1156">
        <v>389</v>
      </c>
      <c r="M1156" s="4" t="s">
        <v>158</v>
      </c>
    </row>
    <row r="1157" spans="1:13" x14ac:dyDescent="0.2">
      <c r="A1157" s="4" t="s">
        <v>1599</v>
      </c>
      <c r="B1157">
        <v>1156</v>
      </c>
      <c r="C1157" s="4" t="s">
        <v>26</v>
      </c>
      <c r="D1157" s="4" t="s">
        <v>41</v>
      </c>
      <c r="E1157" s="4" t="s">
        <v>53</v>
      </c>
      <c r="F1157" s="4" t="s">
        <v>1596</v>
      </c>
      <c r="G1157">
        <v>10</v>
      </c>
      <c r="H1157">
        <v>49</v>
      </c>
      <c r="I1157" s="4" t="s">
        <v>35</v>
      </c>
      <c r="J1157" s="4" t="s">
        <v>129</v>
      </c>
      <c r="K1157" s="4" t="s">
        <v>130</v>
      </c>
      <c r="L1157">
        <v>145</v>
      </c>
      <c r="M1157" s="4" t="s">
        <v>158</v>
      </c>
    </row>
    <row r="1158" spans="1:13" x14ac:dyDescent="0.2">
      <c r="A1158" s="4" t="s">
        <v>1600</v>
      </c>
      <c r="B1158">
        <v>1157</v>
      </c>
      <c r="C1158" s="4" t="s">
        <v>26</v>
      </c>
      <c r="D1158" s="4" t="s">
        <v>41</v>
      </c>
      <c r="E1158" s="4" t="s">
        <v>53</v>
      </c>
      <c r="F1158" s="4" t="s">
        <v>1596</v>
      </c>
      <c r="G1158">
        <v>10</v>
      </c>
      <c r="H1158">
        <v>49</v>
      </c>
      <c r="I1158" s="4" t="s">
        <v>35</v>
      </c>
      <c r="J1158" s="4" t="s">
        <v>131</v>
      </c>
      <c r="K1158" s="4" t="s">
        <v>132</v>
      </c>
      <c r="L1158">
        <v>212</v>
      </c>
      <c r="M1158" s="4" t="s">
        <v>158</v>
      </c>
    </row>
    <row r="1159" spans="1:13" x14ac:dyDescent="0.2">
      <c r="A1159" s="4" t="s">
        <v>1601</v>
      </c>
      <c r="B1159">
        <v>1158</v>
      </c>
      <c r="C1159" s="4" t="s">
        <v>26</v>
      </c>
      <c r="D1159" s="4" t="s">
        <v>41</v>
      </c>
      <c r="E1159" s="4" t="s">
        <v>53</v>
      </c>
      <c r="F1159" s="4" t="s">
        <v>1596</v>
      </c>
      <c r="G1159">
        <v>10</v>
      </c>
      <c r="H1159">
        <v>49</v>
      </c>
      <c r="I1159" s="4" t="s">
        <v>35</v>
      </c>
      <c r="J1159" s="4" t="s">
        <v>133</v>
      </c>
      <c r="K1159" s="4" t="s">
        <v>134</v>
      </c>
      <c r="L1159">
        <v>110</v>
      </c>
      <c r="M1159" s="4" t="s">
        <v>158</v>
      </c>
    </row>
    <row r="1160" spans="1:13" x14ac:dyDescent="0.2">
      <c r="A1160" s="4" t="s">
        <v>1602</v>
      </c>
      <c r="B1160">
        <v>1159</v>
      </c>
      <c r="C1160" s="4" t="s">
        <v>26</v>
      </c>
      <c r="D1160" s="4" t="s">
        <v>41</v>
      </c>
      <c r="E1160" s="4" t="s">
        <v>53</v>
      </c>
      <c r="F1160" s="4" t="s">
        <v>1596</v>
      </c>
      <c r="G1160">
        <v>10</v>
      </c>
      <c r="H1160">
        <v>49</v>
      </c>
      <c r="I1160" s="4" t="s">
        <v>112</v>
      </c>
      <c r="J1160" s="4" t="s">
        <v>122</v>
      </c>
      <c r="K1160" s="4" t="s">
        <v>123</v>
      </c>
      <c r="L1160">
        <v>147</v>
      </c>
      <c r="M1160" s="4" t="s">
        <v>158</v>
      </c>
    </row>
    <row r="1161" spans="1:13" x14ac:dyDescent="0.2">
      <c r="A1161" s="4" t="s">
        <v>1603</v>
      </c>
      <c r="B1161">
        <v>1160</v>
      </c>
      <c r="C1161" s="4" t="s">
        <v>26</v>
      </c>
      <c r="D1161" s="4" t="s">
        <v>41</v>
      </c>
      <c r="E1161" s="4" t="s">
        <v>53</v>
      </c>
      <c r="F1161" s="4" t="s">
        <v>1596</v>
      </c>
      <c r="G1161">
        <v>10</v>
      </c>
      <c r="H1161">
        <v>49</v>
      </c>
      <c r="I1161" s="4" t="s">
        <v>112</v>
      </c>
      <c r="J1161" s="4" t="s">
        <v>125</v>
      </c>
      <c r="K1161" s="4" t="s">
        <v>126</v>
      </c>
      <c r="L1161">
        <v>9</v>
      </c>
      <c r="M1161" s="4" t="s">
        <v>158</v>
      </c>
    </row>
    <row r="1162" spans="1:13" x14ac:dyDescent="0.2">
      <c r="A1162" s="4" t="s">
        <v>1604</v>
      </c>
      <c r="B1162">
        <v>1161</v>
      </c>
      <c r="C1162" s="4" t="s">
        <v>26</v>
      </c>
      <c r="D1162" s="4" t="s">
        <v>41</v>
      </c>
      <c r="E1162" s="4" t="s">
        <v>53</v>
      </c>
      <c r="F1162" s="4" t="s">
        <v>1596</v>
      </c>
      <c r="G1162">
        <v>10</v>
      </c>
      <c r="H1162">
        <v>49</v>
      </c>
      <c r="I1162" s="4" t="s">
        <v>112</v>
      </c>
      <c r="J1162" s="4" t="s">
        <v>127</v>
      </c>
      <c r="K1162" s="4" t="s">
        <v>128</v>
      </c>
      <c r="L1162">
        <v>102</v>
      </c>
      <c r="M1162" s="4" t="s">
        <v>158</v>
      </c>
    </row>
    <row r="1163" spans="1:13" x14ac:dyDescent="0.2">
      <c r="A1163" s="4" t="s">
        <v>1605</v>
      </c>
      <c r="B1163">
        <v>1162</v>
      </c>
      <c r="C1163" s="4" t="s">
        <v>26</v>
      </c>
      <c r="D1163" s="4" t="s">
        <v>41</v>
      </c>
      <c r="E1163" s="4" t="s">
        <v>53</v>
      </c>
      <c r="F1163" s="4" t="s">
        <v>1596</v>
      </c>
      <c r="G1163">
        <v>10</v>
      </c>
      <c r="H1163">
        <v>49</v>
      </c>
      <c r="I1163" s="4" t="s">
        <v>112</v>
      </c>
      <c r="J1163" s="4" t="s">
        <v>129</v>
      </c>
      <c r="K1163" s="4" t="s">
        <v>130</v>
      </c>
      <c r="L1163">
        <v>30</v>
      </c>
      <c r="M1163" s="4" t="s">
        <v>158</v>
      </c>
    </row>
    <row r="1164" spans="1:13" x14ac:dyDescent="0.2">
      <c r="A1164" s="4" t="s">
        <v>1606</v>
      </c>
      <c r="B1164">
        <v>1163</v>
      </c>
      <c r="C1164" s="4" t="s">
        <v>26</v>
      </c>
      <c r="D1164" s="4" t="s">
        <v>41</v>
      </c>
      <c r="E1164" s="4" t="s">
        <v>53</v>
      </c>
      <c r="F1164" s="4" t="s">
        <v>1596</v>
      </c>
      <c r="G1164">
        <v>10</v>
      </c>
      <c r="H1164">
        <v>49</v>
      </c>
      <c r="I1164" s="4" t="s">
        <v>112</v>
      </c>
      <c r="J1164" s="4" t="s">
        <v>131</v>
      </c>
      <c r="K1164" s="4" t="s">
        <v>132</v>
      </c>
      <c r="L1164">
        <v>50</v>
      </c>
      <c r="M1164" s="4" t="s">
        <v>158</v>
      </c>
    </row>
    <row r="1165" spans="1:13" x14ac:dyDescent="0.2">
      <c r="A1165" s="4" t="s">
        <v>1607</v>
      </c>
      <c r="B1165">
        <v>1164</v>
      </c>
      <c r="C1165" s="4" t="s">
        <v>26</v>
      </c>
      <c r="D1165" s="4" t="s">
        <v>41</v>
      </c>
      <c r="E1165" s="4" t="s">
        <v>53</v>
      </c>
      <c r="F1165" s="4" t="s">
        <v>1596</v>
      </c>
      <c r="G1165">
        <v>10</v>
      </c>
      <c r="H1165">
        <v>49</v>
      </c>
      <c r="I1165" s="4" t="s">
        <v>112</v>
      </c>
      <c r="J1165" s="4" t="s">
        <v>133</v>
      </c>
      <c r="K1165" s="4" t="s">
        <v>134</v>
      </c>
      <c r="L1165">
        <v>50</v>
      </c>
      <c r="M1165" s="4" t="s">
        <v>158</v>
      </c>
    </row>
    <row r="1166" spans="1:13" x14ac:dyDescent="0.2">
      <c r="A1166" s="4" t="s">
        <v>1608</v>
      </c>
      <c r="B1166">
        <v>1165</v>
      </c>
      <c r="C1166" s="4" t="s">
        <v>26</v>
      </c>
      <c r="D1166" s="4" t="s">
        <v>41</v>
      </c>
      <c r="E1166" s="4" t="s">
        <v>53</v>
      </c>
      <c r="F1166" s="4" t="s">
        <v>1596</v>
      </c>
      <c r="G1166">
        <v>10</v>
      </c>
      <c r="H1166">
        <v>49</v>
      </c>
      <c r="I1166" s="4" t="s">
        <v>114</v>
      </c>
      <c r="J1166" s="4" t="s">
        <v>122</v>
      </c>
      <c r="K1166" s="4" t="s">
        <v>123</v>
      </c>
      <c r="L1166">
        <v>100</v>
      </c>
      <c r="M1166" s="4" t="s">
        <v>158</v>
      </c>
    </row>
    <row r="1167" spans="1:13" x14ac:dyDescent="0.2">
      <c r="A1167" s="4" t="s">
        <v>1609</v>
      </c>
      <c r="B1167">
        <v>1166</v>
      </c>
      <c r="C1167" s="4" t="s">
        <v>26</v>
      </c>
      <c r="D1167" s="4" t="s">
        <v>41</v>
      </c>
      <c r="E1167" s="4" t="s">
        <v>53</v>
      </c>
      <c r="F1167" s="4" t="s">
        <v>1596</v>
      </c>
      <c r="G1167">
        <v>10</v>
      </c>
      <c r="H1167">
        <v>49</v>
      </c>
      <c r="I1167" s="4" t="s">
        <v>114</v>
      </c>
      <c r="J1167" s="4" t="s">
        <v>125</v>
      </c>
      <c r="K1167" s="4" t="s">
        <v>126</v>
      </c>
      <c r="L1167">
        <v>21</v>
      </c>
      <c r="M1167" s="4" t="s">
        <v>158</v>
      </c>
    </row>
    <row r="1168" spans="1:13" x14ac:dyDescent="0.2">
      <c r="A1168" s="4" t="s">
        <v>1610</v>
      </c>
      <c r="B1168">
        <v>1167</v>
      </c>
      <c r="C1168" s="4" t="s">
        <v>26</v>
      </c>
      <c r="D1168" s="4" t="s">
        <v>41</v>
      </c>
      <c r="E1168" s="4" t="s">
        <v>53</v>
      </c>
      <c r="F1168" s="4" t="s">
        <v>1596</v>
      </c>
      <c r="G1168">
        <v>10</v>
      </c>
      <c r="H1168">
        <v>49</v>
      </c>
      <c r="I1168" s="4" t="s">
        <v>114</v>
      </c>
      <c r="J1168" s="4" t="s">
        <v>127</v>
      </c>
      <c r="K1168" s="4" t="s">
        <v>128</v>
      </c>
      <c r="L1168">
        <v>121</v>
      </c>
      <c r="M1168" s="4" t="s">
        <v>158</v>
      </c>
    </row>
    <row r="1169" spans="1:13" x14ac:dyDescent="0.2">
      <c r="A1169" s="4" t="s">
        <v>1611</v>
      </c>
      <c r="B1169">
        <v>1168</v>
      </c>
      <c r="C1169" s="4" t="s">
        <v>26</v>
      </c>
      <c r="D1169" s="4" t="s">
        <v>41</v>
      </c>
      <c r="E1169" s="4" t="s">
        <v>53</v>
      </c>
      <c r="F1169" s="4" t="s">
        <v>1596</v>
      </c>
      <c r="G1169">
        <v>10</v>
      </c>
      <c r="H1169">
        <v>49</v>
      </c>
      <c r="I1169" s="4" t="s">
        <v>114</v>
      </c>
      <c r="J1169" s="4" t="s">
        <v>129</v>
      </c>
      <c r="K1169" s="4" t="s">
        <v>130</v>
      </c>
      <c r="L1169">
        <v>30</v>
      </c>
      <c r="M1169" s="4" t="s">
        <v>158</v>
      </c>
    </row>
    <row r="1170" spans="1:13" x14ac:dyDescent="0.2">
      <c r="A1170" s="4" t="s">
        <v>1612</v>
      </c>
      <c r="B1170">
        <v>1169</v>
      </c>
      <c r="C1170" s="4" t="s">
        <v>26</v>
      </c>
      <c r="D1170" s="4" t="s">
        <v>41</v>
      </c>
      <c r="E1170" s="4" t="s">
        <v>53</v>
      </c>
      <c r="F1170" s="4" t="s">
        <v>1596</v>
      </c>
      <c r="G1170">
        <v>10</v>
      </c>
      <c r="H1170">
        <v>49</v>
      </c>
      <c r="I1170" s="4" t="s">
        <v>114</v>
      </c>
      <c r="J1170" s="4" t="s">
        <v>131</v>
      </c>
      <c r="K1170" s="4" t="s">
        <v>132</v>
      </c>
      <c r="L1170">
        <v>44</v>
      </c>
      <c r="M1170" s="4" t="s">
        <v>158</v>
      </c>
    </row>
    <row r="1171" spans="1:13" x14ac:dyDescent="0.2">
      <c r="A1171" s="4" t="s">
        <v>1613</v>
      </c>
      <c r="B1171">
        <v>1170</v>
      </c>
      <c r="C1171" s="4" t="s">
        <v>26</v>
      </c>
      <c r="D1171" s="4" t="s">
        <v>41</v>
      </c>
      <c r="E1171" s="4" t="s">
        <v>53</v>
      </c>
      <c r="F1171" s="4" t="s">
        <v>1596</v>
      </c>
      <c r="G1171">
        <v>10</v>
      </c>
      <c r="H1171">
        <v>49</v>
      </c>
      <c r="I1171" s="4" t="s">
        <v>114</v>
      </c>
      <c r="J1171" s="4" t="s">
        <v>133</v>
      </c>
      <c r="K1171" s="4" t="s">
        <v>134</v>
      </c>
      <c r="L1171">
        <v>0</v>
      </c>
      <c r="M1171" s="4" t="s">
        <v>158</v>
      </c>
    </row>
    <row r="1172" spans="1:13" x14ac:dyDescent="0.2">
      <c r="A1172" s="4" t="s">
        <v>1614</v>
      </c>
      <c r="B1172">
        <v>1171</v>
      </c>
      <c r="C1172" s="4" t="s">
        <v>26</v>
      </c>
      <c r="D1172" s="4" t="s">
        <v>41</v>
      </c>
      <c r="E1172" s="4" t="s">
        <v>53</v>
      </c>
      <c r="F1172" s="4" t="s">
        <v>1596</v>
      </c>
      <c r="G1172">
        <v>10</v>
      </c>
      <c r="H1172">
        <v>49</v>
      </c>
      <c r="I1172" s="4" t="s">
        <v>116</v>
      </c>
      <c r="J1172" s="4" t="s">
        <v>122</v>
      </c>
      <c r="K1172" s="4" t="s">
        <v>123</v>
      </c>
      <c r="L1172">
        <v>29</v>
      </c>
      <c r="M1172" s="4" t="s">
        <v>158</v>
      </c>
    </row>
    <row r="1173" spans="1:13" x14ac:dyDescent="0.2">
      <c r="A1173" s="4" t="s">
        <v>1615</v>
      </c>
      <c r="B1173">
        <v>1172</v>
      </c>
      <c r="C1173" s="4" t="s">
        <v>26</v>
      </c>
      <c r="D1173" s="4" t="s">
        <v>41</v>
      </c>
      <c r="E1173" s="4" t="s">
        <v>53</v>
      </c>
      <c r="F1173" s="4" t="s">
        <v>1596</v>
      </c>
      <c r="G1173">
        <v>10</v>
      </c>
      <c r="H1173">
        <v>49</v>
      </c>
      <c r="I1173" s="4" t="s">
        <v>116</v>
      </c>
      <c r="J1173" s="4" t="s">
        <v>125</v>
      </c>
      <c r="K1173" s="4" t="s">
        <v>126</v>
      </c>
      <c r="L1173">
        <v>30</v>
      </c>
      <c r="M1173" s="4" t="s">
        <v>158</v>
      </c>
    </row>
    <row r="1174" spans="1:13" x14ac:dyDescent="0.2">
      <c r="A1174" s="4" t="s">
        <v>1616</v>
      </c>
      <c r="B1174">
        <v>1173</v>
      </c>
      <c r="C1174" s="4" t="s">
        <v>26</v>
      </c>
      <c r="D1174" s="4" t="s">
        <v>41</v>
      </c>
      <c r="E1174" s="4" t="s">
        <v>53</v>
      </c>
      <c r="F1174" s="4" t="s">
        <v>1596</v>
      </c>
      <c r="G1174">
        <v>10</v>
      </c>
      <c r="H1174">
        <v>49</v>
      </c>
      <c r="I1174" s="4" t="s">
        <v>116</v>
      </c>
      <c r="J1174" s="4" t="s">
        <v>127</v>
      </c>
      <c r="K1174" s="4" t="s">
        <v>128</v>
      </c>
      <c r="L1174">
        <v>0</v>
      </c>
      <c r="M1174" s="4" t="s">
        <v>158</v>
      </c>
    </row>
    <row r="1175" spans="1:13" x14ac:dyDescent="0.2">
      <c r="A1175" s="4" t="s">
        <v>1617</v>
      </c>
      <c r="B1175">
        <v>1174</v>
      </c>
      <c r="C1175" s="4" t="s">
        <v>26</v>
      </c>
      <c r="D1175" s="4" t="s">
        <v>41</v>
      </c>
      <c r="E1175" s="4" t="s">
        <v>53</v>
      </c>
      <c r="F1175" s="4" t="s">
        <v>1596</v>
      </c>
      <c r="G1175">
        <v>10</v>
      </c>
      <c r="H1175">
        <v>49</v>
      </c>
      <c r="I1175" s="4" t="s">
        <v>116</v>
      </c>
      <c r="J1175" s="4" t="s">
        <v>129</v>
      </c>
      <c r="K1175" s="4" t="s">
        <v>130</v>
      </c>
      <c r="L1175">
        <v>22</v>
      </c>
      <c r="M1175" s="4" t="s">
        <v>158</v>
      </c>
    </row>
    <row r="1176" spans="1:13" x14ac:dyDescent="0.2">
      <c r="A1176" s="4" t="s">
        <v>1618</v>
      </c>
      <c r="B1176">
        <v>1175</v>
      </c>
      <c r="C1176" s="4" t="s">
        <v>26</v>
      </c>
      <c r="D1176" s="4" t="s">
        <v>41</v>
      </c>
      <c r="E1176" s="4" t="s">
        <v>53</v>
      </c>
      <c r="F1176" s="4" t="s">
        <v>1596</v>
      </c>
      <c r="G1176">
        <v>10</v>
      </c>
      <c r="H1176">
        <v>49</v>
      </c>
      <c r="I1176" s="4" t="s">
        <v>116</v>
      </c>
      <c r="J1176" s="4" t="s">
        <v>131</v>
      </c>
      <c r="K1176" s="4" t="s">
        <v>132</v>
      </c>
      <c r="L1176">
        <v>15</v>
      </c>
      <c r="M1176" s="4" t="s">
        <v>158</v>
      </c>
    </row>
    <row r="1177" spans="1:13" x14ac:dyDescent="0.2">
      <c r="A1177" s="4" t="s">
        <v>1619</v>
      </c>
      <c r="B1177">
        <v>1176</v>
      </c>
      <c r="C1177" s="4" t="s">
        <v>26</v>
      </c>
      <c r="D1177" s="4" t="s">
        <v>41</v>
      </c>
      <c r="E1177" s="4" t="s">
        <v>53</v>
      </c>
      <c r="F1177" s="4" t="s">
        <v>1596</v>
      </c>
      <c r="G1177">
        <v>10</v>
      </c>
      <c r="H1177">
        <v>49</v>
      </c>
      <c r="I1177" s="4" t="s">
        <v>116</v>
      </c>
      <c r="J1177" s="4" t="s">
        <v>133</v>
      </c>
      <c r="K1177" s="4" t="s">
        <v>134</v>
      </c>
      <c r="L1177">
        <v>0</v>
      </c>
      <c r="M1177" s="4" t="s">
        <v>158</v>
      </c>
    </row>
    <row r="1178" spans="1:13" x14ac:dyDescent="0.2">
      <c r="A1178" s="4" t="s">
        <v>1625</v>
      </c>
      <c r="B1178">
        <v>1177</v>
      </c>
      <c r="C1178" s="4" t="s">
        <v>26</v>
      </c>
      <c r="D1178" s="4" t="s">
        <v>41</v>
      </c>
      <c r="E1178" s="4" t="s">
        <v>56</v>
      </c>
      <c r="F1178" s="4" t="s">
        <v>1626</v>
      </c>
      <c r="G1178">
        <v>10</v>
      </c>
      <c r="H1178">
        <v>50</v>
      </c>
      <c r="I1178" s="4" t="s">
        <v>35</v>
      </c>
      <c r="J1178" s="4" t="s">
        <v>122</v>
      </c>
      <c r="K1178" s="4" t="s">
        <v>123</v>
      </c>
      <c r="L1178">
        <v>387</v>
      </c>
      <c r="M1178" s="4" t="s">
        <v>158</v>
      </c>
    </row>
    <row r="1179" spans="1:13" x14ac:dyDescent="0.2">
      <c r="A1179" s="4" t="s">
        <v>1627</v>
      </c>
      <c r="B1179">
        <v>1178</v>
      </c>
      <c r="C1179" s="4" t="s">
        <v>26</v>
      </c>
      <c r="D1179" s="4" t="s">
        <v>41</v>
      </c>
      <c r="E1179" s="4" t="s">
        <v>56</v>
      </c>
      <c r="F1179" s="4" t="s">
        <v>1626</v>
      </c>
      <c r="G1179">
        <v>10</v>
      </c>
      <c r="H1179">
        <v>50</v>
      </c>
      <c r="I1179" s="4" t="s">
        <v>35</v>
      </c>
      <c r="J1179" s="4" t="s">
        <v>125</v>
      </c>
      <c r="K1179" s="4" t="s">
        <v>126</v>
      </c>
      <c r="L1179">
        <v>0</v>
      </c>
      <c r="M1179" s="4" t="s">
        <v>158</v>
      </c>
    </row>
    <row r="1180" spans="1:13" x14ac:dyDescent="0.2">
      <c r="A1180" s="4" t="s">
        <v>1628</v>
      </c>
      <c r="B1180">
        <v>1179</v>
      </c>
      <c r="C1180" s="4" t="s">
        <v>26</v>
      </c>
      <c r="D1180" s="4" t="s">
        <v>41</v>
      </c>
      <c r="E1180" s="4" t="s">
        <v>56</v>
      </c>
      <c r="F1180" s="4" t="s">
        <v>1626</v>
      </c>
      <c r="G1180">
        <v>10</v>
      </c>
      <c r="H1180">
        <v>50</v>
      </c>
      <c r="I1180" s="4" t="s">
        <v>35</v>
      </c>
      <c r="J1180" s="4" t="s">
        <v>127</v>
      </c>
      <c r="K1180" s="4" t="s">
        <v>128</v>
      </c>
      <c r="L1180">
        <v>152</v>
      </c>
      <c r="M1180" s="4" t="s">
        <v>158</v>
      </c>
    </row>
    <row r="1181" spans="1:13" x14ac:dyDescent="0.2">
      <c r="A1181" s="4" t="s">
        <v>1629</v>
      </c>
      <c r="B1181">
        <v>1180</v>
      </c>
      <c r="C1181" s="4" t="s">
        <v>26</v>
      </c>
      <c r="D1181" s="4" t="s">
        <v>41</v>
      </c>
      <c r="E1181" s="4" t="s">
        <v>56</v>
      </c>
      <c r="F1181" s="4" t="s">
        <v>1626</v>
      </c>
      <c r="G1181">
        <v>10</v>
      </c>
      <c r="H1181">
        <v>50</v>
      </c>
      <c r="I1181" s="4" t="s">
        <v>35</v>
      </c>
      <c r="J1181" s="4" t="s">
        <v>129</v>
      </c>
      <c r="K1181" s="4" t="s">
        <v>130</v>
      </c>
      <c r="L1181">
        <v>107</v>
      </c>
      <c r="M1181" s="4" t="s">
        <v>158</v>
      </c>
    </row>
    <row r="1182" spans="1:13" x14ac:dyDescent="0.2">
      <c r="A1182" s="4" t="s">
        <v>1630</v>
      </c>
      <c r="B1182">
        <v>1181</v>
      </c>
      <c r="C1182" s="4" t="s">
        <v>26</v>
      </c>
      <c r="D1182" s="4" t="s">
        <v>41</v>
      </c>
      <c r="E1182" s="4" t="s">
        <v>56</v>
      </c>
      <c r="F1182" s="4" t="s">
        <v>1626</v>
      </c>
      <c r="G1182">
        <v>10</v>
      </c>
      <c r="H1182">
        <v>50</v>
      </c>
      <c r="I1182" s="4" t="s">
        <v>35</v>
      </c>
      <c r="J1182" s="4" t="s">
        <v>131</v>
      </c>
      <c r="K1182" s="4" t="s">
        <v>132</v>
      </c>
      <c r="L1182">
        <v>146</v>
      </c>
      <c r="M1182" s="4" t="s">
        <v>158</v>
      </c>
    </row>
    <row r="1183" spans="1:13" x14ac:dyDescent="0.2">
      <c r="A1183" s="4" t="s">
        <v>1631</v>
      </c>
      <c r="B1183">
        <v>1182</v>
      </c>
      <c r="C1183" s="4" t="s">
        <v>26</v>
      </c>
      <c r="D1183" s="4" t="s">
        <v>41</v>
      </c>
      <c r="E1183" s="4" t="s">
        <v>56</v>
      </c>
      <c r="F1183" s="4" t="s">
        <v>1626</v>
      </c>
      <c r="G1183">
        <v>10</v>
      </c>
      <c r="H1183">
        <v>50</v>
      </c>
      <c r="I1183" s="4" t="s">
        <v>35</v>
      </c>
      <c r="J1183" s="4" t="s">
        <v>133</v>
      </c>
      <c r="K1183" s="4" t="s">
        <v>134</v>
      </c>
      <c r="L1183">
        <v>50</v>
      </c>
      <c r="M1183" s="4" t="s">
        <v>158</v>
      </c>
    </row>
    <row r="1184" spans="1:13" x14ac:dyDescent="0.2">
      <c r="A1184" s="4" t="s">
        <v>1632</v>
      </c>
      <c r="B1184">
        <v>1183</v>
      </c>
      <c r="C1184" s="4" t="s">
        <v>26</v>
      </c>
      <c r="D1184" s="4" t="s">
        <v>41</v>
      </c>
      <c r="E1184" s="4" t="s">
        <v>56</v>
      </c>
      <c r="F1184" s="4" t="s">
        <v>1626</v>
      </c>
      <c r="G1184">
        <v>10</v>
      </c>
      <c r="H1184">
        <v>50</v>
      </c>
      <c r="I1184" s="4" t="s">
        <v>112</v>
      </c>
      <c r="J1184" s="4" t="s">
        <v>122</v>
      </c>
      <c r="K1184" s="4" t="s">
        <v>123</v>
      </c>
      <c r="L1184">
        <v>188</v>
      </c>
      <c r="M1184" s="4" t="s">
        <v>158</v>
      </c>
    </row>
    <row r="1185" spans="1:13" x14ac:dyDescent="0.2">
      <c r="A1185" s="4" t="s">
        <v>1633</v>
      </c>
      <c r="B1185">
        <v>1184</v>
      </c>
      <c r="C1185" s="4" t="s">
        <v>26</v>
      </c>
      <c r="D1185" s="4" t="s">
        <v>41</v>
      </c>
      <c r="E1185" s="4" t="s">
        <v>56</v>
      </c>
      <c r="F1185" s="4" t="s">
        <v>1626</v>
      </c>
      <c r="G1185">
        <v>10</v>
      </c>
      <c r="H1185">
        <v>50</v>
      </c>
      <c r="I1185" s="4" t="s">
        <v>112</v>
      </c>
      <c r="J1185" s="4" t="s">
        <v>125</v>
      </c>
      <c r="K1185" s="4" t="s">
        <v>126</v>
      </c>
      <c r="L1185">
        <v>28</v>
      </c>
      <c r="M1185" s="4" t="s">
        <v>158</v>
      </c>
    </row>
    <row r="1186" spans="1:13" x14ac:dyDescent="0.2">
      <c r="A1186" s="4" t="s">
        <v>1634</v>
      </c>
      <c r="B1186">
        <v>1185</v>
      </c>
      <c r="C1186" s="4" t="s">
        <v>26</v>
      </c>
      <c r="D1186" s="4" t="s">
        <v>41</v>
      </c>
      <c r="E1186" s="4" t="s">
        <v>56</v>
      </c>
      <c r="F1186" s="4" t="s">
        <v>1626</v>
      </c>
      <c r="G1186">
        <v>10</v>
      </c>
      <c r="H1186">
        <v>50</v>
      </c>
      <c r="I1186" s="4" t="s">
        <v>112</v>
      </c>
      <c r="J1186" s="4" t="s">
        <v>127</v>
      </c>
      <c r="K1186" s="4" t="s">
        <v>128</v>
      </c>
      <c r="L1186">
        <v>150</v>
      </c>
      <c r="M1186" s="4" t="s">
        <v>158</v>
      </c>
    </row>
    <row r="1187" spans="1:13" x14ac:dyDescent="0.2">
      <c r="A1187" s="4" t="s">
        <v>1635</v>
      </c>
      <c r="B1187">
        <v>1186</v>
      </c>
      <c r="C1187" s="4" t="s">
        <v>26</v>
      </c>
      <c r="D1187" s="4" t="s">
        <v>41</v>
      </c>
      <c r="E1187" s="4" t="s">
        <v>56</v>
      </c>
      <c r="F1187" s="4" t="s">
        <v>1626</v>
      </c>
      <c r="G1187">
        <v>10</v>
      </c>
      <c r="H1187">
        <v>50</v>
      </c>
      <c r="I1187" s="4" t="s">
        <v>112</v>
      </c>
      <c r="J1187" s="4" t="s">
        <v>129</v>
      </c>
      <c r="K1187" s="4" t="s">
        <v>130</v>
      </c>
      <c r="L1187">
        <v>30</v>
      </c>
      <c r="M1187" s="4" t="s">
        <v>158</v>
      </c>
    </row>
    <row r="1188" spans="1:13" x14ac:dyDescent="0.2">
      <c r="A1188" s="4" t="s">
        <v>1636</v>
      </c>
      <c r="B1188">
        <v>1187</v>
      </c>
      <c r="C1188" s="4" t="s">
        <v>26</v>
      </c>
      <c r="D1188" s="4" t="s">
        <v>41</v>
      </c>
      <c r="E1188" s="4" t="s">
        <v>56</v>
      </c>
      <c r="F1188" s="4" t="s">
        <v>1626</v>
      </c>
      <c r="G1188">
        <v>10</v>
      </c>
      <c r="H1188">
        <v>50</v>
      </c>
      <c r="I1188" s="4" t="s">
        <v>112</v>
      </c>
      <c r="J1188" s="4" t="s">
        <v>131</v>
      </c>
      <c r="K1188" s="4" t="s">
        <v>132</v>
      </c>
      <c r="L1188">
        <v>20</v>
      </c>
      <c r="M1188" s="4" t="s">
        <v>158</v>
      </c>
    </row>
    <row r="1189" spans="1:13" x14ac:dyDescent="0.2">
      <c r="A1189" s="4" t="s">
        <v>1637</v>
      </c>
      <c r="B1189">
        <v>1188</v>
      </c>
      <c r="C1189" s="4" t="s">
        <v>26</v>
      </c>
      <c r="D1189" s="4" t="s">
        <v>41</v>
      </c>
      <c r="E1189" s="4" t="s">
        <v>56</v>
      </c>
      <c r="F1189" s="4" t="s">
        <v>1626</v>
      </c>
      <c r="G1189">
        <v>10</v>
      </c>
      <c r="H1189">
        <v>50</v>
      </c>
      <c r="I1189" s="4" t="s">
        <v>112</v>
      </c>
      <c r="J1189" s="4" t="s">
        <v>133</v>
      </c>
      <c r="K1189" s="4" t="s">
        <v>134</v>
      </c>
      <c r="L1189">
        <v>8</v>
      </c>
      <c r="M1189" s="4" t="s">
        <v>158</v>
      </c>
    </row>
    <row r="1190" spans="1:13" x14ac:dyDescent="0.2">
      <c r="A1190" s="4" t="s">
        <v>1638</v>
      </c>
      <c r="B1190">
        <v>1189</v>
      </c>
      <c r="C1190" s="4" t="s">
        <v>26</v>
      </c>
      <c r="D1190" s="4" t="s">
        <v>41</v>
      </c>
      <c r="E1190" s="4" t="s">
        <v>56</v>
      </c>
      <c r="F1190" s="4" t="s">
        <v>1626</v>
      </c>
      <c r="G1190">
        <v>10</v>
      </c>
      <c r="H1190">
        <v>50</v>
      </c>
      <c r="I1190" s="4" t="s">
        <v>114</v>
      </c>
      <c r="J1190" s="4" t="s">
        <v>122</v>
      </c>
      <c r="K1190" s="4" t="s">
        <v>123</v>
      </c>
      <c r="L1190">
        <v>24</v>
      </c>
      <c r="M1190" s="4" t="s">
        <v>158</v>
      </c>
    </row>
    <row r="1191" spans="1:13" x14ac:dyDescent="0.2">
      <c r="A1191" s="4" t="s">
        <v>1639</v>
      </c>
      <c r="B1191">
        <v>1190</v>
      </c>
      <c r="C1191" s="4" t="s">
        <v>26</v>
      </c>
      <c r="D1191" s="4" t="s">
        <v>41</v>
      </c>
      <c r="E1191" s="4" t="s">
        <v>56</v>
      </c>
      <c r="F1191" s="4" t="s">
        <v>1626</v>
      </c>
      <c r="G1191">
        <v>10</v>
      </c>
      <c r="H1191">
        <v>50</v>
      </c>
      <c r="I1191" s="4" t="s">
        <v>114</v>
      </c>
      <c r="J1191" s="4" t="s">
        <v>125</v>
      </c>
      <c r="K1191" s="4" t="s">
        <v>126</v>
      </c>
      <c r="L1191">
        <v>24</v>
      </c>
      <c r="M1191" s="4" t="s">
        <v>158</v>
      </c>
    </row>
    <row r="1192" spans="1:13" x14ac:dyDescent="0.2">
      <c r="A1192" s="4" t="s">
        <v>1640</v>
      </c>
      <c r="B1192">
        <v>1191</v>
      </c>
      <c r="C1192" s="4" t="s">
        <v>26</v>
      </c>
      <c r="D1192" s="4" t="s">
        <v>41</v>
      </c>
      <c r="E1192" s="4" t="s">
        <v>56</v>
      </c>
      <c r="F1192" s="4" t="s">
        <v>1626</v>
      </c>
      <c r="G1192">
        <v>10</v>
      </c>
      <c r="H1192">
        <v>50</v>
      </c>
      <c r="I1192" s="4" t="s">
        <v>114</v>
      </c>
      <c r="J1192" s="4" t="s">
        <v>127</v>
      </c>
      <c r="K1192" s="4" t="s">
        <v>128</v>
      </c>
      <c r="L1192">
        <v>96</v>
      </c>
      <c r="M1192" s="4" t="s">
        <v>158</v>
      </c>
    </row>
    <row r="1193" spans="1:13" x14ac:dyDescent="0.2">
      <c r="A1193" s="4" t="s">
        <v>1641</v>
      </c>
      <c r="B1193">
        <v>1192</v>
      </c>
      <c r="C1193" s="4" t="s">
        <v>26</v>
      </c>
      <c r="D1193" s="4" t="s">
        <v>41</v>
      </c>
      <c r="E1193" s="4" t="s">
        <v>56</v>
      </c>
      <c r="F1193" s="4" t="s">
        <v>1626</v>
      </c>
      <c r="G1193">
        <v>10</v>
      </c>
      <c r="H1193">
        <v>50</v>
      </c>
      <c r="I1193" s="4" t="s">
        <v>114</v>
      </c>
      <c r="J1193" s="4" t="s">
        <v>129</v>
      </c>
      <c r="K1193" s="4" t="s">
        <v>130</v>
      </c>
      <c r="L1193">
        <v>30</v>
      </c>
      <c r="M1193" s="4" t="s">
        <v>158</v>
      </c>
    </row>
    <row r="1194" spans="1:13" x14ac:dyDescent="0.2">
      <c r="A1194" s="4" t="s">
        <v>1642</v>
      </c>
      <c r="B1194">
        <v>1193</v>
      </c>
      <c r="C1194" s="4" t="s">
        <v>26</v>
      </c>
      <c r="D1194" s="4" t="s">
        <v>41</v>
      </c>
      <c r="E1194" s="4" t="s">
        <v>56</v>
      </c>
      <c r="F1194" s="4" t="s">
        <v>1626</v>
      </c>
      <c r="G1194">
        <v>10</v>
      </c>
      <c r="H1194">
        <v>50</v>
      </c>
      <c r="I1194" s="4" t="s">
        <v>114</v>
      </c>
      <c r="J1194" s="4" t="s">
        <v>131</v>
      </c>
      <c r="K1194" s="4" t="s">
        <v>132</v>
      </c>
      <c r="L1194">
        <v>75</v>
      </c>
      <c r="M1194" s="4" t="s">
        <v>158</v>
      </c>
    </row>
    <row r="1195" spans="1:13" x14ac:dyDescent="0.2">
      <c r="A1195" s="4" t="s">
        <v>1643</v>
      </c>
      <c r="B1195">
        <v>1194</v>
      </c>
      <c r="C1195" s="4" t="s">
        <v>26</v>
      </c>
      <c r="D1195" s="4" t="s">
        <v>41</v>
      </c>
      <c r="E1195" s="4" t="s">
        <v>56</v>
      </c>
      <c r="F1195" s="4" t="s">
        <v>1626</v>
      </c>
      <c r="G1195">
        <v>10</v>
      </c>
      <c r="H1195">
        <v>50</v>
      </c>
      <c r="I1195" s="4" t="s">
        <v>114</v>
      </c>
      <c r="J1195" s="4" t="s">
        <v>133</v>
      </c>
      <c r="K1195" s="4" t="s">
        <v>134</v>
      </c>
      <c r="L1195">
        <v>30</v>
      </c>
      <c r="M1195" s="4" t="s">
        <v>158</v>
      </c>
    </row>
    <row r="1196" spans="1:13" x14ac:dyDescent="0.2">
      <c r="A1196" s="4" t="s">
        <v>1644</v>
      </c>
      <c r="B1196">
        <v>1195</v>
      </c>
      <c r="C1196" s="4" t="s">
        <v>26</v>
      </c>
      <c r="D1196" s="4" t="s">
        <v>41</v>
      </c>
      <c r="E1196" s="4" t="s">
        <v>56</v>
      </c>
      <c r="F1196" s="4" t="s">
        <v>1626</v>
      </c>
      <c r="G1196">
        <v>10</v>
      </c>
      <c r="H1196">
        <v>50</v>
      </c>
      <c r="I1196" s="4" t="s">
        <v>116</v>
      </c>
      <c r="J1196" s="4" t="s">
        <v>122</v>
      </c>
      <c r="K1196" s="4" t="s">
        <v>123</v>
      </c>
      <c r="L1196">
        <v>100</v>
      </c>
      <c r="M1196" s="4" t="s">
        <v>158</v>
      </c>
    </row>
    <row r="1197" spans="1:13" x14ac:dyDescent="0.2">
      <c r="A1197" s="4" t="s">
        <v>1645</v>
      </c>
      <c r="B1197">
        <v>1196</v>
      </c>
      <c r="C1197" s="4" t="s">
        <v>26</v>
      </c>
      <c r="D1197" s="4" t="s">
        <v>41</v>
      </c>
      <c r="E1197" s="4" t="s">
        <v>56</v>
      </c>
      <c r="F1197" s="4" t="s">
        <v>1626</v>
      </c>
      <c r="G1197">
        <v>10</v>
      </c>
      <c r="H1197">
        <v>50</v>
      </c>
      <c r="I1197" s="4" t="s">
        <v>116</v>
      </c>
      <c r="J1197" s="4" t="s">
        <v>125</v>
      </c>
      <c r="K1197" s="4" t="s">
        <v>126</v>
      </c>
      <c r="L1197">
        <v>30</v>
      </c>
      <c r="M1197" s="4" t="s">
        <v>158</v>
      </c>
    </row>
    <row r="1198" spans="1:13" x14ac:dyDescent="0.2">
      <c r="A1198" s="4" t="s">
        <v>1646</v>
      </c>
      <c r="B1198">
        <v>1197</v>
      </c>
      <c r="C1198" s="4" t="s">
        <v>26</v>
      </c>
      <c r="D1198" s="4" t="s">
        <v>41</v>
      </c>
      <c r="E1198" s="4" t="s">
        <v>56</v>
      </c>
      <c r="F1198" s="4" t="s">
        <v>1626</v>
      </c>
      <c r="G1198">
        <v>10</v>
      </c>
      <c r="H1198">
        <v>50</v>
      </c>
      <c r="I1198" s="4" t="s">
        <v>116</v>
      </c>
      <c r="J1198" s="4" t="s">
        <v>127</v>
      </c>
      <c r="K1198" s="4" t="s">
        <v>128</v>
      </c>
      <c r="L1198">
        <v>100</v>
      </c>
      <c r="M1198" s="4" t="s">
        <v>158</v>
      </c>
    </row>
    <row r="1199" spans="1:13" x14ac:dyDescent="0.2">
      <c r="A1199" s="4" t="s">
        <v>1647</v>
      </c>
      <c r="B1199">
        <v>1198</v>
      </c>
      <c r="C1199" s="4" t="s">
        <v>26</v>
      </c>
      <c r="D1199" s="4" t="s">
        <v>41</v>
      </c>
      <c r="E1199" s="4" t="s">
        <v>56</v>
      </c>
      <c r="F1199" s="4" t="s">
        <v>1626</v>
      </c>
      <c r="G1199">
        <v>10</v>
      </c>
      <c r="H1199">
        <v>50</v>
      </c>
      <c r="I1199" s="4" t="s">
        <v>116</v>
      </c>
      <c r="J1199" s="4" t="s">
        <v>129</v>
      </c>
      <c r="K1199" s="4" t="s">
        <v>130</v>
      </c>
      <c r="L1199">
        <v>38</v>
      </c>
      <c r="M1199" s="4" t="s">
        <v>158</v>
      </c>
    </row>
    <row r="1200" spans="1:13" x14ac:dyDescent="0.2">
      <c r="A1200" s="4" t="s">
        <v>1648</v>
      </c>
      <c r="B1200">
        <v>1199</v>
      </c>
      <c r="C1200" s="4" t="s">
        <v>26</v>
      </c>
      <c r="D1200" s="4" t="s">
        <v>41</v>
      </c>
      <c r="E1200" s="4" t="s">
        <v>56</v>
      </c>
      <c r="F1200" s="4" t="s">
        <v>1626</v>
      </c>
      <c r="G1200">
        <v>10</v>
      </c>
      <c r="H1200">
        <v>50</v>
      </c>
      <c r="I1200" s="4" t="s">
        <v>116</v>
      </c>
      <c r="J1200" s="4" t="s">
        <v>131</v>
      </c>
      <c r="K1200" s="4" t="s">
        <v>132</v>
      </c>
      <c r="L1200">
        <v>50</v>
      </c>
      <c r="M1200" s="4" t="s">
        <v>158</v>
      </c>
    </row>
    <row r="1201" spans="1:13" x14ac:dyDescent="0.2">
      <c r="A1201" s="4" t="s">
        <v>1649</v>
      </c>
      <c r="B1201">
        <v>1200</v>
      </c>
      <c r="C1201" s="4" t="s">
        <v>26</v>
      </c>
      <c r="D1201" s="4" t="s">
        <v>41</v>
      </c>
      <c r="E1201" s="4" t="s">
        <v>56</v>
      </c>
      <c r="F1201" s="4" t="s">
        <v>1626</v>
      </c>
      <c r="G1201">
        <v>10</v>
      </c>
      <c r="H1201">
        <v>50</v>
      </c>
      <c r="I1201" s="4" t="s">
        <v>116</v>
      </c>
      <c r="J1201" s="4" t="s">
        <v>133</v>
      </c>
      <c r="K1201" s="4" t="s">
        <v>134</v>
      </c>
      <c r="L1201">
        <v>30</v>
      </c>
      <c r="M1201" s="4" t="s">
        <v>158</v>
      </c>
    </row>
    <row r="1202" spans="1:13" x14ac:dyDescent="0.2">
      <c r="A1202" s="4" t="s">
        <v>1654</v>
      </c>
      <c r="B1202">
        <v>1201</v>
      </c>
      <c r="C1202" s="4" t="s">
        <v>26</v>
      </c>
      <c r="D1202" s="4" t="s">
        <v>44</v>
      </c>
      <c r="E1202" s="4" t="s">
        <v>27</v>
      </c>
      <c r="F1202" s="4" t="s">
        <v>1655</v>
      </c>
      <c r="G1202">
        <v>11</v>
      </c>
      <c r="H1202">
        <v>51</v>
      </c>
      <c r="I1202" s="4" t="s">
        <v>35</v>
      </c>
      <c r="J1202" s="4" t="s">
        <v>122</v>
      </c>
      <c r="K1202" s="4" t="s">
        <v>123</v>
      </c>
      <c r="L1202">
        <v>229</v>
      </c>
      <c r="M1202" s="4" t="s">
        <v>158</v>
      </c>
    </row>
    <row r="1203" spans="1:13" x14ac:dyDescent="0.2">
      <c r="A1203" s="4" t="s">
        <v>1656</v>
      </c>
      <c r="B1203">
        <v>1202</v>
      </c>
      <c r="C1203" s="4" t="s">
        <v>26</v>
      </c>
      <c r="D1203" s="4" t="s">
        <v>44</v>
      </c>
      <c r="E1203" s="4" t="s">
        <v>27</v>
      </c>
      <c r="F1203" s="4" t="s">
        <v>1655</v>
      </c>
      <c r="G1203">
        <v>11</v>
      </c>
      <c r="H1203">
        <v>51</v>
      </c>
      <c r="I1203" s="4" t="s">
        <v>35</v>
      </c>
      <c r="J1203" s="4" t="s">
        <v>125</v>
      </c>
      <c r="K1203" s="4" t="s">
        <v>126</v>
      </c>
      <c r="L1203">
        <v>0</v>
      </c>
      <c r="M1203" s="4" t="s">
        <v>158</v>
      </c>
    </row>
    <row r="1204" spans="1:13" x14ac:dyDescent="0.2">
      <c r="A1204" s="4" t="s">
        <v>1657</v>
      </c>
      <c r="B1204">
        <v>1203</v>
      </c>
      <c r="C1204" s="4" t="s">
        <v>26</v>
      </c>
      <c r="D1204" s="4" t="s">
        <v>44</v>
      </c>
      <c r="E1204" s="4" t="s">
        <v>27</v>
      </c>
      <c r="F1204" s="4" t="s">
        <v>1655</v>
      </c>
      <c r="G1204">
        <v>11</v>
      </c>
      <c r="H1204">
        <v>51</v>
      </c>
      <c r="I1204" s="4" t="s">
        <v>35</v>
      </c>
      <c r="J1204" s="4" t="s">
        <v>127</v>
      </c>
      <c r="K1204" s="4" t="s">
        <v>128</v>
      </c>
      <c r="L1204">
        <v>38</v>
      </c>
      <c r="M1204" s="4" t="s">
        <v>158</v>
      </c>
    </row>
    <row r="1205" spans="1:13" x14ac:dyDescent="0.2">
      <c r="A1205" s="4" t="s">
        <v>1658</v>
      </c>
      <c r="B1205">
        <v>1204</v>
      </c>
      <c r="C1205" s="4" t="s">
        <v>26</v>
      </c>
      <c r="D1205" s="4" t="s">
        <v>44</v>
      </c>
      <c r="E1205" s="4" t="s">
        <v>27</v>
      </c>
      <c r="F1205" s="4" t="s">
        <v>1655</v>
      </c>
      <c r="G1205">
        <v>11</v>
      </c>
      <c r="H1205">
        <v>51</v>
      </c>
      <c r="I1205" s="4" t="s">
        <v>35</v>
      </c>
      <c r="J1205" s="4" t="s">
        <v>129</v>
      </c>
      <c r="K1205" s="4" t="s">
        <v>130</v>
      </c>
      <c r="L1205">
        <v>85</v>
      </c>
      <c r="M1205" s="4" t="s">
        <v>158</v>
      </c>
    </row>
    <row r="1206" spans="1:13" x14ac:dyDescent="0.2">
      <c r="A1206" s="4" t="s">
        <v>1659</v>
      </c>
      <c r="B1206">
        <v>1205</v>
      </c>
      <c r="C1206" s="4" t="s">
        <v>26</v>
      </c>
      <c r="D1206" s="4" t="s">
        <v>44</v>
      </c>
      <c r="E1206" s="4" t="s">
        <v>27</v>
      </c>
      <c r="F1206" s="4" t="s">
        <v>1655</v>
      </c>
      <c r="G1206">
        <v>11</v>
      </c>
      <c r="H1206">
        <v>51</v>
      </c>
      <c r="I1206" s="4" t="s">
        <v>35</v>
      </c>
      <c r="J1206" s="4" t="s">
        <v>131</v>
      </c>
      <c r="K1206" s="4" t="s">
        <v>132</v>
      </c>
      <c r="L1206">
        <v>116</v>
      </c>
      <c r="M1206" s="4" t="s">
        <v>158</v>
      </c>
    </row>
    <row r="1207" spans="1:13" x14ac:dyDescent="0.2">
      <c r="A1207" s="4" t="s">
        <v>1660</v>
      </c>
      <c r="B1207">
        <v>1206</v>
      </c>
      <c r="C1207" s="4" t="s">
        <v>26</v>
      </c>
      <c r="D1207" s="4" t="s">
        <v>44</v>
      </c>
      <c r="E1207" s="4" t="s">
        <v>27</v>
      </c>
      <c r="F1207" s="4" t="s">
        <v>1655</v>
      </c>
      <c r="G1207">
        <v>11</v>
      </c>
      <c r="H1207">
        <v>51</v>
      </c>
      <c r="I1207" s="4" t="s">
        <v>35</v>
      </c>
      <c r="J1207" s="4" t="s">
        <v>133</v>
      </c>
      <c r="K1207" s="4" t="s">
        <v>134</v>
      </c>
      <c r="L1207">
        <v>8</v>
      </c>
      <c r="M1207" s="4" t="s">
        <v>158</v>
      </c>
    </row>
    <row r="1208" spans="1:13" x14ac:dyDescent="0.2">
      <c r="A1208" s="4" t="s">
        <v>1661</v>
      </c>
      <c r="B1208">
        <v>1207</v>
      </c>
      <c r="C1208" s="4" t="s">
        <v>26</v>
      </c>
      <c r="D1208" s="4" t="s">
        <v>44</v>
      </c>
      <c r="E1208" s="4" t="s">
        <v>27</v>
      </c>
      <c r="F1208" s="4" t="s">
        <v>1655</v>
      </c>
      <c r="G1208">
        <v>11</v>
      </c>
      <c r="H1208">
        <v>51</v>
      </c>
      <c r="I1208" s="4" t="s">
        <v>112</v>
      </c>
      <c r="J1208" s="4" t="s">
        <v>122</v>
      </c>
      <c r="K1208" s="4" t="s">
        <v>123</v>
      </c>
      <c r="L1208">
        <v>193</v>
      </c>
      <c r="M1208" s="4" t="s">
        <v>158</v>
      </c>
    </row>
    <row r="1209" spans="1:13" x14ac:dyDescent="0.2">
      <c r="A1209" s="4" t="s">
        <v>1662</v>
      </c>
      <c r="B1209">
        <v>1208</v>
      </c>
      <c r="C1209" s="4" t="s">
        <v>26</v>
      </c>
      <c r="D1209" s="4" t="s">
        <v>44</v>
      </c>
      <c r="E1209" s="4" t="s">
        <v>27</v>
      </c>
      <c r="F1209" s="4" t="s">
        <v>1655</v>
      </c>
      <c r="G1209">
        <v>11</v>
      </c>
      <c r="H1209">
        <v>51</v>
      </c>
      <c r="I1209" s="4" t="s">
        <v>112</v>
      </c>
      <c r="J1209" s="4" t="s">
        <v>125</v>
      </c>
      <c r="K1209" s="4" t="s">
        <v>126</v>
      </c>
      <c r="L1209">
        <v>28</v>
      </c>
      <c r="M1209" s="4" t="s">
        <v>158</v>
      </c>
    </row>
    <row r="1210" spans="1:13" x14ac:dyDescent="0.2">
      <c r="A1210" s="4" t="s">
        <v>1663</v>
      </c>
      <c r="B1210">
        <v>1209</v>
      </c>
      <c r="C1210" s="4" t="s">
        <v>26</v>
      </c>
      <c r="D1210" s="4" t="s">
        <v>44</v>
      </c>
      <c r="E1210" s="4" t="s">
        <v>27</v>
      </c>
      <c r="F1210" s="4" t="s">
        <v>1655</v>
      </c>
      <c r="G1210">
        <v>11</v>
      </c>
      <c r="H1210">
        <v>51</v>
      </c>
      <c r="I1210" s="4" t="s">
        <v>112</v>
      </c>
      <c r="J1210" s="4" t="s">
        <v>127</v>
      </c>
      <c r="K1210" s="4" t="s">
        <v>128</v>
      </c>
      <c r="L1210">
        <v>150</v>
      </c>
      <c r="M1210" s="4" t="s">
        <v>158</v>
      </c>
    </row>
    <row r="1211" spans="1:13" x14ac:dyDescent="0.2">
      <c r="A1211" s="4" t="s">
        <v>1664</v>
      </c>
      <c r="B1211">
        <v>1210</v>
      </c>
      <c r="C1211" s="4" t="s">
        <v>26</v>
      </c>
      <c r="D1211" s="4" t="s">
        <v>44</v>
      </c>
      <c r="E1211" s="4" t="s">
        <v>27</v>
      </c>
      <c r="F1211" s="4" t="s">
        <v>1655</v>
      </c>
      <c r="G1211">
        <v>11</v>
      </c>
      <c r="H1211">
        <v>51</v>
      </c>
      <c r="I1211" s="4" t="s">
        <v>112</v>
      </c>
      <c r="J1211" s="4" t="s">
        <v>129</v>
      </c>
      <c r="K1211" s="4" t="s">
        <v>130</v>
      </c>
      <c r="L1211">
        <v>8</v>
      </c>
      <c r="M1211" s="4" t="s">
        <v>158</v>
      </c>
    </row>
    <row r="1212" spans="1:13" x14ac:dyDescent="0.2">
      <c r="A1212" s="4" t="s">
        <v>1665</v>
      </c>
      <c r="B1212">
        <v>1211</v>
      </c>
      <c r="C1212" s="4" t="s">
        <v>26</v>
      </c>
      <c r="D1212" s="4" t="s">
        <v>44</v>
      </c>
      <c r="E1212" s="4" t="s">
        <v>27</v>
      </c>
      <c r="F1212" s="4" t="s">
        <v>1655</v>
      </c>
      <c r="G1212">
        <v>11</v>
      </c>
      <c r="H1212">
        <v>51</v>
      </c>
      <c r="I1212" s="4" t="s">
        <v>112</v>
      </c>
      <c r="J1212" s="4" t="s">
        <v>131</v>
      </c>
      <c r="K1212" s="4" t="s">
        <v>132</v>
      </c>
      <c r="L1212">
        <v>30</v>
      </c>
      <c r="M1212" s="4" t="s">
        <v>158</v>
      </c>
    </row>
    <row r="1213" spans="1:13" x14ac:dyDescent="0.2">
      <c r="A1213" s="4" t="s">
        <v>1666</v>
      </c>
      <c r="B1213">
        <v>1212</v>
      </c>
      <c r="C1213" s="4" t="s">
        <v>26</v>
      </c>
      <c r="D1213" s="4" t="s">
        <v>44</v>
      </c>
      <c r="E1213" s="4" t="s">
        <v>27</v>
      </c>
      <c r="F1213" s="4" t="s">
        <v>1655</v>
      </c>
      <c r="G1213">
        <v>11</v>
      </c>
      <c r="H1213">
        <v>51</v>
      </c>
      <c r="I1213" s="4" t="s">
        <v>112</v>
      </c>
      <c r="J1213" s="4" t="s">
        <v>133</v>
      </c>
      <c r="K1213" s="4" t="s">
        <v>134</v>
      </c>
      <c r="L1213">
        <v>42</v>
      </c>
      <c r="M1213" s="4" t="s">
        <v>158</v>
      </c>
    </row>
    <row r="1214" spans="1:13" x14ac:dyDescent="0.2">
      <c r="A1214" s="4" t="s">
        <v>1667</v>
      </c>
      <c r="B1214">
        <v>1213</v>
      </c>
      <c r="C1214" s="4" t="s">
        <v>26</v>
      </c>
      <c r="D1214" s="4" t="s">
        <v>44</v>
      </c>
      <c r="E1214" s="4" t="s">
        <v>27</v>
      </c>
      <c r="F1214" s="4" t="s">
        <v>1655</v>
      </c>
      <c r="G1214">
        <v>11</v>
      </c>
      <c r="H1214">
        <v>51</v>
      </c>
      <c r="I1214" s="4" t="s">
        <v>114</v>
      </c>
      <c r="J1214" s="4" t="s">
        <v>122</v>
      </c>
      <c r="K1214" s="4" t="s">
        <v>123</v>
      </c>
      <c r="L1214">
        <v>100</v>
      </c>
      <c r="M1214" s="4" t="s">
        <v>158</v>
      </c>
    </row>
    <row r="1215" spans="1:13" x14ac:dyDescent="0.2">
      <c r="A1215" s="4" t="s">
        <v>1668</v>
      </c>
      <c r="B1215">
        <v>1214</v>
      </c>
      <c r="C1215" s="4" t="s">
        <v>26</v>
      </c>
      <c r="D1215" s="4" t="s">
        <v>44</v>
      </c>
      <c r="E1215" s="4" t="s">
        <v>27</v>
      </c>
      <c r="F1215" s="4" t="s">
        <v>1655</v>
      </c>
      <c r="G1215">
        <v>11</v>
      </c>
      <c r="H1215">
        <v>51</v>
      </c>
      <c r="I1215" s="4" t="s">
        <v>114</v>
      </c>
      <c r="J1215" s="4" t="s">
        <v>125</v>
      </c>
      <c r="K1215" s="4" t="s">
        <v>126</v>
      </c>
      <c r="L1215">
        <v>0</v>
      </c>
      <c r="M1215" s="4" t="s">
        <v>158</v>
      </c>
    </row>
    <row r="1216" spans="1:13" x14ac:dyDescent="0.2">
      <c r="A1216" s="4" t="s">
        <v>1669</v>
      </c>
      <c r="B1216">
        <v>1215</v>
      </c>
      <c r="C1216" s="4" t="s">
        <v>26</v>
      </c>
      <c r="D1216" s="4" t="s">
        <v>44</v>
      </c>
      <c r="E1216" s="4" t="s">
        <v>27</v>
      </c>
      <c r="F1216" s="4" t="s">
        <v>1655</v>
      </c>
      <c r="G1216">
        <v>11</v>
      </c>
      <c r="H1216">
        <v>51</v>
      </c>
      <c r="I1216" s="4" t="s">
        <v>114</v>
      </c>
      <c r="J1216" s="4" t="s">
        <v>127</v>
      </c>
      <c r="K1216" s="4" t="s">
        <v>128</v>
      </c>
      <c r="L1216">
        <v>141</v>
      </c>
      <c r="M1216" s="4" t="s">
        <v>158</v>
      </c>
    </row>
    <row r="1217" spans="1:13" x14ac:dyDescent="0.2">
      <c r="A1217" s="4" t="s">
        <v>1670</v>
      </c>
      <c r="B1217">
        <v>1216</v>
      </c>
      <c r="C1217" s="4" t="s">
        <v>26</v>
      </c>
      <c r="D1217" s="4" t="s">
        <v>44</v>
      </c>
      <c r="E1217" s="4" t="s">
        <v>27</v>
      </c>
      <c r="F1217" s="4" t="s">
        <v>1655</v>
      </c>
      <c r="G1217">
        <v>11</v>
      </c>
      <c r="H1217">
        <v>51</v>
      </c>
      <c r="I1217" s="4" t="s">
        <v>114</v>
      </c>
      <c r="J1217" s="4" t="s">
        <v>129</v>
      </c>
      <c r="K1217" s="4" t="s">
        <v>130</v>
      </c>
      <c r="L1217">
        <v>9</v>
      </c>
      <c r="M1217" s="4" t="s">
        <v>158</v>
      </c>
    </row>
    <row r="1218" spans="1:13" x14ac:dyDescent="0.2">
      <c r="A1218" s="4" t="s">
        <v>1671</v>
      </c>
      <c r="B1218">
        <v>1217</v>
      </c>
      <c r="C1218" s="4" t="s">
        <v>26</v>
      </c>
      <c r="D1218" s="4" t="s">
        <v>44</v>
      </c>
      <c r="E1218" s="4" t="s">
        <v>27</v>
      </c>
      <c r="F1218" s="4" t="s">
        <v>1655</v>
      </c>
      <c r="G1218">
        <v>11</v>
      </c>
      <c r="H1218">
        <v>51</v>
      </c>
      <c r="I1218" s="4" t="s">
        <v>114</v>
      </c>
      <c r="J1218" s="4" t="s">
        <v>131</v>
      </c>
      <c r="K1218" s="4" t="s">
        <v>132</v>
      </c>
      <c r="L1218">
        <v>0</v>
      </c>
      <c r="M1218" s="4" t="s">
        <v>158</v>
      </c>
    </row>
    <row r="1219" spans="1:13" x14ac:dyDescent="0.2">
      <c r="A1219" s="4" t="s">
        <v>1672</v>
      </c>
      <c r="B1219">
        <v>1218</v>
      </c>
      <c r="C1219" s="4" t="s">
        <v>26</v>
      </c>
      <c r="D1219" s="4" t="s">
        <v>44</v>
      </c>
      <c r="E1219" s="4" t="s">
        <v>27</v>
      </c>
      <c r="F1219" s="4" t="s">
        <v>1655</v>
      </c>
      <c r="G1219">
        <v>11</v>
      </c>
      <c r="H1219">
        <v>51</v>
      </c>
      <c r="I1219" s="4" t="s">
        <v>114</v>
      </c>
      <c r="J1219" s="4" t="s">
        <v>133</v>
      </c>
      <c r="K1219" s="4" t="s">
        <v>134</v>
      </c>
      <c r="L1219">
        <v>30</v>
      </c>
      <c r="M1219" s="4" t="s">
        <v>158</v>
      </c>
    </row>
    <row r="1220" spans="1:13" x14ac:dyDescent="0.2">
      <c r="A1220" s="4" t="s">
        <v>1673</v>
      </c>
      <c r="B1220">
        <v>1219</v>
      </c>
      <c r="C1220" s="4" t="s">
        <v>26</v>
      </c>
      <c r="D1220" s="4" t="s">
        <v>44</v>
      </c>
      <c r="E1220" s="4" t="s">
        <v>27</v>
      </c>
      <c r="F1220" s="4" t="s">
        <v>1655</v>
      </c>
      <c r="G1220">
        <v>11</v>
      </c>
      <c r="H1220">
        <v>51</v>
      </c>
      <c r="I1220" s="4" t="s">
        <v>116</v>
      </c>
      <c r="J1220" s="4" t="s">
        <v>122</v>
      </c>
      <c r="K1220" s="4" t="s">
        <v>123</v>
      </c>
      <c r="L1220">
        <v>32</v>
      </c>
      <c r="M1220" s="4" t="s">
        <v>158</v>
      </c>
    </row>
    <row r="1221" spans="1:13" x14ac:dyDescent="0.2">
      <c r="A1221" s="4" t="s">
        <v>1674</v>
      </c>
      <c r="B1221">
        <v>1220</v>
      </c>
      <c r="C1221" s="4" t="s">
        <v>26</v>
      </c>
      <c r="D1221" s="4" t="s">
        <v>44</v>
      </c>
      <c r="E1221" s="4" t="s">
        <v>27</v>
      </c>
      <c r="F1221" s="4" t="s">
        <v>1655</v>
      </c>
      <c r="G1221">
        <v>11</v>
      </c>
      <c r="H1221">
        <v>51</v>
      </c>
      <c r="I1221" s="4" t="s">
        <v>116</v>
      </c>
      <c r="J1221" s="4" t="s">
        <v>125</v>
      </c>
      <c r="K1221" s="4" t="s">
        <v>126</v>
      </c>
      <c r="L1221">
        <v>5</v>
      </c>
      <c r="M1221" s="4" t="s">
        <v>158</v>
      </c>
    </row>
    <row r="1222" spans="1:13" x14ac:dyDescent="0.2">
      <c r="A1222" s="4" t="s">
        <v>1675</v>
      </c>
      <c r="B1222">
        <v>1221</v>
      </c>
      <c r="C1222" s="4" t="s">
        <v>26</v>
      </c>
      <c r="D1222" s="4" t="s">
        <v>44</v>
      </c>
      <c r="E1222" s="4" t="s">
        <v>27</v>
      </c>
      <c r="F1222" s="4" t="s">
        <v>1655</v>
      </c>
      <c r="G1222">
        <v>11</v>
      </c>
      <c r="H1222">
        <v>51</v>
      </c>
      <c r="I1222" s="4" t="s">
        <v>116</v>
      </c>
      <c r="J1222" s="4" t="s">
        <v>127</v>
      </c>
      <c r="K1222" s="4" t="s">
        <v>128</v>
      </c>
      <c r="L1222">
        <v>100</v>
      </c>
      <c r="M1222" s="4" t="s">
        <v>158</v>
      </c>
    </row>
    <row r="1223" spans="1:13" x14ac:dyDescent="0.2">
      <c r="A1223" s="4" t="s">
        <v>1676</v>
      </c>
      <c r="B1223">
        <v>1222</v>
      </c>
      <c r="C1223" s="4" t="s">
        <v>26</v>
      </c>
      <c r="D1223" s="4" t="s">
        <v>44</v>
      </c>
      <c r="E1223" s="4" t="s">
        <v>27</v>
      </c>
      <c r="F1223" s="4" t="s">
        <v>1655</v>
      </c>
      <c r="G1223">
        <v>11</v>
      </c>
      <c r="H1223">
        <v>51</v>
      </c>
      <c r="I1223" s="4" t="s">
        <v>116</v>
      </c>
      <c r="J1223" s="4" t="s">
        <v>129</v>
      </c>
      <c r="K1223" s="4" t="s">
        <v>130</v>
      </c>
      <c r="L1223">
        <v>43</v>
      </c>
      <c r="M1223" s="4" t="s">
        <v>158</v>
      </c>
    </row>
    <row r="1224" spans="1:13" x14ac:dyDescent="0.2">
      <c r="A1224" s="4" t="s">
        <v>1677</v>
      </c>
      <c r="B1224">
        <v>1223</v>
      </c>
      <c r="C1224" s="4" t="s">
        <v>26</v>
      </c>
      <c r="D1224" s="4" t="s">
        <v>44</v>
      </c>
      <c r="E1224" s="4" t="s">
        <v>27</v>
      </c>
      <c r="F1224" s="4" t="s">
        <v>1655</v>
      </c>
      <c r="G1224">
        <v>11</v>
      </c>
      <c r="H1224">
        <v>51</v>
      </c>
      <c r="I1224" s="4" t="s">
        <v>116</v>
      </c>
      <c r="J1224" s="4" t="s">
        <v>131</v>
      </c>
      <c r="K1224" s="4" t="s">
        <v>132</v>
      </c>
      <c r="L1224">
        <v>13</v>
      </c>
      <c r="M1224" s="4" t="s">
        <v>158</v>
      </c>
    </row>
    <row r="1225" spans="1:13" x14ac:dyDescent="0.2">
      <c r="A1225" s="4" t="s">
        <v>1678</v>
      </c>
      <c r="B1225">
        <v>1224</v>
      </c>
      <c r="C1225" s="4" t="s">
        <v>26</v>
      </c>
      <c r="D1225" s="4" t="s">
        <v>44</v>
      </c>
      <c r="E1225" s="4" t="s">
        <v>27</v>
      </c>
      <c r="F1225" s="4" t="s">
        <v>1655</v>
      </c>
      <c r="G1225">
        <v>11</v>
      </c>
      <c r="H1225">
        <v>51</v>
      </c>
      <c r="I1225" s="4" t="s">
        <v>116</v>
      </c>
      <c r="J1225" s="4" t="s">
        <v>133</v>
      </c>
      <c r="K1225" s="4" t="s">
        <v>134</v>
      </c>
      <c r="L1225">
        <v>30</v>
      </c>
      <c r="M1225" s="4" t="s">
        <v>158</v>
      </c>
    </row>
    <row r="1226" spans="1:13" x14ac:dyDescent="0.2">
      <c r="A1226" s="4" t="s">
        <v>1685</v>
      </c>
      <c r="B1226">
        <v>1225</v>
      </c>
      <c r="C1226" s="4" t="s">
        <v>26</v>
      </c>
      <c r="D1226" s="4" t="s">
        <v>44</v>
      </c>
      <c r="E1226" s="4" t="s">
        <v>32</v>
      </c>
      <c r="F1226" s="4" t="s">
        <v>1680</v>
      </c>
      <c r="G1226">
        <v>11</v>
      </c>
      <c r="H1226">
        <v>52</v>
      </c>
      <c r="I1226" s="4" t="s">
        <v>35</v>
      </c>
      <c r="J1226" s="4" t="s">
        <v>122</v>
      </c>
      <c r="K1226" s="4" t="s">
        <v>123</v>
      </c>
      <c r="L1226">
        <v>0</v>
      </c>
      <c r="M1226" s="4" t="s">
        <v>158</v>
      </c>
    </row>
    <row r="1227" spans="1:13" x14ac:dyDescent="0.2">
      <c r="A1227" s="4" t="s">
        <v>1686</v>
      </c>
      <c r="B1227">
        <v>1226</v>
      </c>
      <c r="C1227" s="4" t="s">
        <v>26</v>
      </c>
      <c r="D1227" s="4" t="s">
        <v>44</v>
      </c>
      <c r="E1227" s="4" t="s">
        <v>32</v>
      </c>
      <c r="F1227" s="4" t="s">
        <v>1680</v>
      </c>
      <c r="G1227">
        <v>11</v>
      </c>
      <c r="H1227">
        <v>52</v>
      </c>
      <c r="I1227" s="4" t="s">
        <v>35</v>
      </c>
      <c r="J1227" s="4" t="s">
        <v>125</v>
      </c>
      <c r="K1227" s="4" t="s">
        <v>126</v>
      </c>
      <c r="L1227">
        <v>0</v>
      </c>
      <c r="M1227" s="4" t="s">
        <v>158</v>
      </c>
    </row>
    <row r="1228" spans="1:13" x14ac:dyDescent="0.2">
      <c r="A1228" s="4" t="s">
        <v>1687</v>
      </c>
      <c r="B1228">
        <v>1227</v>
      </c>
      <c r="C1228" s="4" t="s">
        <v>26</v>
      </c>
      <c r="D1228" s="4" t="s">
        <v>44</v>
      </c>
      <c r="E1228" s="4" t="s">
        <v>32</v>
      </c>
      <c r="F1228" s="4" t="s">
        <v>1680</v>
      </c>
      <c r="G1228">
        <v>11</v>
      </c>
      <c r="H1228">
        <v>52</v>
      </c>
      <c r="I1228" s="4" t="s">
        <v>35</v>
      </c>
      <c r="J1228" s="4" t="s">
        <v>127</v>
      </c>
      <c r="K1228" s="4" t="s">
        <v>128</v>
      </c>
      <c r="L1228">
        <v>0</v>
      </c>
      <c r="M1228" s="4" t="s">
        <v>158</v>
      </c>
    </row>
    <row r="1229" spans="1:13" x14ac:dyDescent="0.2">
      <c r="A1229" s="4" t="s">
        <v>1688</v>
      </c>
      <c r="B1229">
        <v>1228</v>
      </c>
      <c r="C1229" s="4" t="s">
        <v>26</v>
      </c>
      <c r="D1229" s="4" t="s">
        <v>44</v>
      </c>
      <c r="E1229" s="4" t="s">
        <v>32</v>
      </c>
      <c r="F1229" s="4" t="s">
        <v>1680</v>
      </c>
      <c r="G1229">
        <v>11</v>
      </c>
      <c r="H1229">
        <v>52</v>
      </c>
      <c r="I1229" s="4" t="s">
        <v>35</v>
      </c>
      <c r="J1229" s="4" t="s">
        <v>129</v>
      </c>
      <c r="K1229" s="4" t="s">
        <v>130</v>
      </c>
      <c r="L1229">
        <v>0</v>
      </c>
      <c r="M1229" s="4" t="s">
        <v>158</v>
      </c>
    </row>
    <row r="1230" spans="1:13" x14ac:dyDescent="0.2">
      <c r="A1230" s="4" t="s">
        <v>1689</v>
      </c>
      <c r="B1230">
        <v>1229</v>
      </c>
      <c r="C1230" s="4" t="s">
        <v>26</v>
      </c>
      <c r="D1230" s="4" t="s">
        <v>44</v>
      </c>
      <c r="E1230" s="4" t="s">
        <v>32</v>
      </c>
      <c r="F1230" s="4" t="s">
        <v>1680</v>
      </c>
      <c r="G1230">
        <v>11</v>
      </c>
      <c r="H1230">
        <v>52</v>
      </c>
      <c r="I1230" s="4" t="s">
        <v>35</v>
      </c>
      <c r="J1230" s="4" t="s">
        <v>131</v>
      </c>
      <c r="K1230" s="4" t="s">
        <v>132</v>
      </c>
      <c r="L1230">
        <v>0</v>
      </c>
      <c r="M1230" s="4" t="s">
        <v>158</v>
      </c>
    </row>
    <row r="1231" spans="1:13" x14ac:dyDescent="0.2">
      <c r="A1231" s="4" t="s">
        <v>1690</v>
      </c>
      <c r="B1231">
        <v>1230</v>
      </c>
      <c r="C1231" s="4" t="s">
        <v>26</v>
      </c>
      <c r="D1231" s="4" t="s">
        <v>44</v>
      </c>
      <c r="E1231" s="4" t="s">
        <v>32</v>
      </c>
      <c r="F1231" s="4" t="s">
        <v>1680</v>
      </c>
      <c r="G1231">
        <v>11</v>
      </c>
      <c r="H1231">
        <v>52</v>
      </c>
      <c r="I1231" s="4" t="s">
        <v>35</v>
      </c>
      <c r="J1231" s="4" t="s">
        <v>133</v>
      </c>
      <c r="K1231" s="4" t="s">
        <v>134</v>
      </c>
      <c r="L1231">
        <v>0</v>
      </c>
      <c r="M1231" s="4" t="s">
        <v>158</v>
      </c>
    </row>
    <row r="1232" spans="1:13" x14ac:dyDescent="0.2">
      <c r="A1232" s="4" t="s">
        <v>1691</v>
      </c>
      <c r="B1232">
        <v>1231</v>
      </c>
      <c r="C1232" s="4" t="s">
        <v>26</v>
      </c>
      <c r="D1232" s="4" t="s">
        <v>44</v>
      </c>
      <c r="E1232" s="4" t="s">
        <v>32</v>
      </c>
      <c r="F1232" s="4" t="s">
        <v>1680</v>
      </c>
      <c r="G1232">
        <v>11</v>
      </c>
      <c r="H1232">
        <v>52</v>
      </c>
      <c r="I1232" s="4" t="s">
        <v>112</v>
      </c>
      <c r="J1232" s="4" t="s">
        <v>122</v>
      </c>
      <c r="K1232" s="4" t="s">
        <v>123</v>
      </c>
      <c r="L1232">
        <v>254</v>
      </c>
      <c r="M1232" s="4" t="s">
        <v>158</v>
      </c>
    </row>
    <row r="1233" spans="1:13" x14ac:dyDescent="0.2">
      <c r="A1233" s="4" t="s">
        <v>1692</v>
      </c>
      <c r="B1233">
        <v>1232</v>
      </c>
      <c r="C1233" s="4" t="s">
        <v>26</v>
      </c>
      <c r="D1233" s="4" t="s">
        <v>44</v>
      </c>
      <c r="E1233" s="4" t="s">
        <v>32</v>
      </c>
      <c r="F1233" s="4" t="s">
        <v>1680</v>
      </c>
      <c r="G1233">
        <v>11</v>
      </c>
      <c r="H1233">
        <v>52</v>
      </c>
      <c r="I1233" s="4" t="s">
        <v>112</v>
      </c>
      <c r="J1233" s="4" t="s">
        <v>125</v>
      </c>
      <c r="K1233" s="4" t="s">
        <v>126</v>
      </c>
      <c r="L1233">
        <v>28</v>
      </c>
      <c r="M1233" s="4" t="s">
        <v>158</v>
      </c>
    </row>
    <row r="1234" spans="1:13" x14ac:dyDescent="0.2">
      <c r="A1234" s="4" t="s">
        <v>1693</v>
      </c>
      <c r="B1234">
        <v>1233</v>
      </c>
      <c r="C1234" s="4" t="s">
        <v>26</v>
      </c>
      <c r="D1234" s="4" t="s">
        <v>44</v>
      </c>
      <c r="E1234" s="4" t="s">
        <v>32</v>
      </c>
      <c r="F1234" s="4" t="s">
        <v>1680</v>
      </c>
      <c r="G1234">
        <v>11</v>
      </c>
      <c r="H1234">
        <v>52</v>
      </c>
      <c r="I1234" s="4" t="s">
        <v>112</v>
      </c>
      <c r="J1234" s="4" t="s">
        <v>127</v>
      </c>
      <c r="K1234" s="4" t="s">
        <v>128</v>
      </c>
      <c r="L1234">
        <v>23</v>
      </c>
      <c r="M1234" s="4" t="s">
        <v>158</v>
      </c>
    </row>
    <row r="1235" spans="1:13" x14ac:dyDescent="0.2">
      <c r="A1235" s="4" t="s">
        <v>1694</v>
      </c>
      <c r="B1235">
        <v>1234</v>
      </c>
      <c r="C1235" s="4" t="s">
        <v>26</v>
      </c>
      <c r="D1235" s="4" t="s">
        <v>44</v>
      </c>
      <c r="E1235" s="4" t="s">
        <v>32</v>
      </c>
      <c r="F1235" s="4" t="s">
        <v>1680</v>
      </c>
      <c r="G1235">
        <v>11</v>
      </c>
      <c r="H1235">
        <v>52</v>
      </c>
      <c r="I1235" s="4" t="s">
        <v>112</v>
      </c>
      <c r="J1235" s="4" t="s">
        <v>129</v>
      </c>
      <c r="K1235" s="4" t="s">
        <v>130</v>
      </c>
      <c r="L1235">
        <v>26</v>
      </c>
      <c r="M1235" s="4" t="s">
        <v>158</v>
      </c>
    </row>
    <row r="1236" spans="1:13" x14ac:dyDescent="0.2">
      <c r="A1236" s="4" t="s">
        <v>1695</v>
      </c>
      <c r="B1236">
        <v>1235</v>
      </c>
      <c r="C1236" s="4" t="s">
        <v>26</v>
      </c>
      <c r="D1236" s="4" t="s">
        <v>44</v>
      </c>
      <c r="E1236" s="4" t="s">
        <v>32</v>
      </c>
      <c r="F1236" s="4" t="s">
        <v>1680</v>
      </c>
      <c r="G1236">
        <v>11</v>
      </c>
      <c r="H1236">
        <v>52</v>
      </c>
      <c r="I1236" s="4" t="s">
        <v>112</v>
      </c>
      <c r="J1236" s="4" t="s">
        <v>131</v>
      </c>
      <c r="K1236" s="4" t="s">
        <v>132</v>
      </c>
      <c r="L1236">
        <v>29</v>
      </c>
      <c r="M1236" s="4" t="s">
        <v>158</v>
      </c>
    </row>
    <row r="1237" spans="1:13" x14ac:dyDescent="0.2">
      <c r="A1237" s="4" t="s">
        <v>1696</v>
      </c>
      <c r="B1237">
        <v>1236</v>
      </c>
      <c r="C1237" s="4" t="s">
        <v>26</v>
      </c>
      <c r="D1237" s="4" t="s">
        <v>44</v>
      </c>
      <c r="E1237" s="4" t="s">
        <v>32</v>
      </c>
      <c r="F1237" s="4" t="s">
        <v>1680</v>
      </c>
      <c r="G1237">
        <v>11</v>
      </c>
      <c r="H1237">
        <v>52</v>
      </c>
      <c r="I1237" s="4" t="s">
        <v>112</v>
      </c>
      <c r="J1237" s="4" t="s">
        <v>133</v>
      </c>
      <c r="K1237" s="4" t="s">
        <v>134</v>
      </c>
      <c r="L1237">
        <v>43</v>
      </c>
      <c r="M1237" s="4" t="s">
        <v>158</v>
      </c>
    </row>
    <row r="1238" spans="1:13" x14ac:dyDescent="0.2">
      <c r="A1238" s="4" t="s">
        <v>1697</v>
      </c>
      <c r="B1238">
        <v>1237</v>
      </c>
      <c r="C1238" s="4" t="s">
        <v>26</v>
      </c>
      <c r="D1238" s="4" t="s">
        <v>44</v>
      </c>
      <c r="E1238" s="4" t="s">
        <v>32</v>
      </c>
      <c r="F1238" s="4" t="s">
        <v>1680</v>
      </c>
      <c r="G1238">
        <v>11</v>
      </c>
      <c r="H1238">
        <v>52</v>
      </c>
      <c r="I1238" s="4" t="s">
        <v>114</v>
      </c>
      <c r="J1238" s="4" t="s">
        <v>122</v>
      </c>
      <c r="K1238" s="4" t="s">
        <v>123</v>
      </c>
      <c r="L1238">
        <v>100</v>
      </c>
      <c r="M1238" s="4" t="s">
        <v>158</v>
      </c>
    </row>
    <row r="1239" spans="1:13" x14ac:dyDescent="0.2">
      <c r="A1239" s="4" t="s">
        <v>1698</v>
      </c>
      <c r="B1239">
        <v>1238</v>
      </c>
      <c r="C1239" s="4" t="s">
        <v>26</v>
      </c>
      <c r="D1239" s="4" t="s">
        <v>44</v>
      </c>
      <c r="E1239" s="4" t="s">
        <v>32</v>
      </c>
      <c r="F1239" s="4" t="s">
        <v>1680</v>
      </c>
      <c r="G1239">
        <v>11</v>
      </c>
      <c r="H1239">
        <v>52</v>
      </c>
      <c r="I1239" s="4" t="s">
        <v>114</v>
      </c>
      <c r="J1239" s="4" t="s">
        <v>125</v>
      </c>
      <c r="K1239" s="4" t="s">
        <v>126</v>
      </c>
      <c r="L1239">
        <v>0</v>
      </c>
      <c r="M1239" s="4" t="s">
        <v>158</v>
      </c>
    </row>
    <row r="1240" spans="1:13" x14ac:dyDescent="0.2">
      <c r="A1240" s="4" t="s">
        <v>1699</v>
      </c>
      <c r="B1240">
        <v>1239</v>
      </c>
      <c r="C1240" s="4" t="s">
        <v>26</v>
      </c>
      <c r="D1240" s="4" t="s">
        <v>44</v>
      </c>
      <c r="E1240" s="4" t="s">
        <v>32</v>
      </c>
      <c r="F1240" s="4" t="s">
        <v>1680</v>
      </c>
      <c r="G1240">
        <v>11</v>
      </c>
      <c r="H1240">
        <v>52</v>
      </c>
      <c r="I1240" s="4" t="s">
        <v>114</v>
      </c>
      <c r="J1240" s="4" t="s">
        <v>127</v>
      </c>
      <c r="K1240" s="4" t="s">
        <v>128</v>
      </c>
      <c r="L1240">
        <v>27</v>
      </c>
      <c r="M1240" s="4" t="s">
        <v>158</v>
      </c>
    </row>
    <row r="1241" spans="1:13" x14ac:dyDescent="0.2">
      <c r="A1241" s="4" t="s">
        <v>1700</v>
      </c>
      <c r="B1241">
        <v>1240</v>
      </c>
      <c r="C1241" s="4" t="s">
        <v>26</v>
      </c>
      <c r="D1241" s="4" t="s">
        <v>44</v>
      </c>
      <c r="E1241" s="4" t="s">
        <v>32</v>
      </c>
      <c r="F1241" s="4" t="s">
        <v>1680</v>
      </c>
      <c r="G1241">
        <v>11</v>
      </c>
      <c r="H1241">
        <v>52</v>
      </c>
      <c r="I1241" s="4" t="s">
        <v>114</v>
      </c>
      <c r="J1241" s="4" t="s">
        <v>129</v>
      </c>
      <c r="K1241" s="4" t="s">
        <v>130</v>
      </c>
      <c r="L1241">
        <v>34</v>
      </c>
      <c r="M1241" s="4" t="s">
        <v>158</v>
      </c>
    </row>
    <row r="1242" spans="1:13" x14ac:dyDescent="0.2">
      <c r="A1242" s="4" t="s">
        <v>1701</v>
      </c>
      <c r="B1242">
        <v>1241</v>
      </c>
      <c r="C1242" s="4" t="s">
        <v>26</v>
      </c>
      <c r="D1242" s="4" t="s">
        <v>44</v>
      </c>
      <c r="E1242" s="4" t="s">
        <v>32</v>
      </c>
      <c r="F1242" s="4" t="s">
        <v>1680</v>
      </c>
      <c r="G1242">
        <v>11</v>
      </c>
      <c r="H1242">
        <v>52</v>
      </c>
      <c r="I1242" s="4" t="s">
        <v>114</v>
      </c>
      <c r="J1242" s="4" t="s">
        <v>131</v>
      </c>
      <c r="K1242" s="4" t="s">
        <v>132</v>
      </c>
      <c r="L1242">
        <v>60</v>
      </c>
      <c r="M1242" s="4" t="s">
        <v>158</v>
      </c>
    </row>
    <row r="1243" spans="1:13" x14ac:dyDescent="0.2">
      <c r="A1243" s="4" t="s">
        <v>1702</v>
      </c>
      <c r="B1243">
        <v>1242</v>
      </c>
      <c r="C1243" s="4" t="s">
        <v>26</v>
      </c>
      <c r="D1243" s="4" t="s">
        <v>44</v>
      </c>
      <c r="E1243" s="4" t="s">
        <v>32</v>
      </c>
      <c r="F1243" s="4" t="s">
        <v>1680</v>
      </c>
      <c r="G1243">
        <v>11</v>
      </c>
      <c r="H1243">
        <v>52</v>
      </c>
      <c r="I1243" s="4" t="s">
        <v>114</v>
      </c>
      <c r="J1243" s="4" t="s">
        <v>133</v>
      </c>
      <c r="K1243" s="4" t="s">
        <v>134</v>
      </c>
      <c r="L1243">
        <v>32</v>
      </c>
      <c r="M1243" s="4" t="s">
        <v>158</v>
      </c>
    </row>
    <row r="1244" spans="1:13" x14ac:dyDescent="0.2">
      <c r="A1244" s="4" t="s">
        <v>1703</v>
      </c>
      <c r="B1244">
        <v>1243</v>
      </c>
      <c r="C1244" s="4" t="s">
        <v>26</v>
      </c>
      <c r="D1244" s="4" t="s">
        <v>44</v>
      </c>
      <c r="E1244" s="4" t="s">
        <v>32</v>
      </c>
      <c r="F1244" s="4" t="s">
        <v>1680</v>
      </c>
      <c r="G1244">
        <v>11</v>
      </c>
      <c r="H1244">
        <v>52</v>
      </c>
      <c r="I1244" s="4" t="s">
        <v>116</v>
      </c>
      <c r="J1244" s="4" t="s">
        <v>122</v>
      </c>
      <c r="K1244" s="4" t="s">
        <v>123</v>
      </c>
      <c r="L1244">
        <v>78</v>
      </c>
      <c r="M1244" s="4" t="s">
        <v>158</v>
      </c>
    </row>
    <row r="1245" spans="1:13" x14ac:dyDescent="0.2">
      <c r="A1245" s="4" t="s">
        <v>1704</v>
      </c>
      <c r="B1245">
        <v>1244</v>
      </c>
      <c r="C1245" s="4" t="s">
        <v>26</v>
      </c>
      <c r="D1245" s="4" t="s">
        <v>44</v>
      </c>
      <c r="E1245" s="4" t="s">
        <v>32</v>
      </c>
      <c r="F1245" s="4" t="s">
        <v>1680</v>
      </c>
      <c r="G1245">
        <v>11</v>
      </c>
      <c r="H1245">
        <v>52</v>
      </c>
      <c r="I1245" s="4" t="s">
        <v>116</v>
      </c>
      <c r="J1245" s="4" t="s">
        <v>125</v>
      </c>
      <c r="K1245" s="4" t="s">
        <v>126</v>
      </c>
      <c r="L1245">
        <v>5</v>
      </c>
      <c r="M1245" s="4" t="s">
        <v>158</v>
      </c>
    </row>
    <row r="1246" spans="1:13" x14ac:dyDescent="0.2">
      <c r="A1246" s="4" t="s">
        <v>1705</v>
      </c>
      <c r="B1246">
        <v>1245</v>
      </c>
      <c r="C1246" s="4" t="s">
        <v>26</v>
      </c>
      <c r="D1246" s="4" t="s">
        <v>44</v>
      </c>
      <c r="E1246" s="4" t="s">
        <v>32</v>
      </c>
      <c r="F1246" s="4" t="s">
        <v>1680</v>
      </c>
      <c r="G1246">
        <v>11</v>
      </c>
      <c r="H1246">
        <v>52</v>
      </c>
      <c r="I1246" s="4" t="s">
        <v>116</v>
      </c>
      <c r="J1246" s="4" t="s">
        <v>127</v>
      </c>
      <c r="K1246" s="4" t="s">
        <v>128</v>
      </c>
      <c r="L1246">
        <v>100</v>
      </c>
      <c r="M1246" s="4" t="s">
        <v>158</v>
      </c>
    </row>
    <row r="1247" spans="1:13" x14ac:dyDescent="0.2">
      <c r="A1247" s="4" t="s">
        <v>1706</v>
      </c>
      <c r="B1247">
        <v>1246</v>
      </c>
      <c r="C1247" s="4" t="s">
        <v>26</v>
      </c>
      <c r="D1247" s="4" t="s">
        <v>44</v>
      </c>
      <c r="E1247" s="4" t="s">
        <v>32</v>
      </c>
      <c r="F1247" s="4" t="s">
        <v>1680</v>
      </c>
      <c r="G1247">
        <v>11</v>
      </c>
      <c r="H1247">
        <v>52</v>
      </c>
      <c r="I1247" s="4" t="s">
        <v>116</v>
      </c>
      <c r="J1247" s="4" t="s">
        <v>129</v>
      </c>
      <c r="K1247" s="4" t="s">
        <v>130</v>
      </c>
      <c r="L1247">
        <v>77</v>
      </c>
      <c r="M1247" s="4" t="s">
        <v>158</v>
      </c>
    </row>
    <row r="1248" spans="1:13" x14ac:dyDescent="0.2">
      <c r="A1248" s="4" t="s">
        <v>1707</v>
      </c>
      <c r="B1248">
        <v>1247</v>
      </c>
      <c r="C1248" s="4" t="s">
        <v>26</v>
      </c>
      <c r="D1248" s="4" t="s">
        <v>44</v>
      </c>
      <c r="E1248" s="4" t="s">
        <v>32</v>
      </c>
      <c r="F1248" s="4" t="s">
        <v>1680</v>
      </c>
      <c r="G1248">
        <v>11</v>
      </c>
      <c r="H1248">
        <v>52</v>
      </c>
      <c r="I1248" s="4" t="s">
        <v>116</v>
      </c>
      <c r="J1248" s="4" t="s">
        <v>131</v>
      </c>
      <c r="K1248" s="4" t="s">
        <v>132</v>
      </c>
      <c r="L1248">
        <v>40</v>
      </c>
      <c r="M1248" s="4" t="s">
        <v>158</v>
      </c>
    </row>
    <row r="1249" spans="1:13" x14ac:dyDescent="0.2">
      <c r="A1249" s="4" t="s">
        <v>1708</v>
      </c>
      <c r="B1249">
        <v>1248</v>
      </c>
      <c r="C1249" s="4" t="s">
        <v>26</v>
      </c>
      <c r="D1249" s="4" t="s">
        <v>44</v>
      </c>
      <c r="E1249" s="4" t="s">
        <v>32</v>
      </c>
      <c r="F1249" s="4" t="s">
        <v>1680</v>
      </c>
      <c r="G1249">
        <v>11</v>
      </c>
      <c r="H1249">
        <v>52</v>
      </c>
      <c r="I1249" s="4" t="s">
        <v>116</v>
      </c>
      <c r="J1249" s="4" t="s">
        <v>133</v>
      </c>
      <c r="K1249" s="4" t="s">
        <v>134</v>
      </c>
      <c r="L1249">
        <v>31</v>
      </c>
      <c r="M1249" s="4" t="s">
        <v>158</v>
      </c>
    </row>
    <row r="1250" spans="1:13" x14ac:dyDescent="0.2">
      <c r="A1250" s="4" t="s">
        <v>1714</v>
      </c>
      <c r="B1250">
        <v>1249</v>
      </c>
      <c r="C1250" s="4" t="s">
        <v>26</v>
      </c>
      <c r="D1250" s="4" t="s">
        <v>44</v>
      </c>
      <c r="E1250" s="4" t="s">
        <v>35</v>
      </c>
      <c r="F1250" s="4" t="s">
        <v>1715</v>
      </c>
      <c r="G1250">
        <v>11</v>
      </c>
      <c r="H1250">
        <v>53</v>
      </c>
      <c r="I1250" s="4" t="s">
        <v>35</v>
      </c>
      <c r="J1250" s="4" t="s">
        <v>122</v>
      </c>
      <c r="K1250" s="4" t="s">
        <v>123</v>
      </c>
      <c r="L1250">
        <v>701</v>
      </c>
      <c r="M1250" s="4" t="s">
        <v>158</v>
      </c>
    </row>
    <row r="1251" spans="1:13" x14ac:dyDescent="0.2">
      <c r="A1251" s="4" t="s">
        <v>1716</v>
      </c>
      <c r="B1251">
        <v>1250</v>
      </c>
      <c r="C1251" s="4" t="s">
        <v>26</v>
      </c>
      <c r="D1251" s="4" t="s">
        <v>44</v>
      </c>
      <c r="E1251" s="4" t="s">
        <v>35</v>
      </c>
      <c r="F1251" s="4" t="s">
        <v>1715</v>
      </c>
      <c r="G1251">
        <v>11</v>
      </c>
      <c r="H1251">
        <v>53</v>
      </c>
      <c r="I1251" s="4" t="s">
        <v>35</v>
      </c>
      <c r="J1251" s="4" t="s">
        <v>125</v>
      </c>
      <c r="K1251" s="4" t="s">
        <v>126</v>
      </c>
      <c r="L1251">
        <v>18</v>
      </c>
      <c r="M1251" s="4" t="s">
        <v>158</v>
      </c>
    </row>
    <row r="1252" spans="1:13" x14ac:dyDescent="0.2">
      <c r="A1252" s="4" t="s">
        <v>1717</v>
      </c>
      <c r="B1252">
        <v>1251</v>
      </c>
      <c r="C1252" s="4" t="s">
        <v>26</v>
      </c>
      <c r="D1252" s="4" t="s">
        <v>44</v>
      </c>
      <c r="E1252" s="4" t="s">
        <v>35</v>
      </c>
      <c r="F1252" s="4" t="s">
        <v>1715</v>
      </c>
      <c r="G1252">
        <v>11</v>
      </c>
      <c r="H1252">
        <v>53</v>
      </c>
      <c r="I1252" s="4" t="s">
        <v>35</v>
      </c>
      <c r="J1252" s="4" t="s">
        <v>127</v>
      </c>
      <c r="K1252" s="4" t="s">
        <v>128</v>
      </c>
      <c r="L1252">
        <v>702</v>
      </c>
      <c r="M1252" s="4" t="s">
        <v>158</v>
      </c>
    </row>
    <row r="1253" spans="1:13" x14ac:dyDescent="0.2">
      <c r="A1253" s="4" t="s">
        <v>1718</v>
      </c>
      <c r="B1253">
        <v>1252</v>
      </c>
      <c r="C1253" s="4" t="s">
        <v>26</v>
      </c>
      <c r="D1253" s="4" t="s">
        <v>44</v>
      </c>
      <c r="E1253" s="4" t="s">
        <v>35</v>
      </c>
      <c r="F1253" s="4" t="s">
        <v>1715</v>
      </c>
      <c r="G1253">
        <v>11</v>
      </c>
      <c r="H1253">
        <v>53</v>
      </c>
      <c r="I1253" s="4" t="s">
        <v>35</v>
      </c>
      <c r="J1253" s="4" t="s">
        <v>129</v>
      </c>
      <c r="K1253" s="4" t="s">
        <v>130</v>
      </c>
      <c r="L1253">
        <v>95</v>
      </c>
      <c r="M1253" s="4" t="s">
        <v>158</v>
      </c>
    </row>
    <row r="1254" spans="1:13" x14ac:dyDescent="0.2">
      <c r="A1254" s="4" t="s">
        <v>1719</v>
      </c>
      <c r="B1254">
        <v>1253</v>
      </c>
      <c r="C1254" s="4" t="s">
        <v>26</v>
      </c>
      <c r="D1254" s="4" t="s">
        <v>44</v>
      </c>
      <c r="E1254" s="4" t="s">
        <v>35</v>
      </c>
      <c r="F1254" s="4" t="s">
        <v>1715</v>
      </c>
      <c r="G1254">
        <v>11</v>
      </c>
      <c r="H1254">
        <v>53</v>
      </c>
      <c r="I1254" s="4" t="s">
        <v>35</v>
      </c>
      <c r="J1254" s="4" t="s">
        <v>131</v>
      </c>
      <c r="K1254" s="4" t="s">
        <v>132</v>
      </c>
      <c r="L1254">
        <v>159</v>
      </c>
      <c r="M1254" s="4" t="s">
        <v>158</v>
      </c>
    </row>
    <row r="1255" spans="1:13" x14ac:dyDescent="0.2">
      <c r="A1255" s="4" t="s">
        <v>1720</v>
      </c>
      <c r="B1255">
        <v>1254</v>
      </c>
      <c r="C1255" s="4" t="s">
        <v>26</v>
      </c>
      <c r="D1255" s="4" t="s">
        <v>44</v>
      </c>
      <c r="E1255" s="4" t="s">
        <v>35</v>
      </c>
      <c r="F1255" s="4" t="s">
        <v>1715</v>
      </c>
      <c r="G1255">
        <v>11</v>
      </c>
      <c r="H1255">
        <v>53</v>
      </c>
      <c r="I1255" s="4" t="s">
        <v>35</v>
      </c>
      <c r="J1255" s="4" t="s">
        <v>133</v>
      </c>
      <c r="K1255" s="4" t="s">
        <v>134</v>
      </c>
      <c r="L1255">
        <v>182</v>
      </c>
      <c r="M1255" s="4" t="s">
        <v>158</v>
      </c>
    </row>
    <row r="1256" spans="1:13" x14ac:dyDescent="0.2">
      <c r="A1256" s="4" t="s">
        <v>1721</v>
      </c>
      <c r="B1256">
        <v>1255</v>
      </c>
      <c r="C1256" s="4" t="s">
        <v>26</v>
      </c>
      <c r="D1256" s="4" t="s">
        <v>44</v>
      </c>
      <c r="E1256" s="4" t="s">
        <v>35</v>
      </c>
      <c r="F1256" s="4" t="s">
        <v>1715</v>
      </c>
      <c r="G1256">
        <v>11</v>
      </c>
      <c r="H1256">
        <v>53</v>
      </c>
      <c r="I1256" s="4" t="s">
        <v>112</v>
      </c>
      <c r="J1256" s="4" t="s">
        <v>122</v>
      </c>
      <c r="K1256" s="4" t="s">
        <v>123</v>
      </c>
      <c r="L1256">
        <v>18</v>
      </c>
      <c r="M1256" s="4" t="s">
        <v>158</v>
      </c>
    </row>
    <row r="1257" spans="1:13" x14ac:dyDescent="0.2">
      <c r="A1257" s="4" t="s">
        <v>1722</v>
      </c>
      <c r="B1257">
        <v>1256</v>
      </c>
      <c r="C1257" s="4" t="s">
        <v>26</v>
      </c>
      <c r="D1257" s="4" t="s">
        <v>44</v>
      </c>
      <c r="E1257" s="4" t="s">
        <v>35</v>
      </c>
      <c r="F1257" s="4" t="s">
        <v>1715</v>
      </c>
      <c r="G1257">
        <v>11</v>
      </c>
      <c r="H1257">
        <v>53</v>
      </c>
      <c r="I1257" s="4" t="s">
        <v>112</v>
      </c>
      <c r="J1257" s="4" t="s">
        <v>125</v>
      </c>
      <c r="K1257" s="4" t="s">
        <v>126</v>
      </c>
      <c r="L1257">
        <v>28</v>
      </c>
      <c r="M1257" s="4" t="s">
        <v>158</v>
      </c>
    </row>
    <row r="1258" spans="1:13" x14ac:dyDescent="0.2">
      <c r="A1258" s="4" t="s">
        <v>1723</v>
      </c>
      <c r="B1258">
        <v>1257</v>
      </c>
      <c r="C1258" s="4" t="s">
        <v>26</v>
      </c>
      <c r="D1258" s="4" t="s">
        <v>44</v>
      </c>
      <c r="E1258" s="4" t="s">
        <v>35</v>
      </c>
      <c r="F1258" s="4" t="s">
        <v>1715</v>
      </c>
      <c r="G1258">
        <v>11</v>
      </c>
      <c r="H1258">
        <v>53</v>
      </c>
      <c r="I1258" s="4" t="s">
        <v>112</v>
      </c>
      <c r="J1258" s="4" t="s">
        <v>127</v>
      </c>
      <c r="K1258" s="4" t="s">
        <v>128</v>
      </c>
      <c r="L1258">
        <v>0</v>
      </c>
      <c r="M1258" s="4" t="s">
        <v>158</v>
      </c>
    </row>
    <row r="1259" spans="1:13" x14ac:dyDescent="0.2">
      <c r="A1259" s="4" t="s">
        <v>1724</v>
      </c>
      <c r="B1259">
        <v>1258</v>
      </c>
      <c r="C1259" s="4" t="s">
        <v>26</v>
      </c>
      <c r="D1259" s="4" t="s">
        <v>44</v>
      </c>
      <c r="E1259" s="4" t="s">
        <v>35</v>
      </c>
      <c r="F1259" s="4" t="s">
        <v>1715</v>
      </c>
      <c r="G1259">
        <v>11</v>
      </c>
      <c r="H1259">
        <v>53</v>
      </c>
      <c r="I1259" s="4" t="s">
        <v>112</v>
      </c>
      <c r="J1259" s="4" t="s">
        <v>129</v>
      </c>
      <c r="K1259" s="4" t="s">
        <v>130</v>
      </c>
      <c r="L1259">
        <v>0</v>
      </c>
      <c r="M1259" s="4" t="s">
        <v>158</v>
      </c>
    </row>
    <row r="1260" spans="1:13" x14ac:dyDescent="0.2">
      <c r="A1260" s="4" t="s">
        <v>1725</v>
      </c>
      <c r="B1260">
        <v>1259</v>
      </c>
      <c r="C1260" s="4" t="s">
        <v>26</v>
      </c>
      <c r="D1260" s="4" t="s">
        <v>44</v>
      </c>
      <c r="E1260" s="4" t="s">
        <v>35</v>
      </c>
      <c r="F1260" s="4" t="s">
        <v>1715</v>
      </c>
      <c r="G1260">
        <v>11</v>
      </c>
      <c r="H1260">
        <v>53</v>
      </c>
      <c r="I1260" s="4" t="s">
        <v>112</v>
      </c>
      <c r="J1260" s="4" t="s">
        <v>131</v>
      </c>
      <c r="K1260" s="4" t="s">
        <v>132</v>
      </c>
      <c r="L1260">
        <v>0</v>
      </c>
      <c r="M1260" s="4" t="s">
        <v>158</v>
      </c>
    </row>
    <row r="1261" spans="1:13" x14ac:dyDescent="0.2">
      <c r="A1261" s="4" t="s">
        <v>1726</v>
      </c>
      <c r="B1261">
        <v>1260</v>
      </c>
      <c r="C1261" s="4" t="s">
        <v>26</v>
      </c>
      <c r="D1261" s="4" t="s">
        <v>44</v>
      </c>
      <c r="E1261" s="4" t="s">
        <v>35</v>
      </c>
      <c r="F1261" s="4" t="s">
        <v>1715</v>
      </c>
      <c r="G1261">
        <v>11</v>
      </c>
      <c r="H1261">
        <v>53</v>
      </c>
      <c r="I1261" s="4" t="s">
        <v>112</v>
      </c>
      <c r="J1261" s="4" t="s">
        <v>133</v>
      </c>
      <c r="K1261" s="4" t="s">
        <v>134</v>
      </c>
      <c r="L1261">
        <v>43</v>
      </c>
      <c r="M1261" s="4" t="s">
        <v>158</v>
      </c>
    </row>
    <row r="1262" spans="1:13" x14ac:dyDescent="0.2">
      <c r="A1262" s="4" t="s">
        <v>1727</v>
      </c>
      <c r="B1262">
        <v>1261</v>
      </c>
      <c r="C1262" s="4" t="s">
        <v>26</v>
      </c>
      <c r="D1262" s="4" t="s">
        <v>44</v>
      </c>
      <c r="E1262" s="4" t="s">
        <v>35</v>
      </c>
      <c r="F1262" s="4" t="s">
        <v>1715</v>
      </c>
      <c r="G1262">
        <v>11</v>
      </c>
      <c r="H1262">
        <v>53</v>
      </c>
      <c r="I1262" s="4" t="s">
        <v>114</v>
      </c>
      <c r="J1262" s="4" t="s">
        <v>122</v>
      </c>
      <c r="K1262" s="4" t="s">
        <v>123</v>
      </c>
      <c r="L1262">
        <v>100</v>
      </c>
      <c r="M1262" s="4" t="s">
        <v>158</v>
      </c>
    </row>
    <row r="1263" spans="1:13" x14ac:dyDescent="0.2">
      <c r="A1263" s="4" t="s">
        <v>1728</v>
      </c>
      <c r="B1263">
        <v>1262</v>
      </c>
      <c r="C1263" s="4" t="s">
        <v>26</v>
      </c>
      <c r="D1263" s="4" t="s">
        <v>44</v>
      </c>
      <c r="E1263" s="4" t="s">
        <v>35</v>
      </c>
      <c r="F1263" s="4" t="s">
        <v>1715</v>
      </c>
      <c r="G1263">
        <v>11</v>
      </c>
      <c r="H1263">
        <v>53</v>
      </c>
      <c r="I1263" s="4" t="s">
        <v>114</v>
      </c>
      <c r="J1263" s="4" t="s">
        <v>125</v>
      </c>
      <c r="K1263" s="4" t="s">
        <v>126</v>
      </c>
      <c r="L1263">
        <v>0</v>
      </c>
      <c r="M1263" s="4" t="s">
        <v>158</v>
      </c>
    </row>
    <row r="1264" spans="1:13" x14ac:dyDescent="0.2">
      <c r="A1264" s="4" t="s">
        <v>1729</v>
      </c>
      <c r="B1264">
        <v>1263</v>
      </c>
      <c r="C1264" s="4" t="s">
        <v>26</v>
      </c>
      <c r="D1264" s="4" t="s">
        <v>44</v>
      </c>
      <c r="E1264" s="4" t="s">
        <v>35</v>
      </c>
      <c r="F1264" s="4" t="s">
        <v>1715</v>
      </c>
      <c r="G1264">
        <v>11</v>
      </c>
      <c r="H1264">
        <v>53</v>
      </c>
      <c r="I1264" s="4" t="s">
        <v>114</v>
      </c>
      <c r="J1264" s="4" t="s">
        <v>127</v>
      </c>
      <c r="K1264" s="4" t="s">
        <v>128</v>
      </c>
      <c r="L1264">
        <v>0</v>
      </c>
      <c r="M1264" s="4" t="s">
        <v>158</v>
      </c>
    </row>
    <row r="1265" spans="1:13" x14ac:dyDescent="0.2">
      <c r="A1265" s="4" t="s">
        <v>1730</v>
      </c>
      <c r="B1265">
        <v>1264</v>
      </c>
      <c r="C1265" s="4" t="s">
        <v>26</v>
      </c>
      <c r="D1265" s="4" t="s">
        <v>44</v>
      </c>
      <c r="E1265" s="4" t="s">
        <v>35</v>
      </c>
      <c r="F1265" s="4" t="s">
        <v>1715</v>
      </c>
      <c r="G1265">
        <v>11</v>
      </c>
      <c r="H1265">
        <v>53</v>
      </c>
      <c r="I1265" s="4" t="s">
        <v>114</v>
      </c>
      <c r="J1265" s="4" t="s">
        <v>129</v>
      </c>
      <c r="K1265" s="4" t="s">
        <v>130</v>
      </c>
      <c r="L1265">
        <v>34</v>
      </c>
      <c r="M1265" s="4" t="s">
        <v>158</v>
      </c>
    </row>
    <row r="1266" spans="1:13" x14ac:dyDescent="0.2">
      <c r="A1266" s="4" t="s">
        <v>1731</v>
      </c>
      <c r="B1266">
        <v>1265</v>
      </c>
      <c r="C1266" s="4" t="s">
        <v>26</v>
      </c>
      <c r="D1266" s="4" t="s">
        <v>44</v>
      </c>
      <c r="E1266" s="4" t="s">
        <v>35</v>
      </c>
      <c r="F1266" s="4" t="s">
        <v>1715</v>
      </c>
      <c r="G1266">
        <v>11</v>
      </c>
      <c r="H1266">
        <v>53</v>
      </c>
      <c r="I1266" s="4" t="s">
        <v>114</v>
      </c>
      <c r="J1266" s="4" t="s">
        <v>131</v>
      </c>
      <c r="K1266" s="4" t="s">
        <v>132</v>
      </c>
      <c r="L1266">
        <v>32</v>
      </c>
      <c r="M1266" s="4" t="s">
        <v>158</v>
      </c>
    </row>
    <row r="1267" spans="1:13" x14ac:dyDescent="0.2">
      <c r="A1267" s="4" t="s">
        <v>1732</v>
      </c>
      <c r="B1267">
        <v>1266</v>
      </c>
      <c r="C1267" s="4" t="s">
        <v>26</v>
      </c>
      <c r="D1267" s="4" t="s">
        <v>44</v>
      </c>
      <c r="E1267" s="4" t="s">
        <v>35</v>
      </c>
      <c r="F1267" s="4" t="s">
        <v>1715</v>
      </c>
      <c r="G1267">
        <v>11</v>
      </c>
      <c r="H1267">
        <v>53</v>
      </c>
      <c r="I1267" s="4" t="s">
        <v>114</v>
      </c>
      <c r="J1267" s="4" t="s">
        <v>133</v>
      </c>
      <c r="K1267" s="4" t="s">
        <v>134</v>
      </c>
      <c r="L1267">
        <v>32</v>
      </c>
      <c r="M1267" s="4" t="s">
        <v>158</v>
      </c>
    </row>
    <row r="1268" spans="1:13" x14ac:dyDescent="0.2">
      <c r="A1268" s="4" t="s">
        <v>1733</v>
      </c>
      <c r="B1268">
        <v>1267</v>
      </c>
      <c r="C1268" s="4" t="s">
        <v>26</v>
      </c>
      <c r="D1268" s="4" t="s">
        <v>44</v>
      </c>
      <c r="E1268" s="4" t="s">
        <v>35</v>
      </c>
      <c r="F1268" s="4" t="s">
        <v>1715</v>
      </c>
      <c r="G1268">
        <v>11</v>
      </c>
      <c r="H1268">
        <v>53</v>
      </c>
      <c r="I1268" s="4" t="s">
        <v>116</v>
      </c>
      <c r="J1268" s="4" t="s">
        <v>122</v>
      </c>
      <c r="K1268" s="4" t="s">
        <v>123</v>
      </c>
      <c r="L1268">
        <v>78</v>
      </c>
      <c r="M1268" s="4" t="s">
        <v>158</v>
      </c>
    </row>
    <row r="1269" spans="1:13" x14ac:dyDescent="0.2">
      <c r="A1269" s="4" t="s">
        <v>1734</v>
      </c>
      <c r="B1269">
        <v>1268</v>
      </c>
      <c r="C1269" s="4" t="s">
        <v>26</v>
      </c>
      <c r="D1269" s="4" t="s">
        <v>44</v>
      </c>
      <c r="E1269" s="4" t="s">
        <v>35</v>
      </c>
      <c r="F1269" s="4" t="s">
        <v>1715</v>
      </c>
      <c r="G1269">
        <v>11</v>
      </c>
      <c r="H1269">
        <v>53</v>
      </c>
      <c r="I1269" s="4" t="s">
        <v>116</v>
      </c>
      <c r="J1269" s="4" t="s">
        <v>125</v>
      </c>
      <c r="K1269" s="4" t="s">
        <v>126</v>
      </c>
      <c r="L1269">
        <v>5</v>
      </c>
      <c r="M1269" s="4" t="s">
        <v>158</v>
      </c>
    </row>
    <row r="1270" spans="1:13" x14ac:dyDescent="0.2">
      <c r="A1270" s="4" t="s">
        <v>1735</v>
      </c>
      <c r="B1270">
        <v>1269</v>
      </c>
      <c r="C1270" s="4" t="s">
        <v>26</v>
      </c>
      <c r="D1270" s="4" t="s">
        <v>44</v>
      </c>
      <c r="E1270" s="4" t="s">
        <v>35</v>
      </c>
      <c r="F1270" s="4" t="s">
        <v>1715</v>
      </c>
      <c r="G1270">
        <v>11</v>
      </c>
      <c r="H1270">
        <v>53</v>
      </c>
      <c r="I1270" s="4" t="s">
        <v>116</v>
      </c>
      <c r="J1270" s="4" t="s">
        <v>127</v>
      </c>
      <c r="K1270" s="4" t="s">
        <v>128</v>
      </c>
      <c r="L1270">
        <v>100</v>
      </c>
      <c r="M1270" s="4" t="s">
        <v>158</v>
      </c>
    </row>
    <row r="1271" spans="1:13" x14ac:dyDescent="0.2">
      <c r="A1271" s="4" t="s">
        <v>1736</v>
      </c>
      <c r="B1271">
        <v>1270</v>
      </c>
      <c r="C1271" s="4" t="s">
        <v>26</v>
      </c>
      <c r="D1271" s="4" t="s">
        <v>44</v>
      </c>
      <c r="E1271" s="4" t="s">
        <v>35</v>
      </c>
      <c r="F1271" s="4" t="s">
        <v>1715</v>
      </c>
      <c r="G1271">
        <v>11</v>
      </c>
      <c r="H1271">
        <v>53</v>
      </c>
      <c r="I1271" s="4" t="s">
        <v>116</v>
      </c>
      <c r="J1271" s="4" t="s">
        <v>129</v>
      </c>
      <c r="K1271" s="4" t="s">
        <v>130</v>
      </c>
      <c r="L1271">
        <v>51</v>
      </c>
      <c r="M1271" s="4" t="s">
        <v>158</v>
      </c>
    </row>
    <row r="1272" spans="1:13" x14ac:dyDescent="0.2">
      <c r="A1272" s="4" t="s">
        <v>1737</v>
      </c>
      <c r="B1272">
        <v>1271</v>
      </c>
      <c r="C1272" s="4" t="s">
        <v>26</v>
      </c>
      <c r="D1272" s="4" t="s">
        <v>44</v>
      </c>
      <c r="E1272" s="4" t="s">
        <v>35</v>
      </c>
      <c r="F1272" s="4" t="s">
        <v>1715</v>
      </c>
      <c r="G1272">
        <v>11</v>
      </c>
      <c r="H1272">
        <v>53</v>
      </c>
      <c r="I1272" s="4" t="s">
        <v>116</v>
      </c>
      <c r="J1272" s="4" t="s">
        <v>131</v>
      </c>
      <c r="K1272" s="4" t="s">
        <v>132</v>
      </c>
      <c r="L1272">
        <v>40</v>
      </c>
      <c r="M1272" s="4" t="s">
        <v>158</v>
      </c>
    </row>
    <row r="1273" spans="1:13" x14ac:dyDescent="0.2">
      <c r="A1273" s="4" t="s">
        <v>1738</v>
      </c>
      <c r="B1273">
        <v>1272</v>
      </c>
      <c r="C1273" s="4" t="s">
        <v>26</v>
      </c>
      <c r="D1273" s="4" t="s">
        <v>44</v>
      </c>
      <c r="E1273" s="4" t="s">
        <v>35</v>
      </c>
      <c r="F1273" s="4" t="s">
        <v>1715</v>
      </c>
      <c r="G1273">
        <v>11</v>
      </c>
      <c r="H1273">
        <v>53</v>
      </c>
      <c r="I1273" s="4" t="s">
        <v>116</v>
      </c>
      <c r="J1273" s="4" t="s">
        <v>133</v>
      </c>
      <c r="K1273" s="4" t="s">
        <v>134</v>
      </c>
      <c r="L1273">
        <v>31</v>
      </c>
      <c r="M1273" s="4" t="s">
        <v>158</v>
      </c>
    </row>
    <row r="1274" spans="1:13" x14ac:dyDescent="0.2">
      <c r="A1274" s="4" t="s">
        <v>1742</v>
      </c>
      <c r="B1274">
        <v>1273</v>
      </c>
      <c r="C1274" s="4" t="s">
        <v>26</v>
      </c>
      <c r="D1274" s="4" t="s">
        <v>44</v>
      </c>
      <c r="E1274" s="4" t="s">
        <v>38</v>
      </c>
      <c r="F1274" s="4" t="s">
        <v>1743</v>
      </c>
      <c r="G1274">
        <v>11</v>
      </c>
      <c r="H1274">
        <v>54</v>
      </c>
      <c r="I1274" s="4" t="s">
        <v>35</v>
      </c>
      <c r="J1274" s="4" t="s">
        <v>122</v>
      </c>
      <c r="K1274" s="4" t="s">
        <v>123</v>
      </c>
      <c r="L1274">
        <v>0</v>
      </c>
      <c r="M1274" s="4" t="s">
        <v>158</v>
      </c>
    </row>
    <row r="1275" spans="1:13" x14ac:dyDescent="0.2">
      <c r="A1275" s="4" t="s">
        <v>1744</v>
      </c>
      <c r="B1275">
        <v>1274</v>
      </c>
      <c r="C1275" s="4" t="s">
        <v>26</v>
      </c>
      <c r="D1275" s="4" t="s">
        <v>44</v>
      </c>
      <c r="E1275" s="4" t="s">
        <v>38</v>
      </c>
      <c r="F1275" s="4" t="s">
        <v>1743</v>
      </c>
      <c r="G1275">
        <v>11</v>
      </c>
      <c r="H1275">
        <v>54</v>
      </c>
      <c r="I1275" s="4" t="s">
        <v>35</v>
      </c>
      <c r="J1275" s="4" t="s">
        <v>125</v>
      </c>
      <c r="K1275" s="4" t="s">
        <v>126</v>
      </c>
      <c r="L1275">
        <v>0</v>
      </c>
      <c r="M1275" s="4" t="s">
        <v>158</v>
      </c>
    </row>
    <row r="1276" spans="1:13" x14ac:dyDescent="0.2">
      <c r="A1276" s="4" t="s">
        <v>1745</v>
      </c>
      <c r="B1276">
        <v>1275</v>
      </c>
      <c r="C1276" s="4" t="s">
        <v>26</v>
      </c>
      <c r="D1276" s="4" t="s">
        <v>44</v>
      </c>
      <c r="E1276" s="4" t="s">
        <v>38</v>
      </c>
      <c r="F1276" s="4" t="s">
        <v>1743</v>
      </c>
      <c r="G1276">
        <v>11</v>
      </c>
      <c r="H1276">
        <v>54</v>
      </c>
      <c r="I1276" s="4" t="s">
        <v>35</v>
      </c>
      <c r="J1276" s="4" t="s">
        <v>127</v>
      </c>
      <c r="K1276" s="4" t="s">
        <v>128</v>
      </c>
      <c r="L1276">
        <v>52</v>
      </c>
      <c r="M1276" s="4" t="s">
        <v>158</v>
      </c>
    </row>
    <row r="1277" spans="1:13" x14ac:dyDescent="0.2">
      <c r="A1277" s="4" t="s">
        <v>1746</v>
      </c>
      <c r="B1277">
        <v>1276</v>
      </c>
      <c r="C1277" s="4" t="s">
        <v>26</v>
      </c>
      <c r="D1277" s="4" t="s">
        <v>44</v>
      </c>
      <c r="E1277" s="4" t="s">
        <v>38</v>
      </c>
      <c r="F1277" s="4" t="s">
        <v>1743</v>
      </c>
      <c r="G1277">
        <v>11</v>
      </c>
      <c r="H1277">
        <v>54</v>
      </c>
      <c r="I1277" s="4" t="s">
        <v>35</v>
      </c>
      <c r="J1277" s="4" t="s">
        <v>129</v>
      </c>
      <c r="K1277" s="4" t="s">
        <v>130</v>
      </c>
      <c r="L1277">
        <v>0</v>
      </c>
      <c r="M1277" s="4" t="s">
        <v>158</v>
      </c>
    </row>
    <row r="1278" spans="1:13" x14ac:dyDescent="0.2">
      <c r="A1278" s="4" t="s">
        <v>1747</v>
      </c>
      <c r="B1278">
        <v>1277</v>
      </c>
      <c r="C1278" s="4" t="s">
        <v>26</v>
      </c>
      <c r="D1278" s="4" t="s">
        <v>44</v>
      </c>
      <c r="E1278" s="4" t="s">
        <v>38</v>
      </c>
      <c r="F1278" s="4" t="s">
        <v>1743</v>
      </c>
      <c r="G1278">
        <v>11</v>
      </c>
      <c r="H1278">
        <v>54</v>
      </c>
      <c r="I1278" s="4" t="s">
        <v>35</v>
      </c>
      <c r="J1278" s="4" t="s">
        <v>131</v>
      </c>
      <c r="K1278" s="4" t="s">
        <v>132</v>
      </c>
      <c r="L1278">
        <v>0</v>
      </c>
      <c r="M1278" s="4" t="s">
        <v>158</v>
      </c>
    </row>
    <row r="1279" spans="1:13" x14ac:dyDescent="0.2">
      <c r="A1279" s="4" t="s">
        <v>1748</v>
      </c>
      <c r="B1279">
        <v>1278</v>
      </c>
      <c r="C1279" s="4" t="s">
        <v>26</v>
      </c>
      <c r="D1279" s="4" t="s">
        <v>44</v>
      </c>
      <c r="E1279" s="4" t="s">
        <v>38</v>
      </c>
      <c r="F1279" s="4" t="s">
        <v>1743</v>
      </c>
      <c r="G1279">
        <v>11</v>
      </c>
      <c r="H1279">
        <v>54</v>
      </c>
      <c r="I1279" s="4" t="s">
        <v>35</v>
      </c>
      <c r="J1279" s="4" t="s">
        <v>133</v>
      </c>
      <c r="K1279" s="4" t="s">
        <v>134</v>
      </c>
      <c r="L1279">
        <v>88</v>
      </c>
      <c r="M1279" s="4" t="s">
        <v>158</v>
      </c>
    </row>
    <row r="1280" spans="1:13" x14ac:dyDescent="0.2">
      <c r="A1280" s="4" t="s">
        <v>1749</v>
      </c>
      <c r="B1280">
        <v>1279</v>
      </c>
      <c r="C1280" s="4" t="s">
        <v>26</v>
      </c>
      <c r="D1280" s="4" t="s">
        <v>44</v>
      </c>
      <c r="E1280" s="4" t="s">
        <v>38</v>
      </c>
      <c r="F1280" s="4" t="s">
        <v>1743</v>
      </c>
      <c r="G1280">
        <v>11</v>
      </c>
      <c r="H1280">
        <v>54</v>
      </c>
      <c r="I1280" s="4" t="s">
        <v>112</v>
      </c>
      <c r="J1280" s="4" t="s">
        <v>122</v>
      </c>
      <c r="K1280" s="4" t="s">
        <v>123</v>
      </c>
      <c r="L1280">
        <v>630</v>
      </c>
      <c r="M1280" s="4" t="s">
        <v>158</v>
      </c>
    </row>
    <row r="1281" spans="1:13" x14ac:dyDescent="0.2">
      <c r="A1281" s="4" t="s">
        <v>1750</v>
      </c>
      <c r="B1281">
        <v>1280</v>
      </c>
      <c r="C1281" s="4" t="s">
        <v>26</v>
      </c>
      <c r="D1281" s="4" t="s">
        <v>44</v>
      </c>
      <c r="E1281" s="4" t="s">
        <v>38</v>
      </c>
      <c r="F1281" s="4" t="s">
        <v>1743</v>
      </c>
      <c r="G1281">
        <v>11</v>
      </c>
      <c r="H1281">
        <v>54</v>
      </c>
      <c r="I1281" s="4" t="s">
        <v>112</v>
      </c>
      <c r="J1281" s="4" t="s">
        <v>125</v>
      </c>
      <c r="K1281" s="4" t="s">
        <v>126</v>
      </c>
      <c r="L1281">
        <v>6</v>
      </c>
      <c r="M1281" s="4" t="s">
        <v>158</v>
      </c>
    </row>
    <row r="1282" spans="1:13" x14ac:dyDescent="0.2">
      <c r="A1282" s="4" t="s">
        <v>1751</v>
      </c>
      <c r="B1282">
        <v>1281</v>
      </c>
      <c r="C1282" s="4" t="s">
        <v>26</v>
      </c>
      <c r="D1282" s="4" t="s">
        <v>44</v>
      </c>
      <c r="E1282" s="4" t="s">
        <v>38</v>
      </c>
      <c r="F1282" s="4" t="s">
        <v>1743</v>
      </c>
      <c r="G1282">
        <v>11</v>
      </c>
      <c r="H1282">
        <v>54</v>
      </c>
      <c r="I1282" s="4" t="s">
        <v>112</v>
      </c>
      <c r="J1282" s="4" t="s">
        <v>127</v>
      </c>
      <c r="K1282" s="4" t="s">
        <v>128</v>
      </c>
      <c r="L1282">
        <v>250</v>
      </c>
      <c r="M1282" s="4" t="s">
        <v>158</v>
      </c>
    </row>
    <row r="1283" spans="1:13" x14ac:dyDescent="0.2">
      <c r="A1283" s="4" t="s">
        <v>1752</v>
      </c>
      <c r="B1283">
        <v>1282</v>
      </c>
      <c r="C1283" s="4" t="s">
        <v>26</v>
      </c>
      <c r="D1283" s="4" t="s">
        <v>44</v>
      </c>
      <c r="E1283" s="4" t="s">
        <v>38</v>
      </c>
      <c r="F1283" s="4" t="s">
        <v>1743</v>
      </c>
      <c r="G1283">
        <v>11</v>
      </c>
      <c r="H1283">
        <v>54</v>
      </c>
      <c r="I1283" s="4" t="s">
        <v>112</v>
      </c>
      <c r="J1283" s="4" t="s">
        <v>129</v>
      </c>
      <c r="K1283" s="4" t="s">
        <v>130</v>
      </c>
      <c r="L1283">
        <v>42</v>
      </c>
      <c r="M1283" s="4" t="s">
        <v>158</v>
      </c>
    </row>
    <row r="1284" spans="1:13" x14ac:dyDescent="0.2">
      <c r="A1284" s="4" t="s">
        <v>1753</v>
      </c>
      <c r="B1284">
        <v>1283</v>
      </c>
      <c r="C1284" s="4" t="s">
        <v>26</v>
      </c>
      <c r="D1284" s="4" t="s">
        <v>44</v>
      </c>
      <c r="E1284" s="4" t="s">
        <v>38</v>
      </c>
      <c r="F1284" s="4" t="s">
        <v>1743</v>
      </c>
      <c r="G1284">
        <v>11</v>
      </c>
      <c r="H1284">
        <v>54</v>
      </c>
      <c r="I1284" s="4" t="s">
        <v>112</v>
      </c>
      <c r="J1284" s="4" t="s">
        <v>131</v>
      </c>
      <c r="K1284" s="4" t="s">
        <v>132</v>
      </c>
      <c r="L1284">
        <v>62</v>
      </c>
      <c r="M1284" s="4" t="s">
        <v>158</v>
      </c>
    </row>
    <row r="1285" spans="1:13" x14ac:dyDescent="0.2">
      <c r="A1285" s="4" t="s">
        <v>1754</v>
      </c>
      <c r="B1285">
        <v>1284</v>
      </c>
      <c r="C1285" s="4" t="s">
        <v>26</v>
      </c>
      <c r="D1285" s="4" t="s">
        <v>44</v>
      </c>
      <c r="E1285" s="4" t="s">
        <v>38</v>
      </c>
      <c r="F1285" s="4" t="s">
        <v>1743</v>
      </c>
      <c r="G1285">
        <v>11</v>
      </c>
      <c r="H1285">
        <v>54</v>
      </c>
      <c r="I1285" s="4" t="s">
        <v>112</v>
      </c>
      <c r="J1285" s="4" t="s">
        <v>133</v>
      </c>
      <c r="K1285" s="4" t="s">
        <v>134</v>
      </c>
      <c r="L1285">
        <v>100</v>
      </c>
      <c r="M1285" s="4" t="s">
        <v>158</v>
      </c>
    </row>
    <row r="1286" spans="1:13" x14ac:dyDescent="0.2">
      <c r="A1286" s="4" t="s">
        <v>1755</v>
      </c>
      <c r="B1286">
        <v>1285</v>
      </c>
      <c r="C1286" s="4" t="s">
        <v>26</v>
      </c>
      <c r="D1286" s="4" t="s">
        <v>44</v>
      </c>
      <c r="E1286" s="4" t="s">
        <v>38</v>
      </c>
      <c r="F1286" s="4" t="s">
        <v>1743</v>
      </c>
      <c r="G1286">
        <v>11</v>
      </c>
      <c r="H1286">
        <v>54</v>
      </c>
      <c r="I1286" s="4" t="s">
        <v>114</v>
      </c>
      <c r="J1286" s="4" t="s">
        <v>122</v>
      </c>
      <c r="K1286" s="4" t="s">
        <v>123</v>
      </c>
      <c r="L1286">
        <v>100</v>
      </c>
      <c r="M1286" s="4" t="s">
        <v>158</v>
      </c>
    </row>
    <row r="1287" spans="1:13" x14ac:dyDescent="0.2">
      <c r="A1287" s="4" t="s">
        <v>1756</v>
      </c>
      <c r="B1287">
        <v>1286</v>
      </c>
      <c r="C1287" s="4" t="s">
        <v>26</v>
      </c>
      <c r="D1287" s="4" t="s">
        <v>44</v>
      </c>
      <c r="E1287" s="4" t="s">
        <v>38</v>
      </c>
      <c r="F1287" s="4" t="s">
        <v>1743</v>
      </c>
      <c r="G1287">
        <v>11</v>
      </c>
      <c r="H1287">
        <v>54</v>
      </c>
      <c r="I1287" s="4" t="s">
        <v>114</v>
      </c>
      <c r="J1287" s="4" t="s">
        <v>125</v>
      </c>
      <c r="K1287" s="4" t="s">
        <v>126</v>
      </c>
      <c r="L1287">
        <v>10</v>
      </c>
      <c r="M1287" s="4" t="s">
        <v>158</v>
      </c>
    </row>
    <row r="1288" spans="1:13" x14ac:dyDescent="0.2">
      <c r="A1288" s="4" t="s">
        <v>1757</v>
      </c>
      <c r="B1288">
        <v>1287</v>
      </c>
      <c r="C1288" s="4" t="s">
        <v>26</v>
      </c>
      <c r="D1288" s="4" t="s">
        <v>44</v>
      </c>
      <c r="E1288" s="4" t="s">
        <v>38</v>
      </c>
      <c r="F1288" s="4" t="s">
        <v>1743</v>
      </c>
      <c r="G1288">
        <v>11</v>
      </c>
      <c r="H1288">
        <v>54</v>
      </c>
      <c r="I1288" s="4" t="s">
        <v>114</v>
      </c>
      <c r="J1288" s="4" t="s">
        <v>127</v>
      </c>
      <c r="K1288" s="4" t="s">
        <v>128</v>
      </c>
      <c r="L1288">
        <v>400</v>
      </c>
      <c r="M1288" s="4" t="s">
        <v>158</v>
      </c>
    </row>
    <row r="1289" spans="1:13" x14ac:dyDescent="0.2">
      <c r="A1289" s="4" t="s">
        <v>1758</v>
      </c>
      <c r="B1289">
        <v>1288</v>
      </c>
      <c r="C1289" s="4" t="s">
        <v>26</v>
      </c>
      <c r="D1289" s="4" t="s">
        <v>44</v>
      </c>
      <c r="E1289" s="4" t="s">
        <v>38</v>
      </c>
      <c r="F1289" s="4" t="s">
        <v>1743</v>
      </c>
      <c r="G1289">
        <v>11</v>
      </c>
      <c r="H1289">
        <v>54</v>
      </c>
      <c r="I1289" s="4" t="s">
        <v>114</v>
      </c>
      <c r="J1289" s="4" t="s">
        <v>129</v>
      </c>
      <c r="K1289" s="4" t="s">
        <v>130</v>
      </c>
      <c r="L1289">
        <v>47</v>
      </c>
      <c r="M1289" s="4" t="s">
        <v>158</v>
      </c>
    </row>
    <row r="1290" spans="1:13" x14ac:dyDescent="0.2">
      <c r="A1290" s="4" t="s">
        <v>1759</v>
      </c>
      <c r="B1290">
        <v>1289</v>
      </c>
      <c r="C1290" s="4" t="s">
        <v>26</v>
      </c>
      <c r="D1290" s="4" t="s">
        <v>44</v>
      </c>
      <c r="E1290" s="4" t="s">
        <v>38</v>
      </c>
      <c r="F1290" s="4" t="s">
        <v>1743</v>
      </c>
      <c r="G1290">
        <v>11</v>
      </c>
      <c r="H1290">
        <v>54</v>
      </c>
      <c r="I1290" s="4" t="s">
        <v>114</v>
      </c>
      <c r="J1290" s="4" t="s">
        <v>131</v>
      </c>
      <c r="K1290" s="4" t="s">
        <v>132</v>
      </c>
      <c r="L1290">
        <v>73</v>
      </c>
      <c r="M1290" s="4" t="s">
        <v>158</v>
      </c>
    </row>
    <row r="1291" spans="1:13" x14ac:dyDescent="0.2">
      <c r="A1291" s="4" t="s">
        <v>1760</v>
      </c>
      <c r="B1291">
        <v>1290</v>
      </c>
      <c r="C1291" s="4" t="s">
        <v>26</v>
      </c>
      <c r="D1291" s="4" t="s">
        <v>44</v>
      </c>
      <c r="E1291" s="4" t="s">
        <v>38</v>
      </c>
      <c r="F1291" s="4" t="s">
        <v>1743</v>
      </c>
      <c r="G1291">
        <v>11</v>
      </c>
      <c r="H1291">
        <v>54</v>
      </c>
      <c r="I1291" s="4" t="s">
        <v>114</v>
      </c>
      <c r="J1291" s="4" t="s">
        <v>133</v>
      </c>
      <c r="K1291" s="4" t="s">
        <v>134</v>
      </c>
      <c r="L1291">
        <v>50</v>
      </c>
      <c r="M1291" s="4" t="s">
        <v>158</v>
      </c>
    </row>
    <row r="1292" spans="1:13" x14ac:dyDescent="0.2">
      <c r="A1292" s="4" t="s">
        <v>1761</v>
      </c>
      <c r="B1292">
        <v>1291</v>
      </c>
      <c r="C1292" s="4" t="s">
        <v>26</v>
      </c>
      <c r="D1292" s="4" t="s">
        <v>44</v>
      </c>
      <c r="E1292" s="4" t="s">
        <v>38</v>
      </c>
      <c r="F1292" s="4" t="s">
        <v>1743</v>
      </c>
      <c r="G1292">
        <v>11</v>
      </c>
      <c r="H1292">
        <v>54</v>
      </c>
      <c r="I1292" s="4" t="s">
        <v>116</v>
      </c>
      <c r="J1292" s="4" t="s">
        <v>122</v>
      </c>
      <c r="K1292" s="4" t="s">
        <v>123</v>
      </c>
      <c r="L1292">
        <v>71</v>
      </c>
      <c r="M1292" s="4" t="s">
        <v>158</v>
      </c>
    </row>
    <row r="1293" spans="1:13" x14ac:dyDescent="0.2">
      <c r="A1293" s="4" t="s">
        <v>1762</v>
      </c>
      <c r="B1293">
        <v>1292</v>
      </c>
      <c r="C1293" s="4" t="s">
        <v>26</v>
      </c>
      <c r="D1293" s="4" t="s">
        <v>44</v>
      </c>
      <c r="E1293" s="4" t="s">
        <v>38</v>
      </c>
      <c r="F1293" s="4" t="s">
        <v>1743</v>
      </c>
      <c r="G1293">
        <v>11</v>
      </c>
      <c r="H1293">
        <v>54</v>
      </c>
      <c r="I1293" s="4" t="s">
        <v>116</v>
      </c>
      <c r="J1293" s="4" t="s">
        <v>125</v>
      </c>
      <c r="K1293" s="4" t="s">
        <v>126</v>
      </c>
      <c r="L1293">
        <v>10</v>
      </c>
      <c r="M1293" s="4" t="s">
        <v>158</v>
      </c>
    </row>
    <row r="1294" spans="1:13" x14ac:dyDescent="0.2">
      <c r="A1294" s="4" t="s">
        <v>1763</v>
      </c>
      <c r="B1294">
        <v>1293</v>
      </c>
      <c r="C1294" s="4" t="s">
        <v>26</v>
      </c>
      <c r="D1294" s="4" t="s">
        <v>44</v>
      </c>
      <c r="E1294" s="4" t="s">
        <v>38</v>
      </c>
      <c r="F1294" s="4" t="s">
        <v>1743</v>
      </c>
      <c r="G1294">
        <v>11</v>
      </c>
      <c r="H1294">
        <v>54</v>
      </c>
      <c r="I1294" s="4" t="s">
        <v>116</v>
      </c>
      <c r="J1294" s="4" t="s">
        <v>127</v>
      </c>
      <c r="K1294" s="4" t="s">
        <v>128</v>
      </c>
      <c r="L1294">
        <v>100</v>
      </c>
      <c r="M1294" s="4" t="s">
        <v>158</v>
      </c>
    </row>
    <row r="1295" spans="1:13" x14ac:dyDescent="0.2">
      <c r="A1295" s="4" t="s">
        <v>1764</v>
      </c>
      <c r="B1295">
        <v>1294</v>
      </c>
      <c r="C1295" s="4" t="s">
        <v>26</v>
      </c>
      <c r="D1295" s="4" t="s">
        <v>44</v>
      </c>
      <c r="E1295" s="4" t="s">
        <v>38</v>
      </c>
      <c r="F1295" s="4" t="s">
        <v>1743</v>
      </c>
      <c r="G1295">
        <v>11</v>
      </c>
      <c r="H1295">
        <v>54</v>
      </c>
      <c r="I1295" s="4" t="s">
        <v>116</v>
      </c>
      <c r="J1295" s="4" t="s">
        <v>129</v>
      </c>
      <c r="K1295" s="4" t="s">
        <v>130</v>
      </c>
      <c r="L1295">
        <v>71</v>
      </c>
      <c r="M1295" s="4" t="s">
        <v>158</v>
      </c>
    </row>
    <row r="1296" spans="1:13" x14ac:dyDescent="0.2">
      <c r="A1296" s="4" t="s">
        <v>1765</v>
      </c>
      <c r="B1296">
        <v>1295</v>
      </c>
      <c r="C1296" s="4" t="s">
        <v>26</v>
      </c>
      <c r="D1296" s="4" t="s">
        <v>44</v>
      </c>
      <c r="E1296" s="4" t="s">
        <v>38</v>
      </c>
      <c r="F1296" s="4" t="s">
        <v>1743</v>
      </c>
      <c r="G1296">
        <v>11</v>
      </c>
      <c r="H1296">
        <v>54</v>
      </c>
      <c r="I1296" s="4" t="s">
        <v>116</v>
      </c>
      <c r="J1296" s="4" t="s">
        <v>131</v>
      </c>
      <c r="K1296" s="4" t="s">
        <v>132</v>
      </c>
      <c r="L1296">
        <v>64</v>
      </c>
      <c r="M1296" s="4" t="s">
        <v>158</v>
      </c>
    </row>
    <row r="1297" spans="1:13" x14ac:dyDescent="0.2">
      <c r="A1297" s="4" t="s">
        <v>1766</v>
      </c>
      <c r="B1297">
        <v>1296</v>
      </c>
      <c r="C1297" s="4" t="s">
        <v>26</v>
      </c>
      <c r="D1297" s="4" t="s">
        <v>44</v>
      </c>
      <c r="E1297" s="4" t="s">
        <v>38</v>
      </c>
      <c r="F1297" s="4" t="s">
        <v>1743</v>
      </c>
      <c r="G1297">
        <v>11</v>
      </c>
      <c r="H1297">
        <v>54</v>
      </c>
      <c r="I1297" s="4" t="s">
        <v>116</v>
      </c>
      <c r="J1297" s="4" t="s">
        <v>133</v>
      </c>
      <c r="K1297" s="4" t="s">
        <v>134</v>
      </c>
      <c r="L1297">
        <v>19</v>
      </c>
      <c r="M1297" s="4" t="s">
        <v>158</v>
      </c>
    </row>
    <row r="1298" spans="1:13" x14ac:dyDescent="0.2">
      <c r="A1298" s="4" t="s">
        <v>1772</v>
      </c>
      <c r="B1298">
        <v>1297</v>
      </c>
      <c r="C1298" s="4" t="s">
        <v>26</v>
      </c>
      <c r="D1298" s="4" t="s">
        <v>44</v>
      </c>
      <c r="E1298" s="4" t="s">
        <v>41</v>
      </c>
      <c r="F1298" s="4" t="s">
        <v>1773</v>
      </c>
      <c r="G1298">
        <v>11</v>
      </c>
      <c r="H1298">
        <v>55</v>
      </c>
      <c r="I1298" s="4" t="s">
        <v>35</v>
      </c>
      <c r="J1298" s="4" t="s">
        <v>122</v>
      </c>
      <c r="K1298" s="4" t="s">
        <v>123</v>
      </c>
      <c r="L1298">
        <v>0</v>
      </c>
      <c r="M1298" s="4" t="s">
        <v>158</v>
      </c>
    </row>
    <row r="1299" spans="1:13" x14ac:dyDescent="0.2">
      <c r="A1299" s="4" t="s">
        <v>1774</v>
      </c>
      <c r="B1299">
        <v>1298</v>
      </c>
      <c r="C1299" s="4" t="s">
        <v>26</v>
      </c>
      <c r="D1299" s="4" t="s">
        <v>44</v>
      </c>
      <c r="E1299" s="4" t="s">
        <v>41</v>
      </c>
      <c r="F1299" s="4" t="s">
        <v>1773</v>
      </c>
      <c r="G1299">
        <v>11</v>
      </c>
      <c r="H1299">
        <v>55</v>
      </c>
      <c r="I1299" s="4" t="s">
        <v>35</v>
      </c>
      <c r="J1299" s="4" t="s">
        <v>125</v>
      </c>
      <c r="K1299" s="4" t="s">
        <v>126</v>
      </c>
      <c r="L1299">
        <v>0</v>
      </c>
      <c r="M1299" s="4" t="s">
        <v>158</v>
      </c>
    </row>
    <row r="1300" spans="1:13" x14ac:dyDescent="0.2">
      <c r="A1300" s="4" t="s">
        <v>1775</v>
      </c>
      <c r="B1300">
        <v>1299</v>
      </c>
      <c r="C1300" s="4" t="s">
        <v>26</v>
      </c>
      <c r="D1300" s="4" t="s">
        <v>44</v>
      </c>
      <c r="E1300" s="4" t="s">
        <v>41</v>
      </c>
      <c r="F1300" s="4" t="s">
        <v>1773</v>
      </c>
      <c r="G1300">
        <v>11</v>
      </c>
      <c r="H1300">
        <v>55</v>
      </c>
      <c r="I1300" s="4" t="s">
        <v>35</v>
      </c>
      <c r="J1300" s="4" t="s">
        <v>127</v>
      </c>
      <c r="K1300" s="4" t="s">
        <v>128</v>
      </c>
      <c r="L1300">
        <v>52</v>
      </c>
      <c r="M1300" s="4" t="s">
        <v>158</v>
      </c>
    </row>
    <row r="1301" spans="1:13" x14ac:dyDescent="0.2">
      <c r="A1301" s="4" t="s">
        <v>1776</v>
      </c>
      <c r="B1301">
        <v>1300</v>
      </c>
      <c r="C1301" s="4" t="s">
        <v>26</v>
      </c>
      <c r="D1301" s="4" t="s">
        <v>44</v>
      </c>
      <c r="E1301" s="4" t="s">
        <v>41</v>
      </c>
      <c r="F1301" s="4" t="s">
        <v>1773</v>
      </c>
      <c r="G1301">
        <v>11</v>
      </c>
      <c r="H1301">
        <v>55</v>
      </c>
      <c r="I1301" s="4" t="s">
        <v>35</v>
      </c>
      <c r="J1301" s="4" t="s">
        <v>129</v>
      </c>
      <c r="K1301" s="4" t="s">
        <v>130</v>
      </c>
      <c r="L1301">
        <v>0</v>
      </c>
      <c r="M1301" s="4" t="s">
        <v>158</v>
      </c>
    </row>
    <row r="1302" spans="1:13" x14ac:dyDescent="0.2">
      <c r="A1302" s="4" t="s">
        <v>1777</v>
      </c>
      <c r="B1302">
        <v>1301</v>
      </c>
      <c r="C1302" s="4" t="s">
        <v>26</v>
      </c>
      <c r="D1302" s="4" t="s">
        <v>44</v>
      </c>
      <c r="E1302" s="4" t="s">
        <v>41</v>
      </c>
      <c r="F1302" s="4" t="s">
        <v>1773</v>
      </c>
      <c r="G1302">
        <v>11</v>
      </c>
      <c r="H1302">
        <v>55</v>
      </c>
      <c r="I1302" s="4" t="s">
        <v>35</v>
      </c>
      <c r="J1302" s="4" t="s">
        <v>131</v>
      </c>
      <c r="K1302" s="4" t="s">
        <v>132</v>
      </c>
      <c r="L1302">
        <v>0</v>
      </c>
      <c r="M1302" s="4" t="s">
        <v>158</v>
      </c>
    </row>
    <row r="1303" spans="1:13" x14ac:dyDescent="0.2">
      <c r="A1303" s="4" t="s">
        <v>1778</v>
      </c>
      <c r="B1303">
        <v>1302</v>
      </c>
      <c r="C1303" s="4" t="s">
        <v>26</v>
      </c>
      <c r="D1303" s="4" t="s">
        <v>44</v>
      </c>
      <c r="E1303" s="4" t="s">
        <v>41</v>
      </c>
      <c r="F1303" s="4" t="s">
        <v>1773</v>
      </c>
      <c r="G1303">
        <v>11</v>
      </c>
      <c r="H1303">
        <v>55</v>
      </c>
      <c r="I1303" s="4" t="s">
        <v>35</v>
      </c>
      <c r="J1303" s="4" t="s">
        <v>133</v>
      </c>
      <c r="K1303" s="4" t="s">
        <v>134</v>
      </c>
      <c r="L1303">
        <v>88</v>
      </c>
      <c r="M1303" s="4" t="s">
        <v>158</v>
      </c>
    </row>
    <row r="1304" spans="1:13" x14ac:dyDescent="0.2">
      <c r="A1304" s="4" t="s">
        <v>1779</v>
      </c>
      <c r="B1304">
        <v>1303</v>
      </c>
      <c r="C1304" s="4" t="s">
        <v>26</v>
      </c>
      <c r="D1304" s="4" t="s">
        <v>44</v>
      </c>
      <c r="E1304" s="4" t="s">
        <v>41</v>
      </c>
      <c r="F1304" s="4" t="s">
        <v>1773</v>
      </c>
      <c r="G1304">
        <v>11</v>
      </c>
      <c r="H1304">
        <v>55</v>
      </c>
      <c r="I1304" s="4" t="s">
        <v>112</v>
      </c>
      <c r="J1304" s="4" t="s">
        <v>122</v>
      </c>
      <c r="K1304" s="4" t="s">
        <v>123</v>
      </c>
      <c r="L1304">
        <v>521</v>
      </c>
      <c r="M1304" s="4" t="s">
        <v>158</v>
      </c>
    </row>
    <row r="1305" spans="1:13" x14ac:dyDescent="0.2">
      <c r="A1305" s="4" t="s">
        <v>1780</v>
      </c>
      <c r="B1305">
        <v>1304</v>
      </c>
      <c r="C1305" s="4" t="s">
        <v>26</v>
      </c>
      <c r="D1305" s="4" t="s">
        <v>44</v>
      </c>
      <c r="E1305" s="4" t="s">
        <v>41</v>
      </c>
      <c r="F1305" s="4" t="s">
        <v>1773</v>
      </c>
      <c r="G1305">
        <v>11</v>
      </c>
      <c r="H1305">
        <v>55</v>
      </c>
      <c r="I1305" s="4" t="s">
        <v>112</v>
      </c>
      <c r="J1305" s="4" t="s">
        <v>125</v>
      </c>
      <c r="K1305" s="4" t="s">
        <v>126</v>
      </c>
      <c r="L1305">
        <v>0</v>
      </c>
      <c r="M1305" s="4" t="s">
        <v>158</v>
      </c>
    </row>
    <row r="1306" spans="1:13" x14ac:dyDescent="0.2">
      <c r="A1306" s="4" t="s">
        <v>1781</v>
      </c>
      <c r="B1306">
        <v>1305</v>
      </c>
      <c r="C1306" s="4" t="s">
        <v>26</v>
      </c>
      <c r="D1306" s="4" t="s">
        <v>44</v>
      </c>
      <c r="E1306" s="4" t="s">
        <v>41</v>
      </c>
      <c r="F1306" s="4" t="s">
        <v>1773</v>
      </c>
      <c r="G1306">
        <v>11</v>
      </c>
      <c r="H1306">
        <v>55</v>
      </c>
      <c r="I1306" s="4" t="s">
        <v>112</v>
      </c>
      <c r="J1306" s="4" t="s">
        <v>127</v>
      </c>
      <c r="K1306" s="4" t="s">
        <v>128</v>
      </c>
      <c r="L1306">
        <v>175</v>
      </c>
      <c r="M1306" s="4" t="s">
        <v>158</v>
      </c>
    </row>
    <row r="1307" spans="1:13" x14ac:dyDescent="0.2">
      <c r="A1307" s="4" t="s">
        <v>1782</v>
      </c>
      <c r="B1307">
        <v>1306</v>
      </c>
      <c r="C1307" s="4" t="s">
        <v>26</v>
      </c>
      <c r="D1307" s="4" t="s">
        <v>44</v>
      </c>
      <c r="E1307" s="4" t="s">
        <v>41</v>
      </c>
      <c r="F1307" s="4" t="s">
        <v>1773</v>
      </c>
      <c r="G1307">
        <v>11</v>
      </c>
      <c r="H1307">
        <v>55</v>
      </c>
      <c r="I1307" s="4" t="s">
        <v>112</v>
      </c>
      <c r="J1307" s="4" t="s">
        <v>129</v>
      </c>
      <c r="K1307" s="4" t="s">
        <v>130</v>
      </c>
      <c r="L1307">
        <v>42</v>
      </c>
      <c r="M1307" s="4" t="s">
        <v>158</v>
      </c>
    </row>
    <row r="1308" spans="1:13" x14ac:dyDescent="0.2">
      <c r="A1308" s="4" t="s">
        <v>1783</v>
      </c>
      <c r="B1308">
        <v>1307</v>
      </c>
      <c r="C1308" s="4" t="s">
        <v>26</v>
      </c>
      <c r="D1308" s="4" t="s">
        <v>44</v>
      </c>
      <c r="E1308" s="4" t="s">
        <v>41</v>
      </c>
      <c r="F1308" s="4" t="s">
        <v>1773</v>
      </c>
      <c r="G1308">
        <v>11</v>
      </c>
      <c r="H1308">
        <v>55</v>
      </c>
      <c r="I1308" s="4" t="s">
        <v>112</v>
      </c>
      <c r="J1308" s="4" t="s">
        <v>131</v>
      </c>
      <c r="K1308" s="4" t="s">
        <v>132</v>
      </c>
      <c r="L1308">
        <v>62</v>
      </c>
      <c r="M1308" s="4" t="s">
        <v>158</v>
      </c>
    </row>
    <row r="1309" spans="1:13" x14ac:dyDescent="0.2">
      <c r="A1309" s="4" t="s">
        <v>1784</v>
      </c>
      <c r="B1309">
        <v>1308</v>
      </c>
      <c r="C1309" s="4" t="s">
        <v>26</v>
      </c>
      <c r="D1309" s="4" t="s">
        <v>44</v>
      </c>
      <c r="E1309" s="4" t="s">
        <v>41</v>
      </c>
      <c r="F1309" s="4" t="s">
        <v>1773</v>
      </c>
      <c r="G1309">
        <v>11</v>
      </c>
      <c r="H1309">
        <v>55</v>
      </c>
      <c r="I1309" s="4" t="s">
        <v>112</v>
      </c>
      <c r="J1309" s="4" t="s">
        <v>133</v>
      </c>
      <c r="K1309" s="4" t="s">
        <v>134</v>
      </c>
      <c r="L1309">
        <v>23</v>
      </c>
      <c r="M1309" s="4" t="s">
        <v>158</v>
      </c>
    </row>
    <row r="1310" spans="1:13" x14ac:dyDescent="0.2">
      <c r="A1310" s="4" t="s">
        <v>1785</v>
      </c>
      <c r="B1310">
        <v>1309</v>
      </c>
      <c r="C1310" s="4" t="s">
        <v>26</v>
      </c>
      <c r="D1310" s="4" t="s">
        <v>44</v>
      </c>
      <c r="E1310" s="4" t="s">
        <v>41</v>
      </c>
      <c r="F1310" s="4" t="s">
        <v>1773</v>
      </c>
      <c r="G1310">
        <v>11</v>
      </c>
      <c r="H1310">
        <v>55</v>
      </c>
      <c r="I1310" s="4" t="s">
        <v>114</v>
      </c>
      <c r="J1310" s="4" t="s">
        <v>122</v>
      </c>
      <c r="K1310" s="4" t="s">
        <v>123</v>
      </c>
      <c r="L1310">
        <v>100</v>
      </c>
      <c r="M1310" s="4" t="s">
        <v>158</v>
      </c>
    </row>
    <row r="1311" spans="1:13" x14ac:dyDescent="0.2">
      <c r="A1311" s="4" t="s">
        <v>1786</v>
      </c>
      <c r="B1311">
        <v>1310</v>
      </c>
      <c r="C1311" s="4" t="s">
        <v>26</v>
      </c>
      <c r="D1311" s="4" t="s">
        <v>44</v>
      </c>
      <c r="E1311" s="4" t="s">
        <v>41</v>
      </c>
      <c r="F1311" s="4" t="s">
        <v>1773</v>
      </c>
      <c r="G1311">
        <v>11</v>
      </c>
      <c r="H1311">
        <v>55</v>
      </c>
      <c r="I1311" s="4" t="s">
        <v>114</v>
      </c>
      <c r="J1311" s="4" t="s">
        <v>125</v>
      </c>
      <c r="K1311" s="4" t="s">
        <v>126</v>
      </c>
      <c r="L1311">
        <v>10</v>
      </c>
      <c r="M1311" s="4" t="s">
        <v>158</v>
      </c>
    </row>
    <row r="1312" spans="1:13" x14ac:dyDescent="0.2">
      <c r="A1312" s="4" t="s">
        <v>1787</v>
      </c>
      <c r="B1312">
        <v>1311</v>
      </c>
      <c r="C1312" s="4" t="s">
        <v>26</v>
      </c>
      <c r="D1312" s="4" t="s">
        <v>44</v>
      </c>
      <c r="E1312" s="4" t="s">
        <v>41</v>
      </c>
      <c r="F1312" s="4" t="s">
        <v>1773</v>
      </c>
      <c r="G1312">
        <v>11</v>
      </c>
      <c r="H1312">
        <v>55</v>
      </c>
      <c r="I1312" s="4" t="s">
        <v>114</v>
      </c>
      <c r="J1312" s="4" t="s">
        <v>127</v>
      </c>
      <c r="K1312" s="4" t="s">
        <v>128</v>
      </c>
      <c r="L1312">
        <v>280</v>
      </c>
      <c r="M1312" s="4" t="s">
        <v>158</v>
      </c>
    </row>
    <row r="1313" spans="1:13" x14ac:dyDescent="0.2">
      <c r="A1313" s="4" t="s">
        <v>1788</v>
      </c>
      <c r="B1313">
        <v>1312</v>
      </c>
      <c r="C1313" s="4" t="s">
        <v>26</v>
      </c>
      <c r="D1313" s="4" t="s">
        <v>44</v>
      </c>
      <c r="E1313" s="4" t="s">
        <v>41</v>
      </c>
      <c r="F1313" s="4" t="s">
        <v>1773</v>
      </c>
      <c r="G1313">
        <v>11</v>
      </c>
      <c r="H1313">
        <v>55</v>
      </c>
      <c r="I1313" s="4" t="s">
        <v>114</v>
      </c>
      <c r="J1313" s="4" t="s">
        <v>129</v>
      </c>
      <c r="K1313" s="4" t="s">
        <v>130</v>
      </c>
      <c r="L1313">
        <v>47</v>
      </c>
      <c r="M1313" s="4" t="s">
        <v>158</v>
      </c>
    </row>
    <row r="1314" spans="1:13" x14ac:dyDescent="0.2">
      <c r="A1314" s="4" t="s">
        <v>1789</v>
      </c>
      <c r="B1314">
        <v>1313</v>
      </c>
      <c r="C1314" s="4" t="s">
        <v>26</v>
      </c>
      <c r="D1314" s="4" t="s">
        <v>44</v>
      </c>
      <c r="E1314" s="4" t="s">
        <v>41</v>
      </c>
      <c r="F1314" s="4" t="s">
        <v>1773</v>
      </c>
      <c r="G1314">
        <v>11</v>
      </c>
      <c r="H1314">
        <v>55</v>
      </c>
      <c r="I1314" s="4" t="s">
        <v>114</v>
      </c>
      <c r="J1314" s="4" t="s">
        <v>131</v>
      </c>
      <c r="K1314" s="4" t="s">
        <v>132</v>
      </c>
      <c r="L1314">
        <v>37</v>
      </c>
      <c r="M1314" s="4" t="s">
        <v>158</v>
      </c>
    </row>
    <row r="1315" spans="1:13" x14ac:dyDescent="0.2">
      <c r="A1315" s="4" t="s">
        <v>1790</v>
      </c>
      <c r="B1315">
        <v>1314</v>
      </c>
      <c r="C1315" s="4" t="s">
        <v>26</v>
      </c>
      <c r="D1315" s="4" t="s">
        <v>44</v>
      </c>
      <c r="E1315" s="4" t="s">
        <v>41</v>
      </c>
      <c r="F1315" s="4" t="s">
        <v>1773</v>
      </c>
      <c r="G1315">
        <v>11</v>
      </c>
      <c r="H1315">
        <v>55</v>
      </c>
      <c r="I1315" s="4" t="s">
        <v>114</v>
      </c>
      <c r="J1315" s="4" t="s">
        <v>133</v>
      </c>
      <c r="K1315" s="4" t="s">
        <v>134</v>
      </c>
      <c r="L1315">
        <v>50</v>
      </c>
      <c r="M1315" s="4" t="s">
        <v>158</v>
      </c>
    </row>
    <row r="1316" spans="1:13" x14ac:dyDescent="0.2">
      <c r="A1316" s="4" t="s">
        <v>1791</v>
      </c>
      <c r="B1316">
        <v>1315</v>
      </c>
      <c r="C1316" s="4" t="s">
        <v>26</v>
      </c>
      <c r="D1316" s="4" t="s">
        <v>44</v>
      </c>
      <c r="E1316" s="4" t="s">
        <v>41</v>
      </c>
      <c r="F1316" s="4" t="s">
        <v>1773</v>
      </c>
      <c r="G1316">
        <v>11</v>
      </c>
      <c r="H1316">
        <v>55</v>
      </c>
      <c r="I1316" s="4" t="s">
        <v>116</v>
      </c>
      <c r="J1316" s="4" t="s">
        <v>122</v>
      </c>
      <c r="K1316" s="4" t="s">
        <v>123</v>
      </c>
      <c r="L1316">
        <v>71</v>
      </c>
      <c r="M1316" s="4" t="s">
        <v>158</v>
      </c>
    </row>
    <row r="1317" spans="1:13" x14ac:dyDescent="0.2">
      <c r="A1317" s="4" t="s">
        <v>1792</v>
      </c>
      <c r="B1317">
        <v>1316</v>
      </c>
      <c r="C1317" s="4" t="s">
        <v>26</v>
      </c>
      <c r="D1317" s="4" t="s">
        <v>44</v>
      </c>
      <c r="E1317" s="4" t="s">
        <v>41</v>
      </c>
      <c r="F1317" s="4" t="s">
        <v>1773</v>
      </c>
      <c r="G1317">
        <v>11</v>
      </c>
      <c r="H1317">
        <v>55</v>
      </c>
      <c r="I1317" s="4" t="s">
        <v>116</v>
      </c>
      <c r="J1317" s="4" t="s">
        <v>125</v>
      </c>
      <c r="K1317" s="4" t="s">
        <v>126</v>
      </c>
      <c r="L1317">
        <v>10</v>
      </c>
      <c r="M1317" s="4" t="s">
        <v>158</v>
      </c>
    </row>
    <row r="1318" spans="1:13" x14ac:dyDescent="0.2">
      <c r="A1318" s="4" t="s">
        <v>1793</v>
      </c>
      <c r="B1318">
        <v>1317</v>
      </c>
      <c r="C1318" s="4" t="s">
        <v>26</v>
      </c>
      <c r="D1318" s="4" t="s">
        <v>44</v>
      </c>
      <c r="E1318" s="4" t="s">
        <v>41</v>
      </c>
      <c r="F1318" s="4" t="s">
        <v>1773</v>
      </c>
      <c r="G1318">
        <v>11</v>
      </c>
      <c r="H1318">
        <v>55</v>
      </c>
      <c r="I1318" s="4" t="s">
        <v>116</v>
      </c>
      <c r="J1318" s="4" t="s">
        <v>127</v>
      </c>
      <c r="K1318" s="4" t="s">
        <v>128</v>
      </c>
      <c r="L1318">
        <v>100</v>
      </c>
      <c r="M1318" s="4" t="s">
        <v>158</v>
      </c>
    </row>
    <row r="1319" spans="1:13" x14ac:dyDescent="0.2">
      <c r="A1319" s="4" t="s">
        <v>1794</v>
      </c>
      <c r="B1319">
        <v>1318</v>
      </c>
      <c r="C1319" s="4" t="s">
        <v>26</v>
      </c>
      <c r="D1319" s="4" t="s">
        <v>44</v>
      </c>
      <c r="E1319" s="4" t="s">
        <v>41</v>
      </c>
      <c r="F1319" s="4" t="s">
        <v>1773</v>
      </c>
      <c r="G1319">
        <v>11</v>
      </c>
      <c r="H1319">
        <v>55</v>
      </c>
      <c r="I1319" s="4" t="s">
        <v>116</v>
      </c>
      <c r="J1319" s="4" t="s">
        <v>129</v>
      </c>
      <c r="K1319" s="4" t="s">
        <v>130</v>
      </c>
      <c r="L1319">
        <v>45</v>
      </c>
      <c r="M1319" s="4" t="s">
        <v>158</v>
      </c>
    </row>
    <row r="1320" spans="1:13" x14ac:dyDescent="0.2">
      <c r="A1320" s="4" t="s">
        <v>1795</v>
      </c>
      <c r="B1320">
        <v>1319</v>
      </c>
      <c r="C1320" s="4" t="s">
        <v>26</v>
      </c>
      <c r="D1320" s="4" t="s">
        <v>44</v>
      </c>
      <c r="E1320" s="4" t="s">
        <v>41</v>
      </c>
      <c r="F1320" s="4" t="s">
        <v>1773</v>
      </c>
      <c r="G1320">
        <v>11</v>
      </c>
      <c r="H1320">
        <v>55</v>
      </c>
      <c r="I1320" s="4" t="s">
        <v>116</v>
      </c>
      <c r="J1320" s="4" t="s">
        <v>131</v>
      </c>
      <c r="K1320" s="4" t="s">
        <v>132</v>
      </c>
      <c r="L1320">
        <v>41</v>
      </c>
      <c r="M1320" s="4" t="s">
        <v>158</v>
      </c>
    </row>
    <row r="1321" spans="1:13" x14ac:dyDescent="0.2">
      <c r="A1321" s="4" t="s">
        <v>1796</v>
      </c>
      <c r="B1321">
        <v>1320</v>
      </c>
      <c r="C1321" s="4" t="s">
        <v>26</v>
      </c>
      <c r="D1321" s="4" t="s">
        <v>44</v>
      </c>
      <c r="E1321" s="4" t="s">
        <v>41</v>
      </c>
      <c r="F1321" s="4" t="s">
        <v>1773</v>
      </c>
      <c r="G1321">
        <v>11</v>
      </c>
      <c r="H1321">
        <v>55</v>
      </c>
      <c r="I1321" s="4" t="s">
        <v>116</v>
      </c>
      <c r="J1321" s="4" t="s">
        <v>133</v>
      </c>
      <c r="K1321" s="4" t="s">
        <v>134</v>
      </c>
      <c r="L1321">
        <v>19</v>
      </c>
      <c r="M1321" s="4" t="s">
        <v>158</v>
      </c>
    </row>
    <row r="1322" spans="1:13" x14ac:dyDescent="0.2">
      <c r="A1322" s="4" t="s">
        <v>1809</v>
      </c>
      <c r="B1322">
        <v>1321</v>
      </c>
      <c r="C1322" s="4" t="s">
        <v>26</v>
      </c>
      <c r="D1322" s="4" t="s">
        <v>44</v>
      </c>
      <c r="E1322" s="4" t="s">
        <v>44</v>
      </c>
      <c r="F1322" s="4" t="s">
        <v>1798</v>
      </c>
      <c r="G1322">
        <v>12</v>
      </c>
      <c r="H1322">
        <v>56</v>
      </c>
      <c r="I1322" s="4" t="s">
        <v>35</v>
      </c>
      <c r="J1322" s="4" t="s">
        <v>122</v>
      </c>
      <c r="K1322" s="4" t="s">
        <v>123</v>
      </c>
      <c r="L1322">
        <v>0</v>
      </c>
      <c r="M1322" s="4" t="s">
        <v>158</v>
      </c>
    </row>
    <row r="1323" spans="1:13" x14ac:dyDescent="0.2">
      <c r="A1323" s="4" t="s">
        <v>1810</v>
      </c>
      <c r="B1323">
        <v>1322</v>
      </c>
      <c r="C1323" s="4" t="s">
        <v>26</v>
      </c>
      <c r="D1323" s="4" t="s">
        <v>44</v>
      </c>
      <c r="E1323" s="4" t="s">
        <v>44</v>
      </c>
      <c r="F1323" s="4" t="s">
        <v>1798</v>
      </c>
      <c r="G1323">
        <v>12</v>
      </c>
      <c r="H1323">
        <v>56</v>
      </c>
      <c r="I1323" s="4" t="s">
        <v>35</v>
      </c>
      <c r="J1323" s="4" t="s">
        <v>125</v>
      </c>
      <c r="K1323" s="4" t="s">
        <v>126</v>
      </c>
      <c r="L1323">
        <v>0</v>
      </c>
      <c r="M1323" s="4" t="s">
        <v>158</v>
      </c>
    </row>
    <row r="1324" spans="1:13" x14ac:dyDescent="0.2">
      <c r="A1324" s="4" t="s">
        <v>1811</v>
      </c>
      <c r="B1324">
        <v>1323</v>
      </c>
      <c r="C1324" s="4" t="s">
        <v>26</v>
      </c>
      <c r="D1324" s="4" t="s">
        <v>44</v>
      </c>
      <c r="E1324" s="4" t="s">
        <v>44</v>
      </c>
      <c r="F1324" s="4" t="s">
        <v>1798</v>
      </c>
      <c r="G1324">
        <v>12</v>
      </c>
      <c r="H1324">
        <v>56</v>
      </c>
      <c r="I1324" s="4" t="s">
        <v>35</v>
      </c>
      <c r="J1324" s="4" t="s">
        <v>127</v>
      </c>
      <c r="K1324" s="4" t="s">
        <v>128</v>
      </c>
      <c r="L1324">
        <v>52</v>
      </c>
      <c r="M1324" s="4" t="s">
        <v>158</v>
      </c>
    </row>
    <row r="1325" spans="1:13" x14ac:dyDescent="0.2">
      <c r="A1325" s="4" t="s">
        <v>1812</v>
      </c>
      <c r="B1325">
        <v>1324</v>
      </c>
      <c r="C1325" s="4" t="s">
        <v>26</v>
      </c>
      <c r="D1325" s="4" t="s">
        <v>44</v>
      </c>
      <c r="E1325" s="4" t="s">
        <v>44</v>
      </c>
      <c r="F1325" s="4" t="s">
        <v>1798</v>
      </c>
      <c r="G1325">
        <v>12</v>
      </c>
      <c r="H1325">
        <v>56</v>
      </c>
      <c r="I1325" s="4" t="s">
        <v>35</v>
      </c>
      <c r="J1325" s="4" t="s">
        <v>129</v>
      </c>
      <c r="K1325" s="4" t="s">
        <v>130</v>
      </c>
      <c r="L1325">
        <v>0</v>
      </c>
      <c r="M1325" s="4" t="s">
        <v>158</v>
      </c>
    </row>
    <row r="1326" spans="1:13" x14ac:dyDescent="0.2">
      <c r="A1326" s="4" t="s">
        <v>1813</v>
      </c>
      <c r="B1326">
        <v>1325</v>
      </c>
      <c r="C1326" s="4" t="s">
        <v>26</v>
      </c>
      <c r="D1326" s="4" t="s">
        <v>44</v>
      </c>
      <c r="E1326" s="4" t="s">
        <v>44</v>
      </c>
      <c r="F1326" s="4" t="s">
        <v>1798</v>
      </c>
      <c r="G1326">
        <v>12</v>
      </c>
      <c r="H1326">
        <v>56</v>
      </c>
      <c r="I1326" s="4" t="s">
        <v>35</v>
      </c>
      <c r="J1326" s="4" t="s">
        <v>131</v>
      </c>
      <c r="K1326" s="4" t="s">
        <v>132</v>
      </c>
      <c r="L1326">
        <v>0</v>
      </c>
      <c r="M1326" s="4" t="s">
        <v>158</v>
      </c>
    </row>
    <row r="1327" spans="1:13" x14ac:dyDescent="0.2">
      <c r="A1327" s="4" t="s">
        <v>1814</v>
      </c>
      <c r="B1327">
        <v>1326</v>
      </c>
      <c r="C1327" s="4" t="s">
        <v>26</v>
      </c>
      <c r="D1327" s="4" t="s">
        <v>44</v>
      </c>
      <c r="E1327" s="4" t="s">
        <v>44</v>
      </c>
      <c r="F1327" s="4" t="s">
        <v>1798</v>
      </c>
      <c r="G1327">
        <v>12</v>
      </c>
      <c r="H1327">
        <v>56</v>
      </c>
      <c r="I1327" s="4" t="s">
        <v>35</v>
      </c>
      <c r="J1327" s="4" t="s">
        <v>133</v>
      </c>
      <c r="K1327" s="4" t="s">
        <v>134</v>
      </c>
      <c r="L1327">
        <v>88</v>
      </c>
      <c r="M1327" s="4" t="s">
        <v>158</v>
      </c>
    </row>
    <row r="1328" spans="1:13" x14ac:dyDescent="0.2">
      <c r="A1328" s="4" t="s">
        <v>1815</v>
      </c>
      <c r="B1328">
        <v>1327</v>
      </c>
      <c r="C1328" s="4" t="s">
        <v>26</v>
      </c>
      <c r="D1328" s="4" t="s">
        <v>44</v>
      </c>
      <c r="E1328" s="4" t="s">
        <v>44</v>
      </c>
      <c r="F1328" s="4" t="s">
        <v>1798</v>
      </c>
      <c r="G1328">
        <v>12</v>
      </c>
      <c r="H1328">
        <v>56</v>
      </c>
      <c r="I1328" s="4" t="s">
        <v>112</v>
      </c>
      <c r="J1328" s="4" t="s">
        <v>122</v>
      </c>
      <c r="K1328" s="4" t="s">
        <v>123</v>
      </c>
      <c r="L1328">
        <v>366</v>
      </c>
      <c r="M1328" s="4" t="s">
        <v>158</v>
      </c>
    </row>
    <row r="1329" spans="1:13" x14ac:dyDescent="0.2">
      <c r="A1329" s="4" t="s">
        <v>1816</v>
      </c>
      <c r="B1329">
        <v>1328</v>
      </c>
      <c r="C1329" s="4" t="s">
        <v>26</v>
      </c>
      <c r="D1329" s="4" t="s">
        <v>44</v>
      </c>
      <c r="E1329" s="4" t="s">
        <v>44</v>
      </c>
      <c r="F1329" s="4" t="s">
        <v>1798</v>
      </c>
      <c r="G1329">
        <v>12</v>
      </c>
      <c r="H1329">
        <v>56</v>
      </c>
      <c r="I1329" s="4" t="s">
        <v>112</v>
      </c>
      <c r="J1329" s="4" t="s">
        <v>125</v>
      </c>
      <c r="K1329" s="4" t="s">
        <v>126</v>
      </c>
      <c r="L1329">
        <v>0</v>
      </c>
      <c r="M1329" s="4" t="s">
        <v>158</v>
      </c>
    </row>
    <row r="1330" spans="1:13" x14ac:dyDescent="0.2">
      <c r="A1330" s="4" t="s">
        <v>1817</v>
      </c>
      <c r="B1330">
        <v>1329</v>
      </c>
      <c r="C1330" s="4" t="s">
        <v>26</v>
      </c>
      <c r="D1330" s="4" t="s">
        <v>44</v>
      </c>
      <c r="E1330" s="4" t="s">
        <v>44</v>
      </c>
      <c r="F1330" s="4" t="s">
        <v>1798</v>
      </c>
      <c r="G1330">
        <v>12</v>
      </c>
      <c r="H1330">
        <v>56</v>
      </c>
      <c r="I1330" s="4" t="s">
        <v>112</v>
      </c>
      <c r="J1330" s="4" t="s">
        <v>127</v>
      </c>
      <c r="K1330" s="4" t="s">
        <v>128</v>
      </c>
      <c r="L1330">
        <v>175</v>
      </c>
      <c r="M1330" s="4" t="s">
        <v>158</v>
      </c>
    </row>
    <row r="1331" spans="1:13" x14ac:dyDescent="0.2">
      <c r="A1331" s="4" t="s">
        <v>1818</v>
      </c>
      <c r="B1331">
        <v>1330</v>
      </c>
      <c r="C1331" s="4" t="s">
        <v>26</v>
      </c>
      <c r="D1331" s="4" t="s">
        <v>44</v>
      </c>
      <c r="E1331" s="4" t="s">
        <v>44</v>
      </c>
      <c r="F1331" s="4" t="s">
        <v>1798</v>
      </c>
      <c r="G1331">
        <v>12</v>
      </c>
      <c r="H1331">
        <v>56</v>
      </c>
      <c r="I1331" s="4" t="s">
        <v>112</v>
      </c>
      <c r="J1331" s="4" t="s">
        <v>129</v>
      </c>
      <c r="K1331" s="4" t="s">
        <v>130</v>
      </c>
      <c r="L1331">
        <v>42</v>
      </c>
      <c r="M1331" s="4" t="s">
        <v>158</v>
      </c>
    </row>
    <row r="1332" spans="1:13" x14ac:dyDescent="0.2">
      <c r="A1332" s="4" t="s">
        <v>1819</v>
      </c>
      <c r="B1332">
        <v>1331</v>
      </c>
      <c r="C1332" s="4" t="s">
        <v>26</v>
      </c>
      <c r="D1332" s="4" t="s">
        <v>44</v>
      </c>
      <c r="E1332" s="4" t="s">
        <v>44</v>
      </c>
      <c r="F1332" s="4" t="s">
        <v>1798</v>
      </c>
      <c r="G1332">
        <v>12</v>
      </c>
      <c r="H1332">
        <v>56</v>
      </c>
      <c r="I1332" s="4" t="s">
        <v>112</v>
      </c>
      <c r="J1332" s="4" t="s">
        <v>131</v>
      </c>
      <c r="K1332" s="4" t="s">
        <v>132</v>
      </c>
      <c r="L1332">
        <v>36</v>
      </c>
      <c r="M1332" s="4" t="s">
        <v>158</v>
      </c>
    </row>
    <row r="1333" spans="1:13" x14ac:dyDescent="0.2">
      <c r="A1333" s="4" t="s">
        <v>1820</v>
      </c>
      <c r="B1333">
        <v>1332</v>
      </c>
      <c r="C1333" s="4" t="s">
        <v>26</v>
      </c>
      <c r="D1333" s="4" t="s">
        <v>44</v>
      </c>
      <c r="E1333" s="4" t="s">
        <v>44</v>
      </c>
      <c r="F1333" s="4" t="s">
        <v>1798</v>
      </c>
      <c r="G1333">
        <v>12</v>
      </c>
      <c r="H1333">
        <v>56</v>
      </c>
      <c r="I1333" s="4" t="s">
        <v>112</v>
      </c>
      <c r="J1333" s="4" t="s">
        <v>133</v>
      </c>
      <c r="K1333" s="4" t="s">
        <v>134</v>
      </c>
      <c r="L1333">
        <v>23</v>
      </c>
      <c r="M1333" s="4" t="s">
        <v>158</v>
      </c>
    </row>
    <row r="1334" spans="1:13" x14ac:dyDescent="0.2">
      <c r="A1334" s="4" t="s">
        <v>1821</v>
      </c>
      <c r="B1334">
        <v>1333</v>
      </c>
      <c r="C1334" s="4" t="s">
        <v>26</v>
      </c>
      <c r="D1334" s="4" t="s">
        <v>44</v>
      </c>
      <c r="E1334" s="4" t="s">
        <v>44</v>
      </c>
      <c r="F1334" s="4" t="s">
        <v>1798</v>
      </c>
      <c r="G1334">
        <v>12</v>
      </c>
      <c r="H1334">
        <v>56</v>
      </c>
      <c r="I1334" s="4" t="s">
        <v>114</v>
      </c>
      <c r="J1334" s="4" t="s">
        <v>122</v>
      </c>
      <c r="K1334" s="4" t="s">
        <v>123</v>
      </c>
      <c r="L1334">
        <v>100</v>
      </c>
      <c r="M1334" s="4" t="s">
        <v>158</v>
      </c>
    </row>
    <row r="1335" spans="1:13" x14ac:dyDescent="0.2">
      <c r="A1335" s="4" t="s">
        <v>1822</v>
      </c>
      <c r="B1335">
        <v>1334</v>
      </c>
      <c r="C1335" s="4" t="s">
        <v>26</v>
      </c>
      <c r="D1335" s="4" t="s">
        <v>44</v>
      </c>
      <c r="E1335" s="4" t="s">
        <v>44</v>
      </c>
      <c r="F1335" s="4" t="s">
        <v>1798</v>
      </c>
      <c r="G1335">
        <v>12</v>
      </c>
      <c r="H1335">
        <v>56</v>
      </c>
      <c r="I1335" s="4" t="s">
        <v>114</v>
      </c>
      <c r="J1335" s="4" t="s">
        <v>125</v>
      </c>
      <c r="K1335" s="4" t="s">
        <v>126</v>
      </c>
      <c r="L1335">
        <v>10</v>
      </c>
      <c r="M1335" s="4" t="s">
        <v>158</v>
      </c>
    </row>
    <row r="1336" spans="1:13" x14ac:dyDescent="0.2">
      <c r="A1336" s="4" t="s">
        <v>1823</v>
      </c>
      <c r="B1336">
        <v>1335</v>
      </c>
      <c r="C1336" s="4" t="s">
        <v>26</v>
      </c>
      <c r="D1336" s="4" t="s">
        <v>44</v>
      </c>
      <c r="E1336" s="4" t="s">
        <v>44</v>
      </c>
      <c r="F1336" s="4" t="s">
        <v>1798</v>
      </c>
      <c r="G1336">
        <v>12</v>
      </c>
      <c r="H1336">
        <v>56</v>
      </c>
      <c r="I1336" s="4" t="s">
        <v>114</v>
      </c>
      <c r="J1336" s="4" t="s">
        <v>127</v>
      </c>
      <c r="K1336" s="4" t="s">
        <v>128</v>
      </c>
      <c r="L1336">
        <v>113</v>
      </c>
      <c r="M1336" s="4" t="s">
        <v>158</v>
      </c>
    </row>
    <row r="1337" spans="1:13" x14ac:dyDescent="0.2">
      <c r="A1337" s="4" t="s">
        <v>1824</v>
      </c>
      <c r="B1337">
        <v>1336</v>
      </c>
      <c r="C1337" s="4" t="s">
        <v>26</v>
      </c>
      <c r="D1337" s="4" t="s">
        <v>44</v>
      </c>
      <c r="E1337" s="4" t="s">
        <v>44</v>
      </c>
      <c r="F1337" s="4" t="s">
        <v>1798</v>
      </c>
      <c r="G1337">
        <v>12</v>
      </c>
      <c r="H1337">
        <v>56</v>
      </c>
      <c r="I1337" s="4" t="s">
        <v>114</v>
      </c>
      <c r="J1337" s="4" t="s">
        <v>129</v>
      </c>
      <c r="K1337" s="4" t="s">
        <v>130</v>
      </c>
      <c r="L1337">
        <v>47</v>
      </c>
      <c r="M1337" s="4" t="s">
        <v>158</v>
      </c>
    </row>
    <row r="1338" spans="1:13" x14ac:dyDescent="0.2">
      <c r="A1338" s="4" t="s">
        <v>1825</v>
      </c>
      <c r="B1338">
        <v>1337</v>
      </c>
      <c r="C1338" s="4" t="s">
        <v>26</v>
      </c>
      <c r="D1338" s="4" t="s">
        <v>44</v>
      </c>
      <c r="E1338" s="4" t="s">
        <v>44</v>
      </c>
      <c r="F1338" s="4" t="s">
        <v>1798</v>
      </c>
      <c r="G1338">
        <v>12</v>
      </c>
      <c r="H1338">
        <v>56</v>
      </c>
      <c r="I1338" s="4" t="s">
        <v>114</v>
      </c>
      <c r="J1338" s="4" t="s">
        <v>131</v>
      </c>
      <c r="K1338" s="4" t="s">
        <v>132</v>
      </c>
      <c r="L1338">
        <v>37</v>
      </c>
      <c r="M1338" s="4" t="s">
        <v>158</v>
      </c>
    </row>
    <row r="1339" spans="1:13" x14ac:dyDescent="0.2">
      <c r="A1339" s="4" t="s">
        <v>1826</v>
      </c>
      <c r="B1339">
        <v>1338</v>
      </c>
      <c r="C1339" s="4" t="s">
        <v>26</v>
      </c>
      <c r="D1339" s="4" t="s">
        <v>44</v>
      </c>
      <c r="E1339" s="4" t="s">
        <v>44</v>
      </c>
      <c r="F1339" s="4" t="s">
        <v>1798</v>
      </c>
      <c r="G1339">
        <v>12</v>
      </c>
      <c r="H1339">
        <v>56</v>
      </c>
      <c r="I1339" s="4" t="s">
        <v>114</v>
      </c>
      <c r="J1339" s="4" t="s">
        <v>133</v>
      </c>
      <c r="K1339" s="4" t="s">
        <v>134</v>
      </c>
      <c r="L1339">
        <v>50</v>
      </c>
      <c r="M1339" s="4" t="s">
        <v>158</v>
      </c>
    </row>
    <row r="1340" spans="1:13" x14ac:dyDescent="0.2">
      <c r="A1340" s="4" t="s">
        <v>1827</v>
      </c>
      <c r="B1340">
        <v>1339</v>
      </c>
      <c r="C1340" s="4" t="s">
        <v>26</v>
      </c>
      <c r="D1340" s="4" t="s">
        <v>44</v>
      </c>
      <c r="E1340" s="4" t="s">
        <v>44</v>
      </c>
      <c r="F1340" s="4" t="s">
        <v>1798</v>
      </c>
      <c r="G1340">
        <v>12</v>
      </c>
      <c r="H1340">
        <v>56</v>
      </c>
      <c r="I1340" s="4" t="s">
        <v>116</v>
      </c>
      <c r="J1340" s="4" t="s">
        <v>122</v>
      </c>
      <c r="K1340" s="4" t="s">
        <v>123</v>
      </c>
      <c r="L1340">
        <v>71</v>
      </c>
      <c r="M1340" s="4" t="s">
        <v>158</v>
      </c>
    </row>
    <row r="1341" spans="1:13" x14ac:dyDescent="0.2">
      <c r="A1341" s="4" t="s">
        <v>1828</v>
      </c>
      <c r="B1341">
        <v>1340</v>
      </c>
      <c r="C1341" s="4" t="s">
        <v>26</v>
      </c>
      <c r="D1341" s="4" t="s">
        <v>44</v>
      </c>
      <c r="E1341" s="4" t="s">
        <v>44</v>
      </c>
      <c r="F1341" s="4" t="s">
        <v>1798</v>
      </c>
      <c r="G1341">
        <v>12</v>
      </c>
      <c r="H1341">
        <v>56</v>
      </c>
      <c r="I1341" s="4" t="s">
        <v>116</v>
      </c>
      <c r="J1341" s="4" t="s">
        <v>125</v>
      </c>
      <c r="K1341" s="4" t="s">
        <v>126</v>
      </c>
      <c r="L1341">
        <v>10</v>
      </c>
      <c r="M1341" s="4" t="s">
        <v>158</v>
      </c>
    </row>
    <row r="1342" spans="1:13" x14ac:dyDescent="0.2">
      <c r="A1342" s="4" t="s">
        <v>1829</v>
      </c>
      <c r="B1342">
        <v>1341</v>
      </c>
      <c r="C1342" s="4" t="s">
        <v>26</v>
      </c>
      <c r="D1342" s="4" t="s">
        <v>44</v>
      </c>
      <c r="E1342" s="4" t="s">
        <v>44</v>
      </c>
      <c r="F1342" s="4" t="s">
        <v>1798</v>
      </c>
      <c r="G1342">
        <v>12</v>
      </c>
      <c r="H1342">
        <v>56</v>
      </c>
      <c r="I1342" s="4" t="s">
        <v>116</v>
      </c>
      <c r="J1342" s="4" t="s">
        <v>127</v>
      </c>
      <c r="K1342" s="4" t="s">
        <v>128</v>
      </c>
      <c r="L1342">
        <v>100</v>
      </c>
      <c r="M1342" s="4" t="s">
        <v>158</v>
      </c>
    </row>
    <row r="1343" spans="1:13" x14ac:dyDescent="0.2">
      <c r="A1343" s="4" t="s">
        <v>1830</v>
      </c>
      <c r="B1343">
        <v>1342</v>
      </c>
      <c r="C1343" s="4" t="s">
        <v>26</v>
      </c>
      <c r="D1343" s="4" t="s">
        <v>44</v>
      </c>
      <c r="E1343" s="4" t="s">
        <v>44</v>
      </c>
      <c r="F1343" s="4" t="s">
        <v>1798</v>
      </c>
      <c r="G1343">
        <v>12</v>
      </c>
      <c r="H1343">
        <v>56</v>
      </c>
      <c r="I1343" s="4" t="s">
        <v>116</v>
      </c>
      <c r="J1343" s="4" t="s">
        <v>129</v>
      </c>
      <c r="K1343" s="4" t="s">
        <v>130</v>
      </c>
      <c r="L1343">
        <v>22</v>
      </c>
      <c r="M1343" s="4" t="s">
        <v>158</v>
      </c>
    </row>
    <row r="1344" spans="1:13" x14ac:dyDescent="0.2">
      <c r="A1344" s="4" t="s">
        <v>1831</v>
      </c>
      <c r="B1344">
        <v>1343</v>
      </c>
      <c r="C1344" s="4" t="s">
        <v>26</v>
      </c>
      <c r="D1344" s="4" t="s">
        <v>44</v>
      </c>
      <c r="E1344" s="4" t="s">
        <v>44</v>
      </c>
      <c r="F1344" s="4" t="s">
        <v>1798</v>
      </c>
      <c r="G1344">
        <v>12</v>
      </c>
      <c r="H1344">
        <v>56</v>
      </c>
      <c r="I1344" s="4" t="s">
        <v>116</v>
      </c>
      <c r="J1344" s="4" t="s">
        <v>131</v>
      </c>
      <c r="K1344" s="4" t="s">
        <v>132</v>
      </c>
      <c r="L1344">
        <v>41</v>
      </c>
      <c r="M1344" s="4" t="s">
        <v>158</v>
      </c>
    </row>
    <row r="1345" spans="1:13" x14ac:dyDescent="0.2">
      <c r="A1345" s="4" t="s">
        <v>1832</v>
      </c>
      <c r="B1345">
        <v>1344</v>
      </c>
      <c r="C1345" s="4" t="s">
        <v>26</v>
      </c>
      <c r="D1345" s="4" t="s">
        <v>44</v>
      </c>
      <c r="E1345" s="4" t="s">
        <v>44</v>
      </c>
      <c r="F1345" s="4" t="s">
        <v>1798</v>
      </c>
      <c r="G1345">
        <v>12</v>
      </c>
      <c r="H1345">
        <v>56</v>
      </c>
      <c r="I1345" s="4" t="s">
        <v>116</v>
      </c>
      <c r="J1345" s="4" t="s">
        <v>133</v>
      </c>
      <c r="K1345" s="4" t="s">
        <v>134</v>
      </c>
      <c r="L1345">
        <v>0</v>
      </c>
      <c r="M1345" s="4" t="s">
        <v>158</v>
      </c>
    </row>
    <row r="1346" spans="1:13" x14ac:dyDescent="0.2">
      <c r="A1346" s="4" t="s">
        <v>1833</v>
      </c>
      <c r="B1346">
        <v>1345</v>
      </c>
      <c r="C1346" s="4" t="s">
        <v>26</v>
      </c>
      <c r="D1346" s="4" t="s">
        <v>44</v>
      </c>
      <c r="E1346" s="4" t="s">
        <v>47</v>
      </c>
      <c r="F1346" s="4" t="s">
        <v>1834</v>
      </c>
      <c r="G1346">
        <v>12</v>
      </c>
      <c r="H1346">
        <v>57</v>
      </c>
      <c r="I1346" s="4" t="s">
        <v>35</v>
      </c>
      <c r="J1346" s="4" t="s">
        <v>122</v>
      </c>
      <c r="K1346" s="4" t="s">
        <v>123</v>
      </c>
      <c r="L1346">
        <v>699</v>
      </c>
      <c r="M1346" s="4" t="s">
        <v>158</v>
      </c>
    </row>
    <row r="1347" spans="1:13" x14ac:dyDescent="0.2">
      <c r="A1347" s="4" t="s">
        <v>1835</v>
      </c>
      <c r="B1347">
        <v>1346</v>
      </c>
      <c r="C1347" s="4" t="s">
        <v>26</v>
      </c>
      <c r="D1347" s="4" t="s">
        <v>44</v>
      </c>
      <c r="E1347" s="4" t="s">
        <v>47</v>
      </c>
      <c r="F1347" s="4" t="s">
        <v>1834</v>
      </c>
      <c r="G1347">
        <v>12</v>
      </c>
      <c r="H1347">
        <v>57</v>
      </c>
      <c r="I1347" s="4" t="s">
        <v>35</v>
      </c>
      <c r="J1347" s="4" t="s">
        <v>125</v>
      </c>
      <c r="K1347" s="4" t="s">
        <v>126</v>
      </c>
      <c r="L1347">
        <v>224</v>
      </c>
      <c r="M1347" s="4" t="s">
        <v>158</v>
      </c>
    </row>
    <row r="1348" spans="1:13" x14ac:dyDescent="0.2">
      <c r="A1348" s="4" t="s">
        <v>1836</v>
      </c>
      <c r="B1348">
        <v>1347</v>
      </c>
      <c r="C1348" s="4" t="s">
        <v>26</v>
      </c>
      <c r="D1348" s="4" t="s">
        <v>44</v>
      </c>
      <c r="E1348" s="4" t="s">
        <v>47</v>
      </c>
      <c r="F1348" s="4" t="s">
        <v>1834</v>
      </c>
      <c r="G1348">
        <v>12</v>
      </c>
      <c r="H1348">
        <v>57</v>
      </c>
      <c r="I1348" s="4" t="s">
        <v>35</v>
      </c>
      <c r="J1348" s="4" t="s">
        <v>127</v>
      </c>
      <c r="K1348" s="4" t="s">
        <v>128</v>
      </c>
      <c r="L1348">
        <v>448</v>
      </c>
      <c r="M1348" s="4" t="s">
        <v>158</v>
      </c>
    </row>
    <row r="1349" spans="1:13" x14ac:dyDescent="0.2">
      <c r="A1349" s="4" t="s">
        <v>1837</v>
      </c>
      <c r="B1349">
        <v>1348</v>
      </c>
      <c r="C1349" s="4" t="s">
        <v>26</v>
      </c>
      <c r="D1349" s="4" t="s">
        <v>44</v>
      </c>
      <c r="E1349" s="4" t="s">
        <v>47</v>
      </c>
      <c r="F1349" s="4" t="s">
        <v>1834</v>
      </c>
      <c r="G1349">
        <v>12</v>
      </c>
      <c r="H1349">
        <v>57</v>
      </c>
      <c r="I1349" s="4" t="s">
        <v>35</v>
      </c>
      <c r="J1349" s="4" t="s">
        <v>129</v>
      </c>
      <c r="K1349" s="4" t="s">
        <v>130</v>
      </c>
      <c r="L1349">
        <v>140</v>
      </c>
      <c r="M1349" s="4" t="s">
        <v>158</v>
      </c>
    </row>
    <row r="1350" spans="1:13" x14ac:dyDescent="0.2">
      <c r="A1350" s="4" t="s">
        <v>1838</v>
      </c>
      <c r="B1350">
        <v>1349</v>
      </c>
      <c r="C1350" s="4" t="s">
        <v>26</v>
      </c>
      <c r="D1350" s="4" t="s">
        <v>44</v>
      </c>
      <c r="E1350" s="4" t="s">
        <v>47</v>
      </c>
      <c r="F1350" s="4" t="s">
        <v>1834</v>
      </c>
      <c r="G1350">
        <v>12</v>
      </c>
      <c r="H1350">
        <v>57</v>
      </c>
      <c r="I1350" s="4" t="s">
        <v>35</v>
      </c>
      <c r="J1350" s="4" t="s">
        <v>131</v>
      </c>
      <c r="K1350" s="4" t="s">
        <v>132</v>
      </c>
      <c r="L1350">
        <v>301</v>
      </c>
      <c r="M1350" s="4" t="s">
        <v>158</v>
      </c>
    </row>
    <row r="1351" spans="1:13" x14ac:dyDescent="0.2">
      <c r="A1351" s="4" t="s">
        <v>1839</v>
      </c>
      <c r="B1351">
        <v>1350</v>
      </c>
      <c r="C1351" s="4" t="s">
        <v>26</v>
      </c>
      <c r="D1351" s="4" t="s">
        <v>44</v>
      </c>
      <c r="E1351" s="4" t="s">
        <v>47</v>
      </c>
      <c r="F1351" s="4" t="s">
        <v>1834</v>
      </c>
      <c r="G1351">
        <v>12</v>
      </c>
      <c r="H1351">
        <v>57</v>
      </c>
      <c r="I1351" s="4" t="s">
        <v>35</v>
      </c>
      <c r="J1351" s="4" t="s">
        <v>133</v>
      </c>
      <c r="K1351" s="4" t="s">
        <v>134</v>
      </c>
      <c r="L1351">
        <v>43</v>
      </c>
      <c r="M1351" s="4" t="s">
        <v>158</v>
      </c>
    </row>
    <row r="1352" spans="1:13" x14ac:dyDescent="0.2">
      <c r="A1352" s="4" t="s">
        <v>1840</v>
      </c>
      <c r="B1352">
        <v>1351</v>
      </c>
      <c r="C1352" s="4" t="s">
        <v>26</v>
      </c>
      <c r="D1352" s="4" t="s">
        <v>44</v>
      </c>
      <c r="E1352" s="4" t="s">
        <v>47</v>
      </c>
      <c r="F1352" s="4" t="s">
        <v>1834</v>
      </c>
      <c r="G1352">
        <v>12</v>
      </c>
      <c r="H1352">
        <v>57</v>
      </c>
      <c r="I1352" s="4" t="s">
        <v>112</v>
      </c>
      <c r="J1352" s="4" t="s">
        <v>122</v>
      </c>
      <c r="K1352" s="4" t="s">
        <v>123</v>
      </c>
      <c r="L1352">
        <v>302</v>
      </c>
      <c r="M1352" s="4" t="s">
        <v>158</v>
      </c>
    </row>
    <row r="1353" spans="1:13" x14ac:dyDescent="0.2">
      <c r="A1353" s="4" t="s">
        <v>1841</v>
      </c>
      <c r="B1353">
        <v>1352</v>
      </c>
      <c r="C1353" s="4" t="s">
        <v>26</v>
      </c>
      <c r="D1353" s="4" t="s">
        <v>44</v>
      </c>
      <c r="E1353" s="4" t="s">
        <v>47</v>
      </c>
      <c r="F1353" s="4" t="s">
        <v>1834</v>
      </c>
      <c r="G1353">
        <v>12</v>
      </c>
      <c r="H1353">
        <v>57</v>
      </c>
      <c r="I1353" s="4" t="s">
        <v>112</v>
      </c>
      <c r="J1353" s="4" t="s">
        <v>125</v>
      </c>
      <c r="K1353" s="4" t="s">
        <v>126</v>
      </c>
      <c r="L1353">
        <v>0</v>
      </c>
      <c r="M1353" s="4" t="s">
        <v>158</v>
      </c>
    </row>
    <row r="1354" spans="1:13" x14ac:dyDescent="0.2">
      <c r="A1354" s="4" t="s">
        <v>1842</v>
      </c>
      <c r="B1354">
        <v>1353</v>
      </c>
      <c r="C1354" s="4" t="s">
        <v>26</v>
      </c>
      <c r="D1354" s="4" t="s">
        <v>44</v>
      </c>
      <c r="E1354" s="4" t="s">
        <v>47</v>
      </c>
      <c r="F1354" s="4" t="s">
        <v>1834</v>
      </c>
      <c r="G1354">
        <v>12</v>
      </c>
      <c r="H1354">
        <v>57</v>
      </c>
      <c r="I1354" s="4" t="s">
        <v>112</v>
      </c>
      <c r="J1354" s="4" t="s">
        <v>127</v>
      </c>
      <c r="K1354" s="4" t="s">
        <v>128</v>
      </c>
      <c r="L1354">
        <v>186</v>
      </c>
      <c r="M1354" s="4" t="s">
        <v>158</v>
      </c>
    </row>
    <row r="1355" spans="1:13" x14ac:dyDescent="0.2">
      <c r="A1355" s="4" t="s">
        <v>1843</v>
      </c>
      <c r="B1355">
        <v>1354</v>
      </c>
      <c r="C1355" s="4" t="s">
        <v>26</v>
      </c>
      <c r="D1355" s="4" t="s">
        <v>44</v>
      </c>
      <c r="E1355" s="4" t="s">
        <v>47</v>
      </c>
      <c r="F1355" s="4" t="s">
        <v>1834</v>
      </c>
      <c r="G1355">
        <v>12</v>
      </c>
      <c r="H1355">
        <v>57</v>
      </c>
      <c r="I1355" s="4" t="s">
        <v>112</v>
      </c>
      <c r="J1355" s="4" t="s">
        <v>129</v>
      </c>
      <c r="K1355" s="4" t="s">
        <v>130</v>
      </c>
      <c r="L1355">
        <v>42</v>
      </c>
      <c r="M1355" s="4" t="s">
        <v>158</v>
      </c>
    </row>
    <row r="1356" spans="1:13" x14ac:dyDescent="0.2">
      <c r="A1356" s="4" t="s">
        <v>1844</v>
      </c>
      <c r="B1356">
        <v>1355</v>
      </c>
      <c r="C1356" s="4" t="s">
        <v>26</v>
      </c>
      <c r="D1356" s="4" t="s">
        <v>44</v>
      </c>
      <c r="E1356" s="4" t="s">
        <v>47</v>
      </c>
      <c r="F1356" s="4" t="s">
        <v>1834</v>
      </c>
      <c r="G1356">
        <v>12</v>
      </c>
      <c r="H1356">
        <v>57</v>
      </c>
      <c r="I1356" s="4" t="s">
        <v>112</v>
      </c>
      <c r="J1356" s="4" t="s">
        <v>131</v>
      </c>
      <c r="K1356" s="4" t="s">
        <v>132</v>
      </c>
      <c r="L1356">
        <v>8</v>
      </c>
      <c r="M1356" s="4" t="s">
        <v>158</v>
      </c>
    </row>
    <row r="1357" spans="1:13" x14ac:dyDescent="0.2">
      <c r="A1357" s="4" t="s">
        <v>1845</v>
      </c>
      <c r="B1357">
        <v>1356</v>
      </c>
      <c r="C1357" s="4" t="s">
        <v>26</v>
      </c>
      <c r="D1357" s="4" t="s">
        <v>44</v>
      </c>
      <c r="E1357" s="4" t="s">
        <v>47</v>
      </c>
      <c r="F1357" s="4" t="s">
        <v>1834</v>
      </c>
      <c r="G1357">
        <v>12</v>
      </c>
      <c r="H1357">
        <v>57</v>
      </c>
      <c r="I1357" s="4" t="s">
        <v>112</v>
      </c>
      <c r="J1357" s="4" t="s">
        <v>133</v>
      </c>
      <c r="K1357" s="4" t="s">
        <v>134</v>
      </c>
      <c r="L1357">
        <v>54</v>
      </c>
      <c r="M1357" s="4" t="s">
        <v>158</v>
      </c>
    </row>
    <row r="1358" spans="1:13" x14ac:dyDescent="0.2">
      <c r="A1358" s="4" t="s">
        <v>1846</v>
      </c>
      <c r="B1358">
        <v>1357</v>
      </c>
      <c r="C1358" s="4" t="s">
        <v>26</v>
      </c>
      <c r="D1358" s="4" t="s">
        <v>44</v>
      </c>
      <c r="E1358" s="4" t="s">
        <v>47</v>
      </c>
      <c r="F1358" s="4" t="s">
        <v>1834</v>
      </c>
      <c r="G1358">
        <v>12</v>
      </c>
      <c r="H1358">
        <v>57</v>
      </c>
      <c r="I1358" s="4" t="s">
        <v>114</v>
      </c>
      <c r="J1358" s="4" t="s">
        <v>122</v>
      </c>
      <c r="K1358" s="4" t="s">
        <v>123</v>
      </c>
      <c r="L1358">
        <v>100</v>
      </c>
      <c r="M1358" s="4" t="s">
        <v>158</v>
      </c>
    </row>
    <row r="1359" spans="1:13" x14ac:dyDescent="0.2">
      <c r="A1359" s="4" t="s">
        <v>1847</v>
      </c>
      <c r="B1359">
        <v>1358</v>
      </c>
      <c r="C1359" s="4" t="s">
        <v>26</v>
      </c>
      <c r="D1359" s="4" t="s">
        <v>44</v>
      </c>
      <c r="E1359" s="4" t="s">
        <v>47</v>
      </c>
      <c r="F1359" s="4" t="s">
        <v>1834</v>
      </c>
      <c r="G1359">
        <v>12</v>
      </c>
      <c r="H1359">
        <v>57</v>
      </c>
      <c r="I1359" s="4" t="s">
        <v>114</v>
      </c>
      <c r="J1359" s="4" t="s">
        <v>125</v>
      </c>
      <c r="K1359" s="4" t="s">
        <v>126</v>
      </c>
      <c r="L1359">
        <v>10</v>
      </c>
      <c r="M1359" s="4" t="s">
        <v>158</v>
      </c>
    </row>
    <row r="1360" spans="1:13" x14ac:dyDescent="0.2">
      <c r="A1360" s="4" t="s">
        <v>1848</v>
      </c>
      <c r="B1360">
        <v>1359</v>
      </c>
      <c r="C1360" s="4" t="s">
        <v>26</v>
      </c>
      <c r="D1360" s="4" t="s">
        <v>44</v>
      </c>
      <c r="E1360" s="4" t="s">
        <v>47</v>
      </c>
      <c r="F1360" s="4" t="s">
        <v>1834</v>
      </c>
      <c r="G1360">
        <v>12</v>
      </c>
      <c r="H1360">
        <v>57</v>
      </c>
      <c r="I1360" s="4" t="s">
        <v>114</v>
      </c>
      <c r="J1360" s="4" t="s">
        <v>127</v>
      </c>
      <c r="K1360" s="4" t="s">
        <v>128</v>
      </c>
      <c r="L1360">
        <v>41</v>
      </c>
      <c r="M1360" s="4" t="s">
        <v>158</v>
      </c>
    </row>
    <row r="1361" spans="1:13" x14ac:dyDescent="0.2">
      <c r="A1361" s="4" t="s">
        <v>1849</v>
      </c>
      <c r="B1361">
        <v>1360</v>
      </c>
      <c r="C1361" s="4" t="s">
        <v>26</v>
      </c>
      <c r="D1361" s="4" t="s">
        <v>44</v>
      </c>
      <c r="E1361" s="4" t="s">
        <v>47</v>
      </c>
      <c r="F1361" s="4" t="s">
        <v>1834</v>
      </c>
      <c r="G1361">
        <v>12</v>
      </c>
      <c r="H1361">
        <v>57</v>
      </c>
      <c r="I1361" s="4" t="s">
        <v>114</v>
      </c>
      <c r="J1361" s="4" t="s">
        <v>129</v>
      </c>
      <c r="K1361" s="4" t="s">
        <v>130</v>
      </c>
      <c r="L1361">
        <v>28</v>
      </c>
      <c r="M1361" s="4" t="s">
        <v>158</v>
      </c>
    </row>
    <row r="1362" spans="1:13" x14ac:dyDescent="0.2">
      <c r="A1362" s="4" t="s">
        <v>1850</v>
      </c>
      <c r="B1362">
        <v>1361</v>
      </c>
      <c r="C1362" s="4" t="s">
        <v>26</v>
      </c>
      <c r="D1362" s="4" t="s">
        <v>44</v>
      </c>
      <c r="E1362" s="4" t="s">
        <v>47</v>
      </c>
      <c r="F1362" s="4" t="s">
        <v>1834</v>
      </c>
      <c r="G1362">
        <v>12</v>
      </c>
      <c r="H1362">
        <v>57</v>
      </c>
      <c r="I1362" s="4" t="s">
        <v>114</v>
      </c>
      <c r="J1362" s="4" t="s">
        <v>131</v>
      </c>
      <c r="K1362" s="4" t="s">
        <v>132</v>
      </c>
      <c r="L1362">
        <v>7</v>
      </c>
      <c r="M1362" s="4" t="s">
        <v>158</v>
      </c>
    </row>
    <row r="1363" spans="1:13" x14ac:dyDescent="0.2">
      <c r="A1363" s="4" t="s">
        <v>1851</v>
      </c>
      <c r="B1363">
        <v>1362</v>
      </c>
      <c r="C1363" s="4" t="s">
        <v>26</v>
      </c>
      <c r="D1363" s="4" t="s">
        <v>44</v>
      </c>
      <c r="E1363" s="4" t="s">
        <v>47</v>
      </c>
      <c r="F1363" s="4" t="s">
        <v>1834</v>
      </c>
      <c r="G1363">
        <v>12</v>
      </c>
      <c r="H1363">
        <v>57</v>
      </c>
      <c r="I1363" s="4" t="s">
        <v>114</v>
      </c>
      <c r="J1363" s="4" t="s">
        <v>133</v>
      </c>
      <c r="K1363" s="4" t="s">
        <v>134</v>
      </c>
      <c r="L1363">
        <v>0</v>
      </c>
      <c r="M1363" s="4" t="s">
        <v>158</v>
      </c>
    </row>
    <row r="1364" spans="1:13" x14ac:dyDescent="0.2">
      <c r="A1364" s="4" t="s">
        <v>1852</v>
      </c>
      <c r="B1364">
        <v>1363</v>
      </c>
      <c r="C1364" s="4" t="s">
        <v>26</v>
      </c>
      <c r="D1364" s="4" t="s">
        <v>44</v>
      </c>
      <c r="E1364" s="4" t="s">
        <v>47</v>
      </c>
      <c r="F1364" s="4" t="s">
        <v>1834</v>
      </c>
      <c r="G1364">
        <v>12</v>
      </c>
      <c r="H1364">
        <v>57</v>
      </c>
      <c r="I1364" s="4" t="s">
        <v>116</v>
      </c>
      <c r="J1364" s="4" t="s">
        <v>122</v>
      </c>
      <c r="K1364" s="4" t="s">
        <v>123</v>
      </c>
      <c r="L1364">
        <v>71</v>
      </c>
      <c r="M1364" s="4" t="s">
        <v>158</v>
      </c>
    </row>
    <row r="1365" spans="1:13" x14ac:dyDescent="0.2">
      <c r="A1365" s="4" t="s">
        <v>1853</v>
      </c>
      <c r="B1365">
        <v>1364</v>
      </c>
      <c r="C1365" s="4" t="s">
        <v>26</v>
      </c>
      <c r="D1365" s="4" t="s">
        <v>44</v>
      </c>
      <c r="E1365" s="4" t="s">
        <v>47</v>
      </c>
      <c r="F1365" s="4" t="s">
        <v>1834</v>
      </c>
      <c r="G1365">
        <v>12</v>
      </c>
      <c r="H1365">
        <v>57</v>
      </c>
      <c r="I1365" s="4" t="s">
        <v>116</v>
      </c>
      <c r="J1365" s="4" t="s">
        <v>125</v>
      </c>
      <c r="K1365" s="4" t="s">
        <v>126</v>
      </c>
      <c r="L1365">
        <v>10</v>
      </c>
      <c r="M1365" s="4" t="s">
        <v>158</v>
      </c>
    </row>
    <row r="1366" spans="1:13" x14ac:dyDescent="0.2">
      <c r="A1366" s="4" t="s">
        <v>1854</v>
      </c>
      <c r="B1366">
        <v>1365</v>
      </c>
      <c r="C1366" s="4" t="s">
        <v>26</v>
      </c>
      <c r="D1366" s="4" t="s">
        <v>44</v>
      </c>
      <c r="E1366" s="4" t="s">
        <v>47</v>
      </c>
      <c r="F1366" s="4" t="s">
        <v>1834</v>
      </c>
      <c r="G1366">
        <v>12</v>
      </c>
      <c r="H1366">
        <v>57</v>
      </c>
      <c r="I1366" s="4" t="s">
        <v>116</v>
      </c>
      <c r="J1366" s="4" t="s">
        <v>127</v>
      </c>
      <c r="K1366" s="4" t="s">
        <v>128</v>
      </c>
      <c r="L1366">
        <v>51</v>
      </c>
      <c r="M1366" s="4" t="s">
        <v>158</v>
      </c>
    </row>
    <row r="1367" spans="1:13" x14ac:dyDescent="0.2">
      <c r="A1367" s="4" t="s">
        <v>1855</v>
      </c>
      <c r="B1367">
        <v>1366</v>
      </c>
      <c r="C1367" s="4" t="s">
        <v>26</v>
      </c>
      <c r="D1367" s="4" t="s">
        <v>44</v>
      </c>
      <c r="E1367" s="4" t="s">
        <v>47</v>
      </c>
      <c r="F1367" s="4" t="s">
        <v>1834</v>
      </c>
      <c r="G1367">
        <v>12</v>
      </c>
      <c r="H1367">
        <v>57</v>
      </c>
      <c r="I1367" s="4" t="s">
        <v>116</v>
      </c>
      <c r="J1367" s="4" t="s">
        <v>129</v>
      </c>
      <c r="K1367" s="4" t="s">
        <v>130</v>
      </c>
      <c r="L1367">
        <v>1</v>
      </c>
      <c r="M1367" s="4" t="s">
        <v>158</v>
      </c>
    </row>
    <row r="1368" spans="1:13" x14ac:dyDescent="0.2">
      <c r="A1368" s="4" t="s">
        <v>1856</v>
      </c>
      <c r="B1368">
        <v>1367</v>
      </c>
      <c r="C1368" s="4" t="s">
        <v>26</v>
      </c>
      <c r="D1368" s="4" t="s">
        <v>44</v>
      </c>
      <c r="E1368" s="4" t="s">
        <v>47</v>
      </c>
      <c r="F1368" s="4" t="s">
        <v>1834</v>
      </c>
      <c r="G1368">
        <v>12</v>
      </c>
      <c r="H1368">
        <v>57</v>
      </c>
      <c r="I1368" s="4" t="s">
        <v>116</v>
      </c>
      <c r="J1368" s="4" t="s">
        <v>131</v>
      </c>
      <c r="K1368" s="4" t="s">
        <v>132</v>
      </c>
      <c r="L1368">
        <v>41</v>
      </c>
      <c r="M1368" s="4" t="s">
        <v>158</v>
      </c>
    </row>
    <row r="1369" spans="1:13" x14ac:dyDescent="0.2">
      <c r="A1369" s="4" t="s">
        <v>1857</v>
      </c>
      <c r="B1369">
        <v>1368</v>
      </c>
      <c r="C1369" s="4" t="s">
        <v>26</v>
      </c>
      <c r="D1369" s="4" t="s">
        <v>44</v>
      </c>
      <c r="E1369" s="4" t="s">
        <v>47</v>
      </c>
      <c r="F1369" s="4" t="s">
        <v>1834</v>
      </c>
      <c r="G1369">
        <v>12</v>
      </c>
      <c r="H1369">
        <v>57</v>
      </c>
      <c r="I1369" s="4" t="s">
        <v>116</v>
      </c>
      <c r="J1369" s="4" t="s">
        <v>133</v>
      </c>
      <c r="K1369" s="4" t="s">
        <v>134</v>
      </c>
      <c r="L1369">
        <v>34</v>
      </c>
      <c r="M1369" s="4" t="s">
        <v>158</v>
      </c>
    </row>
    <row r="1370" spans="1:13" x14ac:dyDescent="0.2">
      <c r="A1370" s="4" t="s">
        <v>1873</v>
      </c>
      <c r="B1370">
        <v>1369</v>
      </c>
      <c r="C1370" s="4" t="s">
        <v>26</v>
      </c>
      <c r="D1370" s="4" t="s">
        <v>44</v>
      </c>
      <c r="E1370" s="4" t="s">
        <v>50</v>
      </c>
      <c r="F1370" s="4" t="s">
        <v>1858</v>
      </c>
      <c r="G1370">
        <v>12</v>
      </c>
      <c r="H1370">
        <v>58</v>
      </c>
      <c r="I1370" s="4" t="s">
        <v>35</v>
      </c>
      <c r="J1370" s="4" t="s">
        <v>122</v>
      </c>
      <c r="K1370" s="4" t="s">
        <v>123</v>
      </c>
      <c r="L1370">
        <v>272</v>
      </c>
      <c r="M1370" s="4" t="s">
        <v>158</v>
      </c>
    </row>
    <row r="1371" spans="1:13" x14ac:dyDescent="0.2">
      <c r="A1371" s="4" t="s">
        <v>1874</v>
      </c>
      <c r="B1371">
        <v>1370</v>
      </c>
      <c r="C1371" s="4" t="s">
        <v>26</v>
      </c>
      <c r="D1371" s="4" t="s">
        <v>44</v>
      </c>
      <c r="E1371" s="4" t="s">
        <v>50</v>
      </c>
      <c r="F1371" s="4" t="s">
        <v>1858</v>
      </c>
      <c r="G1371">
        <v>12</v>
      </c>
      <c r="H1371">
        <v>58</v>
      </c>
      <c r="I1371" s="4" t="s">
        <v>35</v>
      </c>
      <c r="J1371" s="4" t="s">
        <v>125</v>
      </c>
      <c r="K1371" s="4" t="s">
        <v>126</v>
      </c>
      <c r="L1371">
        <v>69</v>
      </c>
      <c r="M1371" s="4" t="s">
        <v>158</v>
      </c>
    </row>
    <row r="1372" spans="1:13" x14ac:dyDescent="0.2">
      <c r="A1372" s="4" t="s">
        <v>1875</v>
      </c>
      <c r="B1372">
        <v>1371</v>
      </c>
      <c r="C1372" s="4" t="s">
        <v>26</v>
      </c>
      <c r="D1372" s="4" t="s">
        <v>44</v>
      </c>
      <c r="E1372" s="4" t="s">
        <v>50</v>
      </c>
      <c r="F1372" s="4" t="s">
        <v>1858</v>
      </c>
      <c r="G1372">
        <v>12</v>
      </c>
      <c r="H1372">
        <v>58</v>
      </c>
      <c r="I1372" s="4" t="s">
        <v>35</v>
      </c>
      <c r="J1372" s="4" t="s">
        <v>127</v>
      </c>
      <c r="K1372" s="4" t="s">
        <v>128</v>
      </c>
      <c r="L1372">
        <v>0</v>
      </c>
      <c r="M1372" s="4" t="s">
        <v>158</v>
      </c>
    </row>
    <row r="1373" spans="1:13" x14ac:dyDescent="0.2">
      <c r="A1373" s="4" t="s">
        <v>1876</v>
      </c>
      <c r="B1373">
        <v>1372</v>
      </c>
      <c r="C1373" s="4" t="s">
        <v>26</v>
      </c>
      <c r="D1373" s="4" t="s">
        <v>44</v>
      </c>
      <c r="E1373" s="4" t="s">
        <v>50</v>
      </c>
      <c r="F1373" s="4" t="s">
        <v>1858</v>
      </c>
      <c r="G1373">
        <v>12</v>
      </c>
      <c r="H1373">
        <v>58</v>
      </c>
      <c r="I1373" s="4" t="s">
        <v>35</v>
      </c>
      <c r="J1373" s="4" t="s">
        <v>129</v>
      </c>
      <c r="K1373" s="4" t="s">
        <v>130</v>
      </c>
      <c r="L1373">
        <v>11</v>
      </c>
      <c r="M1373" s="4" t="s">
        <v>158</v>
      </c>
    </row>
    <row r="1374" spans="1:13" x14ac:dyDescent="0.2">
      <c r="A1374" s="4" t="s">
        <v>1877</v>
      </c>
      <c r="B1374">
        <v>1373</v>
      </c>
      <c r="C1374" s="4" t="s">
        <v>26</v>
      </c>
      <c r="D1374" s="4" t="s">
        <v>44</v>
      </c>
      <c r="E1374" s="4" t="s">
        <v>50</v>
      </c>
      <c r="F1374" s="4" t="s">
        <v>1858</v>
      </c>
      <c r="G1374">
        <v>12</v>
      </c>
      <c r="H1374">
        <v>58</v>
      </c>
      <c r="I1374" s="4" t="s">
        <v>35</v>
      </c>
      <c r="J1374" s="4" t="s">
        <v>131</v>
      </c>
      <c r="K1374" s="4" t="s">
        <v>132</v>
      </c>
      <c r="L1374">
        <v>27</v>
      </c>
      <c r="M1374" s="4" t="s">
        <v>158</v>
      </c>
    </row>
    <row r="1375" spans="1:13" x14ac:dyDescent="0.2">
      <c r="A1375" s="4" t="s">
        <v>1878</v>
      </c>
      <c r="B1375">
        <v>1374</v>
      </c>
      <c r="C1375" s="4" t="s">
        <v>26</v>
      </c>
      <c r="D1375" s="4" t="s">
        <v>44</v>
      </c>
      <c r="E1375" s="4" t="s">
        <v>50</v>
      </c>
      <c r="F1375" s="4" t="s">
        <v>1858</v>
      </c>
      <c r="G1375">
        <v>12</v>
      </c>
      <c r="H1375">
        <v>58</v>
      </c>
      <c r="I1375" s="4" t="s">
        <v>35</v>
      </c>
      <c r="J1375" s="4" t="s">
        <v>133</v>
      </c>
      <c r="K1375" s="4" t="s">
        <v>134</v>
      </c>
      <c r="L1375">
        <v>0</v>
      </c>
      <c r="M1375" s="4" t="s">
        <v>158</v>
      </c>
    </row>
    <row r="1376" spans="1:13" x14ac:dyDescent="0.2">
      <c r="A1376" s="4" t="s">
        <v>1879</v>
      </c>
      <c r="B1376">
        <v>1375</v>
      </c>
      <c r="C1376" s="4" t="s">
        <v>26</v>
      </c>
      <c r="D1376" s="4" t="s">
        <v>44</v>
      </c>
      <c r="E1376" s="4" t="s">
        <v>50</v>
      </c>
      <c r="F1376" s="4" t="s">
        <v>1858</v>
      </c>
      <c r="G1376">
        <v>12</v>
      </c>
      <c r="H1376">
        <v>58</v>
      </c>
      <c r="I1376" s="4" t="s">
        <v>112</v>
      </c>
      <c r="J1376" s="4" t="s">
        <v>122</v>
      </c>
      <c r="K1376" s="4" t="s">
        <v>123</v>
      </c>
      <c r="L1376">
        <v>590</v>
      </c>
      <c r="M1376" s="4" t="s">
        <v>158</v>
      </c>
    </row>
    <row r="1377" spans="1:13" x14ac:dyDescent="0.2">
      <c r="A1377" s="4" t="s">
        <v>1880</v>
      </c>
      <c r="B1377">
        <v>1376</v>
      </c>
      <c r="C1377" s="4" t="s">
        <v>26</v>
      </c>
      <c r="D1377" s="4" t="s">
        <v>44</v>
      </c>
      <c r="E1377" s="4" t="s">
        <v>50</v>
      </c>
      <c r="F1377" s="4" t="s">
        <v>1858</v>
      </c>
      <c r="G1377">
        <v>12</v>
      </c>
      <c r="H1377">
        <v>58</v>
      </c>
      <c r="I1377" s="4" t="s">
        <v>112</v>
      </c>
      <c r="J1377" s="4" t="s">
        <v>125</v>
      </c>
      <c r="K1377" s="4" t="s">
        <v>126</v>
      </c>
      <c r="L1377">
        <v>50</v>
      </c>
      <c r="M1377" s="4" t="s">
        <v>158</v>
      </c>
    </row>
    <row r="1378" spans="1:13" x14ac:dyDescent="0.2">
      <c r="A1378" s="4" t="s">
        <v>1881</v>
      </c>
      <c r="B1378">
        <v>1377</v>
      </c>
      <c r="C1378" s="4" t="s">
        <v>26</v>
      </c>
      <c r="D1378" s="4" t="s">
        <v>44</v>
      </c>
      <c r="E1378" s="4" t="s">
        <v>50</v>
      </c>
      <c r="F1378" s="4" t="s">
        <v>1858</v>
      </c>
      <c r="G1378">
        <v>12</v>
      </c>
      <c r="H1378">
        <v>58</v>
      </c>
      <c r="I1378" s="4" t="s">
        <v>112</v>
      </c>
      <c r="J1378" s="4" t="s">
        <v>127</v>
      </c>
      <c r="K1378" s="4" t="s">
        <v>128</v>
      </c>
      <c r="L1378">
        <v>190</v>
      </c>
      <c r="M1378" s="4" t="s">
        <v>158</v>
      </c>
    </row>
    <row r="1379" spans="1:13" x14ac:dyDescent="0.2">
      <c r="A1379" s="4" t="s">
        <v>1882</v>
      </c>
      <c r="B1379">
        <v>1378</v>
      </c>
      <c r="C1379" s="4" t="s">
        <v>26</v>
      </c>
      <c r="D1379" s="4" t="s">
        <v>44</v>
      </c>
      <c r="E1379" s="4" t="s">
        <v>50</v>
      </c>
      <c r="F1379" s="4" t="s">
        <v>1858</v>
      </c>
      <c r="G1379">
        <v>12</v>
      </c>
      <c r="H1379">
        <v>58</v>
      </c>
      <c r="I1379" s="4" t="s">
        <v>112</v>
      </c>
      <c r="J1379" s="4" t="s">
        <v>129</v>
      </c>
      <c r="K1379" s="4" t="s">
        <v>130</v>
      </c>
      <c r="L1379">
        <v>50</v>
      </c>
      <c r="M1379" s="4" t="s">
        <v>158</v>
      </c>
    </row>
    <row r="1380" spans="1:13" x14ac:dyDescent="0.2">
      <c r="A1380" s="4" t="s">
        <v>1883</v>
      </c>
      <c r="B1380">
        <v>1379</v>
      </c>
      <c r="C1380" s="4" t="s">
        <v>26</v>
      </c>
      <c r="D1380" s="4" t="s">
        <v>44</v>
      </c>
      <c r="E1380" s="4" t="s">
        <v>50</v>
      </c>
      <c r="F1380" s="4" t="s">
        <v>1858</v>
      </c>
      <c r="G1380">
        <v>12</v>
      </c>
      <c r="H1380">
        <v>58</v>
      </c>
      <c r="I1380" s="4" t="s">
        <v>112</v>
      </c>
      <c r="J1380" s="4" t="s">
        <v>131</v>
      </c>
      <c r="K1380" s="4" t="s">
        <v>132</v>
      </c>
      <c r="L1380">
        <v>100</v>
      </c>
      <c r="M1380" s="4" t="s">
        <v>158</v>
      </c>
    </row>
    <row r="1381" spans="1:13" x14ac:dyDescent="0.2">
      <c r="A1381" s="4" t="s">
        <v>1884</v>
      </c>
      <c r="B1381">
        <v>1380</v>
      </c>
      <c r="C1381" s="4" t="s">
        <v>26</v>
      </c>
      <c r="D1381" s="4" t="s">
        <v>44</v>
      </c>
      <c r="E1381" s="4" t="s">
        <v>50</v>
      </c>
      <c r="F1381" s="4" t="s">
        <v>1858</v>
      </c>
      <c r="G1381">
        <v>12</v>
      </c>
      <c r="H1381">
        <v>58</v>
      </c>
      <c r="I1381" s="4" t="s">
        <v>112</v>
      </c>
      <c r="J1381" s="4" t="s">
        <v>133</v>
      </c>
      <c r="K1381" s="4" t="s">
        <v>134</v>
      </c>
      <c r="L1381">
        <v>25</v>
      </c>
      <c r="M1381" s="4" t="s">
        <v>158</v>
      </c>
    </row>
    <row r="1382" spans="1:13" x14ac:dyDescent="0.2">
      <c r="A1382" s="4" t="s">
        <v>1885</v>
      </c>
      <c r="B1382">
        <v>1381</v>
      </c>
      <c r="C1382" s="4" t="s">
        <v>26</v>
      </c>
      <c r="D1382" s="4" t="s">
        <v>44</v>
      </c>
      <c r="E1382" s="4" t="s">
        <v>50</v>
      </c>
      <c r="F1382" s="4" t="s">
        <v>1858</v>
      </c>
      <c r="G1382">
        <v>12</v>
      </c>
      <c r="H1382">
        <v>58</v>
      </c>
      <c r="I1382" s="4" t="s">
        <v>114</v>
      </c>
      <c r="J1382" s="4" t="s">
        <v>122</v>
      </c>
      <c r="K1382" s="4" t="s">
        <v>123</v>
      </c>
      <c r="L1382">
        <v>100</v>
      </c>
      <c r="M1382" s="4" t="s">
        <v>158</v>
      </c>
    </row>
    <row r="1383" spans="1:13" x14ac:dyDescent="0.2">
      <c r="A1383" s="4" t="s">
        <v>1886</v>
      </c>
      <c r="B1383">
        <v>1382</v>
      </c>
      <c r="C1383" s="4" t="s">
        <v>26</v>
      </c>
      <c r="D1383" s="4" t="s">
        <v>44</v>
      </c>
      <c r="E1383" s="4" t="s">
        <v>50</v>
      </c>
      <c r="F1383" s="4" t="s">
        <v>1858</v>
      </c>
      <c r="G1383">
        <v>12</v>
      </c>
      <c r="H1383">
        <v>58</v>
      </c>
      <c r="I1383" s="4" t="s">
        <v>114</v>
      </c>
      <c r="J1383" s="4" t="s">
        <v>125</v>
      </c>
      <c r="K1383" s="4" t="s">
        <v>126</v>
      </c>
      <c r="L1383">
        <v>75</v>
      </c>
      <c r="M1383" s="4" t="s">
        <v>158</v>
      </c>
    </row>
    <row r="1384" spans="1:13" x14ac:dyDescent="0.2">
      <c r="A1384" s="4" t="s">
        <v>1887</v>
      </c>
      <c r="B1384">
        <v>1383</v>
      </c>
      <c r="C1384" s="4" t="s">
        <v>26</v>
      </c>
      <c r="D1384" s="4" t="s">
        <v>44</v>
      </c>
      <c r="E1384" s="4" t="s">
        <v>50</v>
      </c>
      <c r="F1384" s="4" t="s">
        <v>1858</v>
      </c>
      <c r="G1384">
        <v>12</v>
      </c>
      <c r="H1384">
        <v>58</v>
      </c>
      <c r="I1384" s="4" t="s">
        <v>114</v>
      </c>
      <c r="J1384" s="4" t="s">
        <v>127</v>
      </c>
      <c r="K1384" s="4" t="s">
        <v>128</v>
      </c>
      <c r="L1384">
        <v>341</v>
      </c>
      <c r="M1384" s="4" t="s">
        <v>158</v>
      </c>
    </row>
    <row r="1385" spans="1:13" x14ac:dyDescent="0.2">
      <c r="A1385" s="4" t="s">
        <v>1888</v>
      </c>
      <c r="B1385">
        <v>1384</v>
      </c>
      <c r="C1385" s="4" t="s">
        <v>26</v>
      </c>
      <c r="D1385" s="4" t="s">
        <v>44</v>
      </c>
      <c r="E1385" s="4" t="s">
        <v>50</v>
      </c>
      <c r="F1385" s="4" t="s">
        <v>1858</v>
      </c>
      <c r="G1385">
        <v>12</v>
      </c>
      <c r="H1385">
        <v>58</v>
      </c>
      <c r="I1385" s="4" t="s">
        <v>114</v>
      </c>
      <c r="J1385" s="4" t="s">
        <v>129</v>
      </c>
      <c r="K1385" s="4" t="s">
        <v>130</v>
      </c>
      <c r="L1385">
        <v>50</v>
      </c>
      <c r="M1385" s="4" t="s">
        <v>158</v>
      </c>
    </row>
    <row r="1386" spans="1:13" x14ac:dyDescent="0.2">
      <c r="A1386" s="4" t="s">
        <v>1889</v>
      </c>
      <c r="B1386">
        <v>1385</v>
      </c>
      <c r="C1386" s="4" t="s">
        <v>26</v>
      </c>
      <c r="D1386" s="4" t="s">
        <v>44</v>
      </c>
      <c r="E1386" s="4" t="s">
        <v>50</v>
      </c>
      <c r="F1386" s="4" t="s">
        <v>1858</v>
      </c>
      <c r="G1386">
        <v>12</v>
      </c>
      <c r="H1386">
        <v>58</v>
      </c>
      <c r="I1386" s="4" t="s">
        <v>114</v>
      </c>
      <c r="J1386" s="4" t="s">
        <v>131</v>
      </c>
      <c r="K1386" s="4" t="s">
        <v>132</v>
      </c>
      <c r="L1386">
        <v>143</v>
      </c>
      <c r="M1386" s="4" t="s">
        <v>158</v>
      </c>
    </row>
    <row r="1387" spans="1:13" x14ac:dyDescent="0.2">
      <c r="A1387" s="4" t="s">
        <v>1890</v>
      </c>
      <c r="B1387">
        <v>1386</v>
      </c>
      <c r="C1387" s="4" t="s">
        <v>26</v>
      </c>
      <c r="D1387" s="4" t="s">
        <v>44</v>
      </c>
      <c r="E1387" s="4" t="s">
        <v>50</v>
      </c>
      <c r="F1387" s="4" t="s">
        <v>1858</v>
      </c>
      <c r="G1387">
        <v>12</v>
      </c>
      <c r="H1387">
        <v>58</v>
      </c>
      <c r="I1387" s="4" t="s">
        <v>114</v>
      </c>
      <c r="J1387" s="4" t="s">
        <v>133</v>
      </c>
      <c r="K1387" s="4" t="s">
        <v>134</v>
      </c>
      <c r="L1387">
        <v>19</v>
      </c>
      <c r="M1387" s="4" t="s">
        <v>158</v>
      </c>
    </row>
    <row r="1388" spans="1:13" x14ac:dyDescent="0.2">
      <c r="A1388" s="4" t="s">
        <v>1891</v>
      </c>
      <c r="B1388">
        <v>1387</v>
      </c>
      <c r="C1388" s="4" t="s">
        <v>26</v>
      </c>
      <c r="D1388" s="4" t="s">
        <v>44</v>
      </c>
      <c r="E1388" s="4" t="s">
        <v>50</v>
      </c>
      <c r="F1388" s="4" t="s">
        <v>1858</v>
      </c>
      <c r="G1388">
        <v>12</v>
      </c>
      <c r="H1388">
        <v>58</v>
      </c>
      <c r="I1388" s="4" t="s">
        <v>116</v>
      </c>
      <c r="J1388" s="4" t="s">
        <v>122</v>
      </c>
      <c r="K1388" s="4" t="s">
        <v>123</v>
      </c>
      <c r="L1388">
        <v>86</v>
      </c>
      <c r="M1388" s="4" t="s">
        <v>158</v>
      </c>
    </row>
    <row r="1389" spans="1:13" x14ac:dyDescent="0.2">
      <c r="A1389" s="4" t="s">
        <v>1892</v>
      </c>
      <c r="B1389">
        <v>1388</v>
      </c>
      <c r="C1389" s="4" t="s">
        <v>26</v>
      </c>
      <c r="D1389" s="4" t="s">
        <v>44</v>
      </c>
      <c r="E1389" s="4" t="s">
        <v>50</v>
      </c>
      <c r="F1389" s="4" t="s">
        <v>1858</v>
      </c>
      <c r="G1389">
        <v>12</v>
      </c>
      <c r="H1389">
        <v>58</v>
      </c>
      <c r="I1389" s="4" t="s">
        <v>116</v>
      </c>
      <c r="J1389" s="4" t="s">
        <v>125</v>
      </c>
      <c r="K1389" s="4" t="s">
        <v>126</v>
      </c>
      <c r="L1389">
        <v>50</v>
      </c>
      <c r="M1389" s="4" t="s">
        <v>158</v>
      </c>
    </row>
    <row r="1390" spans="1:13" x14ac:dyDescent="0.2">
      <c r="A1390" s="4" t="s">
        <v>1893</v>
      </c>
      <c r="B1390">
        <v>1389</v>
      </c>
      <c r="C1390" s="4" t="s">
        <v>26</v>
      </c>
      <c r="D1390" s="4" t="s">
        <v>44</v>
      </c>
      <c r="E1390" s="4" t="s">
        <v>50</v>
      </c>
      <c r="F1390" s="4" t="s">
        <v>1858</v>
      </c>
      <c r="G1390">
        <v>12</v>
      </c>
      <c r="H1390">
        <v>58</v>
      </c>
      <c r="I1390" s="4" t="s">
        <v>116</v>
      </c>
      <c r="J1390" s="4" t="s">
        <v>127</v>
      </c>
      <c r="K1390" s="4" t="s">
        <v>128</v>
      </c>
      <c r="L1390">
        <v>97</v>
      </c>
      <c r="M1390" s="4" t="s">
        <v>158</v>
      </c>
    </row>
    <row r="1391" spans="1:13" x14ac:dyDescent="0.2">
      <c r="A1391" s="4" t="s">
        <v>1894</v>
      </c>
      <c r="B1391">
        <v>1390</v>
      </c>
      <c r="C1391" s="4" t="s">
        <v>26</v>
      </c>
      <c r="D1391" s="4" t="s">
        <v>44</v>
      </c>
      <c r="E1391" s="4" t="s">
        <v>50</v>
      </c>
      <c r="F1391" s="4" t="s">
        <v>1858</v>
      </c>
      <c r="G1391">
        <v>12</v>
      </c>
      <c r="H1391">
        <v>58</v>
      </c>
      <c r="I1391" s="4" t="s">
        <v>116</v>
      </c>
      <c r="J1391" s="4" t="s">
        <v>129</v>
      </c>
      <c r="K1391" s="4" t="s">
        <v>130</v>
      </c>
      <c r="L1391">
        <v>99</v>
      </c>
      <c r="M1391" s="4" t="s">
        <v>158</v>
      </c>
    </row>
    <row r="1392" spans="1:13" x14ac:dyDescent="0.2">
      <c r="A1392" s="4" t="s">
        <v>1895</v>
      </c>
      <c r="B1392">
        <v>1391</v>
      </c>
      <c r="C1392" s="4" t="s">
        <v>26</v>
      </c>
      <c r="D1392" s="4" t="s">
        <v>44</v>
      </c>
      <c r="E1392" s="4" t="s">
        <v>50</v>
      </c>
      <c r="F1392" s="4" t="s">
        <v>1858</v>
      </c>
      <c r="G1392">
        <v>12</v>
      </c>
      <c r="H1392">
        <v>58</v>
      </c>
      <c r="I1392" s="4" t="s">
        <v>116</v>
      </c>
      <c r="J1392" s="4" t="s">
        <v>131</v>
      </c>
      <c r="K1392" s="4" t="s">
        <v>132</v>
      </c>
      <c r="L1392">
        <v>80</v>
      </c>
      <c r="M1392" s="4" t="s">
        <v>158</v>
      </c>
    </row>
    <row r="1393" spans="1:13" x14ac:dyDescent="0.2">
      <c r="A1393" s="4" t="s">
        <v>1896</v>
      </c>
      <c r="B1393">
        <v>1392</v>
      </c>
      <c r="C1393" s="4" t="s">
        <v>26</v>
      </c>
      <c r="D1393" s="4" t="s">
        <v>44</v>
      </c>
      <c r="E1393" s="4" t="s">
        <v>50</v>
      </c>
      <c r="F1393" s="4" t="s">
        <v>1858</v>
      </c>
      <c r="G1393">
        <v>12</v>
      </c>
      <c r="H1393">
        <v>58</v>
      </c>
      <c r="I1393" s="4" t="s">
        <v>116</v>
      </c>
      <c r="J1393" s="4" t="s">
        <v>133</v>
      </c>
      <c r="K1393" s="4" t="s">
        <v>134</v>
      </c>
      <c r="L1393">
        <v>40</v>
      </c>
      <c r="M1393" s="4" t="s">
        <v>158</v>
      </c>
    </row>
    <row r="1394" spans="1:13" x14ac:dyDescent="0.2">
      <c r="A1394" s="4" t="s">
        <v>1897</v>
      </c>
      <c r="B1394">
        <v>1393</v>
      </c>
      <c r="C1394" s="4" t="s">
        <v>26</v>
      </c>
      <c r="D1394" s="4" t="s">
        <v>44</v>
      </c>
      <c r="E1394" s="4" t="s">
        <v>53</v>
      </c>
      <c r="F1394" s="4" t="s">
        <v>1859</v>
      </c>
      <c r="G1394">
        <v>12</v>
      </c>
      <c r="H1394">
        <v>59</v>
      </c>
      <c r="I1394" s="4" t="s">
        <v>35</v>
      </c>
      <c r="J1394" s="4" t="s">
        <v>122</v>
      </c>
      <c r="K1394" s="4" t="s">
        <v>123</v>
      </c>
      <c r="L1394">
        <v>272</v>
      </c>
      <c r="M1394" s="4" t="s">
        <v>158</v>
      </c>
    </row>
    <row r="1395" spans="1:13" x14ac:dyDescent="0.2">
      <c r="A1395" s="4" t="s">
        <v>1898</v>
      </c>
      <c r="B1395">
        <v>1394</v>
      </c>
      <c r="C1395" s="4" t="s">
        <v>26</v>
      </c>
      <c r="D1395" s="4" t="s">
        <v>44</v>
      </c>
      <c r="E1395" s="4" t="s">
        <v>53</v>
      </c>
      <c r="F1395" s="4" t="s">
        <v>1859</v>
      </c>
      <c r="G1395">
        <v>12</v>
      </c>
      <c r="H1395">
        <v>59</v>
      </c>
      <c r="I1395" s="4" t="s">
        <v>35</v>
      </c>
      <c r="J1395" s="4" t="s">
        <v>125</v>
      </c>
      <c r="K1395" s="4" t="s">
        <v>126</v>
      </c>
      <c r="L1395">
        <v>69</v>
      </c>
      <c r="M1395" s="4" t="s">
        <v>158</v>
      </c>
    </row>
    <row r="1396" spans="1:13" x14ac:dyDescent="0.2">
      <c r="A1396" s="4" t="s">
        <v>1899</v>
      </c>
      <c r="B1396">
        <v>1395</v>
      </c>
      <c r="C1396" s="4" t="s">
        <v>26</v>
      </c>
      <c r="D1396" s="4" t="s">
        <v>44</v>
      </c>
      <c r="E1396" s="4" t="s">
        <v>53</v>
      </c>
      <c r="F1396" s="4" t="s">
        <v>1859</v>
      </c>
      <c r="G1396">
        <v>12</v>
      </c>
      <c r="H1396">
        <v>59</v>
      </c>
      <c r="I1396" s="4" t="s">
        <v>35</v>
      </c>
      <c r="J1396" s="4" t="s">
        <v>127</v>
      </c>
      <c r="K1396" s="4" t="s">
        <v>128</v>
      </c>
      <c r="L1396">
        <v>0</v>
      </c>
      <c r="M1396" s="4" t="s">
        <v>158</v>
      </c>
    </row>
    <row r="1397" spans="1:13" x14ac:dyDescent="0.2">
      <c r="A1397" s="4" t="s">
        <v>1900</v>
      </c>
      <c r="B1397">
        <v>1396</v>
      </c>
      <c r="C1397" s="4" t="s">
        <v>26</v>
      </c>
      <c r="D1397" s="4" t="s">
        <v>44</v>
      </c>
      <c r="E1397" s="4" t="s">
        <v>53</v>
      </c>
      <c r="F1397" s="4" t="s">
        <v>1859</v>
      </c>
      <c r="G1397">
        <v>12</v>
      </c>
      <c r="H1397">
        <v>59</v>
      </c>
      <c r="I1397" s="4" t="s">
        <v>35</v>
      </c>
      <c r="J1397" s="4" t="s">
        <v>129</v>
      </c>
      <c r="K1397" s="4" t="s">
        <v>130</v>
      </c>
      <c r="L1397">
        <v>11</v>
      </c>
      <c r="M1397" s="4" t="s">
        <v>158</v>
      </c>
    </row>
    <row r="1398" spans="1:13" x14ac:dyDescent="0.2">
      <c r="A1398" s="4" t="s">
        <v>1901</v>
      </c>
      <c r="B1398">
        <v>1397</v>
      </c>
      <c r="C1398" s="4" t="s">
        <v>26</v>
      </c>
      <c r="D1398" s="4" t="s">
        <v>44</v>
      </c>
      <c r="E1398" s="4" t="s">
        <v>53</v>
      </c>
      <c r="F1398" s="4" t="s">
        <v>1859</v>
      </c>
      <c r="G1398">
        <v>12</v>
      </c>
      <c r="H1398">
        <v>59</v>
      </c>
      <c r="I1398" s="4" t="s">
        <v>35</v>
      </c>
      <c r="J1398" s="4" t="s">
        <v>131</v>
      </c>
      <c r="K1398" s="4" t="s">
        <v>132</v>
      </c>
      <c r="L1398">
        <v>27</v>
      </c>
      <c r="M1398" s="4" t="s">
        <v>158</v>
      </c>
    </row>
    <row r="1399" spans="1:13" x14ac:dyDescent="0.2">
      <c r="A1399" s="4" t="s">
        <v>1902</v>
      </c>
      <c r="B1399">
        <v>1398</v>
      </c>
      <c r="C1399" s="4" t="s">
        <v>26</v>
      </c>
      <c r="D1399" s="4" t="s">
        <v>44</v>
      </c>
      <c r="E1399" s="4" t="s">
        <v>53</v>
      </c>
      <c r="F1399" s="4" t="s">
        <v>1859</v>
      </c>
      <c r="G1399">
        <v>12</v>
      </c>
      <c r="H1399">
        <v>59</v>
      </c>
      <c r="I1399" s="4" t="s">
        <v>35</v>
      </c>
      <c r="J1399" s="4" t="s">
        <v>133</v>
      </c>
      <c r="K1399" s="4" t="s">
        <v>134</v>
      </c>
      <c r="L1399">
        <v>0</v>
      </c>
      <c r="M1399" s="4" t="s">
        <v>158</v>
      </c>
    </row>
    <row r="1400" spans="1:13" x14ac:dyDescent="0.2">
      <c r="A1400" s="4" t="s">
        <v>1903</v>
      </c>
      <c r="B1400">
        <v>1399</v>
      </c>
      <c r="C1400" s="4" t="s">
        <v>26</v>
      </c>
      <c r="D1400" s="4" t="s">
        <v>44</v>
      </c>
      <c r="E1400" s="4" t="s">
        <v>53</v>
      </c>
      <c r="F1400" s="4" t="s">
        <v>1859</v>
      </c>
      <c r="G1400">
        <v>12</v>
      </c>
      <c r="H1400">
        <v>59</v>
      </c>
      <c r="I1400" s="4" t="s">
        <v>112</v>
      </c>
      <c r="J1400" s="4" t="s">
        <v>122</v>
      </c>
      <c r="K1400" s="4" t="s">
        <v>123</v>
      </c>
      <c r="L1400">
        <v>517</v>
      </c>
      <c r="M1400" s="4" t="s">
        <v>158</v>
      </c>
    </row>
    <row r="1401" spans="1:13" x14ac:dyDescent="0.2">
      <c r="A1401" s="4" t="s">
        <v>1904</v>
      </c>
      <c r="B1401">
        <v>1400</v>
      </c>
      <c r="C1401" s="4" t="s">
        <v>26</v>
      </c>
      <c r="D1401" s="4" t="s">
        <v>44</v>
      </c>
      <c r="E1401" s="4" t="s">
        <v>53</v>
      </c>
      <c r="F1401" s="4" t="s">
        <v>1859</v>
      </c>
      <c r="G1401">
        <v>12</v>
      </c>
      <c r="H1401">
        <v>59</v>
      </c>
      <c r="I1401" s="4" t="s">
        <v>112</v>
      </c>
      <c r="J1401" s="4" t="s">
        <v>125</v>
      </c>
      <c r="K1401" s="4" t="s">
        <v>126</v>
      </c>
      <c r="L1401">
        <v>20</v>
      </c>
      <c r="M1401" s="4" t="s">
        <v>158</v>
      </c>
    </row>
    <row r="1402" spans="1:13" x14ac:dyDescent="0.2">
      <c r="A1402" s="4" t="s">
        <v>1905</v>
      </c>
      <c r="B1402">
        <v>1401</v>
      </c>
      <c r="C1402" s="4" t="s">
        <v>26</v>
      </c>
      <c r="D1402" s="4" t="s">
        <v>44</v>
      </c>
      <c r="E1402" s="4" t="s">
        <v>53</v>
      </c>
      <c r="F1402" s="4" t="s">
        <v>1859</v>
      </c>
      <c r="G1402">
        <v>12</v>
      </c>
      <c r="H1402">
        <v>59</v>
      </c>
      <c r="I1402" s="4" t="s">
        <v>112</v>
      </c>
      <c r="J1402" s="4" t="s">
        <v>127</v>
      </c>
      <c r="K1402" s="4" t="s">
        <v>128</v>
      </c>
      <c r="L1402">
        <v>57</v>
      </c>
      <c r="M1402" s="4" t="s">
        <v>158</v>
      </c>
    </row>
    <row r="1403" spans="1:13" x14ac:dyDescent="0.2">
      <c r="A1403" s="4" t="s">
        <v>1906</v>
      </c>
      <c r="B1403">
        <v>1402</v>
      </c>
      <c r="C1403" s="4" t="s">
        <v>26</v>
      </c>
      <c r="D1403" s="4" t="s">
        <v>44</v>
      </c>
      <c r="E1403" s="4" t="s">
        <v>53</v>
      </c>
      <c r="F1403" s="4" t="s">
        <v>1859</v>
      </c>
      <c r="G1403">
        <v>12</v>
      </c>
      <c r="H1403">
        <v>59</v>
      </c>
      <c r="I1403" s="4" t="s">
        <v>112</v>
      </c>
      <c r="J1403" s="4" t="s">
        <v>129</v>
      </c>
      <c r="K1403" s="4" t="s">
        <v>130</v>
      </c>
      <c r="L1403">
        <v>50</v>
      </c>
      <c r="M1403" s="4" t="s">
        <v>158</v>
      </c>
    </row>
    <row r="1404" spans="1:13" x14ac:dyDescent="0.2">
      <c r="A1404" s="4" t="s">
        <v>1907</v>
      </c>
      <c r="B1404">
        <v>1403</v>
      </c>
      <c r="C1404" s="4" t="s">
        <v>26</v>
      </c>
      <c r="D1404" s="4" t="s">
        <v>44</v>
      </c>
      <c r="E1404" s="4" t="s">
        <v>53</v>
      </c>
      <c r="F1404" s="4" t="s">
        <v>1859</v>
      </c>
      <c r="G1404">
        <v>12</v>
      </c>
      <c r="H1404">
        <v>59</v>
      </c>
      <c r="I1404" s="4" t="s">
        <v>112</v>
      </c>
      <c r="J1404" s="4" t="s">
        <v>131</v>
      </c>
      <c r="K1404" s="4" t="s">
        <v>132</v>
      </c>
      <c r="L1404">
        <v>100</v>
      </c>
      <c r="M1404" s="4" t="s">
        <v>158</v>
      </c>
    </row>
    <row r="1405" spans="1:13" x14ac:dyDescent="0.2">
      <c r="A1405" s="4" t="s">
        <v>1908</v>
      </c>
      <c r="B1405">
        <v>1404</v>
      </c>
      <c r="C1405" s="4" t="s">
        <v>26</v>
      </c>
      <c r="D1405" s="4" t="s">
        <v>44</v>
      </c>
      <c r="E1405" s="4" t="s">
        <v>53</v>
      </c>
      <c r="F1405" s="4" t="s">
        <v>1859</v>
      </c>
      <c r="G1405">
        <v>12</v>
      </c>
      <c r="H1405">
        <v>59</v>
      </c>
      <c r="I1405" s="4" t="s">
        <v>112</v>
      </c>
      <c r="J1405" s="4" t="s">
        <v>133</v>
      </c>
      <c r="K1405" s="4" t="s">
        <v>134</v>
      </c>
      <c r="L1405">
        <v>25</v>
      </c>
      <c r="M1405" s="4" t="s">
        <v>158</v>
      </c>
    </row>
    <row r="1406" spans="1:13" x14ac:dyDescent="0.2">
      <c r="A1406" s="4" t="s">
        <v>1909</v>
      </c>
      <c r="B1406">
        <v>1405</v>
      </c>
      <c r="C1406" s="4" t="s">
        <v>26</v>
      </c>
      <c r="D1406" s="4" t="s">
        <v>44</v>
      </c>
      <c r="E1406" s="4" t="s">
        <v>53</v>
      </c>
      <c r="F1406" s="4" t="s">
        <v>1859</v>
      </c>
      <c r="G1406">
        <v>12</v>
      </c>
      <c r="H1406">
        <v>59</v>
      </c>
      <c r="I1406" s="4" t="s">
        <v>114</v>
      </c>
      <c r="J1406" s="4" t="s">
        <v>122</v>
      </c>
      <c r="K1406" s="4" t="s">
        <v>123</v>
      </c>
      <c r="L1406">
        <v>100</v>
      </c>
      <c r="M1406" s="4" t="s">
        <v>158</v>
      </c>
    </row>
    <row r="1407" spans="1:13" x14ac:dyDescent="0.2">
      <c r="A1407" s="4" t="s">
        <v>1910</v>
      </c>
      <c r="B1407">
        <v>1406</v>
      </c>
      <c r="C1407" s="4" t="s">
        <v>26</v>
      </c>
      <c r="D1407" s="4" t="s">
        <v>44</v>
      </c>
      <c r="E1407" s="4" t="s">
        <v>53</v>
      </c>
      <c r="F1407" s="4" t="s">
        <v>1859</v>
      </c>
      <c r="G1407">
        <v>12</v>
      </c>
      <c r="H1407">
        <v>59</v>
      </c>
      <c r="I1407" s="4" t="s">
        <v>114</v>
      </c>
      <c r="J1407" s="4" t="s">
        <v>125</v>
      </c>
      <c r="K1407" s="4" t="s">
        <v>126</v>
      </c>
      <c r="L1407">
        <v>75</v>
      </c>
      <c r="M1407" s="4" t="s">
        <v>158</v>
      </c>
    </row>
    <row r="1408" spans="1:13" x14ac:dyDescent="0.2">
      <c r="A1408" s="4" t="s">
        <v>1911</v>
      </c>
      <c r="B1408">
        <v>1407</v>
      </c>
      <c r="C1408" s="4" t="s">
        <v>26</v>
      </c>
      <c r="D1408" s="4" t="s">
        <v>44</v>
      </c>
      <c r="E1408" s="4" t="s">
        <v>53</v>
      </c>
      <c r="F1408" s="4" t="s">
        <v>1859</v>
      </c>
      <c r="G1408">
        <v>12</v>
      </c>
      <c r="H1408">
        <v>59</v>
      </c>
      <c r="I1408" s="4" t="s">
        <v>114</v>
      </c>
      <c r="J1408" s="4" t="s">
        <v>127</v>
      </c>
      <c r="K1408" s="4" t="s">
        <v>128</v>
      </c>
      <c r="L1408">
        <v>341</v>
      </c>
      <c r="M1408" s="4" t="s">
        <v>158</v>
      </c>
    </row>
    <row r="1409" spans="1:13" x14ac:dyDescent="0.2">
      <c r="A1409" s="4" t="s">
        <v>1912</v>
      </c>
      <c r="B1409">
        <v>1408</v>
      </c>
      <c r="C1409" s="4" t="s">
        <v>26</v>
      </c>
      <c r="D1409" s="4" t="s">
        <v>44</v>
      </c>
      <c r="E1409" s="4" t="s">
        <v>53</v>
      </c>
      <c r="F1409" s="4" t="s">
        <v>1859</v>
      </c>
      <c r="G1409">
        <v>12</v>
      </c>
      <c r="H1409">
        <v>59</v>
      </c>
      <c r="I1409" s="4" t="s">
        <v>114</v>
      </c>
      <c r="J1409" s="4" t="s">
        <v>129</v>
      </c>
      <c r="K1409" s="4" t="s">
        <v>130</v>
      </c>
      <c r="L1409">
        <v>26</v>
      </c>
      <c r="M1409" s="4" t="s">
        <v>158</v>
      </c>
    </row>
    <row r="1410" spans="1:13" x14ac:dyDescent="0.2">
      <c r="A1410" s="4" t="s">
        <v>1913</v>
      </c>
      <c r="B1410">
        <v>1409</v>
      </c>
      <c r="C1410" s="4" t="s">
        <v>26</v>
      </c>
      <c r="D1410" s="4" t="s">
        <v>44</v>
      </c>
      <c r="E1410" s="4" t="s">
        <v>53</v>
      </c>
      <c r="F1410" s="4" t="s">
        <v>1859</v>
      </c>
      <c r="G1410">
        <v>12</v>
      </c>
      <c r="H1410">
        <v>59</v>
      </c>
      <c r="I1410" s="4" t="s">
        <v>114</v>
      </c>
      <c r="J1410" s="4" t="s">
        <v>131</v>
      </c>
      <c r="K1410" s="4" t="s">
        <v>132</v>
      </c>
      <c r="L1410">
        <v>143</v>
      </c>
      <c r="M1410" s="4" t="s">
        <v>158</v>
      </c>
    </row>
    <row r="1411" spans="1:13" x14ac:dyDescent="0.2">
      <c r="A1411" s="4" t="s">
        <v>1914</v>
      </c>
      <c r="B1411">
        <v>1410</v>
      </c>
      <c r="C1411" s="4" t="s">
        <v>26</v>
      </c>
      <c r="D1411" s="4" t="s">
        <v>44</v>
      </c>
      <c r="E1411" s="4" t="s">
        <v>53</v>
      </c>
      <c r="F1411" s="4" t="s">
        <v>1859</v>
      </c>
      <c r="G1411">
        <v>12</v>
      </c>
      <c r="H1411">
        <v>59</v>
      </c>
      <c r="I1411" s="4" t="s">
        <v>114</v>
      </c>
      <c r="J1411" s="4" t="s">
        <v>133</v>
      </c>
      <c r="K1411" s="4" t="s">
        <v>134</v>
      </c>
      <c r="L1411">
        <v>19</v>
      </c>
      <c r="M1411" s="4" t="s">
        <v>158</v>
      </c>
    </row>
    <row r="1412" spans="1:13" x14ac:dyDescent="0.2">
      <c r="A1412" s="4" t="s">
        <v>1915</v>
      </c>
      <c r="B1412">
        <v>1411</v>
      </c>
      <c r="C1412" s="4" t="s">
        <v>26</v>
      </c>
      <c r="D1412" s="4" t="s">
        <v>44</v>
      </c>
      <c r="E1412" s="4" t="s">
        <v>53</v>
      </c>
      <c r="F1412" s="4" t="s">
        <v>1859</v>
      </c>
      <c r="G1412">
        <v>12</v>
      </c>
      <c r="H1412">
        <v>59</v>
      </c>
      <c r="I1412" s="4" t="s">
        <v>116</v>
      </c>
      <c r="J1412" s="4" t="s">
        <v>122</v>
      </c>
      <c r="K1412" s="4" t="s">
        <v>123</v>
      </c>
      <c r="L1412">
        <v>0</v>
      </c>
      <c r="M1412" s="4" t="s">
        <v>158</v>
      </c>
    </row>
    <row r="1413" spans="1:13" x14ac:dyDescent="0.2">
      <c r="A1413" s="4" t="s">
        <v>1916</v>
      </c>
      <c r="B1413">
        <v>1412</v>
      </c>
      <c r="C1413" s="4" t="s">
        <v>26</v>
      </c>
      <c r="D1413" s="4" t="s">
        <v>44</v>
      </c>
      <c r="E1413" s="4" t="s">
        <v>53</v>
      </c>
      <c r="F1413" s="4" t="s">
        <v>1859</v>
      </c>
      <c r="G1413">
        <v>12</v>
      </c>
      <c r="H1413">
        <v>59</v>
      </c>
      <c r="I1413" s="4" t="s">
        <v>116</v>
      </c>
      <c r="J1413" s="4" t="s">
        <v>125</v>
      </c>
      <c r="K1413" s="4" t="s">
        <v>126</v>
      </c>
      <c r="L1413">
        <v>50</v>
      </c>
      <c r="M1413" s="4" t="s">
        <v>158</v>
      </c>
    </row>
    <row r="1414" spans="1:13" x14ac:dyDescent="0.2">
      <c r="A1414" s="4" t="s">
        <v>1917</v>
      </c>
      <c r="B1414">
        <v>1413</v>
      </c>
      <c r="C1414" s="4" t="s">
        <v>26</v>
      </c>
      <c r="D1414" s="4" t="s">
        <v>44</v>
      </c>
      <c r="E1414" s="4" t="s">
        <v>53</v>
      </c>
      <c r="F1414" s="4" t="s">
        <v>1859</v>
      </c>
      <c r="G1414">
        <v>12</v>
      </c>
      <c r="H1414">
        <v>59</v>
      </c>
      <c r="I1414" s="4" t="s">
        <v>116</v>
      </c>
      <c r="J1414" s="4" t="s">
        <v>127</v>
      </c>
      <c r="K1414" s="4" t="s">
        <v>128</v>
      </c>
      <c r="L1414">
        <v>53</v>
      </c>
      <c r="M1414" s="4" t="s">
        <v>158</v>
      </c>
    </row>
    <row r="1415" spans="1:13" x14ac:dyDescent="0.2">
      <c r="A1415" s="4" t="s">
        <v>1918</v>
      </c>
      <c r="B1415">
        <v>1414</v>
      </c>
      <c r="C1415" s="4" t="s">
        <v>26</v>
      </c>
      <c r="D1415" s="4" t="s">
        <v>44</v>
      </c>
      <c r="E1415" s="4" t="s">
        <v>53</v>
      </c>
      <c r="F1415" s="4" t="s">
        <v>1859</v>
      </c>
      <c r="G1415">
        <v>12</v>
      </c>
      <c r="H1415">
        <v>59</v>
      </c>
      <c r="I1415" s="4" t="s">
        <v>116</v>
      </c>
      <c r="J1415" s="4" t="s">
        <v>129</v>
      </c>
      <c r="K1415" s="4" t="s">
        <v>130</v>
      </c>
      <c r="L1415">
        <v>99</v>
      </c>
      <c r="M1415" s="4" t="s">
        <v>158</v>
      </c>
    </row>
    <row r="1416" spans="1:13" x14ac:dyDescent="0.2">
      <c r="A1416" s="4" t="s">
        <v>1919</v>
      </c>
      <c r="B1416">
        <v>1415</v>
      </c>
      <c r="C1416" s="4" t="s">
        <v>26</v>
      </c>
      <c r="D1416" s="4" t="s">
        <v>44</v>
      </c>
      <c r="E1416" s="4" t="s">
        <v>53</v>
      </c>
      <c r="F1416" s="4" t="s">
        <v>1859</v>
      </c>
      <c r="G1416">
        <v>12</v>
      </c>
      <c r="H1416">
        <v>59</v>
      </c>
      <c r="I1416" s="4" t="s">
        <v>116</v>
      </c>
      <c r="J1416" s="4" t="s">
        <v>131</v>
      </c>
      <c r="K1416" s="4" t="s">
        <v>132</v>
      </c>
      <c r="L1416">
        <v>80</v>
      </c>
      <c r="M1416" s="4" t="s">
        <v>158</v>
      </c>
    </row>
    <row r="1417" spans="1:13" x14ac:dyDescent="0.2">
      <c r="A1417" s="4" t="s">
        <v>1920</v>
      </c>
      <c r="B1417">
        <v>1416</v>
      </c>
      <c r="C1417" s="4" t="s">
        <v>26</v>
      </c>
      <c r="D1417" s="4" t="s">
        <v>44</v>
      </c>
      <c r="E1417" s="4" t="s">
        <v>53</v>
      </c>
      <c r="F1417" s="4" t="s">
        <v>1859</v>
      </c>
      <c r="G1417">
        <v>12</v>
      </c>
      <c r="H1417">
        <v>59</v>
      </c>
      <c r="I1417" s="4" t="s">
        <v>116</v>
      </c>
      <c r="J1417" s="4" t="s">
        <v>133</v>
      </c>
      <c r="K1417" s="4" t="s">
        <v>134</v>
      </c>
      <c r="L1417">
        <v>0</v>
      </c>
      <c r="M1417" s="4" t="s">
        <v>158</v>
      </c>
    </row>
    <row r="1418" spans="1:13" x14ac:dyDescent="0.2">
      <c r="A1418" s="4" t="s">
        <v>1921</v>
      </c>
      <c r="B1418">
        <v>1417</v>
      </c>
      <c r="C1418" s="4" t="s">
        <v>26</v>
      </c>
      <c r="D1418" s="4" t="s">
        <v>44</v>
      </c>
      <c r="E1418" s="4" t="s">
        <v>56</v>
      </c>
      <c r="F1418" s="4" t="s">
        <v>1922</v>
      </c>
      <c r="G1418">
        <v>12</v>
      </c>
      <c r="H1418">
        <v>60</v>
      </c>
      <c r="I1418" s="4" t="s">
        <v>35</v>
      </c>
      <c r="J1418" s="4" t="s">
        <v>122</v>
      </c>
      <c r="K1418" s="4" t="s">
        <v>123</v>
      </c>
      <c r="L1418">
        <v>272</v>
      </c>
      <c r="M1418" s="4" t="s">
        <v>158</v>
      </c>
    </row>
    <row r="1419" spans="1:13" x14ac:dyDescent="0.2">
      <c r="A1419" s="4" t="s">
        <v>1923</v>
      </c>
      <c r="B1419">
        <v>1418</v>
      </c>
      <c r="C1419" s="4" t="s">
        <v>26</v>
      </c>
      <c r="D1419" s="4" t="s">
        <v>44</v>
      </c>
      <c r="E1419" s="4" t="s">
        <v>56</v>
      </c>
      <c r="F1419" s="4" t="s">
        <v>1922</v>
      </c>
      <c r="G1419">
        <v>12</v>
      </c>
      <c r="H1419">
        <v>60</v>
      </c>
      <c r="I1419" s="4" t="s">
        <v>35</v>
      </c>
      <c r="J1419" s="4" t="s">
        <v>125</v>
      </c>
      <c r="K1419" s="4" t="s">
        <v>126</v>
      </c>
      <c r="L1419">
        <v>69</v>
      </c>
      <c r="M1419" s="4" t="s">
        <v>158</v>
      </c>
    </row>
    <row r="1420" spans="1:13" x14ac:dyDescent="0.2">
      <c r="A1420" s="4" t="s">
        <v>1924</v>
      </c>
      <c r="B1420">
        <v>1419</v>
      </c>
      <c r="C1420" s="4" t="s">
        <v>26</v>
      </c>
      <c r="D1420" s="4" t="s">
        <v>44</v>
      </c>
      <c r="E1420" s="4" t="s">
        <v>56</v>
      </c>
      <c r="F1420" s="4" t="s">
        <v>1922</v>
      </c>
      <c r="G1420">
        <v>12</v>
      </c>
      <c r="H1420">
        <v>60</v>
      </c>
      <c r="I1420" s="4" t="s">
        <v>35</v>
      </c>
      <c r="J1420" s="4" t="s">
        <v>127</v>
      </c>
      <c r="K1420" s="4" t="s">
        <v>128</v>
      </c>
      <c r="L1420">
        <v>0</v>
      </c>
      <c r="M1420" s="4" t="s">
        <v>158</v>
      </c>
    </row>
    <row r="1421" spans="1:13" x14ac:dyDescent="0.2">
      <c r="A1421" s="4" t="s">
        <v>1925</v>
      </c>
      <c r="B1421">
        <v>1420</v>
      </c>
      <c r="C1421" s="4" t="s">
        <v>26</v>
      </c>
      <c r="D1421" s="4" t="s">
        <v>44</v>
      </c>
      <c r="E1421" s="4" t="s">
        <v>56</v>
      </c>
      <c r="F1421" s="4" t="s">
        <v>1922</v>
      </c>
      <c r="G1421">
        <v>12</v>
      </c>
      <c r="H1421">
        <v>60</v>
      </c>
      <c r="I1421" s="4" t="s">
        <v>35</v>
      </c>
      <c r="J1421" s="4" t="s">
        <v>129</v>
      </c>
      <c r="K1421" s="4" t="s">
        <v>130</v>
      </c>
      <c r="L1421">
        <v>11</v>
      </c>
      <c r="M1421" s="4" t="s">
        <v>158</v>
      </c>
    </row>
    <row r="1422" spans="1:13" x14ac:dyDescent="0.2">
      <c r="A1422" s="4" t="s">
        <v>1926</v>
      </c>
      <c r="B1422">
        <v>1421</v>
      </c>
      <c r="C1422" s="4" t="s">
        <v>26</v>
      </c>
      <c r="D1422" s="4" t="s">
        <v>44</v>
      </c>
      <c r="E1422" s="4" t="s">
        <v>56</v>
      </c>
      <c r="F1422" s="4" t="s">
        <v>1922</v>
      </c>
      <c r="G1422">
        <v>12</v>
      </c>
      <c r="H1422">
        <v>60</v>
      </c>
      <c r="I1422" s="4" t="s">
        <v>35</v>
      </c>
      <c r="J1422" s="4" t="s">
        <v>131</v>
      </c>
      <c r="K1422" s="4" t="s">
        <v>132</v>
      </c>
      <c r="L1422">
        <v>27</v>
      </c>
      <c r="M1422" s="4" t="s">
        <v>158</v>
      </c>
    </row>
    <row r="1423" spans="1:13" x14ac:dyDescent="0.2">
      <c r="A1423" s="4" t="s">
        <v>1927</v>
      </c>
      <c r="B1423">
        <v>1422</v>
      </c>
      <c r="C1423" s="4" t="s">
        <v>26</v>
      </c>
      <c r="D1423" s="4" t="s">
        <v>44</v>
      </c>
      <c r="E1423" s="4" t="s">
        <v>56</v>
      </c>
      <c r="F1423" s="4" t="s">
        <v>1922</v>
      </c>
      <c r="G1423">
        <v>12</v>
      </c>
      <c r="H1423">
        <v>60</v>
      </c>
      <c r="I1423" s="4" t="s">
        <v>35</v>
      </c>
      <c r="J1423" s="4" t="s">
        <v>133</v>
      </c>
      <c r="K1423" s="4" t="s">
        <v>134</v>
      </c>
      <c r="L1423">
        <v>0</v>
      </c>
      <c r="M1423" s="4" t="s">
        <v>158</v>
      </c>
    </row>
    <row r="1424" spans="1:13" x14ac:dyDescent="0.2">
      <c r="A1424" s="4" t="s">
        <v>1928</v>
      </c>
      <c r="B1424">
        <v>1423</v>
      </c>
      <c r="C1424" s="4" t="s">
        <v>26</v>
      </c>
      <c r="D1424" s="4" t="s">
        <v>44</v>
      </c>
      <c r="E1424" s="4" t="s">
        <v>56</v>
      </c>
      <c r="F1424" s="4" t="s">
        <v>1922</v>
      </c>
      <c r="G1424">
        <v>12</v>
      </c>
      <c r="H1424">
        <v>60</v>
      </c>
      <c r="I1424" s="4" t="s">
        <v>112</v>
      </c>
      <c r="J1424" s="4" t="s">
        <v>122</v>
      </c>
      <c r="K1424" s="4" t="s">
        <v>123</v>
      </c>
      <c r="L1424">
        <v>403</v>
      </c>
      <c r="M1424" s="4" t="s">
        <v>158</v>
      </c>
    </row>
    <row r="1425" spans="1:13" x14ac:dyDescent="0.2">
      <c r="A1425" s="4" t="s">
        <v>1929</v>
      </c>
      <c r="B1425">
        <v>1424</v>
      </c>
      <c r="C1425" s="4" t="s">
        <v>26</v>
      </c>
      <c r="D1425" s="4" t="s">
        <v>44</v>
      </c>
      <c r="E1425" s="4" t="s">
        <v>56</v>
      </c>
      <c r="F1425" s="4" t="s">
        <v>1922</v>
      </c>
      <c r="G1425">
        <v>12</v>
      </c>
      <c r="H1425">
        <v>60</v>
      </c>
      <c r="I1425" s="4" t="s">
        <v>112</v>
      </c>
      <c r="J1425" s="4" t="s">
        <v>125</v>
      </c>
      <c r="K1425" s="4" t="s">
        <v>126</v>
      </c>
      <c r="L1425">
        <v>20</v>
      </c>
      <c r="M1425" s="4" t="s">
        <v>158</v>
      </c>
    </row>
    <row r="1426" spans="1:13" x14ac:dyDescent="0.2">
      <c r="A1426" s="4" t="s">
        <v>1930</v>
      </c>
      <c r="B1426">
        <v>1425</v>
      </c>
      <c r="C1426" s="4" t="s">
        <v>26</v>
      </c>
      <c r="D1426" s="4" t="s">
        <v>44</v>
      </c>
      <c r="E1426" s="4" t="s">
        <v>56</v>
      </c>
      <c r="F1426" s="4" t="s">
        <v>1922</v>
      </c>
      <c r="G1426">
        <v>12</v>
      </c>
      <c r="H1426">
        <v>60</v>
      </c>
      <c r="I1426" s="4" t="s">
        <v>112</v>
      </c>
      <c r="J1426" s="4" t="s">
        <v>127</v>
      </c>
      <c r="K1426" s="4" t="s">
        <v>128</v>
      </c>
      <c r="L1426">
        <v>0</v>
      </c>
      <c r="M1426" s="4" t="s">
        <v>158</v>
      </c>
    </row>
    <row r="1427" spans="1:13" x14ac:dyDescent="0.2">
      <c r="A1427" s="4" t="s">
        <v>1931</v>
      </c>
      <c r="B1427">
        <v>1426</v>
      </c>
      <c r="C1427" s="4" t="s">
        <v>26</v>
      </c>
      <c r="D1427" s="4" t="s">
        <v>44</v>
      </c>
      <c r="E1427" s="4" t="s">
        <v>56</v>
      </c>
      <c r="F1427" s="4" t="s">
        <v>1922</v>
      </c>
      <c r="G1427">
        <v>12</v>
      </c>
      <c r="H1427">
        <v>60</v>
      </c>
      <c r="I1427" s="4" t="s">
        <v>112</v>
      </c>
      <c r="J1427" s="4" t="s">
        <v>129</v>
      </c>
      <c r="K1427" s="4" t="s">
        <v>130</v>
      </c>
      <c r="L1427">
        <v>50</v>
      </c>
      <c r="M1427" s="4" t="s">
        <v>158</v>
      </c>
    </row>
    <row r="1428" spans="1:13" x14ac:dyDescent="0.2">
      <c r="A1428" s="4" t="s">
        <v>1932</v>
      </c>
      <c r="B1428">
        <v>1427</v>
      </c>
      <c r="C1428" s="4" t="s">
        <v>26</v>
      </c>
      <c r="D1428" s="4" t="s">
        <v>44</v>
      </c>
      <c r="E1428" s="4" t="s">
        <v>56</v>
      </c>
      <c r="F1428" s="4" t="s">
        <v>1922</v>
      </c>
      <c r="G1428">
        <v>12</v>
      </c>
      <c r="H1428">
        <v>60</v>
      </c>
      <c r="I1428" s="4" t="s">
        <v>112</v>
      </c>
      <c r="J1428" s="4" t="s">
        <v>131</v>
      </c>
      <c r="K1428" s="4" t="s">
        <v>132</v>
      </c>
      <c r="L1428">
        <v>66</v>
      </c>
      <c r="M1428" s="4" t="s">
        <v>158</v>
      </c>
    </row>
    <row r="1429" spans="1:13" x14ac:dyDescent="0.2">
      <c r="A1429" s="4" t="s">
        <v>1933</v>
      </c>
      <c r="B1429">
        <v>1428</v>
      </c>
      <c r="C1429" s="4" t="s">
        <v>26</v>
      </c>
      <c r="D1429" s="4" t="s">
        <v>44</v>
      </c>
      <c r="E1429" s="4" t="s">
        <v>56</v>
      </c>
      <c r="F1429" s="4" t="s">
        <v>1922</v>
      </c>
      <c r="G1429">
        <v>12</v>
      </c>
      <c r="H1429">
        <v>60</v>
      </c>
      <c r="I1429" s="4" t="s">
        <v>112</v>
      </c>
      <c r="J1429" s="4" t="s">
        <v>133</v>
      </c>
      <c r="K1429" s="4" t="s">
        <v>134</v>
      </c>
      <c r="L1429">
        <v>25</v>
      </c>
      <c r="M1429" s="4" t="s">
        <v>158</v>
      </c>
    </row>
    <row r="1430" spans="1:13" x14ac:dyDescent="0.2">
      <c r="A1430" s="4" t="s">
        <v>1934</v>
      </c>
      <c r="B1430">
        <v>1429</v>
      </c>
      <c r="C1430" s="4" t="s">
        <v>26</v>
      </c>
      <c r="D1430" s="4" t="s">
        <v>44</v>
      </c>
      <c r="E1430" s="4" t="s">
        <v>56</v>
      </c>
      <c r="F1430" s="4" t="s">
        <v>1922</v>
      </c>
      <c r="G1430">
        <v>12</v>
      </c>
      <c r="H1430">
        <v>60</v>
      </c>
      <c r="I1430" s="4" t="s">
        <v>114</v>
      </c>
      <c r="J1430" s="4" t="s">
        <v>122</v>
      </c>
      <c r="K1430" s="4" t="s">
        <v>123</v>
      </c>
      <c r="L1430">
        <v>24</v>
      </c>
      <c r="M1430" s="4" t="s">
        <v>158</v>
      </c>
    </row>
    <row r="1431" spans="1:13" x14ac:dyDescent="0.2">
      <c r="A1431" s="4" t="s">
        <v>1935</v>
      </c>
      <c r="B1431">
        <v>1430</v>
      </c>
      <c r="C1431" s="4" t="s">
        <v>26</v>
      </c>
      <c r="D1431" s="4" t="s">
        <v>44</v>
      </c>
      <c r="E1431" s="4" t="s">
        <v>56</v>
      </c>
      <c r="F1431" s="4" t="s">
        <v>1922</v>
      </c>
      <c r="G1431">
        <v>12</v>
      </c>
      <c r="H1431">
        <v>60</v>
      </c>
      <c r="I1431" s="4" t="s">
        <v>114</v>
      </c>
      <c r="J1431" s="4" t="s">
        <v>125</v>
      </c>
      <c r="K1431" s="4" t="s">
        <v>126</v>
      </c>
      <c r="L1431">
        <v>75</v>
      </c>
      <c r="M1431" s="4" t="s">
        <v>158</v>
      </c>
    </row>
    <row r="1432" spans="1:13" x14ac:dyDescent="0.2">
      <c r="A1432" s="4" t="s">
        <v>1936</v>
      </c>
      <c r="B1432">
        <v>1431</v>
      </c>
      <c r="C1432" s="4" t="s">
        <v>26</v>
      </c>
      <c r="D1432" s="4" t="s">
        <v>44</v>
      </c>
      <c r="E1432" s="4" t="s">
        <v>56</v>
      </c>
      <c r="F1432" s="4" t="s">
        <v>1922</v>
      </c>
      <c r="G1432">
        <v>12</v>
      </c>
      <c r="H1432">
        <v>60</v>
      </c>
      <c r="I1432" s="4" t="s">
        <v>114</v>
      </c>
      <c r="J1432" s="4" t="s">
        <v>127</v>
      </c>
      <c r="K1432" s="4" t="s">
        <v>128</v>
      </c>
      <c r="L1432">
        <v>284</v>
      </c>
      <c r="M1432" s="4" t="s">
        <v>158</v>
      </c>
    </row>
    <row r="1433" spans="1:13" x14ac:dyDescent="0.2">
      <c r="A1433" s="4" t="s">
        <v>1937</v>
      </c>
      <c r="B1433">
        <v>1432</v>
      </c>
      <c r="C1433" s="4" t="s">
        <v>26</v>
      </c>
      <c r="D1433" s="4" t="s">
        <v>44</v>
      </c>
      <c r="E1433" s="4" t="s">
        <v>56</v>
      </c>
      <c r="F1433" s="4" t="s">
        <v>1922</v>
      </c>
      <c r="G1433">
        <v>12</v>
      </c>
      <c r="H1433">
        <v>60</v>
      </c>
      <c r="I1433" s="4" t="s">
        <v>114</v>
      </c>
      <c r="J1433" s="4" t="s">
        <v>129</v>
      </c>
      <c r="K1433" s="4" t="s">
        <v>130</v>
      </c>
      <c r="L1433">
        <v>6</v>
      </c>
      <c r="M1433" s="4" t="s">
        <v>158</v>
      </c>
    </row>
    <row r="1434" spans="1:13" x14ac:dyDescent="0.2">
      <c r="A1434" s="4" t="s">
        <v>1938</v>
      </c>
      <c r="B1434">
        <v>1433</v>
      </c>
      <c r="C1434" s="4" t="s">
        <v>26</v>
      </c>
      <c r="D1434" s="4" t="s">
        <v>44</v>
      </c>
      <c r="E1434" s="4" t="s">
        <v>56</v>
      </c>
      <c r="F1434" s="4" t="s">
        <v>1922</v>
      </c>
      <c r="G1434">
        <v>12</v>
      </c>
      <c r="H1434">
        <v>60</v>
      </c>
      <c r="I1434" s="4" t="s">
        <v>114</v>
      </c>
      <c r="J1434" s="4" t="s">
        <v>131</v>
      </c>
      <c r="K1434" s="4" t="s">
        <v>132</v>
      </c>
      <c r="L1434">
        <v>111</v>
      </c>
      <c r="M1434" s="4" t="s">
        <v>158</v>
      </c>
    </row>
    <row r="1435" spans="1:13" x14ac:dyDescent="0.2">
      <c r="A1435" s="4" t="s">
        <v>1939</v>
      </c>
      <c r="B1435">
        <v>1434</v>
      </c>
      <c r="C1435" s="4" t="s">
        <v>26</v>
      </c>
      <c r="D1435" s="4" t="s">
        <v>44</v>
      </c>
      <c r="E1435" s="4" t="s">
        <v>56</v>
      </c>
      <c r="F1435" s="4" t="s">
        <v>1922</v>
      </c>
      <c r="G1435">
        <v>12</v>
      </c>
      <c r="H1435">
        <v>60</v>
      </c>
      <c r="I1435" s="4" t="s">
        <v>114</v>
      </c>
      <c r="J1435" s="4" t="s">
        <v>133</v>
      </c>
      <c r="K1435" s="4" t="s">
        <v>134</v>
      </c>
      <c r="L1435">
        <v>19</v>
      </c>
      <c r="M1435" s="4" t="s">
        <v>158</v>
      </c>
    </row>
    <row r="1436" spans="1:13" x14ac:dyDescent="0.2">
      <c r="A1436" s="4" t="s">
        <v>1940</v>
      </c>
      <c r="B1436">
        <v>1435</v>
      </c>
      <c r="C1436" s="4" t="s">
        <v>26</v>
      </c>
      <c r="D1436" s="4" t="s">
        <v>44</v>
      </c>
      <c r="E1436" s="4" t="s">
        <v>56</v>
      </c>
      <c r="F1436" s="4" t="s">
        <v>1922</v>
      </c>
      <c r="G1436">
        <v>12</v>
      </c>
      <c r="H1436">
        <v>60</v>
      </c>
      <c r="I1436" s="4" t="s">
        <v>116</v>
      </c>
      <c r="J1436" s="4" t="s">
        <v>122</v>
      </c>
      <c r="K1436" s="4" t="s">
        <v>123</v>
      </c>
      <c r="L1436">
        <v>0</v>
      </c>
      <c r="M1436" s="4" t="s">
        <v>158</v>
      </c>
    </row>
    <row r="1437" spans="1:13" x14ac:dyDescent="0.2">
      <c r="A1437" s="4" t="s">
        <v>1941</v>
      </c>
      <c r="B1437">
        <v>1436</v>
      </c>
      <c r="C1437" s="4" t="s">
        <v>26</v>
      </c>
      <c r="D1437" s="4" t="s">
        <v>44</v>
      </c>
      <c r="E1437" s="4" t="s">
        <v>56</v>
      </c>
      <c r="F1437" s="4" t="s">
        <v>1922</v>
      </c>
      <c r="G1437">
        <v>12</v>
      </c>
      <c r="H1437">
        <v>60</v>
      </c>
      <c r="I1437" s="4" t="s">
        <v>116</v>
      </c>
      <c r="J1437" s="4" t="s">
        <v>125</v>
      </c>
      <c r="K1437" s="4" t="s">
        <v>126</v>
      </c>
      <c r="L1437">
        <v>50</v>
      </c>
      <c r="M1437" s="4" t="s">
        <v>158</v>
      </c>
    </row>
    <row r="1438" spans="1:13" x14ac:dyDescent="0.2">
      <c r="A1438" s="4" t="s">
        <v>1942</v>
      </c>
      <c r="B1438">
        <v>1437</v>
      </c>
      <c r="C1438" s="4" t="s">
        <v>26</v>
      </c>
      <c r="D1438" s="4" t="s">
        <v>44</v>
      </c>
      <c r="E1438" s="4" t="s">
        <v>56</v>
      </c>
      <c r="F1438" s="4" t="s">
        <v>1922</v>
      </c>
      <c r="G1438">
        <v>12</v>
      </c>
      <c r="H1438">
        <v>60</v>
      </c>
      <c r="I1438" s="4" t="s">
        <v>116</v>
      </c>
      <c r="J1438" s="4" t="s">
        <v>127</v>
      </c>
      <c r="K1438" s="4" t="s">
        <v>128</v>
      </c>
      <c r="L1438">
        <v>53</v>
      </c>
      <c r="M1438" s="4" t="s">
        <v>158</v>
      </c>
    </row>
    <row r="1439" spans="1:13" x14ac:dyDescent="0.2">
      <c r="A1439" s="4" t="s">
        <v>1943</v>
      </c>
      <c r="B1439">
        <v>1438</v>
      </c>
      <c r="C1439" s="4" t="s">
        <v>26</v>
      </c>
      <c r="D1439" s="4" t="s">
        <v>44</v>
      </c>
      <c r="E1439" s="4" t="s">
        <v>56</v>
      </c>
      <c r="F1439" s="4" t="s">
        <v>1922</v>
      </c>
      <c r="G1439">
        <v>12</v>
      </c>
      <c r="H1439">
        <v>60</v>
      </c>
      <c r="I1439" s="4" t="s">
        <v>116</v>
      </c>
      <c r="J1439" s="4" t="s">
        <v>129</v>
      </c>
      <c r="K1439" s="4" t="s">
        <v>130</v>
      </c>
      <c r="L1439">
        <v>73</v>
      </c>
      <c r="M1439" s="4" t="s">
        <v>158</v>
      </c>
    </row>
    <row r="1440" spans="1:13" x14ac:dyDescent="0.2">
      <c r="A1440" s="4" t="s">
        <v>1944</v>
      </c>
      <c r="B1440">
        <v>1439</v>
      </c>
      <c r="C1440" s="4" t="s">
        <v>26</v>
      </c>
      <c r="D1440" s="4" t="s">
        <v>44</v>
      </c>
      <c r="E1440" s="4" t="s">
        <v>56</v>
      </c>
      <c r="F1440" s="4" t="s">
        <v>1922</v>
      </c>
      <c r="G1440">
        <v>12</v>
      </c>
      <c r="H1440">
        <v>60</v>
      </c>
      <c r="I1440" s="4" t="s">
        <v>116</v>
      </c>
      <c r="J1440" s="4" t="s">
        <v>131</v>
      </c>
      <c r="K1440" s="4" t="s">
        <v>132</v>
      </c>
      <c r="L1440">
        <v>80</v>
      </c>
      <c r="M1440" s="4" t="s">
        <v>158</v>
      </c>
    </row>
    <row r="1441" spans="1:13" x14ac:dyDescent="0.2">
      <c r="A1441" s="4" t="s">
        <v>1945</v>
      </c>
      <c r="B1441">
        <v>1440</v>
      </c>
      <c r="C1441" s="4" t="s">
        <v>26</v>
      </c>
      <c r="D1441" s="4" t="s">
        <v>44</v>
      </c>
      <c r="E1441" s="4" t="s">
        <v>56</v>
      </c>
      <c r="F1441" s="4" t="s">
        <v>1922</v>
      </c>
      <c r="G1441">
        <v>12</v>
      </c>
      <c r="H1441">
        <v>60</v>
      </c>
      <c r="I1441" s="4" t="s">
        <v>116</v>
      </c>
      <c r="J1441" s="4" t="s">
        <v>133</v>
      </c>
      <c r="K1441" s="4" t="s">
        <v>134</v>
      </c>
      <c r="L1441">
        <v>0</v>
      </c>
      <c r="M1441" s="4" t="s">
        <v>158</v>
      </c>
    </row>
    <row r="1442" spans="1:13" x14ac:dyDescent="0.2">
      <c r="A1442" s="4" t="s">
        <v>1952</v>
      </c>
      <c r="B1442">
        <v>1441</v>
      </c>
      <c r="C1442" s="4" t="s">
        <v>26</v>
      </c>
      <c r="D1442" s="4" t="s">
        <v>47</v>
      </c>
      <c r="E1442" s="4" t="s">
        <v>27</v>
      </c>
      <c r="F1442" s="4" t="s">
        <v>1953</v>
      </c>
      <c r="G1442">
        <v>13</v>
      </c>
      <c r="H1442">
        <v>61</v>
      </c>
      <c r="I1442" s="4" t="s">
        <v>35</v>
      </c>
      <c r="J1442" s="4" t="s">
        <v>122</v>
      </c>
      <c r="K1442" s="4" t="s">
        <v>123</v>
      </c>
      <c r="L1442">
        <v>452</v>
      </c>
      <c r="M1442" s="4" t="s">
        <v>158</v>
      </c>
    </row>
    <row r="1443" spans="1:13" x14ac:dyDescent="0.2">
      <c r="A1443" s="4" t="s">
        <v>1954</v>
      </c>
      <c r="B1443">
        <v>1442</v>
      </c>
      <c r="C1443" s="4" t="s">
        <v>26</v>
      </c>
      <c r="D1443" s="4" t="s">
        <v>47</v>
      </c>
      <c r="E1443" s="4" t="s">
        <v>27</v>
      </c>
      <c r="F1443" s="4" t="s">
        <v>1953</v>
      </c>
      <c r="G1443">
        <v>13</v>
      </c>
      <c r="H1443">
        <v>61</v>
      </c>
      <c r="I1443" s="4" t="s">
        <v>35</v>
      </c>
      <c r="J1443" s="4" t="s">
        <v>125</v>
      </c>
      <c r="K1443" s="4" t="s">
        <v>126</v>
      </c>
      <c r="L1443">
        <v>45</v>
      </c>
      <c r="M1443" s="4" t="s">
        <v>158</v>
      </c>
    </row>
    <row r="1444" spans="1:13" x14ac:dyDescent="0.2">
      <c r="A1444" s="4" t="s">
        <v>1955</v>
      </c>
      <c r="B1444">
        <v>1443</v>
      </c>
      <c r="C1444" s="4" t="s">
        <v>26</v>
      </c>
      <c r="D1444" s="4" t="s">
        <v>47</v>
      </c>
      <c r="E1444" s="4" t="s">
        <v>27</v>
      </c>
      <c r="F1444" s="4" t="s">
        <v>1953</v>
      </c>
      <c r="G1444">
        <v>13</v>
      </c>
      <c r="H1444">
        <v>61</v>
      </c>
      <c r="I1444" s="4" t="s">
        <v>35</v>
      </c>
      <c r="J1444" s="4" t="s">
        <v>127</v>
      </c>
      <c r="K1444" s="4" t="s">
        <v>128</v>
      </c>
      <c r="L1444">
        <v>622</v>
      </c>
      <c r="M1444" s="4" t="s">
        <v>158</v>
      </c>
    </row>
    <row r="1445" spans="1:13" x14ac:dyDescent="0.2">
      <c r="A1445" s="4" t="s">
        <v>1956</v>
      </c>
      <c r="B1445">
        <v>1444</v>
      </c>
      <c r="C1445" s="4" t="s">
        <v>26</v>
      </c>
      <c r="D1445" s="4" t="s">
        <v>47</v>
      </c>
      <c r="E1445" s="4" t="s">
        <v>27</v>
      </c>
      <c r="F1445" s="4" t="s">
        <v>1953</v>
      </c>
      <c r="G1445">
        <v>13</v>
      </c>
      <c r="H1445">
        <v>61</v>
      </c>
      <c r="I1445" s="4" t="s">
        <v>35</v>
      </c>
      <c r="J1445" s="4" t="s">
        <v>129</v>
      </c>
      <c r="K1445" s="4" t="s">
        <v>130</v>
      </c>
      <c r="L1445">
        <v>90</v>
      </c>
      <c r="M1445" s="4" t="s">
        <v>158</v>
      </c>
    </row>
    <row r="1446" spans="1:13" x14ac:dyDescent="0.2">
      <c r="A1446" s="4" t="s">
        <v>1957</v>
      </c>
      <c r="B1446">
        <v>1445</v>
      </c>
      <c r="C1446" s="4" t="s">
        <v>26</v>
      </c>
      <c r="D1446" s="4" t="s">
        <v>47</v>
      </c>
      <c r="E1446" s="4" t="s">
        <v>27</v>
      </c>
      <c r="F1446" s="4" t="s">
        <v>1953</v>
      </c>
      <c r="G1446">
        <v>13</v>
      </c>
      <c r="H1446">
        <v>61</v>
      </c>
      <c r="I1446" s="4" t="s">
        <v>35</v>
      </c>
      <c r="J1446" s="4" t="s">
        <v>131</v>
      </c>
      <c r="K1446" s="4" t="s">
        <v>132</v>
      </c>
      <c r="L1446">
        <v>150</v>
      </c>
      <c r="M1446" s="4" t="s">
        <v>158</v>
      </c>
    </row>
    <row r="1447" spans="1:13" x14ac:dyDescent="0.2">
      <c r="A1447" s="4" t="s">
        <v>1958</v>
      </c>
      <c r="B1447">
        <v>1446</v>
      </c>
      <c r="C1447" s="4" t="s">
        <v>26</v>
      </c>
      <c r="D1447" s="4" t="s">
        <v>47</v>
      </c>
      <c r="E1447" s="4" t="s">
        <v>27</v>
      </c>
      <c r="F1447" s="4" t="s">
        <v>1953</v>
      </c>
      <c r="G1447">
        <v>13</v>
      </c>
      <c r="H1447">
        <v>61</v>
      </c>
      <c r="I1447" s="4" t="s">
        <v>35</v>
      </c>
      <c r="J1447" s="4" t="s">
        <v>133</v>
      </c>
      <c r="K1447" s="4" t="s">
        <v>134</v>
      </c>
      <c r="L1447">
        <v>216</v>
      </c>
      <c r="M1447" s="4" t="s">
        <v>158</v>
      </c>
    </row>
    <row r="1448" spans="1:13" x14ac:dyDescent="0.2">
      <c r="A1448" s="4" t="s">
        <v>1959</v>
      </c>
      <c r="B1448">
        <v>1447</v>
      </c>
      <c r="C1448" s="4" t="s">
        <v>26</v>
      </c>
      <c r="D1448" s="4" t="s">
        <v>47</v>
      </c>
      <c r="E1448" s="4" t="s">
        <v>27</v>
      </c>
      <c r="F1448" s="4" t="s">
        <v>1953</v>
      </c>
      <c r="G1448">
        <v>13</v>
      </c>
      <c r="H1448">
        <v>61</v>
      </c>
      <c r="I1448" s="4" t="s">
        <v>112</v>
      </c>
      <c r="J1448" s="4" t="s">
        <v>122</v>
      </c>
      <c r="K1448" s="4" t="s">
        <v>123</v>
      </c>
      <c r="L1448">
        <v>399</v>
      </c>
      <c r="M1448" s="4" t="s">
        <v>158</v>
      </c>
    </row>
    <row r="1449" spans="1:13" x14ac:dyDescent="0.2">
      <c r="A1449" s="4" t="s">
        <v>1960</v>
      </c>
      <c r="B1449">
        <v>1448</v>
      </c>
      <c r="C1449" s="4" t="s">
        <v>26</v>
      </c>
      <c r="D1449" s="4" t="s">
        <v>47</v>
      </c>
      <c r="E1449" s="4" t="s">
        <v>27</v>
      </c>
      <c r="F1449" s="4" t="s">
        <v>1953</v>
      </c>
      <c r="G1449">
        <v>13</v>
      </c>
      <c r="H1449">
        <v>61</v>
      </c>
      <c r="I1449" s="4" t="s">
        <v>112</v>
      </c>
      <c r="J1449" s="4" t="s">
        <v>125</v>
      </c>
      <c r="K1449" s="4" t="s">
        <v>126</v>
      </c>
      <c r="L1449">
        <v>50</v>
      </c>
      <c r="M1449" s="4" t="s">
        <v>158</v>
      </c>
    </row>
    <row r="1450" spans="1:13" x14ac:dyDescent="0.2">
      <c r="A1450" s="4" t="s">
        <v>1961</v>
      </c>
      <c r="B1450">
        <v>1449</v>
      </c>
      <c r="C1450" s="4" t="s">
        <v>26</v>
      </c>
      <c r="D1450" s="4" t="s">
        <v>47</v>
      </c>
      <c r="E1450" s="4" t="s">
        <v>27</v>
      </c>
      <c r="F1450" s="4" t="s">
        <v>1953</v>
      </c>
      <c r="G1450">
        <v>13</v>
      </c>
      <c r="H1450">
        <v>61</v>
      </c>
      <c r="I1450" s="4" t="s">
        <v>112</v>
      </c>
      <c r="J1450" s="4" t="s">
        <v>127</v>
      </c>
      <c r="K1450" s="4" t="s">
        <v>128</v>
      </c>
      <c r="L1450">
        <v>0</v>
      </c>
      <c r="M1450" s="4" t="s">
        <v>158</v>
      </c>
    </row>
    <row r="1451" spans="1:13" x14ac:dyDescent="0.2">
      <c r="A1451" s="4" t="s">
        <v>1962</v>
      </c>
      <c r="B1451">
        <v>1450</v>
      </c>
      <c r="C1451" s="4" t="s">
        <v>26</v>
      </c>
      <c r="D1451" s="4" t="s">
        <v>47</v>
      </c>
      <c r="E1451" s="4" t="s">
        <v>27</v>
      </c>
      <c r="F1451" s="4" t="s">
        <v>1953</v>
      </c>
      <c r="G1451">
        <v>13</v>
      </c>
      <c r="H1451">
        <v>61</v>
      </c>
      <c r="I1451" s="4" t="s">
        <v>112</v>
      </c>
      <c r="J1451" s="4" t="s">
        <v>129</v>
      </c>
      <c r="K1451" s="4" t="s">
        <v>130</v>
      </c>
      <c r="L1451">
        <v>7</v>
      </c>
      <c r="M1451" s="4" t="s">
        <v>158</v>
      </c>
    </row>
    <row r="1452" spans="1:13" x14ac:dyDescent="0.2">
      <c r="A1452" s="4" t="s">
        <v>1963</v>
      </c>
      <c r="B1452">
        <v>1451</v>
      </c>
      <c r="C1452" s="4" t="s">
        <v>26</v>
      </c>
      <c r="D1452" s="4" t="s">
        <v>47</v>
      </c>
      <c r="E1452" s="4" t="s">
        <v>27</v>
      </c>
      <c r="F1452" s="4" t="s">
        <v>1953</v>
      </c>
      <c r="G1452">
        <v>13</v>
      </c>
      <c r="H1452">
        <v>61</v>
      </c>
      <c r="I1452" s="4" t="s">
        <v>112</v>
      </c>
      <c r="J1452" s="4" t="s">
        <v>131</v>
      </c>
      <c r="K1452" s="4" t="s">
        <v>132</v>
      </c>
      <c r="L1452">
        <v>35</v>
      </c>
      <c r="M1452" s="4" t="s">
        <v>158</v>
      </c>
    </row>
    <row r="1453" spans="1:13" x14ac:dyDescent="0.2">
      <c r="A1453" s="4" t="s">
        <v>1964</v>
      </c>
      <c r="B1453">
        <v>1452</v>
      </c>
      <c r="C1453" s="4" t="s">
        <v>26</v>
      </c>
      <c r="D1453" s="4" t="s">
        <v>47</v>
      </c>
      <c r="E1453" s="4" t="s">
        <v>27</v>
      </c>
      <c r="F1453" s="4" t="s">
        <v>1953</v>
      </c>
      <c r="G1453">
        <v>13</v>
      </c>
      <c r="H1453">
        <v>61</v>
      </c>
      <c r="I1453" s="4" t="s">
        <v>112</v>
      </c>
      <c r="J1453" s="4" t="s">
        <v>133</v>
      </c>
      <c r="K1453" s="4" t="s">
        <v>134</v>
      </c>
      <c r="L1453">
        <v>25</v>
      </c>
      <c r="M1453" s="4" t="s">
        <v>158</v>
      </c>
    </row>
    <row r="1454" spans="1:13" x14ac:dyDescent="0.2">
      <c r="A1454" s="4" t="s">
        <v>1965</v>
      </c>
      <c r="B1454">
        <v>1453</v>
      </c>
      <c r="C1454" s="4" t="s">
        <v>26</v>
      </c>
      <c r="D1454" s="4" t="s">
        <v>47</v>
      </c>
      <c r="E1454" s="4" t="s">
        <v>27</v>
      </c>
      <c r="F1454" s="4" t="s">
        <v>1953</v>
      </c>
      <c r="G1454">
        <v>13</v>
      </c>
      <c r="H1454">
        <v>61</v>
      </c>
      <c r="I1454" s="4" t="s">
        <v>114</v>
      </c>
      <c r="J1454" s="4" t="s">
        <v>122</v>
      </c>
      <c r="K1454" s="4" t="s">
        <v>123</v>
      </c>
      <c r="L1454">
        <v>67</v>
      </c>
      <c r="M1454" s="4" t="s">
        <v>158</v>
      </c>
    </row>
    <row r="1455" spans="1:13" x14ac:dyDescent="0.2">
      <c r="A1455" s="4" t="s">
        <v>1966</v>
      </c>
      <c r="B1455">
        <v>1454</v>
      </c>
      <c r="C1455" s="4" t="s">
        <v>26</v>
      </c>
      <c r="D1455" s="4" t="s">
        <v>47</v>
      </c>
      <c r="E1455" s="4" t="s">
        <v>27</v>
      </c>
      <c r="F1455" s="4" t="s">
        <v>1953</v>
      </c>
      <c r="G1455">
        <v>13</v>
      </c>
      <c r="H1455">
        <v>61</v>
      </c>
      <c r="I1455" s="4" t="s">
        <v>114</v>
      </c>
      <c r="J1455" s="4" t="s">
        <v>125</v>
      </c>
      <c r="K1455" s="4" t="s">
        <v>126</v>
      </c>
      <c r="L1455">
        <v>52</v>
      </c>
      <c r="M1455" s="4" t="s">
        <v>158</v>
      </c>
    </row>
    <row r="1456" spans="1:13" x14ac:dyDescent="0.2">
      <c r="A1456" s="4" t="s">
        <v>1967</v>
      </c>
      <c r="B1456">
        <v>1455</v>
      </c>
      <c r="C1456" s="4" t="s">
        <v>26</v>
      </c>
      <c r="D1456" s="4" t="s">
        <v>47</v>
      </c>
      <c r="E1456" s="4" t="s">
        <v>27</v>
      </c>
      <c r="F1456" s="4" t="s">
        <v>1953</v>
      </c>
      <c r="G1456">
        <v>13</v>
      </c>
      <c r="H1456">
        <v>61</v>
      </c>
      <c r="I1456" s="4" t="s">
        <v>114</v>
      </c>
      <c r="J1456" s="4" t="s">
        <v>127</v>
      </c>
      <c r="K1456" s="4" t="s">
        <v>128</v>
      </c>
      <c r="L1456">
        <v>284</v>
      </c>
      <c r="M1456" s="4" t="s">
        <v>158</v>
      </c>
    </row>
    <row r="1457" spans="1:13" x14ac:dyDescent="0.2">
      <c r="A1457" s="4" t="s">
        <v>1968</v>
      </c>
      <c r="B1457">
        <v>1456</v>
      </c>
      <c r="C1457" s="4" t="s">
        <v>26</v>
      </c>
      <c r="D1457" s="4" t="s">
        <v>47</v>
      </c>
      <c r="E1457" s="4" t="s">
        <v>27</v>
      </c>
      <c r="F1457" s="4" t="s">
        <v>1953</v>
      </c>
      <c r="G1457">
        <v>13</v>
      </c>
      <c r="H1457">
        <v>61</v>
      </c>
      <c r="I1457" s="4" t="s">
        <v>114</v>
      </c>
      <c r="J1457" s="4" t="s">
        <v>129</v>
      </c>
      <c r="K1457" s="4" t="s">
        <v>130</v>
      </c>
      <c r="L1457">
        <v>6</v>
      </c>
      <c r="M1457" s="4" t="s">
        <v>158</v>
      </c>
    </row>
    <row r="1458" spans="1:13" x14ac:dyDescent="0.2">
      <c r="A1458" s="4" t="s">
        <v>1969</v>
      </c>
      <c r="B1458">
        <v>1457</v>
      </c>
      <c r="C1458" s="4" t="s">
        <v>26</v>
      </c>
      <c r="D1458" s="4" t="s">
        <v>47</v>
      </c>
      <c r="E1458" s="4" t="s">
        <v>27</v>
      </c>
      <c r="F1458" s="4" t="s">
        <v>1953</v>
      </c>
      <c r="G1458">
        <v>13</v>
      </c>
      <c r="H1458">
        <v>61</v>
      </c>
      <c r="I1458" s="4" t="s">
        <v>114</v>
      </c>
      <c r="J1458" s="4" t="s">
        <v>131</v>
      </c>
      <c r="K1458" s="4" t="s">
        <v>132</v>
      </c>
      <c r="L1458">
        <v>63</v>
      </c>
      <c r="M1458" s="4" t="s">
        <v>158</v>
      </c>
    </row>
    <row r="1459" spans="1:13" x14ac:dyDescent="0.2">
      <c r="A1459" s="4" t="s">
        <v>1970</v>
      </c>
      <c r="B1459">
        <v>1458</v>
      </c>
      <c r="C1459" s="4" t="s">
        <v>26</v>
      </c>
      <c r="D1459" s="4" t="s">
        <v>47</v>
      </c>
      <c r="E1459" s="4" t="s">
        <v>27</v>
      </c>
      <c r="F1459" s="4" t="s">
        <v>1953</v>
      </c>
      <c r="G1459">
        <v>13</v>
      </c>
      <c r="H1459">
        <v>61</v>
      </c>
      <c r="I1459" s="4" t="s">
        <v>114</v>
      </c>
      <c r="J1459" s="4" t="s">
        <v>133</v>
      </c>
      <c r="K1459" s="4" t="s">
        <v>134</v>
      </c>
      <c r="L1459">
        <v>19</v>
      </c>
      <c r="M1459" s="4" t="s">
        <v>158</v>
      </c>
    </row>
    <row r="1460" spans="1:13" x14ac:dyDescent="0.2">
      <c r="A1460" s="4" t="s">
        <v>1971</v>
      </c>
      <c r="B1460">
        <v>1459</v>
      </c>
      <c r="C1460" s="4" t="s">
        <v>26</v>
      </c>
      <c r="D1460" s="4" t="s">
        <v>47</v>
      </c>
      <c r="E1460" s="4" t="s">
        <v>27</v>
      </c>
      <c r="F1460" s="4" t="s">
        <v>1953</v>
      </c>
      <c r="G1460">
        <v>13</v>
      </c>
      <c r="H1460">
        <v>61</v>
      </c>
      <c r="I1460" s="4" t="s">
        <v>116</v>
      </c>
      <c r="J1460" s="4" t="s">
        <v>122</v>
      </c>
      <c r="K1460" s="4" t="s">
        <v>123</v>
      </c>
      <c r="L1460">
        <v>86</v>
      </c>
      <c r="M1460" s="4" t="s">
        <v>158</v>
      </c>
    </row>
    <row r="1461" spans="1:13" x14ac:dyDescent="0.2">
      <c r="A1461" s="4" t="s">
        <v>1972</v>
      </c>
      <c r="B1461">
        <v>1460</v>
      </c>
      <c r="C1461" s="4" t="s">
        <v>26</v>
      </c>
      <c r="D1461" s="4" t="s">
        <v>47</v>
      </c>
      <c r="E1461" s="4" t="s">
        <v>27</v>
      </c>
      <c r="F1461" s="4" t="s">
        <v>1953</v>
      </c>
      <c r="G1461">
        <v>13</v>
      </c>
      <c r="H1461">
        <v>61</v>
      </c>
      <c r="I1461" s="4" t="s">
        <v>116</v>
      </c>
      <c r="J1461" s="4" t="s">
        <v>125</v>
      </c>
      <c r="K1461" s="4" t="s">
        <v>126</v>
      </c>
      <c r="L1461">
        <v>50</v>
      </c>
      <c r="M1461" s="4" t="s">
        <v>158</v>
      </c>
    </row>
    <row r="1462" spans="1:13" x14ac:dyDescent="0.2">
      <c r="A1462" s="4" t="s">
        <v>1973</v>
      </c>
      <c r="B1462">
        <v>1461</v>
      </c>
      <c r="C1462" s="4" t="s">
        <v>26</v>
      </c>
      <c r="D1462" s="4" t="s">
        <v>47</v>
      </c>
      <c r="E1462" s="4" t="s">
        <v>27</v>
      </c>
      <c r="F1462" s="4" t="s">
        <v>1953</v>
      </c>
      <c r="G1462">
        <v>13</v>
      </c>
      <c r="H1462">
        <v>61</v>
      </c>
      <c r="I1462" s="4" t="s">
        <v>116</v>
      </c>
      <c r="J1462" s="4" t="s">
        <v>127</v>
      </c>
      <c r="K1462" s="4" t="s">
        <v>128</v>
      </c>
      <c r="L1462">
        <v>53</v>
      </c>
      <c r="M1462" s="4" t="s">
        <v>158</v>
      </c>
    </row>
    <row r="1463" spans="1:13" x14ac:dyDescent="0.2">
      <c r="A1463" s="4" t="s">
        <v>1974</v>
      </c>
      <c r="B1463">
        <v>1462</v>
      </c>
      <c r="C1463" s="4" t="s">
        <v>26</v>
      </c>
      <c r="D1463" s="4" t="s">
        <v>47</v>
      </c>
      <c r="E1463" s="4" t="s">
        <v>27</v>
      </c>
      <c r="F1463" s="4" t="s">
        <v>1953</v>
      </c>
      <c r="G1463">
        <v>13</v>
      </c>
      <c r="H1463">
        <v>61</v>
      </c>
      <c r="I1463" s="4" t="s">
        <v>116</v>
      </c>
      <c r="J1463" s="4" t="s">
        <v>129</v>
      </c>
      <c r="K1463" s="4" t="s">
        <v>130</v>
      </c>
      <c r="L1463">
        <v>54</v>
      </c>
      <c r="M1463" s="4" t="s">
        <v>158</v>
      </c>
    </row>
    <row r="1464" spans="1:13" x14ac:dyDescent="0.2">
      <c r="A1464" s="4" t="s">
        <v>1975</v>
      </c>
      <c r="B1464">
        <v>1463</v>
      </c>
      <c r="C1464" s="4" t="s">
        <v>26</v>
      </c>
      <c r="D1464" s="4" t="s">
        <v>47</v>
      </c>
      <c r="E1464" s="4" t="s">
        <v>27</v>
      </c>
      <c r="F1464" s="4" t="s">
        <v>1953</v>
      </c>
      <c r="G1464">
        <v>13</v>
      </c>
      <c r="H1464">
        <v>61</v>
      </c>
      <c r="I1464" s="4" t="s">
        <v>116</v>
      </c>
      <c r="J1464" s="4" t="s">
        <v>131</v>
      </c>
      <c r="K1464" s="4" t="s">
        <v>132</v>
      </c>
      <c r="L1464">
        <v>47</v>
      </c>
      <c r="M1464" s="4" t="s">
        <v>158</v>
      </c>
    </row>
    <row r="1465" spans="1:13" x14ac:dyDescent="0.2">
      <c r="A1465" s="4" t="s">
        <v>1976</v>
      </c>
      <c r="B1465">
        <v>1464</v>
      </c>
      <c r="C1465" s="4" t="s">
        <v>26</v>
      </c>
      <c r="D1465" s="4" t="s">
        <v>47</v>
      </c>
      <c r="E1465" s="4" t="s">
        <v>27</v>
      </c>
      <c r="F1465" s="4" t="s">
        <v>1953</v>
      </c>
      <c r="G1465">
        <v>13</v>
      </c>
      <c r="H1465">
        <v>61</v>
      </c>
      <c r="I1465" s="4" t="s">
        <v>116</v>
      </c>
      <c r="J1465" s="4" t="s">
        <v>133</v>
      </c>
      <c r="K1465" s="4" t="s">
        <v>134</v>
      </c>
      <c r="L1465">
        <v>0</v>
      </c>
      <c r="M1465" s="4" t="s">
        <v>158</v>
      </c>
    </row>
    <row r="1466" spans="1:13" x14ac:dyDescent="0.2">
      <c r="A1466" s="4" t="s">
        <v>1982</v>
      </c>
      <c r="B1466">
        <v>1465</v>
      </c>
      <c r="C1466" s="4" t="s">
        <v>26</v>
      </c>
      <c r="D1466" s="4" t="s">
        <v>47</v>
      </c>
      <c r="E1466" s="4" t="s">
        <v>32</v>
      </c>
      <c r="F1466" s="4" t="s">
        <v>1983</v>
      </c>
      <c r="G1466">
        <v>13</v>
      </c>
      <c r="H1466">
        <v>62</v>
      </c>
      <c r="I1466" s="4" t="s">
        <v>35</v>
      </c>
      <c r="J1466" s="4" t="s">
        <v>122</v>
      </c>
      <c r="K1466" s="4" t="s">
        <v>123</v>
      </c>
      <c r="L1466">
        <v>104</v>
      </c>
      <c r="M1466" s="4" t="s">
        <v>158</v>
      </c>
    </row>
    <row r="1467" spans="1:13" x14ac:dyDescent="0.2">
      <c r="A1467" s="4" t="s">
        <v>1984</v>
      </c>
      <c r="B1467">
        <v>1466</v>
      </c>
      <c r="C1467" s="4" t="s">
        <v>26</v>
      </c>
      <c r="D1467" s="4" t="s">
        <v>47</v>
      </c>
      <c r="E1467" s="4" t="s">
        <v>32</v>
      </c>
      <c r="F1467" s="4" t="s">
        <v>1983</v>
      </c>
      <c r="G1467">
        <v>13</v>
      </c>
      <c r="H1467">
        <v>62</v>
      </c>
      <c r="I1467" s="4" t="s">
        <v>35</v>
      </c>
      <c r="J1467" s="4" t="s">
        <v>125</v>
      </c>
      <c r="K1467" s="4" t="s">
        <v>126</v>
      </c>
      <c r="L1467">
        <v>22</v>
      </c>
      <c r="M1467" s="4" t="s">
        <v>158</v>
      </c>
    </row>
    <row r="1468" spans="1:13" x14ac:dyDescent="0.2">
      <c r="A1468" s="4" t="s">
        <v>1985</v>
      </c>
      <c r="B1468">
        <v>1467</v>
      </c>
      <c r="C1468" s="4" t="s">
        <v>26</v>
      </c>
      <c r="D1468" s="4" t="s">
        <v>47</v>
      </c>
      <c r="E1468" s="4" t="s">
        <v>32</v>
      </c>
      <c r="F1468" s="4" t="s">
        <v>1983</v>
      </c>
      <c r="G1468">
        <v>13</v>
      </c>
      <c r="H1468">
        <v>62</v>
      </c>
      <c r="I1468" s="4" t="s">
        <v>35</v>
      </c>
      <c r="J1468" s="4" t="s">
        <v>127</v>
      </c>
      <c r="K1468" s="4" t="s">
        <v>128</v>
      </c>
      <c r="L1468">
        <v>159</v>
      </c>
      <c r="M1468" s="4" t="s">
        <v>158</v>
      </c>
    </row>
    <row r="1469" spans="1:13" x14ac:dyDescent="0.2">
      <c r="A1469" s="4" t="s">
        <v>1986</v>
      </c>
      <c r="B1469">
        <v>1468</v>
      </c>
      <c r="C1469" s="4" t="s">
        <v>26</v>
      </c>
      <c r="D1469" s="4" t="s">
        <v>47</v>
      </c>
      <c r="E1469" s="4" t="s">
        <v>32</v>
      </c>
      <c r="F1469" s="4" t="s">
        <v>1983</v>
      </c>
      <c r="G1469">
        <v>13</v>
      </c>
      <c r="H1469">
        <v>62</v>
      </c>
      <c r="I1469" s="4" t="s">
        <v>35</v>
      </c>
      <c r="J1469" s="4" t="s">
        <v>129</v>
      </c>
      <c r="K1469" s="4" t="s">
        <v>130</v>
      </c>
      <c r="L1469">
        <v>0</v>
      </c>
      <c r="M1469" s="4" t="s">
        <v>158</v>
      </c>
    </row>
    <row r="1470" spans="1:13" x14ac:dyDescent="0.2">
      <c r="A1470" s="4" t="s">
        <v>1987</v>
      </c>
      <c r="B1470">
        <v>1469</v>
      </c>
      <c r="C1470" s="4" t="s">
        <v>26</v>
      </c>
      <c r="D1470" s="4" t="s">
        <v>47</v>
      </c>
      <c r="E1470" s="4" t="s">
        <v>32</v>
      </c>
      <c r="F1470" s="4" t="s">
        <v>1983</v>
      </c>
      <c r="G1470">
        <v>13</v>
      </c>
      <c r="H1470">
        <v>62</v>
      </c>
      <c r="I1470" s="4" t="s">
        <v>35</v>
      </c>
      <c r="J1470" s="4" t="s">
        <v>131</v>
      </c>
      <c r="K1470" s="4" t="s">
        <v>132</v>
      </c>
      <c r="L1470">
        <v>0</v>
      </c>
      <c r="M1470" s="4" t="s">
        <v>158</v>
      </c>
    </row>
    <row r="1471" spans="1:13" x14ac:dyDescent="0.2">
      <c r="A1471" s="4" t="s">
        <v>1988</v>
      </c>
      <c r="B1471">
        <v>1470</v>
      </c>
      <c r="C1471" s="4" t="s">
        <v>26</v>
      </c>
      <c r="D1471" s="4" t="s">
        <v>47</v>
      </c>
      <c r="E1471" s="4" t="s">
        <v>32</v>
      </c>
      <c r="F1471" s="4" t="s">
        <v>1983</v>
      </c>
      <c r="G1471">
        <v>13</v>
      </c>
      <c r="H1471">
        <v>62</v>
      </c>
      <c r="I1471" s="4" t="s">
        <v>35</v>
      </c>
      <c r="J1471" s="4" t="s">
        <v>133</v>
      </c>
      <c r="K1471" s="4" t="s">
        <v>134</v>
      </c>
      <c r="L1471">
        <v>60</v>
      </c>
      <c r="M1471" s="4" t="s">
        <v>158</v>
      </c>
    </row>
    <row r="1472" spans="1:13" x14ac:dyDescent="0.2">
      <c r="A1472" s="4" t="s">
        <v>1989</v>
      </c>
      <c r="B1472">
        <v>1471</v>
      </c>
      <c r="C1472" s="4" t="s">
        <v>26</v>
      </c>
      <c r="D1472" s="4" t="s">
        <v>47</v>
      </c>
      <c r="E1472" s="4" t="s">
        <v>32</v>
      </c>
      <c r="F1472" s="4" t="s">
        <v>1983</v>
      </c>
      <c r="G1472">
        <v>13</v>
      </c>
      <c r="H1472">
        <v>62</v>
      </c>
      <c r="I1472" s="4" t="s">
        <v>112</v>
      </c>
      <c r="J1472" s="4" t="s">
        <v>122</v>
      </c>
      <c r="K1472" s="4" t="s">
        <v>123</v>
      </c>
      <c r="L1472">
        <v>515</v>
      </c>
      <c r="M1472" s="4" t="s">
        <v>158</v>
      </c>
    </row>
    <row r="1473" spans="1:13" x14ac:dyDescent="0.2">
      <c r="A1473" s="4" t="s">
        <v>1990</v>
      </c>
      <c r="B1473">
        <v>1472</v>
      </c>
      <c r="C1473" s="4" t="s">
        <v>26</v>
      </c>
      <c r="D1473" s="4" t="s">
        <v>47</v>
      </c>
      <c r="E1473" s="4" t="s">
        <v>32</v>
      </c>
      <c r="F1473" s="4" t="s">
        <v>1983</v>
      </c>
      <c r="G1473">
        <v>13</v>
      </c>
      <c r="H1473">
        <v>62</v>
      </c>
      <c r="I1473" s="4" t="s">
        <v>112</v>
      </c>
      <c r="J1473" s="4" t="s">
        <v>125</v>
      </c>
      <c r="K1473" s="4" t="s">
        <v>126</v>
      </c>
      <c r="L1473">
        <v>50</v>
      </c>
      <c r="M1473" s="4" t="s">
        <v>158</v>
      </c>
    </row>
    <row r="1474" spans="1:13" x14ac:dyDescent="0.2">
      <c r="A1474" s="4" t="s">
        <v>1991</v>
      </c>
      <c r="B1474">
        <v>1473</v>
      </c>
      <c r="C1474" s="4" t="s">
        <v>26</v>
      </c>
      <c r="D1474" s="4" t="s">
        <v>47</v>
      </c>
      <c r="E1474" s="4" t="s">
        <v>32</v>
      </c>
      <c r="F1474" s="4" t="s">
        <v>1983</v>
      </c>
      <c r="G1474">
        <v>13</v>
      </c>
      <c r="H1474">
        <v>62</v>
      </c>
      <c r="I1474" s="4" t="s">
        <v>112</v>
      </c>
      <c r="J1474" s="4" t="s">
        <v>127</v>
      </c>
      <c r="K1474" s="4" t="s">
        <v>128</v>
      </c>
      <c r="L1474">
        <v>350</v>
      </c>
      <c r="M1474" s="4" t="s">
        <v>158</v>
      </c>
    </row>
    <row r="1475" spans="1:13" x14ac:dyDescent="0.2">
      <c r="A1475" s="4" t="s">
        <v>1992</v>
      </c>
      <c r="B1475">
        <v>1474</v>
      </c>
      <c r="C1475" s="4" t="s">
        <v>26</v>
      </c>
      <c r="D1475" s="4" t="s">
        <v>47</v>
      </c>
      <c r="E1475" s="4" t="s">
        <v>32</v>
      </c>
      <c r="F1475" s="4" t="s">
        <v>1983</v>
      </c>
      <c r="G1475">
        <v>13</v>
      </c>
      <c r="H1475">
        <v>62</v>
      </c>
      <c r="I1475" s="4" t="s">
        <v>112</v>
      </c>
      <c r="J1475" s="4" t="s">
        <v>129</v>
      </c>
      <c r="K1475" s="4" t="s">
        <v>130</v>
      </c>
      <c r="L1475">
        <v>37</v>
      </c>
      <c r="M1475" s="4" t="s">
        <v>158</v>
      </c>
    </row>
    <row r="1476" spans="1:13" x14ac:dyDescent="0.2">
      <c r="A1476" s="4" t="s">
        <v>1993</v>
      </c>
      <c r="B1476">
        <v>1475</v>
      </c>
      <c r="C1476" s="4" t="s">
        <v>26</v>
      </c>
      <c r="D1476" s="4" t="s">
        <v>47</v>
      </c>
      <c r="E1476" s="4" t="s">
        <v>32</v>
      </c>
      <c r="F1476" s="4" t="s">
        <v>1983</v>
      </c>
      <c r="G1476">
        <v>13</v>
      </c>
      <c r="H1476">
        <v>62</v>
      </c>
      <c r="I1476" s="4" t="s">
        <v>112</v>
      </c>
      <c r="J1476" s="4" t="s">
        <v>131</v>
      </c>
      <c r="K1476" s="4" t="s">
        <v>132</v>
      </c>
      <c r="L1476">
        <v>73</v>
      </c>
      <c r="M1476" s="4" t="s">
        <v>158</v>
      </c>
    </row>
    <row r="1477" spans="1:13" x14ac:dyDescent="0.2">
      <c r="A1477" s="4" t="s">
        <v>1994</v>
      </c>
      <c r="B1477">
        <v>1476</v>
      </c>
      <c r="C1477" s="4" t="s">
        <v>26</v>
      </c>
      <c r="D1477" s="4" t="s">
        <v>47</v>
      </c>
      <c r="E1477" s="4" t="s">
        <v>32</v>
      </c>
      <c r="F1477" s="4" t="s">
        <v>1983</v>
      </c>
      <c r="G1477">
        <v>13</v>
      </c>
      <c r="H1477">
        <v>62</v>
      </c>
      <c r="I1477" s="4" t="s">
        <v>112</v>
      </c>
      <c r="J1477" s="4" t="s">
        <v>133</v>
      </c>
      <c r="K1477" s="4" t="s">
        <v>134</v>
      </c>
      <c r="L1477">
        <v>100</v>
      </c>
      <c r="M1477" s="4" t="s">
        <v>158</v>
      </c>
    </row>
    <row r="1478" spans="1:13" x14ac:dyDescent="0.2">
      <c r="A1478" s="4" t="s">
        <v>1995</v>
      </c>
      <c r="B1478">
        <v>1477</v>
      </c>
      <c r="C1478" s="4" t="s">
        <v>26</v>
      </c>
      <c r="D1478" s="4" t="s">
        <v>47</v>
      </c>
      <c r="E1478" s="4" t="s">
        <v>32</v>
      </c>
      <c r="F1478" s="4" t="s">
        <v>1983</v>
      </c>
      <c r="G1478">
        <v>13</v>
      </c>
      <c r="H1478">
        <v>62</v>
      </c>
      <c r="I1478" s="4" t="s">
        <v>114</v>
      </c>
      <c r="J1478" s="4" t="s">
        <v>122</v>
      </c>
      <c r="K1478" s="4" t="s">
        <v>123</v>
      </c>
      <c r="L1478">
        <v>100</v>
      </c>
      <c r="M1478" s="4" t="s">
        <v>158</v>
      </c>
    </row>
    <row r="1479" spans="1:13" x14ac:dyDescent="0.2">
      <c r="A1479" s="4" t="s">
        <v>1996</v>
      </c>
      <c r="B1479">
        <v>1478</v>
      </c>
      <c r="C1479" s="4" t="s">
        <v>26</v>
      </c>
      <c r="D1479" s="4" t="s">
        <v>47</v>
      </c>
      <c r="E1479" s="4" t="s">
        <v>32</v>
      </c>
      <c r="F1479" s="4" t="s">
        <v>1983</v>
      </c>
      <c r="G1479">
        <v>13</v>
      </c>
      <c r="H1479">
        <v>62</v>
      </c>
      <c r="I1479" s="4" t="s">
        <v>114</v>
      </c>
      <c r="J1479" s="4" t="s">
        <v>125</v>
      </c>
      <c r="K1479" s="4" t="s">
        <v>126</v>
      </c>
      <c r="L1479">
        <v>75</v>
      </c>
      <c r="M1479" s="4" t="s">
        <v>158</v>
      </c>
    </row>
    <row r="1480" spans="1:13" x14ac:dyDescent="0.2">
      <c r="A1480" s="4" t="s">
        <v>1997</v>
      </c>
      <c r="B1480">
        <v>1479</v>
      </c>
      <c r="C1480" s="4" t="s">
        <v>26</v>
      </c>
      <c r="D1480" s="4" t="s">
        <v>47</v>
      </c>
      <c r="E1480" s="4" t="s">
        <v>32</v>
      </c>
      <c r="F1480" s="4" t="s">
        <v>1983</v>
      </c>
      <c r="G1480">
        <v>13</v>
      </c>
      <c r="H1480">
        <v>62</v>
      </c>
      <c r="I1480" s="4" t="s">
        <v>114</v>
      </c>
      <c r="J1480" s="4" t="s">
        <v>127</v>
      </c>
      <c r="K1480" s="4" t="s">
        <v>128</v>
      </c>
      <c r="L1480">
        <v>302</v>
      </c>
      <c r="M1480" s="4" t="s">
        <v>158</v>
      </c>
    </row>
    <row r="1481" spans="1:13" x14ac:dyDescent="0.2">
      <c r="A1481" s="4" t="s">
        <v>1998</v>
      </c>
      <c r="B1481">
        <v>1480</v>
      </c>
      <c r="C1481" s="4" t="s">
        <v>26</v>
      </c>
      <c r="D1481" s="4" t="s">
        <v>47</v>
      </c>
      <c r="E1481" s="4" t="s">
        <v>32</v>
      </c>
      <c r="F1481" s="4" t="s">
        <v>1983</v>
      </c>
      <c r="G1481">
        <v>13</v>
      </c>
      <c r="H1481">
        <v>62</v>
      </c>
      <c r="I1481" s="4" t="s">
        <v>114</v>
      </c>
      <c r="J1481" s="4" t="s">
        <v>129</v>
      </c>
      <c r="K1481" s="4" t="s">
        <v>130</v>
      </c>
      <c r="L1481">
        <v>35</v>
      </c>
      <c r="M1481" s="4" t="s">
        <v>158</v>
      </c>
    </row>
    <row r="1482" spans="1:13" x14ac:dyDescent="0.2">
      <c r="A1482" s="4" t="s">
        <v>1999</v>
      </c>
      <c r="B1482">
        <v>1481</v>
      </c>
      <c r="C1482" s="4" t="s">
        <v>26</v>
      </c>
      <c r="D1482" s="4" t="s">
        <v>47</v>
      </c>
      <c r="E1482" s="4" t="s">
        <v>32</v>
      </c>
      <c r="F1482" s="4" t="s">
        <v>1983</v>
      </c>
      <c r="G1482">
        <v>13</v>
      </c>
      <c r="H1482">
        <v>62</v>
      </c>
      <c r="I1482" s="4" t="s">
        <v>114</v>
      </c>
      <c r="J1482" s="4" t="s">
        <v>131</v>
      </c>
      <c r="K1482" s="4" t="s">
        <v>132</v>
      </c>
      <c r="L1482">
        <v>87</v>
      </c>
      <c r="M1482" s="4" t="s">
        <v>158</v>
      </c>
    </row>
    <row r="1483" spans="1:13" x14ac:dyDescent="0.2">
      <c r="A1483" s="4" t="s">
        <v>2000</v>
      </c>
      <c r="B1483">
        <v>1482</v>
      </c>
      <c r="C1483" s="4" t="s">
        <v>26</v>
      </c>
      <c r="D1483" s="4" t="s">
        <v>47</v>
      </c>
      <c r="E1483" s="4" t="s">
        <v>32</v>
      </c>
      <c r="F1483" s="4" t="s">
        <v>1983</v>
      </c>
      <c r="G1483">
        <v>13</v>
      </c>
      <c r="H1483">
        <v>62</v>
      </c>
      <c r="I1483" s="4" t="s">
        <v>114</v>
      </c>
      <c r="J1483" s="4" t="s">
        <v>133</v>
      </c>
      <c r="K1483" s="4" t="s">
        <v>134</v>
      </c>
      <c r="L1483">
        <v>50</v>
      </c>
      <c r="M1483" s="4" t="s">
        <v>158</v>
      </c>
    </row>
    <row r="1484" spans="1:13" x14ac:dyDescent="0.2">
      <c r="A1484" s="4" t="s">
        <v>2001</v>
      </c>
      <c r="B1484">
        <v>1483</v>
      </c>
      <c r="C1484" s="4" t="s">
        <v>26</v>
      </c>
      <c r="D1484" s="4" t="s">
        <v>47</v>
      </c>
      <c r="E1484" s="4" t="s">
        <v>32</v>
      </c>
      <c r="F1484" s="4" t="s">
        <v>1983</v>
      </c>
      <c r="G1484">
        <v>13</v>
      </c>
      <c r="H1484">
        <v>62</v>
      </c>
      <c r="I1484" s="4" t="s">
        <v>116</v>
      </c>
      <c r="J1484" s="4" t="s">
        <v>122</v>
      </c>
      <c r="K1484" s="4" t="s">
        <v>123</v>
      </c>
      <c r="L1484">
        <v>150</v>
      </c>
      <c r="M1484" s="4" t="s">
        <v>158</v>
      </c>
    </row>
    <row r="1485" spans="1:13" x14ac:dyDescent="0.2">
      <c r="A1485" s="4" t="s">
        <v>2002</v>
      </c>
      <c r="B1485">
        <v>1484</v>
      </c>
      <c r="C1485" s="4" t="s">
        <v>26</v>
      </c>
      <c r="D1485" s="4" t="s">
        <v>47</v>
      </c>
      <c r="E1485" s="4" t="s">
        <v>32</v>
      </c>
      <c r="F1485" s="4" t="s">
        <v>1983</v>
      </c>
      <c r="G1485">
        <v>13</v>
      </c>
      <c r="H1485">
        <v>62</v>
      </c>
      <c r="I1485" s="4" t="s">
        <v>116</v>
      </c>
      <c r="J1485" s="4" t="s">
        <v>125</v>
      </c>
      <c r="K1485" s="4" t="s">
        <v>126</v>
      </c>
      <c r="L1485">
        <v>50</v>
      </c>
      <c r="M1485" s="4" t="s">
        <v>158</v>
      </c>
    </row>
    <row r="1486" spans="1:13" x14ac:dyDescent="0.2">
      <c r="A1486" s="4" t="s">
        <v>2003</v>
      </c>
      <c r="B1486">
        <v>1485</v>
      </c>
      <c r="C1486" s="4" t="s">
        <v>26</v>
      </c>
      <c r="D1486" s="4" t="s">
        <v>47</v>
      </c>
      <c r="E1486" s="4" t="s">
        <v>32</v>
      </c>
      <c r="F1486" s="4" t="s">
        <v>1983</v>
      </c>
      <c r="G1486">
        <v>13</v>
      </c>
      <c r="H1486">
        <v>62</v>
      </c>
      <c r="I1486" s="4" t="s">
        <v>116</v>
      </c>
      <c r="J1486" s="4" t="s">
        <v>127</v>
      </c>
      <c r="K1486" s="4" t="s">
        <v>128</v>
      </c>
      <c r="L1486">
        <v>47</v>
      </c>
      <c r="M1486" s="4" t="s">
        <v>158</v>
      </c>
    </row>
    <row r="1487" spans="1:13" x14ac:dyDescent="0.2">
      <c r="A1487" s="4" t="s">
        <v>2004</v>
      </c>
      <c r="B1487">
        <v>1486</v>
      </c>
      <c r="C1487" s="4" t="s">
        <v>26</v>
      </c>
      <c r="D1487" s="4" t="s">
        <v>47</v>
      </c>
      <c r="E1487" s="4" t="s">
        <v>32</v>
      </c>
      <c r="F1487" s="4" t="s">
        <v>1983</v>
      </c>
      <c r="G1487">
        <v>13</v>
      </c>
      <c r="H1487">
        <v>62</v>
      </c>
      <c r="I1487" s="4" t="s">
        <v>116</v>
      </c>
      <c r="J1487" s="4" t="s">
        <v>129</v>
      </c>
      <c r="K1487" s="4" t="s">
        <v>130</v>
      </c>
      <c r="L1487">
        <v>47</v>
      </c>
      <c r="M1487" s="4" t="s">
        <v>158</v>
      </c>
    </row>
    <row r="1488" spans="1:13" x14ac:dyDescent="0.2">
      <c r="A1488" s="4" t="s">
        <v>2005</v>
      </c>
      <c r="B1488">
        <v>1487</v>
      </c>
      <c r="C1488" s="4" t="s">
        <v>26</v>
      </c>
      <c r="D1488" s="4" t="s">
        <v>47</v>
      </c>
      <c r="E1488" s="4" t="s">
        <v>32</v>
      </c>
      <c r="F1488" s="4" t="s">
        <v>1983</v>
      </c>
      <c r="G1488">
        <v>13</v>
      </c>
      <c r="H1488">
        <v>62</v>
      </c>
      <c r="I1488" s="4" t="s">
        <v>116</v>
      </c>
      <c r="J1488" s="4" t="s">
        <v>131</v>
      </c>
      <c r="K1488" s="4" t="s">
        <v>132</v>
      </c>
      <c r="L1488">
        <v>78</v>
      </c>
      <c r="M1488" s="4" t="s">
        <v>158</v>
      </c>
    </row>
    <row r="1489" spans="1:13" x14ac:dyDescent="0.2">
      <c r="A1489" s="4" t="s">
        <v>2006</v>
      </c>
      <c r="B1489">
        <v>1488</v>
      </c>
      <c r="C1489" s="4" t="s">
        <v>26</v>
      </c>
      <c r="D1489" s="4" t="s">
        <v>47</v>
      </c>
      <c r="E1489" s="4" t="s">
        <v>32</v>
      </c>
      <c r="F1489" s="4" t="s">
        <v>1983</v>
      </c>
      <c r="G1489">
        <v>13</v>
      </c>
      <c r="H1489">
        <v>62</v>
      </c>
      <c r="I1489" s="4" t="s">
        <v>116</v>
      </c>
      <c r="J1489" s="4" t="s">
        <v>133</v>
      </c>
      <c r="K1489" s="4" t="s">
        <v>134</v>
      </c>
      <c r="L1489">
        <v>50</v>
      </c>
      <c r="M1489" s="4" t="s">
        <v>158</v>
      </c>
    </row>
    <row r="1490" spans="1:13" x14ac:dyDescent="0.2">
      <c r="A1490" s="4" t="s">
        <v>2017</v>
      </c>
      <c r="B1490">
        <v>1489</v>
      </c>
      <c r="C1490" s="4" t="s">
        <v>26</v>
      </c>
      <c r="D1490" s="4" t="s">
        <v>47</v>
      </c>
      <c r="E1490" s="4" t="s">
        <v>35</v>
      </c>
      <c r="F1490" s="4" t="s">
        <v>2007</v>
      </c>
      <c r="G1490">
        <v>13</v>
      </c>
      <c r="H1490">
        <v>63</v>
      </c>
      <c r="I1490" s="4" t="s">
        <v>35</v>
      </c>
      <c r="J1490" s="4" t="s">
        <v>122</v>
      </c>
      <c r="K1490" s="4" t="s">
        <v>123</v>
      </c>
      <c r="L1490">
        <v>104</v>
      </c>
      <c r="M1490" s="4" t="s">
        <v>158</v>
      </c>
    </row>
    <row r="1491" spans="1:13" x14ac:dyDescent="0.2">
      <c r="A1491" s="4" t="s">
        <v>2018</v>
      </c>
      <c r="B1491">
        <v>1490</v>
      </c>
      <c r="C1491" s="4" t="s">
        <v>26</v>
      </c>
      <c r="D1491" s="4" t="s">
        <v>47</v>
      </c>
      <c r="E1491" s="4" t="s">
        <v>35</v>
      </c>
      <c r="F1491" s="4" t="s">
        <v>2007</v>
      </c>
      <c r="G1491">
        <v>13</v>
      </c>
      <c r="H1491">
        <v>63</v>
      </c>
      <c r="I1491" s="4" t="s">
        <v>35</v>
      </c>
      <c r="J1491" s="4" t="s">
        <v>125</v>
      </c>
      <c r="K1491" s="4" t="s">
        <v>126</v>
      </c>
      <c r="L1491">
        <v>22</v>
      </c>
      <c r="M1491" s="4" t="s">
        <v>158</v>
      </c>
    </row>
    <row r="1492" spans="1:13" x14ac:dyDescent="0.2">
      <c r="A1492" s="4" t="s">
        <v>2019</v>
      </c>
      <c r="B1492">
        <v>1491</v>
      </c>
      <c r="C1492" s="4" t="s">
        <v>26</v>
      </c>
      <c r="D1492" s="4" t="s">
        <v>47</v>
      </c>
      <c r="E1492" s="4" t="s">
        <v>35</v>
      </c>
      <c r="F1492" s="4" t="s">
        <v>2007</v>
      </c>
      <c r="G1492">
        <v>13</v>
      </c>
      <c r="H1492">
        <v>63</v>
      </c>
      <c r="I1492" s="4" t="s">
        <v>35</v>
      </c>
      <c r="J1492" s="4" t="s">
        <v>127</v>
      </c>
      <c r="K1492" s="4" t="s">
        <v>128</v>
      </c>
      <c r="L1492">
        <v>159</v>
      </c>
      <c r="M1492" s="4" t="s">
        <v>158</v>
      </c>
    </row>
    <row r="1493" spans="1:13" x14ac:dyDescent="0.2">
      <c r="A1493" s="4" t="s">
        <v>2020</v>
      </c>
      <c r="B1493">
        <v>1492</v>
      </c>
      <c r="C1493" s="4" t="s">
        <v>26</v>
      </c>
      <c r="D1493" s="4" t="s">
        <v>47</v>
      </c>
      <c r="E1493" s="4" t="s">
        <v>35</v>
      </c>
      <c r="F1493" s="4" t="s">
        <v>2007</v>
      </c>
      <c r="G1493">
        <v>13</v>
      </c>
      <c r="H1493">
        <v>63</v>
      </c>
      <c r="I1493" s="4" t="s">
        <v>35</v>
      </c>
      <c r="J1493" s="4" t="s">
        <v>129</v>
      </c>
      <c r="K1493" s="4" t="s">
        <v>130</v>
      </c>
      <c r="L1493">
        <v>0</v>
      </c>
      <c r="M1493" s="4" t="s">
        <v>158</v>
      </c>
    </row>
    <row r="1494" spans="1:13" x14ac:dyDescent="0.2">
      <c r="A1494" s="4" t="s">
        <v>2021</v>
      </c>
      <c r="B1494">
        <v>1493</v>
      </c>
      <c r="C1494" s="4" t="s">
        <v>26</v>
      </c>
      <c r="D1494" s="4" t="s">
        <v>47</v>
      </c>
      <c r="E1494" s="4" t="s">
        <v>35</v>
      </c>
      <c r="F1494" s="4" t="s">
        <v>2007</v>
      </c>
      <c r="G1494">
        <v>13</v>
      </c>
      <c r="H1494">
        <v>63</v>
      </c>
      <c r="I1494" s="4" t="s">
        <v>35</v>
      </c>
      <c r="J1494" s="4" t="s">
        <v>131</v>
      </c>
      <c r="K1494" s="4" t="s">
        <v>132</v>
      </c>
      <c r="L1494">
        <v>0</v>
      </c>
      <c r="M1494" s="4" t="s">
        <v>158</v>
      </c>
    </row>
    <row r="1495" spans="1:13" x14ac:dyDescent="0.2">
      <c r="A1495" s="4" t="s">
        <v>2022</v>
      </c>
      <c r="B1495">
        <v>1494</v>
      </c>
      <c r="C1495" s="4" t="s">
        <v>26</v>
      </c>
      <c r="D1495" s="4" t="s">
        <v>47</v>
      </c>
      <c r="E1495" s="4" t="s">
        <v>35</v>
      </c>
      <c r="F1495" s="4" t="s">
        <v>2007</v>
      </c>
      <c r="G1495">
        <v>13</v>
      </c>
      <c r="H1495">
        <v>63</v>
      </c>
      <c r="I1495" s="4" t="s">
        <v>35</v>
      </c>
      <c r="J1495" s="4" t="s">
        <v>133</v>
      </c>
      <c r="K1495" s="4" t="s">
        <v>134</v>
      </c>
      <c r="L1495">
        <v>60</v>
      </c>
      <c r="M1495" s="4" t="s">
        <v>158</v>
      </c>
    </row>
    <row r="1496" spans="1:13" x14ac:dyDescent="0.2">
      <c r="A1496" s="4" t="s">
        <v>2023</v>
      </c>
      <c r="B1496">
        <v>1495</v>
      </c>
      <c r="C1496" s="4" t="s">
        <v>26</v>
      </c>
      <c r="D1496" s="4" t="s">
        <v>47</v>
      </c>
      <c r="E1496" s="4" t="s">
        <v>35</v>
      </c>
      <c r="F1496" s="4" t="s">
        <v>2007</v>
      </c>
      <c r="G1496">
        <v>13</v>
      </c>
      <c r="H1496">
        <v>63</v>
      </c>
      <c r="I1496" s="4" t="s">
        <v>112</v>
      </c>
      <c r="J1496" s="4" t="s">
        <v>122</v>
      </c>
      <c r="K1496" s="4" t="s">
        <v>123</v>
      </c>
      <c r="L1496">
        <v>296</v>
      </c>
      <c r="M1496" s="4" t="s">
        <v>158</v>
      </c>
    </row>
    <row r="1497" spans="1:13" x14ac:dyDescent="0.2">
      <c r="A1497" s="4" t="s">
        <v>2024</v>
      </c>
      <c r="B1497">
        <v>1496</v>
      </c>
      <c r="C1497" s="4" t="s">
        <v>26</v>
      </c>
      <c r="D1497" s="4" t="s">
        <v>47</v>
      </c>
      <c r="E1497" s="4" t="s">
        <v>35</v>
      </c>
      <c r="F1497" s="4" t="s">
        <v>2007</v>
      </c>
      <c r="G1497">
        <v>13</v>
      </c>
      <c r="H1497">
        <v>63</v>
      </c>
      <c r="I1497" s="4" t="s">
        <v>112</v>
      </c>
      <c r="J1497" s="4" t="s">
        <v>125</v>
      </c>
      <c r="K1497" s="4" t="s">
        <v>126</v>
      </c>
      <c r="L1497">
        <v>50</v>
      </c>
      <c r="M1497" s="4" t="s">
        <v>158</v>
      </c>
    </row>
    <row r="1498" spans="1:13" x14ac:dyDescent="0.2">
      <c r="A1498" s="4" t="s">
        <v>2025</v>
      </c>
      <c r="B1498">
        <v>1497</v>
      </c>
      <c r="C1498" s="4" t="s">
        <v>26</v>
      </c>
      <c r="D1498" s="4" t="s">
        <v>47</v>
      </c>
      <c r="E1498" s="4" t="s">
        <v>35</v>
      </c>
      <c r="F1498" s="4" t="s">
        <v>2007</v>
      </c>
      <c r="G1498">
        <v>13</v>
      </c>
      <c r="H1498">
        <v>63</v>
      </c>
      <c r="I1498" s="4" t="s">
        <v>112</v>
      </c>
      <c r="J1498" s="4" t="s">
        <v>127</v>
      </c>
      <c r="K1498" s="4" t="s">
        <v>128</v>
      </c>
      <c r="L1498">
        <v>277</v>
      </c>
      <c r="M1498" s="4" t="s">
        <v>158</v>
      </c>
    </row>
    <row r="1499" spans="1:13" x14ac:dyDescent="0.2">
      <c r="A1499" s="4" t="s">
        <v>2026</v>
      </c>
      <c r="B1499">
        <v>1498</v>
      </c>
      <c r="C1499" s="4" t="s">
        <v>26</v>
      </c>
      <c r="D1499" s="4" t="s">
        <v>47</v>
      </c>
      <c r="E1499" s="4" t="s">
        <v>35</v>
      </c>
      <c r="F1499" s="4" t="s">
        <v>2007</v>
      </c>
      <c r="G1499">
        <v>13</v>
      </c>
      <c r="H1499">
        <v>63</v>
      </c>
      <c r="I1499" s="4" t="s">
        <v>112</v>
      </c>
      <c r="J1499" s="4" t="s">
        <v>129</v>
      </c>
      <c r="K1499" s="4" t="s">
        <v>130</v>
      </c>
      <c r="L1499">
        <v>0</v>
      </c>
      <c r="M1499" s="4" t="s">
        <v>158</v>
      </c>
    </row>
    <row r="1500" spans="1:13" x14ac:dyDescent="0.2">
      <c r="A1500" s="4" t="s">
        <v>2027</v>
      </c>
      <c r="B1500">
        <v>1499</v>
      </c>
      <c r="C1500" s="4" t="s">
        <v>26</v>
      </c>
      <c r="D1500" s="4" t="s">
        <v>47</v>
      </c>
      <c r="E1500" s="4" t="s">
        <v>35</v>
      </c>
      <c r="F1500" s="4" t="s">
        <v>2007</v>
      </c>
      <c r="G1500">
        <v>13</v>
      </c>
      <c r="H1500">
        <v>63</v>
      </c>
      <c r="I1500" s="4" t="s">
        <v>112</v>
      </c>
      <c r="J1500" s="4" t="s">
        <v>131</v>
      </c>
      <c r="K1500" s="4" t="s">
        <v>132</v>
      </c>
      <c r="L1500">
        <v>73</v>
      </c>
      <c r="M1500" s="4" t="s">
        <v>158</v>
      </c>
    </row>
    <row r="1501" spans="1:13" x14ac:dyDescent="0.2">
      <c r="A1501" s="4" t="s">
        <v>2028</v>
      </c>
      <c r="B1501">
        <v>1500</v>
      </c>
      <c r="C1501" s="4" t="s">
        <v>26</v>
      </c>
      <c r="D1501" s="4" t="s">
        <v>47</v>
      </c>
      <c r="E1501" s="4" t="s">
        <v>35</v>
      </c>
      <c r="F1501" s="4" t="s">
        <v>2007</v>
      </c>
      <c r="G1501">
        <v>13</v>
      </c>
      <c r="H1501">
        <v>63</v>
      </c>
      <c r="I1501" s="4" t="s">
        <v>112</v>
      </c>
      <c r="J1501" s="4" t="s">
        <v>133</v>
      </c>
      <c r="K1501" s="4" t="s">
        <v>134</v>
      </c>
      <c r="L1501">
        <v>100</v>
      </c>
      <c r="M1501" s="4" t="s">
        <v>158</v>
      </c>
    </row>
    <row r="1502" spans="1:13" x14ac:dyDescent="0.2">
      <c r="A1502" s="4" t="s">
        <v>2029</v>
      </c>
      <c r="B1502">
        <v>1501</v>
      </c>
      <c r="C1502" s="4" t="s">
        <v>26</v>
      </c>
      <c r="D1502" s="4" t="s">
        <v>47</v>
      </c>
      <c r="E1502" s="4" t="s">
        <v>35</v>
      </c>
      <c r="F1502" s="4" t="s">
        <v>2007</v>
      </c>
      <c r="G1502">
        <v>13</v>
      </c>
      <c r="H1502">
        <v>63</v>
      </c>
      <c r="I1502" s="4" t="s">
        <v>114</v>
      </c>
      <c r="J1502" s="4" t="s">
        <v>122</v>
      </c>
      <c r="K1502" s="4" t="s">
        <v>123</v>
      </c>
      <c r="L1502">
        <v>100</v>
      </c>
      <c r="M1502" s="4" t="s">
        <v>158</v>
      </c>
    </row>
    <row r="1503" spans="1:13" x14ac:dyDescent="0.2">
      <c r="A1503" s="4" t="s">
        <v>2030</v>
      </c>
      <c r="B1503">
        <v>1502</v>
      </c>
      <c r="C1503" s="4" t="s">
        <v>26</v>
      </c>
      <c r="D1503" s="4" t="s">
        <v>47</v>
      </c>
      <c r="E1503" s="4" t="s">
        <v>35</v>
      </c>
      <c r="F1503" s="4" t="s">
        <v>2007</v>
      </c>
      <c r="G1503">
        <v>13</v>
      </c>
      <c r="H1503">
        <v>63</v>
      </c>
      <c r="I1503" s="4" t="s">
        <v>114</v>
      </c>
      <c r="J1503" s="4" t="s">
        <v>125</v>
      </c>
      <c r="K1503" s="4" t="s">
        <v>126</v>
      </c>
      <c r="L1503">
        <v>26</v>
      </c>
      <c r="M1503" s="4" t="s">
        <v>158</v>
      </c>
    </row>
    <row r="1504" spans="1:13" x14ac:dyDescent="0.2">
      <c r="A1504" s="4" t="s">
        <v>2031</v>
      </c>
      <c r="B1504">
        <v>1503</v>
      </c>
      <c r="C1504" s="4" t="s">
        <v>26</v>
      </c>
      <c r="D1504" s="4" t="s">
        <v>47</v>
      </c>
      <c r="E1504" s="4" t="s">
        <v>35</v>
      </c>
      <c r="F1504" s="4" t="s">
        <v>2007</v>
      </c>
      <c r="G1504">
        <v>13</v>
      </c>
      <c r="H1504">
        <v>63</v>
      </c>
      <c r="I1504" s="4" t="s">
        <v>114</v>
      </c>
      <c r="J1504" s="4" t="s">
        <v>127</v>
      </c>
      <c r="K1504" s="4" t="s">
        <v>128</v>
      </c>
      <c r="L1504">
        <v>164</v>
      </c>
      <c r="M1504" s="4" t="s">
        <v>158</v>
      </c>
    </row>
    <row r="1505" spans="1:13" x14ac:dyDescent="0.2">
      <c r="A1505" s="4" t="s">
        <v>2032</v>
      </c>
      <c r="B1505">
        <v>1504</v>
      </c>
      <c r="C1505" s="4" t="s">
        <v>26</v>
      </c>
      <c r="D1505" s="4" t="s">
        <v>47</v>
      </c>
      <c r="E1505" s="4" t="s">
        <v>35</v>
      </c>
      <c r="F1505" s="4" t="s">
        <v>2007</v>
      </c>
      <c r="G1505">
        <v>13</v>
      </c>
      <c r="H1505">
        <v>63</v>
      </c>
      <c r="I1505" s="4" t="s">
        <v>114</v>
      </c>
      <c r="J1505" s="4" t="s">
        <v>129</v>
      </c>
      <c r="K1505" s="4" t="s">
        <v>130</v>
      </c>
      <c r="L1505">
        <v>35</v>
      </c>
      <c r="M1505" s="4" t="s">
        <v>158</v>
      </c>
    </row>
    <row r="1506" spans="1:13" x14ac:dyDescent="0.2">
      <c r="A1506" s="4" t="s">
        <v>2033</v>
      </c>
      <c r="B1506">
        <v>1505</v>
      </c>
      <c r="C1506" s="4" t="s">
        <v>26</v>
      </c>
      <c r="D1506" s="4" t="s">
        <v>47</v>
      </c>
      <c r="E1506" s="4" t="s">
        <v>35</v>
      </c>
      <c r="F1506" s="4" t="s">
        <v>2007</v>
      </c>
      <c r="G1506">
        <v>13</v>
      </c>
      <c r="H1506">
        <v>63</v>
      </c>
      <c r="I1506" s="4" t="s">
        <v>114</v>
      </c>
      <c r="J1506" s="4" t="s">
        <v>131</v>
      </c>
      <c r="K1506" s="4" t="s">
        <v>132</v>
      </c>
      <c r="L1506">
        <v>87</v>
      </c>
      <c r="M1506" s="4" t="s">
        <v>158</v>
      </c>
    </row>
    <row r="1507" spans="1:13" x14ac:dyDescent="0.2">
      <c r="A1507" s="4" t="s">
        <v>2034</v>
      </c>
      <c r="B1507">
        <v>1506</v>
      </c>
      <c r="C1507" s="4" t="s">
        <v>26</v>
      </c>
      <c r="D1507" s="4" t="s">
        <v>47</v>
      </c>
      <c r="E1507" s="4" t="s">
        <v>35</v>
      </c>
      <c r="F1507" s="4" t="s">
        <v>2007</v>
      </c>
      <c r="G1507">
        <v>13</v>
      </c>
      <c r="H1507">
        <v>63</v>
      </c>
      <c r="I1507" s="4" t="s">
        <v>114</v>
      </c>
      <c r="J1507" s="4" t="s">
        <v>133</v>
      </c>
      <c r="K1507" s="4" t="s">
        <v>134</v>
      </c>
      <c r="L1507">
        <v>50</v>
      </c>
      <c r="M1507" s="4" t="s">
        <v>158</v>
      </c>
    </row>
    <row r="1508" spans="1:13" x14ac:dyDescent="0.2">
      <c r="A1508" s="4" t="s">
        <v>2035</v>
      </c>
      <c r="B1508">
        <v>1507</v>
      </c>
      <c r="C1508" s="4" t="s">
        <v>26</v>
      </c>
      <c r="D1508" s="4" t="s">
        <v>47</v>
      </c>
      <c r="E1508" s="4" t="s">
        <v>35</v>
      </c>
      <c r="F1508" s="4" t="s">
        <v>2007</v>
      </c>
      <c r="G1508">
        <v>13</v>
      </c>
      <c r="H1508">
        <v>63</v>
      </c>
      <c r="I1508" s="4" t="s">
        <v>116</v>
      </c>
      <c r="J1508" s="4" t="s">
        <v>122</v>
      </c>
      <c r="K1508" s="4" t="s">
        <v>123</v>
      </c>
      <c r="L1508">
        <v>150</v>
      </c>
      <c r="M1508" s="4" t="s">
        <v>158</v>
      </c>
    </row>
    <row r="1509" spans="1:13" x14ac:dyDescent="0.2">
      <c r="A1509" s="4" t="s">
        <v>2036</v>
      </c>
      <c r="B1509">
        <v>1508</v>
      </c>
      <c r="C1509" s="4" t="s">
        <v>26</v>
      </c>
      <c r="D1509" s="4" t="s">
        <v>47</v>
      </c>
      <c r="E1509" s="4" t="s">
        <v>35</v>
      </c>
      <c r="F1509" s="4" t="s">
        <v>2007</v>
      </c>
      <c r="G1509">
        <v>13</v>
      </c>
      <c r="H1509">
        <v>63</v>
      </c>
      <c r="I1509" s="4" t="s">
        <v>116</v>
      </c>
      <c r="J1509" s="4" t="s">
        <v>125</v>
      </c>
      <c r="K1509" s="4" t="s">
        <v>126</v>
      </c>
      <c r="L1509">
        <v>50</v>
      </c>
      <c r="M1509" s="4" t="s">
        <v>158</v>
      </c>
    </row>
    <row r="1510" spans="1:13" x14ac:dyDescent="0.2">
      <c r="A1510" s="4" t="s">
        <v>2037</v>
      </c>
      <c r="B1510">
        <v>1509</v>
      </c>
      <c r="C1510" s="4" t="s">
        <v>26</v>
      </c>
      <c r="D1510" s="4" t="s">
        <v>47</v>
      </c>
      <c r="E1510" s="4" t="s">
        <v>35</v>
      </c>
      <c r="F1510" s="4" t="s">
        <v>2007</v>
      </c>
      <c r="G1510">
        <v>13</v>
      </c>
      <c r="H1510">
        <v>63</v>
      </c>
      <c r="I1510" s="4" t="s">
        <v>116</v>
      </c>
      <c r="J1510" s="4" t="s">
        <v>127</v>
      </c>
      <c r="K1510" s="4" t="s">
        <v>128</v>
      </c>
      <c r="L1510">
        <v>47</v>
      </c>
      <c r="M1510" s="4" t="s">
        <v>158</v>
      </c>
    </row>
    <row r="1511" spans="1:13" x14ac:dyDescent="0.2">
      <c r="A1511" s="4" t="s">
        <v>2038</v>
      </c>
      <c r="B1511">
        <v>1510</v>
      </c>
      <c r="C1511" s="4" t="s">
        <v>26</v>
      </c>
      <c r="D1511" s="4" t="s">
        <v>47</v>
      </c>
      <c r="E1511" s="4" t="s">
        <v>35</v>
      </c>
      <c r="F1511" s="4" t="s">
        <v>2007</v>
      </c>
      <c r="G1511">
        <v>13</v>
      </c>
      <c r="H1511">
        <v>63</v>
      </c>
      <c r="I1511" s="4" t="s">
        <v>116</v>
      </c>
      <c r="J1511" s="4" t="s">
        <v>129</v>
      </c>
      <c r="K1511" s="4" t="s">
        <v>130</v>
      </c>
      <c r="L1511">
        <v>30</v>
      </c>
      <c r="M1511" s="4" t="s">
        <v>158</v>
      </c>
    </row>
    <row r="1512" spans="1:13" x14ac:dyDescent="0.2">
      <c r="A1512" s="4" t="s">
        <v>2039</v>
      </c>
      <c r="B1512">
        <v>1511</v>
      </c>
      <c r="C1512" s="4" t="s">
        <v>26</v>
      </c>
      <c r="D1512" s="4" t="s">
        <v>47</v>
      </c>
      <c r="E1512" s="4" t="s">
        <v>35</v>
      </c>
      <c r="F1512" s="4" t="s">
        <v>2007</v>
      </c>
      <c r="G1512">
        <v>13</v>
      </c>
      <c r="H1512">
        <v>63</v>
      </c>
      <c r="I1512" s="4" t="s">
        <v>116</v>
      </c>
      <c r="J1512" s="4" t="s">
        <v>131</v>
      </c>
      <c r="K1512" s="4" t="s">
        <v>132</v>
      </c>
      <c r="L1512">
        <v>78</v>
      </c>
      <c r="M1512" s="4" t="s">
        <v>158</v>
      </c>
    </row>
    <row r="1513" spans="1:13" x14ac:dyDescent="0.2">
      <c r="A1513" s="4" t="s">
        <v>2040</v>
      </c>
      <c r="B1513">
        <v>1512</v>
      </c>
      <c r="C1513" s="4" t="s">
        <v>26</v>
      </c>
      <c r="D1513" s="4" t="s">
        <v>47</v>
      </c>
      <c r="E1513" s="4" t="s">
        <v>35</v>
      </c>
      <c r="F1513" s="4" t="s">
        <v>2007</v>
      </c>
      <c r="G1513">
        <v>13</v>
      </c>
      <c r="H1513">
        <v>63</v>
      </c>
      <c r="I1513" s="4" t="s">
        <v>116</v>
      </c>
      <c r="J1513" s="4" t="s">
        <v>133</v>
      </c>
      <c r="K1513" s="4" t="s">
        <v>134</v>
      </c>
      <c r="L1513">
        <v>7</v>
      </c>
      <c r="M1513" s="4" t="s">
        <v>158</v>
      </c>
    </row>
    <row r="1514" spans="1:13" x14ac:dyDescent="0.2">
      <c r="A1514" s="4" t="s">
        <v>2041</v>
      </c>
      <c r="B1514">
        <v>1513</v>
      </c>
      <c r="C1514" s="4" t="s">
        <v>26</v>
      </c>
      <c r="D1514" s="4" t="s">
        <v>47</v>
      </c>
      <c r="E1514" s="4" t="s">
        <v>38</v>
      </c>
      <c r="F1514" s="4" t="s">
        <v>2042</v>
      </c>
      <c r="G1514">
        <v>13</v>
      </c>
      <c r="H1514">
        <v>64</v>
      </c>
      <c r="I1514" s="4" t="s">
        <v>35</v>
      </c>
      <c r="J1514" s="4" t="s">
        <v>122</v>
      </c>
      <c r="K1514" s="4" t="s">
        <v>123</v>
      </c>
      <c r="L1514">
        <v>104</v>
      </c>
      <c r="M1514" s="4" t="s">
        <v>158</v>
      </c>
    </row>
    <row r="1515" spans="1:13" x14ac:dyDescent="0.2">
      <c r="A1515" s="4" t="s">
        <v>2043</v>
      </c>
      <c r="B1515">
        <v>1514</v>
      </c>
      <c r="C1515" s="4" t="s">
        <v>26</v>
      </c>
      <c r="D1515" s="4" t="s">
        <v>47</v>
      </c>
      <c r="E1515" s="4" t="s">
        <v>38</v>
      </c>
      <c r="F1515" s="4" t="s">
        <v>2042</v>
      </c>
      <c r="G1515">
        <v>13</v>
      </c>
      <c r="H1515">
        <v>64</v>
      </c>
      <c r="I1515" s="4" t="s">
        <v>35</v>
      </c>
      <c r="J1515" s="4" t="s">
        <v>125</v>
      </c>
      <c r="K1515" s="4" t="s">
        <v>126</v>
      </c>
      <c r="L1515">
        <v>22</v>
      </c>
      <c r="M1515" s="4" t="s">
        <v>158</v>
      </c>
    </row>
    <row r="1516" spans="1:13" x14ac:dyDescent="0.2">
      <c r="A1516" s="4" t="s">
        <v>2044</v>
      </c>
      <c r="B1516">
        <v>1515</v>
      </c>
      <c r="C1516" s="4" t="s">
        <v>26</v>
      </c>
      <c r="D1516" s="4" t="s">
        <v>47</v>
      </c>
      <c r="E1516" s="4" t="s">
        <v>38</v>
      </c>
      <c r="F1516" s="4" t="s">
        <v>2042</v>
      </c>
      <c r="G1516">
        <v>13</v>
      </c>
      <c r="H1516">
        <v>64</v>
      </c>
      <c r="I1516" s="4" t="s">
        <v>35</v>
      </c>
      <c r="J1516" s="4" t="s">
        <v>127</v>
      </c>
      <c r="K1516" s="4" t="s">
        <v>128</v>
      </c>
      <c r="L1516">
        <v>159</v>
      </c>
      <c r="M1516" s="4" t="s">
        <v>158</v>
      </c>
    </row>
    <row r="1517" spans="1:13" x14ac:dyDescent="0.2">
      <c r="A1517" s="4" t="s">
        <v>2045</v>
      </c>
      <c r="B1517">
        <v>1516</v>
      </c>
      <c r="C1517" s="4" t="s">
        <v>26</v>
      </c>
      <c r="D1517" s="4" t="s">
        <v>47</v>
      </c>
      <c r="E1517" s="4" t="s">
        <v>38</v>
      </c>
      <c r="F1517" s="4" t="s">
        <v>2042</v>
      </c>
      <c r="G1517">
        <v>13</v>
      </c>
      <c r="H1517">
        <v>64</v>
      </c>
      <c r="I1517" s="4" t="s">
        <v>35</v>
      </c>
      <c r="J1517" s="4" t="s">
        <v>129</v>
      </c>
      <c r="K1517" s="4" t="s">
        <v>130</v>
      </c>
      <c r="L1517">
        <v>0</v>
      </c>
      <c r="M1517" s="4" t="s">
        <v>158</v>
      </c>
    </row>
    <row r="1518" spans="1:13" x14ac:dyDescent="0.2">
      <c r="A1518" s="4" t="s">
        <v>2046</v>
      </c>
      <c r="B1518">
        <v>1517</v>
      </c>
      <c r="C1518" s="4" t="s">
        <v>26</v>
      </c>
      <c r="D1518" s="4" t="s">
        <v>47</v>
      </c>
      <c r="E1518" s="4" t="s">
        <v>38</v>
      </c>
      <c r="F1518" s="4" t="s">
        <v>2042</v>
      </c>
      <c r="G1518">
        <v>13</v>
      </c>
      <c r="H1518">
        <v>64</v>
      </c>
      <c r="I1518" s="4" t="s">
        <v>35</v>
      </c>
      <c r="J1518" s="4" t="s">
        <v>131</v>
      </c>
      <c r="K1518" s="4" t="s">
        <v>132</v>
      </c>
      <c r="L1518">
        <v>0</v>
      </c>
      <c r="M1518" s="4" t="s">
        <v>158</v>
      </c>
    </row>
    <row r="1519" spans="1:13" x14ac:dyDescent="0.2">
      <c r="A1519" s="4" t="s">
        <v>2047</v>
      </c>
      <c r="B1519">
        <v>1518</v>
      </c>
      <c r="C1519" s="4" t="s">
        <v>26</v>
      </c>
      <c r="D1519" s="4" t="s">
        <v>47</v>
      </c>
      <c r="E1519" s="4" t="s">
        <v>38</v>
      </c>
      <c r="F1519" s="4" t="s">
        <v>2042</v>
      </c>
      <c r="G1519">
        <v>13</v>
      </c>
      <c r="H1519">
        <v>64</v>
      </c>
      <c r="I1519" s="4" t="s">
        <v>35</v>
      </c>
      <c r="J1519" s="4" t="s">
        <v>133</v>
      </c>
      <c r="K1519" s="4" t="s">
        <v>134</v>
      </c>
      <c r="L1519">
        <v>60</v>
      </c>
      <c r="M1519" s="4" t="s">
        <v>158</v>
      </c>
    </row>
    <row r="1520" spans="1:13" x14ac:dyDescent="0.2">
      <c r="A1520" s="4" t="s">
        <v>2048</v>
      </c>
      <c r="B1520">
        <v>1519</v>
      </c>
      <c r="C1520" s="4" t="s">
        <v>26</v>
      </c>
      <c r="D1520" s="4" t="s">
        <v>47</v>
      </c>
      <c r="E1520" s="4" t="s">
        <v>38</v>
      </c>
      <c r="F1520" s="4" t="s">
        <v>2042</v>
      </c>
      <c r="G1520">
        <v>13</v>
      </c>
      <c r="H1520">
        <v>64</v>
      </c>
      <c r="I1520" s="4" t="s">
        <v>112</v>
      </c>
      <c r="J1520" s="4" t="s">
        <v>122</v>
      </c>
      <c r="K1520" s="4" t="s">
        <v>123</v>
      </c>
      <c r="L1520">
        <v>211</v>
      </c>
      <c r="M1520" s="4" t="s">
        <v>158</v>
      </c>
    </row>
    <row r="1521" spans="1:13" x14ac:dyDescent="0.2">
      <c r="A1521" s="4" t="s">
        <v>2049</v>
      </c>
      <c r="B1521">
        <v>1520</v>
      </c>
      <c r="C1521" s="4" t="s">
        <v>26</v>
      </c>
      <c r="D1521" s="4" t="s">
        <v>47</v>
      </c>
      <c r="E1521" s="4" t="s">
        <v>38</v>
      </c>
      <c r="F1521" s="4" t="s">
        <v>2042</v>
      </c>
      <c r="G1521">
        <v>13</v>
      </c>
      <c r="H1521">
        <v>64</v>
      </c>
      <c r="I1521" s="4" t="s">
        <v>112</v>
      </c>
      <c r="J1521" s="4" t="s">
        <v>125</v>
      </c>
      <c r="K1521" s="4" t="s">
        <v>126</v>
      </c>
      <c r="L1521">
        <v>28</v>
      </c>
      <c r="M1521" s="4" t="s">
        <v>158</v>
      </c>
    </row>
    <row r="1522" spans="1:13" x14ac:dyDescent="0.2">
      <c r="A1522" s="4" t="s">
        <v>2050</v>
      </c>
      <c r="B1522">
        <v>1521</v>
      </c>
      <c r="C1522" s="4" t="s">
        <v>26</v>
      </c>
      <c r="D1522" s="4" t="s">
        <v>47</v>
      </c>
      <c r="E1522" s="4" t="s">
        <v>38</v>
      </c>
      <c r="F1522" s="4" t="s">
        <v>2042</v>
      </c>
      <c r="G1522">
        <v>13</v>
      </c>
      <c r="H1522">
        <v>64</v>
      </c>
      <c r="I1522" s="4" t="s">
        <v>112</v>
      </c>
      <c r="J1522" s="4" t="s">
        <v>127</v>
      </c>
      <c r="K1522" s="4" t="s">
        <v>128</v>
      </c>
      <c r="L1522">
        <v>158</v>
      </c>
      <c r="M1522" s="4" t="s">
        <v>158</v>
      </c>
    </row>
    <row r="1523" spans="1:13" x14ac:dyDescent="0.2">
      <c r="A1523" s="4" t="s">
        <v>2051</v>
      </c>
      <c r="B1523">
        <v>1522</v>
      </c>
      <c r="C1523" s="4" t="s">
        <v>26</v>
      </c>
      <c r="D1523" s="4" t="s">
        <v>47</v>
      </c>
      <c r="E1523" s="4" t="s">
        <v>38</v>
      </c>
      <c r="F1523" s="4" t="s">
        <v>2042</v>
      </c>
      <c r="G1523">
        <v>13</v>
      </c>
      <c r="H1523">
        <v>64</v>
      </c>
      <c r="I1523" s="4" t="s">
        <v>112</v>
      </c>
      <c r="J1523" s="4" t="s">
        <v>129</v>
      </c>
      <c r="K1523" s="4" t="s">
        <v>130</v>
      </c>
      <c r="L1523">
        <v>0</v>
      </c>
      <c r="M1523" s="4" t="s">
        <v>158</v>
      </c>
    </row>
    <row r="1524" spans="1:13" x14ac:dyDescent="0.2">
      <c r="A1524" s="4" t="s">
        <v>2052</v>
      </c>
      <c r="B1524">
        <v>1523</v>
      </c>
      <c r="C1524" s="4" t="s">
        <v>26</v>
      </c>
      <c r="D1524" s="4" t="s">
        <v>47</v>
      </c>
      <c r="E1524" s="4" t="s">
        <v>38</v>
      </c>
      <c r="F1524" s="4" t="s">
        <v>2042</v>
      </c>
      <c r="G1524">
        <v>13</v>
      </c>
      <c r="H1524">
        <v>64</v>
      </c>
      <c r="I1524" s="4" t="s">
        <v>112</v>
      </c>
      <c r="J1524" s="4" t="s">
        <v>131</v>
      </c>
      <c r="K1524" s="4" t="s">
        <v>132</v>
      </c>
      <c r="L1524">
        <v>73</v>
      </c>
      <c r="M1524" s="4" t="s">
        <v>158</v>
      </c>
    </row>
    <row r="1525" spans="1:13" x14ac:dyDescent="0.2">
      <c r="A1525" s="4" t="s">
        <v>2053</v>
      </c>
      <c r="B1525">
        <v>1524</v>
      </c>
      <c r="C1525" s="4" t="s">
        <v>26</v>
      </c>
      <c r="D1525" s="4" t="s">
        <v>47</v>
      </c>
      <c r="E1525" s="4" t="s">
        <v>38</v>
      </c>
      <c r="F1525" s="4" t="s">
        <v>2042</v>
      </c>
      <c r="G1525">
        <v>13</v>
      </c>
      <c r="H1525">
        <v>64</v>
      </c>
      <c r="I1525" s="4" t="s">
        <v>112</v>
      </c>
      <c r="J1525" s="4" t="s">
        <v>133</v>
      </c>
      <c r="K1525" s="4" t="s">
        <v>134</v>
      </c>
      <c r="L1525">
        <v>100</v>
      </c>
      <c r="M1525" s="4" t="s">
        <v>158</v>
      </c>
    </row>
    <row r="1526" spans="1:13" x14ac:dyDescent="0.2">
      <c r="A1526" s="4" t="s">
        <v>2054</v>
      </c>
      <c r="B1526">
        <v>1525</v>
      </c>
      <c r="C1526" s="4" t="s">
        <v>26</v>
      </c>
      <c r="D1526" s="4" t="s">
        <v>47</v>
      </c>
      <c r="E1526" s="4" t="s">
        <v>38</v>
      </c>
      <c r="F1526" s="4" t="s">
        <v>2042</v>
      </c>
      <c r="G1526">
        <v>13</v>
      </c>
      <c r="H1526">
        <v>64</v>
      </c>
      <c r="I1526" s="4" t="s">
        <v>114</v>
      </c>
      <c r="J1526" s="4" t="s">
        <v>122</v>
      </c>
      <c r="K1526" s="4" t="s">
        <v>123</v>
      </c>
      <c r="L1526">
        <v>20</v>
      </c>
      <c r="M1526" s="4" t="s">
        <v>158</v>
      </c>
    </row>
    <row r="1527" spans="1:13" x14ac:dyDescent="0.2">
      <c r="A1527" s="4" t="s">
        <v>2055</v>
      </c>
      <c r="B1527">
        <v>1526</v>
      </c>
      <c r="C1527" s="4" t="s">
        <v>26</v>
      </c>
      <c r="D1527" s="4" t="s">
        <v>47</v>
      </c>
      <c r="E1527" s="4" t="s">
        <v>38</v>
      </c>
      <c r="F1527" s="4" t="s">
        <v>2042</v>
      </c>
      <c r="G1527">
        <v>13</v>
      </c>
      <c r="H1527">
        <v>64</v>
      </c>
      <c r="I1527" s="4" t="s">
        <v>114</v>
      </c>
      <c r="J1527" s="4" t="s">
        <v>125</v>
      </c>
      <c r="K1527" s="4" t="s">
        <v>126</v>
      </c>
      <c r="L1527">
        <v>26</v>
      </c>
      <c r="M1527" s="4" t="s">
        <v>158</v>
      </c>
    </row>
    <row r="1528" spans="1:13" x14ac:dyDescent="0.2">
      <c r="A1528" s="4" t="s">
        <v>2056</v>
      </c>
      <c r="B1528">
        <v>1527</v>
      </c>
      <c r="C1528" s="4" t="s">
        <v>26</v>
      </c>
      <c r="D1528" s="4" t="s">
        <v>47</v>
      </c>
      <c r="E1528" s="4" t="s">
        <v>38</v>
      </c>
      <c r="F1528" s="4" t="s">
        <v>2042</v>
      </c>
      <c r="G1528">
        <v>13</v>
      </c>
      <c r="H1528">
        <v>64</v>
      </c>
      <c r="I1528" s="4" t="s">
        <v>114</v>
      </c>
      <c r="J1528" s="4" t="s">
        <v>127</v>
      </c>
      <c r="K1528" s="4" t="s">
        <v>128</v>
      </c>
      <c r="L1528">
        <v>164</v>
      </c>
      <c r="M1528" s="4" t="s">
        <v>158</v>
      </c>
    </row>
    <row r="1529" spans="1:13" x14ac:dyDescent="0.2">
      <c r="A1529" s="4" t="s">
        <v>2057</v>
      </c>
      <c r="B1529">
        <v>1528</v>
      </c>
      <c r="C1529" s="4" t="s">
        <v>26</v>
      </c>
      <c r="D1529" s="4" t="s">
        <v>47</v>
      </c>
      <c r="E1529" s="4" t="s">
        <v>38</v>
      </c>
      <c r="F1529" s="4" t="s">
        <v>2042</v>
      </c>
      <c r="G1529">
        <v>13</v>
      </c>
      <c r="H1529">
        <v>64</v>
      </c>
      <c r="I1529" s="4" t="s">
        <v>114</v>
      </c>
      <c r="J1529" s="4" t="s">
        <v>129</v>
      </c>
      <c r="K1529" s="4" t="s">
        <v>130</v>
      </c>
      <c r="L1529">
        <v>35</v>
      </c>
      <c r="M1529" s="4" t="s">
        <v>158</v>
      </c>
    </row>
    <row r="1530" spans="1:13" x14ac:dyDescent="0.2">
      <c r="A1530" s="4" t="s">
        <v>2058</v>
      </c>
      <c r="B1530">
        <v>1529</v>
      </c>
      <c r="C1530" s="4" t="s">
        <v>26</v>
      </c>
      <c r="D1530" s="4" t="s">
        <v>47</v>
      </c>
      <c r="E1530" s="4" t="s">
        <v>38</v>
      </c>
      <c r="F1530" s="4" t="s">
        <v>2042</v>
      </c>
      <c r="G1530">
        <v>13</v>
      </c>
      <c r="H1530">
        <v>64</v>
      </c>
      <c r="I1530" s="4" t="s">
        <v>114</v>
      </c>
      <c r="J1530" s="4" t="s">
        <v>131</v>
      </c>
      <c r="K1530" s="4" t="s">
        <v>132</v>
      </c>
      <c r="L1530">
        <v>87</v>
      </c>
      <c r="M1530" s="4" t="s">
        <v>158</v>
      </c>
    </row>
    <row r="1531" spans="1:13" x14ac:dyDescent="0.2">
      <c r="A1531" s="4" t="s">
        <v>2059</v>
      </c>
      <c r="B1531">
        <v>1530</v>
      </c>
      <c r="C1531" s="4" t="s">
        <v>26</v>
      </c>
      <c r="D1531" s="4" t="s">
        <v>47</v>
      </c>
      <c r="E1531" s="4" t="s">
        <v>38</v>
      </c>
      <c r="F1531" s="4" t="s">
        <v>2042</v>
      </c>
      <c r="G1531">
        <v>13</v>
      </c>
      <c r="H1531">
        <v>64</v>
      </c>
      <c r="I1531" s="4" t="s">
        <v>114</v>
      </c>
      <c r="J1531" s="4" t="s">
        <v>133</v>
      </c>
      <c r="K1531" s="4" t="s">
        <v>134</v>
      </c>
      <c r="L1531">
        <v>50</v>
      </c>
      <c r="M1531" s="4" t="s">
        <v>158</v>
      </c>
    </row>
    <row r="1532" spans="1:13" x14ac:dyDescent="0.2">
      <c r="A1532" s="4" t="s">
        <v>2060</v>
      </c>
      <c r="B1532">
        <v>1531</v>
      </c>
      <c r="C1532" s="4" t="s">
        <v>26</v>
      </c>
      <c r="D1532" s="4" t="s">
        <v>47</v>
      </c>
      <c r="E1532" s="4" t="s">
        <v>38</v>
      </c>
      <c r="F1532" s="4" t="s">
        <v>2042</v>
      </c>
      <c r="G1532">
        <v>13</v>
      </c>
      <c r="H1532">
        <v>64</v>
      </c>
      <c r="I1532" s="4" t="s">
        <v>116</v>
      </c>
      <c r="J1532" s="4" t="s">
        <v>122</v>
      </c>
      <c r="K1532" s="4" t="s">
        <v>123</v>
      </c>
      <c r="L1532">
        <v>76</v>
      </c>
      <c r="M1532" s="4" t="s">
        <v>158</v>
      </c>
    </row>
    <row r="1533" spans="1:13" x14ac:dyDescent="0.2">
      <c r="A1533" s="4" t="s">
        <v>2061</v>
      </c>
      <c r="B1533">
        <v>1532</v>
      </c>
      <c r="C1533" s="4" t="s">
        <v>26</v>
      </c>
      <c r="D1533" s="4" t="s">
        <v>47</v>
      </c>
      <c r="E1533" s="4" t="s">
        <v>38</v>
      </c>
      <c r="F1533" s="4" t="s">
        <v>2042</v>
      </c>
      <c r="G1533">
        <v>13</v>
      </c>
      <c r="H1533">
        <v>64</v>
      </c>
      <c r="I1533" s="4" t="s">
        <v>116</v>
      </c>
      <c r="J1533" s="4" t="s">
        <v>125</v>
      </c>
      <c r="K1533" s="4" t="s">
        <v>126</v>
      </c>
      <c r="L1533">
        <v>50</v>
      </c>
      <c r="M1533" s="4" t="s">
        <v>158</v>
      </c>
    </row>
    <row r="1534" spans="1:13" x14ac:dyDescent="0.2">
      <c r="A1534" s="4" t="s">
        <v>2062</v>
      </c>
      <c r="B1534">
        <v>1533</v>
      </c>
      <c r="C1534" s="4" t="s">
        <v>26</v>
      </c>
      <c r="D1534" s="4" t="s">
        <v>47</v>
      </c>
      <c r="E1534" s="4" t="s">
        <v>38</v>
      </c>
      <c r="F1534" s="4" t="s">
        <v>2042</v>
      </c>
      <c r="G1534">
        <v>13</v>
      </c>
      <c r="H1534">
        <v>64</v>
      </c>
      <c r="I1534" s="4" t="s">
        <v>116</v>
      </c>
      <c r="J1534" s="4" t="s">
        <v>127</v>
      </c>
      <c r="K1534" s="4" t="s">
        <v>128</v>
      </c>
      <c r="L1534">
        <v>47</v>
      </c>
      <c r="M1534" s="4" t="s">
        <v>158</v>
      </c>
    </row>
    <row r="1535" spans="1:13" x14ac:dyDescent="0.2">
      <c r="A1535" s="4" t="s">
        <v>2063</v>
      </c>
      <c r="B1535">
        <v>1534</v>
      </c>
      <c r="C1535" s="4" t="s">
        <v>26</v>
      </c>
      <c r="D1535" s="4" t="s">
        <v>47</v>
      </c>
      <c r="E1535" s="4" t="s">
        <v>38</v>
      </c>
      <c r="F1535" s="4" t="s">
        <v>2042</v>
      </c>
      <c r="G1535">
        <v>13</v>
      </c>
      <c r="H1535">
        <v>64</v>
      </c>
      <c r="I1535" s="4" t="s">
        <v>116</v>
      </c>
      <c r="J1535" s="4" t="s">
        <v>129</v>
      </c>
      <c r="K1535" s="4" t="s">
        <v>130</v>
      </c>
      <c r="L1535">
        <v>20</v>
      </c>
      <c r="M1535" s="4" t="s">
        <v>158</v>
      </c>
    </row>
    <row r="1536" spans="1:13" x14ac:dyDescent="0.2">
      <c r="A1536" s="4" t="s">
        <v>2064</v>
      </c>
      <c r="B1536">
        <v>1535</v>
      </c>
      <c r="C1536" s="4" t="s">
        <v>26</v>
      </c>
      <c r="D1536" s="4" t="s">
        <v>47</v>
      </c>
      <c r="E1536" s="4" t="s">
        <v>38</v>
      </c>
      <c r="F1536" s="4" t="s">
        <v>2042</v>
      </c>
      <c r="G1536">
        <v>13</v>
      </c>
      <c r="H1536">
        <v>64</v>
      </c>
      <c r="I1536" s="4" t="s">
        <v>116</v>
      </c>
      <c r="J1536" s="4" t="s">
        <v>131</v>
      </c>
      <c r="K1536" s="4" t="s">
        <v>132</v>
      </c>
      <c r="L1536">
        <v>78</v>
      </c>
      <c r="M1536" s="4" t="s">
        <v>158</v>
      </c>
    </row>
    <row r="1537" spans="1:13" x14ac:dyDescent="0.2">
      <c r="A1537" s="4" t="s">
        <v>2065</v>
      </c>
      <c r="B1537">
        <v>1536</v>
      </c>
      <c r="C1537" s="4" t="s">
        <v>26</v>
      </c>
      <c r="D1537" s="4" t="s">
        <v>47</v>
      </c>
      <c r="E1537" s="4" t="s">
        <v>38</v>
      </c>
      <c r="F1537" s="4" t="s">
        <v>2042</v>
      </c>
      <c r="G1537">
        <v>13</v>
      </c>
      <c r="H1537">
        <v>64</v>
      </c>
      <c r="I1537" s="4" t="s">
        <v>116</v>
      </c>
      <c r="J1537" s="4" t="s">
        <v>133</v>
      </c>
      <c r="K1537" s="4" t="s">
        <v>134</v>
      </c>
      <c r="L1537">
        <v>7</v>
      </c>
      <c r="M1537" s="4" t="s">
        <v>158</v>
      </c>
    </row>
    <row r="1538" spans="1:13" x14ac:dyDescent="0.2">
      <c r="A1538" s="4" t="s">
        <v>2072</v>
      </c>
      <c r="B1538">
        <v>1537</v>
      </c>
      <c r="C1538" s="4" t="s">
        <v>26</v>
      </c>
      <c r="D1538" s="4" t="s">
        <v>47</v>
      </c>
      <c r="E1538" s="4" t="s">
        <v>41</v>
      </c>
      <c r="F1538" s="4" t="s">
        <v>2073</v>
      </c>
      <c r="G1538">
        <v>13</v>
      </c>
      <c r="H1538">
        <v>65</v>
      </c>
      <c r="I1538" s="4" t="s">
        <v>35</v>
      </c>
      <c r="J1538" s="4" t="s">
        <v>122</v>
      </c>
      <c r="K1538" s="4" t="s">
        <v>123</v>
      </c>
      <c r="L1538">
        <v>781</v>
      </c>
      <c r="M1538" s="4" t="s">
        <v>158</v>
      </c>
    </row>
    <row r="1539" spans="1:13" x14ac:dyDescent="0.2">
      <c r="A1539" s="4" t="s">
        <v>2074</v>
      </c>
      <c r="B1539">
        <v>1538</v>
      </c>
      <c r="C1539" s="4" t="s">
        <v>26</v>
      </c>
      <c r="D1539" s="4" t="s">
        <v>47</v>
      </c>
      <c r="E1539" s="4" t="s">
        <v>41</v>
      </c>
      <c r="F1539" s="4" t="s">
        <v>2073</v>
      </c>
      <c r="G1539">
        <v>13</v>
      </c>
      <c r="H1539">
        <v>65</v>
      </c>
      <c r="I1539" s="4" t="s">
        <v>35</v>
      </c>
      <c r="J1539" s="4" t="s">
        <v>125</v>
      </c>
      <c r="K1539" s="4" t="s">
        <v>126</v>
      </c>
      <c r="L1539">
        <v>103</v>
      </c>
      <c r="M1539" s="4" t="s">
        <v>158</v>
      </c>
    </row>
    <row r="1540" spans="1:13" x14ac:dyDescent="0.2">
      <c r="A1540" s="4" t="s">
        <v>2075</v>
      </c>
      <c r="B1540">
        <v>1539</v>
      </c>
      <c r="C1540" s="4" t="s">
        <v>26</v>
      </c>
      <c r="D1540" s="4" t="s">
        <v>47</v>
      </c>
      <c r="E1540" s="4" t="s">
        <v>41</v>
      </c>
      <c r="F1540" s="4" t="s">
        <v>2073</v>
      </c>
      <c r="G1540">
        <v>13</v>
      </c>
      <c r="H1540">
        <v>65</v>
      </c>
      <c r="I1540" s="4" t="s">
        <v>35</v>
      </c>
      <c r="J1540" s="4" t="s">
        <v>127</v>
      </c>
      <c r="K1540" s="4" t="s">
        <v>128</v>
      </c>
      <c r="L1540">
        <v>592</v>
      </c>
      <c r="M1540" s="4" t="s">
        <v>158</v>
      </c>
    </row>
    <row r="1541" spans="1:13" x14ac:dyDescent="0.2">
      <c r="A1541" s="4" t="s">
        <v>2076</v>
      </c>
      <c r="B1541">
        <v>1540</v>
      </c>
      <c r="C1541" s="4" t="s">
        <v>26</v>
      </c>
      <c r="D1541" s="4" t="s">
        <v>47</v>
      </c>
      <c r="E1541" s="4" t="s">
        <v>41</v>
      </c>
      <c r="F1541" s="4" t="s">
        <v>2073</v>
      </c>
      <c r="G1541">
        <v>13</v>
      </c>
      <c r="H1541">
        <v>65</v>
      </c>
      <c r="I1541" s="4" t="s">
        <v>35</v>
      </c>
      <c r="J1541" s="4" t="s">
        <v>129</v>
      </c>
      <c r="K1541" s="4" t="s">
        <v>130</v>
      </c>
      <c r="L1541">
        <v>231</v>
      </c>
      <c r="M1541" s="4" t="s">
        <v>158</v>
      </c>
    </row>
    <row r="1542" spans="1:13" x14ac:dyDescent="0.2">
      <c r="A1542" s="4" t="s">
        <v>2077</v>
      </c>
      <c r="B1542">
        <v>1541</v>
      </c>
      <c r="C1542" s="4" t="s">
        <v>26</v>
      </c>
      <c r="D1542" s="4" t="s">
        <v>47</v>
      </c>
      <c r="E1542" s="4" t="s">
        <v>41</v>
      </c>
      <c r="F1542" s="4" t="s">
        <v>2073</v>
      </c>
      <c r="G1542">
        <v>13</v>
      </c>
      <c r="H1542">
        <v>65</v>
      </c>
      <c r="I1542" s="4" t="s">
        <v>35</v>
      </c>
      <c r="J1542" s="4" t="s">
        <v>131</v>
      </c>
      <c r="K1542" s="4" t="s">
        <v>132</v>
      </c>
      <c r="L1542">
        <v>322</v>
      </c>
      <c r="M1542" s="4" t="s">
        <v>158</v>
      </c>
    </row>
    <row r="1543" spans="1:13" x14ac:dyDescent="0.2">
      <c r="A1543" s="4" t="s">
        <v>2078</v>
      </c>
      <c r="B1543">
        <v>1542</v>
      </c>
      <c r="C1543" s="4" t="s">
        <v>26</v>
      </c>
      <c r="D1543" s="4" t="s">
        <v>47</v>
      </c>
      <c r="E1543" s="4" t="s">
        <v>41</v>
      </c>
      <c r="F1543" s="4" t="s">
        <v>2073</v>
      </c>
      <c r="G1543">
        <v>13</v>
      </c>
      <c r="H1543">
        <v>65</v>
      </c>
      <c r="I1543" s="4" t="s">
        <v>35</v>
      </c>
      <c r="J1543" s="4" t="s">
        <v>133</v>
      </c>
      <c r="K1543" s="4" t="s">
        <v>134</v>
      </c>
      <c r="L1543">
        <v>107</v>
      </c>
      <c r="M1543" s="4" t="s">
        <v>158</v>
      </c>
    </row>
    <row r="1544" spans="1:13" x14ac:dyDescent="0.2">
      <c r="A1544" s="4" t="s">
        <v>2079</v>
      </c>
      <c r="B1544">
        <v>1543</v>
      </c>
      <c r="C1544" s="4" t="s">
        <v>26</v>
      </c>
      <c r="D1544" s="4" t="s">
        <v>47</v>
      </c>
      <c r="E1544" s="4" t="s">
        <v>41</v>
      </c>
      <c r="F1544" s="4" t="s">
        <v>2073</v>
      </c>
      <c r="G1544">
        <v>13</v>
      </c>
      <c r="H1544">
        <v>65</v>
      </c>
      <c r="I1544" s="4" t="s">
        <v>112</v>
      </c>
      <c r="J1544" s="4" t="s">
        <v>122</v>
      </c>
      <c r="K1544" s="4" t="s">
        <v>123</v>
      </c>
      <c r="L1544">
        <v>288</v>
      </c>
      <c r="M1544" s="4" t="s">
        <v>158</v>
      </c>
    </row>
    <row r="1545" spans="1:13" x14ac:dyDescent="0.2">
      <c r="A1545" s="4" t="s">
        <v>2080</v>
      </c>
      <c r="B1545">
        <v>1544</v>
      </c>
      <c r="C1545" s="4" t="s">
        <v>26</v>
      </c>
      <c r="D1545" s="4" t="s">
        <v>47</v>
      </c>
      <c r="E1545" s="4" t="s">
        <v>41</v>
      </c>
      <c r="F1545" s="4" t="s">
        <v>2073</v>
      </c>
      <c r="G1545">
        <v>13</v>
      </c>
      <c r="H1545">
        <v>65</v>
      </c>
      <c r="I1545" s="4" t="s">
        <v>112</v>
      </c>
      <c r="J1545" s="4" t="s">
        <v>125</v>
      </c>
      <c r="K1545" s="4" t="s">
        <v>126</v>
      </c>
      <c r="L1545">
        <v>35</v>
      </c>
      <c r="M1545" s="4" t="s">
        <v>158</v>
      </c>
    </row>
    <row r="1546" spans="1:13" x14ac:dyDescent="0.2">
      <c r="A1546" s="4" t="s">
        <v>2081</v>
      </c>
      <c r="B1546">
        <v>1545</v>
      </c>
      <c r="C1546" s="4" t="s">
        <v>26</v>
      </c>
      <c r="D1546" s="4" t="s">
        <v>47</v>
      </c>
      <c r="E1546" s="4" t="s">
        <v>41</v>
      </c>
      <c r="F1546" s="4" t="s">
        <v>2073</v>
      </c>
      <c r="G1546">
        <v>13</v>
      </c>
      <c r="H1546">
        <v>65</v>
      </c>
      <c r="I1546" s="4" t="s">
        <v>112</v>
      </c>
      <c r="J1546" s="4" t="s">
        <v>127</v>
      </c>
      <c r="K1546" s="4" t="s">
        <v>128</v>
      </c>
      <c r="L1546">
        <v>229</v>
      </c>
      <c r="M1546" s="4" t="s">
        <v>158</v>
      </c>
    </row>
    <row r="1547" spans="1:13" x14ac:dyDescent="0.2">
      <c r="A1547" s="4" t="s">
        <v>2082</v>
      </c>
      <c r="B1547">
        <v>1546</v>
      </c>
      <c r="C1547" s="4" t="s">
        <v>26</v>
      </c>
      <c r="D1547" s="4" t="s">
        <v>47</v>
      </c>
      <c r="E1547" s="4" t="s">
        <v>41</v>
      </c>
      <c r="F1547" s="4" t="s">
        <v>2073</v>
      </c>
      <c r="G1547">
        <v>13</v>
      </c>
      <c r="H1547">
        <v>65</v>
      </c>
      <c r="I1547" s="4" t="s">
        <v>112</v>
      </c>
      <c r="J1547" s="4" t="s">
        <v>129</v>
      </c>
      <c r="K1547" s="4" t="s">
        <v>130</v>
      </c>
      <c r="L1547">
        <v>0</v>
      </c>
      <c r="M1547" s="4" t="s">
        <v>158</v>
      </c>
    </row>
    <row r="1548" spans="1:13" x14ac:dyDescent="0.2">
      <c r="A1548" s="4" t="s">
        <v>2083</v>
      </c>
      <c r="B1548">
        <v>1547</v>
      </c>
      <c r="C1548" s="4" t="s">
        <v>26</v>
      </c>
      <c r="D1548" s="4" t="s">
        <v>47</v>
      </c>
      <c r="E1548" s="4" t="s">
        <v>41</v>
      </c>
      <c r="F1548" s="4" t="s">
        <v>2073</v>
      </c>
      <c r="G1548">
        <v>13</v>
      </c>
      <c r="H1548">
        <v>65</v>
      </c>
      <c r="I1548" s="4" t="s">
        <v>112</v>
      </c>
      <c r="J1548" s="4" t="s">
        <v>131</v>
      </c>
      <c r="K1548" s="4" t="s">
        <v>132</v>
      </c>
      <c r="L1548">
        <v>5</v>
      </c>
      <c r="M1548" s="4" t="s">
        <v>158</v>
      </c>
    </row>
    <row r="1549" spans="1:13" x14ac:dyDescent="0.2">
      <c r="A1549" s="4" t="s">
        <v>2084</v>
      </c>
      <c r="B1549">
        <v>1548</v>
      </c>
      <c r="C1549" s="4" t="s">
        <v>26</v>
      </c>
      <c r="D1549" s="4" t="s">
        <v>47</v>
      </c>
      <c r="E1549" s="4" t="s">
        <v>41</v>
      </c>
      <c r="F1549" s="4" t="s">
        <v>2073</v>
      </c>
      <c r="G1549">
        <v>13</v>
      </c>
      <c r="H1549">
        <v>65</v>
      </c>
      <c r="I1549" s="4" t="s">
        <v>112</v>
      </c>
      <c r="J1549" s="4" t="s">
        <v>133</v>
      </c>
      <c r="K1549" s="4" t="s">
        <v>134</v>
      </c>
      <c r="L1549">
        <v>69</v>
      </c>
      <c r="M1549" s="4" t="s">
        <v>158</v>
      </c>
    </row>
    <row r="1550" spans="1:13" x14ac:dyDescent="0.2">
      <c r="A1550" s="4" t="s">
        <v>2085</v>
      </c>
      <c r="B1550">
        <v>1549</v>
      </c>
      <c r="C1550" s="4" t="s">
        <v>26</v>
      </c>
      <c r="D1550" s="4" t="s">
        <v>47</v>
      </c>
      <c r="E1550" s="4" t="s">
        <v>41</v>
      </c>
      <c r="F1550" s="4" t="s">
        <v>2073</v>
      </c>
      <c r="G1550">
        <v>13</v>
      </c>
      <c r="H1550">
        <v>65</v>
      </c>
      <c r="I1550" s="4" t="s">
        <v>114</v>
      </c>
      <c r="J1550" s="4" t="s">
        <v>122</v>
      </c>
      <c r="K1550" s="4" t="s">
        <v>123</v>
      </c>
      <c r="L1550">
        <v>35</v>
      </c>
      <c r="M1550" s="4" t="s">
        <v>158</v>
      </c>
    </row>
    <row r="1551" spans="1:13" x14ac:dyDescent="0.2">
      <c r="A1551" s="4" t="s">
        <v>2086</v>
      </c>
      <c r="B1551">
        <v>1550</v>
      </c>
      <c r="C1551" s="4" t="s">
        <v>26</v>
      </c>
      <c r="D1551" s="4" t="s">
        <v>47</v>
      </c>
      <c r="E1551" s="4" t="s">
        <v>41</v>
      </c>
      <c r="F1551" s="4" t="s">
        <v>2073</v>
      </c>
      <c r="G1551">
        <v>13</v>
      </c>
      <c r="H1551">
        <v>65</v>
      </c>
      <c r="I1551" s="4" t="s">
        <v>114</v>
      </c>
      <c r="J1551" s="4" t="s">
        <v>125</v>
      </c>
      <c r="K1551" s="4" t="s">
        <v>126</v>
      </c>
      <c r="L1551">
        <v>41</v>
      </c>
      <c r="M1551" s="4" t="s">
        <v>158</v>
      </c>
    </row>
    <row r="1552" spans="1:13" x14ac:dyDescent="0.2">
      <c r="A1552" s="4" t="s">
        <v>2087</v>
      </c>
      <c r="B1552">
        <v>1551</v>
      </c>
      <c r="C1552" s="4" t="s">
        <v>26</v>
      </c>
      <c r="D1552" s="4" t="s">
        <v>47</v>
      </c>
      <c r="E1552" s="4" t="s">
        <v>41</v>
      </c>
      <c r="F1552" s="4" t="s">
        <v>2073</v>
      </c>
      <c r="G1552">
        <v>13</v>
      </c>
      <c r="H1552">
        <v>65</v>
      </c>
      <c r="I1552" s="4" t="s">
        <v>114</v>
      </c>
      <c r="J1552" s="4" t="s">
        <v>127</v>
      </c>
      <c r="K1552" s="4" t="s">
        <v>128</v>
      </c>
      <c r="L1552">
        <v>160</v>
      </c>
      <c r="M1552" s="4" t="s">
        <v>158</v>
      </c>
    </row>
    <row r="1553" spans="1:13" x14ac:dyDescent="0.2">
      <c r="A1553" s="4" t="s">
        <v>2088</v>
      </c>
      <c r="B1553">
        <v>1552</v>
      </c>
      <c r="C1553" s="4" t="s">
        <v>26</v>
      </c>
      <c r="D1553" s="4" t="s">
        <v>47</v>
      </c>
      <c r="E1553" s="4" t="s">
        <v>41</v>
      </c>
      <c r="F1553" s="4" t="s">
        <v>2073</v>
      </c>
      <c r="G1553">
        <v>13</v>
      </c>
      <c r="H1553">
        <v>65</v>
      </c>
      <c r="I1553" s="4" t="s">
        <v>114</v>
      </c>
      <c r="J1553" s="4" t="s">
        <v>129</v>
      </c>
      <c r="K1553" s="4" t="s">
        <v>130</v>
      </c>
      <c r="L1553">
        <v>35</v>
      </c>
      <c r="M1553" s="4" t="s">
        <v>158</v>
      </c>
    </row>
    <row r="1554" spans="1:13" x14ac:dyDescent="0.2">
      <c r="A1554" s="4" t="s">
        <v>2089</v>
      </c>
      <c r="B1554">
        <v>1553</v>
      </c>
      <c r="C1554" s="4" t="s">
        <v>26</v>
      </c>
      <c r="D1554" s="4" t="s">
        <v>47</v>
      </c>
      <c r="E1554" s="4" t="s">
        <v>41</v>
      </c>
      <c r="F1554" s="4" t="s">
        <v>2073</v>
      </c>
      <c r="G1554">
        <v>13</v>
      </c>
      <c r="H1554">
        <v>65</v>
      </c>
      <c r="I1554" s="4" t="s">
        <v>114</v>
      </c>
      <c r="J1554" s="4" t="s">
        <v>131</v>
      </c>
      <c r="K1554" s="4" t="s">
        <v>132</v>
      </c>
      <c r="L1554">
        <v>30</v>
      </c>
      <c r="M1554" s="4" t="s">
        <v>158</v>
      </c>
    </row>
    <row r="1555" spans="1:13" x14ac:dyDescent="0.2">
      <c r="A1555" s="4" t="s">
        <v>2090</v>
      </c>
      <c r="B1555">
        <v>1554</v>
      </c>
      <c r="C1555" s="4" t="s">
        <v>26</v>
      </c>
      <c r="D1555" s="4" t="s">
        <v>47</v>
      </c>
      <c r="E1555" s="4" t="s">
        <v>41</v>
      </c>
      <c r="F1555" s="4" t="s">
        <v>2073</v>
      </c>
      <c r="G1555">
        <v>13</v>
      </c>
      <c r="H1555">
        <v>65</v>
      </c>
      <c r="I1555" s="4" t="s">
        <v>114</v>
      </c>
      <c r="J1555" s="4" t="s">
        <v>133</v>
      </c>
      <c r="K1555" s="4" t="s">
        <v>134</v>
      </c>
      <c r="L1555">
        <v>50</v>
      </c>
      <c r="M1555" s="4" t="s">
        <v>158</v>
      </c>
    </row>
    <row r="1556" spans="1:13" x14ac:dyDescent="0.2">
      <c r="A1556" s="4" t="s">
        <v>2091</v>
      </c>
      <c r="B1556">
        <v>1555</v>
      </c>
      <c r="C1556" s="4" t="s">
        <v>26</v>
      </c>
      <c r="D1556" s="4" t="s">
        <v>47</v>
      </c>
      <c r="E1556" s="4" t="s">
        <v>41</v>
      </c>
      <c r="F1556" s="4" t="s">
        <v>2073</v>
      </c>
      <c r="G1556">
        <v>13</v>
      </c>
      <c r="H1556">
        <v>65</v>
      </c>
      <c r="I1556" s="4" t="s">
        <v>116</v>
      </c>
      <c r="J1556" s="4" t="s">
        <v>122</v>
      </c>
      <c r="K1556" s="4" t="s">
        <v>123</v>
      </c>
      <c r="L1556">
        <v>88</v>
      </c>
      <c r="M1556" s="4" t="s">
        <v>158</v>
      </c>
    </row>
    <row r="1557" spans="1:13" x14ac:dyDescent="0.2">
      <c r="A1557" s="4" t="s">
        <v>2092</v>
      </c>
      <c r="B1557">
        <v>1556</v>
      </c>
      <c r="C1557" s="4" t="s">
        <v>26</v>
      </c>
      <c r="D1557" s="4" t="s">
        <v>47</v>
      </c>
      <c r="E1557" s="4" t="s">
        <v>41</v>
      </c>
      <c r="F1557" s="4" t="s">
        <v>2073</v>
      </c>
      <c r="G1557">
        <v>13</v>
      </c>
      <c r="H1557">
        <v>65</v>
      </c>
      <c r="I1557" s="4" t="s">
        <v>116</v>
      </c>
      <c r="J1557" s="4" t="s">
        <v>125</v>
      </c>
      <c r="K1557" s="4" t="s">
        <v>126</v>
      </c>
      <c r="L1557">
        <v>50</v>
      </c>
      <c r="M1557" s="4" t="s">
        <v>158</v>
      </c>
    </row>
    <row r="1558" spans="1:13" x14ac:dyDescent="0.2">
      <c r="A1558" s="4" t="s">
        <v>2093</v>
      </c>
      <c r="B1558">
        <v>1557</v>
      </c>
      <c r="C1558" s="4" t="s">
        <v>26</v>
      </c>
      <c r="D1558" s="4" t="s">
        <v>47</v>
      </c>
      <c r="E1558" s="4" t="s">
        <v>41</v>
      </c>
      <c r="F1558" s="4" t="s">
        <v>2073</v>
      </c>
      <c r="G1558">
        <v>13</v>
      </c>
      <c r="H1558">
        <v>65</v>
      </c>
      <c r="I1558" s="4" t="s">
        <v>116</v>
      </c>
      <c r="J1558" s="4" t="s">
        <v>127</v>
      </c>
      <c r="K1558" s="4" t="s">
        <v>128</v>
      </c>
      <c r="L1558">
        <v>66</v>
      </c>
      <c r="M1558" s="4" t="s">
        <v>158</v>
      </c>
    </row>
    <row r="1559" spans="1:13" x14ac:dyDescent="0.2">
      <c r="A1559" s="4" t="s">
        <v>2094</v>
      </c>
      <c r="B1559">
        <v>1558</v>
      </c>
      <c r="C1559" s="4" t="s">
        <v>26</v>
      </c>
      <c r="D1559" s="4" t="s">
        <v>47</v>
      </c>
      <c r="E1559" s="4" t="s">
        <v>41</v>
      </c>
      <c r="F1559" s="4" t="s">
        <v>2073</v>
      </c>
      <c r="G1559">
        <v>13</v>
      </c>
      <c r="H1559">
        <v>65</v>
      </c>
      <c r="I1559" s="4" t="s">
        <v>116</v>
      </c>
      <c r="J1559" s="4" t="s">
        <v>129</v>
      </c>
      <c r="K1559" s="4" t="s">
        <v>130</v>
      </c>
      <c r="L1559">
        <v>20</v>
      </c>
      <c r="M1559" s="4" t="s">
        <v>158</v>
      </c>
    </row>
    <row r="1560" spans="1:13" x14ac:dyDescent="0.2">
      <c r="A1560" s="4" t="s">
        <v>2095</v>
      </c>
      <c r="B1560">
        <v>1559</v>
      </c>
      <c r="C1560" s="4" t="s">
        <v>26</v>
      </c>
      <c r="D1560" s="4" t="s">
        <v>47</v>
      </c>
      <c r="E1560" s="4" t="s">
        <v>41</v>
      </c>
      <c r="F1560" s="4" t="s">
        <v>2073</v>
      </c>
      <c r="G1560">
        <v>13</v>
      </c>
      <c r="H1560">
        <v>65</v>
      </c>
      <c r="I1560" s="4" t="s">
        <v>116</v>
      </c>
      <c r="J1560" s="4" t="s">
        <v>131</v>
      </c>
      <c r="K1560" s="4" t="s">
        <v>132</v>
      </c>
      <c r="L1560">
        <v>47</v>
      </c>
      <c r="M1560" s="4" t="s">
        <v>158</v>
      </c>
    </row>
    <row r="1561" spans="1:13" x14ac:dyDescent="0.2">
      <c r="A1561" s="4" t="s">
        <v>2096</v>
      </c>
      <c r="B1561">
        <v>1560</v>
      </c>
      <c r="C1561" s="4" t="s">
        <v>26</v>
      </c>
      <c r="D1561" s="4" t="s">
        <v>47</v>
      </c>
      <c r="E1561" s="4" t="s">
        <v>41</v>
      </c>
      <c r="F1561" s="4" t="s">
        <v>2073</v>
      </c>
      <c r="G1561">
        <v>13</v>
      </c>
      <c r="H1561">
        <v>65</v>
      </c>
      <c r="I1561" s="4" t="s">
        <v>116</v>
      </c>
      <c r="J1561" s="4" t="s">
        <v>133</v>
      </c>
      <c r="K1561" s="4" t="s">
        <v>134</v>
      </c>
      <c r="L1561">
        <v>43</v>
      </c>
      <c r="M1561" s="4" t="s">
        <v>158</v>
      </c>
    </row>
    <row r="1562" spans="1:13" x14ac:dyDescent="0.2">
      <c r="A1562" s="4" t="s">
        <v>2102</v>
      </c>
      <c r="B1562">
        <v>1561</v>
      </c>
      <c r="C1562" s="4" t="s">
        <v>26</v>
      </c>
      <c r="D1562" s="4" t="s">
        <v>47</v>
      </c>
      <c r="E1562" s="4" t="s">
        <v>44</v>
      </c>
      <c r="F1562" s="4" t="s">
        <v>2103</v>
      </c>
      <c r="G1562">
        <v>14</v>
      </c>
      <c r="H1562">
        <v>66</v>
      </c>
      <c r="I1562" s="4" t="s">
        <v>35</v>
      </c>
      <c r="J1562" s="4" t="s">
        <v>122</v>
      </c>
      <c r="K1562" s="4" t="s">
        <v>123</v>
      </c>
      <c r="L1562">
        <v>292</v>
      </c>
      <c r="M1562" s="4" t="s">
        <v>158</v>
      </c>
    </row>
    <row r="1563" spans="1:13" x14ac:dyDescent="0.2">
      <c r="A1563" s="4" t="s">
        <v>2104</v>
      </c>
      <c r="B1563">
        <v>1562</v>
      </c>
      <c r="C1563" s="4" t="s">
        <v>26</v>
      </c>
      <c r="D1563" s="4" t="s">
        <v>47</v>
      </c>
      <c r="E1563" s="4" t="s">
        <v>44</v>
      </c>
      <c r="F1563" s="4" t="s">
        <v>2103</v>
      </c>
      <c r="G1563">
        <v>14</v>
      </c>
      <c r="H1563">
        <v>66</v>
      </c>
      <c r="I1563" s="4" t="s">
        <v>35</v>
      </c>
      <c r="J1563" s="4" t="s">
        <v>125</v>
      </c>
      <c r="K1563" s="4" t="s">
        <v>126</v>
      </c>
      <c r="L1563">
        <v>54</v>
      </c>
      <c r="M1563" s="4" t="s">
        <v>158</v>
      </c>
    </row>
    <row r="1564" spans="1:13" x14ac:dyDescent="0.2">
      <c r="A1564" s="4" t="s">
        <v>2105</v>
      </c>
      <c r="B1564">
        <v>1563</v>
      </c>
      <c r="C1564" s="4" t="s">
        <v>26</v>
      </c>
      <c r="D1564" s="4" t="s">
        <v>47</v>
      </c>
      <c r="E1564" s="4" t="s">
        <v>44</v>
      </c>
      <c r="F1564" s="4" t="s">
        <v>2103</v>
      </c>
      <c r="G1564">
        <v>14</v>
      </c>
      <c r="H1564">
        <v>66</v>
      </c>
      <c r="I1564" s="4" t="s">
        <v>35</v>
      </c>
      <c r="J1564" s="4" t="s">
        <v>127</v>
      </c>
      <c r="K1564" s="4" t="s">
        <v>128</v>
      </c>
      <c r="L1564">
        <v>247</v>
      </c>
      <c r="M1564" s="4" t="s">
        <v>158</v>
      </c>
    </row>
    <row r="1565" spans="1:13" x14ac:dyDescent="0.2">
      <c r="A1565" s="4" t="s">
        <v>2106</v>
      </c>
      <c r="B1565">
        <v>1564</v>
      </c>
      <c r="C1565" s="4" t="s">
        <v>26</v>
      </c>
      <c r="D1565" s="4" t="s">
        <v>47</v>
      </c>
      <c r="E1565" s="4" t="s">
        <v>44</v>
      </c>
      <c r="F1565" s="4" t="s">
        <v>2103</v>
      </c>
      <c r="G1565">
        <v>14</v>
      </c>
      <c r="H1565">
        <v>66</v>
      </c>
      <c r="I1565" s="4" t="s">
        <v>35</v>
      </c>
      <c r="J1565" s="4" t="s">
        <v>129</v>
      </c>
      <c r="K1565" s="4" t="s">
        <v>130</v>
      </c>
      <c r="L1565">
        <v>86</v>
      </c>
      <c r="M1565" s="4" t="s">
        <v>158</v>
      </c>
    </row>
    <row r="1566" spans="1:13" x14ac:dyDescent="0.2">
      <c r="A1566" s="4" t="s">
        <v>2107</v>
      </c>
      <c r="B1566">
        <v>1565</v>
      </c>
      <c r="C1566" s="4" t="s">
        <v>26</v>
      </c>
      <c r="D1566" s="4" t="s">
        <v>47</v>
      </c>
      <c r="E1566" s="4" t="s">
        <v>44</v>
      </c>
      <c r="F1566" s="4" t="s">
        <v>2103</v>
      </c>
      <c r="G1566">
        <v>14</v>
      </c>
      <c r="H1566">
        <v>66</v>
      </c>
      <c r="I1566" s="4" t="s">
        <v>35</v>
      </c>
      <c r="J1566" s="4" t="s">
        <v>131</v>
      </c>
      <c r="K1566" s="4" t="s">
        <v>132</v>
      </c>
      <c r="L1566">
        <v>104</v>
      </c>
      <c r="M1566" s="4" t="s">
        <v>158</v>
      </c>
    </row>
    <row r="1567" spans="1:13" x14ac:dyDescent="0.2">
      <c r="A1567" s="4" t="s">
        <v>2108</v>
      </c>
      <c r="B1567">
        <v>1566</v>
      </c>
      <c r="C1567" s="4" t="s">
        <v>26</v>
      </c>
      <c r="D1567" s="4" t="s">
        <v>47</v>
      </c>
      <c r="E1567" s="4" t="s">
        <v>44</v>
      </c>
      <c r="F1567" s="4" t="s">
        <v>2103</v>
      </c>
      <c r="G1567">
        <v>14</v>
      </c>
      <c r="H1567">
        <v>66</v>
      </c>
      <c r="I1567" s="4" t="s">
        <v>35</v>
      </c>
      <c r="J1567" s="4" t="s">
        <v>133</v>
      </c>
      <c r="K1567" s="4" t="s">
        <v>134</v>
      </c>
      <c r="L1567">
        <v>69</v>
      </c>
      <c r="M1567" s="4" t="s">
        <v>158</v>
      </c>
    </row>
    <row r="1568" spans="1:13" x14ac:dyDescent="0.2">
      <c r="A1568" s="4" t="s">
        <v>2109</v>
      </c>
      <c r="B1568">
        <v>1567</v>
      </c>
      <c r="C1568" s="4" t="s">
        <v>26</v>
      </c>
      <c r="D1568" s="4" t="s">
        <v>47</v>
      </c>
      <c r="E1568" s="4" t="s">
        <v>44</v>
      </c>
      <c r="F1568" s="4" t="s">
        <v>2103</v>
      </c>
      <c r="G1568">
        <v>14</v>
      </c>
      <c r="H1568">
        <v>66</v>
      </c>
      <c r="I1568" s="4" t="s">
        <v>112</v>
      </c>
      <c r="J1568" s="4" t="s">
        <v>122</v>
      </c>
      <c r="K1568" s="4" t="s">
        <v>123</v>
      </c>
      <c r="L1568">
        <v>485</v>
      </c>
      <c r="M1568" s="4" t="s">
        <v>158</v>
      </c>
    </row>
    <row r="1569" spans="1:13" x14ac:dyDescent="0.2">
      <c r="A1569" s="4" t="s">
        <v>2110</v>
      </c>
      <c r="B1569">
        <v>1568</v>
      </c>
      <c r="C1569" s="4" t="s">
        <v>26</v>
      </c>
      <c r="D1569" s="4" t="s">
        <v>47</v>
      </c>
      <c r="E1569" s="4" t="s">
        <v>44</v>
      </c>
      <c r="F1569" s="4" t="s">
        <v>2103</v>
      </c>
      <c r="G1569">
        <v>14</v>
      </c>
      <c r="H1569">
        <v>66</v>
      </c>
      <c r="I1569" s="4" t="s">
        <v>112</v>
      </c>
      <c r="J1569" s="4" t="s">
        <v>125</v>
      </c>
      <c r="K1569" s="4" t="s">
        <v>126</v>
      </c>
      <c r="L1569">
        <v>24</v>
      </c>
      <c r="M1569" s="4" t="s">
        <v>158</v>
      </c>
    </row>
    <row r="1570" spans="1:13" x14ac:dyDescent="0.2">
      <c r="A1570" s="4" t="s">
        <v>2111</v>
      </c>
      <c r="B1570">
        <v>1569</v>
      </c>
      <c r="C1570" s="4" t="s">
        <v>26</v>
      </c>
      <c r="D1570" s="4" t="s">
        <v>47</v>
      </c>
      <c r="E1570" s="4" t="s">
        <v>44</v>
      </c>
      <c r="F1570" s="4" t="s">
        <v>2103</v>
      </c>
      <c r="G1570">
        <v>14</v>
      </c>
      <c r="H1570">
        <v>66</v>
      </c>
      <c r="I1570" s="4" t="s">
        <v>112</v>
      </c>
      <c r="J1570" s="4" t="s">
        <v>127</v>
      </c>
      <c r="K1570" s="4" t="s">
        <v>128</v>
      </c>
      <c r="L1570">
        <v>227</v>
      </c>
      <c r="M1570" s="4" t="s">
        <v>158</v>
      </c>
    </row>
    <row r="1571" spans="1:13" x14ac:dyDescent="0.2">
      <c r="A1571" s="4" t="s">
        <v>2112</v>
      </c>
      <c r="B1571">
        <v>1570</v>
      </c>
      <c r="C1571" s="4" t="s">
        <v>26</v>
      </c>
      <c r="D1571" s="4" t="s">
        <v>47</v>
      </c>
      <c r="E1571" s="4" t="s">
        <v>44</v>
      </c>
      <c r="F1571" s="4" t="s">
        <v>2103</v>
      </c>
      <c r="G1571">
        <v>14</v>
      </c>
      <c r="H1571">
        <v>66</v>
      </c>
      <c r="I1571" s="4" t="s">
        <v>112</v>
      </c>
      <c r="J1571" s="4" t="s">
        <v>129</v>
      </c>
      <c r="K1571" s="4" t="s">
        <v>130</v>
      </c>
      <c r="L1571">
        <v>50</v>
      </c>
      <c r="M1571" s="4" t="s">
        <v>158</v>
      </c>
    </row>
    <row r="1572" spans="1:13" x14ac:dyDescent="0.2">
      <c r="A1572" s="4" t="s">
        <v>2113</v>
      </c>
      <c r="B1572">
        <v>1571</v>
      </c>
      <c r="C1572" s="4" t="s">
        <v>26</v>
      </c>
      <c r="D1572" s="4" t="s">
        <v>47</v>
      </c>
      <c r="E1572" s="4" t="s">
        <v>44</v>
      </c>
      <c r="F1572" s="4" t="s">
        <v>2103</v>
      </c>
      <c r="G1572">
        <v>14</v>
      </c>
      <c r="H1572">
        <v>66</v>
      </c>
      <c r="I1572" s="4" t="s">
        <v>112</v>
      </c>
      <c r="J1572" s="4" t="s">
        <v>131</v>
      </c>
      <c r="K1572" s="4" t="s">
        <v>132</v>
      </c>
      <c r="L1572">
        <v>100</v>
      </c>
      <c r="M1572" s="4" t="s">
        <v>158</v>
      </c>
    </row>
    <row r="1573" spans="1:13" x14ac:dyDescent="0.2">
      <c r="A1573" s="4" t="s">
        <v>2114</v>
      </c>
      <c r="B1573">
        <v>1572</v>
      </c>
      <c r="C1573" s="4" t="s">
        <v>26</v>
      </c>
      <c r="D1573" s="4" t="s">
        <v>47</v>
      </c>
      <c r="E1573" s="4" t="s">
        <v>44</v>
      </c>
      <c r="F1573" s="4" t="s">
        <v>2103</v>
      </c>
      <c r="G1573">
        <v>14</v>
      </c>
      <c r="H1573">
        <v>66</v>
      </c>
      <c r="I1573" s="4" t="s">
        <v>112</v>
      </c>
      <c r="J1573" s="4" t="s">
        <v>133</v>
      </c>
      <c r="K1573" s="4" t="s">
        <v>134</v>
      </c>
      <c r="L1573">
        <v>57</v>
      </c>
      <c r="M1573" s="4" t="s">
        <v>158</v>
      </c>
    </row>
    <row r="1574" spans="1:13" x14ac:dyDescent="0.2">
      <c r="A1574" s="4" t="s">
        <v>2115</v>
      </c>
      <c r="B1574">
        <v>1573</v>
      </c>
      <c r="C1574" s="4" t="s">
        <v>26</v>
      </c>
      <c r="D1574" s="4" t="s">
        <v>47</v>
      </c>
      <c r="E1574" s="4" t="s">
        <v>44</v>
      </c>
      <c r="F1574" s="4" t="s">
        <v>2103</v>
      </c>
      <c r="G1574">
        <v>14</v>
      </c>
      <c r="H1574">
        <v>66</v>
      </c>
      <c r="I1574" s="4" t="s">
        <v>114</v>
      </c>
      <c r="J1574" s="4" t="s">
        <v>122</v>
      </c>
      <c r="K1574" s="4" t="s">
        <v>123</v>
      </c>
      <c r="L1574">
        <v>100</v>
      </c>
      <c r="M1574" s="4" t="s">
        <v>158</v>
      </c>
    </row>
    <row r="1575" spans="1:13" x14ac:dyDescent="0.2">
      <c r="A1575" s="4" t="s">
        <v>2116</v>
      </c>
      <c r="B1575">
        <v>1574</v>
      </c>
      <c r="C1575" s="4" t="s">
        <v>26</v>
      </c>
      <c r="D1575" s="4" t="s">
        <v>47</v>
      </c>
      <c r="E1575" s="4" t="s">
        <v>44</v>
      </c>
      <c r="F1575" s="4" t="s">
        <v>2103</v>
      </c>
      <c r="G1575">
        <v>14</v>
      </c>
      <c r="H1575">
        <v>66</v>
      </c>
      <c r="I1575" s="4" t="s">
        <v>114</v>
      </c>
      <c r="J1575" s="4" t="s">
        <v>125</v>
      </c>
      <c r="K1575" s="4" t="s">
        <v>126</v>
      </c>
      <c r="L1575">
        <v>34</v>
      </c>
      <c r="M1575" s="4" t="s">
        <v>158</v>
      </c>
    </row>
    <row r="1576" spans="1:13" x14ac:dyDescent="0.2">
      <c r="A1576" s="4" t="s">
        <v>2117</v>
      </c>
      <c r="B1576">
        <v>1575</v>
      </c>
      <c r="C1576" s="4" t="s">
        <v>26</v>
      </c>
      <c r="D1576" s="4" t="s">
        <v>47</v>
      </c>
      <c r="E1576" s="4" t="s">
        <v>44</v>
      </c>
      <c r="F1576" s="4" t="s">
        <v>2103</v>
      </c>
      <c r="G1576">
        <v>14</v>
      </c>
      <c r="H1576">
        <v>66</v>
      </c>
      <c r="I1576" s="4" t="s">
        <v>114</v>
      </c>
      <c r="J1576" s="4" t="s">
        <v>127</v>
      </c>
      <c r="K1576" s="4" t="s">
        <v>128</v>
      </c>
      <c r="L1576">
        <v>238</v>
      </c>
      <c r="M1576" s="4" t="s">
        <v>158</v>
      </c>
    </row>
    <row r="1577" spans="1:13" x14ac:dyDescent="0.2">
      <c r="A1577" s="4" t="s">
        <v>2118</v>
      </c>
      <c r="B1577">
        <v>1576</v>
      </c>
      <c r="C1577" s="4" t="s">
        <v>26</v>
      </c>
      <c r="D1577" s="4" t="s">
        <v>47</v>
      </c>
      <c r="E1577" s="4" t="s">
        <v>44</v>
      </c>
      <c r="F1577" s="4" t="s">
        <v>2103</v>
      </c>
      <c r="G1577">
        <v>14</v>
      </c>
      <c r="H1577">
        <v>66</v>
      </c>
      <c r="I1577" s="4" t="s">
        <v>114</v>
      </c>
      <c r="J1577" s="4" t="s">
        <v>129</v>
      </c>
      <c r="K1577" s="4" t="s">
        <v>130</v>
      </c>
      <c r="L1577">
        <v>50</v>
      </c>
      <c r="M1577" s="4" t="s">
        <v>158</v>
      </c>
    </row>
    <row r="1578" spans="1:13" x14ac:dyDescent="0.2">
      <c r="A1578" s="4" t="s">
        <v>2119</v>
      </c>
      <c r="B1578">
        <v>1577</v>
      </c>
      <c r="C1578" s="4" t="s">
        <v>26</v>
      </c>
      <c r="D1578" s="4" t="s">
        <v>47</v>
      </c>
      <c r="E1578" s="4" t="s">
        <v>44</v>
      </c>
      <c r="F1578" s="4" t="s">
        <v>2103</v>
      </c>
      <c r="G1578">
        <v>14</v>
      </c>
      <c r="H1578">
        <v>66</v>
      </c>
      <c r="I1578" s="4" t="s">
        <v>114</v>
      </c>
      <c r="J1578" s="4" t="s">
        <v>131</v>
      </c>
      <c r="K1578" s="4" t="s">
        <v>132</v>
      </c>
      <c r="L1578">
        <v>92</v>
      </c>
      <c r="M1578" s="4" t="s">
        <v>158</v>
      </c>
    </row>
    <row r="1579" spans="1:13" x14ac:dyDescent="0.2">
      <c r="A1579" s="4" t="s">
        <v>2120</v>
      </c>
      <c r="B1579">
        <v>1578</v>
      </c>
      <c r="C1579" s="4" t="s">
        <v>26</v>
      </c>
      <c r="D1579" s="4" t="s">
        <v>47</v>
      </c>
      <c r="E1579" s="4" t="s">
        <v>44</v>
      </c>
      <c r="F1579" s="4" t="s">
        <v>2103</v>
      </c>
      <c r="G1579">
        <v>14</v>
      </c>
      <c r="H1579">
        <v>66</v>
      </c>
      <c r="I1579" s="4" t="s">
        <v>114</v>
      </c>
      <c r="J1579" s="4" t="s">
        <v>133</v>
      </c>
      <c r="K1579" s="4" t="s">
        <v>134</v>
      </c>
      <c r="L1579">
        <v>50</v>
      </c>
      <c r="M1579" s="4" t="s">
        <v>158</v>
      </c>
    </row>
    <row r="1580" spans="1:13" x14ac:dyDescent="0.2">
      <c r="A1580" s="4" t="s">
        <v>2121</v>
      </c>
      <c r="B1580">
        <v>1579</v>
      </c>
      <c r="C1580" s="4" t="s">
        <v>26</v>
      </c>
      <c r="D1580" s="4" t="s">
        <v>47</v>
      </c>
      <c r="E1580" s="4" t="s">
        <v>44</v>
      </c>
      <c r="F1580" s="4" t="s">
        <v>2103</v>
      </c>
      <c r="G1580">
        <v>14</v>
      </c>
      <c r="H1580">
        <v>66</v>
      </c>
      <c r="I1580" s="4" t="s">
        <v>116</v>
      </c>
      <c r="J1580" s="4" t="s">
        <v>122</v>
      </c>
      <c r="K1580" s="4" t="s">
        <v>123</v>
      </c>
      <c r="L1580">
        <v>150</v>
      </c>
      <c r="M1580" s="4" t="s">
        <v>158</v>
      </c>
    </row>
    <row r="1581" spans="1:13" x14ac:dyDescent="0.2">
      <c r="A1581" s="4" t="s">
        <v>2122</v>
      </c>
      <c r="B1581">
        <v>1580</v>
      </c>
      <c r="C1581" s="4" t="s">
        <v>26</v>
      </c>
      <c r="D1581" s="4" t="s">
        <v>47</v>
      </c>
      <c r="E1581" s="4" t="s">
        <v>44</v>
      </c>
      <c r="F1581" s="4" t="s">
        <v>2103</v>
      </c>
      <c r="G1581">
        <v>14</v>
      </c>
      <c r="H1581">
        <v>66</v>
      </c>
      <c r="I1581" s="4" t="s">
        <v>116</v>
      </c>
      <c r="J1581" s="4" t="s">
        <v>125</v>
      </c>
      <c r="K1581" s="4" t="s">
        <v>126</v>
      </c>
      <c r="L1581">
        <v>50</v>
      </c>
      <c r="M1581" s="4" t="s">
        <v>158</v>
      </c>
    </row>
    <row r="1582" spans="1:13" x14ac:dyDescent="0.2">
      <c r="A1582" s="4" t="s">
        <v>2123</v>
      </c>
      <c r="B1582">
        <v>1581</v>
      </c>
      <c r="C1582" s="4" t="s">
        <v>26</v>
      </c>
      <c r="D1582" s="4" t="s">
        <v>47</v>
      </c>
      <c r="E1582" s="4" t="s">
        <v>44</v>
      </c>
      <c r="F1582" s="4" t="s">
        <v>2103</v>
      </c>
      <c r="G1582">
        <v>14</v>
      </c>
      <c r="H1582">
        <v>66</v>
      </c>
      <c r="I1582" s="4" t="s">
        <v>116</v>
      </c>
      <c r="J1582" s="4" t="s">
        <v>127</v>
      </c>
      <c r="K1582" s="4" t="s">
        <v>128</v>
      </c>
      <c r="L1582">
        <v>100</v>
      </c>
      <c r="M1582" s="4" t="s">
        <v>158</v>
      </c>
    </row>
    <row r="1583" spans="1:13" x14ac:dyDescent="0.2">
      <c r="A1583" s="4" t="s">
        <v>2124</v>
      </c>
      <c r="B1583">
        <v>1582</v>
      </c>
      <c r="C1583" s="4" t="s">
        <v>26</v>
      </c>
      <c r="D1583" s="4" t="s">
        <v>47</v>
      </c>
      <c r="E1583" s="4" t="s">
        <v>44</v>
      </c>
      <c r="F1583" s="4" t="s">
        <v>2103</v>
      </c>
      <c r="G1583">
        <v>14</v>
      </c>
      <c r="H1583">
        <v>66</v>
      </c>
      <c r="I1583" s="4" t="s">
        <v>116</v>
      </c>
      <c r="J1583" s="4" t="s">
        <v>129</v>
      </c>
      <c r="K1583" s="4" t="s">
        <v>130</v>
      </c>
      <c r="L1583">
        <v>83</v>
      </c>
      <c r="M1583" s="4" t="s">
        <v>158</v>
      </c>
    </row>
    <row r="1584" spans="1:13" x14ac:dyDescent="0.2">
      <c r="A1584" s="4" t="s">
        <v>2125</v>
      </c>
      <c r="B1584">
        <v>1583</v>
      </c>
      <c r="C1584" s="4" t="s">
        <v>26</v>
      </c>
      <c r="D1584" s="4" t="s">
        <v>47</v>
      </c>
      <c r="E1584" s="4" t="s">
        <v>44</v>
      </c>
      <c r="F1584" s="4" t="s">
        <v>2103</v>
      </c>
      <c r="G1584">
        <v>14</v>
      </c>
      <c r="H1584">
        <v>66</v>
      </c>
      <c r="I1584" s="4" t="s">
        <v>116</v>
      </c>
      <c r="J1584" s="4" t="s">
        <v>131</v>
      </c>
      <c r="K1584" s="4" t="s">
        <v>132</v>
      </c>
      <c r="L1584">
        <v>80</v>
      </c>
      <c r="M1584" s="4" t="s">
        <v>158</v>
      </c>
    </row>
    <row r="1585" spans="1:13" x14ac:dyDescent="0.2">
      <c r="A1585" s="4" t="s">
        <v>2126</v>
      </c>
      <c r="B1585">
        <v>1584</v>
      </c>
      <c r="C1585" s="4" t="s">
        <v>26</v>
      </c>
      <c r="D1585" s="4" t="s">
        <v>47</v>
      </c>
      <c r="E1585" s="4" t="s">
        <v>44</v>
      </c>
      <c r="F1585" s="4" t="s">
        <v>2103</v>
      </c>
      <c r="G1585">
        <v>14</v>
      </c>
      <c r="H1585">
        <v>66</v>
      </c>
      <c r="I1585" s="4" t="s">
        <v>116</v>
      </c>
      <c r="J1585" s="4" t="s">
        <v>133</v>
      </c>
      <c r="K1585" s="4" t="s">
        <v>134</v>
      </c>
      <c r="L1585">
        <v>50</v>
      </c>
      <c r="M1585" s="4" t="s">
        <v>158</v>
      </c>
    </row>
    <row r="1586" spans="1:13" x14ac:dyDescent="0.2">
      <c r="A1586" s="4" t="s">
        <v>2133</v>
      </c>
      <c r="B1586">
        <v>1585</v>
      </c>
      <c r="C1586" s="4" t="s">
        <v>26</v>
      </c>
      <c r="D1586" s="4" t="s">
        <v>47</v>
      </c>
      <c r="E1586" s="4" t="s">
        <v>47</v>
      </c>
      <c r="F1586" s="4" t="s">
        <v>2128</v>
      </c>
      <c r="G1586">
        <v>14</v>
      </c>
      <c r="H1586">
        <v>67</v>
      </c>
      <c r="I1586" s="4" t="s">
        <v>35</v>
      </c>
      <c r="J1586" s="4" t="s">
        <v>122</v>
      </c>
      <c r="K1586" s="4" t="s">
        <v>123</v>
      </c>
      <c r="L1586">
        <v>292</v>
      </c>
      <c r="M1586" s="4" t="s">
        <v>158</v>
      </c>
    </row>
    <row r="1587" spans="1:13" x14ac:dyDescent="0.2">
      <c r="A1587" s="4" t="s">
        <v>2134</v>
      </c>
      <c r="B1587">
        <v>1586</v>
      </c>
      <c r="C1587" s="4" t="s">
        <v>26</v>
      </c>
      <c r="D1587" s="4" t="s">
        <v>47</v>
      </c>
      <c r="E1587" s="4" t="s">
        <v>47</v>
      </c>
      <c r="F1587" s="4" t="s">
        <v>2128</v>
      </c>
      <c r="G1587">
        <v>14</v>
      </c>
      <c r="H1587">
        <v>67</v>
      </c>
      <c r="I1587" s="4" t="s">
        <v>35</v>
      </c>
      <c r="J1587" s="4" t="s">
        <v>125</v>
      </c>
      <c r="K1587" s="4" t="s">
        <v>126</v>
      </c>
      <c r="L1587">
        <v>54</v>
      </c>
      <c r="M1587" s="4" t="s">
        <v>158</v>
      </c>
    </row>
    <row r="1588" spans="1:13" x14ac:dyDescent="0.2">
      <c r="A1588" s="4" t="s">
        <v>2135</v>
      </c>
      <c r="B1588">
        <v>1587</v>
      </c>
      <c r="C1588" s="4" t="s">
        <v>26</v>
      </c>
      <c r="D1588" s="4" t="s">
        <v>47</v>
      </c>
      <c r="E1588" s="4" t="s">
        <v>47</v>
      </c>
      <c r="F1588" s="4" t="s">
        <v>2128</v>
      </c>
      <c r="G1588">
        <v>14</v>
      </c>
      <c r="H1588">
        <v>67</v>
      </c>
      <c r="I1588" s="4" t="s">
        <v>35</v>
      </c>
      <c r="J1588" s="4" t="s">
        <v>127</v>
      </c>
      <c r="K1588" s="4" t="s">
        <v>128</v>
      </c>
      <c r="L1588">
        <v>247</v>
      </c>
      <c r="M1588" s="4" t="s">
        <v>158</v>
      </c>
    </row>
    <row r="1589" spans="1:13" x14ac:dyDescent="0.2">
      <c r="A1589" s="4" t="s">
        <v>2136</v>
      </c>
      <c r="B1589">
        <v>1588</v>
      </c>
      <c r="C1589" s="4" t="s">
        <v>26</v>
      </c>
      <c r="D1589" s="4" t="s">
        <v>47</v>
      </c>
      <c r="E1589" s="4" t="s">
        <v>47</v>
      </c>
      <c r="F1589" s="4" t="s">
        <v>2128</v>
      </c>
      <c r="G1589">
        <v>14</v>
      </c>
      <c r="H1589">
        <v>67</v>
      </c>
      <c r="I1589" s="4" t="s">
        <v>35</v>
      </c>
      <c r="J1589" s="4" t="s">
        <v>129</v>
      </c>
      <c r="K1589" s="4" t="s">
        <v>130</v>
      </c>
      <c r="L1589">
        <v>86</v>
      </c>
      <c r="M1589" s="4" t="s">
        <v>158</v>
      </c>
    </row>
    <row r="1590" spans="1:13" x14ac:dyDescent="0.2">
      <c r="A1590" s="4" t="s">
        <v>2137</v>
      </c>
      <c r="B1590">
        <v>1589</v>
      </c>
      <c r="C1590" s="4" t="s">
        <v>26</v>
      </c>
      <c r="D1590" s="4" t="s">
        <v>47</v>
      </c>
      <c r="E1590" s="4" t="s">
        <v>47</v>
      </c>
      <c r="F1590" s="4" t="s">
        <v>2128</v>
      </c>
      <c r="G1590">
        <v>14</v>
      </c>
      <c r="H1590">
        <v>67</v>
      </c>
      <c r="I1590" s="4" t="s">
        <v>35</v>
      </c>
      <c r="J1590" s="4" t="s">
        <v>131</v>
      </c>
      <c r="K1590" s="4" t="s">
        <v>132</v>
      </c>
      <c r="L1590">
        <v>104</v>
      </c>
      <c r="M1590" s="4" t="s">
        <v>158</v>
      </c>
    </row>
    <row r="1591" spans="1:13" x14ac:dyDescent="0.2">
      <c r="A1591" s="4" t="s">
        <v>2138</v>
      </c>
      <c r="B1591">
        <v>1590</v>
      </c>
      <c r="C1591" s="4" t="s">
        <v>26</v>
      </c>
      <c r="D1591" s="4" t="s">
        <v>47</v>
      </c>
      <c r="E1591" s="4" t="s">
        <v>47</v>
      </c>
      <c r="F1591" s="4" t="s">
        <v>2128</v>
      </c>
      <c r="G1591">
        <v>14</v>
      </c>
      <c r="H1591">
        <v>67</v>
      </c>
      <c r="I1591" s="4" t="s">
        <v>35</v>
      </c>
      <c r="J1591" s="4" t="s">
        <v>133</v>
      </c>
      <c r="K1591" s="4" t="s">
        <v>134</v>
      </c>
      <c r="L1591">
        <v>69</v>
      </c>
      <c r="M1591" s="4" t="s">
        <v>158</v>
      </c>
    </row>
    <row r="1592" spans="1:13" x14ac:dyDescent="0.2">
      <c r="A1592" s="4" t="s">
        <v>2139</v>
      </c>
      <c r="B1592">
        <v>1591</v>
      </c>
      <c r="C1592" s="4" t="s">
        <v>26</v>
      </c>
      <c r="D1592" s="4" t="s">
        <v>47</v>
      </c>
      <c r="E1592" s="4" t="s">
        <v>47</v>
      </c>
      <c r="F1592" s="4" t="s">
        <v>2128</v>
      </c>
      <c r="G1592">
        <v>14</v>
      </c>
      <c r="H1592">
        <v>67</v>
      </c>
      <c r="I1592" s="4" t="s">
        <v>112</v>
      </c>
      <c r="J1592" s="4" t="s">
        <v>122</v>
      </c>
      <c r="K1592" s="4" t="s">
        <v>123</v>
      </c>
      <c r="L1592">
        <v>485</v>
      </c>
      <c r="M1592" s="4" t="s">
        <v>158</v>
      </c>
    </row>
    <row r="1593" spans="1:13" x14ac:dyDescent="0.2">
      <c r="A1593" s="4" t="s">
        <v>2140</v>
      </c>
      <c r="B1593">
        <v>1592</v>
      </c>
      <c r="C1593" s="4" t="s">
        <v>26</v>
      </c>
      <c r="D1593" s="4" t="s">
        <v>47</v>
      </c>
      <c r="E1593" s="4" t="s">
        <v>47</v>
      </c>
      <c r="F1593" s="4" t="s">
        <v>2128</v>
      </c>
      <c r="G1593">
        <v>14</v>
      </c>
      <c r="H1593">
        <v>67</v>
      </c>
      <c r="I1593" s="4" t="s">
        <v>112</v>
      </c>
      <c r="J1593" s="4" t="s">
        <v>125</v>
      </c>
      <c r="K1593" s="4" t="s">
        <v>126</v>
      </c>
      <c r="L1593">
        <v>24</v>
      </c>
      <c r="M1593" s="4" t="s">
        <v>158</v>
      </c>
    </row>
    <row r="1594" spans="1:13" x14ac:dyDescent="0.2">
      <c r="A1594" s="4" t="s">
        <v>2141</v>
      </c>
      <c r="B1594">
        <v>1593</v>
      </c>
      <c r="C1594" s="4" t="s">
        <v>26</v>
      </c>
      <c r="D1594" s="4" t="s">
        <v>47</v>
      </c>
      <c r="E1594" s="4" t="s">
        <v>47</v>
      </c>
      <c r="F1594" s="4" t="s">
        <v>2128</v>
      </c>
      <c r="G1594">
        <v>14</v>
      </c>
      <c r="H1594">
        <v>67</v>
      </c>
      <c r="I1594" s="4" t="s">
        <v>112</v>
      </c>
      <c r="J1594" s="4" t="s">
        <v>127</v>
      </c>
      <c r="K1594" s="4" t="s">
        <v>128</v>
      </c>
      <c r="L1594">
        <v>227</v>
      </c>
      <c r="M1594" s="4" t="s">
        <v>158</v>
      </c>
    </row>
    <row r="1595" spans="1:13" x14ac:dyDescent="0.2">
      <c r="A1595" s="4" t="s">
        <v>2142</v>
      </c>
      <c r="B1595">
        <v>1594</v>
      </c>
      <c r="C1595" s="4" t="s">
        <v>26</v>
      </c>
      <c r="D1595" s="4" t="s">
        <v>47</v>
      </c>
      <c r="E1595" s="4" t="s">
        <v>47</v>
      </c>
      <c r="F1595" s="4" t="s">
        <v>2128</v>
      </c>
      <c r="G1595">
        <v>14</v>
      </c>
      <c r="H1595">
        <v>67</v>
      </c>
      <c r="I1595" s="4" t="s">
        <v>112</v>
      </c>
      <c r="J1595" s="4" t="s">
        <v>129</v>
      </c>
      <c r="K1595" s="4" t="s">
        <v>130</v>
      </c>
      <c r="L1595">
        <v>50</v>
      </c>
      <c r="M1595" s="4" t="s">
        <v>158</v>
      </c>
    </row>
    <row r="1596" spans="1:13" x14ac:dyDescent="0.2">
      <c r="A1596" s="4" t="s">
        <v>2143</v>
      </c>
      <c r="B1596">
        <v>1595</v>
      </c>
      <c r="C1596" s="4" t="s">
        <v>26</v>
      </c>
      <c r="D1596" s="4" t="s">
        <v>47</v>
      </c>
      <c r="E1596" s="4" t="s">
        <v>47</v>
      </c>
      <c r="F1596" s="4" t="s">
        <v>2128</v>
      </c>
      <c r="G1596">
        <v>14</v>
      </c>
      <c r="H1596">
        <v>67</v>
      </c>
      <c r="I1596" s="4" t="s">
        <v>112</v>
      </c>
      <c r="J1596" s="4" t="s">
        <v>131</v>
      </c>
      <c r="K1596" s="4" t="s">
        <v>132</v>
      </c>
      <c r="L1596">
        <v>100</v>
      </c>
      <c r="M1596" s="4" t="s">
        <v>158</v>
      </c>
    </row>
    <row r="1597" spans="1:13" x14ac:dyDescent="0.2">
      <c r="A1597" s="4" t="s">
        <v>2144</v>
      </c>
      <c r="B1597">
        <v>1596</v>
      </c>
      <c r="C1597" s="4" t="s">
        <v>26</v>
      </c>
      <c r="D1597" s="4" t="s">
        <v>47</v>
      </c>
      <c r="E1597" s="4" t="s">
        <v>47</v>
      </c>
      <c r="F1597" s="4" t="s">
        <v>2128</v>
      </c>
      <c r="G1597">
        <v>14</v>
      </c>
      <c r="H1597">
        <v>67</v>
      </c>
      <c r="I1597" s="4" t="s">
        <v>112</v>
      </c>
      <c r="J1597" s="4" t="s">
        <v>133</v>
      </c>
      <c r="K1597" s="4" t="s">
        <v>134</v>
      </c>
      <c r="L1597">
        <v>43</v>
      </c>
      <c r="M1597" s="4" t="s">
        <v>158</v>
      </c>
    </row>
    <row r="1598" spans="1:13" x14ac:dyDescent="0.2">
      <c r="A1598" s="4" t="s">
        <v>2145</v>
      </c>
      <c r="B1598">
        <v>1597</v>
      </c>
      <c r="C1598" s="4" t="s">
        <v>26</v>
      </c>
      <c r="D1598" s="4" t="s">
        <v>47</v>
      </c>
      <c r="E1598" s="4" t="s">
        <v>47</v>
      </c>
      <c r="F1598" s="4" t="s">
        <v>2128</v>
      </c>
      <c r="G1598">
        <v>14</v>
      </c>
      <c r="H1598">
        <v>67</v>
      </c>
      <c r="I1598" s="4" t="s">
        <v>114</v>
      </c>
      <c r="J1598" s="4" t="s">
        <v>122</v>
      </c>
      <c r="K1598" s="4" t="s">
        <v>123</v>
      </c>
      <c r="L1598">
        <v>24</v>
      </c>
      <c r="M1598" s="4" t="s">
        <v>158</v>
      </c>
    </row>
    <row r="1599" spans="1:13" x14ac:dyDescent="0.2">
      <c r="A1599" s="4" t="s">
        <v>2146</v>
      </c>
      <c r="B1599">
        <v>1598</v>
      </c>
      <c r="C1599" s="4" t="s">
        <v>26</v>
      </c>
      <c r="D1599" s="4" t="s">
        <v>47</v>
      </c>
      <c r="E1599" s="4" t="s">
        <v>47</v>
      </c>
      <c r="F1599" s="4" t="s">
        <v>2128</v>
      </c>
      <c r="G1599">
        <v>14</v>
      </c>
      <c r="H1599">
        <v>67</v>
      </c>
      <c r="I1599" s="4" t="s">
        <v>114</v>
      </c>
      <c r="J1599" s="4" t="s">
        <v>125</v>
      </c>
      <c r="K1599" s="4" t="s">
        <v>126</v>
      </c>
      <c r="L1599">
        <v>34</v>
      </c>
      <c r="M1599" s="4" t="s">
        <v>158</v>
      </c>
    </row>
    <row r="1600" spans="1:13" x14ac:dyDescent="0.2">
      <c r="A1600" s="4" t="s">
        <v>2147</v>
      </c>
      <c r="B1600">
        <v>1599</v>
      </c>
      <c r="C1600" s="4" t="s">
        <v>26</v>
      </c>
      <c r="D1600" s="4" t="s">
        <v>47</v>
      </c>
      <c r="E1600" s="4" t="s">
        <v>47</v>
      </c>
      <c r="F1600" s="4" t="s">
        <v>2128</v>
      </c>
      <c r="G1600">
        <v>14</v>
      </c>
      <c r="H1600">
        <v>67</v>
      </c>
      <c r="I1600" s="4" t="s">
        <v>114</v>
      </c>
      <c r="J1600" s="4" t="s">
        <v>127</v>
      </c>
      <c r="K1600" s="4" t="s">
        <v>128</v>
      </c>
      <c r="L1600">
        <v>238</v>
      </c>
      <c r="M1600" s="4" t="s">
        <v>158</v>
      </c>
    </row>
    <row r="1601" spans="1:13" x14ac:dyDescent="0.2">
      <c r="A1601" s="4" t="s">
        <v>2148</v>
      </c>
      <c r="B1601">
        <v>1600</v>
      </c>
      <c r="C1601" s="4" t="s">
        <v>26</v>
      </c>
      <c r="D1601" s="4" t="s">
        <v>47</v>
      </c>
      <c r="E1601" s="4" t="s">
        <v>47</v>
      </c>
      <c r="F1601" s="4" t="s">
        <v>2128</v>
      </c>
      <c r="G1601">
        <v>14</v>
      </c>
      <c r="H1601">
        <v>67</v>
      </c>
      <c r="I1601" s="4" t="s">
        <v>114</v>
      </c>
      <c r="J1601" s="4" t="s">
        <v>129</v>
      </c>
      <c r="K1601" s="4" t="s">
        <v>130</v>
      </c>
      <c r="L1601">
        <v>33</v>
      </c>
      <c r="M1601" s="4" t="s">
        <v>158</v>
      </c>
    </row>
    <row r="1602" spans="1:13" x14ac:dyDescent="0.2">
      <c r="A1602" s="4" t="s">
        <v>2149</v>
      </c>
      <c r="B1602">
        <v>1601</v>
      </c>
      <c r="C1602" s="4" t="s">
        <v>26</v>
      </c>
      <c r="D1602" s="4" t="s">
        <v>47</v>
      </c>
      <c r="E1602" s="4" t="s">
        <v>47</v>
      </c>
      <c r="F1602" s="4" t="s">
        <v>2128</v>
      </c>
      <c r="G1602">
        <v>14</v>
      </c>
      <c r="H1602">
        <v>67</v>
      </c>
      <c r="I1602" s="4" t="s">
        <v>114</v>
      </c>
      <c r="J1602" s="4" t="s">
        <v>131</v>
      </c>
      <c r="K1602" s="4" t="s">
        <v>132</v>
      </c>
      <c r="L1602">
        <v>92</v>
      </c>
      <c r="M1602" s="4" t="s">
        <v>158</v>
      </c>
    </row>
    <row r="1603" spans="1:13" x14ac:dyDescent="0.2">
      <c r="A1603" s="4" t="s">
        <v>2150</v>
      </c>
      <c r="B1603">
        <v>1602</v>
      </c>
      <c r="C1603" s="4" t="s">
        <v>26</v>
      </c>
      <c r="D1603" s="4" t="s">
        <v>47</v>
      </c>
      <c r="E1603" s="4" t="s">
        <v>47</v>
      </c>
      <c r="F1603" s="4" t="s">
        <v>2128</v>
      </c>
      <c r="G1603">
        <v>14</v>
      </c>
      <c r="H1603">
        <v>67</v>
      </c>
      <c r="I1603" s="4" t="s">
        <v>114</v>
      </c>
      <c r="J1603" s="4" t="s">
        <v>133</v>
      </c>
      <c r="K1603" s="4" t="s">
        <v>134</v>
      </c>
      <c r="L1603">
        <v>13</v>
      </c>
      <c r="M1603" s="4" t="s">
        <v>158</v>
      </c>
    </row>
    <row r="1604" spans="1:13" x14ac:dyDescent="0.2">
      <c r="A1604" s="4" t="s">
        <v>2151</v>
      </c>
      <c r="B1604">
        <v>1603</v>
      </c>
      <c r="C1604" s="4" t="s">
        <v>26</v>
      </c>
      <c r="D1604" s="4" t="s">
        <v>47</v>
      </c>
      <c r="E1604" s="4" t="s">
        <v>47</v>
      </c>
      <c r="F1604" s="4" t="s">
        <v>2128</v>
      </c>
      <c r="G1604">
        <v>14</v>
      </c>
      <c r="H1604">
        <v>67</v>
      </c>
      <c r="I1604" s="4" t="s">
        <v>116</v>
      </c>
      <c r="J1604" s="4" t="s">
        <v>122</v>
      </c>
      <c r="K1604" s="4" t="s">
        <v>123</v>
      </c>
      <c r="L1604">
        <v>150</v>
      </c>
      <c r="M1604" s="4" t="s">
        <v>158</v>
      </c>
    </row>
    <row r="1605" spans="1:13" x14ac:dyDescent="0.2">
      <c r="A1605" s="4" t="s">
        <v>2152</v>
      </c>
      <c r="B1605">
        <v>1604</v>
      </c>
      <c r="C1605" s="4" t="s">
        <v>26</v>
      </c>
      <c r="D1605" s="4" t="s">
        <v>47</v>
      </c>
      <c r="E1605" s="4" t="s">
        <v>47</v>
      </c>
      <c r="F1605" s="4" t="s">
        <v>2128</v>
      </c>
      <c r="G1605">
        <v>14</v>
      </c>
      <c r="H1605">
        <v>67</v>
      </c>
      <c r="I1605" s="4" t="s">
        <v>116</v>
      </c>
      <c r="J1605" s="4" t="s">
        <v>125</v>
      </c>
      <c r="K1605" s="4" t="s">
        <v>126</v>
      </c>
      <c r="L1605">
        <v>29</v>
      </c>
      <c r="M1605" s="4" t="s">
        <v>158</v>
      </c>
    </row>
    <row r="1606" spans="1:13" x14ac:dyDescent="0.2">
      <c r="A1606" s="4" t="s">
        <v>2153</v>
      </c>
      <c r="B1606">
        <v>1605</v>
      </c>
      <c r="C1606" s="4" t="s">
        <v>26</v>
      </c>
      <c r="D1606" s="4" t="s">
        <v>47</v>
      </c>
      <c r="E1606" s="4" t="s">
        <v>47</v>
      </c>
      <c r="F1606" s="4" t="s">
        <v>2128</v>
      </c>
      <c r="G1606">
        <v>14</v>
      </c>
      <c r="H1606">
        <v>67</v>
      </c>
      <c r="I1606" s="4" t="s">
        <v>116</v>
      </c>
      <c r="J1606" s="4" t="s">
        <v>127</v>
      </c>
      <c r="K1606" s="4" t="s">
        <v>128</v>
      </c>
      <c r="L1606">
        <v>31</v>
      </c>
      <c r="M1606" s="4" t="s">
        <v>158</v>
      </c>
    </row>
    <row r="1607" spans="1:13" x14ac:dyDescent="0.2">
      <c r="A1607" s="4" t="s">
        <v>2154</v>
      </c>
      <c r="B1607">
        <v>1606</v>
      </c>
      <c r="C1607" s="4" t="s">
        <v>26</v>
      </c>
      <c r="D1607" s="4" t="s">
        <v>47</v>
      </c>
      <c r="E1607" s="4" t="s">
        <v>47</v>
      </c>
      <c r="F1607" s="4" t="s">
        <v>2128</v>
      </c>
      <c r="G1607">
        <v>14</v>
      </c>
      <c r="H1607">
        <v>67</v>
      </c>
      <c r="I1607" s="4" t="s">
        <v>116</v>
      </c>
      <c r="J1607" s="4" t="s">
        <v>129</v>
      </c>
      <c r="K1607" s="4" t="s">
        <v>130</v>
      </c>
      <c r="L1607">
        <v>0</v>
      </c>
      <c r="M1607" s="4" t="s">
        <v>158</v>
      </c>
    </row>
    <row r="1608" spans="1:13" x14ac:dyDescent="0.2">
      <c r="A1608" s="4" t="s">
        <v>2155</v>
      </c>
      <c r="B1608">
        <v>1607</v>
      </c>
      <c r="C1608" s="4" t="s">
        <v>26</v>
      </c>
      <c r="D1608" s="4" t="s">
        <v>47</v>
      </c>
      <c r="E1608" s="4" t="s">
        <v>47</v>
      </c>
      <c r="F1608" s="4" t="s">
        <v>2128</v>
      </c>
      <c r="G1608">
        <v>14</v>
      </c>
      <c r="H1608">
        <v>67</v>
      </c>
      <c r="I1608" s="4" t="s">
        <v>116</v>
      </c>
      <c r="J1608" s="4" t="s">
        <v>131</v>
      </c>
      <c r="K1608" s="4" t="s">
        <v>132</v>
      </c>
      <c r="L1608">
        <v>55</v>
      </c>
      <c r="M1608" s="4" t="s">
        <v>158</v>
      </c>
    </row>
    <row r="1609" spans="1:13" x14ac:dyDescent="0.2">
      <c r="A1609" s="4" t="s">
        <v>2156</v>
      </c>
      <c r="B1609">
        <v>1608</v>
      </c>
      <c r="C1609" s="4" t="s">
        <v>26</v>
      </c>
      <c r="D1609" s="4" t="s">
        <v>47</v>
      </c>
      <c r="E1609" s="4" t="s">
        <v>47</v>
      </c>
      <c r="F1609" s="4" t="s">
        <v>2128</v>
      </c>
      <c r="G1609">
        <v>14</v>
      </c>
      <c r="H1609">
        <v>67</v>
      </c>
      <c r="I1609" s="4" t="s">
        <v>116</v>
      </c>
      <c r="J1609" s="4" t="s">
        <v>133</v>
      </c>
      <c r="K1609" s="4" t="s">
        <v>134</v>
      </c>
      <c r="L1609">
        <v>5</v>
      </c>
      <c r="M1609" s="4" t="s">
        <v>158</v>
      </c>
    </row>
    <row r="1610" spans="1:13" x14ac:dyDescent="0.2">
      <c r="A1610" s="4" t="s">
        <v>2173</v>
      </c>
      <c r="B1610">
        <v>1609</v>
      </c>
      <c r="C1610" s="4" t="s">
        <v>26</v>
      </c>
      <c r="D1610" s="4" t="s">
        <v>47</v>
      </c>
      <c r="E1610" s="4" t="s">
        <v>50</v>
      </c>
      <c r="F1610" s="4" t="s">
        <v>2157</v>
      </c>
      <c r="G1610">
        <v>14</v>
      </c>
      <c r="H1610">
        <v>68</v>
      </c>
      <c r="I1610" s="4" t="s">
        <v>35</v>
      </c>
      <c r="J1610" s="4" t="s">
        <v>122</v>
      </c>
      <c r="K1610" s="4" t="s">
        <v>123</v>
      </c>
      <c r="L1610">
        <v>674</v>
      </c>
      <c r="M1610" s="4" t="s">
        <v>158</v>
      </c>
    </row>
    <row r="1611" spans="1:13" x14ac:dyDescent="0.2">
      <c r="A1611" s="4" t="s">
        <v>2174</v>
      </c>
      <c r="B1611">
        <v>1610</v>
      </c>
      <c r="C1611" s="4" t="s">
        <v>26</v>
      </c>
      <c r="D1611" s="4" t="s">
        <v>47</v>
      </c>
      <c r="E1611" s="4" t="s">
        <v>50</v>
      </c>
      <c r="F1611" s="4" t="s">
        <v>2157</v>
      </c>
      <c r="G1611">
        <v>14</v>
      </c>
      <c r="H1611">
        <v>68</v>
      </c>
      <c r="I1611" s="4" t="s">
        <v>35</v>
      </c>
      <c r="J1611" s="4" t="s">
        <v>125</v>
      </c>
      <c r="K1611" s="4" t="s">
        <v>126</v>
      </c>
      <c r="L1611">
        <v>138</v>
      </c>
      <c r="M1611" s="4" t="s">
        <v>158</v>
      </c>
    </row>
    <row r="1612" spans="1:13" x14ac:dyDescent="0.2">
      <c r="A1612" s="4" t="s">
        <v>2175</v>
      </c>
      <c r="B1612">
        <v>1611</v>
      </c>
      <c r="C1612" s="4" t="s">
        <v>26</v>
      </c>
      <c r="D1612" s="4" t="s">
        <v>47</v>
      </c>
      <c r="E1612" s="4" t="s">
        <v>50</v>
      </c>
      <c r="F1612" s="4" t="s">
        <v>2157</v>
      </c>
      <c r="G1612">
        <v>14</v>
      </c>
      <c r="H1612">
        <v>68</v>
      </c>
      <c r="I1612" s="4" t="s">
        <v>35</v>
      </c>
      <c r="J1612" s="4" t="s">
        <v>127</v>
      </c>
      <c r="K1612" s="4" t="s">
        <v>128</v>
      </c>
      <c r="L1612">
        <v>638</v>
      </c>
      <c r="M1612" s="4" t="s">
        <v>158</v>
      </c>
    </row>
    <row r="1613" spans="1:13" x14ac:dyDescent="0.2">
      <c r="A1613" s="4" t="s">
        <v>2176</v>
      </c>
      <c r="B1613">
        <v>1612</v>
      </c>
      <c r="C1613" s="4" t="s">
        <v>26</v>
      </c>
      <c r="D1613" s="4" t="s">
        <v>47</v>
      </c>
      <c r="E1613" s="4" t="s">
        <v>50</v>
      </c>
      <c r="F1613" s="4" t="s">
        <v>2157</v>
      </c>
      <c r="G1613">
        <v>14</v>
      </c>
      <c r="H1613">
        <v>68</v>
      </c>
      <c r="I1613" s="4" t="s">
        <v>35</v>
      </c>
      <c r="J1613" s="4" t="s">
        <v>129</v>
      </c>
      <c r="K1613" s="4" t="s">
        <v>130</v>
      </c>
      <c r="L1613">
        <v>81</v>
      </c>
      <c r="M1613" s="4" t="s">
        <v>158</v>
      </c>
    </row>
    <row r="1614" spans="1:13" x14ac:dyDescent="0.2">
      <c r="A1614" s="4" t="s">
        <v>2177</v>
      </c>
      <c r="B1614">
        <v>1613</v>
      </c>
      <c r="C1614" s="4" t="s">
        <v>26</v>
      </c>
      <c r="D1614" s="4" t="s">
        <v>47</v>
      </c>
      <c r="E1614" s="4" t="s">
        <v>50</v>
      </c>
      <c r="F1614" s="4" t="s">
        <v>2157</v>
      </c>
      <c r="G1614">
        <v>14</v>
      </c>
      <c r="H1614">
        <v>68</v>
      </c>
      <c r="I1614" s="4" t="s">
        <v>35</v>
      </c>
      <c r="J1614" s="4" t="s">
        <v>131</v>
      </c>
      <c r="K1614" s="4" t="s">
        <v>132</v>
      </c>
      <c r="L1614">
        <v>235</v>
      </c>
      <c r="M1614" s="4" t="s">
        <v>158</v>
      </c>
    </row>
    <row r="1615" spans="1:13" x14ac:dyDescent="0.2">
      <c r="A1615" s="4" t="s">
        <v>2178</v>
      </c>
      <c r="B1615">
        <v>1614</v>
      </c>
      <c r="C1615" s="4" t="s">
        <v>26</v>
      </c>
      <c r="D1615" s="4" t="s">
        <v>47</v>
      </c>
      <c r="E1615" s="4" t="s">
        <v>50</v>
      </c>
      <c r="F1615" s="4" t="s">
        <v>2157</v>
      </c>
      <c r="G1615">
        <v>14</v>
      </c>
      <c r="H1615">
        <v>68</v>
      </c>
      <c r="I1615" s="4" t="s">
        <v>35</v>
      </c>
      <c r="J1615" s="4" t="s">
        <v>133</v>
      </c>
      <c r="K1615" s="4" t="s">
        <v>134</v>
      </c>
      <c r="L1615">
        <v>124</v>
      </c>
      <c r="M1615" s="4" t="s">
        <v>158</v>
      </c>
    </row>
    <row r="1616" spans="1:13" x14ac:dyDescent="0.2">
      <c r="A1616" s="4" t="s">
        <v>2179</v>
      </c>
      <c r="B1616">
        <v>1615</v>
      </c>
      <c r="C1616" s="4" t="s">
        <v>26</v>
      </c>
      <c r="D1616" s="4" t="s">
        <v>47</v>
      </c>
      <c r="E1616" s="4" t="s">
        <v>50</v>
      </c>
      <c r="F1616" s="4" t="s">
        <v>2157</v>
      </c>
      <c r="G1616">
        <v>14</v>
      </c>
      <c r="H1616">
        <v>68</v>
      </c>
      <c r="I1616" s="4" t="s">
        <v>112</v>
      </c>
      <c r="J1616" s="4" t="s">
        <v>122</v>
      </c>
      <c r="K1616" s="4" t="s">
        <v>123</v>
      </c>
      <c r="L1616">
        <v>585</v>
      </c>
      <c r="M1616" s="4" t="s">
        <v>158</v>
      </c>
    </row>
    <row r="1617" spans="1:13" x14ac:dyDescent="0.2">
      <c r="A1617" s="4" t="s">
        <v>2180</v>
      </c>
      <c r="B1617">
        <v>1616</v>
      </c>
      <c r="C1617" s="4" t="s">
        <v>26</v>
      </c>
      <c r="D1617" s="4" t="s">
        <v>47</v>
      </c>
      <c r="E1617" s="4" t="s">
        <v>50</v>
      </c>
      <c r="F1617" s="4" t="s">
        <v>2157</v>
      </c>
      <c r="G1617">
        <v>14</v>
      </c>
      <c r="H1617">
        <v>68</v>
      </c>
      <c r="I1617" s="4" t="s">
        <v>112</v>
      </c>
      <c r="J1617" s="4" t="s">
        <v>125</v>
      </c>
      <c r="K1617" s="4" t="s">
        <v>126</v>
      </c>
      <c r="L1617">
        <v>16</v>
      </c>
      <c r="M1617" s="4" t="s">
        <v>158</v>
      </c>
    </row>
    <row r="1618" spans="1:13" x14ac:dyDescent="0.2">
      <c r="A1618" s="4" t="s">
        <v>2181</v>
      </c>
      <c r="B1618">
        <v>1617</v>
      </c>
      <c r="C1618" s="4" t="s">
        <v>26</v>
      </c>
      <c r="D1618" s="4" t="s">
        <v>47</v>
      </c>
      <c r="E1618" s="4" t="s">
        <v>50</v>
      </c>
      <c r="F1618" s="4" t="s">
        <v>2157</v>
      </c>
      <c r="G1618">
        <v>14</v>
      </c>
      <c r="H1618">
        <v>68</v>
      </c>
      <c r="I1618" s="4" t="s">
        <v>112</v>
      </c>
      <c r="J1618" s="4" t="s">
        <v>127</v>
      </c>
      <c r="K1618" s="4" t="s">
        <v>128</v>
      </c>
      <c r="L1618">
        <v>327</v>
      </c>
      <c r="M1618" s="4" t="s">
        <v>158</v>
      </c>
    </row>
    <row r="1619" spans="1:13" x14ac:dyDescent="0.2">
      <c r="A1619" s="4" t="s">
        <v>2182</v>
      </c>
      <c r="B1619">
        <v>1618</v>
      </c>
      <c r="C1619" s="4" t="s">
        <v>26</v>
      </c>
      <c r="D1619" s="4" t="s">
        <v>47</v>
      </c>
      <c r="E1619" s="4" t="s">
        <v>50</v>
      </c>
      <c r="F1619" s="4" t="s">
        <v>2157</v>
      </c>
      <c r="G1619">
        <v>14</v>
      </c>
      <c r="H1619">
        <v>68</v>
      </c>
      <c r="I1619" s="4" t="s">
        <v>112</v>
      </c>
      <c r="J1619" s="4" t="s">
        <v>129</v>
      </c>
      <c r="K1619" s="4" t="s">
        <v>130</v>
      </c>
      <c r="L1619">
        <v>51</v>
      </c>
      <c r="M1619" s="4" t="s">
        <v>158</v>
      </c>
    </row>
    <row r="1620" spans="1:13" x14ac:dyDescent="0.2">
      <c r="A1620" s="4" t="s">
        <v>2183</v>
      </c>
      <c r="B1620">
        <v>1619</v>
      </c>
      <c r="C1620" s="4" t="s">
        <v>26</v>
      </c>
      <c r="D1620" s="4" t="s">
        <v>47</v>
      </c>
      <c r="E1620" s="4" t="s">
        <v>50</v>
      </c>
      <c r="F1620" s="4" t="s">
        <v>2157</v>
      </c>
      <c r="G1620">
        <v>14</v>
      </c>
      <c r="H1620">
        <v>68</v>
      </c>
      <c r="I1620" s="4" t="s">
        <v>112</v>
      </c>
      <c r="J1620" s="4" t="s">
        <v>131</v>
      </c>
      <c r="K1620" s="4" t="s">
        <v>132</v>
      </c>
      <c r="L1620">
        <v>100</v>
      </c>
      <c r="M1620" s="4" t="s">
        <v>158</v>
      </c>
    </row>
    <row r="1621" spans="1:13" x14ac:dyDescent="0.2">
      <c r="A1621" s="4" t="s">
        <v>2184</v>
      </c>
      <c r="B1621">
        <v>1620</v>
      </c>
      <c r="C1621" s="4" t="s">
        <v>26</v>
      </c>
      <c r="D1621" s="4" t="s">
        <v>47</v>
      </c>
      <c r="E1621" s="4" t="s">
        <v>50</v>
      </c>
      <c r="F1621" s="4" t="s">
        <v>2157</v>
      </c>
      <c r="G1621">
        <v>14</v>
      </c>
      <c r="H1621">
        <v>68</v>
      </c>
      <c r="I1621" s="4" t="s">
        <v>112</v>
      </c>
      <c r="J1621" s="4" t="s">
        <v>133</v>
      </c>
      <c r="K1621" s="4" t="s">
        <v>134</v>
      </c>
      <c r="L1621">
        <v>72</v>
      </c>
      <c r="M1621" s="4" t="s">
        <v>158</v>
      </c>
    </row>
    <row r="1622" spans="1:13" x14ac:dyDescent="0.2">
      <c r="A1622" s="4" t="s">
        <v>2185</v>
      </c>
      <c r="B1622">
        <v>1621</v>
      </c>
      <c r="C1622" s="4" t="s">
        <v>26</v>
      </c>
      <c r="D1622" s="4" t="s">
        <v>47</v>
      </c>
      <c r="E1622" s="4" t="s">
        <v>50</v>
      </c>
      <c r="F1622" s="4" t="s">
        <v>2157</v>
      </c>
      <c r="G1622">
        <v>14</v>
      </c>
      <c r="H1622">
        <v>68</v>
      </c>
      <c r="I1622" s="4" t="s">
        <v>114</v>
      </c>
      <c r="J1622" s="4" t="s">
        <v>122</v>
      </c>
      <c r="K1622" s="4" t="s">
        <v>123</v>
      </c>
      <c r="L1622">
        <v>100</v>
      </c>
      <c r="M1622" s="4" t="s">
        <v>158</v>
      </c>
    </row>
    <row r="1623" spans="1:13" x14ac:dyDescent="0.2">
      <c r="A1623" s="4" t="s">
        <v>2186</v>
      </c>
      <c r="B1623">
        <v>1622</v>
      </c>
      <c r="C1623" s="4" t="s">
        <v>26</v>
      </c>
      <c r="D1623" s="4" t="s">
        <v>47</v>
      </c>
      <c r="E1623" s="4" t="s">
        <v>50</v>
      </c>
      <c r="F1623" s="4" t="s">
        <v>2157</v>
      </c>
      <c r="G1623">
        <v>14</v>
      </c>
      <c r="H1623">
        <v>68</v>
      </c>
      <c r="I1623" s="4" t="s">
        <v>114</v>
      </c>
      <c r="J1623" s="4" t="s">
        <v>125</v>
      </c>
      <c r="K1623" s="4" t="s">
        <v>126</v>
      </c>
      <c r="L1623">
        <v>60</v>
      </c>
      <c r="M1623" s="4" t="s">
        <v>158</v>
      </c>
    </row>
    <row r="1624" spans="1:13" x14ac:dyDescent="0.2">
      <c r="A1624" s="4" t="s">
        <v>2187</v>
      </c>
      <c r="B1624">
        <v>1623</v>
      </c>
      <c r="C1624" s="4" t="s">
        <v>26</v>
      </c>
      <c r="D1624" s="4" t="s">
        <v>47</v>
      </c>
      <c r="E1624" s="4" t="s">
        <v>50</v>
      </c>
      <c r="F1624" s="4" t="s">
        <v>2157</v>
      </c>
      <c r="G1624">
        <v>14</v>
      </c>
      <c r="H1624">
        <v>68</v>
      </c>
      <c r="I1624" s="4" t="s">
        <v>114</v>
      </c>
      <c r="J1624" s="4" t="s">
        <v>127</v>
      </c>
      <c r="K1624" s="4" t="s">
        <v>128</v>
      </c>
      <c r="L1624">
        <v>169</v>
      </c>
      <c r="M1624" s="4" t="s">
        <v>158</v>
      </c>
    </row>
    <row r="1625" spans="1:13" x14ac:dyDescent="0.2">
      <c r="A1625" s="4" t="s">
        <v>2188</v>
      </c>
      <c r="B1625">
        <v>1624</v>
      </c>
      <c r="C1625" s="4" t="s">
        <v>26</v>
      </c>
      <c r="D1625" s="4" t="s">
        <v>47</v>
      </c>
      <c r="E1625" s="4" t="s">
        <v>50</v>
      </c>
      <c r="F1625" s="4" t="s">
        <v>2157</v>
      </c>
      <c r="G1625">
        <v>14</v>
      </c>
      <c r="H1625">
        <v>68</v>
      </c>
      <c r="I1625" s="4" t="s">
        <v>114</v>
      </c>
      <c r="J1625" s="4" t="s">
        <v>129</v>
      </c>
      <c r="K1625" s="4" t="s">
        <v>130</v>
      </c>
      <c r="L1625">
        <v>45</v>
      </c>
      <c r="M1625" s="4" t="s">
        <v>158</v>
      </c>
    </row>
    <row r="1626" spans="1:13" x14ac:dyDescent="0.2">
      <c r="A1626" s="4" t="s">
        <v>2189</v>
      </c>
      <c r="B1626">
        <v>1625</v>
      </c>
      <c r="C1626" s="4" t="s">
        <v>26</v>
      </c>
      <c r="D1626" s="4" t="s">
        <v>47</v>
      </c>
      <c r="E1626" s="4" t="s">
        <v>50</v>
      </c>
      <c r="F1626" s="4" t="s">
        <v>2157</v>
      </c>
      <c r="G1626">
        <v>14</v>
      </c>
      <c r="H1626">
        <v>68</v>
      </c>
      <c r="I1626" s="4" t="s">
        <v>114</v>
      </c>
      <c r="J1626" s="4" t="s">
        <v>131</v>
      </c>
      <c r="K1626" s="4" t="s">
        <v>132</v>
      </c>
      <c r="L1626">
        <v>94</v>
      </c>
      <c r="M1626" s="4" t="s">
        <v>158</v>
      </c>
    </row>
    <row r="1627" spans="1:13" x14ac:dyDescent="0.2">
      <c r="A1627" s="4" t="s">
        <v>2190</v>
      </c>
      <c r="B1627">
        <v>1626</v>
      </c>
      <c r="C1627" s="4" t="s">
        <v>26</v>
      </c>
      <c r="D1627" s="4" t="s">
        <v>47</v>
      </c>
      <c r="E1627" s="4" t="s">
        <v>50</v>
      </c>
      <c r="F1627" s="4" t="s">
        <v>2157</v>
      </c>
      <c r="G1627">
        <v>14</v>
      </c>
      <c r="H1627">
        <v>68</v>
      </c>
      <c r="I1627" s="4" t="s">
        <v>114</v>
      </c>
      <c r="J1627" s="4" t="s">
        <v>133</v>
      </c>
      <c r="K1627" s="4" t="s">
        <v>134</v>
      </c>
      <c r="L1627">
        <v>31</v>
      </c>
      <c r="M1627" s="4" t="s">
        <v>158</v>
      </c>
    </row>
    <row r="1628" spans="1:13" x14ac:dyDescent="0.2">
      <c r="A1628" s="4" t="s">
        <v>2191</v>
      </c>
      <c r="B1628">
        <v>1627</v>
      </c>
      <c r="C1628" s="4" t="s">
        <v>26</v>
      </c>
      <c r="D1628" s="4" t="s">
        <v>47</v>
      </c>
      <c r="E1628" s="4" t="s">
        <v>50</v>
      </c>
      <c r="F1628" s="4" t="s">
        <v>2157</v>
      </c>
      <c r="G1628">
        <v>14</v>
      </c>
      <c r="H1628">
        <v>68</v>
      </c>
      <c r="I1628" s="4" t="s">
        <v>116</v>
      </c>
      <c r="J1628" s="4" t="s">
        <v>122</v>
      </c>
      <c r="K1628" s="4" t="s">
        <v>123</v>
      </c>
      <c r="L1628">
        <v>77</v>
      </c>
      <c r="M1628" s="4" t="s">
        <v>158</v>
      </c>
    </row>
    <row r="1629" spans="1:13" x14ac:dyDescent="0.2">
      <c r="A1629" s="4" t="s">
        <v>2192</v>
      </c>
      <c r="B1629">
        <v>1628</v>
      </c>
      <c r="C1629" s="4" t="s">
        <v>26</v>
      </c>
      <c r="D1629" s="4" t="s">
        <v>47</v>
      </c>
      <c r="E1629" s="4" t="s">
        <v>50</v>
      </c>
      <c r="F1629" s="4" t="s">
        <v>2157</v>
      </c>
      <c r="G1629">
        <v>14</v>
      </c>
      <c r="H1629">
        <v>68</v>
      </c>
      <c r="I1629" s="4" t="s">
        <v>116</v>
      </c>
      <c r="J1629" s="4" t="s">
        <v>125</v>
      </c>
      <c r="K1629" s="4" t="s">
        <v>126</v>
      </c>
      <c r="L1629">
        <v>41</v>
      </c>
      <c r="M1629" s="4" t="s">
        <v>158</v>
      </c>
    </row>
    <row r="1630" spans="1:13" x14ac:dyDescent="0.2">
      <c r="A1630" s="4" t="s">
        <v>2193</v>
      </c>
      <c r="B1630">
        <v>1629</v>
      </c>
      <c r="C1630" s="4" t="s">
        <v>26</v>
      </c>
      <c r="D1630" s="4" t="s">
        <v>47</v>
      </c>
      <c r="E1630" s="4" t="s">
        <v>50</v>
      </c>
      <c r="F1630" s="4" t="s">
        <v>2157</v>
      </c>
      <c r="G1630">
        <v>14</v>
      </c>
      <c r="H1630">
        <v>68</v>
      </c>
      <c r="I1630" s="4" t="s">
        <v>116</v>
      </c>
      <c r="J1630" s="4" t="s">
        <v>127</v>
      </c>
      <c r="K1630" s="4" t="s">
        <v>128</v>
      </c>
      <c r="L1630">
        <v>87</v>
      </c>
      <c r="M1630" s="4" t="s">
        <v>158</v>
      </c>
    </row>
    <row r="1631" spans="1:13" x14ac:dyDescent="0.2">
      <c r="A1631" s="4" t="s">
        <v>2194</v>
      </c>
      <c r="B1631">
        <v>1630</v>
      </c>
      <c r="C1631" s="4" t="s">
        <v>26</v>
      </c>
      <c r="D1631" s="4" t="s">
        <v>47</v>
      </c>
      <c r="E1631" s="4" t="s">
        <v>50</v>
      </c>
      <c r="F1631" s="4" t="s">
        <v>2157</v>
      </c>
      <c r="G1631">
        <v>14</v>
      </c>
      <c r="H1631">
        <v>68</v>
      </c>
      <c r="I1631" s="4" t="s">
        <v>116</v>
      </c>
      <c r="J1631" s="4" t="s">
        <v>129</v>
      </c>
      <c r="K1631" s="4" t="s">
        <v>130</v>
      </c>
      <c r="L1631">
        <v>73</v>
      </c>
      <c r="M1631" s="4" t="s">
        <v>158</v>
      </c>
    </row>
    <row r="1632" spans="1:13" x14ac:dyDescent="0.2">
      <c r="A1632" s="4" t="s">
        <v>2195</v>
      </c>
      <c r="B1632">
        <v>1631</v>
      </c>
      <c r="C1632" s="4" t="s">
        <v>26</v>
      </c>
      <c r="D1632" s="4" t="s">
        <v>47</v>
      </c>
      <c r="E1632" s="4" t="s">
        <v>50</v>
      </c>
      <c r="F1632" s="4" t="s">
        <v>2157</v>
      </c>
      <c r="G1632">
        <v>14</v>
      </c>
      <c r="H1632">
        <v>68</v>
      </c>
      <c r="I1632" s="4" t="s">
        <v>116</v>
      </c>
      <c r="J1632" s="4" t="s">
        <v>131</v>
      </c>
      <c r="K1632" s="4" t="s">
        <v>132</v>
      </c>
      <c r="L1632">
        <v>58</v>
      </c>
      <c r="M1632" s="4" t="s">
        <v>158</v>
      </c>
    </row>
    <row r="1633" spans="1:13" x14ac:dyDescent="0.2">
      <c r="A1633" s="4" t="s">
        <v>2196</v>
      </c>
      <c r="B1633">
        <v>1632</v>
      </c>
      <c r="C1633" s="4" t="s">
        <v>26</v>
      </c>
      <c r="D1633" s="4" t="s">
        <v>47</v>
      </c>
      <c r="E1633" s="4" t="s">
        <v>50</v>
      </c>
      <c r="F1633" s="4" t="s">
        <v>2157</v>
      </c>
      <c r="G1633">
        <v>14</v>
      </c>
      <c r="H1633">
        <v>68</v>
      </c>
      <c r="I1633" s="4" t="s">
        <v>116</v>
      </c>
      <c r="J1633" s="4" t="s">
        <v>133</v>
      </c>
      <c r="K1633" s="4" t="s">
        <v>134</v>
      </c>
      <c r="L1633">
        <v>27</v>
      </c>
      <c r="M1633" s="4" t="s">
        <v>158</v>
      </c>
    </row>
    <row r="1634" spans="1:13" x14ac:dyDescent="0.2">
      <c r="A1634" s="4" t="s">
        <v>2197</v>
      </c>
      <c r="B1634">
        <v>1633</v>
      </c>
      <c r="C1634" s="4" t="s">
        <v>26</v>
      </c>
      <c r="D1634" s="4" t="s">
        <v>47</v>
      </c>
      <c r="E1634" s="4" t="s">
        <v>53</v>
      </c>
      <c r="F1634" s="4" t="s">
        <v>2158</v>
      </c>
      <c r="G1634">
        <v>14</v>
      </c>
      <c r="H1634">
        <v>69</v>
      </c>
      <c r="I1634" s="4" t="s">
        <v>35</v>
      </c>
      <c r="J1634" s="4" t="s">
        <v>122</v>
      </c>
      <c r="K1634" s="4" t="s">
        <v>123</v>
      </c>
      <c r="L1634">
        <v>674</v>
      </c>
      <c r="M1634" s="4" t="s">
        <v>158</v>
      </c>
    </row>
    <row r="1635" spans="1:13" x14ac:dyDescent="0.2">
      <c r="A1635" s="4" t="s">
        <v>2198</v>
      </c>
      <c r="B1635">
        <v>1634</v>
      </c>
      <c r="C1635" s="4" t="s">
        <v>26</v>
      </c>
      <c r="D1635" s="4" t="s">
        <v>47</v>
      </c>
      <c r="E1635" s="4" t="s">
        <v>53</v>
      </c>
      <c r="F1635" s="4" t="s">
        <v>2158</v>
      </c>
      <c r="G1635">
        <v>14</v>
      </c>
      <c r="H1635">
        <v>69</v>
      </c>
      <c r="I1635" s="4" t="s">
        <v>35</v>
      </c>
      <c r="J1635" s="4" t="s">
        <v>125</v>
      </c>
      <c r="K1635" s="4" t="s">
        <v>126</v>
      </c>
      <c r="L1635">
        <v>138</v>
      </c>
      <c r="M1635" s="4" t="s">
        <v>158</v>
      </c>
    </row>
    <row r="1636" spans="1:13" x14ac:dyDescent="0.2">
      <c r="A1636" s="4" t="s">
        <v>2199</v>
      </c>
      <c r="B1636">
        <v>1635</v>
      </c>
      <c r="C1636" s="4" t="s">
        <v>26</v>
      </c>
      <c r="D1636" s="4" t="s">
        <v>47</v>
      </c>
      <c r="E1636" s="4" t="s">
        <v>53</v>
      </c>
      <c r="F1636" s="4" t="s">
        <v>2158</v>
      </c>
      <c r="G1636">
        <v>14</v>
      </c>
      <c r="H1636">
        <v>69</v>
      </c>
      <c r="I1636" s="4" t="s">
        <v>35</v>
      </c>
      <c r="J1636" s="4" t="s">
        <v>127</v>
      </c>
      <c r="K1636" s="4" t="s">
        <v>128</v>
      </c>
      <c r="L1636">
        <v>638</v>
      </c>
      <c r="M1636" s="4" t="s">
        <v>158</v>
      </c>
    </row>
    <row r="1637" spans="1:13" x14ac:dyDescent="0.2">
      <c r="A1637" s="4" t="s">
        <v>2200</v>
      </c>
      <c r="B1637">
        <v>1636</v>
      </c>
      <c r="C1637" s="4" t="s">
        <v>26</v>
      </c>
      <c r="D1637" s="4" t="s">
        <v>47</v>
      </c>
      <c r="E1637" s="4" t="s">
        <v>53</v>
      </c>
      <c r="F1637" s="4" t="s">
        <v>2158</v>
      </c>
      <c r="G1637">
        <v>14</v>
      </c>
      <c r="H1637">
        <v>69</v>
      </c>
      <c r="I1637" s="4" t="s">
        <v>35</v>
      </c>
      <c r="J1637" s="4" t="s">
        <v>129</v>
      </c>
      <c r="K1637" s="4" t="s">
        <v>130</v>
      </c>
      <c r="L1637">
        <v>81</v>
      </c>
      <c r="M1637" s="4" t="s">
        <v>158</v>
      </c>
    </row>
    <row r="1638" spans="1:13" x14ac:dyDescent="0.2">
      <c r="A1638" s="4" t="s">
        <v>2201</v>
      </c>
      <c r="B1638">
        <v>1637</v>
      </c>
      <c r="C1638" s="4" t="s">
        <v>26</v>
      </c>
      <c r="D1638" s="4" t="s">
        <v>47</v>
      </c>
      <c r="E1638" s="4" t="s">
        <v>53</v>
      </c>
      <c r="F1638" s="4" t="s">
        <v>2158</v>
      </c>
      <c r="G1638">
        <v>14</v>
      </c>
      <c r="H1638">
        <v>69</v>
      </c>
      <c r="I1638" s="4" t="s">
        <v>35</v>
      </c>
      <c r="J1638" s="4" t="s">
        <v>131</v>
      </c>
      <c r="K1638" s="4" t="s">
        <v>132</v>
      </c>
      <c r="L1638">
        <v>235</v>
      </c>
      <c r="M1638" s="4" t="s">
        <v>158</v>
      </c>
    </row>
    <row r="1639" spans="1:13" x14ac:dyDescent="0.2">
      <c r="A1639" s="4" t="s">
        <v>2202</v>
      </c>
      <c r="B1639">
        <v>1638</v>
      </c>
      <c r="C1639" s="4" t="s">
        <v>26</v>
      </c>
      <c r="D1639" s="4" t="s">
        <v>47</v>
      </c>
      <c r="E1639" s="4" t="s">
        <v>53</v>
      </c>
      <c r="F1639" s="4" t="s">
        <v>2158</v>
      </c>
      <c r="G1639">
        <v>14</v>
      </c>
      <c r="H1639">
        <v>69</v>
      </c>
      <c r="I1639" s="4" t="s">
        <v>35</v>
      </c>
      <c r="J1639" s="4" t="s">
        <v>133</v>
      </c>
      <c r="K1639" s="4" t="s">
        <v>134</v>
      </c>
      <c r="L1639">
        <v>124</v>
      </c>
      <c r="M1639" s="4" t="s">
        <v>158</v>
      </c>
    </row>
    <row r="1640" spans="1:13" x14ac:dyDescent="0.2">
      <c r="A1640" s="4" t="s">
        <v>2203</v>
      </c>
      <c r="B1640">
        <v>1639</v>
      </c>
      <c r="C1640" s="4" t="s">
        <v>26</v>
      </c>
      <c r="D1640" s="4" t="s">
        <v>47</v>
      </c>
      <c r="E1640" s="4" t="s">
        <v>53</v>
      </c>
      <c r="F1640" s="4" t="s">
        <v>2158</v>
      </c>
      <c r="G1640">
        <v>14</v>
      </c>
      <c r="H1640">
        <v>69</v>
      </c>
      <c r="I1640" s="4" t="s">
        <v>112</v>
      </c>
      <c r="J1640" s="4" t="s">
        <v>122</v>
      </c>
      <c r="K1640" s="4" t="s">
        <v>123</v>
      </c>
      <c r="L1640">
        <v>405</v>
      </c>
      <c r="M1640" s="4" t="s">
        <v>158</v>
      </c>
    </row>
    <row r="1641" spans="1:13" x14ac:dyDescent="0.2">
      <c r="A1641" s="4" t="s">
        <v>2204</v>
      </c>
      <c r="B1641">
        <v>1640</v>
      </c>
      <c r="C1641" s="4" t="s">
        <v>26</v>
      </c>
      <c r="D1641" s="4" t="s">
        <v>47</v>
      </c>
      <c r="E1641" s="4" t="s">
        <v>53</v>
      </c>
      <c r="F1641" s="4" t="s">
        <v>2158</v>
      </c>
      <c r="G1641">
        <v>14</v>
      </c>
      <c r="H1641">
        <v>69</v>
      </c>
      <c r="I1641" s="4" t="s">
        <v>112</v>
      </c>
      <c r="J1641" s="4" t="s">
        <v>125</v>
      </c>
      <c r="K1641" s="4" t="s">
        <v>126</v>
      </c>
      <c r="L1641">
        <v>16</v>
      </c>
      <c r="M1641" s="4" t="s">
        <v>158</v>
      </c>
    </row>
    <row r="1642" spans="1:13" x14ac:dyDescent="0.2">
      <c r="A1642" s="4" t="s">
        <v>2205</v>
      </c>
      <c r="B1642">
        <v>1641</v>
      </c>
      <c r="C1642" s="4" t="s">
        <v>26</v>
      </c>
      <c r="D1642" s="4" t="s">
        <v>47</v>
      </c>
      <c r="E1642" s="4" t="s">
        <v>53</v>
      </c>
      <c r="F1642" s="4" t="s">
        <v>2158</v>
      </c>
      <c r="G1642">
        <v>14</v>
      </c>
      <c r="H1642">
        <v>69</v>
      </c>
      <c r="I1642" s="4" t="s">
        <v>112</v>
      </c>
      <c r="J1642" s="4" t="s">
        <v>127</v>
      </c>
      <c r="K1642" s="4" t="s">
        <v>128</v>
      </c>
      <c r="L1642">
        <v>206</v>
      </c>
      <c r="M1642" s="4" t="s">
        <v>158</v>
      </c>
    </row>
    <row r="1643" spans="1:13" x14ac:dyDescent="0.2">
      <c r="A1643" s="4" t="s">
        <v>2206</v>
      </c>
      <c r="B1643">
        <v>1642</v>
      </c>
      <c r="C1643" s="4" t="s">
        <v>26</v>
      </c>
      <c r="D1643" s="4" t="s">
        <v>47</v>
      </c>
      <c r="E1643" s="4" t="s">
        <v>53</v>
      </c>
      <c r="F1643" s="4" t="s">
        <v>2158</v>
      </c>
      <c r="G1643">
        <v>14</v>
      </c>
      <c r="H1643">
        <v>69</v>
      </c>
      <c r="I1643" s="4" t="s">
        <v>112</v>
      </c>
      <c r="J1643" s="4" t="s">
        <v>129</v>
      </c>
      <c r="K1643" s="4" t="s">
        <v>130</v>
      </c>
      <c r="L1643">
        <v>25</v>
      </c>
      <c r="M1643" s="4" t="s">
        <v>158</v>
      </c>
    </row>
    <row r="1644" spans="1:13" x14ac:dyDescent="0.2">
      <c r="A1644" s="4" t="s">
        <v>2207</v>
      </c>
      <c r="B1644">
        <v>1643</v>
      </c>
      <c r="C1644" s="4" t="s">
        <v>26</v>
      </c>
      <c r="D1644" s="4" t="s">
        <v>47</v>
      </c>
      <c r="E1644" s="4" t="s">
        <v>53</v>
      </c>
      <c r="F1644" s="4" t="s">
        <v>2158</v>
      </c>
      <c r="G1644">
        <v>14</v>
      </c>
      <c r="H1644">
        <v>69</v>
      </c>
      <c r="I1644" s="4" t="s">
        <v>112</v>
      </c>
      <c r="J1644" s="4" t="s">
        <v>131</v>
      </c>
      <c r="K1644" s="4" t="s">
        <v>132</v>
      </c>
      <c r="L1644">
        <v>100</v>
      </c>
      <c r="M1644" s="4" t="s">
        <v>158</v>
      </c>
    </row>
    <row r="1645" spans="1:13" x14ac:dyDescent="0.2">
      <c r="A1645" s="4" t="s">
        <v>2208</v>
      </c>
      <c r="B1645">
        <v>1644</v>
      </c>
      <c r="C1645" s="4" t="s">
        <v>26</v>
      </c>
      <c r="D1645" s="4" t="s">
        <v>47</v>
      </c>
      <c r="E1645" s="4" t="s">
        <v>53</v>
      </c>
      <c r="F1645" s="4" t="s">
        <v>2158</v>
      </c>
      <c r="G1645">
        <v>14</v>
      </c>
      <c r="H1645">
        <v>69</v>
      </c>
      <c r="I1645" s="4" t="s">
        <v>112</v>
      </c>
      <c r="J1645" s="4" t="s">
        <v>133</v>
      </c>
      <c r="K1645" s="4" t="s">
        <v>134</v>
      </c>
      <c r="L1645">
        <v>29</v>
      </c>
      <c r="M1645" s="4" t="s">
        <v>158</v>
      </c>
    </row>
    <row r="1646" spans="1:13" x14ac:dyDescent="0.2">
      <c r="A1646" s="4" t="s">
        <v>2209</v>
      </c>
      <c r="B1646">
        <v>1645</v>
      </c>
      <c r="C1646" s="4" t="s">
        <v>26</v>
      </c>
      <c r="D1646" s="4" t="s">
        <v>47</v>
      </c>
      <c r="E1646" s="4" t="s">
        <v>53</v>
      </c>
      <c r="F1646" s="4" t="s">
        <v>2158</v>
      </c>
      <c r="G1646">
        <v>14</v>
      </c>
      <c r="H1646">
        <v>69</v>
      </c>
      <c r="I1646" s="4" t="s">
        <v>114</v>
      </c>
      <c r="J1646" s="4" t="s">
        <v>122</v>
      </c>
      <c r="K1646" s="4" t="s">
        <v>123</v>
      </c>
      <c r="L1646">
        <v>29</v>
      </c>
      <c r="M1646" s="4" t="s">
        <v>158</v>
      </c>
    </row>
    <row r="1647" spans="1:13" x14ac:dyDescent="0.2">
      <c r="A1647" s="4" t="s">
        <v>2210</v>
      </c>
      <c r="B1647">
        <v>1646</v>
      </c>
      <c r="C1647" s="4" t="s">
        <v>26</v>
      </c>
      <c r="D1647" s="4" t="s">
        <v>47</v>
      </c>
      <c r="E1647" s="4" t="s">
        <v>53</v>
      </c>
      <c r="F1647" s="4" t="s">
        <v>2158</v>
      </c>
      <c r="G1647">
        <v>14</v>
      </c>
      <c r="H1647">
        <v>69</v>
      </c>
      <c r="I1647" s="4" t="s">
        <v>114</v>
      </c>
      <c r="J1647" s="4" t="s">
        <v>125</v>
      </c>
      <c r="K1647" s="4" t="s">
        <v>126</v>
      </c>
      <c r="L1647">
        <v>35</v>
      </c>
      <c r="M1647" s="4" t="s">
        <v>158</v>
      </c>
    </row>
    <row r="1648" spans="1:13" x14ac:dyDescent="0.2">
      <c r="A1648" s="4" t="s">
        <v>2211</v>
      </c>
      <c r="B1648">
        <v>1647</v>
      </c>
      <c r="C1648" s="4" t="s">
        <v>26</v>
      </c>
      <c r="D1648" s="4" t="s">
        <v>47</v>
      </c>
      <c r="E1648" s="4" t="s">
        <v>53</v>
      </c>
      <c r="F1648" s="4" t="s">
        <v>2158</v>
      </c>
      <c r="G1648">
        <v>14</v>
      </c>
      <c r="H1648">
        <v>69</v>
      </c>
      <c r="I1648" s="4" t="s">
        <v>114</v>
      </c>
      <c r="J1648" s="4" t="s">
        <v>127</v>
      </c>
      <c r="K1648" s="4" t="s">
        <v>128</v>
      </c>
      <c r="L1648">
        <v>122</v>
      </c>
      <c r="M1648" s="4" t="s">
        <v>158</v>
      </c>
    </row>
    <row r="1649" spans="1:13" x14ac:dyDescent="0.2">
      <c r="A1649" s="4" t="s">
        <v>2212</v>
      </c>
      <c r="B1649">
        <v>1648</v>
      </c>
      <c r="C1649" s="4" t="s">
        <v>26</v>
      </c>
      <c r="D1649" s="4" t="s">
        <v>47</v>
      </c>
      <c r="E1649" s="4" t="s">
        <v>53</v>
      </c>
      <c r="F1649" s="4" t="s">
        <v>2158</v>
      </c>
      <c r="G1649">
        <v>14</v>
      </c>
      <c r="H1649">
        <v>69</v>
      </c>
      <c r="I1649" s="4" t="s">
        <v>114</v>
      </c>
      <c r="J1649" s="4" t="s">
        <v>129</v>
      </c>
      <c r="K1649" s="4" t="s">
        <v>130</v>
      </c>
      <c r="L1649">
        <v>19</v>
      </c>
      <c r="M1649" s="4" t="s">
        <v>158</v>
      </c>
    </row>
    <row r="1650" spans="1:13" x14ac:dyDescent="0.2">
      <c r="A1650" s="4" t="s">
        <v>2213</v>
      </c>
      <c r="B1650">
        <v>1649</v>
      </c>
      <c r="C1650" s="4" t="s">
        <v>26</v>
      </c>
      <c r="D1650" s="4" t="s">
        <v>47</v>
      </c>
      <c r="E1650" s="4" t="s">
        <v>53</v>
      </c>
      <c r="F1650" s="4" t="s">
        <v>2158</v>
      </c>
      <c r="G1650">
        <v>14</v>
      </c>
      <c r="H1650">
        <v>69</v>
      </c>
      <c r="I1650" s="4" t="s">
        <v>114</v>
      </c>
      <c r="J1650" s="4" t="s">
        <v>131</v>
      </c>
      <c r="K1650" s="4" t="s">
        <v>132</v>
      </c>
      <c r="L1650">
        <v>68</v>
      </c>
      <c r="M1650" s="4" t="s">
        <v>158</v>
      </c>
    </row>
    <row r="1651" spans="1:13" x14ac:dyDescent="0.2">
      <c r="A1651" s="4" t="s">
        <v>2214</v>
      </c>
      <c r="B1651">
        <v>1650</v>
      </c>
      <c r="C1651" s="4" t="s">
        <v>26</v>
      </c>
      <c r="D1651" s="4" t="s">
        <v>47</v>
      </c>
      <c r="E1651" s="4" t="s">
        <v>53</v>
      </c>
      <c r="F1651" s="4" t="s">
        <v>2158</v>
      </c>
      <c r="G1651">
        <v>14</v>
      </c>
      <c r="H1651">
        <v>69</v>
      </c>
      <c r="I1651" s="4" t="s">
        <v>114</v>
      </c>
      <c r="J1651" s="4" t="s">
        <v>133</v>
      </c>
      <c r="K1651" s="4" t="s">
        <v>134</v>
      </c>
      <c r="L1651">
        <v>0</v>
      </c>
      <c r="M1651" s="4" t="s">
        <v>158</v>
      </c>
    </row>
    <row r="1652" spans="1:13" x14ac:dyDescent="0.2">
      <c r="A1652" s="4" t="s">
        <v>2215</v>
      </c>
      <c r="B1652">
        <v>1651</v>
      </c>
      <c r="C1652" s="4" t="s">
        <v>26</v>
      </c>
      <c r="D1652" s="4" t="s">
        <v>47</v>
      </c>
      <c r="E1652" s="4" t="s">
        <v>53</v>
      </c>
      <c r="F1652" s="4" t="s">
        <v>2158</v>
      </c>
      <c r="G1652">
        <v>14</v>
      </c>
      <c r="H1652">
        <v>69</v>
      </c>
      <c r="I1652" s="4" t="s">
        <v>116</v>
      </c>
      <c r="J1652" s="4" t="s">
        <v>122</v>
      </c>
      <c r="K1652" s="4" t="s">
        <v>123</v>
      </c>
      <c r="L1652">
        <v>0</v>
      </c>
      <c r="M1652" s="4" t="s">
        <v>158</v>
      </c>
    </row>
    <row r="1653" spans="1:13" x14ac:dyDescent="0.2">
      <c r="A1653" s="4" t="s">
        <v>2216</v>
      </c>
      <c r="B1653">
        <v>1652</v>
      </c>
      <c r="C1653" s="4" t="s">
        <v>26</v>
      </c>
      <c r="D1653" s="4" t="s">
        <v>47</v>
      </c>
      <c r="E1653" s="4" t="s">
        <v>53</v>
      </c>
      <c r="F1653" s="4" t="s">
        <v>2158</v>
      </c>
      <c r="G1653">
        <v>14</v>
      </c>
      <c r="H1653">
        <v>69</v>
      </c>
      <c r="I1653" s="4" t="s">
        <v>116</v>
      </c>
      <c r="J1653" s="4" t="s">
        <v>125</v>
      </c>
      <c r="K1653" s="4" t="s">
        <v>126</v>
      </c>
      <c r="L1653">
        <v>41</v>
      </c>
      <c r="M1653" s="4" t="s">
        <v>158</v>
      </c>
    </row>
    <row r="1654" spans="1:13" x14ac:dyDescent="0.2">
      <c r="A1654" s="4" t="s">
        <v>2217</v>
      </c>
      <c r="B1654">
        <v>1653</v>
      </c>
      <c r="C1654" s="4" t="s">
        <v>26</v>
      </c>
      <c r="D1654" s="4" t="s">
        <v>47</v>
      </c>
      <c r="E1654" s="4" t="s">
        <v>53</v>
      </c>
      <c r="F1654" s="4" t="s">
        <v>2158</v>
      </c>
      <c r="G1654">
        <v>14</v>
      </c>
      <c r="H1654">
        <v>69</v>
      </c>
      <c r="I1654" s="4" t="s">
        <v>116</v>
      </c>
      <c r="J1654" s="4" t="s">
        <v>127</v>
      </c>
      <c r="K1654" s="4" t="s">
        <v>128</v>
      </c>
      <c r="L1654">
        <v>0</v>
      </c>
      <c r="M1654" s="4" t="s">
        <v>158</v>
      </c>
    </row>
    <row r="1655" spans="1:13" x14ac:dyDescent="0.2">
      <c r="A1655" s="4" t="s">
        <v>2218</v>
      </c>
      <c r="B1655">
        <v>1654</v>
      </c>
      <c r="C1655" s="4" t="s">
        <v>26</v>
      </c>
      <c r="D1655" s="4" t="s">
        <v>47</v>
      </c>
      <c r="E1655" s="4" t="s">
        <v>53</v>
      </c>
      <c r="F1655" s="4" t="s">
        <v>2158</v>
      </c>
      <c r="G1655">
        <v>14</v>
      </c>
      <c r="H1655">
        <v>69</v>
      </c>
      <c r="I1655" s="4" t="s">
        <v>116</v>
      </c>
      <c r="J1655" s="4" t="s">
        <v>129</v>
      </c>
      <c r="K1655" s="4" t="s">
        <v>130</v>
      </c>
      <c r="L1655">
        <v>0</v>
      </c>
      <c r="M1655" s="4" t="s">
        <v>158</v>
      </c>
    </row>
    <row r="1656" spans="1:13" x14ac:dyDescent="0.2">
      <c r="A1656" s="4" t="s">
        <v>2219</v>
      </c>
      <c r="B1656">
        <v>1655</v>
      </c>
      <c r="C1656" s="4" t="s">
        <v>26</v>
      </c>
      <c r="D1656" s="4" t="s">
        <v>47</v>
      </c>
      <c r="E1656" s="4" t="s">
        <v>53</v>
      </c>
      <c r="F1656" s="4" t="s">
        <v>2158</v>
      </c>
      <c r="G1656">
        <v>14</v>
      </c>
      <c r="H1656">
        <v>69</v>
      </c>
      <c r="I1656" s="4" t="s">
        <v>116</v>
      </c>
      <c r="J1656" s="4" t="s">
        <v>131</v>
      </c>
      <c r="K1656" s="4" t="s">
        <v>132</v>
      </c>
      <c r="L1656">
        <v>23</v>
      </c>
      <c r="M1656" s="4" t="s">
        <v>158</v>
      </c>
    </row>
    <row r="1657" spans="1:13" x14ac:dyDescent="0.2">
      <c r="A1657" s="4" t="s">
        <v>2220</v>
      </c>
      <c r="B1657">
        <v>1656</v>
      </c>
      <c r="C1657" s="4" t="s">
        <v>26</v>
      </c>
      <c r="D1657" s="4" t="s">
        <v>47</v>
      </c>
      <c r="E1657" s="4" t="s">
        <v>53</v>
      </c>
      <c r="F1657" s="4" t="s">
        <v>2158</v>
      </c>
      <c r="G1657">
        <v>14</v>
      </c>
      <c r="H1657">
        <v>69</v>
      </c>
      <c r="I1657" s="4" t="s">
        <v>116</v>
      </c>
      <c r="J1657" s="4" t="s">
        <v>133</v>
      </c>
      <c r="K1657" s="4" t="s">
        <v>134</v>
      </c>
      <c r="L1657">
        <v>27</v>
      </c>
      <c r="M1657" s="4" t="s">
        <v>158</v>
      </c>
    </row>
    <row r="1658" spans="1:13" x14ac:dyDescent="0.2">
      <c r="A1658" s="4" t="s">
        <v>2221</v>
      </c>
      <c r="B1658">
        <v>1657</v>
      </c>
      <c r="C1658" s="4" t="s">
        <v>26</v>
      </c>
      <c r="D1658" s="4" t="s">
        <v>47</v>
      </c>
      <c r="E1658" s="4" t="s">
        <v>56</v>
      </c>
      <c r="F1658" s="4" t="s">
        <v>2222</v>
      </c>
      <c r="G1658">
        <v>14</v>
      </c>
      <c r="H1658">
        <v>70</v>
      </c>
      <c r="I1658" s="4" t="s">
        <v>35</v>
      </c>
      <c r="J1658" s="4" t="s">
        <v>122</v>
      </c>
      <c r="K1658" s="4" t="s">
        <v>123</v>
      </c>
      <c r="L1658">
        <v>208</v>
      </c>
      <c r="M1658" s="4" t="s">
        <v>158</v>
      </c>
    </row>
    <row r="1659" spans="1:13" x14ac:dyDescent="0.2">
      <c r="A1659" s="4" t="s">
        <v>2223</v>
      </c>
      <c r="B1659">
        <v>1658</v>
      </c>
      <c r="C1659" s="4" t="s">
        <v>26</v>
      </c>
      <c r="D1659" s="4" t="s">
        <v>47</v>
      </c>
      <c r="E1659" s="4" t="s">
        <v>56</v>
      </c>
      <c r="F1659" s="4" t="s">
        <v>2222</v>
      </c>
      <c r="G1659">
        <v>14</v>
      </c>
      <c r="H1659">
        <v>70</v>
      </c>
      <c r="I1659" s="4" t="s">
        <v>35</v>
      </c>
      <c r="J1659" s="4" t="s">
        <v>125</v>
      </c>
      <c r="K1659" s="4" t="s">
        <v>126</v>
      </c>
      <c r="L1659">
        <v>55</v>
      </c>
      <c r="M1659" s="4" t="s">
        <v>158</v>
      </c>
    </row>
    <row r="1660" spans="1:13" x14ac:dyDescent="0.2">
      <c r="A1660" s="4" t="s">
        <v>2224</v>
      </c>
      <c r="B1660">
        <v>1659</v>
      </c>
      <c r="C1660" s="4" t="s">
        <v>26</v>
      </c>
      <c r="D1660" s="4" t="s">
        <v>47</v>
      </c>
      <c r="E1660" s="4" t="s">
        <v>56</v>
      </c>
      <c r="F1660" s="4" t="s">
        <v>2222</v>
      </c>
      <c r="G1660">
        <v>14</v>
      </c>
      <c r="H1660">
        <v>70</v>
      </c>
      <c r="I1660" s="4" t="s">
        <v>35</v>
      </c>
      <c r="J1660" s="4" t="s">
        <v>127</v>
      </c>
      <c r="K1660" s="4" t="s">
        <v>128</v>
      </c>
      <c r="L1660">
        <v>166</v>
      </c>
      <c r="M1660" s="4" t="s">
        <v>158</v>
      </c>
    </row>
    <row r="1661" spans="1:13" x14ac:dyDescent="0.2">
      <c r="A1661" s="4" t="s">
        <v>2225</v>
      </c>
      <c r="B1661">
        <v>1660</v>
      </c>
      <c r="C1661" s="4" t="s">
        <v>26</v>
      </c>
      <c r="D1661" s="4" t="s">
        <v>47</v>
      </c>
      <c r="E1661" s="4" t="s">
        <v>56</v>
      </c>
      <c r="F1661" s="4" t="s">
        <v>2222</v>
      </c>
      <c r="G1661">
        <v>14</v>
      </c>
      <c r="H1661">
        <v>70</v>
      </c>
      <c r="I1661" s="4" t="s">
        <v>35</v>
      </c>
      <c r="J1661" s="4" t="s">
        <v>129</v>
      </c>
      <c r="K1661" s="4" t="s">
        <v>130</v>
      </c>
      <c r="L1661">
        <v>0</v>
      </c>
      <c r="M1661" s="4" t="s">
        <v>158</v>
      </c>
    </row>
    <row r="1662" spans="1:13" x14ac:dyDescent="0.2">
      <c r="A1662" s="4" t="s">
        <v>2226</v>
      </c>
      <c r="B1662">
        <v>1661</v>
      </c>
      <c r="C1662" s="4" t="s">
        <v>26</v>
      </c>
      <c r="D1662" s="4" t="s">
        <v>47</v>
      </c>
      <c r="E1662" s="4" t="s">
        <v>56</v>
      </c>
      <c r="F1662" s="4" t="s">
        <v>2222</v>
      </c>
      <c r="G1662">
        <v>14</v>
      </c>
      <c r="H1662">
        <v>70</v>
      </c>
      <c r="I1662" s="4" t="s">
        <v>35</v>
      </c>
      <c r="J1662" s="4" t="s">
        <v>131</v>
      </c>
      <c r="K1662" s="4" t="s">
        <v>132</v>
      </c>
      <c r="L1662">
        <v>126</v>
      </c>
      <c r="M1662" s="4" t="s">
        <v>158</v>
      </c>
    </row>
    <row r="1663" spans="1:13" x14ac:dyDescent="0.2">
      <c r="A1663" s="4" t="s">
        <v>2227</v>
      </c>
      <c r="B1663">
        <v>1662</v>
      </c>
      <c r="C1663" s="4" t="s">
        <v>26</v>
      </c>
      <c r="D1663" s="4" t="s">
        <v>47</v>
      </c>
      <c r="E1663" s="4" t="s">
        <v>56</v>
      </c>
      <c r="F1663" s="4" t="s">
        <v>2222</v>
      </c>
      <c r="G1663">
        <v>14</v>
      </c>
      <c r="H1663">
        <v>70</v>
      </c>
      <c r="I1663" s="4" t="s">
        <v>35</v>
      </c>
      <c r="J1663" s="4" t="s">
        <v>133</v>
      </c>
      <c r="K1663" s="4" t="s">
        <v>134</v>
      </c>
      <c r="L1663">
        <v>0</v>
      </c>
      <c r="M1663" s="4" t="s">
        <v>158</v>
      </c>
    </row>
    <row r="1664" spans="1:13" x14ac:dyDescent="0.2">
      <c r="A1664" s="4" t="s">
        <v>2228</v>
      </c>
      <c r="B1664">
        <v>1663</v>
      </c>
      <c r="C1664" s="4" t="s">
        <v>26</v>
      </c>
      <c r="D1664" s="4" t="s">
        <v>47</v>
      </c>
      <c r="E1664" s="4" t="s">
        <v>56</v>
      </c>
      <c r="F1664" s="4" t="s">
        <v>2222</v>
      </c>
      <c r="G1664">
        <v>14</v>
      </c>
      <c r="H1664">
        <v>70</v>
      </c>
      <c r="I1664" s="4" t="s">
        <v>112</v>
      </c>
      <c r="J1664" s="4" t="s">
        <v>122</v>
      </c>
      <c r="K1664" s="4" t="s">
        <v>123</v>
      </c>
      <c r="L1664">
        <v>650</v>
      </c>
      <c r="M1664" s="4" t="s">
        <v>158</v>
      </c>
    </row>
    <row r="1665" spans="1:13" x14ac:dyDescent="0.2">
      <c r="A1665" s="4" t="s">
        <v>2229</v>
      </c>
      <c r="B1665">
        <v>1664</v>
      </c>
      <c r="C1665" s="4" t="s">
        <v>26</v>
      </c>
      <c r="D1665" s="4" t="s">
        <v>47</v>
      </c>
      <c r="E1665" s="4" t="s">
        <v>56</v>
      </c>
      <c r="F1665" s="4" t="s">
        <v>2222</v>
      </c>
      <c r="G1665">
        <v>14</v>
      </c>
      <c r="H1665">
        <v>70</v>
      </c>
      <c r="I1665" s="4" t="s">
        <v>112</v>
      </c>
      <c r="J1665" s="4" t="s">
        <v>125</v>
      </c>
      <c r="K1665" s="4" t="s">
        <v>126</v>
      </c>
      <c r="L1665">
        <v>50</v>
      </c>
      <c r="M1665" s="4" t="s">
        <v>158</v>
      </c>
    </row>
    <row r="1666" spans="1:13" x14ac:dyDescent="0.2">
      <c r="A1666" s="4" t="s">
        <v>2230</v>
      </c>
      <c r="B1666">
        <v>1665</v>
      </c>
      <c r="C1666" s="4" t="s">
        <v>26</v>
      </c>
      <c r="D1666" s="4" t="s">
        <v>47</v>
      </c>
      <c r="E1666" s="4" t="s">
        <v>56</v>
      </c>
      <c r="F1666" s="4" t="s">
        <v>2222</v>
      </c>
      <c r="G1666">
        <v>14</v>
      </c>
      <c r="H1666">
        <v>70</v>
      </c>
      <c r="I1666" s="4" t="s">
        <v>112</v>
      </c>
      <c r="J1666" s="4" t="s">
        <v>127</v>
      </c>
      <c r="K1666" s="4" t="s">
        <v>128</v>
      </c>
      <c r="L1666">
        <v>296</v>
      </c>
      <c r="M1666" s="4" t="s">
        <v>158</v>
      </c>
    </row>
    <row r="1667" spans="1:13" x14ac:dyDescent="0.2">
      <c r="A1667" s="4" t="s">
        <v>2231</v>
      </c>
      <c r="B1667">
        <v>1666</v>
      </c>
      <c r="C1667" s="4" t="s">
        <v>26</v>
      </c>
      <c r="D1667" s="4" t="s">
        <v>47</v>
      </c>
      <c r="E1667" s="4" t="s">
        <v>56</v>
      </c>
      <c r="F1667" s="4" t="s">
        <v>2222</v>
      </c>
      <c r="G1667">
        <v>14</v>
      </c>
      <c r="H1667">
        <v>70</v>
      </c>
      <c r="I1667" s="4" t="s">
        <v>112</v>
      </c>
      <c r="J1667" s="4" t="s">
        <v>129</v>
      </c>
      <c r="K1667" s="4" t="s">
        <v>130</v>
      </c>
      <c r="L1667">
        <v>35</v>
      </c>
      <c r="M1667" s="4" t="s">
        <v>158</v>
      </c>
    </row>
    <row r="1668" spans="1:13" x14ac:dyDescent="0.2">
      <c r="A1668" s="4" t="s">
        <v>2232</v>
      </c>
      <c r="B1668">
        <v>1667</v>
      </c>
      <c r="C1668" s="4" t="s">
        <v>26</v>
      </c>
      <c r="D1668" s="4" t="s">
        <v>47</v>
      </c>
      <c r="E1668" s="4" t="s">
        <v>56</v>
      </c>
      <c r="F1668" s="4" t="s">
        <v>2222</v>
      </c>
      <c r="G1668">
        <v>14</v>
      </c>
      <c r="H1668">
        <v>70</v>
      </c>
      <c r="I1668" s="4" t="s">
        <v>112</v>
      </c>
      <c r="J1668" s="4" t="s">
        <v>131</v>
      </c>
      <c r="K1668" s="4" t="s">
        <v>132</v>
      </c>
      <c r="L1668">
        <v>77</v>
      </c>
      <c r="M1668" s="4" t="s">
        <v>158</v>
      </c>
    </row>
    <row r="1669" spans="1:13" x14ac:dyDescent="0.2">
      <c r="A1669" s="4" t="s">
        <v>2233</v>
      </c>
      <c r="B1669">
        <v>1668</v>
      </c>
      <c r="C1669" s="4" t="s">
        <v>26</v>
      </c>
      <c r="D1669" s="4" t="s">
        <v>47</v>
      </c>
      <c r="E1669" s="4" t="s">
        <v>56</v>
      </c>
      <c r="F1669" s="4" t="s">
        <v>2222</v>
      </c>
      <c r="G1669">
        <v>14</v>
      </c>
      <c r="H1669">
        <v>70</v>
      </c>
      <c r="I1669" s="4" t="s">
        <v>112</v>
      </c>
      <c r="J1669" s="4" t="s">
        <v>133</v>
      </c>
      <c r="K1669" s="4" t="s">
        <v>134</v>
      </c>
      <c r="L1669">
        <v>91</v>
      </c>
      <c r="M1669" s="4" t="s">
        <v>158</v>
      </c>
    </row>
    <row r="1670" spans="1:13" x14ac:dyDescent="0.2">
      <c r="A1670" s="4" t="s">
        <v>2234</v>
      </c>
      <c r="B1670">
        <v>1669</v>
      </c>
      <c r="C1670" s="4" t="s">
        <v>26</v>
      </c>
      <c r="D1670" s="4" t="s">
        <v>47</v>
      </c>
      <c r="E1670" s="4" t="s">
        <v>56</v>
      </c>
      <c r="F1670" s="4" t="s">
        <v>2222</v>
      </c>
      <c r="G1670">
        <v>14</v>
      </c>
      <c r="H1670">
        <v>70</v>
      </c>
      <c r="I1670" s="4" t="s">
        <v>114</v>
      </c>
      <c r="J1670" s="4" t="s">
        <v>122</v>
      </c>
      <c r="K1670" s="4" t="s">
        <v>123</v>
      </c>
      <c r="L1670">
        <v>100</v>
      </c>
      <c r="M1670" s="4" t="s">
        <v>158</v>
      </c>
    </row>
    <row r="1671" spans="1:13" x14ac:dyDescent="0.2">
      <c r="A1671" s="4" t="s">
        <v>2235</v>
      </c>
      <c r="B1671">
        <v>1670</v>
      </c>
      <c r="C1671" s="4" t="s">
        <v>26</v>
      </c>
      <c r="D1671" s="4" t="s">
        <v>47</v>
      </c>
      <c r="E1671" s="4" t="s">
        <v>56</v>
      </c>
      <c r="F1671" s="4" t="s">
        <v>2222</v>
      </c>
      <c r="G1671">
        <v>14</v>
      </c>
      <c r="H1671">
        <v>70</v>
      </c>
      <c r="I1671" s="4" t="s">
        <v>114</v>
      </c>
      <c r="J1671" s="4" t="s">
        <v>125</v>
      </c>
      <c r="K1671" s="4" t="s">
        <v>126</v>
      </c>
      <c r="L1671">
        <v>46</v>
      </c>
      <c r="M1671" s="4" t="s">
        <v>158</v>
      </c>
    </row>
    <row r="1672" spans="1:13" x14ac:dyDescent="0.2">
      <c r="A1672" s="4" t="s">
        <v>2236</v>
      </c>
      <c r="B1672">
        <v>1671</v>
      </c>
      <c r="C1672" s="4" t="s">
        <v>26</v>
      </c>
      <c r="D1672" s="4" t="s">
        <v>47</v>
      </c>
      <c r="E1672" s="4" t="s">
        <v>56</v>
      </c>
      <c r="F1672" s="4" t="s">
        <v>2222</v>
      </c>
      <c r="G1672">
        <v>14</v>
      </c>
      <c r="H1672">
        <v>70</v>
      </c>
      <c r="I1672" s="4" t="s">
        <v>114</v>
      </c>
      <c r="J1672" s="4" t="s">
        <v>127</v>
      </c>
      <c r="K1672" s="4" t="s">
        <v>128</v>
      </c>
      <c r="L1672">
        <v>228</v>
      </c>
      <c r="M1672" s="4" t="s">
        <v>158</v>
      </c>
    </row>
    <row r="1673" spans="1:13" x14ac:dyDescent="0.2">
      <c r="A1673" s="4" t="s">
        <v>2237</v>
      </c>
      <c r="B1673">
        <v>1672</v>
      </c>
      <c r="C1673" s="4" t="s">
        <v>26</v>
      </c>
      <c r="D1673" s="4" t="s">
        <v>47</v>
      </c>
      <c r="E1673" s="4" t="s">
        <v>56</v>
      </c>
      <c r="F1673" s="4" t="s">
        <v>2222</v>
      </c>
      <c r="G1673">
        <v>14</v>
      </c>
      <c r="H1673">
        <v>70</v>
      </c>
      <c r="I1673" s="4" t="s">
        <v>114</v>
      </c>
      <c r="J1673" s="4" t="s">
        <v>129</v>
      </c>
      <c r="K1673" s="4" t="s">
        <v>130</v>
      </c>
      <c r="L1673">
        <v>13</v>
      </c>
      <c r="M1673" s="4" t="s">
        <v>158</v>
      </c>
    </row>
    <row r="1674" spans="1:13" x14ac:dyDescent="0.2">
      <c r="A1674" s="4" t="s">
        <v>2238</v>
      </c>
      <c r="B1674">
        <v>1673</v>
      </c>
      <c r="C1674" s="4" t="s">
        <v>26</v>
      </c>
      <c r="D1674" s="4" t="s">
        <v>47</v>
      </c>
      <c r="E1674" s="4" t="s">
        <v>56</v>
      </c>
      <c r="F1674" s="4" t="s">
        <v>2222</v>
      </c>
      <c r="G1674">
        <v>14</v>
      </c>
      <c r="H1674">
        <v>70</v>
      </c>
      <c r="I1674" s="4" t="s">
        <v>114</v>
      </c>
      <c r="J1674" s="4" t="s">
        <v>131</v>
      </c>
      <c r="K1674" s="4" t="s">
        <v>132</v>
      </c>
      <c r="L1674">
        <v>93</v>
      </c>
      <c r="M1674" s="4" t="s">
        <v>158</v>
      </c>
    </row>
    <row r="1675" spans="1:13" x14ac:dyDescent="0.2">
      <c r="A1675" s="4" t="s">
        <v>2239</v>
      </c>
      <c r="B1675">
        <v>1674</v>
      </c>
      <c r="C1675" s="4" t="s">
        <v>26</v>
      </c>
      <c r="D1675" s="4" t="s">
        <v>47</v>
      </c>
      <c r="E1675" s="4" t="s">
        <v>56</v>
      </c>
      <c r="F1675" s="4" t="s">
        <v>2222</v>
      </c>
      <c r="G1675">
        <v>14</v>
      </c>
      <c r="H1675">
        <v>70</v>
      </c>
      <c r="I1675" s="4" t="s">
        <v>114</v>
      </c>
      <c r="J1675" s="4" t="s">
        <v>133</v>
      </c>
      <c r="K1675" s="4" t="s">
        <v>134</v>
      </c>
      <c r="L1675">
        <v>43</v>
      </c>
      <c r="M1675" s="4" t="s">
        <v>158</v>
      </c>
    </row>
    <row r="1676" spans="1:13" x14ac:dyDescent="0.2">
      <c r="A1676" s="4" t="s">
        <v>2240</v>
      </c>
      <c r="B1676">
        <v>1675</v>
      </c>
      <c r="C1676" s="4" t="s">
        <v>26</v>
      </c>
      <c r="D1676" s="4" t="s">
        <v>47</v>
      </c>
      <c r="E1676" s="4" t="s">
        <v>56</v>
      </c>
      <c r="F1676" s="4" t="s">
        <v>2222</v>
      </c>
      <c r="G1676">
        <v>14</v>
      </c>
      <c r="H1676">
        <v>70</v>
      </c>
      <c r="I1676" s="4" t="s">
        <v>116</v>
      </c>
      <c r="J1676" s="4" t="s">
        <v>122</v>
      </c>
      <c r="K1676" s="4" t="s">
        <v>123</v>
      </c>
      <c r="L1676">
        <v>150</v>
      </c>
      <c r="M1676" s="4" t="s">
        <v>158</v>
      </c>
    </row>
    <row r="1677" spans="1:13" x14ac:dyDescent="0.2">
      <c r="A1677" s="4" t="s">
        <v>2241</v>
      </c>
      <c r="B1677">
        <v>1676</v>
      </c>
      <c r="C1677" s="4" t="s">
        <v>26</v>
      </c>
      <c r="D1677" s="4" t="s">
        <v>47</v>
      </c>
      <c r="E1677" s="4" t="s">
        <v>56</v>
      </c>
      <c r="F1677" s="4" t="s">
        <v>2222</v>
      </c>
      <c r="G1677">
        <v>14</v>
      </c>
      <c r="H1677">
        <v>70</v>
      </c>
      <c r="I1677" s="4" t="s">
        <v>116</v>
      </c>
      <c r="J1677" s="4" t="s">
        <v>125</v>
      </c>
      <c r="K1677" s="4" t="s">
        <v>126</v>
      </c>
      <c r="L1677">
        <v>27</v>
      </c>
      <c r="M1677" s="4" t="s">
        <v>158</v>
      </c>
    </row>
    <row r="1678" spans="1:13" x14ac:dyDescent="0.2">
      <c r="A1678" s="4" t="s">
        <v>2242</v>
      </c>
      <c r="B1678">
        <v>1677</v>
      </c>
      <c r="C1678" s="4" t="s">
        <v>26</v>
      </c>
      <c r="D1678" s="4" t="s">
        <v>47</v>
      </c>
      <c r="E1678" s="4" t="s">
        <v>56</v>
      </c>
      <c r="F1678" s="4" t="s">
        <v>2222</v>
      </c>
      <c r="G1678">
        <v>14</v>
      </c>
      <c r="H1678">
        <v>70</v>
      </c>
      <c r="I1678" s="4" t="s">
        <v>116</v>
      </c>
      <c r="J1678" s="4" t="s">
        <v>127</v>
      </c>
      <c r="K1678" s="4" t="s">
        <v>128</v>
      </c>
      <c r="L1678">
        <v>100</v>
      </c>
      <c r="M1678" s="4" t="s">
        <v>158</v>
      </c>
    </row>
    <row r="1679" spans="1:13" x14ac:dyDescent="0.2">
      <c r="A1679" s="4" t="s">
        <v>2243</v>
      </c>
      <c r="B1679">
        <v>1678</v>
      </c>
      <c r="C1679" s="4" t="s">
        <v>26</v>
      </c>
      <c r="D1679" s="4" t="s">
        <v>47</v>
      </c>
      <c r="E1679" s="4" t="s">
        <v>56</v>
      </c>
      <c r="F1679" s="4" t="s">
        <v>2222</v>
      </c>
      <c r="G1679">
        <v>14</v>
      </c>
      <c r="H1679">
        <v>70</v>
      </c>
      <c r="I1679" s="4" t="s">
        <v>116</v>
      </c>
      <c r="J1679" s="4" t="s">
        <v>129</v>
      </c>
      <c r="K1679" s="4" t="s">
        <v>130</v>
      </c>
      <c r="L1679">
        <v>58</v>
      </c>
      <c r="M1679" s="4" t="s">
        <v>158</v>
      </c>
    </row>
    <row r="1680" spans="1:13" x14ac:dyDescent="0.2">
      <c r="A1680" s="4" t="s">
        <v>2244</v>
      </c>
      <c r="B1680">
        <v>1679</v>
      </c>
      <c r="C1680" s="4" t="s">
        <v>26</v>
      </c>
      <c r="D1680" s="4" t="s">
        <v>47</v>
      </c>
      <c r="E1680" s="4" t="s">
        <v>56</v>
      </c>
      <c r="F1680" s="4" t="s">
        <v>2222</v>
      </c>
      <c r="G1680">
        <v>14</v>
      </c>
      <c r="H1680">
        <v>70</v>
      </c>
      <c r="I1680" s="4" t="s">
        <v>116</v>
      </c>
      <c r="J1680" s="4" t="s">
        <v>131</v>
      </c>
      <c r="K1680" s="4" t="s">
        <v>132</v>
      </c>
      <c r="L1680">
        <v>80</v>
      </c>
      <c r="M1680" s="4" t="s">
        <v>158</v>
      </c>
    </row>
    <row r="1681" spans="1:13" x14ac:dyDescent="0.2">
      <c r="A1681" s="4" t="s">
        <v>2245</v>
      </c>
      <c r="B1681">
        <v>1680</v>
      </c>
      <c r="C1681" s="4" t="s">
        <v>26</v>
      </c>
      <c r="D1681" s="4" t="s">
        <v>47</v>
      </c>
      <c r="E1681" s="4" t="s">
        <v>56</v>
      </c>
      <c r="F1681" s="4" t="s">
        <v>2222</v>
      </c>
      <c r="G1681">
        <v>14</v>
      </c>
      <c r="H1681">
        <v>70</v>
      </c>
      <c r="I1681" s="4" t="s">
        <v>116</v>
      </c>
      <c r="J1681" s="4" t="s">
        <v>133</v>
      </c>
      <c r="K1681" s="4" t="s">
        <v>134</v>
      </c>
      <c r="L1681">
        <v>46</v>
      </c>
      <c r="M1681" s="4" t="s">
        <v>158</v>
      </c>
    </row>
    <row r="1682" spans="1:13" x14ac:dyDescent="0.2">
      <c r="A1682" s="4" t="s">
        <v>2251</v>
      </c>
      <c r="B1682">
        <v>1681</v>
      </c>
      <c r="C1682" s="4" t="s">
        <v>26</v>
      </c>
      <c r="D1682" s="4" t="s">
        <v>50</v>
      </c>
      <c r="E1682" s="4" t="s">
        <v>27</v>
      </c>
      <c r="F1682" s="4" t="s">
        <v>2252</v>
      </c>
      <c r="G1682">
        <v>15</v>
      </c>
      <c r="H1682">
        <v>71</v>
      </c>
      <c r="I1682" s="4" t="s">
        <v>35</v>
      </c>
      <c r="J1682" s="4" t="s">
        <v>122</v>
      </c>
      <c r="K1682" s="4" t="s">
        <v>123</v>
      </c>
      <c r="L1682">
        <v>208</v>
      </c>
      <c r="M1682" s="4" t="s">
        <v>158</v>
      </c>
    </row>
    <row r="1683" spans="1:13" x14ac:dyDescent="0.2">
      <c r="A1683" s="4" t="s">
        <v>2253</v>
      </c>
      <c r="B1683">
        <v>1682</v>
      </c>
      <c r="C1683" s="4" t="s">
        <v>26</v>
      </c>
      <c r="D1683" s="4" t="s">
        <v>50</v>
      </c>
      <c r="E1683" s="4" t="s">
        <v>27</v>
      </c>
      <c r="F1683" s="4" t="s">
        <v>2252</v>
      </c>
      <c r="G1683">
        <v>15</v>
      </c>
      <c r="H1683">
        <v>71</v>
      </c>
      <c r="I1683" s="4" t="s">
        <v>35</v>
      </c>
      <c r="J1683" s="4" t="s">
        <v>125</v>
      </c>
      <c r="K1683" s="4" t="s">
        <v>126</v>
      </c>
      <c r="L1683">
        <v>55</v>
      </c>
      <c r="M1683" s="4" t="s">
        <v>158</v>
      </c>
    </row>
    <row r="1684" spans="1:13" x14ac:dyDescent="0.2">
      <c r="A1684" s="4" t="s">
        <v>2254</v>
      </c>
      <c r="B1684">
        <v>1683</v>
      </c>
      <c r="C1684" s="4" t="s">
        <v>26</v>
      </c>
      <c r="D1684" s="4" t="s">
        <v>50</v>
      </c>
      <c r="E1684" s="4" t="s">
        <v>27</v>
      </c>
      <c r="F1684" s="4" t="s">
        <v>2252</v>
      </c>
      <c r="G1684">
        <v>15</v>
      </c>
      <c r="H1684">
        <v>71</v>
      </c>
      <c r="I1684" s="4" t="s">
        <v>35</v>
      </c>
      <c r="J1684" s="4" t="s">
        <v>127</v>
      </c>
      <c r="K1684" s="4" t="s">
        <v>128</v>
      </c>
      <c r="L1684">
        <v>166</v>
      </c>
      <c r="M1684" s="4" t="s">
        <v>158</v>
      </c>
    </row>
    <row r="1685" spans="1:13" x14ac:dyDescent="0.2">
      <c r="A1685" s="4" t="s">
        <v>2255</v>
      </c>
      <c r="B1685">
        <v>1684</v>
      </c>
      <c r="C1685" s="4" t="s">
        <v>26</v>
      </c>
      <c r="D1685" s="4" t="s">
        <v>50</v>
      </c>
      <c r="E1685" s="4" t="s">
        <v>27</v>
      </c>
      <c r="F1685" s="4" t="s">
        <v>2252</v>
      </c>
      <c r="G1685">
        <v>15</v>
      </c>
      <c r="H1685">
        <v>71</v>
      </c>
      <c r="I1685" s="4" t="s">
        <v>35</v>
      </c>
      <c r="J1685" s="4" t="s">
        <v>129</v>
      </c>
      <c r="K1685" s="4" t="s">
        <v>130</v>
      </c>
      <c r="L1685">
        <v>0</v>
      </c>
      <c r="M1685" s="4" t="s">
        <v>158</v>
      </c>
    </row>
    <row r="1686" spans="1:13" x14ac:dyDescent="0.2">
      <c r="A1686" s="4" t="s">
        <v>2256</v>
      </c>
      <c r="B1686">
        <v>1685</v>
      </c>
      <c r="C1686" s="4" t="s">
        <v>26</v>
      </c>
      <c r="D1686" s="4" t="s">
        <v>50</v>
      </c>
      <c r="E1686" s="4" t="s">
        <v>27</v>
      </c>
      <c r="F1686" s="4" t="s">
        <v>2252</v>
      </c>
      <c r="G1686">
        <v>15</v>
      </c>
      <c r="H1686">
        <v>71</v>
      </c>
      <c r="I1686" s="4" t="s">
        <v>35</v>
      </c>
      <c r="J1686" s="4" t="s">
        <v>131</v>
      </c>
      <c r="K1686" s="4" t="s">
        <v>132</v>
      </c>
      <c r="L1686">
        <v>126</v>
      </c>
      <c r="M1686" s="4" t="s">
        <v>158</v>
      </c>
    </row>
    <row r="1687" spans="1:13" x14ac:dyDescent="0.2">
      <c r="A1687" s="4" t="s">
        <v>2257</v>
      </c>
      <c r="B1687">
        <v>1686</v>
      </c>
      <c r="C1687" s="4" t="s">
        <v>26</v>
      </c>
      <c r="D1687" s="4" t="s">
        <v>50</v>
      </c>
      <c r="E1687" s="4" t="s">
        <v>27</v>
      </c>
      <c r="F1687" s="4" t="s">
        <v>2252</v>
      </c>
      <c r="G1687">
        <v>15</v>
      </c>
      <c r="H1687">
        <v>71</v>
      </c>
      <c r="I1687" s="4" t="s">
        <v>35</v>
      </c>
      <c r="J1687" s="4" t="s">
        <v>133</v>
      </c>
      <c r="K1687" s="4" t="s">
        <v>134</v>
      </c>
      <c r="L1687">
        <v>0</v>
      </c>
      <c r="M1687" s="4" t="s">
        <v>158</v>
      </c>
    </row>
    <row r="1688" spans="1:13" x14ac:dyDescent="0.2">
      <c r="A1688" s="4" t="s">
        <v>2258</v>
      </c>
      <c r="B1688">
        <v>1687</v>
      </c>
      <c r="C1688" s="4" t="s">
        <v>26</v>
      </c>
      <c r="D1688" s="4" t="s">
        <v>50</v>
      </c>
      <c r="E1688" s="4" t="s">
        <v>27</v>
      </c>
      <c r="F1688" s="4" t="s">
        <v>2252</v>
      </c>
      <c r="G1688">
        <v>15</v>
      </c>
      <c r="H1688">
        <v>71</v>
      </c>
      <c r="I1688" s="4" t="s">
        <v>112</v>
      </c>
      <c r="J1688" s="4" t="s">
        <v>122</v>
      </c>
      <c r="K1688" s="4" t="s">
        <v>123</v>
      </c>
      <c r="L1688">
        <v>376</v>
      </c>
      <c r="M1688" s="4" t="s">
        <v>158</v>
      </c>
    </row>
    <row r="1689" spans="1:13" x14ac:dyDescent="0.2">
      <c r="A1689" s="4" t="s">
        <v>2259</v>
      </c>
      <c r="B1689">
        <v>1688</v>
      </c>
      <c r="C1689" s="4" t="s">
        <v>26</v>
      </c>
      <c r="D1689" s="4" t="s">
        <v>50</v>
      </c>
      <c r="E1689" s="4" t="s">
        <v>27</v>
      </c>
      <c r="F1689" s="4" t="s">
        <v>2252</v>
      </c>
      <c r="G1689">
        <v>15</v>
      </c>
      <c r="H1689">
        <v>71</v>
      </c>
      <c r="I1689" s="4" t="s">
        <v>112</v>
      </c>
      <c r="J1689" s="4" t="s">
        <v>125</v>
      </c>
      <c r="K1689" s="4" t="s">
        <v>126</v>
      </c>
      <c r="L1689">
        <v>50</v>
      </c>
      <c r="M1689" s="4" t="s">
        <v>158</v>
      </c>
    </row>
    <row r="1690" spans="1:13" x14ac:dyDescent="0.2">
      <c r="A1690" s="4" t="s">
        <v>2260</v>
      </c>
      <c r="B1690">
        <v>1689</v>
      </c>
      <c r="C1690" s="4" t="s">
        <v>26</v>
      </c>
      <c r="D1690" s="4" t="s">
        <v>50</v>
      </c>
      <c r="E1690" s="4" t="s">
        <v>27</v>
      </c>
      <c r="F1690" s="4" t="s">
        <v>2252</v>
      </c>
      <c r="G1690">
        <v>15</v>
      </c>
      <c r="H1690">
        <v>71</v>
      </c>
      <c r="I1690" s="4" t="s">
        <v>112</v>
      </c>
      <c r="J1690" s="4" t="s">
        <v>127</v>
      </c>
      <c r="K1690" s="4" t="s">
        <v>128</v>
      </c>
      <c r="L1690">
        <v>296</v>
      </c>
      <c r="M1690" s="4" t="s">
        <v>158</v>
      </c>
    </row>
    <row r="1691" spans="1:13" x14ac:dyDescent="0.2">
      <c r="A1691" s="4" t="s">
        <v>2261</v>
      </c>
      <c r="B1691">
        <v>1690</v>
      </c>
      <c r="C1691" s="4" t="s">
        <v>26</v>
      </c>
      <c r="D1691" s="4" t="s">
        <v>50</v>
      </c>
      <c r="E1691" s="4" t="s">
        <v>27</v>
      </c>
      <c r="F1691" s="4" t="s">
        <v>2252</v>
      </c>
      <c r="G1691">
        <v>15</v>
      </c>
      <c r="H1691">
        <v>71</v>
      </c>
      <c r="I1691" s="4" t="s">
        <v>112</v>
      </c>
      <c r="J1691" s="4" t="s">
        <v>129</v>
      </c>
      <c r="K1691" s="4" t="s">
        <v>130</v>
      </c>
      <c r="L1691">
        <v>19</v>
      </c>
      <c r="M1691" s="4" t="s">
        <v>158</v>
      </c>
    </row>
    <row r="1692" spans="1:13" x14ac:dyDescent="0.2">
      <c r="A1692" s="4" t="s">
        <v>2262</v>
      </c>
      <c r="B1692">
        <v>1691</v>
      </c>
      <c r="C1692" s="4" t="s">
        <v>26</v>
      </c>
      <c r="D1692" s="4" t="s">
        <v>50</v>
      </c>
      <c r="E1692" s="4" t="s">
        <v>27</v>
      </c>
      <c r="F1692" s="4" t="s">
        <v>2252</v>
      </c>
      <c r="G1692">
        <v>15</v>
      </c>
      <c r="H1692">
        <v>71</v>
      </c>
      <c r="I1692" s="4" t="s">
        <v>112</v>
      </c>
      <c r="J1692" s="4" t="s">
        <v>131</v>
      </c>
      <c r="K1692" s="4" t="s">
        <v>132</v>
      </c>
      <c r="L1692">
        <v>53</v>
      </c>
      <c r="M1692" s="4" t="s">
        <v>158</v>
      </c>
    </row>
    <row r="1693" spans="1:13" x14ac:dyDescent="0.2">
      <c r="A1693" s="4" t="s">
        <v>2263</v>
      </c>
      <c r="B1693">
        <v>1692</v>
      </c>
      <c r="C1693" s="4" t="s">
        <v>26</v>
      </c>
      <c r="D1693" s="4" t="s">
        <v>50</v>
      </c>
      <c r="E1693" s="4" t="s">
        <v>27</v>
      </c>
      <c r="F1693" s="4" t="s">
        <v>2252</v>
      </c>
      <c r="G1693">
        <v>15</v>
      </c>
      <c r="H1693">
        <v>71</v>
      </c>
      <c r="I1693" s="4" t="s">
        <v>112</v>
      </c>
      <c r="J1693" s="4" t="s">
        <v>133</v>
      </c>
      <c r="K1693" s="4" t="s">
        <v>134</v>
      </c>
      <c r="L1693">
        <v>53</v>
      </c>
      <c r="M1693" s="4" t="s">
        <v>158</v>
      </c>
    </row>
    <row r="1694" spans="1:13" x14ac:dyDescent="0.2">
      <c r="A1694" s="4" t="s">
        <v>2264</v>
      </c>
      <c r="B1694">
        <v>1693</v>
      </c>
      <c r="C1694" s="4" t="s">
        <v>26</v>
      </c>
      <c r="D1694" s="4" t="s">
        <v>50</v>
      </c>
      <c r="E1694" s="4" t="s">
        <v>27</v>
      </c>
      <c r="F1694" s="4" t="s">
        <v>2252</v>
      </c>
      <c r="G1694">
        <v>15</v>
      </c>
      <c r="H1694">
        <v>71</v>
      </c>
      <c r="I1694" s="4" t="s">
        <v>114</v>
      </c>
      <c r="J1694" s="4" t="s">
        <v>122</v>
      </c>
      <c r="K1694" s="4" t="s">
        <v>123</v>
      </c>
      <c r="L1694">
        <v>100</v>
      </c>
      <c r="M1694" s="4" t="s">
        <v>158</v>
      </c>
    </row>
    <row r="1695" spans="1:13" x14ac:dyDescent="0.2">
      <c r="A1695" s="4" t="s">
        <v>2265</v>
      </c>
      <c r="B1695">
        <v>1694</v>
      </c>
      <c r="C1695" s="4" t="s">
        <v>26</v>
      </c>
      <c r="D1695" s="4" t="s">
        <v>50</v>
      </c>
      <c r="E1695" s="4" t="s">
        <v>27</v>
      </c>
      <c r="F1695" s="4" t="s">
        <v>2252</v>
      </c>
      <c r="G1695">
        <v>15</v>
      </c>
      <c r="H1695">
        <v>71</v>
      </c>
      <c r="I1695" s="4" t="s">
        <v>114</v>
      </c>
      <c r="J1695" s="4" t="s">
        <v>125</v>
      </c>
      <c r="K1695" s="4" t="s">
        <v>126</v>
      </c>
      <c r="L1695">
        <v>21</v>
      </c>
      <c r="M1695" s="4" t="s">
        <v>158</v>
      </c>
    </row>
    <row r="1696" spans="1:13" x14ac:dyDescent="0.2">
      <c r="A1696" s="4" t="s">
        <v>2266</v>
      </c>
      <c r="B1696">
        <v>1695</v>
      </c>
      <c r="C1696" s="4" t="s">
        <v>26</v>
      </c>
      <c r="D1696" s="4" t="s">
        <v>50</v>
      </c>
      <c r="E1696" s="4" t="s">
        <v>27</v>
      </c>
      <c r="F1696" s="4" t="s">
        <v>2252</v>
      </c>
      <c r="G1696">
        <v>15</v>
      </c>
      <c r="H1696">
        <v>71</v>
      </c>
      <c r="I1696" s="4" t="s">
        <v>114</v>
      </c>
      <c r="J1696" s="4" t="s">
        <v>127</v>
      </c>
      <c r="K1696" s="4" t="s">
        <v>128</v>
      </c>
      <c r="L1696">
        <v>176</v>
      </c>
      <c r="M1696" s="4" t="s">
        <v>158</v>
      </c>
    </row>
    <row r="1697" spans="1:13" x14ac:dyDescent="0.2">
      <c r="A1697" s="4" t="s">
        <v>2267</v>
      </c>
      <c r="B1697">
        <v>1696</v>
      </c>
      <c r="C1697" s="4" t="s">
        <v>26</v>
      </c>
      <c r="D1697" s="4" t="s">
        <v>50</v>
      </c>
      <c r="E1697" s="4" t="s">
        <v>27</v>
      </c>
      <c r="F1697" s="4" t="s">
        <v>2252</v>
      </c>
      <c r="G1697">
        <v>15</v>
      </c>
      <c r="H1697">
        <v>71</v>
      </c>
      <c r="I1697" s="4" t="s">
        <v>114</v>
      </c>
      <c r="J1697" s="4" t="s">
        <v>129</v>
      </c>
      <c r="K1697" s="4" t="s">
        <v>130</v>
      </c>
      <c r="L1697">
        <v>13</v>
      </c>
      <c r="M1697" s="4" t="s">
        <v>158</v>
      </c>
    </row>
    <row r="1698" spans="1:13" x14ac:dyDescent="0.2">
      <c r="A1698" s="4" t="s">
        <v>2268</v>
      </c>
      <c r="B1698">
        <v>1697</v>
      </c>
      <c r="C1698" s="4" t="s">
        <v>26</v>
      </c>
      <c r="D1698" s="4" t="s">
        <v>50</v>
      </c>
      <c r="E1698" s="4" t="s">
        <v>27</v>
      </c>
      <c r="F1698" s="4" t="s">
        <v>2252</v>
      </c>
      <c r="G1698">
        <v>15</v>
      </c>
      <c r="H1698">
        <v>71</v>
      </c>
      <c r="I1698" s="4" t="s">
        <v>114</v>
      </c>
      <c r="J1698" s="4" t="s">
        <v>131</v>
      </c>
      <c r="K1698" s="4" t="s">
        <v>132</v>
      </c>
      <c r="L1698">
        <v>31</v>
      </c>
      <c r="M1698" s="4" t="s">
        <v>158</v>
      </c>
    </row>
    <row r="1699" spans="1:13" x14ac:dyDescent="0.2">
      <c r="A1699" s="4" t="s">
        <v>2269</v>
      </c>
      <c r="B1699">
        <v>1698</v>
      </c>
      <c r="C1699" s="4" t="s">
        <v>26</v>
      </c>
      <c r="D1699" s="4" t="s">
        <v>50</v>
      </c>
      <c r="E1699" s="4" t="s">
        <v>27</v>
      </c>
      <c r="F1699" s="4" t="s">
        <v>2252</v>
      </c>
      <c r="G1699">
        <v>15</v>
      </c>
      <c r="H1699">
        <v>71</v>
      </c>
      <c r="I1699" s="4" t="s">
        <v>114</v>
      </c>
      <c r="J1699" s="4" t="s">
        <v>133</v>
      </c>
      <c r="K1699" s="4" t="s">
        <v>134</v>
      </c>
      <c r="L1699">
        <v>43</v>
      </c>
      <c r="M1699" s="4" t="s">
        <v>158</v>
      </c>
    </row>
    <row r="1700" spans="1:13" x14ac:dyDescent="0.2">
      <c r="A1700" s="4" t="s">
        <v>2270</v>
      </c>
      <c r="B1700">
        <v>1699</v>
      </c>
      <c r="C1700" s="4" t="s">
        <v>26</v>
      </c>
      <c r="D1700" s="4" t="s">
        <v>50</v>
      </c>
      <c r="E1700" s="4" t="s">
        <v>27</v>
      </c>
      <c r="F1700" s="4" t="s">
        <v>2252</v>
      </c>
      <c r="G1700">
        <v>15</v>
      </c>
      <c r="H1700">
        <v>71</v>
      </c>
      <c r="I1700" s="4" t="s">
        <v>116</v>
      </c>
      <c r="J1700" s="4" t="s">
        <v>122</v>
      </c>
      <c r="K1700" s="4" t="s">
        <v>123</v>
      </c>
      <c r="L1700">
        <v>75</v>
      </c>
      <c r="M1700" s="4" t="s">
        <v>158</v>
      </c>
    </row>
    <row r="1701" spans="1:13" x14ac:dyDescent="0.2">
      <c r="A1701" s="4" t="s">
        <v>2271</v>
      </c>
      <c r="B1701">
        <v>1700</v>
      </c>
      <c r="C1701" s="4" t="s">
        <v>26</v>
      </c>
      <c r="D1701" s="4" t="s">
        <v>50</v>
      </c>
      <c r="E1701" s="4" t="s">
        <v>27</v>
      </c>
      <c r="F1701" s="4" t="s">
        <v>2252</v>
      </c>
      <c r="G1701">
        <v>15</v>
      </c>
      <c r="H1701">
        <v>71</v>
      </c>
      <c r="I1701" s="4" t="s">
        <v>116</v>
      </c>
      <c r="J1701" s="4" t="s">
        <v>125</v>
      </c>
      <c r="K1701" s="4" t="s">
        <v>126</v>
      </c>
      <c r="L1701">
        <v>27</v>
      </c>
      <c r="M1701" s="4" t="s">
        <v>158</v>
      </c>
    </row>
    <row r="1702" spans="1:13" x14ac:dyDescent="0.2">
      <c r="A1702" s="4" t="s">
        <v>2272</v>
      </c>
      <c r="B1702">
        <v>1701</v>
      </c>
      <c r="C1702" s="4" t="s">
        <v>26</v>
      </c>
      <c r="D1702" s="4" t="s">
        <v>50</v>
      </c>
      <c r="E1702" s="4" t="s">
        <v>27</v>
      </c>
      <c r="F1702" s="4" t="s">
        <v>2252</v>
      </c>
      <c r="G1702">
        <v>15</v>
      </c>
      <c r="H1702">
        <v>71</v>
      </c>
      <c r="I1702" s="4" t="s">
        <v>116</v>
      </c>
      <c r="J1702" s="4" t="s">
        <v>127</v>
      </c>
      <c r="K1702" s="4" t="s">
        <v>128</v>
      </c>
      <c r="L1702">
        <v>40</v>
      </c>
      <c r="M1702" s="4" t="s">
        <v>158</v>
      </c>
    </row>
    <row r="1703" spans="1:13" x14ac:dyDescent="0.2">
      <c r="A1703" s="4" t="s">
        <v>2273</v>
      </c>
      <c r="B1703">
        <v>1702</v>
      </c>
      <c r="C1703" s="4" t="s">
        <v>26</v>
      </c>
      <c r="D1703" s="4" t="s">
        <v>50</v>
      </c>
      <c r="E1703" s="4" t="s">
        <v>27</v>
      </c>
      <c r="F1703" s="4" t="s">
        <v>2252</v>
      </c>
      <c r="G1703">
        <v>15</v>
      </c>
      <c r="H1703">
        <v>71</v>
      </c>
      <c r="I1703" s="4" t="s">
        <v>116</v>
      </c>
      <c r="J1703" s="4" t="s">
        <v>129</v>
      </c>
      <c r="K1703" s="4" t="s">
        <v>130</v>
      </c>
      <c r="L1703">
        <v>44</v>
      </c>
      <c r="M1703" s="4" t="s">
        <v>158</v>
      </c>
    </row>
    <row r="1704" spans="1:13" x14ac:dyDescent="0.2">
      <c r="A1704" s="4" t="s">
        <v>2274</v>
      </c>
      <c r="B1704">
        <v>1703</v>
      </c>
      <c r="C1704" s="4" t="s">
        <v>26</v>
      </c>
      <c r="D1704" s="4" t="s">
        <v>50</v>
      </c>
      <c r="E1704" s="4" t="s">
        <v>27</v>
      </c>
      <c r="F1704" s="4" t="s">
        <v>2252</v>
      </c>
      <c r="G1704">
        <v>15</v>
      </c>
      <c r="H1704">
        <v>71</v>
      </c>
      <c r="I1704" s="4" t="s">
        <v>116</v>
      </c>
      <c r="J1704" s="4" t="s">
        <v>131</v>
      </c>
      <c r="K1704" s="4" t="s">
        <v>132</v>
      </c>
      <c r="L1704">
        <v>80</v>
      </c>
      <c r="M1704" s="4" t="s">
        <v>158</v>
      </c>
    </row>
    <row r="1705" spans="1:13" x14ac:dyDescent="0.2">
      <c r="A1705" s="4" t="s">
        <v>2275</v>
      </c>
      <c r="B1705">
        <v>1704</v>
      </c>
      <c r="C1705" s="4" t="s">
        <v>26</v>
      </c>
      <c r="D1705" s="4" t="s">
        <v>50</v>
      </c>
      <c r="E1705" s="4" t="s">
        <v>27</v>
      </c>
      <c r="F1705" s="4" t="s">
        <v>2252</v>
      </c>
      <c r="G1705">
        <v>15</v>
      </c>
      <c r="H1705">
        <v>71</v>
      </c>
      <c r="I1705" s="4" t="s">
        <v>116</v>
      </c>
      <c r="J1705" s="4" t="s">
        <v>133</v>
      </c>
      <c r="K1705" s="4" t="s">
        <v>134</v>
      </c>
      <c r="L1705">
        <v>5</v>
      </c>
      <c r="M1705" s="4" t="s">
        <v>158</v>
      </c>
    </row>
    <row r="1706" spans="1:13" x14ac:dyDescent="0.2">
      <c r="A1706" s="4" t="s">
        <v>2291</v>
      </c>
      <c r="B1706">
        <v>1705</v>
      </c>
      <c r="C1706" s="4" t="s">
        <v>26</v>
      </c>
      <c r="D1706" s="4" t="s">
        <v>50</v>
      </c>
      <c r="E1706" s="4" t="s">
        <v>32</v>
      </c>
      <c r="F1706" s="4" t="s">
        <v>2277</v>
      </c>
      <c r="G1706">
        <v>15</v>
      </c>
      <c r="H1706">
        <v>72</v>
      </c>
      <c r="I1706" s="4" t="s">
        <v>35</v>
      </c>
      <c r="J1706" s="4" t="s">
        <v>122</v>
      </c>
      <c r="K1706" s="4" t="s">
        <v>123</v>
      </c>
      <c r="L1706">
        <v>542</v>
      </c>
      <c r="M1706" s="4" t="s">
        <v>158</v>
      </c>
    </row>
    <row r="1707" spans="1:13" x14ac:dyDescent="0.2">
      <c r="A1707" s="4" t="s">
        <v>2292</v>
      </c>
      <c r="B1707">
        <v>1706</v>
      </c>
      <c r="C1707" s="4" t="s">
        <v>26</v>
      </c>
      <c r="D1707" s="4" t="s">
        <v>50</v>
      </c>
      <c r="E1707" s="4" t="s">
        <v>32</v>
      </c>
      <c r="F1707" s="4" t="s">
        <v>2277</v>
      </c>
      <c r="G1707">
        <v>15</v>
      </c>
      <c r="H1707">
        <v>72</v>
      </c>
      <c r="I1707" s="4" t="s">
        <v>35</v>
      </c>
      <c r="J1707" s="4" t="s">
        <v>125</v>
      </c>
      <c r="K1707" s="4" t="s">
        <v>126</v>
      </c>
      <c r="L1707">
        <v>122</v>
      </c>
      <c r="M1707" s="4" t="s">
        <v>158</v>
      </c>
    </row>
    <row r="1708" spans="1:13" x14ac:dyDescent="0.2">
      <c r="A1708" s="4" t="s">
        <v>2293</v>
      </c>
      <c r="B1708">
        <v>1707</v>
      </c>
      <c r="C1708" s="4" t="s">
        <v>26</v>
      </c>
      <c r="D1708" s="4" t="s">
        <v>50</v>
      </c>
      <c r="E1708" s="4" t="s">
        <v>32</v>
      </c>
      <c r="F1708" s="4" t="s">
        <v>2277</v>
      </c>
      <c r="G1708">
        <v>15</v>
      </c>
      <c r="H1708">
        <v>72</v>
      </c>
      <c r="I1708" s="4" t="s">
        <v>35</v>
      </c>
      <c r="J1708" s="4" t="s">
        <v>127</v>
      </c>
      <c r="K1708" s="4" t="s">
        <v>128</v>
      </c>
      <c r="L1708">
        <v>660</v>
      </c>
      <c r="M1708" s="4" t="s">
        <v>158</v>
      </c>
    </row>
    <row r="1709" spans="1:13" x14ac:dyDescent="0.2">
      <c r="A1709" s="4" t="s">
        <v>2294</v>
      </c>
      <c r="B1709">
        <v>1708</v>
      </c>
      <c r="C1709" s="4" t="s">
        <v>26</v>
      </c>
      <c r="D1709" s="4" t="s">
        <v>50</v>
      </c>
      <c r="E1709" s="4" t="s">
        <v>32</v>
      </c>
      <c r="F1709" s="4" t="s">
        <v>2277</v>
      </c>
      <c r="G1709">
        <v>15</v>
      </c>
      <c r="H1709">
        <v>72</v>
      </c>
      <c r="I1709" s="4" t="s">
        <v>35</v>
      </c>
      <c r="J1709" s="4" t="s">
        <v>129</v>
      </c>
      <c r="K1709" s="4" t="s">
        <v>130</v>
      </c>
      <c r="L1709">
        <v>294</v>
      </c>
      <c r="M1709" s="4" t="s">
        <v>158</v>
      </c>
    </row>
    <row r="1710" spans="1:13" x14ac:dyDescent="0.2">
      <c r="A1710" s="4" t="s">
        <v>2295</v>
      </c>
      <c r="B1710">
        <v>1709</v>
      </c>
      <c r="C1710" s="4" t="s">
        <v>26</v>
      </c>
      <c r="D1710" s="4" t="s">
        <v>50</v>
      </c>
      <c r="E1710" s="4" t="s">
        <v>32</v>
      </c>
      <c r="F1710" s="4" t="s">
        <v>2277</v>
      </c>
      <c r="G1710">
        <v>15</v>
      </c>
      <c r="H1710">
        <v>72</v>
      </c>
      <c r="I1710" s="4" t="s">
        <v>35</v>
      </c>
      <c r="J1710" s="4" t="s">
        <v>131</v>
      </c>
      <c r="K1710" s="4" t="s">
        <v>132</v>
      </c>
      <c r="L1710">
        <v>184</v>
      </c>
      <c r="M1710" s="4" t="s">
        <v>158</v>
      </c>
    </row>
    <row r="1711" spans="1:13" x14ac:dyDescent="0.2">
      <c r="A1711" s="4" t="s">
        <v>2296</v>
      </c>
      <c r="B1711">
        <v>1710</v>
      </c>
      <c r="C1711" s="4" t="s">
        <v>26</v>
      </c>
      <c r="D1711" s="4" t="s">
        <v>50</v>
      </c>
      <c r="E1711" s="4" t="s">
        <v>32</v>
      </c>
      <c r="F1711" s="4" t="s">
        <v>2277</v>
      </c>
      <c r="G1711">
        <v>15</v>
      </c>
      <c r="H1711">
        <v>72</v>
      </c>
      <c r="I1711" s="4" t="s">
        <v>35</v>
      </c>
      <c r="J1711" s="4" t="s">
        <v>133</v>
      </c>
      <c r="K1711" s="4" t="s">
        <v>134</v>
      </c>
      <c r="L1711">
        <v>170</v>
      </c>
      <c r="M1711" s="4" t="s">
        <v>158</v>
      </c>
    </row>
    <row r="1712" spans="1:13" x14ac:dyDescent="0.2">
      <c r="A1712" s="4" t="s">
        <v>2297</v>
      </c>
      <c r="B1712">
        <v>1711</v>
      </c>
      <c r="C1712" s="4" t="s">
        <v>26</v>
      </c>
      <c r="D1712" s="4" t="s">
        <v>50</v>
      </c>
      <c r="E1712" s="4" t="s">
        <v>32</v>
      </c>
      <c r="F1712" s="4" t="s">
        <v>2277</v>
      </c>
      <c r="G1712">
        <v>15</v>
      </c>
      <c r="H1712">
        <v>72</v>
      </c>
      <c r="I1712" s="4" t="s">
        <v>112</v>
      </c>
      <c r="J1712" s="4" t="s">
        <v>122</v>
      </c>
      <c r="K1712" s="4" t="s">
        <v>123</v>
      </c>
      <c r="L1712">
        <v>399</v>
      </c>
      <c r="M1712" s="4" t="s">
        <v>158</v>
      </c>
    </row>
    <row r="1713" spans="1:13" x14ac:dyDescent="0.2">
      <c r="A1713" s="4" t="s">
        <v>2298</v>
      </c>
      <c r="B1713">
        <v>1712</v>
      </c>
      <c r="C1713" s="4" t="s">
        <v>26</v>
      </c>
      <c r="D1713" s="4" t="s">
        <v>50</v>
      </c>
      <c r="E1713" s="4" t="s">
        <v>32</v>
      </c>
      <c r="F1713" s="4" t="s">
        <v>2277</v>
      </c>
      <c r="G1713">
        <v>15</v>
      </c>
      <c r="H1713">
        <v>72</v>
      </c>
      <c r="I1713" s="4" t="s">
        <v>112</v>
      </c>
      <c r="J1713" s="4" t="s">
        <v>125</v>
      </c>
      <c r="K1713" s="4" t="s">
        <v>126</v>
      </c>
      <c r="L1713">
        <v>51</v>
      </c>
      <c r="M1713" s="4" t="s">
        <v>158</v>
      </c>
    </row>
    <row r="1714" spans="1:13" x14ac:dyDescent="0.2">
      <c r="A1714" s="4" t="s">
        <v>2299</v>
      </c>
      <c r="B1714">
        <v>1713</v>
      </c>
      <c r="C1714" s="4" t="s">
        <v>26</v>
      </c>
      <c r="D1714" s="4" t="s">
        <v>50</v>
      </c>
      <c r="E1714" s="4" t="s">
        <v>32</v>
      </c>
      <c r="F1714" s="4" t="s">
        <v>2277</v>
      </c>
      <c r="G1714">
        <v>15</v>
      </c>
      <c r="H1714">
        <v>72</v>
      </c>
      <c r="I1714" s="4" t="s">
        <v>112</v>
      </c>
      <c r="J1714" s="4" t="s">
        <v>127</v>
      </c>
      <c r="K1714" s="4" t="s">
        <v>128</v>
      </c>
      <c r="L1714">
        <v>328</v>
      </c>
      <c r="M1714" s="4" t="s">
        <v>158</v>
      </c>
    </row>
    <row r="1715" spans="1:13" x14ac:dyDescent="0.2">
      <c r="A1715" s="4" t="s">
        <v>2300</v>
      </c>
      <c r="B1715">
        <v>1714</v>
      </c>
      <c r="C1715" s="4" t="s">
        <v>26</v>
      </c>
      <c r="D1715" s="4" t="s">
        <v>50</v>
      </c>
      <c r="E1715" s="4" t="s">
        <v>32</v>
      </c>
      <c r="F1715" s="4" t="s">
        <v>2277</v>
      </c>
      <c r="G1715">
        <v>15</v>
      </c>
      <c r="H1715">
        <v>72</v>
      </c>
      <c r="I1715" s="4" t="s">
        <v>112</v>
      </c>
      <c r="J1715" s="4" t="s">
        <v>129</v>
      </c>
      <c r="K1715" s="4" t="s">
        <v>130</v>
      </c>
      <c r="L1715">
        <v>0</v>
      </c>
      <c r="M1715" s="4" t="s">
        <v>158</v>
      </c>
    </row>
    <row r="1716" spans="1:13" x14ac:dyDescent="0.2">
      <c r="A1716" s="4" t="s">
        <v>2301</v>
      </c>
      <c r="B1716">
        <v>1715</v>
      </c>
      <c r="C1716" s="4" t="s">
        <v>26</v>
      </c>
      <c r="D1716" s="4" t="s">
        <v>50</v>
      </c>
      <c r="E1716" s="4" t="s">
        <v>32</v>
      </c>
      <c r="F1716" s="4" t="s">
        <v>2277</v>
      </c>
      <c r="G1716">
        <v>15</v>
      </c>
      <c r="H1716">
        <v>72</v>
      </c>
      <c r="I1716" s="4" t="s">
        <v>112</v>
      </c>
      <c r="J1716" s="4" t="s">
        <v>131</v>
      </c>
      <c r="K1716" s="4" t="s">
        <v>132</v>
      </c>
      <c r="L1716">
        <v>97</v>
      </c>
      <c r="M1716" s="4" t="s">
        <v>158</v>
      </c>
    </row>
    <row r="1717" spans="1:13" x14ac:dyDescent="0.2">
      <c r="A1717" s="4" t="s">
        <v>2302</v>
      </c>
      <c r="B1717">
        <v>1716</v>
      </c>
      <c r="C1717" s="4" t="s">
        <v>26</v>
      </c>
      <c r="D1717" s="4" t="s">
        <v>50</v>
      </c>
      <c r="E1717" s="4" t="s">
        <v>32</v>
      </c>
      <c r="F1717" s="4" t="s">
        <v>2277</v>
      </c>
      <c r="G1717">
        <v>15</v>
      </c>
      <c r="H1717">
        <v>72</v>
      </c>
      <c r="I1717" s="4" t="s">
        <v>112</v>
      </c>
      <c r="J1717" s="4" t="s">
        <v>133</v>
      </c>
      <c r="K1717" s="4" t="s">
        <v>134</v>
      </c>
      <c r="L1717">
        <v>35</v>
      </c>
      <c r="M1717" s="4" t="s">
        <v>158</v>
      </c>
    </row>
    <row r="1718" spans="1:13" x14ac:dyDescent="0.2">
      <c r="A1718" s="4" t="s">
        <v>2303</v>
      </c>
      <c r="B1718">
        <v>1717</v>
      </c>
      <c r="C1718" s="4" t="s">
        <v>26</v>
      </c>
      <c r="D1718" s="4" t="s">
        <v>50</v>
      </c>
      <c r="E1718" s="4" t="s">
        <v>32</v>
      </c>
      <c r="F1718" s="4" t="s">
        <v>2277</v>
      </c>
      <c r="G1718">
        <v>15</v>
      </c>
      <c r="H1718">
        <v>72</v>
      </c>
      <c r="I1718" s="4" t="s">
        <v>114</v>
      </c>
      <c r="J1718" s="4" t="s">
        <v>122</v>
      </c>
      <c r="K1718" s="4" t="s">
        <v>123</v>
      </c>
      <c r="L1718">
        <v>100</v>
      </c>
      <c r="M1718" s="4" t="s">
        <v>158</v>
      </c>
    </row>
    <row r="1719" spans="1:13" x14ac:dyDescent="0.2">
      <c r="A1719" s="4" t="s">
        <v>2304</v>
      </c>
      <c r="B1719">
        <v>1718</v>
      </c>
      <c r="C1719" s="4" t="s">
        <v>26</v>
      </c>
      <c r="D1719" s="4" t="s">
        <v>50</v>
      </c>
      <c r="E1719" s="4" t="s">
        <v>32</v>
      </c>
      <c r="F1719" s="4" t="s">
        <v>2277</v>
      </c>
      <c r="G1719">
        <v>15</v>
      </c>
      <c r="H1719">
        <v>72</v>
      </c>
      <c r="I1719" s="4" t="s">
        <v>114</v>
      </c>
      <c r="J1719" s="4" t="s">
        <v>125</v>
      </c>
      <c r="K1719" s="4" t="s">
        <v>126</v>
      </c>
      <c r="L1719">
        <v>59</v>
      </c>
      <c r="M1719" s="4" t="s">
        <v>158</v>
      </c>
    </row>
    <row r="1720" spans="1:13" x14ac:dyDescent="0.2">
      <c r="A1720" s="4" t="s">
        <v>2305</v>
      </c>
      <c r="B1720">
        <v>1719</v>
      </c>
      <c r="C1720" s="4" t="s">
        <v>26</v>
      </c>
      <c r="D1720" s="4" t="s">
        <v>50</v>
      </c>
      <c r="E1720" s="4" t="s">
        <v>32</v>
      </c>
      <c r="F1720" s="4" t="s">
        <v>2277</v>
      </c>
      <c r="G1720">
        <v>15</v>
      </c>
      <c r="H1720">
        <v>72</v>
      </c>
      <c r="I1720" s="4" t="s">
        <v>114</v>
      </c>
      <c r="J1720" s="4" t="s">
        <v>127</v>
      </c>
      <c r="K1720" s="4" t="s">
        <v>128</v>
      </c>
      <c r="L1720">
        <v>276</v>
      </c>
      <c r="M1720" s="4" t="s">
        <v>158</v>
      </c>
    </row>
    <row r="1721" spans="1:13" x14ac:dyDescent="0.2">
      <c r="A1721" s="4" t="s">
        <v>2306</v>
      </c>
      <c r="B1721">
        <v>1720</v>
      </c>
      <c r="C1721" s="4" t="s">
        <v>26</v>
      </c>
      <c r="D1721" s="4" t="s">
        <v>50</v>
      </c>
      <c r="E1721" s="4" t="s">
        <v>32</v>
      </c>
      <c r="F1721" s="4" t="s">
        <v>2277</v>
      </c>
      <c r="G1721">
        <v>15</v>
      </c>
      <c r="H1721">
        <v>72</v>
      </c>
      <c r="I1721" s="4" t="s">
        <v>114</v>
      </c>
      <c r="J1721" s="4" t="s">
        <v>129</v>
      </c>
      <c r="K1721" s="4" t="s">
        <v>130</v>
      </c>
      <c r="L1721">
        <v>13</v>
      </c>
      <c r="M1721" s="4" t="s">
        <v>158</v>
      </c>
    </row>
    <row r="1722" spans="1:13" x14ac:dyDescent="0.2">
      <c r="A1722" s="4" t="s">
        <v>2307</v>
      </c>
      <c r="B1722">
        <v>1721</v>
      </c>
      <c r="C1722" s="4" t="s">
        <v>26</v>
      </c>
      <c r="D1722" s="4" t="s">
        <v>50</v>
      </c>
      <c r="E1722" s="4" t="s">
        <v>32</v>
      </c>
      <c r="F1722" s="4" t="s">
        <v>2277</v>
      </c>
      <c r="G1722">
        <v>15</v>
      </c>
      <c r="H1722">
        <v>72</v>
      </c>
      <c r="I1722" s="4" t="s">
        <v>114</v>
      </c>
      <c r="J1722" s="4" t="s">
        <v>131</v>
      </c>
      <c r="K1722" s="4" t="s">
        <v>132</v>
      </c>
      <c r="L1722">
        <v>113</v>
      </c>
      <c r="M1722" s="4" t="s">
        <v>158</v>
      </c>
    </row>
    <row r="1723" spans="1:13" x14ac:dyDescent="0.2">
      <c r="A1723" s="4" t="s">
        <v>2308</v>
      </c>
      <c r="B1723">
        <v>1722</v>
      </c>
      <c r="C1723" s="4" t="s">
        <v>26</v>
      </c>
      <c r="D1723" s="4" t="s">
        <v>50</v>
      </c>
      <c r="E1723" s="4" t="s">
        <v>32</v>
      </c>
      <c r="F1723" s="4" t="s">
        <v>2277</v>
      </c>
      <c r="G1723">
        <v>15</v>
      </c>
      <c r="H1723">
        <v>72</v>
      </c>
      <c r="I1723" s="4" t="s">
        <v>114</v>
      </c>
      <c r="J1723" s="4" t="s">
        <v>133</v>
      </c>
      <c r="K1723" s="4" t="s">
        <v>134</v>
      </c>
      <c r="L1723">
        <v>43</v>
      </c>
      <c r="M1723" s="4" t="s">
        <v>158</v>
      </c>
    </row>
    <row r="1724" spans="1:13" x14ac:dyDescent="0.2">
      <c r="A1724" s="4" t="s">
        <v>2309</v>
      </c>
      <c r="B1724">
        <v>1723</v>
      </c>
      <c r="C1724" s="4" t="s">
        <v>26</v>
      </c>
      <c r="D1724" s="4" t="s">
        <v>50</v>
      </c>
      <c r="E1724" s="4" t="s">
        <v>32</v>
      </c>
      <c r="F1724" s="4" t="s">
        <v>2277</v>
      </c>
      <c r="G1724">
        <v>15</v>
      </c>
      <c r="H1724">
        <v>72</v>
      </c>
      <c r="I1724" s="4" t="s">
        <v>116</v>
      </c>
      <c r="J1724" s="4" t="s">
        <v>122</v>
      </c>
      <c r="K1724" s="4" t="s">
        <v>123</v>
      </c>
      <c r="L1724">
        <v>119</v>
      </c>
      <c r="M1724" s="4" t="s">
        <v>158</v>
      </c>
    </row>
    <row r="1725" spans="1:13" x14ac:dyDescent="0.2">
      <c r="A1725" s="4" t="s">
        <v>2310</v>
      </c>
      <c r="B1725">
        <v>1724</v>
      </c>
      <c r="C1725" s="4" t="s">
        <v>26</v>
      </c>
      <c r="D1725" s="4" t="s">
        <v>50</v>
      </c>
      <c r="E1725" s="4" t="s">
        <v>32</v>
      </c>
      <c r="F1725" s="4" t="s">
        <v>2277</v>
      </c>
      <c r="G1725">
        <v>15</v>
      </c>
      <c r="H1725">
        <v>72</v>
      </c>
      <c r="I1725" s="4" t="s">
        <v>116</v>
      </c>
      <c r="J1725" s="4" t="s">
        <v>125</v>
      </c>
      <c r="K1725" s="4" t="s">
        <v>126</v>
      </c>
      <c r="L1725">
        <v>43</v>
      </c>
      <c r="M1725" s="4" t="s">
        <v>158</v>
      </c>
    </row>
    <row r="1726" spans="1:13" x14ac:dyDescent="0.2">
      <c r="A1726" s="4" t="s">
        <v>2311</v>
      </c>
      <c r="B1726">
        <v>1725</v>
      </c>
      <c r="C1726" s="4" t="s">
        <v>26</v>
      </c>
      <c r="D1726" s="4" t="s">
        <v>50</v>
      </c>
      <c r="E1726" s="4" t="s">
        <v>32</v>
      </c>
      <c r="F1726" s="4" t="s">
        <v>2277</v>
      </c>
      <c r="G1726">
        <v>15</v>
      </c>
      <c r="H1726">
        <v>72</v>
      </c>
      <c r="I1726" s="4" t="s">
        <v>116</v>
      </c>
      <c r="J1726" s="4" t="s">
        <v>127</v>
      </c>
      <c r="K1726" s="4" t="s">
        <v>128</v>
      </c>
      <c r="L1726">
        <v>74</v>
      </c>
      <c r="M1726" s="4" t="s">
        <v>158</v>
      </c>
    </row>
    <row r="1727" spans="1:13" x14ac:dyDescent="0.2">
      <c r="A1727" s="4" t="s">
        <v>2312</v>
      </c>
      <c r="B1727">
        <v>1726</v>
      </c>
      <c r="C1727" s="4" t="s">
        <v>26</v>
      </c>
      <c r="D1727" s="4" t="s">
        <v>50</v>
      </c>
      <c r="E1727" s="4" t="s">
        <v>32</v>
      </c>
      <c r="F1727" s="4" t="s">
        <v>2277</v>
      </c>
      <c r="G1727">
        <v>15</v>
      </c>
      <c r="H1727">
        <v>72</v>
      </c>
      <c r="I1727" s="4" t="s">
        <v>116</v>
      </c>
      <c r="J1727" s="4" t="s">
        <v>129</v>
      </c>
      <c r="K1727" s="4" t="s">
        <v>130</v>
      </c>
      <c r="L1727">
        <v>16</v>
      </c>
      <c r="M1727" s="4" t="s">
        <v>158</v>
      </c>
    </row>
    <row r="1728" spans="1:13" x14ac:dyDescent="0.2">
      <c r="A1728" s="4" t="s">
        <v>2313</v>
      </c>
      <c r="B1728">
        <v>1727</v>
      </c>
      <c r="C1728" s="4" t="s">
        <v>26</v>
      </c>
      <c r="D1728" s="4" t="s">
        <v>50</v>
      </c>
      <c r="E1728" s="4" t="s">
        <v>32</v>
      </c>
      <c r="F1728" s="4" t="s">
        <v>2277</v>
      </c>
      <c r="G1728">
        <v>15</v>
      </c>
      <c r="H1728">
        <v>72</v>
      </c>
      <c r="I1728" s="4" t="s">
        <v>116</v>
      </c>
      <c r="J1728" s="4" t="s">
        <v>131</v>
      </c>
      <c r="K1728" s="4" t="s">
        <v>132</v>
      </c>
      <c r="L1728">
        <v>29</v>
      </c>
      <c r="M1728" s="4" t="s">
        <v>158</v>
      </c>
    </row>
    <row r="1729" spans="1:13" x14ac:dyDescent="0.2">
      <c r="A1729" s="4" t="s">
        <v>2314</v>
      </c>
      <c r="B1729">
        <v>1728</v>
      </c>
      <c r="C1729" s="4" t="s">
        <v>26</v>
      </c>
      <c r="D1729" s="4" t="s">
        <v>50</v>
      </c>
      <c r="E1729" s="4" t="s">
        <v>32</v>
      </c>
      <c r="F1729" s="4" t="s">
        <v>2277</v>
      </c>
      <c r="G1729">
        <v>15</v>
      </c>
      <c r="H1729">
        <v>72</v>
      </c>
      <c r="I1729" s="4" t="s">
        <v>116</v>
      </c>
      <c r="J1729" s="4" t="s">
        <v>133</v>
      </c>
      <c r="K1729" s="4" t="s">
        <v>134</v>
      </c>
      <c r="L1729">
        <v>5</v>
      </c>
      <c r="M1729" s="4" t="s">
        <v>158</v>
      </c>
    </row>
    <row r="1730" spans="1:13" x14ac:dyDescent="0.2">
      <c r="A1730" s="4" t="s">
        <v>2315</v>
      </c>
      <c r="B1730">
        <v>1729</v>
      </c>
      <c r="C1730" s="4" t="s">
        <v>26</v>
      </c>
      <c r="D1730" s="4" t="s">
        <v>50</v>
      </c>
      <c r="E1730" s="4" t="s">
        <v>35</v>
      </c>
      <c r="F1730" s="4" t="s">
        <v>2278</v>
      </c>
      <c r="G1730">
        <v>15</v>
      </c>
      <c r="H1730">
        <v>73</v>
      </c>
      <c r="I1730" s="4" t="s">
        <v>35</v>
      </c>
      <c r="J1730" s="4" t="s">
        <v>122</v>
      </c>
      <c r="K1730" s="4" t="s">
        <v>123</v>
      </c>
      <c r="L1730">
        <v>542</v>
      </c>
      <c r="M1730" s="4" t="s">
        <v>158</v>
      </c>
    </row>
    <row r="1731" spans="1:13" x14ac:dyDescent="0.2">
      <c r="A1731" s="4" t="s">
        <v>2316</v>
      </c>
      <c r="B1731">
        <v>1730</v>
      </c>
      <c r="C1731" s="4" t="s">
        <v>26</v>
      </c>
      <c r="D1731" s="4" t="s">
        <v>50</v>
      </c>
      <c r="E1731" s="4" t="s">
        <v>35</v>
      </c>
      <c r="F1731" s="4" t="s">
        <v>2278</v>
      </c>
      <c r="G1731">
        <v>15</v>
      </c>
      <c r="H1731">
        <v>73</v>
      </c>
      <c r="I1731" s="4" t="s">
        <v>35</v>
      </c>
      <c r="J1731" s="4" t="s">
        <v>125</v>
      </c>
      <c r="K1731" s="4" t="s">
        <v>126</v>
      </c>
      <c r="L1731">
        <v>122</v>
      </c>
      <c r="M1731" s="4" t="s">
        <v>158</v>
      </c>
    </row>
    <row r="1732" spans="1:13" x14ac:dyDescent="0.2">
      <c r="A1732" s="4" t="s">
        <v>2317</v>
      </c>
      <c r="B1732">
        <v>1731</v>
      </c>
      <c r="C1732" s="4" t="s">
        <v>26</v>
      </c>
      <c r="D1732" s="4" t="s">
        <v>50</v>
      </c>
      <c r="E1732" s="4" t="s">
        <v>35</v>
      </c>
      <c r="F1732" s="4" t="s">
        <v>2278</v>
      </c>
      <c r="G1732">
        <v>15</v>
      </c>
      <c r="H1732">
        <v>73</v>
      </c>
      <c r="I1732" s="4" t="s">
        <v>35</v>
      </c>
      <c r="J1732" s="4" t="s">
        <v>127</v>
      </c>
      <c r="K1732" s="4" t="s">
        <v>128</v>
      </c>
      <c r="L1732">
        <v>660</v>
      </c>
      <c r="M1732" s="4" t="s">
        <v>158</v>
      </c>
    </row>
    <row r="1733" spans="1:13" x14ac:dyDescent="0.2">
      <c r="A1733" s="4" t="s">
        <v>2318</v>
      </c>
      <c r="B1733">
        <v>1732</v>
      </c>
      <c r="C1733" s="4" t="s">
        <v>26</v>
      </c>
      <c r="D1733" s="4" t="s">
        <v>50</v>
      </c>
      <c r="E1733" s="4" t="s">
        <v>35</v>
      </c>
      <c r="F1733" s="4" t="s">
        <v>2278</v>
      </c>
      <c r="G1733">
        <v>15</v>
      </c>
      <c r="H1733">
        <v>73</v>
      </c>
      <c r="I1733" s="4" t="s">
        <v>35</v>
      </c>
      <c r="J1733" s="4" t="s">
        <v>129</v>
      </c>
      <c r="K1733" s="4" t="s">
        <v>130</v>
      </c>
      <c r="L1733">
        <v>294</v>
      </c>
      <c r="M1733" s="4" t="s">
        <v>158</v>
      </c>
    </row>
    <row r="1734" spans="1:13" x14ac:dyDescent="0.2">
      <c r="A1734" s="4" t="s">
        <v>2319</v>
      </c>
      <c r="B1734">
        <v>1733</v>
      </c>
      <c r="C1734" s="4" t="s">
        <v>26</v>
      </c>
      <c r="D1734" s="4" t="s">
        <v>50</v>
      </c>
      <c r="E1734" s="4" t="s">
        <v>35</v>
      </c>
      <c r="F1734" s="4" t="s">
        <v>2278</v>
      </c>
      <c r="G1734">
        <v>15</v>
      </c>
      <c r="H1734">
        <v>73</v>
      </c>
      <c r="I1734" s="4" t="s">
        <v>35</v>
      </c>
      <c r="J1734" s="4" t="s">
        <v>131</v>
      </c>
      <c r="K1734" s="4" t="s">
        <v>132</v>
      </c>
      <c r="L1734">
        <v>184</v>
      </c>
      <c r="M1734" s="4" t="s">
        <v>158</v>
      </c>
    </row>
    <row r="1735" spans="1:13" x14ac:dyDescent="0.2">
      <c r="A1735" s="4" t="s">
        <v>2320</v>
      </c>
      <c r="B1735">
        <v>1734</v>
      </c>
      <c r="C1735" s="4" t="s">
        <v>26</v>
      </c>
      <c r="D1735" s="4" t="s">
        <v>50</v>
      </c>
      <c r="E1735" s="4" t="s">
        <v>35</v>
      </c>
      <c r="F1735" s="4" t="s">
        <v>2278</v>
      </c>
      <c r="G1735">
        <v>15</v>
      </c>
      <c r="H1735">
        <v>73</v>
      </c>
      <c r="I1735" s="4" t="s">
        <v>35</v>
      </c>
      <c r="J1735" s="4" t="s">
        <v>133</v>
      </c>
      <c r="K1735" s="4" t="s">
        <v>134</v>
      </c>
      <c r="L1735">
        <v>170</v>
      </c>
      <c r="M1735" s="4" t="s">
        <v>158</v>
      </c>
    </row>
    <row r="1736" spans="1:13" x14ac:dyDescent="0.2">
      <c r="A1736" s="4" t="s">
        <v>2321</v>
      </c>
      <c r="B1736">
        <v>1735</v>
      </c>
      <c r="C1736" s="4" t="s">
        <v>26</v>
      </c>
      <c r="D1736" s="4" t="s">
        <v>50</v>
      </c>
      <c r="E1736" s="4" t="s">
        <v>35</v>
      </c>
      <c r="F1736" s="4" t="s">
        <v>2278</v>
      </c>
      <c r="G1736">
        <v>15</v>
      </c>
      <c r="H1736">
        <v>73</v>
      </c>
      <c r="I1736" s="4" t="s">
        <v>112</v>
      </c>
      <c r="J1736" s="4" t="s">
        <v>122</v>
      </c>
      <c r="K1736" s="4" t="s">
        <v>123</v>
      </c>
      <c r="L1736">
        <v>339</v>
      </c>
      <c r="M1736" s="4" t="s">
        <v>158</v>
      </c>
    </row>
    <row r="1737" spans="1:13" x14ac:dyDescent="0.2">
      <c r="A1737" s="4" t="s">
        <v>2322</v>
      </c>
      <c r="B1737">
        <v>1736</v>
      </c>
      <c r="C1737" s="4" t="s">
        <v>26</v>
      </c>
      <c r="D1737" s="4" t="s">
        <v>50</v>
      </c>
      <c r="E1737" s="4" t="s">
        <v>35</v>
      </c>
      <c r="F1737" s="4" t="s">
        <v>2278</v>
      </c>
      <c r="G1737">
        <v>15</v>
      </c>
      <c r="H1737">
        <v>73</v>
      </c>
      <c r="I1737" s="4" t="s">
        <v>112</v>
      </c>
      <c r="J1737" s="4" t="s">
        <v>125</v>
      </c>
      <c r="K1737" s="4" t="s">
        <v>126</v>
      </c>
      <c r="L1737">
        <v>51</v>
      </c>
      <c r="M1737" s="4" t="s">
        <v>158</v>
      </c>
    </row>
    <row r="1738" spans="1:13" x14ac:dyDescent="0.2">
      <c r="A1738" s="4" t="s">
        <v>2323</v>
      </c>
      <c r="B1738">
        <v>1737</v>
      </c>
      <c r="C1738" s="4" t="s">
        <v>26</v>
      </c>
      <c r="D1738" s="4" t="s">
        <v>50</v>
      </c>
      <c r="E1738" s="4" t="s">
        <v>35</v>
      </c>
      <c r="F1738" s="4" t="s">
        <v>2278</v>
      </c>
      <c r="G1738">
        <v>15</v>
      </c>
      <c r="H1738">
        <v>73</v>
      </c>
      <c r="I1738" s="4" t="s">
        <v>112</v>
      </c>
      <c r="J1738" s="4" t="s">
        <v>127</v>
      </c>
      <c r="K1738" s="4" t="s">
        <v>128</v>
      </c>
      <c r="L1738">
        <v>255</v>
      </c>
      <c r="M1738" s="4" t="s">
        <v>158</v>
      </c>
    </row>
    <row r="1739" spans="1:13" x14ac:dyDescent="0.2">
      <c r="A1739" s="4" t="s">
        <v>2324</v>
      </c>
      <c r="B1739">
        <v>1738</v>
      </c>
      <c r="C1739" s="4" t="s">
        <v>26</v>
      </c>
      <c r="D1739" s="4" t="s">
        <v>50</v>
      </c>
      <c r="E1739" s="4" t="s">
        <v>35</v>
      </c>
      <c r="F1739" s="4" t="s">
        <v>2278</v>
      </c>
      <c r="G1739">
        <v>15</v>
      </c>
      <c r="H1739">
        <v>73</v>
      </c>
      <c r="I1739" s="4" t="s">
        <v>112</v>
      </c>
      <c r="J1739" s="4" t="s">
        <v>129</v>
      </c>
      <c r="K1739" s="4" t="s">
        <v>130</v>
      </c>
      <c r="L1739">
        <v>0</v>
      </c>
      <c r="M1739" s="4" t="s">
        <v>158</v>
      </c>
    </row>
    <row r="1740" spans="1:13" x14ac:dyDescent="0.2">
      <c r="A1740" s="4" t="s">
        <v>2325</v>
      </c>
      <c r="B1740">
        <v>1739</v>
      </c>
      <c r="C1740" s="4" t="s">
        <v>26</v>
      </c>
      <c r="D1740" s="4" t="s">
        <v>50</v>
      </c>
      <c r="E1740" s="4" t="s">
        <v>35</v>
      </c>
      <c r="F1740" s="4" t="s">
        <v>2278</v>
      </c>
      <c r="G1740">
        <v>15</v>
      </c>
      <c r="H1740">
        <v>73</v>
      </c>
      <c r="I1740" s="4" t="s">
        <v>112</v>
      </c>
      <c r="J1740" s="4" t="s">
        <v>131</v>
      </c>
      <c r="K1740" s="4" t="s">
        <v>132</v>
      </c>
      <c r="L1740">
        <v>72</v>
      </c>
      <c r="M1740" s="4" t="s">
        <v>158</v>
      </c>
    </row>
    <row r="1741" spans="1:13" x14ac:dyDescent="0.2">
      <c r="A1741" s="4" t="s">
        <v>2326</v>
      </c>
      <c r="B1741">
        <v>1740</v>
      </c>
      <c r="C1741" s="4" t="s">
        <v>26</v>
      </c>
      <c r="D1741" s="4" t="s">
        <v>50</v>
      </c>
      <c r="E1741" s="4" t="s">
        <v>35</v>
      </c>
      <c r="F1741" s="4" t="s">
        <v>2278</v>
      </c>
      <c r="G1741">
        <v>15</v>
      </c>
      <c r="H1741">
        <v>73</v>
      </c>
      <c r="I1741" s="4" t="s">
        <v>112</v>
      </c>
      <c r="J1741" s="4" t="s">
        <v>133</v>
      </c>
      <c r="K1741" s="4" t="s">
        <v>134</v>
      </c>
      <c r="L1741">
        <v>35</v>
      </c>
      <c r="M1741" s="4" t="s">
        <v>158</v>
      </c>
    </row>
    <row r="1742" spans="1:13" x14ac:dyDescent="0.2">
      <c r="A1742" s="4" t="s">
        <v>2327</v>
      </c>
      <c r="B1742">
        <v>1741</v>
      </c>
      <c r="C1742" s="4" t="s">
        <v>26</v>
      </c>
      <c r="D1742" s="4" t="s">
        <v>50</v>
      </c>
      <c r="E1742" s="4" t="s">
        <v>35</v>
      </c>
      <c r="F1742" s="4" t="s">
        <v>2278</v>
      </c>
      <c r="G1742">
        <v>15</v>
      </c>
      <c r="H1742">
        <v>73</v>
      </c>
      <c r="I1742" s="4" t="s">
        <v>114</v>
      </c>
      <c r="J1742" s="4" t="s">
        <v>122</v>
      </c>
      <c r="K1742" s="4" t="s">
        <v>123</v>
      </c>
      <c r="L1742">
        <v>100</v>
      </c>
      <c r="M1742" s="4" t="s">
        <v>158</v>
      </c>
    </row>
    <row r="1743" spans="1:13" x14ac:dyDescent="0.2">
      <c r="A1743" s="4" t="s">
        <v>2328</v>
      </c>
      <c r="B1743">
        <v>1742</v>
      </c>
      <c r="C1743" s="4" t="s">
        <v>26</v>
      </c>
      <c r="D1743" s="4" t="s">
        <v>50</v>
      </c>
      <c r="E1743" s="4" t="s">
        <v>35</v>
      </c>
      <c r="F1743" s="4" t="s">
        <v>2278</v>
      </c>
      <c r="G1743">
        <v>15</v>
      </c>
      <c r="H1743">
        <v>73</v>
      </c>
      <c r="I1743" s="4" t="s">
        <v>114</v>
      </c>
      <c r="J1743" s="4" t="s">
        <v>125</v>
      </c>
      <c r="K1743" s="4" t="s">
        <v>126</v>
      </c>
      <c r="L1743">
        <v>20</v>
      </c>
      <c r="M1743" s="4" t="s">
        <v>158</v>
      </c>
    </row>
    <row r="1744" spans="1:13" x14ac:dyDescent="0.2">
      <c r="A1744" s="4" t="s">
        <v>2329</v>
      </c>
      <c r="B1744">
        <v>1743</v>
      </c>
      <c r="C1744" s="4" t="s">
        <v>26</v>
      </c>
      <c r="D1744" s="4" t="s">
        <v>50</v>
      </c>
      <c r="E1744" s="4" t="s">
        <v>35</v>
      </c>
      <c r="F1744" s="4" t="s">
        <v>2278</v>
      </c>
      <c r="G1744">
        <v>15</v>
      </c>
      <c r="H1744">
        <v>73</v>
      </c>
      <c r="I1744" s="4" t="s">
        <v>114</v>
      </c>
      <c r="J1744" s="4" t="s">
        <v>127</v>
      </c>
      <c r="K1744" s="4" t="s">
        <v>128</v>
      </c>
      <c r="L1744">
        <v>116</v>
      </c>
      <c r="M1744" s="4" t="s">
        <v>158</v>
      </c>
    </row>
    <row r="1745" spans="1:13" x14ac:dyDescent="0.2">
      <c r="A1745" s="4" t="s">
        <v>2330</v>
      </c>
      <c r="B1745">
        <v>1744</v>
      </c>
      <c r="C1745" s="4" t="s">
        <v>26</v>
      </c>
      <c r="D1745" s="4" t="s">
        <v>50</v>
      </c>
      <c r="E1745" s="4" t="s">
        <v>35</v>
      </c>
      <c r="F1745" s="4" t="s">
        <v>2278</v>
      </c>
      <c r="G1745">
        <v>15</v>
      </c>
      <c r="H1745">
        <v>73</v>
      </c>
      <c r="I1745" s="4" t="s">
        <v>114</v>
      </c>
      <c r="J1745" s="4" t="s">
        <v>129</v>
      </c>
      <c r="K1745" s="4" t="s">
        <v>130</v>
      </c>
      <c r="L1745">
        <v>13</v>
      </c>
      <c r="M1745" s="4" t="s">
        <v>158</v>
      </c>
    </row>
    <row r="1746" spans="1:13" x14ac:dyDescent="0.2">
      <c r="A1746" s="4" t="s">
        <v>2331</v>
      </c>
      <c r="B1746">
        <v>1745</v>
      </c>
      <c r="C1746" s="4" t="s">
        <v>26</v>
      </c>
      <c r="D1746" s="4" t="s">
        <v>50</v>
      </c>
      <c r="E1746" s="4" t="s">
        <v>35</v>
      </c>
      <c r="F1746" s="4" t="s">
        <v>2278</v>
      </c>
      <c r="G1746">
        <v>15</v>
      </c>
      <c r="H1746">
        <v>73</v>
      </c>
      <c r="I1746" s="4" t="s">
        <v>114</v>
      </c>
      <c r="J1746" s="4" t="s">
        <v>131</v>
      </c>
      <c r="K1746" s="4" t="s">
        <v>132</v>
      </c>
      <c r="L1746">
        <v>86</v>
      </c>
      <c r="M1746" s="4" t="s">
        <v>158</v>
      </c>
    </row>
    <row r="1747" spans="1:13" x14ac:dyDescent="0.2">
      <c r="A1747" s="4" t="s">
        <v>2332</v>
      </c>
      <c r="B1747">
        <v>1746</v>
      </c>
      <c r="C1747" s="4" t="s">
        <v>26</v>
      </c>
      <c r="D1747" s="4" t="s">
        <v>50</v>
      </c>
      <c r="E1747" s="4" t="s">
        <v>35</v>
      </c>
      <c r="F1747" s="4" t="s">
        <v>2278</v>
      </c>
      <c r="G1747">
        <v>15</v>
      </c>
      <c r="H1747">
        <v>73</v>
      </c>
      <c r="I1747" s="4" t="s">
        <v>114</v>
      </c>
      <c r="J1747" s="4" t="s">
        <v>133</v>
      </c>
      <c r="K1747" s="4" t="s">
        <v>134</v>
      </c>
      <c r="L1747">
        <v>43</v>
      </c>
      <c r="M1747" s="4" t="s">
        <v>158</v>
      </c>
    </row>
    <row r="1748" spans="1:13" x14ac:dyDescent="0.2">
      <c r="A1748" s="4" t="s">
        <v>2333</v>
      </c>
      <c r="B1748">
        <v>1747</v>
      </c>
      <c r="C1748" s="4" t="s">
        <v>26</v>
      </c>
      <c r="D1748" s="4" t="s">
        <v>50</v>
      </c>
      <c r="E1748" s="4" t="s">
        <v>35</v>
      </c>
      <c r="F1748" s="4" t="s">
        <v>2278</v>
      </c>
      <c r="G1748">
        <v>15</v>
      </c>
      <c r="H1748">
        <v>73</v>
      </c>
      <c r="I1748" s="4" t="s">
        <v>116</v>
      </c>
      <c r="J1748" s="4" t="s">
        <v>122</v>
      </c>
      <c r="K1748" s="4" t="s">
        <v>123</v>
      </c>
      <c r="L1748">
        <v>119</v>
      </c>
      <c r="M1748" s="4" t="s">
        <v>158</v>
      </c>
    </row>
    <row r="1749" spans="1:13" x14ac:dyDescent="0.2">
      <c r="A1749" s="4" t="s">
        <v>2334</v>
      </c>
      <c r="B1749">
        <v>1748</v>
      </c>
      <c r="C1749" s="4" t="s">
        <v>26</v>
      </c>
      <c r="D1749" s="4" t="s">
        <v>50</v>
      </c>
      <c r="E1749" s="4" t="s">
        <v>35</v>
      </c>
      <c r="F1749" s="4" t="s">
        <v>2278</v>
      </c>
      <c r="G1749">
        <v>15</v>
      </c>
      <c r="H1749">
        <v>73</v>
      </c>
      <c r="I1749" s="4" t="s">
        <v>116</v>
      </c>
      <c r="J1749" s="4" t="s">
        <v>125</v>
      </c>
      <c r="K1749" s="4" t="s">
        <v>126</v>
      </c>
      <c r="L1749">
        <v>43</v>
      </c>
      <c r="M1749" s="4" t="s">
        <v>158</v>
      </c>
    </row>
    <row r="1750" spans="1:13" x14ac:dyDescent="0.2">
      <c r="A1750" s="4" t="s">
        <v>2335</v>
      </c>
      <c r="B1750">
        <v>1749</v>
      </c>
      <c r="C1750" s="4" t="s">
        <v>26</v>
      </c>
      <c r="D1750" s="4" t="s">
        <v>50</v>
      </c>
      <c r="E1750" s="4" t="s">
        <v>35</v>
      </c>
      <c r="F1750" s="4" t="s">
        <v>2278</v>
      </c>
      <c r="G1750">
        <v>15</v>
      </c>
      <c r="H1750">
        <v>73</v>
      </c>
      <c r="I1750" s="4" t="s">
        <v>116</v>
      </c>
      <c r="J1750" s="4" t="s">
        <v>127</v>
      </c>
      <c r="K1750" s="4" t="s">
        <v>128</v>
      </c>
      <c r="L1750">
        <v>74</v>
      </c>
      <c r="M1750" s="4" t="s">
        <v>158</v>
      </c>
    </row>
    <row r="1751" spans="1:13" x14ac:dyDescent="0.2">
      <c r="A1751" s="4" t="s">
        <v>2336</v>
      </c>
      <c r="B1751">
        <v>1750</v>
      </c>
      <c r="C1751" s="4" t="s">
        <v>26</v>
      </c>
      <c r="D1751" s="4" t="s">
        <v>50</v>
      </c>
      <c r="E1751" s="4" t="s">
        <v>35</v>
      </c>
      <c r="F1751" s="4" t="s">
        <v>2278</v>
      </c>
      <c r="G1751">
        <v>15</v>
      </c>
      <c r="H1751">
        <v>73</v>
      </c>
      <c r="I1751" s="4" t="s">
        <v>116</v>
      </c>
      <c r="J1751" s="4" t="s">
        <v>129</v>
      </c>
      <c r="K1751" s="4" t="s">
        <v>130</v>
      </c>
      <c r="L1751">
        <v>16</v>
      </c>
      <c r="M1751" s="4" t="s">
        <v>158</v>
      </c>
    </row>
    <row r="1752" spans="1:13" x14ac:dyDescent="0.2">
      <c r="A1752" s="4" t="s">
        <v>2337</v>
      </c>
      <c r="B1752">
        <v>1751</v>
      </c>
      <c r="C1752" s="4" t="s">
        <v>26</v>
      </c>
      <c r="D1752" s="4" t="s">
        <v>50</v>
      </c>
      <c r="E1752" s="4" t="s">
        <v>35</v>
      </c>
      <c r="F1752" s="4" t="s">
        <v>2278</v>
      </c>
      <c r="G1752">
        <v>15</v>
      </c>
      <c r="H1752">
        <v>73</v>
      </c>
      <c r="I1752" s="4" t="s">
        <v>116</v>
      </c>
      <c r="J1752" s="4" t="s">
        <v>131</v>
      </c>
      <c r="K1752" s="4" t="s">
        <v>132</v>
      </c>
      <c r="L1752">
        <v>29</v>
      </c>
      <c r="M1752" s="4" t="s">
        <v>158</v>
      </c>
    </row>
    <row r="1753" spans="1:13" x14ac:dyDescent="0.2">
      <c r="A1753" s="4" t="s">
        <v>2338</v>
      </c>
      <c r="B1753">
        <v>1752</v>
      </c>
      <c r="C1753" s="4" t="s">
        <v>26</v>
      </c>
      <c r="D1753" s="4" t="s">
        <v>50</v>
      </c>
      <c r="E1753" s="4" t="s">
        <v>35</v>
      </c>
      <c r="F1753" s="4" t="s">
        <v>2278</v>
      </c>
      <c r="G1753">
        <v>15</v>
      </c>
      <c r="H1753">
        <v>73</v>
      </c>
      <c r="I1753" s="4" t="s">
        <v>116</v>
      </c>
      <c r="J1753" s="4" t="s">
        <v>133</v>
      </c>
      <c r="K1753" s="4" t="s">
        <v>134</v>
      </c>
      <c r="L1753">
        <v>5</v>
      </c>
      <c r="M1753" s="4" t="s">
        <v>158</v>
      </c>
    </row>
    <row r="1754" spans="1:13" x14ac:dyDescent="0.2">
      <c r="A1754" s="4" t="s">
        <v>2339</v>
      </c>
      <c r="B1754">
        <v>1753</v>
      </c>
      <c r="C1754" s="4" t="s">
        <v>26</v>
      </c>
      <c r="D1754" s="4" t="s">
        <v>50</v>
      </c>
      <c r="E1754" s="4" t="s">
        <v>38</v>
      </c>
      <c r="F1754" s="4" t="s">
        <v>2340</v>
      </c>
      <c r="G1754">
        <v>15</v>
      </c>
      <c r="H1754">
        <v>74</v>
      </c>
      <c r="I1754" s="4" t="s">
        <v>35</v>
      </c>
      <c r="J1754" s="4" t="s">
        <v>122</v>
      </c>
      <c r="K1754" s="4" t="s">
        <v>123</v>
      </c>
      <c r="L1754">
        <v>200</v>
      </c>
      <c r="M1754" s="4" t="s">
        <v>158</v>
      </c>
    </row>
    <row r="1755" spans="1:13" x14ac:dyDescent="0.2">
      <c r="A1755" s="4" t="s">
        <v>2341</v>
      </c>
      <c r="B1755">
        <v>1754</v>
      </c>
      <c r="C1755" s="4" t="s">
        <v>26</v>
      </c>
      <c r="D1755" s="4" t="s">
        <v>50</v>
      </c>
      <c r="E1755" s="4" t="s">
        <v>38</v>
      </c>
      <c r="F1755" s="4" t="s">
        <v>2340</v>
      </c>
      <c r="G1755">
        <v>15</v>
      </c>
      <c r="H1755">
        <v>74</v>
      </c>
      <c r="I1755" s="4" t="s">
        <v>35</v>
      </c>
      <c r="J1755" s="4" t="s">
        <v>125</v>
      </c>
      <c r="K1755" s="4" t="s">
        <v>126</v>
      </c>
      <c r="L1755">
        <v>60</v>
      </c>
      <c r="M1755" s="4" t="s">
        <v>158</v>
      </c>
    </row>
    <row r="1756" spans="1:13" x14ac:dyDescent="0.2">
      <c r="A1756" s="4" t="s">
        <v>2342</v>
      </c>
      <c r="B1756">
        <v>1755</v>
      </c>
      <c r="C1756" s="4" t="s">
        <v>26</v>
      </c>
      <c r="D1756" s="4" t="s">
        <v>50</v>
      </c>
      <c r="E1756" s="4" t="s">
        <v>38</v>
      </c>
      <c r="F1756" s="4" t="s">
        <v>2340</v>
      </c>
      <c r="G1756">
        <v>15</v>
      </c>
      <c r="H1756">
        <v>74</v>
      </c>
      <c r="I1756" s="4" t="s">
        <v>35</v>
      </c>
      <c r="J1756" s="4" t="s">
        <v>127</v>
      </c>
      <c r="K1756" s="4" t="s">
        <v>128</v>
      </c>
      <c r="L1756">
        <v>305</v>
      </c>
      <c r="M1756" s="4" t="s">
        <v>158</v>
      </c>
    </row>
    <row r="1757" spans="1:13" x14ac:dyDescent="0.2">
      <c r="A1757" s="4" t="s">
        <v>2343</v>
      </c>
      <c r="B1757">
        <v>1756</v>
      </c>
      <c r="C1757" s="4" t="s">
        <v>26</v>
      </c>
      <c r="D1757" s="4" t="s">
        <v>50</v>
      </c>
      <c r="E1757" s="4" t="s">
        <v>38</v>
      </c>
      <c r="F1757" s="4" t="s">
        <v>2340</v>
      </c>
      <c r="G1757">
        <v>15</v>
      </c>
      <c r="H1757">
        <v>74</v>
      </c>
      <c r="I1757" s="4" t="s">
        <v>35</v>
      </c>
      <c r="J1757" s="4" t="s">
        <v>129</v>
      </c>
      <c r="K1757" s="4" t="s">
        <v>130</v>
      </c>
      <c r="L1757">
        <v>73</v>
      </c>
      <c r="M1757" s="4" t="s">
        <v>158</v>
      </c>
    </row>
    <row r="1758" spans="1:13" x14ac:dyDescent="0.2">
      <c r="A1758" s="4" t="s">
        <v>2344</v>
      </c>
      <c r="B1758">
        <v>1757</v>
      </c>
      <c r="C1758" s="4" t="s">
        <v>26</v>
      </c>
      <c r="D1758" s="4" t="s">
        <v>50</v>
      </c>
      <c r="E1758" s="4" t="s">
        <v>38</v>
      </c>
      <c r="F1758" s="4" t="s">
        <v>2340</v>
      </c>
      <c r="G1758">
        <v>15</v>
      </c>
      <c r="H1758">
        <v>74</v>
      </c>
      <c r="I1758" s="4" t="s">
        <v>35</v>
      </c>
      <c r="J1758" s="4" t="s">
        <v>131</v>
      </c>
      <c r="K1758" s="4" t="s">
        <v>132</v>
      </c>
      <c r="L1758">
        <v>71</v>
      </c>
      <c r="M1758" s="4" t="s">
        <v>158</v>
      </c>
    </row>
    <row r="1759" spans="1:13" x14ac:dyDescent="0.2">
      <c r="A1759" s="4" t="s">
        <v>2345</v>
      </c>
      <c r="B1759">
        <v>1758</v>
      </c>
      <c r="C1759" s="4" t="s">
        <v>26</v>
      </c>
      <c r="D1759" s="4" t="s">
        <v>50</v>
      </c>
      <c r="E1759" s="4" t="s">
        <v>38</v>
      </c>
      <c r="F1759" s="4" t="s">
        <v>2340</v>
      </c>
      <c r="G1759">
        <v>15</v>
      </c>
      <c r="H1759">
        <v>74</v>
      </c>
      <c r="I1759" s="4" t="s">
        <v>35</v>
      </c>
      <c r="J1759" s="4" t="s">
        <v>133</v>
      </c>
      <c r="K1759" s="4" t="s">
        <v>134</v>
      </c>
      <c r="L1759">
        <v>53</v>
      </c>
      <c r="M1759" s="4" t="s">
        <v>158</v>
      </c>
    </row>
    <row r="1760" spans="1:13" x14ac:dyDescent="0.2">
      <c r="A1760" s="4" t="s">
        <v>2346</v>
      </c>
      <c r="B1760">
        <v>1759</v>
      </c>
      <c r="C1760" s="4" t="s">
        <v>26</v>
      </c>
      <c r="D1760" s="4" t="s">
        <v>50</v>
      </c>
      <c r="E1760" s="4" t="s">
        <v>38</v>
      </c>
      <c r="F1760" s="4" t="s">
        <v>2340</v>
      </c>
      <c r="G1760">
        <v>15</v>
      </c>
      <c r="H1760">
        <v>74</v>
      </c>
      <c r="I1760" s="4" t="s">
        <v>112</v>
      </c>
      <c r="J1760" s="4" t="s">
        <v>122</v>
      </c>
      <c r="K1760" s="4" t="s">
        <v>123</v>
      </c>
      <c r="L1760">
        <v>501</v>
      </c>
      <c r="M1760" s="4" t="s">
        <v>158</v>
      </c>
    </row>
    <row r="1761" spans="1:13" x14ac:dyDescent="0.2">
      <c r="A1761" s="4" t="s">
        <v>2347</v>
      </c>
      <c r="B1761">
        <v>1760</v>
      </c>
      <c r="C1761" s="4" t="s">
        <v>26</v>
      </c>
      <c r="D1761" s="4" t="s">
        <v>50</v>
      </c>
      <c r="E1761" s="4" t="s">
        <v>38</v>
      </c>
      <c r="F1761" s="4" t="s">
        <v>2340</v>
      </c>
      <c r="G1761">
        <v>15</v>
      </c>
      <c r="H1761">
        <v>74</v>
      </c>
      <c r="I1761" s="4" t="s">
        <v>112</v>
      </c>
      <c r="J1761" s="4" t="s">
        <v>125</v>
      </c>
      <c r="K1761" s="4" t="s">
        <v>126</v>
      </c>
      <c r="L1761">
        <v>51</v>
      </c>
      <c r="M1761" s="4" t="s">
        <v>158</v>
      </c>
    </row>
    <row r="1762" spans="1:13" x14ac:dyDescent="0.2">
      <c r="A1762" s="4" t="s">
        <v>2348</v>
      </c>
      <c r="B1762">
        <v>1761</v>
      </c>
      <c r="C1762" s="4" t="s">
        <v>26</v>
      </c>
      <c r="D1762" s="4" t="s">
        <v>50</v>
      </c>
      <c r="E1762" s="4" t="s">
        <v>38</v>
      </c>
      <c r="F1762" s="4" t="s">
        <v>2340</v>
      </c>
      <c r="G1762">
        <v>15</v>
      </c>
      <c r="H1762">
        <v>74</v>
      </c>
      <c r="I1762" s="4" t="s">
        <v>112</v>
      </c>
      <c r="J1762" s="4" t="s">
        <v>127</v>
      </c>
      <c r="K1762" s="4" t="s">
        <v>128</v>
      </c>
      <c r="L1762">
        <v>276</v>
      </c>
      <c r="M1762" s="4" t="s">
        <v>158</v>
      </c>
    </row>
    <row r="1763" spans="1:13" x14ac:dyDescent="0.2">
      <c r="A1763" s="4" t="s">
        <v>2349</v>
      </c>
      <c r="B1763">
        <v>1762</v>
      </c>
      <c r="C1763" s="4" t="s">
        <v>26</v>
      </c>
      <c r="D1763" s="4" t="s">
        <v>50</v>
      </c>
      <c r="E1763" s="4" t="s">
        <v>38</v>
      </c>
      <c r="F1763" s="4" t="s">
        <v>2340</v>
      </c>
      <c r="G1763">
        <v>15</v>
      </c>
      <c r="H1763">
        <v>74</v>
      </c>
      <c r="I1763" s="4" t="s">
        <v>112</v>
      </c>
      <c r="J1763" s="4" t="s">
        <v>129</v>
      </c>
      <c r="K1763" s="4" t="s">
        <v>130</v>
      </c>
      <c r="L1763">
        <v>50</v>
      </c>
      <c r="M1763" s="4" t="s">
        <v>158</v>
      </c>
    </row>
    <row r="1764" spans="1:13" x14ac:dyDescent="0.2">
      <c r="A1764" s="4" t="s">
        <v>2350</v>
      </c>
      <c r="B1764">
        <v>1763</v>
      </c>
      <c r="C1764" s="4" t="s">
        <v>26</v>
      </c>
      <c r="D1764" s="4" t="s">
        <v>50</v>
      </c>
      <c r="E1764" s="4" t="s">
        <v>38</v>
      </c>
      <c r="F1764" s="4" t="s">
        <v>2340</v>
      </c>
      <c r="G1764">
        <v>15</v>
      </c>
      <c r="H1764">
        <v>74</v>
      </c>
      <c r="I1764" s="4" t="s">
        <v>112</v>
      </c>
      <c r="J1764" s="4" t="s">
        <v>131</v>
      </c>
      <c r="K1764" s="4" t="s">
        <v>132</v>
      </c>
      <c r="L1764">
        <v>73</v>
      </c>
      <c r="M1764" s="4" t="s">
        <v>158</v>
      </c>
    </row>
    <row r="1765" spans="1:13" x14ac:dyDescent="0.2">
      <c r="A1765" s="4" t="s">
        <v>2351</v>
      </c>
      <c r="B1765">
        <v>1764</v>
      </c>
      <c r="C1765" s="4" t="s">
        <v>26</v>
      </c>
      <c r="D1765" s="4" t="s">
        <v>50</v>
      </c>
      <c r="E1765" s="4" t="s">
        <v>38</v>
      </c>
      <c r="F1765" s="4" t="s">
        <v>2340</v>
      </c>
      <c r="G1765">
        <v>15</v>
      </c>
      <c r="H1765">
        <v>74</v>
      </c>
      <c r="I1765" s="4" t="s">
        <v>112</v>
      </c>
      <c r="J1765" s="4" t="s">
        <v>133</v>
      </c>
      <c r="K1765" s="4" t="s">
        <v>134</v>
      </c>
      <c r="L1765">
        <v>65</v>
      </c>
      <c r="M1765" s="4" t="s">
        <v>158</v>
      </c>
    </row>
    <row r="1766" spans="1:13" x14ac:dyDescent="0.2">
      <c r="A1766" s="4" t="s">
        <v>2352</v>
      </c>
      <c r="B1766">
        <v>1765</v>
      </c>
      <c r="C1766" s="4" t="s">
        <v>26</v>
      </c>
      <c r="D1766" s="4" t="s">
        <v>50</v>
      </c>
      <c r="E1766" s="4" t="s">
        <v>38</v>
      </c>
      <c r="F1766" s="4" t="s">
        <v>2340</v>
      </c>
      <c r="G1766">
        <v>15</v>
      </c>
      <c r="H1766">
        <v>74</v>
      </c>
      <c r="I1766" s="4" t="s">
        <v>114</v>
      </c>
      <c r="J1766" s="4" t="s">
        <v>122</v>
      </c>
      <c r="K1766" s="4" t="s">
        <v>123</v>
      </c>
      <c r="L1766">
        <v>37</v>
      </c>
      <c r="M1766" s="4" t="s">
        <v>158</v>
      </c>
    </row>
    <row r="1767" spans="1:13" x14ac:dyDescent="0.2">
      <c r="A1767" s="4" t="s">
        <v>2353</v>
      </c>
      <c r="B1767">
        <v>1766</v>
      </c>
      <c r="C1767" s="4" t="s">
        <v>26</v>
      </c>
      <c r="D1767" s="4" t="s">
        <v>50</v>
      </c>
      <c r="E1767" s="4" t="s">
        <v>38</v>
      </c>
      <c r="F1767" s="4" t="s">
        <v>2340</v>
      </c>
      <c r="G1767">
        <v>15</v>
      </c>
      <c r="H1767">
        <v>74</v>
      </c>
      <c r="I1767" s="4" t="s">
        <v>114</v>
      </c>
      <c r="J1767" s="4" t="s">
        <v>125</v>
      </c>
      <c r="K1767" s="4" t="s">
        <v>126</v>
      </c>
      <c r="L1767">
        <v>55</v>
      </c>
      <c r="M1767" s="4" t="s">
        <v>158</v>
      </c>
    </row>
    <row r="1768" spans="1:13" x14ac:dyDescent="0.2">
      <c r="A1768" s="4" t="s">
        <v>2354</v>
      </c>
      <c r="B1768">
        <v>1767</v>
      </c>
      <c r="C1768" s="4" t="s">
        <v>26</v>
      </c>
      <c r="D1768" s="4" t="s">
        <v>50</v>
      </c>
      <c r="E1768" s="4" t="s">
        <v>38</v>
      </c>
      <c r="F1768" s="4" t="s">
        <v>2340</v>
      </c>
      <c r="G1768">
        <v>15</v>
      </c>
      <c r="H1768">
        <v>74</v>
      </c>
      <c r="I1768" s="4" t="s">
        <v>114</v>
      </c>
      <c r="J1768" s="4" t="s">
        <v>127</v>
      </c>
      <c r="K1768" s="4" t="s">
        <v>128</v>
      </c>
      <c r="L1768">
        <v>283</v>
      </c>
      <c r="M1768" s="4" t="s">
        <v>158</v>
      </c>
    </row>
    <row r="1769" spans="1:13" x14ac:dyDescent="0.2">
      <c r="A1769" s="4" t="s">
        <v>2355</v>
      </c>
      <c r="B1769">
        <v>1768</v>
      </c>
      <c r="C1769" s="4" t="s">
        <v>26</v>
      </c>
      <c r="D1769" s="4" t="s">
        <v>50</v>
      </c>
      <c r="E1769" s="4" t="s">
        <v>38</v>
      </c>
      <c r="F1769" s="4" t="s">
        <v>2340</v>
      </c>
      <c r="G1769">
        <v>15</v>
      </c>
      <c r="H1769">
        <v>74</v>
      </c>
      <c r="I1769" s="4" t="s">
        <v>114</v>
      </c>
      <c r="J1769" s="4" t="s">
        <v>129</v>
      </c>
      <c r="K1769" s="4" t="s">
        <v>130</v>
      </c>
      <c r="L1769">
        <v>50</v>
      </c>
      <c r="M1769" s="4" t="s">
        <v>158</v>
      </c>
    </row>
    <row r="1770" spans="1:13" x14ac:dyDescent="0.2">
      <c r="A1770" s="4" t="s">
        <v>2356</v>
      </c>
      <c r="B1770">
        <v>1769</v>
      </c>
      <c r="C1770" s="4" t="s">
        <v>26</v>
      </c>
      <c r="D1770" s="4" t="s">
        <v>50</v>
      </c>
      <c r="E1770" s="4" t="s">
        <v>38</v>
      </c>
      <c r="F1770" s="4" t="s">
        <v>2340</v>
      </c>
      <c r="G1770">
        <v>15</v>
      </c>
      <c r="H1770">
        <v>74</v>
      </c>
      <c r="I1770" s="4" t="s">
        <v>114</v>
      </c>
      <c r="J1770" s="4" t="s">
        <v>131</v>
      </c>
      <c r="K1770" s="4" t="s">
        <v>132</v>
      </c>
      <c r="L1770">
        <v>68</v>
      </c>
      <c r="M1770" s="4" t="s">
        <v>158</v>
      </c>
    </row>
    <row r="1771" spans="1:13" x14ac:dyDescent="0.2">
      <c r="A1771" s="4" t="s">
        <v>2357</v>
      </c>
      <c r="B1771">
        <v>1770</v>
      </c>
      <c r="C1771" s="4" t="s">
        <v>26</v>
      </c>
      <c r="D1771" s="4" t="s">
        <v>50</v>
      </c>
      <c r="E1771" s="4" t="s">
        <v>38</v>
      </c>
      <c r="F1771" s="4" t="s">
        <v>2340</v>
      </c>
      <c r="G1771">
        <v>15</v>
      </c>
      <c r="H1771">
        <v>74</v>
      </c>
      <c r="I1771" s="4" t="s">
        <v>114</v>
      </c>
      <c r="J1771" s="4" t="s">
        <v>133</v>
      </c>
      <c r="K1771" s="4" t="s">
        <v>134</v>
      </c>
      <c r="L1771">
        <v>50</v>
      </c>
      <c r="M1771" s="4" t="s">
        <v>158</v>
      </c>
    </row>
    <row r="1772" spans="1:13" x14ac:dyDescent="0.2">
      <c r="A1772" s="4" t="s">
        <v>2358</v>
      </c>
      <c r="B1772">
        <v>1771</v>
      </c>
      <c r="C1772" s="4" t="s">
        <v>26</v>
      </c>
      <c r="D1772" s="4" t="s">
        <v>50</v>
      </c>
      <c r="E1772" s="4" t="s">
        <v>38</v>
      </c>
      <c r="F1772" s="4" t="s">
        <v>2340</v>
      </c>
      <c r="G1772">
        <v>15</v>
      </c>
      <c r="H1772">
        <v>74</v>
      </c>
      <c r="I1772" s="4" t="s">
        <v>116</v>
      </c>
      <c r="J1772" s="4" t="s">
        <v>122</v>
      </c>
      <c r="K1772" s="4" t="s">
        <v>123</v>
      </c>
      <c r="L1772">
        <v>150</v>
      </c>
      <c r="M1772" s="4" t="s">
        <v>158</v>
      </c>
    </row>
    <row r="1773" spans="1:13" x14ac:dyDescent="0.2">
      <c r="A1773" s="4" t="s">
        <v>2359</v>
      </c>
      <c r="B1773">
        <v>1772</v>
      </c>
      <c r="C1773" s="4" t="s">
        <v>26</v>
      </c>
      <c r="D1773" s="4" t="s">
        <v>50</v>
      </c>
      <c r="E1773" s="4" t="s">
        <v>38</v>
      </c>
      <c r="F1773" s="4" t="s">
        <v>2340</v>
      </c>
      <c r="G1773">
        <v>15</v>
      </c>
      <c r="H1773">
        <v>74</v>
      </c>
      <c r="I1773" s="4" t="s">
        <v>116</v>
      </c>
      <c r="J1773" s="4" t="s">
        <v>125</v>
      </c>
      <c r="K1773" s="4" t="s">
        <v>126</v>
      </c>
      <c r="L1773">
        <v>50</v>
      </c>
      <c r="M1773" s="4" t="s">
        <v>158</v>
      </c>
    </row>
    <row r="1774" spans="1:13" x14ac:dyDescent="0.2">
      <c r="A1774" s="4" t="s">
        <v>2360</v>
      </c>
      <c r="B1774">
        <v>1773</v>
      </c>
      <c r="C1774" s="4" t="s">
        <v>26</v>
      </c>
      <c r="D1774" s="4" t="s">
        <v>50</v>
      </c>
      <c r="E1774" s="4" t="s">
        <v>38</v>
      </c>
      <c r="F1774" s="4" t="s">
        <v>2340</v>
      </c>
      <c r="G1774">
        <v>15</v>
      </c>
      <c r="H1774">
        <v>74</v>
      </c>
      <c r="I1774" s="4" t="s">
        <v>116</v>
      </c>
      <c r="J1774" s="4" t="s">
        <v>127</v>
      </c>
      <c r="K1774" s="4" t="s">
        <v>128</v>
      </c>
      <c r="L1774">
        <v>35</v>
      </c>
      <c r="M1774" s="4" t="s">
        <v>158</v>
      </c>
    </row>
    <row r="1775" spans="1:13" x14ac:dyDescent="0.2">
      <c r="A1775" s="4" t="s">
        <v>2361</v>
      </c>
      <c r="B1775">
        <v>1774</v>
      </c>
      <c r="C1775" s="4" t="s">
        <v>26</v>
      </c>
      <c r="D1775" s="4" t="s">
        <v>50</v>
      </c>
      <c r="E1775" s="4" t="s">
        <v>38</v>
      </c>
      <c r="F1775" s="4" t="s">
        <v>2340</v>
      </c>
      <c r="G1775">
        <v>15</v>
      </c>
      <c r="H1775">
        <v>74</v>
      </c>
      <c r="I1775" s="4" t="s">
        <v>116</v>
      </c>
      <c r="J1775" s="4" t="s">
        <v>129</v>
      </c>
      <c r="K1775" s="4" t="s">
        <v>130</v>
      </c>
      <c r="L1775">
        <v>134</v>
      </c>
      <c r="M1775" s="4" t="s">
        <v>158</v>
      </c>
    </row>
    <row r="1776" spans="1:13" x14ac:dyDescent="0.2">
      <c r="A1776" s="4" t="s">
        <v>2362</v>
      </c>
      <c r="B1776">
        <v>1775</v>
      </c>
      <c r="C1776" s="4" t="s">
        <v>26</v>
      </c>
      <c r="D1776" s="4" t="s">
        <v>50</v>
      </c>
      <c r="E1776" s="4" t="s">
        <v>38</v>
      </c>
      <c r="F1776" s="4" t="s">
        <v>2340</v>
      </c>
      <c r="G1776">
        <v>15</v>
      </c>
      <c r="H1776">
        <v>74</v>
      </c>
      <c r="I1776" s="4" t="s">
        <v>116</v>
      </c>
      <c r="J1776" s="4" t="s">
        <v>131</v>
      </c>
      <c r="K1776" s="4" t="s">
        <v>132</v>
      </c>
      <c r="L1776">
        <v>80</v>
      </c>
      <c r="M1776" s="4" t="s">
        <v>158</v>
      </c>
    </row>
    <row r="1777" spans="1:13" x14ac:dyDescent="0.2">
      <c r="A1777" s="4" t="s">
        <v>2363</v>
      </c>
      <c r="B1777">
        <v>1776</v>
      </c>
      <c r="C1777" s="4" t="s">
        <v>26</v>
      </c>
      <c r="D1777" s="4" t="s">
        <v>50</v>
      </c>
      <c r="E1777" s="4" t="s">
        <v>38</v>
      </c>
      <c r="F1777" s="4" t="s">
        <v>2340</v>
      </c>
      <c r="G1777">
        <v>15</v>
      </c>
      <c r="H1777">
        <v>74</v>
      </c>
      <c r="I1777" s="4" t="s">
        <v>116</v>
      </c>
      <c r="J1777" s="4" t="s">
        <v>133</v>
      </c>
      <c r="K1777" s="4" t="s">
        <v>134</v>
      </c>
      <c r="L1777">
        <v>50</v>
      </c>
      <c r="M1777" s="4" t="s">
        <v>158</v>
      </c>
    </row>
    <row r="1778" spans="1:13" x14ac:dyDescent="0.2">
      <c r="A1778" s="4" t="s">
        <v>2369</v>
      </c>
      <c r="B1778">
        <v>1777</v>
      </c>
      <c r="C1778" s="4" t="s">
        <v>26</v>
      </c>
      <c r="D1778" s="4" t="s">
        <v>50</v>
      </c>
      <c r="E1778" s="4" t="s">
        <v>41</v>
      </c>
      <c r="F1778" s="4" t="s">
        <v>2370</v>
      </c>
      <c r="G1778">
        <v>15</v>
      </c>
      <c r="H1778">
        <v>75</v>
      </c>
      <c r="I1778" s="4" t="s">
        <v>35</v>
      </c>
      <c r="J1778" s="4" t="s">
        <v>122</v>
      </c>
      <c r="K1778" s="4" t="s">
        <v>123</v>
      </c>
      <c r="L1778">
        <v>200</v>
      </c>
      <c r="M1778" s="4" t="s">
        <v>158</v>
      </c>
    </row>
    <row r="1779" spans="1:13" x14ac:dyDescent="0.2">
      <c r="A1779" s="4" t="s">
        <v>2371</v>
      </c>
      <c r="B1779">
        <v>1778</v>
      </c>
      <c r="C1779" s="4" t="s">
        <v>26</v>
      </c>
      <c r="D1779" s="4" t="s">
        <v>50</v>
      </c>
      <c r="E1779" s="4" t="s">
        <v>41</v>
      </c>
      <c r="F1779" s="4" t="s">
        <v>2370</v>
      </c>
      <c r="G1779">
        <v>15</v>
      </c>
      <c r="H1779">
        <v>75</v>
      </c>
      <c r="I1779" s="4" t="s">
        <v>35</v>
      </c>
      <c r="J1779" s="4" t="s">
        <v>125</v>
      </c>
      <c r="K1779" s="4" t="s">
        <v>126</v>
      </c>
      <c r="L1779">
        <v>60</v>
      </c>
      <c r="M1779" s="4" t="s">
        <v>158</v>
      </c>
    </row>
    <row r="1780" spans="1:13" x14ac:dyDescent="0.2">
      <c r="A1780" s="4" t="s">
        <v>2372</v>
      </c>
      <c r="B1780">
        <v>1779</v>
      </c>
      <c r="C1780" s="4" t="s">
        <v>26</v>
      </c>
      <c r="D1780" s="4" t="s">
        <v>50</v>
      </c>
      <c r="E1780" s="4" t="s">
        <v>41</v>
      </c>
      <c r="F1780" s="4" t="s">
        <v>2370</v>
      </c>
      <c r="G1780">
        <v>15</v>
      </c>
      <c r="H1780">
        <v>75</v>
      </c>
      <c r="I1780" s="4" t="s">
        <v>35</v>
      </c>
      <c r="J1780" s="4" t="s">
        <v>127</v>
      </c>
      <c r="K1780" s="4" t="s">
        <v>128</v>
      </c>
      <c r="L1780">
        <v>305</v>
      </c>
      <c r="M1780" s="4" t="s">
        <v>158</v>
      </c>
    </row>
    <row r="1781" spans="1:13" x14ac:dyDescent="0.2">
      <c r="A1781" s="4" t="s">
        <v>2373</v>
      </c>
      <c r="B1781">
        <v>1780</v>
      </c>
      <c r="C1781" s="4" t="s">
        <v>26</v>
      </c>
      <c r="D1781" s="4" t="s">
        <v>50</v>
      </c>
      <c r="E1781" s="4" t="s">
        <v>41</v>
      </c>
      <c r="F1781" s="4" t="s">
        <v>2370</v>
      </c>
      <c r="G1781">
        <v>15</v>
      </c>
      <c r="H1781">
        <v>75</v>
      </c>
      <c r="I1781" s="4" t="s">
        <v>35</v>
      </c>
      <c r="J1781" s="4" t="s">
        <v>129</v>
      </c>
      <c r="K1781" s="4" t="s">
        <v>130</v>
      </c>
      <c r="L1781">
        <v>73</v>
      </c>
      <c r="M1781" s="4" t="s">
        <v>158</v>
      </c>
    </row>
    <row r="1782" spans="1:13" x14ac:dyDescent="0.2">
      <c r="A1782" s="4" t="s">
        <v>2374</v>
      </c>
      <c r="B1782">
        <v>1781</v>
      </c>
      <c r="C1782" s="4" t="s">
        <v>26</v>
      </c>
      <c r="D1782" s="4" t="s">
        <v>50</v>
      </c>
      <c r="E1782" s="4" t="s">
        <v>41</v>
      </c>
      <c r="F1782" s="4" t="s">
        <v>2370</v>
      </c>
      <c r="G1782">
        <v>15</v>
      </c>
      <c r="H1782">
        <v>75</v>
      </c>
      <c r="I1782" s="4" t="s">
        <v>35</v>
      </c>
      <c r="J1782" s="4" t="s">
        <v>131</v>
      </c>
      <c r="K1782" s="4" t="s">
        <v>132</v>
      </c>
      <c r="L1782">
        <v>71</v>
      </c>
      <c r="M1782" s="4" t="s">
        <v>158</v>
      </c>
    </row>
    <row r="1783" spans="1:13" x14ac:dyDescent="0.2">
      <c r="A1783" s="4" t="s">
        <v>2375</v>
      </c>
      <c r="B1783">
        <v>1782</v>
      </c>
      <c r="C1783" s="4" t="s">
        <v>26</v>
      </c>
      <c r="D1783" s="4" t="s">
        <v>50</v>
      </c>
      <c r="E1783" s="4" t="s">
        <v>41</v>
      </c>
      <c r="F1783" s="4" t="s">
        <v>2370</v>
      </c>
      <c r="G1783">
        <v>15</v>
      </c>
      <c r="H1783">
        <v>75</v>
      </c>
      <c r="I1783" s="4" t="s">
        <v>35</v>
      </c>
      <c r="J1783" s="4" t="s">
        <v>133</v>
      </c>
      <c r="K1783" s="4" t="s">
        <v>134</v>
      </c>
      <c r="L1783">
        <v>53</v>
      </c>
      <c r="M1783" s="4" t="s">
        <v>158</v>
      </c>
    </row>
    <row r="1784" spans="1:13" x14ac:dyDescent="0.2">
      <c r="A1784" s="4" t="s">
        <v>2376</v>
      </c>
      <c r="B1784">
        <v>1783</v>
      </c>
      <c r="C1784" s="4" t="s">
        <v>26</v>
      </c>
      <c r="D1784" s="4" t="s">
        <v>50</v>
      </c>
      <c r="E1784" s="4" t="s">
        <v>41</v>
      </c>
      <c r="F1784" s="4" t="s">
        <v>2370</v>
      </c>
      <c r="G1784">
        <v>15</v>
      </c>
      <c r="H1784">
        <v>75</v>
      </c>
      <c r="I1784" s="4" t="s">
        <v>112</v>
      </c>
      <c r="J1784" s="4" t="s">
        <v>122</v>
      </c>
      <c r="K1784" s="4" t="s">
        <v>123</v>
      </c>
      <c r="L1784">
        <v>501</v>
      </c>
      <c r="M1784" s="4" t="s">
        <v>158</v>
      </c>
    </row>
    <row r="1785" spans="1:13" x14ac:dyDescent="0.2">
      <c r="A1785" s="4" t="s">
        <v>2377</v>
      </c>
      <c r="B1785">
        <v>1784</v>
      </c>
      <c r="C1785" s="4" t="s">
        <v>26</v>
      </c>
      <c r="D1785" s="4" t="s">
        <v>50</v>
      </c>
      <c r="E1785" s="4" t="s">
        <v>41</v>
      </c>
      <c r="F1785" s="4" t="s">
        <v>2370</v>
      </c>
      <c r="G1785">
        <v>15</v>
      </c>
      <c r="H1785">
        <v>75</v>
      </c>
      <c r="I1785" s="4" t="s">
        <v>112</v>
      </c>
      <c r="J1785" s="4" t="s">
        <v>125</v>
      </c>
      <c r="K1785" s="4" t="s">
        <v>126</v>
      </c>
      <c r="L1785">
        <v>51</v>
      </c>
      <c r="M1785" s="4" t="s">
        <v>158</v>
      </c>
    </row>
    <row r="1786" spans="1:13" x14ac:dyDescent="0.2">
      <c r="A1786" s="4" t="s">
        <v>2378</v>
      </c>
      <c r="B1786">
        <v>1785</v>
      </c>
      <c r="C1786" s="4" t="s">
        <v>26</v>
      </c>
      <c r="D1786" s="4" t="s">
        <v>50</v>
      </c>
      <c r="E1786" s="4" t="s">
        <v>41</v>
      </c>
      <c r="F1786" s="4" t="s">
        <v>2370</v>
      </c>
      <c r="G1786">
        <v>15</v>
      </c>
      <c r="H1786">
        <v>75</v>
      </c>
      <c r="I1786" s="4" t="s">
        <v>112</v>
      </c>
      <c r="J1786" s="4" t="s">
        <v>127</v>
      </c>
      <c r="K1786" s="4" t="s">
        <v>128</v>
      </c>
      <c r="L1786">
        <v>276</v>
      </c>
      <c r="M1786" s="4" t="s">
        <v>158</v>
      </c>
    </row>
    <row r="1787" spans="1:13" x14ac:dyDescent="0.2">
      <c r="A1787" s="4" t="s">
        <v>2379</v>
      </c>
      <c r="B1787">
        <v>1786</v>
      </c>
      <c r="C1787" s="4" t="s">
        <v>26</v>
      </c>
      <c r="D1787" s="4" t="s">
        <v>50</v>
      </c>
      <c r="E1787" s="4" t="s">
        <v>41</v>
      </c>
      <c r="F1787" s="4" t="s">
        <v>2370</v>
      </c>
      <c r="G1787">
        <v>15</v>
      </c>
      <c r="H1787">
        <v>75</v>
      </c>
      <c r="I1787" s="4" t="s">
        <v>112</v>
      </c>
      <c r="J1787" s="4" t="s">
        <v>129</v>
      </c>
      <c r="K1787" s="4" t="s">
        <v>130</v>
      </c>
      <c r="L1787">
        <v>50</v>
      </c>
      <c r="M1787" s="4" t="s">
        <v>158</v>
      </c>
    </row>
    <row r="1788" spans="1:13" x14ac:dyDescent="0.2">
      <c r="A1788" s="4" t="s">
        <v>2380</v>
      </c>
      <c r="B1788">
        <v>1787</v>
      </c>
      <c r="C1788" s="4" t="s">
        <v>26</v>
      </c>
      <c r="D1788" s="4" t="s">
        <v>50</v>
      </c>
      <c r="E1788" s="4" t="s">
        <v>41</v>
      </c>
      <c r="F1788" s="4" t="s">
        <v>2370</v>
      </c>
      <c r="G1788">
        <v>15</v>
      </c>
      <c r="H1788">
        <v>75</v>
      </c>
      <c r="I1788" s="4" t="s">
        <v>112</v>
      </c>
      <c r="J1788" s="4" t="s">
        <v>131</v>
      </c>
      <c r="K1788" s="4" t="s">
        <v>132</v>
      </c>
      <c r="L1788">
        <v>73</v>
      </c>
      <c r="M1788" s="4" t="s">
        <v>158</v>
      </c>
    </row>
    <row r="1789" spans="1:13" x14ac:dyDescent="0.2">
      <c r="A1789" s="4" t="s">
        <v>2381</v>
      </c>
      <c r="B1789">
        <v>1788</v>
      </c>
      <c r="C1789" s="4" t="s">
        <v>26</v>
      </c>
      <c r="D1789" s="4" t="s">
        <v>50</v>
      </c>
      <c r="E1789" s="4" t="s">
        <v>41</v>
      </c>
      <c r="F1789" s="4" t="s">
        <v>2370</v>
      </c>
      <c r="G1789">
        <v>15</v>
      </c>
      <c r="H1789">
        <v>75</v>
      </c>
      <c r="I1789" s="4" t="s">
        <v>112</v>
      </c>
      <c r="J1789" s="4" t="s">
        <v>133</v>
      </c>
      <c r="K1789" s="4" t="s">
        <v>134</v>
      </c>
      <c r="L1789">
        <v>30</v>
      </c>
      <c r="M1789" s="4" t="s">
        <v>158</v>
      </c>
    </row>
    <row r="1790" spans="1:13" x14ac:dyDescent="0.2">
      <c r="A1790" s="4" t="s">
        <v>2382</v>
      </c>
      <c r="B1790">
        <v>1789</v>
      </c>
      <c r="C1790" s="4" t="s">
        <v>26</v>
      </c>
      <c r="D1790" s="4" t="s">
        <v>50</v>
      </c>
      <c r="E1790" s="4" t="s">
        <v>41</v>
      </c>
      <c r="F1790" s="4" t="s">
        <v>2370</v>
      </c>
      <c r="G1790">
        <v>15</v>
      </c>
      <c r="H1790">
        <v>75</v>
      </c>
      <c r="I1790" s="4" t="s">
        <v>114</v>
      </c>
      <c r="J1790" s="4" t="s">
        <v>122</v>
      </c>
      <c r="K1790" s="4" t="s">
        <v>123</v>
      </c>
      <c r="L1790">
        <v>37</v>
      </c>
      <c r="M1790" s="4" t="s">
        <v>158</v>
      </c>
    </row>
    <row r="1791" spans="1:13" x14ac:dyDescent="0.2">
      <c r="A1791" s="4" t="s">
        <v>2383</v>
      </c>
      <c r="B1791">
        <v>1790</v>
      </c>
      <c r="C1791" s="4" t="s">
        <v>26</v>
      </c>
      <c r="D1791" s="4" t="s">
        <v>50</v>
      </c>
      <c r="E1791" s="4" t="s">
        <v>41</v>
      </c>
      <c r="F1791" s="4" t="s">
        <v>2370</v>
      </c>
      <c r="G1791">
        <v>15</v>
      </c>
      <c r="H1791">
        <v>75</v>
      </c>
      <c r="I1791" s="4" t="s">
        <v>114</v>
      </c>
      <c r="J1791" s="4" t="s">
        <v>125</v>
      </c>
      <c r="K1791" s="4" t="s">
        <v>126</v>
      </c>
      <c r="L1791">
        <v>55</v>
      </c>
      <c r="M1791" s="4" t="s">
        <v>158</v>
      </c>
    </row>
    <row r="1792" spans="1:13" x14ac:dyDescent="0.2">
      <c r="A1792" s="4" t="s">
        <v>2384</v>
      </c>
      <c r="B1792">
        <v>1791</v>
      </c>
      <c r="C1792" s="4" t="s">
        <v>26</v>
      </c>
      <c r="D1792" s="4" t="s">
        <v>50</v>
      </c>
      <c r="E1792" s="4" t="s">
        <v>41</v>
      </c>
      <c r="F1792" s="4" t="s">
        <v>2370</v>
      </c>
      <c r="G1792">
        <v>15</v>
      </c>
      <c r="H1792">
        <v>75</v>
      </c>
      <c r="I1792" s="4" t="s">
        <v>114</v>
      </c>
      <c r="J1792" s="4" t="s">
        <v>127</v>
      </c>
      <c r="K1792" s="4" t="s">
        <v>128</v>
      </c>
      <c r="L1792">
        <v>145</v>
      </c>
      <c r="M1792" s="4" t="s">
        <v>158</v>
      </c>
    </row>
    <row r="1793" spans="1:13" x14ac:dyDescent="0.2">
      <c r="A1793" s="4" t="s">
        <v>2385</v>
      </c>
      <c r="B1793">
        <v>1792</v>
      </c>
      <c r="C1793" s="4" t="s">
        <v>26</v>
      </c>
      <c r="D1793" s="4" t="s">
        <v>50</v>
      </c>
      <c r="E1793" s="4" t="s">
        <v>41</v>
      </c>
      <c r="F1793" s="4" t="s">
        <v>2370</v>
      </c>
      <c r="G1793">
        <v>15</v>
      </c>
      <c r="H1793">
        <v>75</v>
      </c>
      <c r="I1793" s="4" t="s">
        <v>114</v>
      </c>
      <c r="J1793" s="4" t="s">
        <v>129</v>
      </c>
      <c r="K1793" s="4" t="s">
        <v>130</v>
      </c>
      <c r="L1793">
        <v>30</v>
      </c>
      <c r="M1793" s="4" t="s">
        <v>158</v>
      </c>
    </row>
    <row r="1794" spans="1:13" x14ac:dyDescent="0.2">
      <c r="A1794" s="4" t="s">
        <v>2386</v>
      </c>
      <c r="B1794">
        <v>1793</v>
      </c>
      <c r="C1794" s="4" t="s">
        <v>26</v>
      </c>
      <c r="D1794" s="4" t="s">
        <v>50</v>
      </c>
      <c r="E1794" s="4" t="s">
        <v>41</v>
      </c>
      <c r="F1794" s="4" t="s">
        <v>2370</v>
      </c>
      <c r="G1794">
        <v>15</v>
      </c>
      <c r="H1794">
        <v>75</v>
      </c>
      <c r="I1794" s="4" t="s">
        <v>114</v>
      </c>
      <c r="J1794" s="4" t="s">
        <v>131</v>
      </c>
      <c r="K1794" s="4" t="s">
        <v>132</v>
      </c>
      <c r="L1794">
        <v>33</v>
      </c>
      <c r="M1794" s="4" t="s">
        <v>158</v>
      </c>
    </row>
    <row r="1795" spans="1:13" x14ac:dyDescent="0.2">
      <c r="A1795" s="4" t="s">
        <v>2387</v>
      </c>
      <c r="B1795">
        <v>1794</v>
      </c>
      <c r="C1795" s="4" t="s">
        <v>26</v>
      </c>
      <c r="D1795" s="4" t="s">
        <v>50</v>
      </c>
      <c r="E1795" s="4" t="s">
        <v>41</v>
      </c>
      <c r="F1795" s="4" t="s">
        <v>2370</v>
      </c>
      <c r="G1795">
        <v>15</v>
      </c>
      <c r="H1795">
        <v>75</v>
      </c>
      <c r="I1795" s="4" t="s">
        <v>114</v>
      </c>
      <c r="J1795" s="4" t="s">
        <v>133</v>
      </c>
      <c r="K1795" s="4" t="s">
        <v>134</v>
      </c>
      <c r="L1795">
        <v>50</v>
      </c>
      <c r="M1795" s="4" t="s">
        <v>158</v>
      </c>
    </row>
    <row r="1796" spans="1:13" x14ac:dyDescent="0.2">
      <c r="A1796" s="4" t="s">
        <v>2388</v>
      </c>
      <c r="B1796">
        <v>1795</v>
      </c>
      <c r="C1796" s="4" t="s">
        <v>26</v>
      </c>
      <c r="D1796" s="4" t="s">
        <v>50</v>
      </c>
      <c r="E1796" s="4" t="s">
        <v>41</v>
      </c>
      <c r="F1796" s="4" t="s">
        <v>2370</v>
      </c>
      <c r="G1796">
        <v>15</v>
      </c>
      <c r="H1796">
        <v>75</v>
      </c>
      <c r="I1796" s="4" t="s">
        <v>116</v>
      </c>
      <c r="J1796" s="4" t="s">
        <v>122</v>
      </c>
      <c r="K1796" s="4" t="s">
        <v>123</v>
      </c>
      <c r="L1796">
        <v>79</v>
      </c>
      <c r="M1796" s="4" t="s">
        <v>158</v>
      </c>
    </row>
    <row r="1797" spans="1:13" x14ac:dyDescent="0.2">
      <c r="A1797" s="4" t="s">
        <v>2389</v>
      </c>
      <c r="B1797">
        <v>1796</v>
      </c>
      <c r="C1797" s="4" t="s">
        <v>26</v>
      </c>
      <c r="D1797" s="4" t="s">
        <v>50</v>
      </c>
      <c r="E1797" s="4" t="s">
        <v>41</v>
      </c>
      <c r="F1797" s="4" t="s">
        <v>2370</v>
      </c>
      <c r="G1797">
        <v>15</v>
      </c>
      <c r="H1797">
        <v>75</v>
      </c>
      <c r="I1797" s="4" t="s">
        <v>116</v>
      </c>
      <c r="J1797" s="4" t="s">
        <v>125</v>
      </c>
      <c r="K1797" s="4" t="s">
        <v>126</v>
      </c>
      <c r="L1797">
        <v>50</v>
      </c>
      <c r="M1797" s="4" t="s">
        <v>158</v>
      </c>
    </row>
    <row r="1798" spans="1:13" x14ac:dyDescent="0.2">
      <c r="A1798" s="4" t="s">
        <v>2390</v>
      </c>
      <c r="B1798">
        <v>1797</v>
      </c>
      <c r="C1798" s="4" t="s">
        <v>26</v>
      </c>
      <c r="D1798" s="4" t="s">
        <v>50</v>
      </c>
      <c r="E1798" s="4" t="s">
        <v>41</v>
      </c>
      <c r="F1798" s="4" t="s">
        <v>2370</v>
      </c>
      <c r="G1798">
        <v>15</v>
      </c>
      <c r="H1798">
        <v>75</v>
      </c>
      <c r="I1798" s="4" t="s">
        <v>116</v>
      </c>
      <c r="J1798" s="4" t="s">
        <v>127</v>
      </c>
      <c r="K1798" s="4" t="s">
        <v>128</v>
      </c>
      <c r="L1798">
        <v>35</v>
      </c>
      <c r="M1798" s="4" t="s">
        <v>158</v>
      </c>
    </row>
    <row r="1799" spans="1:13" x14ac:dyDescent="0.2">
      <c r="A1799" s="4" t="s">
        <v>2391</v>
      </c>
      <c r="B1799">
        <v>1798</v>
      </c>
      <c r="C1799" s="4" t="s">
        <v>26</v>
      </c>
      <c r="D1799" s="4" t="s">
        <v>50</v>
      </c>
      <c r="E1799" s="4" t="s">
        <v>41</v>
      </c>
      <c r="F1799" s="4" t="s">
        <v>2370</v>
      </c>
      <c r="G1799">
        <v>15</v>
      </c>
      <c r="H1799">
        <v>75</v>
      </c>
      <c r="I1799" s="4" t="s">
        <v>116</v>
      </c>
      <c r="J1799" s="4" t="s">
        <v>129</v>
      </c>
      <c r="K1799" s="4" t="s">
        <v>130</v>
      </c>
      <c r="L1799">
        <v>93</v>
      </c>
      <c r="M1799" s="4" t="s">
        <v>158</v>
      </c>
    </row>
    <row r="1800" spans="1:13" x14ac:dyDescent="0.2">
      <c r="A1800" s="4" t="s">
        <v>2392</v>
      </c>
      <c r="B1800">
        <v>1799</v>
      </c>
      <c r="C1800" s="4" t="s">
        <v>26</v>
      </c>
      <c r="D1800" s="4" t="s">
        <v>50</v>
      </c>
      <c r="E1800" s="4" t="s">
        <v>41</v>
      </c>
      <c r="F1800" s="4" t="s">
        <v>2370</v>
      </c>
      <c r="G1800">
        <v>15</v>
      </c>
      <c r="H1800">
        <v>75</v>
      </c>
      <c r="I1800" s="4" t="s">
        <v>116</v>
      </c>
      <c r="J1800" s="4" t="s">
        <v>131</v>
      </c>
      <c r="K1800" s="4" t="s">
        <v>132</v>
      </c>
      <c r="L1800">
        <v>80</v>
      </c>
      <c r="M1800" s="4" t="s">
        <v>158</v>
      </c>
    </row>
    <row r="1801" spans="1:13" x14ac:dyDescent="0.2">
      <c r="A1801" s="4" t="s">
        <v>2393</v>
      </c>
      <c r="B1801">
        <v>1800</v>
      </c>
      <c r="C1801" s="4" t="s">
        <v>26</v>
      </c>
      <c r="D1801" s="4" t="s">
        <v>50</v>
      </c>
      <c r="E1801" s="4" t="s">
        <v>41</v>
      </c>
      <c r="F1801" s="4" t="s">
        <v>2370</v>
      </c>
      <c r="G1801">
        <v>15</v>
      </c>
      <c r="H1801">
        <v>75</v>
      </c>
      <c r="I1801" s="4" t="s">
        <v>116</v>
      </c>
      <c r="J1801" s="4" t="s">
        <v>133</v>
      </c>
      <c r="K1801" s="4" t="s">
        <v>134</v>
      </c>
      <c r="L1801">
        <v>50</v>
      </c>
      <c r="M1801" s="4" t="s">
        <v>158</v>
      </c>
    </row>
    <row r="1802" spans="1:13" x14ac:dyDescent="0.2">
      <c r="A1802" s="4" t="s">
        <v>2402</v>
      </c>
      <c r="B1802">
        <v>1801</v>
      </c>
      <c r="C1802" s="4" t="s">
        <v>26</v>
      </c>
      <c r="D1802" s="4" t="s">
        <v>50</v>
      </c>
      <c r="E1802" s="4" t="s">
        <v>44</v>
      </c>
      <c r="F1802" s="4" t="s">
        <v>2403</v>
      </c>
      <c r="G1802">
        <v>16</v>
      </c>
      <c r="H1802">
        <v>76</v>
      </c>
      <c r="I1802" s="4" t="s">
        <v>35</v>
      </c>
      <c r="J1802" s="4" t="s">
        <v>122</v>
      </c>
      <c r="K1802" s="4" t="s">
        <v>123</v>
      </c>
      <c r="L1802">
        <v>0</v>
      </c>
      <c r="M1802" s="4" t="s">
        <v>158</v>
      </c>
    </row>
    <row r="1803" spans="1:13" x14ac:dyDescent="0.2">
      <c r="A1803" s="4" t="s">
        <v>2404</v>
      </c>
      <c r="B1803">
        <v>1802</v>
      </c>
      <c r="C1803" s="4" t="s">
        <v>26</v>
      </c>
      <c r="D1803" s="4" t="s">
        <v>50</v>
      </c>
      <c r="E1803" s="4" t="s">
        <v>44</v>
      </c>
      <c r="F1803" s="4" t="s">
        <v>2403</v>
      </c>
      <c r="G1803">
        <v>16</v>
      </c>
      <c r="H1803">
        <v>76</v>
      </c>
      <c r="I1803" s="4" t="s">
        <v>35</v>
      </c>
      <c r="J1803" s="4" t="s">
        <v>125</v>
      </c>
      <c r="K1803" s="4" t="s">
        <v>126</v>
      </c>
      <c r="L1803">
        <v>40</v>
      </c>
      <c r="M1803" s="4" t="s">
        <v>158</v>
      </c>
    </row>
    <row r="1804" spans="1:13" x14ac:dyDescent="0.2">
      <c r="A1804" s="4" t="s">
        <v>2405</v>
      </c>
      <c r="B1804">
        <v>1803</v>
      </c>
      <c r="C1804" s="4" t="s">
        <v>26</v>
      </c>
      <c r="D1804" s="4" t="s">
        <v>50</v>
      </c>
      <c r="E1804" s="4" t="s">
        <v>44</v>
      </c>
      <c r="F1804" s="4" t="s">
        <v>2403</v>
      </c>
      <c r="G1804">
        <v>16</v>
      </c>
      <c r="H1804">
        <v>76</v>
      </c>
      <c r="I1804" s="4" t="s">
        <v>35</v>
      </c>
      <c r="J1804" s="4" t="s">
        <v>127</v>
      </c>
      <c r="K1804" s="4" t="s">
        <v>128</v>
      </c>
      <c r="L1804">
        <v>0</v>
      </c>
      <c r="M1804" s="4" t="s">
        <v>158</v>
      </c>
    </row>
    <row r="1805" spans="1:13" x14ac:dyDescent="0.2">
      <c r="A1805" s="4" t="s">
        <v>2406</v>
      </c>
      <c r="B1805">
        <v>1804</v>
      </c>
      <c r="C1805" s="4" t="s">
        <v>26</v>
      </c>
      <c r="D1805" s="4" t="s">
        <v>50</v>
      </c>
      <c r="E1805" s="4" t="s">
        <v>44</v>
      </c>
      <c r="F1805" s="4" t="s">
        <v>2403</v>
      </c>
      <c r="G1805">
        <v>16</v>
      </c>
      <c r="H1805">
        <v>76</v>
      </c>
      <c r="I1805" s="4" t="s">
        <v>35</v>
      </c>
      <c r="J1805" s="4" t="s">
        <v>129</v>
      </c>
      <c r="K1805" s="4" t="s">
        <v>130</v>
      </c>
      <c r="L1805">
        <v>0</v>
      </c>
      <c r="M1805" s="4" t="s">
        <v>158</v>
      </c>
    </row>
    <row r="1806" spans="1:13" x14ac:dyDescent="0.2">
      <c r="A1806" s="4" t="s">
        <v>2407</v>
      </c>
      <c r="B1806">
        <v>1805</v>
      </c>
      <c r="C1806" s="4" t="s">
        <v>26</v>
      </c>
      <c r="D1806" s="4" t="s">
        <v>50</v>
      </c>
      <c r="E1806" s="4" t="s">
        <v>44</v>
      </c>
      <c r="F1806" s="4" t="s">
        <v>2403</v>
      </c>
      <c r="G1806">
        <v>16</v>
      </c>
      <c r="H1806">
        <v>76</v>
      </c>
      <c r="I1806" s="4" t="s">
        <v>35</v>
      </c>
      <c r="J1806" s="4" t="s">
        <v>131</v>
      </c>
      <c r="K1806" s="4" t="s">
        <v>132</v>
      </c>
      <c r="L1806">
        <v>0</v>
      </c>
      <c r="M1806" s="4" t="s">
        <v>158</v>
      </c>
    </row>
    <row r="1807" spans="1:13" x14ac:dyDescent="0.2">
      <c r="A1807" s="4" t="s">
        <v>2408</v>
      </c>
      <c r="B1807">
        <v>1806</v>
      </c>
      <c r="C1807" s="4" t="s">
        <v>26</v>
      </c>
      <c r="D1807" s="4" t="s">
        <v>50</v>
      </c>
      <c r="E1807" s="4" t="s">
        <v>44</v>
      </c>
      <c r="F1807" s="4" t="s">
        <v>2403</v>
      </c>
      <c r="G1807">
        <v>16</v>
      </c>
      <c r="H1807">
        <v>76</v>
      </c>
      <c r="I1807" s="4" t="s">
        <v>35</v>
      </c>
      <c r="J1807" s="4" t="s">
        <v>133</v>
      </c>
      <c r="K1807" s="4" t="s">
        <v>134</v>
      </c>
      <c r="L1807">
        <v>0</v>
      </c>
      <c r="M1807" s="4" t="s">
        <v>158</v>
      </c>
    </row>
    <row r="1808" spans="1:13" x14ac:dyDescent="0.2">
      <c r="A1808" s="4" t="s">
        <v>2409</v>
      </c>
      <c r="B1808">
        <v>1807</v>
      </c>
      <c r="C1808" s="4" t="s">
        <v>26</v>
      </c>
      <c r="D1808" s="4" t="s">
        <v>50</v>
      </c>
      <c r="E1808" s="4" t="s">
        <v>44</v>
      </c>
      <c r="F1808" s="4" t="s">
        <v>2403</v>
      </c>
      <c r="G1808">
        <v>16</v>
      </c>
      <c r="H1808">
        <v>76</v>
      </c>
      <c r="I1808" s="4" t="s">
        <v>112</v>
      </c>
      <c r="J1808" s="4" t="s">
        <v>122</v>
      </c>
      <c r="K1808" s="4" t="s">
        <v>123</v>
      </c>
      <c r="L1808">
        <v>300</v>
      </c>
      <c r="M1808" s="4" t="s">
        <v>158</v>
      </c>
    </row>
    <row r="1809" spans="1:13" x14ac:dyDescent="0.2">
      <c r="A1809" s="4" t="s">
        <v>2410</v>
      </c>
      <c r="B1809">
        <v>1808</v>
      </c>
      <c r="C1809" s="4" t="s">
        <v>26</v>
      </c>
      <c r="D1809" s="4" t="s">
        <v>50</v>
      </c>
      <c r="E1809" s="4" t="s">
        <v>44</v>
      </c>
      <c r="F1809" s="4" t="s">
        <v>2403</v>
      </c>
      <c r="G1809">
        <v>16</v>
      </c>
      <c r="H1809">
        <v>76</v>
      </c>
      <c r="I1809" s="4" t="s">
        <v>112</v>
      </c>
      <c r="J1809" s="4" t="s">
        <v>125</v>
      </c>
      <c r="K1809" s="4" t="s">
        <v>126</v>
      </c>
      <c r="L1809">
        <v>51</v>
      </c>
      <c r="M1809" s="4" t="s">
        <v>158</v>
      </c>
    </row>
    <row r="1810" spans="1:13" x14ac:dyDescent="0.2">
      <c r="A1810" s="4" t="s">
        <v>2411</v>
      </c>
      <c r="B1810">
        <v>1809</v>
      </c>
      <c r="C1810" s="4" t="s">
        <v>26</v>
      </c>
      <c r="D1810" s="4" t="s">
        <v>50</v>
      </c>
      <c r="E1810" s="4" t="s">
        <v>44</v>
      </c>
      <c r="F1810" s="4" t="s">
        <v>2403</v>
      </c>
      <c r="G1810">
        <v>16</v>
      </c>
      <c r="H1810">
        <v>76</v>
      </c>
      <c r="I1810" s="4" t="s">
        <v>112</v>
      </c>
      <c r="J1810" s="4" t="s">
        <v>127</v>
      </c>
      <c r="K1810" s="4" t="s">
        <v>128</v>
      </c>
      <c r="L1810">
        <v>342</v>
      </c>
      <c r="M1810" s="4" t="s">
        <v>158</v>
      </c>
    </row>
    <row r="1811" spans="1:13" x14ac:dyDescent="0.2">
      <c r="A1811" s="4" t="s">
        <v>2412</v>
      </c>
      <c r="B1811">
        <v>1810</v>
      </c>
      <c r="C1811" s="4" t="s">
        <v>26</v>
      </c>
      <c r="D1811" s="4" t="s">
        <v>50</v>
      </c>
      <c r="E1811" s="4" t="s">
        <v>44</v>
      </c>
      <c r="F1811" s="4" t="s">
        <v>2403</v>
      </c>
      <c r="G1811">
        <v>16</v>
      </c>
      <c r="H1811">
        <v>76</v>
      </c>
      <c r="I1811" s="4" t="s">
        <v>112</v>
      </c>
      <c r="J1811" s="4" t="s">
        <v>129</v>
      </c>
      <c r="K1811" s="4" t="s">
        <v>130</v>
      </c>
      <c r="L1811">
        <v>33</v>
      </c>
      <c r="M1811" s="4" t="s">
        <v>158</v>
      </c>
    </row>
    <row r="1812" spans="1:13" x14ac:dyDescent="0.2">
      <c r="A1812" s="4" t="s">
        <v>2413</v>
      </c>
      <c r="B1812">
        <v>1811</v>
      </c>
      <c r="C1812" s="4" t="s">
        <v>26</v>
      </c>
      <c r="D1812" s="4" t="s">
        <v>50</v>
      </c>
      <c r="E1812" s="4" t="s">
        <v>44</v>
      </c>
      <c r="F1812" s="4" t="s">
        <v>2403</v>
      </c>
      <c r="G1812">
        <v>16</v>
      </c>
      <c r="H1812">
        <v>76</v>
      </c>
      <c r="I1812" s="4" t="s">
        <v>112</v>
      </c>
      <c r="J1812" s="4" t="s">
        <v>131</v>
      </c>
      <c r="K1812" s="4" t="s">
        <v>132</v>
      </c>
      <c r="L1812">
        <v>63</v>
      </c>
      <c r="M1812" s="4" t="s">
        <v>158</v>
      </c>
    </row>
    <row r="1813" spans="1:13" x14ac:dyDescent="0.2">
      <c r="A1813" s="4" t="s">
        <v>2414</v>
      </c>
      <c r="B1813">
        <v>1812</v>
      </c>
      <c r="C1813" s="4" t="s">
        <v>26</v>
      </c>
      <c r="D1813" s="4" t="s">
        <v>50</v>
      </c>
      <c r="E1813" s="4" t="s">
        <v>44</v>
      </c>
      <c r="F1813" s="4" t="s">
        <v>2403</v>
      </c>
      <c r="G1813">
        <v>16</v>
      </c>
      <c r="H1813">
        <v>76</v>
      </c>
      <c r="I1813" s="4" t="s">
        <v>112</v>
      </c>
      <c r="J1813" s="4" t="s">
        <v>133</v>
      </c>
      <c r="K1813" s="4" t="s">
        <v>134</v>
      </c>
      <c r="L1813">
        <v>53</v>
      </c>
      <c r="M1813" s="4" t="s">
        <v>158</v>
      </c>
    </row>
    <row r="1814" spans="1:13" x14ac:dyDescent="0.2">
      <c r="A1814" s="4" t="s">
        <v>2415</v>
      </c>
      <c r="B1814">
        <v>1813</v>
      </c>
      <c r="C1814" s="4" t="s">
        <v>26</v>
      </c>
      <c r="D1814" s="4" t="s">
        <v>50</v>
      </c>
      <c r="E1814" s="4" t="s">
        <v>44</v>
      </c>
      <c r="F1814" s="4" t="s">
        <v>2403</v>
      </c>
      <c r="G1814">
        <v>16</v>
      </c>
      <c r="H1814">
        <v>76</v>
      </c>
      <c r="I1814" s="4" t="s">
        <v>114</v>
      </c>
      <c r="J1814" s="4" t="s">
        <v>122</v>
      </c>
      <c r="K1814" s="4" t="s">
        <v>123</v>
      </c>
      <c r="L1814">
        <v>44</v>
      </c>
      <c r="M1814" s="4" t="s">
        <v>158</v>
      </c>
    </row>
    <row r="1815" spans="1:13" x14ac:dyDescent="0.2">
      <c r="A1815" s="4" t="s">
        <v>2416</v>
      </c>
      <c r="B1815">
        <v>1814</v>
      </c>
      <c r="C1815" s="4" t="s">
        <v>26</v>
      </c>
      <c r="D1815" s="4" t="s">
        <v>50</v>
      </c>
      <c r="E1815" s="4" t="s">
        <v>44</v>
      </c>
      <c r="F1815" s="4" t="s">
        <v>2403</v>
      </c>
      <c r="G1815">
        <v>16</v>
      </c>
      <c r="H1815">
        <v>76</v>
      </c>
      <c r="I1815" s="4" t="s">
        <v>114</v>
      </c>
      <c r="J1815" s="4" t="s">
        <v>125</v>
      </c>
      <c r="K1815" s="4" t="s">
        <v>126</v>
      </c>
      <c r="L1815">
        <v>75</v>
      </c>
      <c r="M1815" s="4" t="s">
        <v>158</v>
      </c>
    </row>
    <row r="1816" spans="1:13" x14ac:dyDescent="0.2">
      <c r="A1816" s="4" t="s">
        <v>2417</v>
      </c>
      <c r="B1816">
        <v>1815</v>
      </c>
      <c r="C1816" s="4" t="s">
        <v>26</v>
      </c>
      <c r="D1816" s="4" t="s">
        <v>50</v>
      </c>
      <c r="E1816" s="4" t="s">
        <v>44</v>
      </c>
      <c r="F1816" s="4" t="s">
        <v>2403</v>
      </c>
      <c r="G1816">
        <v>16</v>
      </c>
      <c r="H1816">
        <v>76</v>
      </c>
      <c r="I1816" s="4" t="s">
        <v>114</v>
      </c>
      <c r="J1816" s="4" t="s">
        <v>127</v>
      </c>
      <c r="K1816" s="4" t="s">
        <v>128</v>
      </c>
      <c r="L1816">
        <v>262</v>
      </c>
      <c r="M1816" s="4" t="s">
        <v>158</v>
      </c>
    </row>
    <row r="1817" spans="1:13" x14ac:dyDescent="0.2">
      <c r="A1817" s="4" t="s">
        <v>2418</v>
      </c>
      <c r="B1817">
        <v>1816</v>
      </c>
      <c r="C1817" s="4" t="s">
        <v>26</v>
      </c>
      <c r="D1817" s="4" t="s">
        <v>50</v>
      </c>
      <c r="E1817" s="4" t="s">
        <v>44</v>
      </c>
      <c r="F1817" s="4" t="s">
        <v>2403</v>
      </c>
      <c r="G1817">
        <v>16</v>
      </c>
      <c r="H1817">
        <v>76</v>
      </c>
      <c r="I1817" s="4" t="s">
        <v>114</v>
      </c>
      <c r="J1817" s="4" t="s">
        <v>129</v>
      </c>
      <c r="K1817" s="4" t="s">
        <v>130</v>
      </c>
      <c r="L1817">
        <v>48</v>
      </c>
      <c r="M1817" s="4" t="s">
        <v>158</v>
      </c>
    </row>
    <row r="1818" spans="1:13" x14ac:dyDescent="0.2">
      <c r="A1818" s="4" t="s">
        <v>2419</v>
      </c>
      <c r="B1818">
        <v>1817</v>
      </c>
      <c r="C1818" s="4" t="s">
        <v>26</v>
      </c>
      <c r="D1818" s="4" t="s">
        <v>50</v>
      </c>
      <c r="E1818" s="4" t="s">
        <v>44</v>
      </c>
      <c r="F1818" s="4" t="s">
        <v>2403</v>
      </c>
      <c r="G1818">
        <v>16</v>
      </c>
      <c r="H1818">
        <v>76</v>
      </c>
      <c r="I1818" s="4" t="s">
        <v>114</v>
      </c>
      <c r="J1818" s="4" t="s">
        <v>131</v>
      </c>
      <c r="K1818" s="4" t="s">
        <v>132</v>
      </c>
      <c r="L1818">
        <v>54</v>
      </c>
      <c r="M1818" s="4" t="s">
        <v>158</v>
      </c>
    </row>
    <row r="1819" spans="1:13" x14ac:dyDescent="0.2">
      <c r="A1819" s="4" t="s">
        <v>2420</v>
      </c>
      <c r="B1819">
        <v>1818</v>
      </c>
      <c r="C1819" s="4" t="s">
        <v>26</v>
      </c>
      <c r="D1819" s="4" t="s">
        <v>50</v>
      </c>
      <c r="E1819" s="4" t="s">
        <v>44</v>
      </c>
      <c r="F1819" s="4" t="s">
        <v>2403</v>
      </c>
      <c r="G1819">
        <v>16</v>
      </c>
      <c r="H1819">
        <v>76</v>
      </c>
      <c r="I1819" s="4" t="s">
        <v>114</v>
      </c>
      <c r="J1819" s="4" t="s">
        <v>133</v>
      </c>
      <c r="K1819" s="4" t="s">
        <v>134</v>
      </c>
      <c r="L1819">
        <v>19</v>
      </c>
      <c r="M1819" s="4" t="s">
        <v>158</v>
      </c>
    </row>
    <row r="1820" spans="1:13" x14ac:dyDescent="0.2">
      <c r="A1820" s="4" t="s">
        <v>2421</v>
      </c>
      <c r="B1820">
        <v>1819</v>
      </c>
      <c r="C1820" s="4" t="s">
        <v>26</v>
      </c>
      <c r="D1820" s="4" t="s">
        <v>50</v>
      </c>
      <c r="E1820" s="4" t="s">
        <v>44</v>
      </c>
      <c r="F1820" s="4" t="s">
        <v>2403</v>
      </c>
      <c r="G1820">
        <v>16</v>
      </c>
      <c r="H1820">
        <v>76</v>
      </c>
      <c r="I1820" s="4" t="s">
        <v>116</v>
      </c>
      <c r="J1820" s="4" t="s">
        <v>122</v>
      </c>
      <c r="K1820" s="4" t="s">
        <v>123</v>
      </c>
      <c r="L1820">
        <v>129</v>
      </c>
      <c r="M1820" s="4" t="s">
        <v>158</v>
      </c>
    </row>
    <row r="1821" spans="1:13" x14ac:dyDescent="0.2">
      <c r="A1821" s="4" t="s">
        <v>2422</v>
      </c>
      <c r="B1821">
        <v>1820</v>
      </c>
      <c r="C1821" s="4" t="s">
        <v>26</v>
      </c>
      <c r="D1821" s="4" t="s">
        <v>50</v>
      </c>
      <c r="E1821" s="4" t="s">
        <v>44</v>
      </c>
      <c r="F1821" s="4" t="s">
        <v>2403</v>
      </c>
      <c r="G1821">
        <v>16</v>
      </c>
      <c r="H1821">
        <v>76</v>
      </c>
      <c r="I1821" s="4" t="s">
        <v>116</v>
      </c>
      <c r="J1821" s="4" t="s">
        <v>125</v>
      </c>
      <c r="K1821" s="4" t="s">
        <v>126</v>
      </c>
      <c r="L1821">
        <v>19</v>
      </c>
      <c r="M1821" s="4" t="s">
        <v>158</v>
      </c>
    </row>
    <row r="1822" spans="1:13" x14ac:dyDescent="0.2">
      <c r="A1822" s="4" t="s">
        <v>2423</v>
      </c>
      <c r="B1822">
        <v>1821</v>
      </c>
      <c r="C1822" s="4" t="s">
        <v>26</v>
      </c>
      <c r="D1822" s="4" t="s">
        <v>50</v>
      </c>
      <c r="E1822" s="4" t="s">
        <v>44</v>
      </c>
      <c r="F1822" s="4" t="s">
        <v>2403</v>
      </c>
      <c r="G1822">
        <v>16</v>
      </c>
      <c r="H1822">
        <v>76</v>
      </c>
      <c r="I1822" s="4" t="s">
        <v>116</v>
      </c>
      <c r="J1822" s="4" t="s">
        <v>127</v>
      </c>
      <c r="K1822" s="4" t="s">
        <v>128</v>
      </c>
      <c r="L1822">
        <v>92</v>
      </c>
      <c r="M1822" s="4" t="s">
        <v>158</v>
      </c>
    </row>
    <row r="1823" spans="1:13" x14ac:dyDescent="0.2">
      <c r="A1823" s="4" t="s">
        <v>2424</v>
      </c>
      <c r="B1823">
        <v>1822</v>
      </c>
      <c r="C1823" s="4" t="s">
        <v>26</v>
      </c>
      <c r="D1823" s="4" t="s">
        <v>50</v>
      </c>
      <c r="E1823" s="4" t="s">
        <v>44</v>
      </c>
      <c r="F1823" s="4" t="s">
        <v>2403</v>
      </c>
      <c r="G1823">
        <v>16</v>
      </c>
      <c r="H1823">
        <v>76</v>
      </c>
      <c r="I1823" s="4" t="s">
        <v>116</v>
      </c>
      <c r="J1823" s="4" t="s">
        <v>129</v>
      </c>
      <c r="K1823" s="4" t="s">
        <v>130</v>
      </c>
      <c r="L1823">
        <v>123</v>
      </c>
      <c r="M1823" s="4" t="s">
        <v>158</v>
      </c>
    </row>
    <row r="1824" spans="1:13" x14ac:dyDescent="0.2">
      <c r="A1824" s="4" t="s">
        <v>2425</v>
      </c>
      <c r="B1824">
        <v>1823</v>
      </c>
      <c r="C1824" s="4" t="s">
        <v>26</v>
      </c>
      <c r="D1824" s="4" t="s">
        <v>50</v>
      </c>
      <c r="E1824" s="4" t="s">
        <v>44</v>
      </c>
      <c r="F1824" s="4" t="s">
        <v>2403</v>
      </c>
      <c r="G1824">
        <v>16</v>
      </c>
      <c r="H1824">
        <v>76</v>
      </c>
      <c r="I1824" s="4" t="s">
        <v>116</v>
      </c>
      <c r="J1824" s="4" t="s">
        <v>131</v>
      </c>
      <c r="K1824" s="4" t="s">
        <v>132</v>
      </c>
      <c r="L1824">
        <v>80</v>
      </c>
      <c r="M1824" s="4" t="s">
        <v>158</v>
      </c>
    </row>
    <row r="1825" spans="1:13" x14ac:dyDescent="0.2">
      <c r="A1825" s="4" t="s">
        <v>2426</v>
      </c>
      <c r="B1825">
        <v>1824</v>
      </c>
      <c r="C1825" s="4" t="s">
        <v>26</v>
      </c>
      <c r="D1825" s="4" t="s">
        <v>50</v>
      </c>
      <c r="E1825" s="4" t="s">
        <v>44</v>
      </c>
      <c r="F1825" s="4" t="s">
        <v>2403</v>
      </c>
      <c r="G1825">
        <v>16</v>
      </c>
      <c r="H1825">
        <v>76</v>
      </c>
      <c r="I1825" s="4" t="s">
        <v>116</v>
      </c>
      <c r="J1825" s="4" t="s">
        <v>133</v>
      </c>
      <c r="K1825" s="4" t="s">
        <v>134</v>
      </c>
      <c r="L1825">
        <v>17</v>
      </c>
      <c r="M1825" s="4" t="s">
        <v>158</v>
      </c>
    </row>
    <row r="1826" spans="1:13" x14ac:dyDescent="0.2">
      <c r="A1826" s="4" t="s">
        <v>2431</v>
      </c>
      <c r="B1826">
        <v>1825</v>
      </c>
      <c r="C1826" s="4" t="s">
        <v>26</v>
      </c>
      <c r="D1826" s="4" t="s">
        <v>50</v>
      </c>
      <c r="E1826" s="4" t="s">
        <v>47</v>
      </c>
      <c r="F1826" s="4" t="s">
        <v>2395</v>
      </c>
      <c r="G1826">
        <v>16</v>
      </c>
      <c r="H1826">
        <v>77</v>
      </c>
      <c r="I1826" s="4" t="s">
        <v>35</v>
      </c>
      <c r="J1826" s="4" t="s">
        <v>122</v>
      </c>
      <c r="K1826" s="4" t="s">
        <v>123</v>
      </c>
      <c r="L1826">
        <v>0</v>
      </c>
      <c r="M1826" s="4" t="s">
        <v>158</v>
      </c>
    </row>
    <row r="1827" spans="1:13" x14ac:dyDescent="0.2">
      <c r="A1827" s="4" t="s">
        <v>2432</v>
      </c>
      <c r="B1827">
        <v>1826</v>
      </c>
      <c r="C1827" s="4" t="s">
        <v>26</v>
      </c>
      <c r="D1827" s="4" t="s">
        <v>50</v>
      </c>
      <c r="E1827" s="4" t="s">
        <v>47</v>
      </c>
      <c r="F1827" s="4" t="s">
        <v>2395</v>
      </c>
      <c r="G1827">
        <v>16</v>
      </c>
      <c r="H1827">
        <v>77</v>
      </c>
      <c r="I1827" s="4" t="s">
        <v>35</v>
      </c>
      <c r="J1827" s="4" t="s">
        <v>125</v>
      </c>
      <c r="K1827" s="4" t="s">
        <v>126</v>
      </c>
      <c r="L1827">
        <v>40</v>
      </c>
      <c r="M1827" s="4" t="s">
        <v>158</v>
      </c>
    </row>
    <row r="1828" spans="1:13" x14ac:dyDescent="0.2">
      <c r="A1828" s="4" t="s">
        <v>2433</v>
      </c>
      <c r="B1828">
        <v>1827</v>
      </c>
      <c r="C1828" s="4" t="s">
        <v>26</v>
      </c>
      <c r="D1828" s="4" t="s">
        <v>50</v>
      </c>
      <c r="E1828" s="4" t="s">
        <v>47</v>
      </c>
      <c r="F1828" s="4" t="s">
        <v>2395</v>
      </c>
      <c r="G1828">
        <v>16</v>
      </c>
      <c r="H1828">
        <v>77</v>
      </c>
      <c r="I1828" s="4" t="s">
        <v>35</v>
      </c>
      <c r="J1828" s="4" t="s">
        <v>127</v>
      </c>
      <c r="K1828" s="4" t="s">
        <v>128</v>
      </c>
      <c r="L1828">
        <v>0</v>
      </c>
      <c r="M1828" s="4" t="s">
        <v>158</v>
      </c>
    </row>
    <row r="1829" spans="1:13" x14ac:dyDescent="0.2">
      <c r="A1829" s="4" t="s">
        <v>2434</v>
      </c>
      <c r="B1829">
        <v>1828</v>
      </c>
      <c r="C1829" s="4" t="s">
        <v>26</v>
      </c>
      <c r="D1829" s="4" t="s">
        <v>50</v>
      </c>
      <c r="E1829" s="4" t="s">
        <v>47</v>
      </c>
      <c r="F1829" s="4" t="s">
        <v>2395</v>
      </c>
      <c r="G1829">
        <v>16</v>
      </c>
      <c r="H1829">
        <v>77</v>
      </c>
      <c r="I1829" s="4" t="s">
        <v>35</v>
      </c>
      <c r="J1829" s="4" t="s">
        <v>129</v>
      </c>
      <c r="K1829" s="4" t="s">
        <v>130</v>
      </c>
      <c r="L1829">
        <v>0</v>
      </c>
      <c r="M1829" s="4" t="s">
        <v>158</v>
      </c>
    </row>
    <row r="1830" spans="1:13" x14ac:dyDescent="0.2">
      <c r="A1830" s="4" t="s">
        <v>2435</v>
      </c>
      <c r="B1830">
        <v>1829</v>
      </c>
      <c r="C1830" s="4" t="s">
        <v>26</v>
      </c>
      <c r="D1830" s="4" t="s">
        <v>50</v>
      </c>
      <c r="E1830" s="4" t="s">
        <v>47</v>
      </c>
      <c r="F1830" s="4" t="s">
        <v>2395</v>
      </c>
      <c r="G1830">
        <v>16</v>
      </c>
      <c r="H1830">
        <v>77</v>
      </c>
      <c r="I1830" s="4" t="s">
        <v>35</v>
      </c>
      <c r="J1830" s="4" t="s">
        <v>131</v>
      </c>
      <c r="K1830" s="4" t="s">
        <v>132</v>
      </c>
      <c r="L1830">
        <v>0</v>
      </c>
      <c r="M1830" s="4" t="s">
        <v>158</v>
      </c>
    </row>
    <row r="1831" spans="1:13" x14ac:dyDescent="0.2">
      <c r="A1831" s="4" t="s">
        <v>2436</v>
      </c>
      <c r="B1831">
        <v>1830</v>
      </c>
      <c r="C1831" s="4" t="s">
        <v>26</v>
      </c>
      <c r="D1831" s="4" t="s">
        <v>50</v>
      </c>
      <c r="E1831" s="4" t="s">
        <v>47</v>
      </c>
      <c r="F1831" s="4" t="s">
        <v>2395</v>
      </c>
      <c r="G1831">
        <v>16</v>
      </c>
      <c r="H1831">
        <v>77</v>
      </c>
      <c r="I1831" s="4" t="s">
        <v>35</v>
      </c>
      <c r="J1831" s="4" t="s">
        <v>133</v>
      </c>
      <c r="K1831" s="4" t="s">
        <v>134</v>
      </c>
      <c r="L1831">
        <v>0</v>
      </c>
      <c r="M1831" s="4" t="s">
        <v>158</v>
      </c>
    </row>
    <row r="1832" spans="1:13" x14ac:dyDescent="0.2">
      <c r="A1832" s="4" t="s">
        <v>2437</v>
      </c>
      <c r="B1832">
        <v>1831</v>
      </c>
      <c r="C1832" s="4" t="s">
        <v>26</v>
      </c>
      <c r="D1832" s="4" t="s">
        <v>50</v>
      </c>
      <c r="E1832" s="4" t="s">
        <v>47</v>
      </c>
      <c r="F1832" s="4" t="s">
        <v>2395</v>
      </c>
      <c r="G1832">
        <v>16</v>
      </c>
      <c r="H1832">
        <v>77</v>
      </c>
      <c r="I1832" s="4" t="s">
        <v>112</v>
      </c>
      <c r="J1832" s="4" t="s">
        <v>122</v>
      </c>
      <c r="K1832" s="4" t="s">
        <v>123</v>
      </c>
      <c r="L1832">
        <v>300</v>
      </c>
      <c r="M1832" s="4" t="s">
        <v>158</v>
      </c>
    </row>
    <row r="1833" spans="1:13" x14ac:dyDescent="0.2">
      <c r="A1833" s="4" t="s">
        <v>2438</v>
      </c>
      <c r="B1833">
        <v>1832</v>
      </c>
      <c r="C1833" s="4" t="s">
        <v>26</v>
      </c>
      <c r="D1833" s="4" t="s">
        <v>50</v>
      </c>
      <c r="E1833" s="4" t="s">
        <v>47</v>
      </c>
      <c r="F1833" s="4" t="s">
        <v>2395</v>
      </c>
      <c r="G1833">
        <v>16</v>
      </c>
      <c r="H1833">
        <v>77</v>
      </c>
      <c r="I1833" s="4" t="s">
        <v>112</v>
      </c>
      <c r="J1833" s="4" t="s">
        <v>125</v>
      </c>
      <c r="K1833" s="4" t="s">
        <v>126</v>
      </c>
      <c r="L1833">
        <v>51</v>
      </c>
      <c r="M1833" s="4" t="s">
        <v>158</v>
      </c>
    </row>
    <row r="1834" spans="1:13" x14ac:dyDescent="0.2">
      <c r="A1834" s="4" t="s">
        <v>2439</v>
      </c>
      <c r="B1834">
        <v>1833</v>
      </c>
      <c r="C1834" s="4" t="s">
        <v>26</v>
      </c>
      <c r="D1834" s="4" t="s">
        <v>50</v>
      </c>
      <c r="E1834" s="4" t="s">
        <v>47</v>
      </c>
      <c r="F1834" s="4" t="s">
        <v>2395</v>
      </c>
      <c r="G1834">
        <v>16</v>
      </c>
      <c r="H1834">
        <v>77</v>
      </c>
      <c r="I1834" s="4" t="s">
        <v>112</v>
      </c>
      <c r="J1834" s="4" t="s">
        <v>127</v>
      </c>
      <c r="K1834" s="4" t="s">
        <v>128</v>
      </c>
      <c r="L1834">
        <v>342</v>
      </c>
      <c r="M1834" s="4" t="s">
        <v>158</v>
      </c>
    </row>
    <row r="1835" spans="1:13" x14ac:dyDescent="0.2">
      <c r="A1835" s="4" t="s">
        <v>2440</v>
      </c>
      <c r="B1835">
        <v>1834</v>
      </c>
      <c r="C1835" s="4" t="s">
        <v>26</v>
      </c>
      <c r="D1835" s="4" t="s">
        <v>50</v>
      </c>
      <c r="E1835" s="4" t="s">
        <v>47</v>
      </c>
      <c r="F1835" s="4" t="s">
        <v>2395</v>
      </c>
      <c r="G1835">
        <v>16</v>
      </c>
      <c r="H1835">
        <v>77</v>
      </c>
      <c r="I1835" s="4" t="s">
        <v>112</v>
      </c>
      <c r="J1835" s="4" t="s">
        <v>129</v>
      </c>
      <c r="K1835" s="4" t="s">
        <v>130</v>
      </c>
      <c r="L1835">
        <v>33</v>
      </c>
      <c r="M1835" s="4" t="s">
        <v>158</v>
      </c>
    </row>
    <row r="1836" spans="1:13" x14ac:dyDescent="0.2">
      <c r="A1836" s="4" t="s">
        <v>2441</v>
      </c>
      <c r="B1836">
        <v>1835</v>
      </c>
      <c r="C1836" s="4" t="s">
        <v>26</v>
      </c>
      <c r="D1836" s="4" t="s">
        <v>50</v>
      </c>
      <c r="E1836" s="4" t="s">
        <v>47</v>
      </c>
      <c r="F1836" s="4" t="s">
        <v>2395</v>
      </c>
      <c r="G1836">
        <v>16</v>
      </c>
      <c r="H1836">
        <v>77</v>
      </c>
      <c r="I1836" s="4" t="s">
        <v>112</v>
      </c>
      <c r="J1836" s="4" t="s">
        <v>131</v>
      </c>
      <c r="K1836" s="4" t="s">
        <v>132</v>
      </c>
      <c r="L1836">
        <v>63</v>
      </c>
      <c r="M1836" s="4" t="s">
        <v>158</v>
      </c>
    </row>
    <row r="1837" spans="1:13" x14ac:dyDescent="0.2">
      <c r="A1837" s="4" t="s">
        <v>2442</v>
      </c>
      <c r="B1837">
        <v>1836</v>
      </c>
      <c r="C1837" s="4" t="s">
        <v>26</v>
      </c>
      <c r="D1837" s="4" t="s">
        <v>50</v>
      </c>
      <c r="E1837" s="4" t="s">
        <v>47</v>
      </c>
      <c r="F1837" s="4" t="s">
        <v>2395</v>
      </c>
      <c r="G1837">
        <v>16</v>
      </c>
      <c r="H1837">
        <v>77</v>
      </c>
      <c r="I1837" s="4" t="s">
        <v>112</v>
      </c>
      <c r="J1837" s="4" t="s">
        <v>133</v>
      </c>
      <c r="K1837" s="4" t="s">
        <v>134</v>
      </c>
      <c r="L1837">
        <v>45</v>
      </c>
      <c r="M1837" s="4" t="s">
        <v>158</v>
      </c>
    </row>
    <row r="1838" spans="1:13" x14ac:dyDescent="0.2">
      <c r="A1838" s="4" t="s">
        <v>2443</v>
      </c>
      <c r="B1838">
        <v>1837</v>
      </c>
      <c r="C1838" s="4" t="s">
        <v>26</v>
      </c>
      <c r="D1838" s="4" t="s">
        <v>50</v>
      </c>
      <c r="E1838" s="4" t="s">
        <v>47</v>
      </c>
      <c r="F1838" s="4" t="s">
        <v>2395</v>
      </c>
      <c r="G1838">
        <v>16</v>
      </c>
      <c r="H1838">
        <v>77</v>
      </c>
      <c r="I1838" s="4" t="s">
        <v>114</v>
      </c>
      <c r="J1838" s="4" t="s">
        <v>122</v>
      </c>
      <c r="K1838" s="4" t="s">
        <v>123</v>
      </c>
      <c r="L1838">
        <v>0</v>
      </c>
      <c r="M1838" s="4" t="s">
        <v>158</v>
      </c>
    </row>
    <row r="1839" spans="1:13" x14ac:dyDescent="0.2">
      <c r="A1839" s="4" t="s">
        <v>2444</v>
      </c>
      <c r="B1839">
        <v>1838</v>
      </c>
      <c r="C1839" s="4" t="s">
        <v>26</v>
      </c>
      <c r="D1839" s="4" t="s">
        <v>50</v>
      </c>
      <c r="E1839" s="4" t="s">
        <v>47</v>
      </c>
      <c r="F1839" s="4" t="s">
        <v>2395</v>
      </c>
      <c r="G1839">
        <v>16</v>
      </c>
      <c r="H1839">
        <v>77</v>
      </c>
      <c r="I1839" s="4" t="s">
        <v>114</v>
      </c>
      <c r="J1839" s="4" t="s">
        <v>125</v>
      </c>
      <c r="K1839" s="4" t="s">
        <v>126</v>
      </c>
      <c r="L1839">
        <v>48</v>
      </c>
      <c r="M1839" s="4" t="s">
        <v>158</v>
      </c>
    </row>
    <row r="1840" spans="1:13" x14ac:dyDescent="0.2">
      <c r="A1840" s="4" t="s">
        <v>2445</v>
      </c>
      <c r="B1840">
        <v>1839</v>
      </c>
      <c r="C1840" s="4" t="s">
        <v>26</v>
      </c>
      <c r="D1840" s="4" t="s">
        <v>50</v>
      </c>
      <c r="E1840" s="4" t="s">
        <v>47</v>
      </c>
      <c r="F1840" s="4" t="s">
        <v>2395</v>
      </c>
      <c r="G1840">
        <v>16</v>
      </c>
      <c r="H1840">
        <v>77</v>
      </c>
      <c r="I1840" s="4" t="s">
        <v>114</v>
      </c>
      <c r="J1840" s="4" t="s">
        <v>127</v>
      </c>
      <c r="K1840" s="4" t="s">
        <v>128</v>
      </c>
      <c r="L1840">
        <v>193</v>
      </c>
      <c r="M1840" s="4" t="s">
        <v>158</v>
      </c>
    </row>
    <row r="1841" spans="1:13" x14ac:dyDescent="0.2">
      <c r="A1841" s="4" t="s">
        <v>2446</v>
      </c>
      <c r="B1841">
        <v>1840</v>
      </c>
      <c r="C1841" s="4" t="s">
        <v>26</v>
      </c>
      <c r="D1841" s="4" t="s">
        <v>50</v>
      </c>
      <c r="E1841" s="4" t="s">
        <v>47</v>
      </c>
      <c r="F1841" s="4" t="s">
        <v>2395</v>
      </c>
      <c r="G1841">
        <v>16</v>
      </c>
      <c r="H1841">
        <v>77</v>
      </c>
      <c r="I1841" s="4" t="s">
        <v>114</v>
      </c>
      <c r="J1841" s="4" t="s">
        <v>129</v>
      </c>
      <c r="K1841" s="4" t="s">
        <v>130</v>
      </c>
      <c r="L1841">
        <v>11</v>
      </c>
      <c r="M1841" s="4" t="s">
        <v>158</v>
      </c>
    </row>
    <row r="1842" spans="1:13" x14ac:dyDescent="0.2">
      <c r="A1842" s="4" t="s">
        <v>2447</v>
      </c>
      <c r="B1842">
        <v>1841</v>
      </c>
      <c r="C1842" s="4" t="s">
        <v>26</v>
      </c>
      <c r="D1842" s="4" t="s">
        <v>50</v>
      </c>
      <c r="E1842" s="4" t="s">
        <v>47</v>
      </c>
      <c r="F1842" s="4" t="s">
        <v>2395</v>
      </c>
      <c r="G1842">
        <v>16</v>
      </c>
      <c r="H1842">
        <v>77</v>
      </c>
      <c r="I1842" s="4" t="s">
        <v>114</v>
      </c>
      <c r="J1842" s="4" t="s">
        <v>131</v>
      </c>
      <c r="K1842" s="4" t="s">
        <v>132</v>
      </c>
      <c r="L1842">
        <v>28</v>
      </c>
      <c r="M1842" s="4" t="s">
        <v>158</v>
      </c>
    </row>
    <row r="1843" spans="1:13" x14ac:dyDescent="0.2">
      <c r="A1843" s="4" t="s">
        <v>2448</v>
      </c>
      <c r="B1843">
        <v>1842</v>
      </c>
      <c r="C1843" s="4" t="s">
        <v>26</v>
      </c>
      <c r="D1843" s="4" t="s">
        <v>50</v>
      </c>
      <c r="E1843" s="4" t="s">
        <v>47</v>
      </c>
      <c r="F1843" s="4" t="s">
        <v>2395</v>
      </c>
      <c r="G1843">
        <v>16</v>
      </c>
      <c r="H1843">
        <v>77</v>
      </c>
      <c r="I1843" s="4" t="s">
        <v>114</v>
      </c>
      <c r="J1843" s="4" t="s">
        <v>133</v>
      </c>
      <c r="K1843" s="4" t="s">
        <v>134</v>
      </c>
      <c r="L1843">
        <v>19</v>
      </c>
      <c r="M1843" s="4" t="s">
        <v>158</v>
      </c>
    </row>
    <row r="1844" spans="1:13" x14ac:dyDescent="0.2">
      <c r="A1844" s="4" t="s">
        <v>2449</v>
      </c>
      <c r="B1844">
        <v>1843</v>
      </c>
      <c r="C1844" s="4" t="s">
        <v>26</v>
      </c>
      <c r="D1844" s="4" t="s">
        <v>50</v>
      </c>
      <c r="E1844" s="4" t="s">
        <v>47</v>
      </c>
      <c r="F1844" s="4" t="s">
        <v>2395</v>
      </c>
      <c r="G1844">
        <v>16</v>
      </c>
      <c r="H1844">
        <v>77</v>
      </c>
      <c r="I1844" s="4" t="s">
        <v>116</v>
      </c>
      <c r="J1844" s="4" t="s">
        <v>122</v>
      </c>
      <c r="K1844" s="4" t="s">
        <v>123</v>
      </c>
      <c r="L1844">
        <v>52</v>
      </c>
      <c r="M1844" s="4" t="s">
        <v>158</v>
      </c>
    </row>
    <row r="1845" spans="1:13" x14ac:dyDescent="0.2">
      <c r="A1845" s="4" t="s">
        <v>2450</v>
      </c>
      <c r="B1845">
        <v>1844</v>
      </c>
      <c r="C1845" s="4" t="s">
        <v>26</v>
      </c>
      <c r="D1845" s="4" t="s">
        <v>50</v>
      </c>
      <c r="E1845" s="4" t="s">
        <v>47</v>
      </c>
      <c r="F1845" s="4" t="s">
        <v>2395</v>
      </c>
      <c r="G1845">
        <v>16</v>
      </c>
      <c r="H1845">
        <v>77</v>
      </c>
      <c r="I1845" s="4" t="s">
        <v>116</v>
      </c>
      <c r="J1845" s="4" t="s">
        <v>125</v>
      </c>
      <c r="K1845" s="4" t="s">
        <v>126</v>
      </c>
      <c r="L1845">
        <v>0</v>
      </c>
      <c r="M1845" s="4" t="s">
        <v>158</v>
      </c>
    </row>
    <row r="1846" spans="1:13" x14ac:dyDescent="0.2">
      <c r="A1846" s="4" t="s">
        <v>2451</v>
      </c>
      <c r="B1846">
        <v>1845</v>
      </c>
      <c r="C1846" s="4" t="s">
        <v>26</v>
      </c>
      <c r="D1846" s="4" t="s">
        <v>50</v>
      </c>
      <c r="E1846" s="4" t="s">
        <v>47</v>
      </c>
      <c r="F1846" s="4" t="s">
        <v>2395</v>
      </c>
      <c r="G1846">
        <v>16</v>
      </c>
      <c r="H1846">
        <v>77</v>
      </c>
      <c r="I1846" s="4" t="s">
        <v>116</v>
      </c>
      <c r="J1846" s="4" t="s">
        <v>127</v>
      </c>
      <c r="K1846" s="4" t="s">
        <v>128</v>
      </c>
      <c r="L1846">
        <v>35</v>
      </c>
      <c r="M1846" s="4" t="s">
        <v>158</v>
      </c>
    </row>
    <row r="1847" spans="1:13" x14ac:dyDescent="0.2">
      <c r="A1847" s="4" t="s">
        <v>2452</v>
      </c>
      <c r="B1847">
        <v>1846</v>
      </c>
      <c r="C1847" s="4" t="s">
        <v>26</v>
      </c>
      <c r="D1847" s="4" t="s">
        <v>50</v>
      </c>
      <c r="E1847" s="4" t="s">
        <v>47</v>
      </c>
      <c r="F1847" s="4" t="s">
        <v>2395</v>
      </c>
      <c r="G1847">
        <v>16</v>
      </c>
      <c r="H1847">
        <v>77</v>
      </c>
      <c r="I1847" s="4" t="s">
        <v>116</v>
      </c>
      <c r="J1847" s="4" t="s">
        <v>129</v>
      </c>
      <c r="K1847" s="4" t="s">
        <v>130</v>
      </c>
      <c r="L1847">
        <v>24</v>
      </c>
      <c r="M1847" s="4" t="s">
        <v>158</v>
      </c>
    </row>
    <row r="1848" spans="1:13" x14ac:dyDescent="0.2">
      <c r="A1848" s="4" t="s">
        <v>2453</v>
      </c>
      <c r="B1848">
        <v>1847</v>
      </c>
      <c r="C1848" s="4" t="s">
        <v>26</v>
      </c>
      <c r="D1848" s="4" t="s">
        <v>50</v>
      </c>
      <c r="E1848" s="4" t="s">
        <v>47</v>
      </c>
      <c r="F1848" s="4" t="s">
        <v>2395</v>
      </c>
      <c r="G1848">
        <v>16</v>
      </c>
      <c r="H1848">
        <v>77</v>
      </c>
      <c r="I1848" s="4" t="s">
        <v>116</v>
      </c>
      <c r="J1848" s="4" t="s">
        <v>131</v>
      </c>
      <c r="K1848" s="4" t="s">
        <v>132</v>
      </c>
      <c r="L1848">
        <v>50</v>
      </c>
      <c r="M1848" s="4" t="s">
        <v>158</v>
      </c>
    </row>
    <row r="1849" spans="1:13" x14ac:dyDescent="0.2">
      <c r="A1849" s="4" t="s">
        <v>2454</v>
      </c>
      <c r="B1849">
        <v>1848</v>
      </c>
      <c r="C1849" s="4" t="s">
        <v>26</v>
      </c>
      <c r="D1849" s="4" t="s">
        <v>50</v>
      </c>
      <c r="E1849" s="4" t="s">
        <v>47</v>
      </c>
      <c r="F1849" s="4" t="s">
        <v>2395</v>
      </c>
      <c r="G1849">
        <v>16</v>
      </c>
      <c r="H1849">
        <v>77</v>
      </c>
      <c r="I1849" s="4" t="s">
        <v>116</v>
      </c>
      <c r="J1849" s="4" t="s">
        <v>133</v>
      </c>
      <c r="K1849" s="4" t="s">
        <v>134</v>
      </c>
      <c r="L1849">
        <v>17</v>
      </c>
      <c r="M1849" s="4" t="s">
        <v>158</v>
      </c>
    </row>
    <row r="1850" spans="1:13" x14ac:dyDescent="0.2">
      <c r="A1850" s="4" t="s">
        <v>2457</v>
      </c>
      <c r="B1850">
        <v>1849</v>
      </c>
      <c r="C1850" s="4" t="s">
        <v>26</v>
      </c>
      <c r="D1850" s="4" t="s">
        <v>50</v>
      </c>
      <c r="E1850" s="4" t="s">
        <v>50</v>
      </c>
      <c r="F1850" s="4" t="s">
        <v>2458</v>
      </c>
      <c r="G1850">
        <v>16</v>
      </c>
      <c r="H1850">
        <v>78</v>
      </c>
      <c r="I1850" s="4" t="s">
        <v>35</v>
      </c>
      <c r="J1850" s="4" t="s">
        <v>122</v>
      </c>
      <c r="K1850" s="4" t="s">
        <v>123</v>
      </c>
      <c r="L1850">
        <v>833</v>
      </c>
      <c r="M1850" s="4" t="s">
        <v>158</v>
      </c>
    </row>
    <row r="1851" spans="1:13" x14ac:dyDescent="0.2">
      <c r="A1851" s="4" t="s">
        <v>2459</v>
      </c>
      <c r="B1851">
        <v>1850</v>
      </c>
      <c r="C1851" s="4" t="s">
        <v>26</v>
      </c>
      <c r="D1851" s="4" t="s">
        <v>50</v>
      </c>
      <c r="E1851" s="4" t="s">
        <v>50</v>
      </c>
      <c r="F1851" s="4" t="s">
        <v>2458</v>
      </c>
      <c r="G1851">
        <v>16</v>
      </c>
      <c r="H1851">
        <v>78</v>
      </c>
      <c r="I1851" s="4" t="s">
        <v>35</v>
      </c>
      <c r="J1851" s="4" t="s">
        <v>125</v>
      </c>
      <c r="K1851" s="4" t="s">
        <v>126</v>
      </c>
      <c r="L1851">
        <v>84</v>
      </c>
      <c r="M1851" s="4" t="s">
        <v>158</v>
      </c>
    </row>
    <row r="1852" spans="1:13" x14ac:dyDescent="0.2">
      <c r="A1852" s="4" t="s">
        <v>2460</v>
      </c>
      <c r="B1852">
        <v>1851</v>
      </c>
      <c r="C1852" s="4" t="s">
        <v>26</v>
      </c>
      <c r="D1852" s="4" t="s">
        <v>50</v>
      </c>
      <c r="E1852" s="4" t="s">
        <v>50</v>
      </c>
      <c r="F1852" s="4" t="s">
        <v>2458</v>
      </c>
      <c r="G1852">
        <v>16</v>
      </c>
      <c r="H1852">
        <v>78</v>
      </c>
      <c r="I1852" s="4" t="s">
        <v>35</v>
      </c>
      <c r="J1852" s="4" t="s">
        <v>127</v>
      </c>
      <c r="K1852" s="4" t="s">
        <v>128</v>
      </c>
      <c r="L1852">
        <v>689</v>
      </c>
      <c r="M1852" s="4" t="s">
        <v>158</v>
      </c>
    </row>
    <row r="1853" spans="1:13" x14ac:dyDescent="0.2">
      <c r="A1853" s="4" t="s">
        <v>2461</v>
      </c>
      <c r="B1853">
        <v>1852</v>
      </c>
      <c r="C1853" s="4" t="s">
        <v>26</v>
      </c>
      <c r="D1853" s="4" t="s">
        <v>50</v>
      </c>
      <c r="E1853" s="4" t="s">
        <v>50</v>
      </c>
      <c r="F1853" s="4" t="s">
        <v>2458</v>
      </c>
      <c r="G1853">
        <v>16</v>
      </c>
      <c r="H1853">
        <v>78</v>
      </c>
      <c r="I1853" s="4" t="s">
        <v>35</v>
      </c>
      <c r="J1853" s="4" t="s">
        <v>129</v>
      </c>
      <c r="K1853" s="4" t="s">
        <v>130</v>
      </c>
      <c r="L1853">
        <v>154</v>
      </c>
      <c r="M1853" s="4" t="s">
        <v>158</v>
      </c>
    </row>
    <row r="1854" spans="1:13" x14ac:dyDescent="0.2">
      <c r="A1854" s="4" t="s">
        <v>2462</v>
      </c>
      <c r="B1854">
        <v>1853</v>
      </c>
      <c r="C1854" s="4" t="s">
        <v>26</v>
      </c>
      <c r="D1854" s="4" t="s">
        <v>50</v>
      </c>
      <c r="E1854" s="4" t="s">
        <v>50</v>
      </c>
      <c r="F1854" s="4" t="s">
        <v>2458</v>
      </c>
      <c r="G1854">
        <v>16</v>
      </c>
      <c r="H1854">
        <v>78</v>
      </c>
      <c r="I1854" s="4" t="s">
        <v>35</v>
      </c>
      <c r="J1854" s="4" t="s">
        <v>131</v>
      </c>
      <c r="K1854" s="4" t="s">
        <v>132</v>
      </c>
      <c r="L1854">
        <v>303</v>
      </c>
      <c r="M1854" s="4" t="s">
        <v>158</v>
      </c>
    </row>
    <row r="1855" spans="1:13" x14ac:dyDescent="0.2">
      <c r="A1855" s="4" t="s">
        <v>2463</v>
      </c>
      <c r="B1855">
        <v>1854</v>
      </c>
      <c r="C1855" s="4" t="s">
        <v>26</v>
      </c>
      <c r="D1855" s="4" t="s">
        <v>50</v>
      </c>
      <c r="E1855" s="4" t="s">
        <v>50</v>
      </c>
      <c r="F1855" s="4" t="s">
        <v>2458</v>
      </c>
      <c r="G1855">
        <v>16</v>
      </c>
      <c r="H1855">
        <v>78</v>
      </c>
      <c r="I1855" s="4" t="s">
        <v>35</v>
      </c>
      <c r="J1855" s="4" t="s">
        <v>133</v>
      </c>
      <c r="K1855" s="4" t="s">
        <v>134</v>
      </c>
      <c r="L1855">
        <v>167</v>
      </c>
      <c r="M1855" s="4" t="s">
        <v>158</v>
      </c>
    </row>
    <row r="1856" spans="1:13" x14ac:dyDescent="0.2">
      <c r="A1856" s="4" t="s">
        <v>2464</v>
      </c>
      <c r="B1856">
        <v>1855</v>
      </c>
      <c r="C1856" s="4" t="s">
        <v>26</v>
      </c>
      <c r="D1856" s="4" t="s">
        <v>50</v>
      </c>
      <c r="E1856" s="4" t="s">
        <v>50</v>
      </c>
      <c r="F1856" s="4" t="s">
        <v>2458</v>
      </c>
      <c r="G1856">
        <v>16</v>
      </c>
      <c r="H1856">
        <v>78</v>
      </c>
      <c r="I1856" s="4" t="s">
        <v>112</v>
      </c>
      <c r="J1856" s="4" t="s">
        <v>122</v>
      </c>
      <c r="K1856" s="4" t="s">
        <v>123</v>
      </c>
      <c r="L1856">
        <v>223</v>
      </c>
      <c r="M1856" s="4" t="s">
        <v>158</v>
      </c>
    </row>
    <row r="1857" spans="1:13" x14ac:dyDescent="0.2">
      <c r="A1857" s="4" t="s">
        <v>2465</v>
      </c>
      <c r="B1857">
        <v>1856</v>
      </c>
      <c r="C1857" s="4" t="s">
        <v>26</v>
      </c>
      <c r="D1857" s="4" t="s">
        <v>50</v>
      </c>
      <c r="E1857" s="4" t="s">
        <v>50</v>
      </c>
      <c r="F1857" s="4" t="s">
        <v>2458</v>
      </c>
      <c r="G1857">
        <v>16</v>
      </c>
      <c r="H1857">
        <v>78</v>
      </c>
      <c r="I1857" s="4" t="s">
        <v>112</v>
      </c>
      <c r="J1857" s="4" t="s">
        <v>125</v>
      </c>
      <c r="K1857" s="4" t="s">
        <v>126</v>
      </c>
      <c r="L1857">
        <v>52</v>
      </c>
      <c r="M1857" s="4" t="s">
        <v>158</v>
      </c>
    </row>
    <row r="1858" spans="1:13" x14ac:dyDescent="0.2">
      <c r="A1858" s="4" t="s">
        <v>2466</v>
      </c>
      <c r="B1858">
        <v>1857</v>
      </c>
      <c r="C1858" s="4" t="s">
        <v>26</v>
      </c>
      <c r="D1858" s="4" t="s">
        <v>50</v>
      </c>
      <c r="E1858" s="4" t="s">
        <v>50</v>
      </c>
      <c r="F1858" s="4" t="s">
        <v>2458</v>
      </c>
      <c r="G1858">
        <v>16</v>
      </c>
      <c r="H1858">
        <v>78</v>
      </c>
      <c r="I1858" s="4" t="s">
        <v>112</v>
      </c>
      <c r="J1858" s="4" t="s">
        <v>127</v>
      </c>
      <c r="K1858" s="4" t="s">
        <v>128</v>
      </c>
      <c r="L1858">
        <v>293</v>
      </c>
      <c r="M1858" s="4" t="s">
        <v>158</v>
      </c>
    </row>
    <row r="1859" spans="1:13" x14ac:dyDescent="0.2">
      <c r="A1859" s="4" t="s">
        <v>2467</v>
      </c>
      <c r="B1859">
        <v>1858</v>
      </c>
      <c r="C1859" s="4" t="s">
        <v>26</v>
      </c>
      <c r="D1859" s="4" t="s">
        <v>50</v>
      </c>
      <c r="E1859" s="4" t="s">
        <v>50</v>
      </c>
      <c r="F1859" s="4" t="s">
        <v>2458</v>
      </c>
      <c r="G1859">
        <v>16</v>
      </c>
      <c r="H1859">
        <v>78</v>
      </c>
      <c r="I1859" s="4" t="s">
        <v>112</v>
      </c>
      <c r="J1859" s="4" t="s">
        <v>129</v>
      </c>
      <c r="K1859" s="4" t="s">
        <v>130</v>
      </c>
      <c r="L1859">
        <v>33</v>
      </c>
      <c r="M1859" s="4" t="s">
        <v>158</v>
      </c>
    </row>
    <row r="1860" spans="1:13" x14ac:dyDescent="0.2">
      <c r="A1860" s="4" t="s">
        <v>2468</v>
      </c>
      <c r="B1860">
        <v>1859</v>
      </c>
      <c r="C1860" s="4" t="s">
        <v>26</v>
      </c>
      <c r="D1860" s="4" t="s">
        <v>50</v>
      </c>
      <c r="E1860" s="4" t="s">
        <v>50</v>
      </c>
      <c r="F1860" s="4" t="s">
        <v>2458</v>
      </c>
      <c r="G1860">
        <v>16</v>
      </c>
      <c r="H1860">
        <v>78</v>
      </c>
      <c r="I1860" s="4" t="s">
        <v>112</v>
      </c>
      <c r="J1860" s="4" t="s">
        <v>131</v>
      </c>
      <c r="K1860" s="4" t="s">
        <v>132</v>
      </c>
      <c r="L1860">
        <v>63</v>
      </c>
      <c r="M1860" s="4" t="s">
        <v>158</v>
      </c>
    </row>
    <row r="1861" spans="1:13" x14ac:dyDescent="0.2">
      <c r="A1861" s="4" t="s">
        <v>2469</v>
      </c>
      <c r="B1861">
        <v>1860</v>
      </c>
      <c r="C1861" s="4" t="s">
        <v>26</v>
      </c>
      <c r="D1861" s="4" t="s">
        <v>50</v>
      </c>
      <c r="E1861" s="4" t="s">
        <v>50</v>
      </c>
      <c r="F1861" s="4" t="s">
        <v>2458</v>
      </c>
      <c r="G1861">
        <v>16</v>
      </c>
      <c r="H1861">
        <v>78</v>
      </c>
      <c r="I1861" s="4" t="s">
        <v>112</v>
      </c>
      <c r="J1861" s="4" t="s">
        <v>133</v>
      </c>
      <c r="K1861" s="4" t="s">
        <v>134</v>
      </c>
      <c r="L1861">
        <v>0</v>
      </c>
      <c r="M1861" s="4" t="s">
        <v>158</v>
      </c>
    </row>
    <row r="1862" spans="1:13" x14ac:dyDescent="0.2">
      <c r="A1862" s="4" t="s">
        <v>2470</v>
      </c>
      <c r="B1862">
        <v>1861</v>
      </c>
      <c r="C1862" s="4" t="s">
        <v>26</v>
      </c>
      <c r="D1862" s="4" t="s">
        <v>50</v>
      </c>
      <c r="E1862" s="4" t="s">
        <v>50</v>
      </c>
      <c r="F1862" s="4" t="s">
        <v>2458</v>
      </c>
      <c r="G1862">
        <v>16</v>
      </c>
      <c r="H1862">
        <v>78</v>
      </c>
      <c r="I1862" s="4" t="s">
        <v>114</v>
      </c>
      <c r="J1862" s="4" t="s">
        <v>122</v>
      </c>
      <c r="K1862" s="4" t="s">
        <v>123</v>
      </c>
      <c r="L1862">
        <v>0</v>
      </c>
      <c r="M1862" s="4" t="s">
        <v>158</v>
      </c>
    </row>
    <row r="1863" spans="1:13" x14ac:dyDescent="0.2">
      <c r="A1863" s="4" t="s">
        <v>2471</v>
      </c>
      <c r="B1863">
        <v>1862</v>
      </c>
      <c r="C1863" s="4" t="s">
        <v>26</v>
      </c>
      <c r="D1863" s="4" t="s">
        <v>50</v>
      </c>
      <c r="E1863" s="4" t="s">
        <v>50</v>
      </c>
      <c r="F1863" s="4" t="s">
        <v>2458</v>
      </c>
      <c r="G1863">
        <v>16</v>
      </c>
      <c r="H1863">
        <v>78</v>
      </c>
      <c r="I1863" s="4" t="s">
        <v>114</v>
      </c>
      <c r="J1863" s="4" t="s">
        <v>125</v>
      </c>
      <c r="K1863" s="4" t="s">
        <v>126</v>
      </c>
      <c r="L1863">
        <v>62</v>
      </c>
      <c r="M1863" s="4" t="s">
        <v>158</v>
      </c>
    </row>
    <row r="1864" spans="1:13" x14ac:dyDescent="0.2">
      <c r="A1864" s="4" t="s">
        <v>2472</v>
      </c>
      <c r="B1864">
        <v>1863</v>
      </c>
      <c r="C1864" s="4" t="s">
        <v>26</v>
      </c>
      <c r="D1864" s="4" t="s">
        <v>50</v>
      </c>
      <c r="E1864" s="4" t="s">
        <v>50</v>
      </c>
      <c r="F1864" s="4" t="s">
        <v>2458</v>
      </c>
      <c r="G1864">
        <v>16</v>
      </c>
      <c r="H1864">
        <v>78</v>
      </c>
      <c r="I1864" s="4" t="s">
        <v>114</v>
      </c>
      <c r="J1864" s="4" t="s">
        <v>127</v>
      </c>
      <c r="K1864" s="4" t="s">
        <v>128</v>
      </c>
      <c r="L1864">
        <v>69</v>
      </c>
      <c r="M1864" s="4" t="s">
        <v>158</v>
      </c>
    </row>
    <row r="1865" spans="1:13" x14ac:dyDescent="0.2">
      <c r="A1865" s="4" t="s">
        <v>2473</v>
      </c>
      <c r="B1865">
        <v>1864</v>
      </c>
      <c r="C1865" s="4" t="s">
        <v>26</v>
      </c>
      <c r="D1865" s="4" t="s">
        <v>50</v>
      </c>
      <c r="E1865" s="4" t="s">
        <v>50</v>
      </c>
      <c r="F1865" s="4" t="s">
        <v>2458</v>
      </c>
      <c r="G1865">
        <v>16</v>
      </c>
      <c r="H1865">
        <v>78</v>
      </c>
      <c r="I1865" s="4" t="s">
        <v>114</v>
      </c>
      <c r="J1865" s="4" t="s">
        <v>129</v>
      </c>
      <c r="K1865" s="4" t="s">
        <v>130</v>
      </c>
      <c r="L1865">
        <v>11</v>
      </c>
      <c r="M1865" s="4" t="s">
        <v>158</v>
      </c>
    </row>
    <row r="1866" spans="1:13" x14ac:dyDescent="0.2">
      <c r="A1866" s="4" t="s">
        <v>2474</v>
      </c>
      <c r="B1866">
        <v>1865</v>
      </c>
      <c r="C1866" s="4" t="s">
        <v>26</v>
      </c>
      <c r="D1866" s="4" t="s">
        <v>50</v>
      </c>
      <c r="E1866" s="4" t="s">
        <v>50</v>
      </c>
      <c r="F1866" s="4" t="s">
        <v>2458</v>
      </c>
      <c r="G1866">
        <v>16</v>
      </c>
      <c r="H1866">
        <v>78</v>
      </c>
      <c r="I1866" s="4" t="s">
        <v>114</v>
      </c>
      <c r="J1866" s="4" t="s">
        <v>131</v>
      </c>
      <c r="K1866" s="4" t="s">
        <v>132</v>
      </c>
      <c r="L1866">
        <v>0</v>
      </c>
      <c r="M1866" s="4" t="s">
        <v>158</v>
      </c>
    </row>
    <row r="1867" spans="1:13" x14ac:dyDescent="0.2">
      <c r="A1867" s="4" t="s">
        <v>2475</v>
      </c>
      <c r="B1867">
        <v>1866</v>
      </c>
      <c r="C1867" s="4" t="s">
        <v>26</v>
      </c>
      <c r="D1867" s="4" t="s">
        <v>50</v>
      </c>
      <c r="E1867" s="4" t="s">
        <v>50</v>
      </c>
      <c r="F1867" s="4" t="s">
        <v>2458</v>
      </c>
      <c r="G1867">
        <v>16</v>
      </c>
      <c r="H1867">
        <v>78</v>
      </c>
      <c r="I1867" s="4" t="s">
        <v>114</v>
      </c>
      <c r="J1867" s="4" t="s">
        <v>133</v>
      </c>
      <c r="K1867" s="4" t="s">
        <v>134</v>
      </c>
      <c r="L1867">
        <v>19</v>
      </c>
      <c r="M1867" s="4" t="s">
        <v>158</v>
      </c>
    </row>
    <row r="1868" spans="1:13" x14ac:dyDescent="0.2">
      <c r="A1868" s="4" t="s">
        <v>2476</v>
      </c>
      <c r="B1868">
        <v>1867</v>
      </c>
      <c r="C1868" s="4" t="s">
        <v>26</v>
      </c>
      <c r="D1868" s="4" t="s">
        <v>50</v>
      </c>
      <c r="E1868" s="4" t="s">
        <v>50</v>
      </c>
      <c r="F1868" s="4" t="s">
        <v>2458</v>
      </c>
      <c r="G1868">
        <v>16</v>
      </c>
      <c r="H1868">
        <v>78</v>
      </c>
      <c r="I1868" s="4" t="s">
        <v>116</v>
      </c>
      <c r="J1868" s="4" t="s">
        <v>122</v>
      </c>
      <c r="K1868" s="4" t="s">
        <v>123</v>
      </c>
      <c r="L1868">
        <v>52</v>
      </c>
      <c r="M1868" s="4" t="s">
        <v>158</v>
      </c>
    </row>
    <row r="1869" spans="1:13" x14ac:dyDescent="0.2">
      <c r="A1869" s="4" t="s">
        <v>2477</v>
      </c>
      <c r="B1869">
        <v>1868</v>
      </c>
      <c r="C1869" s="4" t="s">
        <v>26</v>
      </c>
      <c r="D1869" s="4" t="s">
        <v>50</v>
      </c>
      <c r="E1869" s="4" t="s">
        <v>50</v>
      </c>
      <c r="F1869" s="4" t="s">
        <v>2458</v>
      </c>
      <c r="G1869">
        <v>16</v>
      </c>
      <c r="H1869">
        <v>78</v>
      </c>
      <c r="I1869" s="4" t="s">
        <v>116</v>
      </c>
      <c r="J1869" s="4" t="s">
        <v>125</v>
      </c>
      <c r="K1869" s="4" t="s">
        <v>126</v>
      </c>
      <c r="L1869">
        <v>25</v>
      </c>
      <c r="M1869" s="4" t="s">
        <v>158</v>
      </c>
    </row>
    <row r="1870" spans="1:13" x14ac:dyDescent="0.2">
      <c r="A1870" s="4" t="s">
        <v>2478</v>
      </c>
      <c r="B1870">
        <v>1869</v>
      </c>
      <c r="C1870" s="4" t="s">
        <v>26</v>
      </c>
      <c r="D1870" s="4" t="s">
        <v>50</v>
      </c>
      <c r="E1870" s="4" t="s">
        <v>50</v>
      </c>
      <c r="F1870" s="4" t="s">
        <v>2458</v>
      </c>
      <c r="G1870">
        <v>16</v>
      </c>
      <c r="H1870">
        <v>78</v>
      </c>
      <c r="I1870" s="4" t="s">
        <v>116</v>
      </c>
      <c r="J1870" s="4" t="s">
        <v>127</v>
      </c>
      <c r="K1870" s="4" t="s">
        <v>128</v>
      </c>
      <c r="L1870">
        <v>35</v>
      </c>
      <c r="M1870" s="4" t="s">
        <v>158</v>
      </c>
    </row>
    <row r="1871" spans="1:13" x14ac:dyDescent="0.2">
      <c r="A1871" s="4" t="s">
        <v>2479</v>
      </c>
      <c r="B1871">
        <v>1870</v>
      </c>
      <c r="C1871" s="4" t="s">
        <v>26</v>
      </c>
      <c r="D1871" s="4" t="s">
        <v>50</v>
      </c>
      <c r="E1871" s="4" t="s">
        <v>50</v>
      </c>
      <c r="F1871" s="4" t="s">
        <v>2458</v>
      </c>
      <c r="G1871">
        <v>16</v>
      </c>
      <c r="H1871">
        <v>78</v>
      </c>
      <c r="I1871" s="4" t="s">
        <v>116</v>
      </c>
      <c r="J1871" s="4" t="s">
        <v>129</v>
      </c>
      <c r="K1871" s="4" t="s">
        <v>130</v>
      </c>
      <c r="L1871">
        <v>24</v>
      </c>
      <c r="M1871" s="4" t="s">
        <v>158</v>
      </c>
    </row>
    <row r="1872" spans="1:13" x14ac:dyDescent="0.2">
      <c r="A1872" s="4" t="s">
        <v>2480</v>
      </c>
      <c r="B1872">
        <v>1871</v>
      </c>
      <c r="C1872" s="4" t="s">
        <v>26</v>
      </c>
      <c r="D1872" s="4" t="s">
        <v>50</v>
      </c>
      <c r="E1872" s="4" t="s">
        <v>50</v>
      </c>
      <c r="F1872" s="4" t="s">
        <v>2458</v>
      </c>
      <c r="G1872">
        <v>16</v>
      </c>
      <c r="H1872">
        <v>78</v>
      </c>
      <c r="I1872" s="4" t="s">
        <v>116</v>
      </c>
      <c r="J1872" s="4" t="s">
        <v>131</v>
      </c>
      <c r="K1872" s="4" t="s">
        <v>132</v>
      </c>
      <c r="L1872">
        <v>50</v>
      </c>
      <c r="M1872" s="4" t="s">
        <v>158</v>
      </c>
    </row>
    <row r="1873" spans="1:13" x14ac:dyDescent="0.2">
      <c r="A1873" s="4" t="s">
        <v>2481</v>
      </c>
      <c r="B1873">
        <v>1872</v>
      </c>
      <c r="C1873" s="4" t="s">
        <v>26</v>
      </c>
      <c r="D1873" s="4" t="s">
        <v>50</v>
      </c>
      <c r="E1873" s="4" t="s">
        <v>50</v>
      </c>
      <c r="F1873" s="4" t="s">
        <v>2458</v>
      </c>
      <c r="G1873">
        <v>16</v>
      </c>
      <c r="H1873">
        <v>78</v>
      </c>
      <c r="I1873" s="4" t="s">
        <v>116</v>
      </c>
      <c r="J1873" s="4" t="s">
        <v>133</v>
      </c>
      <c r="K1873" s="4" t="s">
        <v>134</v>
      </c>
      <c r="L1873">
        <v>17</v>
      </c>
      <c r="M1873" s="4" t="s">
        <v>158</v>
      </c>
    </row>
    <row r="1874" spans="1:13" x14ac:dyDescent="0.2">
      <c r="A1874" s="4" t="s">
        <v>2488</v>
      </c>
      <c r="B1874">
        <v>1873</v>
      </c>
      <c r="C1874" s="4" t="s">
        <v>26</v>
      </c>
      <c r="D1874" s="4" t="s">
        <v>50</v>
      </c>
      <c r="E1874" s="4" t="s">
        <v>53</v>
      </c>
      <c r="F1874" s="4" t="s">
        <v>2489</v>
      </c>
      <c r="G1874">
        <v>16</v>
      </c>
      <c r="H1874">
        <v>79</v>
      </c>
      <c r="I1874" s="4" t="s">
        <v>35</v>
      </c>
      <c r="J1874" s="4" t="s">
        <v>122</v>
      </c>
      <c r="K1874" s="4" t="s">
        <v>123</v>
      </c>
      <c r="L1874">
        <v>208</v>
      </c>
      <c r="M1874" s="4" t="s">
        <v>158</v>
      </c>
    </row>
    <row r="1875" spans="1:13" x14ac:dyDescent="0.2">
      <c r="A1875" s="4" t="s">
        <v>2490</v>
      </c>
      <c r="B1875">
        <v>1874</v>
      </c>
      <c r="C1875" s="4" t="s">
        <v>26</v>
      </c>
      <c r="D1875" s="4" t="s">
        <v>50</v>
      </c>
      <c r="E1875" s="4" t="s">
        <v>53</v>
      </c>
      <c r="F1875" s="4" t="s">
        <v>2489</v>
      </c>
      <c r="G1875">
        <v>16</v>
      </c>
      <c r="H1875">
        <v>79</v>
      </c>
      <c r="I1875" s="4" t="s">
        <v>35</v>
      </c>
      <c r="J1875" s="4" t="s">
        <v>125</v>
      </c>
      <c r="K1875" s="4" t="s">
        <v>126</v>
      </c>
      <c r="L1875">
        <v>46</v>
      </c>
      <c r="M1875" s="4" t="s">
        <v>158</v>
      </c>
    </row>
    <row r="1876" spans="1:13" x14ac:dyDescent="0.2">
      <c r="A1876" s="4" t="s">
        <v>2491</v>
      </c>
      <c r="B1876">
        <v>1875</v>
      </c>
      <c r="C1876" s="4" t="s">
        <v>26</v>
      </c>
      <c r="D1876" s="4" t="s">
        <v>50</v>
      </c>
      <c r="E1876" s="4" t="s">
        <v>53</v>
      </c>
      <c r="F1876" s="4" t="s">
        <v>2489</v>
      </c>
      <c r="G1876">
        <v>16</v>
      </c>
      <c r="H1876">
        <v>79</v>
      </c>
      <c r="I1876" s="4" t="s">
        <v>35</v>
      </c>
      <c r="J1876" s="4" t="s">
        <v>127</v>
      </c>
      <c r="K1876" s="4" t="s">
        <v>128</v>
      </c>
      <c r="L1876">
        <v>286</v>
      </c>
      <c r="M1876" s="4" t="s">
        <v>158</v>
      </c>
    </row>
    <row r="1877" spans="1:13" x14ac:dyDescent="0.2">
      <c r="A1877" s="4" t="s">
        <v>2492</v>
      </c>
      <c r="B1877">
        <v>1876</v>
      </c>
      <c r="C1877" s="4" t="s">
        <v>26</v>
      </c>
      <c r="D1877" s="4" t="s">
        <v>50</v>
      </c>
      <c r="E1877" s="4" t="s">
        <v>53</v>
      </c>
      <c r="F1877" s="4" t="s">
        <v>2489</v>
      </c>
      <c r="G1877">
        <v>16</v>
      </c>
      <c r="H1877">
        <v>79</v>
      </c>
      <c r="I1877" s="4" t="s">
        <v>35</v>
      </c>
      <c r="J1877" s="4" t="s">
        <v>129</v>
      </c>
      <c r="K1877" s="4" t="s">
        <v>130</v>
      </c>
      <c r="L1877">
        <v>0</v>
      </c>
      <c r="M1877" s="4" t="s">
        <v>158</v>
      </c>
    </row>
    <row r="1878" spans="1:13" x14ac:dyDescent="0.2">
      <c r="A1878" s="4" t="s">
        <v>2493</v>
      </c>
      <c r="B1878">
        <v>1877</v>
      </c>
      <c r="C1878" s="4" t="s">
        <v>26</v>
      </c>
      <c r="D1878" s="4" t="s">
        <v>50</v>
      </c>
      <c r="E1878" s="4" t="s">
        <v>53</v>
      </c>
      <c r="F1878" s="4" t="s">
        <v>2489</v>
      </c>
      <c r="G1878">
        <v>16</v>
      </c>
      <c r="H1878">
        <v>79</v>
      </c>
      <c r="I1878" s="4" t="s">
        <v>35</v>
      </c>
      <c r="J1878" s="4" t="s">
        <v>131</v>
      </c>
      <c r="K1878" s="4" t="s">
        <v>132</v>
      </c>
      <c r="L1878">
        <v>116</v>
      </c>
      <c r="M1878" s="4" t="s">
        <v>158</v>
      </c>
    </row>
    <row r="1879" spans="1:13" x14ac:dyDescent="0.2">
      <c r="A1879" s="4" t="s">
        <v>2494</v>
      </c>
      <c r="B1879">
        <v>1878</v>
      </c>
      <c r="C1879" s="4" t="s">
        <v>26</v>
      </c>
      <c r="D1879" s="4" t="s">
        <v>50</v>
      </c>
      <c r="E1879" s="4" t="s">
        <v>53</v>
      </c>
      <c r="F1879" s="4" t="s">
        <v>2489</v>
      </c>
      <c r="G1879">
        <v>16</v>
      </c>
      <c r="H1879">
        <v>79</v>
      </c>
      <c r="I1879" s="4" t="s">
        <v>35</v>
      </c>
      <c r="J1879" s="4" t="s">
        <v>133</v>
      </c>
      <c r="K1879" s="4" t="s">
        <v>134</v>
      </c>
      <c r="L1879">
        <v>3</v>
      </c>
      <c r="M1879" s="4" t="s">
        <v>158</v>
      </c>
    </row>
    <row r="1880" spans="1:13" x14ac:dyDescent="0.2">
      <c r="A1880" s="4" t="s">
        <v>2495</v>
      </c>
      <c r="B1880">
        <v>1879</v>
      </c>
      <c r="C1880" s="4" t="s">
        <v>26</v>
      </c>
      <c r="D1880" s="4" t="s">
        <v>50</v>
      </c>
      <c r="E1880" s="4" t="s">
        <v>53</v>
      </c>
      <c r="F1880" s="4" t="s">
        <v>2489</v>
      </c>
      <c r="G1880">
        <v>16</v>
      </c>
      <c r="H1880">
        <v>79</v>
      </c>
      <c r="I1880" s="4" t="s">
        <v>112</v>
      </c>
      <c r="J1880" s="4" t="s">
        <v>122</v>
      </c>
      <c r="K1880" s="4" t="s">
        <v>123</v>
      </c>
      <c r="L1880">
        <v>427</v>
      </c>
      <c r="M1880" s="4" t="s">
        <v>158</v>
      </c>
    </row>
    <row r="1881" spans="1:13" x14ac:dyDescent="0.2">
      <c r="A1881" s="4" t="s">
        <v>2496</v>
      </c>
      <c r="B1881">
        <v>1880</v>
      </c>
      <c r="C1881" s="4" t="s">
        <v>26</v>
      </c>
      <c r="D1881" s="4" t="s">
        <v>50</v>
      </c>
      <c r="E1881" s="4" t="s">
        <v>53</v>
      </c>
      <c r="F1881" s="4" t="s">
        <v>2489</v>
      </c>
      <c r="G1881">
        <v>16</v>
      </c>
      <c r="H1881">
        <v>79</v>
      </c>
      <c r="I1881" s="4" t="s">
        <v>112</v>
      </c>
      <c r="J1881" s="4" t="s">
        <v>125</v>
      </c>
      <c r="K1881" s="4" t="s">
        <v>126</v>
      </c>
      <c r="L1881">
        <v>52</v>
      </c>
      <c r="M1881" s="4" t="s">
        <v>158</v>
      </c>
    </row>
    <row r="1882" spans="1:13" x14ac:dyDescent="0.2">
      <c r="A1882" s="4" t="s">
        <v>2497</v>
      </c>
      <c r="B1882">
        <v>1881</v>
      </c>
      <c r="C1882" s="4" t="s">
        <v>26</v>
      </c>
      <c r="D1882" s="4" t="s">
        <v>50</v>
      </c>
      <c r="E1882" s="4" t="s">
        <v>53</v>
      </c>
      <c r="F1882" s="4" t="s">
        <v>2489</v>
      </c>
      <c r="G1882">
        <v>16</v>
      </c>
      <c r="H1882">
        <v>79</v>
      </c>
      <c r="I1882" s="4" t="s">
        <v>112</v>
      </c>
      <c r="J1882" s="4" t="s">
        <v>127</v>
      </c>
      <c r="K1882" s="4" t="s">
        <v>128</v>
      </c>
      <c r="L1882">
        <v>231</v>
      </c>
      <c r="M1882" s="4" t="s">
        <v>158</v>
      </c>
    </row>
    <row r="1883" spans="1:13" x14ac:dyDescent="0.2">
      <c r="A1883" s="4" t="s">
        <v>2498</v>
      </c>
      <c r="B1883">
        <v>1882</v>
      </c>
      <c r="C1883" s="4" t="s">
        <v>26</v>
      </c>
      <c r="D1883" s="4" t="s">
        <v>50</v>
      </c>
      <c r="E1883" s="4" t="s">
        <v>53</v>
      </c>
      <c r="F1883" s="4" t="s">
        <v>2489</v>
      </c>
      <c r="G1883">
        <v>16</v>
      </c>
      <c r="H1883">
        <v>79</v>
      </c>
      <c r="I1883" s="4" t="s">
        <v>112</v>
      </c>
      <c r="J1883" s="4" t="s">
        <v>129</v>
      </c>
      <c r="K1883" s="4" t="s">
        <v>130</v>
      </c>
      <c r="L1883">
        <v>48</v>
      </c>
      <c r="M1883" s="4" t="s">
        <v>158</v>
      </c>
    </row>
    <row r="1884" spans="1:13" x14ac:dyDescent="0.2">
      <c r="A1884" s="4" t="s">
        <v>2499</v>
      </c>
      <c r="B1884">
        <v>1883</v>
      </c>
      <c r="C1884" s="4" t="s">
        <v>26</v>
      </c>
      <c r="D1884" s="4" t="s">
        <v>50</v>
      </c>
      <c r="E1884" s="4" t="s">
        <v>53</v>
      </c>
      <c r="F1884" s="4" t="s">
        <v>2489</v>
      </c>
      <c r="G1884">
        <v>16</v>
      </c>
      <c r="H1884">
        <v>79</v>
      </c>
      <c r="I1884" s="4" t="s">
        <v>112</v>
      </c>
      <c r="J1884" s="4" t="s">
        <v>131</v>
      </c>
      <c r="K1884" s="4" t="s">
        <v>132</v>
      </c>
      <c r="L1884">
        <v>75</v>
      </c>
      <c r="M1884" s="4" t="s">
        <v>158</v>
      </c>
    </row>
    <row r="1885" spans="1:13" x14ac:dyDescent="0.2">
      <c r="A1885" s="4" t="s">
        <v>2500</v>
      </c>
      <c r="B1885">
        <v>1884</v>
      </c>
      <c r="C1885" s="4" t="s">
        <v>26</v>
      </c>
      <c r="D1885" s="4" t="s">
        <v>50</v>
      </c>
      <c r="E1885" s="4" t="s">
        <v>53</v>
      </c>
      <c r="F1885" s="4" t="s">
        <v>2489</v>
      </c>
      <c r="G1885">
        <v>16</v>
      </c>
      <c r="H1885">
        <v>79</v>
      </c>
      <c r="I1885" s="4" t="s">
        <v>112</v>
      </c>
      <c r="J1885" s="4" t="s">
        <v>133</v>
      </c>
      <c r="K1885" s="4" t="s">
        <v>134</v>
      </c>
      <c r="L1885">
        <v>100</v>
      </c>
      <c r="M1885" s="4" t="s">
        <v>158</v>
      </c>
    </row>
    <row r="1886" spans="1:13" x14ac:dyDescent="0.2">
      <c r="A1886" s="4" t="s">
        <v>2501</v>
      </c>
      <c r="B1886">
        <v>1885</v>
      </c>
      <c r="C1886" s="4" t="s">
        <v>26</v>
      </c>
      <c r="D1886" s="4" t="s">
        <v>50</v>
      </c>
      <c r="E1886" s="4" t="s">
        <v>53</v>
      </c>
      <c r="F1886" s="4" t="s">
        <v>2489</v>
      </c>
      <c r="G1886">
        <v>16</v>
      </c>
      <c r="H1886">
        <v>79</v>
      </c>
      <c r="I1886" s="4" t="s">
        <v>114</v>
      </c>
      <c r="J1886" s="4" t="s">
        <v>122</v>
      </c>
      <c r="K1886" s="4" t="s">
        <v>123</v>
      </c>
      <c r="L1886">
        <v>100</v>
      </c>
      <c r="M1886" s="4" t="s">
        <v>158</v>
      </c>
    </row>
    <row r="1887" spans="1:13" x14ac:dyDescent="0.2">
      <c r="A1887" s="4" t="s">
        <v>2502</v>
      </c>
      <c r="B1887">
        <v>1886</v>
      </c>
      <c r="C1887" s="4" t="s">
        <v>26</v>
      </c>
      <c r="D1887" s="4" t="s">
        <v>50</v>
      </c>
      <c r="E1887" s="4" t="s">
        <v>53</v>
      </c>
      <c r="F1887" s="4" t="s">
        <v>2489</v>
      </c>
      <c r="G1887">
        <v>16</v>
      </c>
      <c r="H1887">
        <v>79</v>
      </c>
      <c r="I1887" s="4" t="s">
        <v>114</v>
      </c>
      <c r="J1887" s="4" t="s">
        <v>125</v>
      </c>
      <c r="K1887" s="4" t="s">
        <v>126</v>
      </c>
      <c r="L1887">
        <v>46</v>
      </c>
      <c r="M1887" s="4" t="s">
        <v>158</v>
      </c>
    </row>
    <row r="1888" spans="1:13" x14ac:dyDescent="0.2">
      <c r="A1888" s="4" t="s">
        <v>2503</v>
      </c>
      <c r="B1888">
        <v>1887</v>
      </c>
      <c r="C1888" s="4" t="s">
        <v>26</v>
      </c>
      <c r="D1888" s="4" t="s">
        <v>50</v>
      </c>
      <c r="E1888" s="4" t="s">
        <v>53</v>
      </c>
      <c r="F1888" s="4" t="s">
        <v>2489</v>
      </c>
      <c r="G1888">
        <v>16</v>
      </c>
      <c r="H1888">
        <v>79</v>
      </c>
      <c r="I1888" s="4" t="s">
        <v>114</v>
      </c>
      <c r="J1888" s="4" t="s">
        <v>127</v>
      </c>
      <c r="K1888" s="4" t="s">
        <v>128</v>
      </c>
      <c r="L1888">
        <v>283</v>
      </c>
      <c r="M1888" s="4" t="s">
        <v>158</v>
      </c>
    </row>
    <row r="1889" spans="1:13" x14ac:dyDescent="0.2">
      <c r="A1889" s="4" t="s">
        <v>2504</v>
      </c>
      <c r="B1889">
        <v>1888</v>
      </c>
      <c r="C1889" s="4" t="s">
        <v>26</v>
      </c>
      <c r="D1889" s="4" t="s">
        <v>50</v>
      </c>
      <c r="E1889" s="4" t="s">
        <v>53</v>
      </c>
      <c r="F1889" s="4" t="s">
        <v>2489</v>
      </c>
      <c r="G1889">
        <v>16</v>
      </c>
      <c r="H1889">
        <v>79</v>
      </c>
      <c r="I1889" s="4" t="s">
        <v>114</v>
      </c>
      <c r="J1889" s="4" t="s">
        <v>129</v>
      </c>
      <c r="K1889" s="4" t="s">
        <v>130</v>
      </c>
      <c r="L1889">
        <v>44</v>
      </c>
      <c r="M1889" s="4" t="s">
        <v>158</v>
      </c>
    </row>
    <row r="1890" spans="1:13" x14ac:dyDescent="0.2">
      <c r="A1890" s="4" t="s">
        <v>2505</v>
      </c>
      <c r="B1890">
        <v>1889</v>
      </c>
      <c r="C1890" s="4" t="s">
        <v>26</v>
      </c>
      <c r="D1890" s="4" t="s">
        <v>50</v>
      </c>
      <c r="E1890" s="4" t="s">
        <v>53</v>
      </c>
      <c r="F1890" s="4" t="s">
        <v>2489</v>
      </c>
      <c r="G1890">
        <v>16</v>
      </c>
      <c r="H1890">
        <v>79</v>
      </c>
      <c r="I1890" s="4" t="s">
        <v>114</v>
      </c>
      <c r="J1890" s="4" t="s">
        <v>131</v>
      </c>
      <c r="K1890" s="4" t="s">
        <v>132</v>
      </c>
      <c r="L1890">
        <v>120</v>
      </c>
      <c r="M1890" s="4" t="s">
        <v>158</v>
      </c>
    </row>
    <row r="1891" spans="1:13" x14ac:dyDescent="0.2">
      <c r="A1891" s="4" t="s">
        <v>2506</v>
      </c>
      <c r="B1891">
        <v>1890</v>
      </c>
      <c r="C1891" s="4" t="s">
        <v>26</v>
      </c>
      <c r="D1891" s="4" t="s">
        <v>50</v>
      </c>
      <c r="E1891" s="4" t="s">
        <v>53</v>
      </c>
      <c r="F1891" s="4" t="s">
        <v>2489</v>
      </c>
      <c r="G1891">
        <v>16</v>
      </c>
      <c r="H1891">
        <v>79</v>
      </c>
      <c r="I1891" s="4" t="s">
        <v>114</v>
      </c>
      <c r="J1891" s="4" t="s">
        <v>133</v>
      </c>
      <c r="K1891" s="4" t="s">
        <v>134</v>
      </c>
      <c r="L1891">
        <v>31</v>
      </c>
      <c r="M1891" s="4" t="s">
        <v>158</v>
      </c>
    </row>
    <row r="1892" spans="1:13" x14ac:dyDescent="0.2">
      <c r="A1892" s="4" t="s">
        <v>2507</v>
      </c>
      <c r="B1892">
        <v>1891</v>
      </c>
      <c r="C1892" s="4" t="s">
        <v>26</v>
      </c>
      <c r="D1892" s="4" t="s">
        <v>50</v>
      </c>
      <c r="E1892" s="4" t="s">
        <v>53</v>
      </c>
      <c r="F1892" s="4" t="s">
        <v>2489</v>
      </c>
      <c r="G1892">
        <v>16</v>
      </c>
      <c r="H1892">
        <v>79</v>
      </c>
      <c r="I1892" s="4" t="s">
        <v>116</v>
      </c>
      <c r="J1892" s="4" t="s">
        <v>122</v>
      </c>
      <c r="K1892" s="4" t="s">
        <v>123</v>
      </c>
      <c r="L1892">
        <v>98</v>
      </c>
      <c r="M1892" s="4" t="s">
        <v>158</v>
      </c>
    </row>
    <row r="1893" spans="1:13" x14ac:dyDescent="0.2">
      <c r="A1893" s="4" t="s">
        <v>2508</v>
      </c>
      <c r="B1893">
        <v>1892</v>
      </c>
      <c r="C1893" s="4" t="s">
        <v>26</v>
      </c>
      <c r="D1893" s="4" t="s">
        <v>50</v>
      </c>
      <c r="E1893" s="4" t="s">
        <v>53</v>
      </c>
      <c r="F1893" s="4" t="s">
        <v>2489</v>
      </c>
      <c r="G1893">
        <v>16</v>
      </c>
      <c r="H1893">
        <v>79</v>
      </c>
      <c r="I1893" s="4" t="s">
        <v>116</v>
      </c>
      <c r="J1893" s="4" t="s">
        <v>125</v>
      </c>
      <c r="K1893" s="4" t="s">
        <v>126</v>
      </c>
      <c r="L1893">
        <v>50</v>
      </c>
      <c r="M1893" s="4" t="s">
        <v>158</v>
      </c>
    </row>
    <row r="1894" spans="1:13" x14ac:dyDescent="0.2">
      <c r="A1894" s="4" t="s">
        <v>2509</v>
      </c>
      <c r="B1894">
        <v>1893</v>
      </c>
      <c r="C1894" s="4" t="s">
        <v>26</v>
      </c>
      <c r="D1894" s="4" t="s">
        <v>50</v>
      </c>
      <c r="E1894" s="4" t="s">
        <v>53</v>
      </c>
      <c r="F1894" s="4" t="s">
        <v>2489</v>
      </c>
      <c r="G1894">
        <v>16</v>
      </c>
      <c r="H1894">
        <v>79</v>
      </c>
      <c r="I1894" s="4" t="s">
        <v>116</v>
      </c>
      <c r="J1894" s="4" t="s">
        <v>127</v>
      </c>
      <c r="K1894" s="4" t="s">
        <v>128</v>
      </c>
      <c r="L1894">
        <v>65</v>
      </c>
      <c r="M1894" s="4" t="s">
        <v>158</v>
      </c>
    </row>
    <row r="1895" spans="1:13" x14ac:dyDescent="0.2">
      <c r="A1895" s="4" t="s">
        <v>2510</v>
      </c>
      <c r="B1895">
        <v>1894</v>
      </c>
      <c r="C1895" s="4" t="s">
        <v>26</v>
      </c>
      <c r="D1895" s="4" t="s">
        <v>50</v>
      </c>
      <c r="E1895" s="4" t="s">
        <v>53</v>
      </c>
      <c r="F1895" s="4" t="s">
        <v>2489</v>
      </c>
      <c r="G1895">
        <v>16</v>
      </c>
      <c r="H1895">
        <v>79</v>
      </c>
      <c r="I1895" s="4" t="s">
        <v>116</v>
      </c>
      <c r="J1895" s="4" t="s">
        <v>129</v>
      </c>
      <c r="K1895" s="4" t="s">
        <v>130</v>
      </c>
      <c r="L1895">
        <v>130</v>
      </c>
      <c r="M1895" s="4" t="s">
        <v>158</v>
      </c>
    </row>
    <row r="1896" spans="1:13" x14ac:dyDescent="0.2">
      <c r="A1896" s="4" t="s">
        <v>2511</v>
      </c>
      <c r="B1896">
        <v>1895</v>
      </c>
      <c r="C1896" s="4" t="s">
        <v>26</v>
      </c>
      <c r="D1896" s="4" t="s">
        <v>50</v>
      </c>
      <c r="E1896" s="4" t="s">
        <v>53</v>
      </c>
      <c r="F1896" s="4" t="s">
        <v>2489</v>
      </c>
      <c r="G1896">
        <v>16</v>
      </c>
      <c r="H1896">
        <v>79</v>
      </c>
      <c r="I1896" s="4" t="s">
        <v>116</v>
      </c>
      <c r="J1896" s="4" t="s">
        <v>131</v>
      </c>
      <c r="K1896" s="4" t="s">
        <v>132</v>
      </c>
      <c r="L1896">
        <v>80</v>
      </c>
      <c r="M1896" s="4" t="s">
        <v>158</v>
      </c>
    </row>
    <row r="1897" spans="1:13" x14ac:dyDescent="0.2">
      <c r="A1897" s="4" t="s">
        <v>2512</v>
      </c>
      <c r="B1897">
        <v>1896</v>
      </c>
      <c r="C1897" s="4" t="s">
        <v>26</v>
      </c>
      <c r="D1897" s="4" t="s">
        <v>50</v>
      </c>
      <c r="E1897" s="4" t="s">
        <v>53</v>
      </c>
      <c r="F1897" s="4" t="s">
        <v>2489</v>
      </c>
      <c r="G1897">
        <v>16</v>
      </c>
      <c r="H1897">
        <v>79</v>
      </c>
      <c r="I1897" s="4" t="s">
        <v>116</v>
      </c>
      <c r="J1897" s="4" t="s">
        <v>133</v>
      </c>
      <c r="K1897" s="4" t="s">
        <v>134</v>
      </c>
      <c r="L1897">
        <v>33</v>
      </c>
      <c r="M1897" s="4" t="s">
        <v>158</v>
      </c>
    </row>
    <row r="1898" spans="1:13" x14ac:dyDescent="0.2">
      <c r="A1898" s="4" t="s">
        <v>2523</v>
      </c>
      <c r="B1898">
        <v>1897</v>
      </c>
      <c r="C1898" s="4" t="s">
        <v>26</v>
      </c>
      <c r="D1898" s="4" t="s">
        <v>50</v>
      </c>
      <c r="E1898" s="4" t="s">
        <v>56</v>
      </c>
      <c r="F1898" s="4" t="s">
        <v>2513</v>
      </c>
      <c r="G1898">
        <v>16</v>
      </c>
      <c r="H1898">
        <v>80</v>
      </c>
      <c r="I1898" s="4" t="s">
        <v>35</v>
      </c>
      <c r="J1898" s="4" t="s">
        <v>122</v>
      </c>
      <c r="K1898" s="4" t="s">
        <v>123</v>
      </c>
      <c r="L1898">
        <v>208</v>
      </c>
      <c r="M1898" s="4" t="s">
        <v>158</v>
      </c>
    </row>
    <row r="1899" spans="1:13" x14ac:dyDescent="0.2">
      <c r="A1899" s="4" t="s">
        <v>2524</v>
      </c>
      <c r="B1899">
        <v>1898</v>
      </c>
      <c r="C1899" s="4" t="s">
        <v>26</v>
      </c>
      <c r="D1899" s="4" t="s">
        <v>50</v>
      </c>
      <c r="E1899" s="4" t="s">
        <v>56</v>
      </c>
      <c r="F1899" s="4" t="s">
        <v>2513</v>
      </c>
      <c r="G1899">
        <v>16</v>
      </c>
      <c r="H1899">
        <v>80</v>
      </c>
      <c r="I1899" s="4" t="s">
        <v>35</v>
      </c>
      <c r="J1899" s="4" t="s">
        <v>125</v>
      </c>
      <c r="K1899" s="4" t="s">
        <v>126</v>
      </c>
      <c r="L1899">
        <v>46</v>
      </c>
      <c r="M1899" s="4" t="s">
        <v>158</v>
      </c>
    </row>
    <row r="1900" spans="1:13" x14ac:dyDescent="0.2">
      <c r="A1900" s="4" t="s">
        <v>2525</v>
      </c>
      <c r="B1900">
        <v>1899</v>
      </c>
      <c r="C1900" s="4" t="s">
        <v>26</v>
      </c>
      <c r="D1900" s="4" t="s">
        <v>50</v>
      </c>
      <c r="E1900" s="4" t="s">
        <v>56</v>
      </c>
      <c r="F1900" s="4" t="s">
        <v>2513</v>
      </c>
      <c r="G1900">
        <v>16</v>
      </c>
      <c r="H1900">
        <v>80</v>
      </c>
      <c r="I1900" s="4" t="s">
        <v>35</v>
      </c>
      <c r="J1900" s="4" t="s">
        <v>127</v>
      </c>
      <c r="K1900" s="4" t="s">
        <v>128</v>
      </c>
      <c r="L1900">
        <v>286</v>
      </c>
      <c r="M1900" s="4" t="s">
        <v>158</v>
      </c>
    </row>
    <row r="1901" spans="1:13" x14ac:dyDescent="0.2">
      <c r="A1901" s="4" t="s">
        <v>2526</v>
      </c>
      <c r="B1901">
        <v>1900</v>
      </c>
      <c r="C1901" s="4" t="s">
        <v>26</v>
      </c>
      <c r="D1901" s="4" t="s">
        <v>50</v>
      </c>
      <c r="E1901" s="4" t="s">
        <v>56</v>
      </c>
      <c r="F1901" s="4" t="s">
        <v>2513</v>
      </c>
      <c r="G1901">
        <v>16</v>
      </c>
      <c r="H1901">
        <v>80</v>
      </c>
      <c r="I1901" s="4" t="s">
        <v>35</v>
      </c>
      <c r="J1901" s="4" t="s">
        <v>129</v>
      </c>
      <c r="K1901" s="4" t="s">
        <v>130</v>
      </c>
      <c r="L1901">
        <v>0</v>
      </c>
      <c r="M1901" s="4" t="s">
        <v>158</v>
      </c>
    </row>
    <row r="1902" spans="1:13" x14ac:dyDescent="0.2">
      <c r="A1902" s="4" t="s">
        <v>2527</v>
      </c>
      <c r="B1902">
        <v>1901</v>
      </c>
      <c r="C1902" s="4" t="s">
        <v>26</v>
      </c>
      <c r="D1902" s="4" t="s">
        <v>50</v>
      </c>
      <c r="E1902" s="4" t="s">
        <v>56</v>
      </c>
      <c r="F1902" s="4" t="s">
        <v>2513</v>
      </c>
      <c r="G1902">
        <v>16</v>
      </c>
      <c r="H1902">
        <v>80</v>
      </c>
      <c r="I1902" s="4" t="s">
        <v>35</v>
      </c>
      <c r="J1902" s="4" t="s">
        <v>131</v>
      </c>
      <c r="K1902" s="4" t="s">
        <v>132</v>
      </c>
      <c r="L1902">
        <v>116</v>
      </c>
      <c r="M1902" s="4" t="s">
        <v>158</v>
      </c>
    </row>
    <row r="1903" spans="1:13" x14ac:dyDescent="0.2">
      <c r="A1903" s="4" t="s">
        <v>2528</v>
      </c>
      <c r="B1903">
        <v>1902</v>
      </c>
      <c r="C1903" s="4" t="s">
        <v>26</v>
      </c>
      <c r="D1903" s="4" t="s">
        <v>50</v>
      </c>
      <c r="E1903" s="4" t="s">
        <v>56</v>
      </c>
      <c r="F1903" s="4" t="s">
        <v>2513</v>
      </c>
      <c r="G1903">
        <v>16</v>
      </c>
      <c r="H1903">
        <v>80</v>
      </c>
      <c r="I1903" s="4" t="s">
        <v>35</v>
      </c>
      <c r="J1903" s="4" t="s">
        <v>133</v>
      </c>
      <c r="K1903" s="4" t="s">
        <v>134</v>
      </c>
      <c r="L1903">
        <v>3</v>
      </c>
      <c r="M1903" s="4" t="s">
        <v>158</v>
      </c>
    </row>
    <row r="1904" spans="1:13" x14ac:dyDescent="0.2">
      <c r="A1904" s="4" t="s">
        <v>2529</v>
      </c>
      <c r="B1904">
        <v>1903</v>
      </c>
      <c r="C1904" s="4" t="s">
        <v>26</v>
      </c>
      <c r="D1904" s="4" t="s">
        <v>50</v>
      </c>
      <c r="E1904" s="4" t="s">
        <v>56</v>
      </c>
      <c r="F1904" s="4" t="s">
        <v>2513</v>
      </c>
      <c r="G1904">
        <v>16</v>
      </c>
      <c r="H1904">
        <v>80</v>
      </c>
      <c r="I1904" s="4" t="s">
        <v>112</v>
      </c>
      <c r="J1904" s="4" t="s">
        <v>122</v>
      </c>
      <c r="K1904" s="4" t="s">
        <v>123</v>
      </c>
      <c r="L1904">
        <v>351</v>
      </c>
      <c r="M1904" s="4" t="s">
        <v>158</v>
      </c>
    </row>
    <row r="1905" spans="1:13" x14ac:dyDescent="0.2">
      <c r="A1905" s="4" t="s">
        <v>2530</v>
      </c>
      <c r="B1905">
        <v>1904</v>
      </c>
      <c r="C1905" s="4" t="s">
        <v>26</v>
      </c>
      <c r="D1905" s="4" t="s">
        <v>50</v>
      </c>
      <c r="E1905" s="4" t="s">
        <v>56</v>
      </c>
      <c r="F1905" s="4" t="s">
        <v>2513</v>
      </c>
      <c r="G1905">
        <v>16</v>
      </c>
      <c r="H1905">
        <v>80</v>
      </c>
      <c r="I1905" s="4" t="s">
        <v>112</v>
      </c>
      <c r="J1905" s="4" t="s">
        <v>125</v>
      </c>
      <c r="K1905" s="4" t="s">
        <v>126</v>
      </c>
      <c r="L1905">
        <v>52</v>
      </c>
      <c r="M1905" s="4" t="s">
        <v>158</v>
      </c>
    </row>
    <row r="1906" spans="1:13" x14ac:dyDescent="0.2">
      <c r="A1906" s="4" t="s">
        <v>2531</v>
      </c>
      <c r="B1906">
        <v>1905</v>
      </c>
      <c r="C1906" s="4" t="s">
        <v>26</v>
      </c>
      <c r="D1906" s="4" t="s">
        <v>50</v>
      </c>
      <c r="E1906" s="4" t="s">
        <v>56</v>
      </c>
      <c r="F1906" s="4" t="s">
        <v>2513</v>
      </c>
      <c r="G1906">
        <v>16</v>
      </c>
      <c r="H1906">
        <v>80</v>
      </c>
      <c r="I1906" s="4" t="s">
        <v>112</v>
      </c>
      <c r="J1906" s="4" t="s">
        <v>127</v>
      </c>
      <c r="K1906" s="4" t="s">
        <v>128</v>
      </c>
      <c r="L1906">
        <v>231</v>
      </c>
      <c r="M1906" s="4" t="s">
        <v>158</v>
      </c>
    </row>
    <row r="1907" spans="1:13" x14ac:dyDescent="0.2">
      <c r="A1907" s="4" t="s">
        <v>2532</v>
      </c>
      <c r="B1907">
        <v>1906</v>
      </c>
      <c r="C1907" s="4" t="s">
        <v>26</v>
      </c>
      <c r="D1907" s="4" t="s">
        <v>50</v>
      </c>
      <c r="E1907" s="4" t="s">
        <v>56</v>
      </c>
      <c r="F1907" s="4" t="s">
        <v>2513</v>
      </c>
      <c r="G1907">
        <v>16</v>
      </c>
      <c r="H1907">
        <v>80</v>
      </c>
      <c r="I1907" s="4" t="s">
        <v>112</v>
      </c>
      <c r="J1907" s="4" t="s">
        <v>129</v>
      </c>
      <c r="K1907" s="4" t="s">
        <v>130</v>
      </c>
      <c r="L1907">
        <v>48</v>
      </c>
      <c r="M1907" s="4" t="s">
        <v>158</v>
      </c>
    </row>
    <row r="1908" spans="1:13" x14ac:dyDescent="0.2">
      <c r="A1908" s="4" t="s">
        <v>2533</v>
      </c>
      <c r="B1908">
        <v>1907</v>
      </c>
      <c r="C1908" s="4" t="s">
        <v>26</v>
      </c>
      <c r="D1908" s="4" t="s">
        <v>50</v>
      </c>
      <c r="E1908" s="4" t="s">
        <v>56</v>
      </c>
      <c r="F1908" s="4" t="s">
        <v>2513</v>
      </c>
      <c r="G1908">
        <v>16</v>
      </c>
      <c r="H1908">
        <v>80</v>
      </c>
      <c r="I1908" s="4" t="s">
        <v>112</v>
      </c>
      <c r="J1908" s="4" t="s">
        <v>131</v>
      </c>
      <c r="K1908" s="4" t="s">
        <v>132</v>
      </c>
      <c r="L1908">
        <v>75</v>
      </c>
      <c r="M1908" s="4" t="s">
        <v>158</v>
      </c>
    </row>
    <row r="1909" spans="1:13" x14ac:dyDescent="0.2">
      <c r="A1909" s="4" t="s">
        <v>2534</v>
      </c>
      <c r="B1909">
        <v>1908</v>
      </c>
      <c r="C1909" s="4" t="s">
        <v>26</v>
      </c>
      <c r="D1909" s="4" t="s">
        <v>50</v>
      </c>
      <c r="E1909" s="4" t="s">
        <v>56</v>
      </c>
      <c r="F1909" s="4" t="s">
        <v>2513</v>
      </c>
      <c r="G1909">
        <v>16</v>
      </c>
      <c r="H1909">
        <v>80</v>
      </c>
      <c r="I1909" s="4" t="s">
        <v>112</v>
      </c>
      <c r="J1909" s="4" t="s">
        <v>133</v>
      </c>
      <c r="K1909" s="4" t="s">
        <v>134</v>
      </c>
      <c r="L1909">
        <v>0</v>
      </c>
      <c r="M1909" s="4" t="s">
        <v>158</v>
      </c>
    </row>
    <row r="1910" spans="1:13" x14ac:dyDescent="0.2">
      <c r="A1910" s="4" t="s">
        <v>2535</v>
      </c>
      <c r="B1910">
        <v>1909</v>
      </c>
      <c r="C1910" s="4" t="s">
        <v>26</v>
      </c>
      <c r="D1910" s="4" t="s">
        <v>50</v>
      </c>
      <c r="E1910" s="4" t="s">
        <v>56</v>
      </c>
      <c r="F1910" s="4" t="s">
        <v>2513</v>
      </c>
      <c r="G1910">
        <v>16</v>
      </c>
      <c r="H1910">
        <v>80</v>
      </c>
      <c r="I1910" s="4" t="s">
        <v>114</v>
      </c>
      <c r="J1910" s="4" t="s">
        <v>122</v>
      </c>
      <c r="K1910" s="4" t="s">
        <v>123</v>
      </c>
      <c r="L1910">
        <v>46</v>
      </c>
      <c r="M1910" s="4" t="s">
        <v>158</v>
      </c>
    </row>
    <row r="1911" spans="1:13" x14ac:dyDescent="0.2">
      <c r="A1911" s="4" t="s">
        <v>2536</v>
      </c>
      <c r="B1911">
        <v>1910</v>
      </c>
      <c r="C1911" s="4" t="s">
        <v>26</v>
      </c>
      <c r="D1911" s="4" t="s">
        <v>50</v>
      </c>
      <c r="E1911" s="4" t="s">
        <v>56</v>
      </c>
      <c r="F1911" s="4" t="s">
        <v>2513</v>
      </c>
      <c r="G1911">
        <v>16</v>
      </c>
      <c r="H1911">
        <v>80</v>
      </c>
      <c r="I1911" s="4" t="s">
        <v>114</v>
      </c>
      <c r="J1911" s="4" t="s">
        <v>125</v>
      </c>
      <c r="K1911" s="4" t="s">
        <v>126</v>
      </c>
      <c r="L1911">
        <v>46</v>
      </c>
      <c r="M1911" s="4" t="s">
        <v>158</v>
      </c>
    </row>
    <row r="1912" spans="1:13" x14ac:dyDescent="0.2">
      <c r="A1912" s="4" t="s">
        <v>2537</v>
      </c>
      <c r="B1912">
        <v>1911</v>
      </c>
      <c r="C1912" s="4" t="s">
        <v>26</v>
      </c>
      <c r="D1912" s="4" t="s">
        <v>50</v>
      </c>
      <c r="E1912" s="4" t="s">
        <v>56</v>
      </c>
      <c r="F1912" s="4" t="s">
        <v>2513</v>
      </c>
      <c r="G1912">
        <v>16</v>
      </c>
      <c r="H1912">
        <v>80</v>
      </c>
      <c r="I1912" s="4" t="s">
        <v>114</v>
      </c>
      <c r="J1912" s="4" t="s">
        <v>127</v>
      </c>
      <c r="K1912" s="4" t="s">
        <v>128</v>
      </c>
      <c r="L1912">
        <v>219</v>
      </c>
      <c r="M1912" s="4" t="s">
        <v>158</v>
      </c>
    </row>
    <row r="1913" spans="1:13" x14ac:dyDescent="0.2">
      <c r="A1913" s="4" t="s">
        <v>2538</v>
      </c>
      <c r="B1913">
        <v>1912</v>
      </c>
      <c r="C1913" s="4" t="s">
        <v>26</v>
      </c>
      <c r="D1913" s="4" t="s">
        <v>50</v>
      </c>
      <c r="E1913" s="4" t="s">
        <v>56</v>
      </c>
      <c r="F1913" s="4" t="s">
        <v>2513</v>
      </c>
      <c r="G1913">
        <v>16</v>
      </c>
      <c r="H1913">
        <v>80</v>
      </c>
      <c r="I1913" s="4" t="s">
        <v>114</v>
      </c>
      <c r="J1913" s="4" t="s">
        <v>129</v>
      </c>
      <c r="K1913" s="4" t="s">
        <v>130</v>
      </c>
      <c r="L1913">
        <v>44</v>
      </c>
      <c r="M1913" s="4" t="s">
        <v>158</v>
      </c>
    </row>
    <row r="1914" spans="1:13" x14ac:dyDescent="0.2">
      <c r="A1914" s="4" t="s">
        <v>2539</v>
      </c>
      <c r="B1914">
        <v>1913</v>
      </c>
      <c r="C1914" s="4" t="s">
        <v>26</v>
      </c>
      <c r="D1914" s="4" t="s">
        <v>50</v>
      </c>
      <c r="E1914" s="4" t="s">
        <v>56</v>
      </c>
      <c r="F1914" s="4" t="s">
        <v>2513</v>
      </c>
      <c r="G1914">
        <v>16</v>
      </c>
      <c r="H1914">
        <v>80</v>
      </c>
      <c r="I1914" s="4" t="s">
        <v>114</v>
      </c>
      <c r="J1914" s="4" t="s">
        <v>131</v>
      </c>
      <c r="K1914" s="4" t="s">
        <v>132</v>
      </c>
      <c r="L1914">
        <v>120</v>
      </c>
      <c r="M1914" s="4" t="s">
        <v>158</v>
      </c>
    </row>
    <row r="1915" spans="1:13" x14ac:dyDescent="0.2">
      <c r="A1915" s="4" t="s">
        <v>2540</v>
      </c>
      <c r="B1915">
        <v>1914</v>
      </c>
      <c r="C1915" s="4" t="s">
        <v>26</v>
      </c>
      <c r="D1915" s="4" t="s">
        <v>50</v>
      </c>
      <c r="E1915" s="4" t="s">
        <v>56</v>
      </c>
      <c r="F1915" s="4" t="s">
        <v>2513</v>
      </c>
      <c r="G1915">
        <v>16</v>
      </c>
      <c r="H1915">
        <v>80</v>
      </c>
      <c r="I1915" s="4" t="s">
        <v>114</v>
      </c>
      <c r="J1915" s="4" t="s">
        <v>133</v>
      </c>
      <c r="K1915" s="4" t="s">
        <v>134</v>
      </c>
      <c r="L1915">
        <v>0</v>
      </c>
      <c r="M1915" s="4" t="s">
        <v>158</v>
      </c>
    </row>
    <row r="1916" spans="1:13" x14ac:dyDescent="0.2">
      <c r="A1916" s="4" t="s">
        <v>2541</v>
      </c>
      <c r="B1916">
        <v>1915</v>
      </c>
      <c r="C1916" s="4" t="s">
        <v>26</v>
      </c>
      <c r="D1916" s="4" t="s">
        <v>50</v>
      </c>
      <c r="E1916" s="4" t="s">
        <v>56</v>
      </c>
      <c r="F1916" s="4" t="s">
        <v>2513</v>
      </c>
      <c r="G1916">
        <v>16</v>
      </c>
      <c r="H1916">
        <v>80</v>
      </c>
      <c r="I1916" s="4" t="s">
        <v>116</v>
      </c>
      <c r="J1916" s="4" t="s">
        <v>122</v>
      </c>
      <c r="K1916" s="4" t="s">
        <v>123</v>
      </c>
      <c r="L1916">
        <v>98</v>
      </c>
      <c r="M1916" s="4" t="s">
        <v>158</v>
      </c>
    </row>
    <row r="1917" spans="1:13" x14ac:dyDescent="0.2">
      <c r="A1917" s="4" t="s">
        <v>2542</v>
      </c>
      <c r="B1917">
        <v>1916</v>
      </c>
      <c r="C1917" s="4" t="s">
        <v>26</v>
      </c>
      <c r="D1917" s="4" t="s">
        <v>50</v>
      </c>
      <c r="E1917" s="4" t="s">
        <v>56</v>
      </c>
      <c r="F1917" s="4" t="s">
        <v>2513</v>
      </c>
      <c r="G1917">
        <v>16</v>
      </c>
      <c r="H1917">
        <v>80</v>
      </c>
      <c r="I1917" s="4" t="s">
        <v>116</v>
      </c>
      <c r="J1917" s="4" t="s">
        <v>125</v>
      </c>
      <c r="K1917" s="4" t="s">
        <v>126</v>
      </c>
      <c r="L1917">
        <v>50</v>
      </c>
      <c r="M1917" s="4" t="s">
        <v>158</v>
      </c>
    </row>
    <row r="1918" spans="1:13" x14ac:dyDescent="0.2">
      <c r="A1918" s="4" t="s">
        <v>2543</v>
      </c>
      <c r="B1918">
        <v>1917</v>
      </c>
      <c r="C1918" s="4" t="s">
        <v>26</v>
      </c>
      <c r="D1918" s="4" t="s">
        <v>50</v>
      </c>
      <c r="E1918" s="4" t="s">
        <v>56</v>
      </c>
      <c r="F1918" s="4" t="s">
        <v>2513</v>
      </c>
      <c r="G1918">
        <v>16</v>
      </c>
      <c r="H1918">
        <v>80</v>
      </c>
      <c r="I1918" s="4" t="s">
        <v>116</v>
      </c>
      <c r="J1918" s="4" t="s">
        <v>127</v>
      </c>
      <c r="K1918" s="4" t="s">
        <v>128</v>
      </c>
      <c r="L1918">
        <v>65</v>
      </c>
      <c r="M1918" s="4" t="s">
        <v>158</v>
      </c>
    </row>
    <row r="1919" spans="1:13" x14ac:dyDescent="0.2">
      <c r="A1919" s="4" t="s">
        <v>2544</v>
      </c>
      <c r="B1919">
        <v>1918</v>
      </c>
      <c r="C1919" s="4" t="s">
        <v>26</v>
      </c>
      <c r="D1919" s="4" t="s">
        <v>50</v>
      </c>
      <c r="E1919" s="4" t="s">
        <v>56</v>
      </c>
      <c r="F1919" s="4" t="s">
        <v>2513</v>
      </c>
      <c r="G1919">
        <v>16</v>
      </c>
      <c r="H1919">
        <v>80</v>
      </c>
      <c r="I1919" s="4" t="s">
        <v>116</v>
      </c>
      <c r="J1919" s="4" t="s">
        <v>129</v>
      </c>
      <c r="K1919" s="4" t="s">
        <v>130</v>
      </c>
      <c r="L1919">
        <v>85</v>
      </c>
      <c r="M1919" s="4" t="s">
        <v>158</v>
      </c>
    </row>
    <row r="1920" spans="1:13" x14ac:dyDescent="0.2">
      <c r="A1920" s="4" t="s">
        <v>2545</v>
      </c>
      <c r="B1920">
        <v>1919</v>
      </c>
      <c r="C1920" s="4" t="s">
        <v>26</v>
      </c>
      <c r="D1920" s="4" t="s">
        <v>50</v>
      </c>
      <c r="E1920" s="4" t="s">
        <v>56</v>
      </c>
      <c r="F1920" s="4" t="s">
        <v>2513</v>
      </c>
      <c r="G1920">
        <v>16</v>
      </c>
      <c r="H1920">
        <v>80</v>
      </c>
      <c r="I1920" s="4" t="s">
        <v>116</v>
      </c>
      <c r="J1920" s="4" t="s">
        <v>131</v>
      </c>
      <c r="K1920" s="4" t="s">
        <v>132</v>
      </c>
      <c r="L1920">
        <v>44</v>
      </c>
      <c r="M1920" s="4" t="s">
        <v>158</v>
      </c>
    </row>
    <row r="1921" spans="1:13" x14ac:dyDescent="0.2">
      <c r="A1921" s="4" t="s">
        <v>2546</v>
      </c>
      <c r="B1921">
        <v>1920</v>
      </c>
      <c r="C1921" s="4" t="s">
        <v>26</v>
      </c>
      <c r="D1921" s="4" t="s">
        <v>50</v>
      </c>
      <c r="E1921" s="4" t="s">
        <v>56</v>
      </c>
      <c r="F1921" s="4" t="s">
        <v>2513</v>
      </c>
      <c r="G1921">
        <v>16</v>
      </c>
      <c r="H1921">
        <v>80</v>
      </c>
      <c r="I1921" s="4" t="s">
        <v>116</v>
      </c>
      <c r="J1921" s="4" t="s">
        <v>133</v>
      </c>
      <c r="K1921" s="4" t="s">
        <v>134</v>
      </c>
      <c r="L1921">
        <v>33</v>
      </c>
      <c r="M1921" s="4" t="s">
        <v>158</v>
      </c>
    </row>
    <row r="1922" spans="1:13" x14ac:dyDescent="0.2">
      <c r="A1922" s="4" t="s">
        <v>2547</v>
      </c>
      <c r="B1922">
        <v>1921</v>
      </c>
      <c r="C1922" s="4" t="s">
        <v>26</v>
      </c>
      <c r="D1922" s="4" t="s">
        <v>53</v>
      </c>
      <c r="E1922" s="4" t="s">
        <v>27</v>
      </c>
      <c r="F1922" s="4" t="s">
        <v>2548</v>
      </c>
      <c r="G1922">
        <v>17</v>
      </c>
      <c r="H1922">
        <v>81</v>
      </c>
      <c r="I1922" s="4" t="s">
        <v>35</v>
      </c>
      <c r="J1922" s="4" t="s">
        <v>122</v>
      </c>
      <c r="K1922" s="4" t="s">
        <v>123</v>
      </c>
      <c r="L1922">
        <v>0</v>
      </c>
      <c r="M1922" s="4" t="s">
        <v>158</v>
      </c>
    </row>
    <row r="1923" spans="1:13" x14ac:dyDescent="0.2">
      <c r="A1923" s="4" t="s">
        <v>2549</v>
      </c>
      <c r="B1923">
        <v>1922</v>
      </c>
      <c r="C1923" s="4" t="s">
        <v>26</v>
      </c>
      <c r="D1923" s="4" t="s">
        <v>53</v>
      </c>
      <c r="E1923" s="4" t="s">
        <v>27</v>
      </c>
      <c r="F1923" s="4" t="s">
        <v>2548</v>
      </c>
      <c r="G1923">
        <v>17</v>
      </c>
      <c r="H1923">
        <v>81</v>
      </c>
      <c r="I1923" s="4" t="s">
        <v>35</v>
      </c>
      <c r="J1923" s="4" t="s">
        <v>125</v>
      </c>
      <c r="K1923" s="4" t="s">
        <v>126</v>
      </c>
      <c r="L1923">
        <v>17</v>
      </c>
      <c r="M1923" s="4" t="s">
        <v>158</v>
      </c>
    </row>
    <row r="1924" spans="1:13" x14ac:dyDescent="0.2">
      <c r="A1924" s="4" t="s">
        <v>2550</v>
      </c>
      <c r="B1924">
        <v>1923</v>
      </c>
      <c r="C1924" s="4" t="s">
        <v>26</v>
      </c>
      <c r="D1924" s="4" t="s">
        <v>53</v>
      </c>
      <c r="E1924" s="4" t="s">
        <v>27</v>
      </c>
      <c r="F1924" s="4" t="s">
        <v>2548</v>
      </c>
      <c r="G1924">
        <v>17</v>
      </c>
      <c r="H1924">
        <v>81</v>
      </c>
      <c r="I1924" s="4" t="s">
        <v>35</v>
      </c>
      <c r="J1924" s="4" t="s">
        <v>127</v>
      </c>
      <c r="K1924" s="4" t="s">
        <v>128</v>
      </c>
      <c r="L1924">
        <v>1</v>
      </c>
      <c r="M1924" s="4" t="s">
        <v>158</v>
      </c>
    </row>
    <row r="1925" spans="1:13" x14ac:dyDescent="0.2">
      <c r="A1925" s="4" t="s">
        <v>2551</v>
      </c>
      <c r="B1925">
        <v>1924</v>
      </c>
      <c r="C1925" s="4" t="s">
        <v>26</v>
      </c>
      <c r="D1925" s="4" t="s">
        <v>53</v>
      </c>
      <c r="E1925" s="4" t="s">
        <v>27</v>
      </c>
      <c r="F1925" s="4" t="s">
        <v>2548</v>
      </c>
      <c r="G1925">
        <v>17</v>
      </c>
      <c r="H1925">
        <v>81</v>
      </c>
      <c r="I1925" s="4" t="s">
        <v>35</v>
      </c>
      <c r="J1925" s="4" t="s">
        <v>129</v>
      </c>
      <c r="K1925" s="4" t="s">
        <v>130</v>
      </c>
      <c r="L1925">
        <v>0</v>
      </c>
      <c r="M1925" s="4" t="s">
        <v>158</v>
      </c>
    </row>
    <row r="1926" spans="1:13" x14ac:dyDescent="0.2">
      <c r="A1926" s="4" t="s">
        <v>2552</v>
      </c>
      <c r="B1926">
        <v>1925</v>
      </c>
      <c r="C1926" s="4" t="s">
        <v>26</v>
      </c>
      <c r="D1926" s="4" t="s">
        <v>53</v>
      </c>
      <c r="E1926" s="4" t="s">
        <v>27</v>
      </c>
      <c r="F1926" s="4" t="s">
        <v>2548</v>
      </c>
      <c r="G1926">
        <v>17</v>
      </c>
      <c r="H1926">
        <v>81</v>
      </c>
      <c r="I1926" s="4" t="s">
        <v>35</v>
      </c>
      <c r="J1926" s="4" t="s">
        <v>131</v>
      </c>
      <c r="K1926" s="4" t="s">
        <v>132</v>
      </c>
      <c r="L1926">
        <v>55</v>
      </c>
      <c r="M1926" s="4" t="s">
        <v>158</v>
      </c>
    </row>
    <row r="1927" spans="1:13" x14ac:dyDescent="0.2">
      <c r="A1927" s="4" t="s">
        <v>2553</v>
      </c>
      <c r="B1927">
        <v>1926</v>
      </c>
      <c r="C1927" s="4" t="s">
        <v>26</v>
      </c>
      <c r="D1927" s="4" t="s">
        <v>53</v>
      </c>
      <c r="E1927" s="4" t="s">
        <v>27</v>
      </c>
      <c r="F1927" s="4" t="s">
        <v>2548</v>
      </c>
      <c r="G1927">
        <v>17</v>
      </c>
      <c r="H1927">
        <v>81</v>
      </c>
      <c r="I1927" s="4" t="s">
        <v>35</v>
      </c>
      <c r="J1927" s="4" t="s">
        <v>133</v>
      </c>
      <c r="K1927" s="4" t="s">
        <v>134</v>
      </c>
      <c r="L1927">
        <v>0</v>
      </c>
      <c r="M1927" s="4" t="s">
        <v>158</v>
      </c>
    </row>
    <row r="1928" spans="1:13" x14ac:dyDescent="0.2">
      <c r="A1928" s="4" t="s">
        <v>2554</v>
      </c>
      <c r="B1928">
        <v>1927</v>
      </c>
      <c r="C1928" s="4" t="s">
        <v>26</v>
      </c>
      <c r="D1928" s="4" t="s">
        <v>53</v>
      </c>
      <c r="E1928" s="4" t="s">
        <v>27</v>
      </c>
      <c r="F1928" s="4" t="s">
        <v>2548</v>
      </c>
      <c r="G1928">
        <v>17</v>
      </c>
      <c r="H1928">
        <v>81</v>
      </c>
      <c r="I1928" s="4" t="s">
        <v>112</v>
      </c>
      <c r="J1928" s="4" t="s">
        <v>122</v>
      </c>
      <c r="K1928" s="4" t="s">
        <v>123</v>
      </c>
      <c r="L1928">
        <v>383</v>
      </c>
      <c r="M1928" s="4" t="s">
        <v>158</v>
      </c>
    </row>
    <row r="1929" spans="1:13" x14ac:dyDescent="0.2">
      <c r="A1929" s="4" t="s">
        <v>2555</v>
      </c>
      <c r="B1929">
        <v>1928</v>
      </c>
      <c r="C1929" s="4" t="s">
        <v>26</v>
      </c>
      <c r="D1929" s="4" t="s">
        <v>53</v>
      </c>
      <c r="E1929" s="4" t="s">
        <v>27</v>
      </c>
      <c r="F1929" s="4" t="s">
        <v>2548</v>
      </c>
      <c r="G1929">
        <v>17</v>
      </c>
      <c r="H1929">
        <v>81</v>
      </c>
      <c r="I1929" s="4" t="s">
        <v>112</v>
      </c>
      <c r="J1929" s="4" t="s">
        <v>125</v>
      </c>
      <c r="K1929" s="4" t="s">
        <v>126</v>
      </c>
      <c r="L1929">
        <v>52</v>
      </c>
      <c r="M1929" s="4" t="s">
        <v>158</v>
      </c>
    </row>
    <row r="1930" spans="1:13" x14ac:dyDescent="0.2">
      <c r="A1930" s="4" t="s">
        <v>2556</v>
      </c>
      <c r="B1930">
        <v>1929</v>
      </c>
      <c r="C1930" s="4" t="s">
        <v>26</v>
      </c>
      <c r="D1930" s="4" t="s">
        <v>53</v>
      </c>
      <c r="E1930" s="4" t="s">
        <v>27</v>
      </c>
      <c r="F1930" s="4" t="s">
        <v>2548</v>
      </c>
      <c r="G1930">
        <v>17</v>
      </c>
      <c r="H1930">
        <v>81</v>
      </c>
      <c r="I1930" s="4" t="s">
        <v>112</v>
      </c>
      <c r="J1930" s="4" t="s">
        <v>127</v>
      </c>
      <c r="K1930" s="4" t="s">
        <v>128</v>
      </c>
      <c r="L1930">
        <v>282</v>
      </c>
      <c r="M1930" s="4" t="s">
        <v>158</v>
      </c>
    </row>
    <row r="1931" spans="1:13" x14ac:dyDescent="0.2">
      <c r="A1931" s="4" t="s">
        <v>2557</v>
      </c>
      <c r="B1931">
        <v>1930</v>
      </c>
      <c r="C1931" s="4" t="s">
        <v>26</v>
      </c>
      <c r="D1931" s="4" t="s">
        <v>53</v>
      </c>
      <c r="E1931" s="4" t="s">
        <v>27</v>
      </c>
      <c r="F1931" s="4" t="s">
        <v>2548</v>
      </c>
      <c r="G1931">
        <v>17</v>
      </c>
      <c r="H1931">
        <v>81</v>
      </c>
      <c r="I1931" s="4" t="s">
        <v>112</v>
      </c>
      <c r="J1931" s="4" t="s">
        <v>129</v>
      </c>
      <c r="K1931" s="4" t="s">
        <v>130</v>
      </c>
      <c r="L1931">
        <v>28</v>
      </c>
      <c r="M1931" s="4" t="s">
        <v>158</v>
      </c>
    </row>
    <row r="1932" spans="1:13" x14ac:dyDescent="0.2">
      <c r="A1932" s="4" t="s">
        <v>2558</v>
      </c>
      <c r="B1932">
        <v>1931</v>
      </c>
      <c r="C1932" s="4" t="s">
        <v>26</v>
      </c>
      <c r="D1932" s="4" t="s">
        <v>53</v>
      </c>
      <c r="E1932" s="4" t="s">
        <v>27</v>
      </c>
      <c r="F1932" s="4" t="s">
        <v>2548</v>
      </c>
      <c r="G1932">
        <v>17</v>
      </c>
      <c r="H1932">
        <v>81</v>
      </c>
      <c r="I1932" s="4" t="s">
        <v>112</v>
      </c>
      <c r="J1932" s="4" t="s">
        <v>131</v>
      </c>
      <c r="K1932" s="4" t="s">
        <v>132</v>
      </c>
      <c r="L1932">
        <v>74</v>
      </c>
      <c r="M1932" s="4" t="s">
        <v>158</v>
      </c>
    </row>
    <row r="1933" spans="1:13" x14ac:dyDescent="0.2">
      <c r="A1933" s="4" t="s">
        <v>2559</v>
      </c>
      <c r="B1933">
        <v>1932</v>
      </c>
      <c r="C1933" s="4" t="s">
        <v>26</v>
      </c>
      <c r="D1933" s="4" t="s">
        <v>53</v>
      </c>
      <c r="E1933" s="4" t="s">
        <v>27</v>
      </c>
      <c r="F1933" s="4" t="s">
        <v>2548</v>
      </c>
      <c r="G1933">
        <v>17</v>
      </c>
      <c r="H1933">
        <v>81</v>
      </c>
      <c r="I1933" s="4" t="s">
        <v>112</v>
      </c>
      <c r="J1933" s="4" t="s">
        <v>133</v>
      </c>
      <c r="K1933" s="4" t="s">
        <v>134</v>
      </c>
      <c r="L1933">
        <v>2</v>
      </c>
      <c r="M1933" s="4" t="s">
        <v>158</v>
      </c>
    </row>
    <row r="1934" spans="1:13" x14ac:dyDescent="0.2">
      <c r="A1934" s="4" t="s">
        <v>2560</v>
      </c>
      <c r="B1934">
        <v>1933</v>
      </c>
      <c r="C1934" s="4" t="s">
        <v>26</v>
      </c>
      <c r="D1934" s="4" t="s">
        <v>53</v>
      </c>
      <c r="E1934" s="4" t="s">
        <v>27</v>
      </c>
      <c r="F1934" s="4" t="s">
        <v>2548</v>
      </c>
      <c r="G1934">
        <v>17</v>
      </c>
      <c r="H1934">
        <v>81</v>
      </c>
      <c r="I1934" s="4" t="s">
        <v>114</v>
      </c>
      <c r="J1934" s="4" t="s">
        <v>122</v>
      </c>
      <c r="K1934" s="4" t="s">
        <v>123</v>
      </c>
      <c r="L1934">
        <v>74</v>
      </c>
      <c r="M1934" s="4" t="s">
        <v>158</v>
      </c>
    </row>
    <row r="1935" spans="1:13" x14ac:dyDescent="0.2">
      <c r="A1935" s="4" t="s">
        <v>2561</v>
      </c>
      <c r="B1935">
        <v>1934</v>
      </c>
      <c r="C1935" s="4" t="s">
        <v>26</v>
      </c>
      <c r="D1935" s="4" t="s">
        <v>53</v>
      </c>
      <c r="E1935" s="4" t="s">
        <v>27</v>
      </c>
      <c r="F1935" s="4" t="s">
        <v>2548</v>
      </c>
      <c r="G1935">
        <v>17</v>
      </c>
      <c r="H1935">
        <v>81</v>
      </c>
      <c r="I1935" s="4" t="s">
        <v>114</v>
      </c>
      <c r="J1935" s="4" t="s">
        <v>125</v>
      </c>
      <c r="K1935" s="4" t="s">
        <v>126</v>
      </c>
      <c r="L1935">
        <v>75</v>
      </c>
      <c r="M1935" s="4" t="s">
        <v>158</v>
      </c>
    </row>
    <row r="1936" spans="1:13" x14ac:dyDescent="0.2">
      <c r="A1936" s="4" t="s">
        <v>2562</v>
      </c>
      <c r="B1936">
        <v>1935</v>
      </c>
      <c r="C1936" s="4" t="s">
        <v>26</v>
      </c>
      <c r="D1936" s="4" t="s">
        <v>53</v>
      </c>
      <c r="E1936" s="4" t="s">
        <v>27</v>
      </c>
      <c r="F1936" s="4" t="s">
        <v>2548</v>
      </c>
      <c r="G1936">
        <v>17</v>
      </c>
      <c r="H1936">
        <v>81</v>
      </c>
      <c r="I1936" s="4" t="s">
        <v>114</v>
      </c>
      <c r="J1936" s="4" t="s">
        <v>127</v>
      </c>
      <c r="K1936" s="4" t="s">
        <v>128</v>
      </c>
      <c r="L1936">
        <v>278</v>
      </c>
      <c r="M1936" s="4" t="s">
        <v>158</v>
      </c>
    </row>
    <row r="1937" spans="1:13" x14ac:dyDescent="0.2">
      <c r="A1937" s="4" t="s">
        <v>2563</v>
      </c>
      <c r="B1937">
        <v>1936</v>
      </c>
      <c r="C1937" s="4" t="s">
        <v>26</v>
      </c>
      <c r="D1937" s="4" t="s">
        <v>53</v>
      </c>
      <c r="E1937" s="4" t="s">
        <v>27</v>
      </c>
      <c r="F1937" s="4" t="s">
        <v>2548</v>
      </c>
      <c r="G1937">
        <v>17</v>
      </c>
      <c r="H1937">
        <v>81</v>
      </c>
      <c r="I1937" s="4" t="s">
        <v>114</v>
      </c>
      <c r="J1937" s="4" t="s">
        <v>129</v>
      </c>
      <c r="K1937" s="4" t="s">
        <v>130</v>
      </c>
      <c r="L1937">
        <v>44</v>
      </c>
      <c r="M1937" s="4" t="s">
        <v>158</v>
      </c>
    </row>
    <row r="1938" spans="1:13" x14ac:dyDescent="0.2">
      <c r="A1938" s="4" t="s">
        <v>2564</v>
      </c>
      <c r="B1938">
        <v>1937</v>
      </c>
      <c r="C1938" s="4" t="s">
        <v>26</v>
      </c>
      <c r="D1938" s="4" t="s">
        <v>53</v>
      </c>
      <c r="E1938" s="4" t="s">
        <v>27</v>
      </c>
      <c r="F1938" s="4" t="s">
        <v>2548</v>
      </c>
      <c r="G1938">
        <v>17</v>
      </c>
      <c r="H1938">
        <v>81</v>
      </c>
      <c r="I1938" s="4" t="s">
        <v>114</v>
      </c>
      <c r="J1938" s="4" t="s">
        <v>131</v>
      </c>
      <c r="K1938" s="4" t="s">
        <v>132</v>
      </c>
      <c r="L1938">
        <v>97</v>
      </c>
      <c r="M1938" s="4" t="s">
        <v>158</v>
      </c>
    </row>
    <row r="1939" spans="1:13" x14ac:dyDescent="0.2">
      <c r="A1939" s="4" t="s">
        <v>2565</v>
      </c>
      <c r="B1939">
        <v>1938</v>
      </c>
      <c r="C1939" s="4" t="s">
        <v>26</v>
      </c>
      <c r="D1939" s="4" t="s">
        <v>53</v>
      </c>
      <c r="E1939" s="4" t="s">
        <v>27</v>
      </c>
      <c r="F1939" s="4" t="s">
        <v>2548</v>
      </c>
      <c r="G1939">
        <v>17</v>
      </c>
      <c r="H1939">
        <v>81</v>
      </c>
      <c r="I1939" s="4" t="s">
        <v>114</v>
      </c>
      <c r="J1939" s="4" t="s">
        <v>133</v>
      </c>
      <c r="K1939" s="4" t="s">
        <v>134</v>
      </c>
      <c r="L1939">
        <v>1</v>
      </c>
      <c r="M1939" s="4" t="s">
        <v>158</v>
      </c>
    </row>
    <row r="1940" spans="1:13" x14ac:dyDescent="0.2">
      <c r="A1940" s="4" t="s">
        <v>2566</v>
      </c>
      <c r="B1940">
        <v>1939</v>
      </c>
      <c r="C1940" s="4" t="s">
        <v>26</v>
      </c>
      <c r="D1940" s="4" t="s">
        <v>53</v>
      </c>
      <c r="E1940" s="4" t="s">
        <v>27</v>
      </c>
      <c r="F1940" s="4" t="s">
        <v>2548</v>
      </c>
      <c r="G1940">
        <v>17</v>
      </c>
      <c r="H1940">
        <v>81</v>
      </c>
      <c r="I1940" s="4" t="s">
        <v>116</v>
      </c>
      <c r="J1940" s="4" t="s">
        <v>122</v>
      </c>
      <c r="K1940" s="4" t="s">
        <v>123</v>
      </c>
      <c r="L1940">
        <v>70</v>
      </c>
      <c r="M1940" s="4" t="s">
        <v>158</v>
      </c>
    </row>
    <row r="1941" spans="1:13" x14ac:dyDescent="0.2">
      <c r="A1941" s="4" t="s">
        <v>2567</v>
      </c>
      <c r="B1941">
        <v>1940</v>
      </c>
      <c r="C1941" s="4" t="s">
        <v>26</v>
      </c>
      <c r="D1941" s="4" t="s">
        <v>53</v>
      </c>
      <c r="E1941" s="4" t="s">
        <v>27</v>
      </c>
      <c r="F1941" s="4" t="s">
        <v>2548</v>
      </c>
      <c r="G1941">
        <v>17</v>
      </c>
      <c r="H1941">
        <v>81</v>
      </c>
      <c r="I1941" s="4" t="s">
        <v>116</v>
      </c>
      <c r="J1941" s="4" t="s">
        <v>125</v>
      </c>
      <c r="K1941" s="4" t="s">
        <v>126</v>
      </c>
      <c r="L1941">
        <v>50</v>
      </c>
      <c r="M1941" s="4" t="s">
        <v>158</v>
      </c>
    </row>
    <row r="1942" spans="1:13" x14ac:dyDescent="0.2">
      <c r="A1942" s="4" t="s">
        <v>2568</v>
      </c>
      <c r="B1942">
        <v>1941</v>
      </c>
      <c r="C1942" s="4" t="s">
        <v>26</v>
      </c>
      <c r="D1942" s="4" t="s">
        <v>53</v>
      </c>
      <c r="E1942" s="4" t="s">
        <v>27</v>
      </c>
      <c r="F1942" s="4" t="s">
        <v>2548</v>
      </c>
      <c r="G1942">
        <v>17</v>
      </c>
      <c r="H1942">
        <v>81</v>
      </c>
      <c r="I1942" s="4" t="s">
        <v>116</v>
      </c>
      <c r="J1942" s="4" t="s">
        <v>127</v>
      </c>
      <c r="K1942" s="4" t="s">
        <v>128</v>
      </c>
      <c r="L1942">
        <v>100</v>
      </c>
      <c r="M1942" s="4" t="s">
        <v>158</v>
      </c>
    </row>
    <row r="1943" spans="1:13" x14ac:dyDescent="0.2">
      <c r="A1943" s="4" t="s">
        <v>2569</v>
      </c>
      <c r="B1943">
        <v>1942</v>
      </c>
      <c r="C1943" s="4" t="s">
        <v>26</v>
      </c>
      <c r="D1943" s="4" t="s">
        <v>53</v>
      </c>
      <c r="E1943" s="4" t="s">
        <v>27</v>
      </c>
      <c r="F1943" s="4" t="s">
        <v>2548</v>
      </c>
      <c r="G1943">
        <v>17</v>
      </c>
      <c r="H1943">
        <v>81</v>
      </c>
      <c r="I1943" s="4" t="s">
        <v>116</v>
      </c>
      <c r="J1943" s="4" t="s">
        <v>129</v>
      </c>
      <c r="K1943" s="4" t="s">
        <v>130</v>
      </c>
      <c r="L1943">
        <v>65</v>
      </c>
      <c r="M1943" s="4" t="s">
        <v>158</v>
      </c>
    </row>
    <row r="1944" spans="1:13" x14ac:dyDescent="0.2">
      <c r="A1944" s="4" t="s">
        <v>2570</v>
      </c>
      <c r="B1944">
        <v>1943</v>
      </c>
      <c r="C1944" s="4" t="s">
        <v>26</v>
      </c>
      <c r="D1944" s="4" t="s">
        <v>53</v>
      </c>
      <c r="E1944" s="4" t="s">
        <v>27</v>
      </c>
      <c r="F1944" s="4" t="s">
        <v>2548</v>
      </c>
      <c r="G1944">
        <v>17</v>
      </c>
      <c r="H1944">
        <v>81</v>
      </c>
      <c r="I1944" s="4" t="s">
        <v>116</v>
      </c>
      <c r="J1944" s="4" t="s">
        <v>131</v>
      </c>
      <c r="K1944" s="4" t="s">
        <v>132</v>
      </c>
      <c r="L1944">
        <v>80</v>
      </c>
      <c r="M1944" s="4" t="s">
        <v>158</v>
      </c>
    </row>
    <row r="1945" spans="1:13" x14ac:dyDescent="0.2">
      <c r="A1945" s="4" t="s">
        <v>2571</v>
      </c>
      <c r="B1945">
        <v>1944</v>
      </c>
      <c r="C1945" s="4" t="s">
        <v>26</v>
      </c>
      <c r="D1945" s="4" t="s">
        <v>53</v>
      </c>
      <c r="E1945" s="4" t="s">
        <v>27</v>
      </c>
      <c r="F1945" s="4" t="s">
        <v>2548</v>
      </c>
      <c r="G1945">
        <v>17</v>
      </c>
      <c r="H1945">
        <v>81</v>
      </c>
      <c r="I1945" s="4" t="s">
        <v>116</v>
      </c>
      <c r="J1945" s="4" t="s">
        <v>133</v>
      </c>
      <c r="K1945" s="4" t="s">
        <v>134</v>
      </c>
      <c r="L1945">
        <v>33</v>
      </c>
      <c r="M1945" s="4" t="s">
        <v>158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578E-8CBA-A646-B215-7B4393479307}">
  <dimension ref="A3:E45"/>
  <sheetViews>
    <sheetView workbookViewId="0">
      <selection activeCell="E45" sqref="E45"/>
    </sheetView>
  </sheetViews>
  <sheetFormatPr baseColWidth="10" defaultRowHeight="16" x14ac:dyDescent="0.2"/>
  <cols>
    <col min="1" max="1" width="15.33203125" bestFit="1" customWidth="1"/>
    <col min="2" max="2" width="16" bestFit="1" customWidth="1"/>
    <col min="3" max="3" width="4.1640625" bestFit="1" customWidth="1"/>
    <col min="4" max="4" width="4.83203125" bestFit="1" customWidth="1"/>
    <col min="5" max="5" width="9" bestFit="1" customWidth="1"/>
    <col min="6" max="6" width="11.6640625" bestFit="1" customWidth="1"/>
    <col min="7" max="7" width="9.33203125" bestFit="1" customWidth="1"/>
    <col min="8" max="8" width="4.1640625" bestFit="1" customWidth="1"/>
    <col min="9" max="9" width="4.83203125" bestFit="1" customWidth="1"/>
    <col min="10" max="10" width="11.1640625" bestFit="1" customWidth="1"/>
    <col min="11" max="11" width="11.6640625" bestFit="1" customWidth="1"/>
    <col min="12" max="12" width="9.5" bestFit="1" customWidth="1"/>
    <col min="13" max="13" width="5.1640625" bestFit="1" customWidth="1"/>
    <col min="14" max="14" width="4.83203125" bestFit="1" customWidth="1"/>
    <col min="15" max="15" width="11.83203125" bestFit="1" customWidth="1"/>
    <col min="16" max="16" width="11.6640625" bestFit="1" customWidth="1"/>
    <col min="17" max="17" width="9.5" bestFit="1" customWidth="1"/>
    <col min="18" max="18" width="4.1640625" bestFit="1" customWidth="1"/>
    <col min="19" max="19" width="4.83203125" bestFit="1" customWidth="1"/>
    <col min="20" max="20" width="11.83203125" bestFit="1" customWidth="1"/>
    <col min="21" max="21" width="11.6640625" bestFit="1" customWidth="1"/>
    <col min="22" max="22" width="9.33203125" bestFit="1" customWidth="1"/>
    <col min="23" max="23" width="4.1640625" bestFit="1" customWidth="1"/>
    <col min="24" max="24" width="4.83203125" bestFit="1" customWidth="1"/>
    <col min="25" max="25" width="10.6640625" bestFit="1" customWidth="1"/>
    <col min="26" max="27" width="11.6640625" bestFit="1" customWidth="1"/>
    <col min="28" max="28" width="4.1640625" bestFit="1" customWidth="1"/>
    <col min="29" max="29" width="4.83203125" bestFit="1" customWidth="1"/>
    <col min="30" max="30" width="14" bestFit="1" customWidth="1"/>
    <col min="31" max="31" width="11.6640625" bestFit="1" customWidth="1"/>
    <col min="32" max="32" width="9" bestFit="1" customWidth="1"/>
    <col min="33" max="34" width="11.33203125" bestFit="1" customWidth="1"/>
    <col min="35" max="35" width="10.5" bestFit="1" customWidth="1"/>
  </cols>
  <sheetData>
    <row r="3" spans="1:1" x14ac:dyDescent="0.2">
      <c r="A3" s="4" t="e" vm="1">
        <v>#VALUE!</v>
      </c>
    </row>
    <row r="7" spans="1:1" hidden="1" x14ac:dyDescent="0.2"/>
    <row r="8" spans="1:1" hidden="1" x14ac:dyDescent="0.2"/>
    <row r="9" spans="1:1" hidden="1" x14ac:dyDescent="0.2"/>
    <row r="10" spans="1:1" hidden="1" x14ac:dyDescent="0.2"/>
    <row r="11" spans="1:1" hidden="1" x14ac:dyDescent="0.2"/>
    <row r="12" spans="1:1" hidden="1" x14ac:dyDescent="0.2"/>
    <row r="13" spans="1:1" hidden="1" x14ac:dyDescent="0.2"/>
    <row r="14" spans="1:1" hidden="1" x14ac:dyDescent="0.2"/>
    <row r="15" spans="1:1" hidden="1" x14ac:dyDescent="0.2"/>
    <row r="16" spans="1:1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45" spans="5:5" x14ac:dyDescent="0.2">
      <c r="E45" t="e">
        <f>GETPIVOTDATA("QUANTITY",$A$3,"MATERIAL_NUMBER","DD-T01","MATERIAL_DESCRIPTION","Milk")*500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9BEC-7F13-A743-AF33-153414B2C548}">
  <dimension ref="A1:M500"/>
  <sheetViews>
    <sheetView workbookViewId="0">
      <selection sqref="A1:XFD1048576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1.33203125" bestFit="1" customWidth="1"/>
    <col min="10" max="10" width="20.33203125" bestFit="1" customWidth="1"/>
    <col min="11" max="11" width="24.6640625" bestFit="1" customWidth="1"/>
    <col min="12" max="12" width="7.5" bestFit="1" customWidth="1"/>
    <col min="13" max="13" width="11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155</v>
      </c>
      <c r="J1" t="s">
        <v>8</v>
      </c>
      <c r="K1" t="s">
        <v>9</v>
      </c>
      <c r="L1" t="s">
        <v>11</v>
      </c>
      <c r="M1" t="s">
        <v>10</v>
      </c>
    </row>
    <row r="2" spans="1:13" x14ac:dyDescent="0.2">
      <c r="A2" s="4" t="s">
        <v>25</v>
      </c>
      <c r="B2">
        <v>1</v>
      </c>
      <c r="C2" s="4" t="s">
        <v>26</v>
      </c>
      <c r="D2" s="4" t="s">
        <v>27</v>
      </c>
      <c r="E2" s="4" t="s">
        <v>38</v>
      </c>
      <c r="F2" s="4" t="s">
        <v>39</v>
      </c>
      <c r="G2">
        <v>1</v>
      </c>
      <c r="H2">
        <v>4</v>
      </c>
      <c r="I2" s="4" t="s">
        <v>114</v>
      </c>
      <c r="J2" s="4" t="s">
        <v>122</v>
      </c>
      <c r="K2" s="4" t="s">
        <v>123</v>
      </c>
      <c r="L2" s="4" t="s">
        <v>158</v>
      </c>
      <c r="M2">
        <v>60</v>
      </c>
    </row>
    <row r="3" spans="1:13" x14ac:dyDescent="0.2">
      <c r="A3" s="4" t="s">
        <v>31</v>
      </c>
      <c r="B3">
        <v>2</v>
      </c>
      <c r="C3" s="4" t="s">
        <v>26</v>
      </c>
      <c r="D3" s="4" t="s">
        <v>27</v>
      </c>
      <c r="E3" s="4" t="s">
        <v>38</v>
      </c>
      <c r="F3" s="4" t="s">
        <v>39</v>
      </c>
      <c r="G3">
        <v>1</v>
      </c>
      <c r="H3">
        <v>4</v>
      </c>
      <c r="I3" s="4" t="s">
        <v>112</v>
      </c>
      <c r="J3" s="4" t="s">
        <v>122</v>
      </c>
      <c r="K3" s="4" t="s">
        <v>123</v>
      </c>
      <c r="L3" s="4" t="s">
        <v>158</v>
      </c>
      <c r="M3">
        <v>230</v>
      </c>
    </row>
    <row r="4" spans="1:13" x14ac:dyDescent="0.2">
      <c r="A4" s="4" t="s">
        <v>34</v>
      </c>
      <c r="B4">
        <v>3</v>
      </c>
      <c r="C4" s="4" t="s">
        <v>26</v>
      </c>
      <c r="D4" s="4" t="s">
        <v>27</v>
      </c>
      <c r="E4" s="4" t="s">
        <v>38</v>
      </c>
      <c r="F4" s="4" t="s">
        <v>39</v>
      </c>
      <c r="G4">
        <v>1</v>
      </c>
      <c r="H4">
        <v>4</v>
      </c>
      <c r="I4" s="4" t="s">
        <v>116</v>
      </c>
      <c r="J4" s="4" t="s">
        <v>122</v>
      </c>
      <c r="K4" s="4" t="s">
        <v>123</v>
      </c>
      <c r="L4" s="4" t="s">
        <v>158</v>
      </c>
      <c r="M4">
        <v>65</v>
      </c>
    </row>
    <row r="5" spans="1:13" x14ac:dyDescent="0.2">
      <c r="A5" s="4" t="s">
        <v>37</v>
      </c>
      <c r="B5">
        <v>4</v>
      </c>
      <c r="C5" s="4" t="s">
        <v>26</v>
      </c>
      <c r="D5" s="4" t="s">
        <v>27</v>
      </c>
      <c r="E5" s="4" t="s">
        <v>38</v>
      </c>
      <c r="F5" s="4" t="s">
        <v>39</v>
      </c>
      <c r="G5">
        <v>1</v>
      </c>
      <c r="H5">
        <v>4</v>
      </c>
      <c r="I5" s="4" t="s">
        <v>114</v>
      </c>
      <c r="J5" s="4" t="s">
        <v>125</v>
      </c>
      <c r="K5" s="4" t="s">
        <v>126</v>
      </c>
      <c r="L5" s="4" t="s">
        <v>158</v>
      </c>
      <c r="M5">
        <v>60</v>
      </c>
    </row>
    <row r="6" spans="1:13" x14ac:dyDescent="0.2">
      <c r="A6" s="4" t="s">
        <v>40</v>
      </c>
      <c r="B6">
        <v>5</v>
      </c>
      <c r="C6" s="4" t="s">
        <v>26</v>
      </c>
      <c r="D6" s="4" t="s">
        <v>27</v>
      </c>
      <c r="E6" s="4" t="s">
        <v>38</v>
      </c>
      <c r="F6" s="4" t="s">
        <v>39</v>
      </c>
      <c r="G6">
        <v>1</v>
      </c>
      <c r="H6">
        <v>4</v>
      </c>
      <c r="I6" s="4" t="s">
        <v>112</v>
      </c>
      <c r="J6" s="4" t="s">
        <v>125</v>
      </c>
      <c r="K6" s="4" t="s">
        <v>126</v>
      </c>
      <c r="L6" s="4" t="s">
        <v>158</v>
      </c>
      <c r="M6">
        <v>60</v>
      </c>
    </row>
    <row r="7" spans="1:13" x14ac:dyDescent="0.2">
      <c r="A7" s="4" t="s">
        <v>43</v>
      </c>
      <c r="B7">
        <v>6</v>
      </c>
      <c r="C7" s="4" t="s">
        <v>26</v>
      </c>
      <c r="D7" s="4" t="s">
        <v>27</v>
      </c>
      <c r="E7" s="4" t="s">
        <v>38</v>
      </c>
      <c r="F7" s="4" t="s">
        <v>39</v>
      </c>
      <c r="G7">
        <v>1</v>
      </c>
      <c r="H7">
        <v>4</v>
      </c>
      <c r="I7" s="4" t="s">
        <v>116</v>
      </c>
      <c r="J7" s="4" t="s">
        <v>125</v>
      </c>
      <c r="K7" s="4" t="s">
        <v>126</v>
      </c>
      <c r="L7" s="4" t="s">
        <v>158</v>
      </c>
      <c r="M7">
        <v>20</v>
      </c>
    </row>
    <row r="8" spans="1:13" x14ac:dyDescent="0.2">
      <c r="A8" s="4" t="s">
        <v>46</v>
      </c>
      <c r="B8">
        <v>7</v>
      </c>
      <c r="C8" s="4" t="s">
        <v>26</v>
      </c>
      <c r="D8" s="4" t="s">
        <v>27</v>
      </c>
      <c r="E8" s="4" t="s">
        <v>38</v>
      </c>
      <c r="F8" s="4" t="s">
        <v>39</v>
      </c>
      <c r="G8">
        <v>1</v>
      </c>
      <c r="H8">
        <v>4</v>
      </c>
      <c r="I8" s="4" t="s">
        <v>114</v>
      </c>
      <c r="J8" s="4" t="s">
        <v>127</v>
      </c>
      <c r="K8" s="4" t="s">
        <v>128</v>
      </c>
      <c r="L8" s="4" t="s">
        <v>158</v>
      </c>
      <c r="M8">
        <v>110</v>
      </c>
    </row>
    <row r="9" spans="1:13" x14ac:dyDescent="0.2">
      <c r="A9" s="4" t="s">
        <v>49</v>
      </c>
      <c r="B9">
        <v>8</v>
      </c>
      <c r="C9" s="4" t="s">
        <v>26</v>
      </c>
      <c r="D9" s="4" t="s">
        <v>27</v>
      </c>
      <c r="E9" s="4" t="s">
        <v>38</v>
      </c>
      <c r="F9" s="4" t="s">
        <v>39</v>
      </c>
      <c r="G9">
        <v>1</v>
      </c>
      <c r="H9">
        <v>4</v>
      </c>
      <c r="I9" s="4" t="s">
        <v>112</v>
      </c>
      <c r="J9" s="4" t="s">
        <v>127</v>
      </c>
      <c r="K9" s="4" t="s">
        <v>128</v>
      </c>
      <c r="L9" s="4" t="s">
        <v>158</v>
      </c>
      <c r="M9">
        <v>115</v>
      </c>
    </row>
    <row r="10" spans="1:13" x14ac:dyDescent="0.2">
      <c r="A10" s="4" t="s">
        <v>52</v>
      </c>
      <c r="B10">
        <v>9</v>
      </c>
      <c r="C10" s="4" t="s">
        <v>26</v>
      </c>
      <c r="D10" s="4" t="s">
        <v>27</v>
      </c>
      <c r="E10" s="4" t="s">
        <v>38</v>
      </c>
      <c r="F10" s="4" t="s">
        <v>39</v>
      </c>
      <c r="G10">
        <v>1</v>
      </c>
      <c r="H10">
        <v>4</v>
      </c>
      <c r="I10" s="4" t="s">
        <v>116</v>
      </c>
      <c r="J10" s="4" t="s">
        <v>127</v>
      </c>
      <c r="K10" s="4" t="s">
        <v>128</v>
      </c>
      <c r="L10" s="4" t="s">
        <v>158</v>
      </c>
      <c r="M10">
        <v>85</v>
      </c>
    </row>
    <row r="11" spans="1:13" x14ac:dyDescent="0.2">
      <c r="A11" s="4" t="s">
        <v>55</v>
      </c>
      <c r="B11">
        <v>10</v>
      </c>
      <c r="C11" s="4" t="s">
        <v>26</v>
      </c>
      <c r="D11" s="4" t="s">
        <v>27</v>
      </c>
      <c r="E11" s="4" t="s">
        <v>38</v>
      </c>
      <c r="F11" s="4" t="s">
        <v>39</v>
      </c>
      <c r="G11">
        <v>1</v>
      </c>
      <c r="H11">
        <v>4</v>
      </c>
      <c r="I11" s="4" t="s">
        <v>114</v>
      </c>
      <c r="J11" s="4" t="s">
        <v>129</v>
      </c>
      <c r="K11" s="4" t="s">
        <v>130</v>
      </c>
      <c r="L11" s="4" t="s">
        <v>158</v>
      </c>
      <c r="M11">
        <v>15</v>
      </c>
    </row>
    <row r="12" spans="1:13" x14ac:dyDescent="0.2">
      <c r="A12" s="4" t="s">
        <v>58</v>
      </c>
      <c r="B12">
        <v>11</v>
      </c>
      <c r="C12" s="4" t="s">
        <v>26</v>
      </c>
      <c r="D12" s="4" t="s">
        <v>27</v>
      </c>
      <c r="E12" s="4" t="s">
        <v>38</v>
      </c>
      <c r="F12" s="4" t="s">
        <v>39</v>
      </c>
      <c r="G12">
        <v>1</v>
      </c>
      <c r="H12">
        <v>4</v>
      </c>
      <c r="I12" s="4" t="s">
        <v>112</v>
      </c>
      <c r="J12" s="4" t="s">
        <v>129</v>
      </c>
      <c r="K12" s="4" t="s">
        <v>130</v>
      </c>
      <c r="L12" s="4" t="s">
        <v>158</v>
      </c>
      <c r="M12">
        <v>35</v>
      </c>
    </row>
    <row r="13" spans="1:13" x14ac:dyDescent="0.2">
      <c r="A13" s="4" t="s">
        <v>60</v>
      </c>
      <c r="B13">
        <v>12</v>
      </c>
      <c r="C13" s="4" t="s">
        <v>26</v>
      </c>
      <c r="D13" s="4" t="s">
        <v>27</v>
      </c>
      <c r="E13" s="4" t="s">
        <v>38</v>
      </c>
      <c r="F13" s="4" t="s">
        <v>39</v>
      </c>
      <c r="G13">
        <v>1</v>
      </c>
      <c r="H13">
        <v>4</v>
      </c>
      <c r="I13" s="4" t="s">
        <v>116</v>
      </c>
      <c r="J13" s="4" t="s">
        <v>129</v>
      </c>
      <c r="K13" s="4" t="s">
        <v>130</v>
      </c>
      <c r="L13" s="4" t="s">
        <v>158</v>
      </c>
      <c r="M13">
        <v>85</v>
      </c>
    </row>
    <row r="14" spans="1:13" x14ac:dyDescent="0.2">
      <c r="A14" s="4" t="s">
        <v>62</v>
      </c>
      <c r="B14">
        <v>13</v>
      </c>
      <c r="C14" s="4" t="s">
        <v>26</v>
      </c>
      <c r="D14" s="4" t="s">
        <v>27</v>
      </c>
      <c r="E14" s="4" t="s">
        <v>38</v>
      </c>
      <c r="F14" s="4" t="s">
        <v>39</v>
      </c>
      <c r="G14">
        <v>1</v>
      </c>
      <c r="H14">
        <v>4</v>
      </c>
      <c r="I14" s="4" t="s">
        <v>116</v>
      </c>
      <c r="J14" s="4" t="s">
        <v>131</v>
      </c>
      <c r="K14" s="4" t="s">
        <v>132</v>
      </c>
      <c r="L14" s="4" t="s">
        <v>158</v>
      </c>
      <c r="M14">
        <v>30</v>
      </c>
    </row>
    <row r="15" spans="1:13" x14ac:dyDescent="0.2">
      <c r="A15" s="4" t="s">
        <v>64</v>
      </c>
      <c r="B15">
        <v>14</v>
      </c>
      <c r="C15" s="4" t="s">
        <v>26</v>
      </c>
      <c r="D15" s="4" t="s">
        <v>27</v>
      </c>
      <c r="E15" s="4" t="s">
        <v>38</v>
      </c>
      <c r="F15" s="4" t="s">
        <v>39</v>
      </c>
      <c r="G15">
        <v>1</v>
      </c>
      <c r="H15">
        <v>4</v>
      </c>
      <c r="I15" s="4" t="s">
        <v>112</v>
      </c>
      <c r="J15" s="4" t="s">
        <v>131</v>
      </c>
      <c r="K15" s="4" t="s">
        <v>132</v>
      </c>
      <c r="L15" s="4" t="s">
        <v>158</v>
      </c>
      <c r="M15">
        <v>60</v>
      </c>
    </row>
    <row r="16" spans="1:13" x14ac:dyDescent="0.2">
      <c r="A16" s="4" t="s">
        <v>66</v>
      </c>
      <c r="B16">
        <v>15</v>
      </c>
      <c r="C16" s="4" t="s">
        <v>26</v>
      </c>
      <c r="D16" s="4" t="s">
        <v>27</v>
      </c>
      <c r="E16" s="4" t="s">
        <v>38</v>
      </c>
      <c r="F16" s="4" t="s">
        <v>39</v>
      </c>
      <c r="G16">
        <v>1</v>
      </c>
      <c r="H16">
        <v>4</v>
      </c>
      <c r="I16" s="4" t="s">
        <v>114</v>
      </c>
      <c r="J16" s="4" t="s">
        <v>131</v>
      </c>
      <c r="K16" s="4" t="s">
        <v>132</v>
      </c>
      <c r="L16" s="4" t="s">
        <v>158</v>
      </c>
      <c r="M16">
        <v>70</v>
      </c>
    </row>
    <row r="17" spans="1:13" x14ac:dyDescent="0.2">
      <c r="A17" s="4" t="s">
        <v>68</v>
      </c>
      <c r="B17">
        <v>16</v>
      </c>
      <c r="C17" s="4" t="s">
        <v>26</v>
      </c>
      <c r="D17" s="4" t="s">
        <v>27</v>
      </c>
      <c r="E17" s="4" t="s">
        <v>38</v>
      </c>
      <c r="F17" s="4" t="s">
        <v>39</v>
      </c>
      <c r="G17">
        <v>1</v>
      </c>
      <c r="H17">
        <v>4</v>
      </c>
      <c r="I17" s="4" t="s">
        <v>114</v>
      </c>
      <c r="J17" s="4" t="s">
        <v>133</v>
      </c>
      <c r="K17" s="4" t="s">
        <v>134</v>
      </c>
      <c r="L17" s="4" t="s">
        <v>158</v>
      </c>
      <c r="M17">
        <v>25</v>
      </c>
    </row>
    <row r="18" spans="1:13" x14ac:dyDescent="0.2">
      <c r="A18" s="4" t="s">
        <v>70</v>
      </c>
      <c r="B18">
        <v>17</v>
      </c>
      <c r="C18" s="4" t="s">
        <v>26</v>
      </c>
      <c r="D18" s="4" t="s">
        <v>27</v>
      </c>
      <c r="E18" s="4" t="s">
        <v>38</v>
      </c>
      <c r="F18" s="4" t="s">
        <v>39</v>
      </c>
      <c r="G18">
        <v>1</v>
      </c>
      <c r="H18">
        <v>4</v>
      </c>
      <c r="I18" s="4" t="s">
        <v>112</v>
      </c>
      <c r="J18" s="4" t="s">
        <v>133</v>
      </c>
      <c r="K18" s="4" t="s">
        <v>134</v>
      </c>
      <c r="L18" s="4" t="s">
        <v>158</v>
      </c>
      <c r="M18">
        <v>70</v>
      </c>
    </row>
    <row r="19" spans="1:13" x14ac:dyDescent="0.2">
      <c r="A19" s="4" t="s">
        <v>72</v>
      </c>
      <c r="B19">
        <v>18</v>
      </c>
      <c r="C19" s="4" t="s">
        <v>26</v>
      </c>
      <c r="D19" s="4" t="s">
        <v>27</v>
      </c>
      <c r="E19" s="4" t="s">
        <v>38</v>
      </c>
      <c r="F19" s="4" t="s">
        <v>39</v>
      </c>
      <c r="G19">
        <v>1</v>
      </c>
      <c r="H19">
        <v>4</v>
      </c>
      <c r="I19" s="4" t="s">
        <v>116</v>
      </c>
      <c r="J19" s="4" t="s">
        <v>133</v>
      </c>
      <c r="K19" s="4" t="s">
        <v>134</v>
      </c>
      <c r="L19" s="4" t="s">
        <v>158</v>
      </c>
      <c r="M19">
        <v>30</v>
      </c>
    </row>
    <row r="20" spans="1:13" x14ac:dyDescent="0.2">
      <c r="A20" s="4" t="s">
        <v>74</v>
      </c>
      <c r="B20">
        <v>19</v>
      </c>
      <c r="C20" s="4" t="s">
        <v>26</v>
      </c>
      <c r="D20" s="4" t="s">
        <v>27</v>
      </c>
      <c r="E20" s="4" t="s">
        <v>44</v>
      </c>
      <c r="F20" s="4" t="s">
        <v>45</v>
      </c>
      <c r="G20">
        <v>2</v>
      </c>
      <c r="H20">
        <v>6</v>
      </c>
      <c r="I20" s="4" t="s">
        <v>114</v>
      </c>
      <c r="J20" s="4" t="s">
        <v>122</v>
      </c>
      <c r="K20" s="4" t="s">
        <v>123</v>
      </c>
      <c r="L20" s="4" t="s">
        <v>158</v>
      </c>
      <c r="M20">
        <v>60</v>
      </c>
    </row>
    <row r="21" spans="1:13" x14ac:dyDescent="0.2">
      <c r="A21" s="4" t="s">
        <v>76</v>
      </c>
      <c r="B21">
        <v>20</v>
      </c>
      <c r="C21" s="4" t="s">
        <v>26</v>
      </c>
      <c r="D21" s="4" t="s">
        <v>27</v>
      </c>
      <c r="E21" s="4" t="s">
        <v>44</v>
      </c>
      <c r="F21" s="4" t="s">
        <v>45</v>
      </c>
      <c r="G21">
        <v>2</v>
      </c>
      <c r="H21">
        <v>6</v>
      </c>
      <c r="I21" s="4" t="s">
        <v>112</v>
      </c>
      <c r="J21" s="4" t="s">
        <v>122</v>
      </c>
      <c r="K21" s="4" t="s">
        <v>123</v>
      </c>
      <c r="L21" s="4" t="s">
        <v>158</v>
      </c>
      <c r="M21">
        <v>81</v>
      </c>
    </row>
    <row r="22" spans="1:13" x14ac:dyDescent="0.2">
      <c r="A22" s="4" t="s">
        <v>78</v>
      </c>
      <c r="B22">
        <v>21</v>
      </c>
      <c r="C22" s="4" t="s">
        <v>26</v>
      </c>
      <c r="D22" s="4" t="s">
        <v>27</v>
      </c>
      <c r="E22" s="4" t="s">
        <v>44</v>
      </c>
      <c r="F22" s="4" t="s">
        <v>45</v>
      </c>
      <c r="G22">
        <v>2</v>
      </c>
      <c r="H22">
        <v>6</v>
      </c>
      <c r="I22" s="4" t="s">
        <v>114</v>
      </c>
      <c r="J22" s="4" t="s">
        <v>127</v>
      </c>
      <c r="K22" s="4" t="s">
        <v>128</v>
      </c>
      <c r="L22" s="4" t="s">
        <v>158</v>
      </c>
      <c r="M22">
        <v>66</v>
      </c>
    </row>
    <row r="23" spans="1:13" x14ac:dyDescent="0.2">
      <c r="A23" s="4" t="s">
        <v>80</v>
      </c>
      <c r="B23">
        <v>22</v>
      </c>
      <c r="C23" s="4" t="s">
        <v>26</v>
      </c>
      <c r="D23" s="4" t="s">
        <v>27</v>
      </c>
      <c r="E23" s="4" t="s">
        <v>44</v>
      </c>
      <c r="F23" s="4" t="s">
        <v>45</v>
      </c>
      <c r="G23">
        <v>2</v>
      </c>
      <c r="H23">
        <v>6</v>
      </c>
      <c r="I23" s="4" t="s">
        <v>116</v>
      </c>
      <c r="J23" s="4" t="s">
        <v>129</v>
      </c>
      <c r="K23" s="4" t="s">
        <v>130</v>
      </c>
      <c r="L23" s="4" t="s">
        <v>158</v>
      </c>
      <c r="M23">
        <v>15</v>
      </c>
    </row>
    <row r="24" spans="1:13" x14ac:dyDescent="0.2">
      <c r="A24" s="4" t="s">
        <v>82</v>
      </c>
      <c r="B24">
        <v>23</v>
      </c>
      <c r="C24" s="4" t="s">
        <v>26</v>
      </c>
      <c r="D24" s="4" t="s">
        <v>27</v>
      </c>
      <c r="E24" s="4" t="s">
        <v>47</v>
      </c>
      <c r="F24" s="4" t="s">
        <v>48</v>
      </c>
      <c r="G24">
        <v>2</v>
      </c>
      <c r="H24">
        <v>7</v>
      </c>
      <c r="I24" s="4" t="s">
        <v>112</v>
      </c>
      <c r="J24" s="4" t="s">
        <v>122</v>
      </c>
      <c r="K24" s="4" t="s">
        <v>123</v>
      </c>
      <c r="L24" s="4" t="s">
        <v>158</v>
      </c>
      <c r="M24">
        <v>73</v>
      </c>
    </row>
    <row r="25" spans="1:13" x14ac:dyDescent="0.2">
      <c r="A25" s="4" t="s">
        <v>84</v>
      </c>
      <c r="B25">
        <v>24</v>
      </c>
      <c r="C25" s="4" t="s">
        <v>26</v>
      </c>
      <c r="D25" s="4" t="s">
        <v>27</v>
      </c>
      <c r="E25" s="4" t="s">
        <v>47</v>
      </c>
      <c r="F25" s="4" t="s">
        <v>48</v>
      </c>
      <c r="G25">
        <v>2</v>
      </c>
      <c r="H25">
        <v>7</v>
      </c>
      <c r="I25" s="4" t="s">
        <v>112</v>
      </c>
      <c r="J25" s="4" t="s">
        <v>127</v>
      </c>
      <c r="K25" s="4" t="s">
        <v>128</v>
      </c>
      <c r="L25" s="4" t="s">
        <v>158</v>
      </c>
      <c r="M25">
        <v>44</v>
      </c>
    </row>
    <row r="26" spans="1:13" x14ac:dyDescent="0.2">
      <c r="A26" s="4" t="s">
        <v>86</v>
      </c>
      <c r="B26">
        <v>25</v>
      </c>
      <c r="C26" s="4" t="s">
        <v>26</v>
      </c>
      <c r="D26" s="4" t="s">
        <v>27</v>
      </c>
      <c r="E26" s="4" t="s">
        <v>47</v>
      </c>
      <c r="F26" s="4" t="s">
        <v>48</v>
      </c>
      <c r="G26">
        <v>2</v>
      </c>
      <c r="H26">
        <v>7</v>
      </c>
      <c r="I26" s="4" t="s">
        <v>114</v>
      </c>
      <c r="J26" s="4" t="s">
        <v>127</v>
      </c>
      <c r="K26" s="4" t="s">
        <v>128</v>
      </c>
      <c r="L26" s="4" t="s">
        <v>158</v>
      </c>
      <c r="M26">
        <v>44</v>
      </c>
    </row>
    <row r="27" spans="1:13" x14ac:dyDescent="0.2">
      <c r="A27" s="4" t="s">
        <v>88</v>
      </c>
      <c r="B27">
        <v>26</v>
      </c>
      <c r="C27" s="4" t="s">
        <v>26</v>
      </c>
      <c r="D27" s="4" t="s">
        <v>27</v>
      </c>
      <c r="E27" s="4" t="s">
        <v>47</v>
      </c>
      <c r="F27" s="4" t="s">
        <v>48</v>
      </c>
      <c r="G27">
        <v>2</v>
      </c>
      <c r="H27">
        <v>7</v>
      </c>
      <c r="I27" s="4" t="s">
        <v>114</v>
      </c>
      <c r="J27" s="4" t="s">
        <v>129</v>
      </c>
      <c r="K27" s="4" t="s">
        <v>130</v>
      </c>
      <c r="L27" s="4" t="s">
        <v>158</v>
      </c>
      <c r="M27">
        <v>15</v>
      </c>
    </row>
    <row r="28" spans="1:13" x14ac:dyDescent="0.2">
      <c r="A28" s="4" t="s">
        <v>90</v>
      </c>
      <c r="B28">
        <v>27</v>
      </c>
      <c r="C28" s="4" t="s">
        <v>26</v>
      </c>
      <c r="D28" s="4" t="s">
        <v>27</v>
      </c>
      <c r="E28" s="4" t="s">
        <v>47</v>
      </c>
      <c r="F28" s="4" t="s">
        <v>48</v>
      </c>
      <c r="G28">
        <v>2</v>
      </c>
      <c r="H28">
        <v>7</v>
      </c>
      <c r="I28" s="4" t="s">
        <v>116</v>
      </c>
      <c r="J28" s="4" t="s">
        <v>129</v>
      </c>
      <c r="K28" s="4" t="s">
        <v>130</v>
      </c>
      <c r="L28" s="4" t="s">
        <v>158</v>
      </c>
      <c r="M28">
        <v>6</v>
      </c>
    </row>
    <row r="29" spans="1:13" x14ac:dyDescent="0.2">
      <c r="A29" s="4" t="s">
        <v>92</v>
      </c>
      <c r="B29">
        <v>28</v>
      </c>
      <c r="C29" s="4" t="s">
        <v>26</v>
      </c>
      <c r="D29" s="4" t="s">
        <v>27</v>
      </c>
      <c r="E29" s="4" t="s">
        <v>50</v>
      </c>
      <c r="F29" s="4" t="s">
        <v>51</v>
      </c>
      <c r="G29">
        <v>2</v>
      </c>
      <c r="H29">
        <v>8</v>
      </c>
      <c r="I29" s="4" t="s">
        <v>112</v>
      </c>
      <c r="J29" s="4" t="s">
        <v>122</v>
      </c>
      <c r="K29" s="4" t="s">
        <v>123</v>
      </c>
      <c r="L29" s="4" t="s">
        <v>158</v>
      </c>
      <c r="M29">
        <v>54</v>
      </c>
    </row>
    <row r="30" spans="1:13" x14ac:dyDescent="0.2">
      <c r="A30" s="4" t="s">
        <v>94</v>
      </c>
      <c r="B30">
        <v>29</v>
      </c>
      <c r="C30" s="4" t="s">
        <v>26</v>
      </c>
      <c r="D30" s="4" t="s">
        <v>27</v>
      </c>
      <c r="E30" s="4" t="s">
        <v>50</v>
      </c>
      <c r="F30" s="4" t="s">
        <v>51</v>
      </c>
      <c r="G30">
        <v>2</v>
      </c>
      <c r="H30">
        <v>8</v>
      </c>
      <c r="I30" s="4" t="s">
        <v>112</v>
      </c>
      <c r="J30" s="4" t="s">
        <v>125</v>
      </c>
      <c r="K30" s="4" t="s">
        <v>126</v>
      </c>
      <c r="L30" s="4" t="s">
        <v>158</v>
      </c>
      <c r="M30">
        <v>20</v>
      </c>
    </row>
    <row r="31" spans="1:13" x14ac:dyDescent="0.2">
      <c r="A31" s="4" t="s">
        <v>96</v>
      </c>
      <c r="B31">
        <v>30</v>
      </c>
      <c r="C31" s="4" t="s">
        <v>26</v>
      </c>
      <c r="D31" s="4" t="s">
        <v>27</v>
      </c>
      <c r="E31" s="4" t="s">
        <v>50</v>
      </c>
      <c r="F31" s="4" t="s">
        <v>51</v>
      </c>
      <c r="G31">
        <v>2</v>
      </c>
      <c r="H31">
        <v>8</v>
      </c>
      <c r="I31" s="4" t="s">
        <v>114</v>
      </c>
      <c r="J31" s="4" t="s">
        <v>127</v>
      </c>
      <c r="K31" s="4" t="s">
        <v>128</v>
      </c>
      <c r="L31" s="4" t="s">
        <v>158</v>
      </c>
      <c r="M31">
        <v>65</v>
      </c>
    </row>
    <row r="32" spans="1:13" x14ac:dyDescent="0.2">
      <c r="A32" s="4" t="s">
        <v>215</v>
      </c>
      <c r="B32">
        <v>31</v>
      </c>
      <c r="C32" s="4" t="s">
        <v>26</v>
      </c>
      <c r="D32" s="4" t="s">
        <v>27</v>
      </c>
      <c r="E32" s="4" t="s">
        <v>50</v>
      </c>
      <c r="F32" s="4" t="s">
        <v>51</v>
      </c>
      <c r="G32">
        <v>2</v>
      </c>
      <c r="H32">
        <v>8</v>
      </c>
      <c r="I32" s="4" t="s">
        <v>112</v>
      </c>
      <c r="J32" s="4" t="s">
        <v>127</v>
      </c>
      <c r="K32" s="4" t="s">
        <v>128</v>
      </c>
      <c r="L32" s="4" t="s">
        <v>158</v>
      </c>
      <c r="M32">
        <v>71</v>
      </c>
    </row>
    <row r="33" spans="1:13" x14ac:dyDescent="0.2">
      <c r="A33" s="4" t="s">
        <v>216</v>
      </c>
      <c r="B33">
        <v>32</v>
      </c>
      <c r="C33" s="4" t="s">
        <v>26</v>
      </c>
      <c r="D33" s="4" t="s">
        <v>27</v>
      </c>
      <c r="E33" s="4" t="s">
        <v>50</v>
      </c>
      <c r="F33" s="4" t="s">
        <v>51</v>
      </c>
      <c r="G33">
        <v>2</v>
      </c>
      <c r="H33">
        <v>8</v>
      </c>
      <c r="I33" s="4" t="s">
        <v>116</v>
      </c>
      <c r="J33" s="4" t="s">
        <v>129</v>
      </c>
      <c r="K33" s="4" t="s">
        <v>130</v>
      </c>
      <c r="L33" s="4" t="s">
        <v>158</v>
      </c>
      <c r="M33">
        <v>17</v>
      </c>
    </row>
    <row r="34" spans="1:13" x14ac:dyDescent="0.2">
      <c r="A34" s="4" t="s">
        <v>217</v>
      </c>
      <c r="B34">
        <v>33</v>
      </c>
      <c r="C34" s="4" t="s">
        <v>26</v>
      </c>
      <c r="D34" s="4" t="s">
        <v>27</v>
      </c>
      <c r="E34" s="4" t="s">
        <v>53</v>
      </c>
      <c r="F34" s="4" t="s">
        <v>54</v>
      </c>
      <c r="G34">
        <v>2</v>
      </c>
      <c r="H34">
        <v>9</v>
      </c>
      <c r="I34" s="4" t="s">
        <v>114</v>
      </c>
      <c r="J34" s="4" t="s">
        <v>122</v>
      </c>
      <c r="K34" s="4" t="s">
        <v>123</v>
      </c>
      <c r="L34" s="4" t="s">
        <v>158</v>
      </c>
      <c r="M34">
        <v>60</v>
      </c>
    </row>
    <row r="35" spans="1:13" x14ac:dyDescent="0.2">
      <c r="A35" s="4" t="s">
        <v>218</v>
      </c>
      <c r="B35">
        <v>34</v>
      </c>
      <c r="C35" s="4" t="s">
        <v>26</v>
      </c>
      <c r="D35" s="4" t="s">
        <v>27</v>
      </c>
      <c r="E35" s="4" t="s">
        <v>53</v>
      </c>
      <c r="F35" s="4" t="s">
        <v>54</v>
      </c>
      <c r="G35">
        <v>2</v>
      </c>
      <c r="H35">
        <v>9</v>
      </c>
      <c r="I35" s="4" t="s">
        <v>112</v>
      </c>
      <c r="J35" s="4" t="s">
        <v>122</v>
      </c>
      <c r="K35" s="4" t="s">
        <v>123</v>
      </c>
      <c r="L35" s="4" t="s">
        <v>158</v>
      </c>
      <c r="M35">
        <v>176</v>
      </c>
    </row>
    <row r="36" spans="1:13" x14ac:dyDescent="0.2">
      <c r="A36" s="4" t="s">
        <v>219</v>
      </c>
      <c r="B36">
        <v>35</v>
      </c>
      <c r="C36" s="4" t="s">
        <v>26</v>
      </c>
      <c r="D36" s="4" t="s">
        <v>27</v>
      </c>
      <c r="E36" s="4" t="s">
        <v>53</v>
      </c>
      <c r="F36" s="4" t="s">
        <v>54</v>
      </c>
      <c r="G36">
        <v>2</v>
      </c>
      <c r="H36">
        <v>9</v>
      </c>
      <c r="I36" s="4" t="s">
        <v>116</v>
      </c>
      <c r="J36" s="4" t="s">
        <v>127</v>
      </c>
      <c r="K36" s="4" t="s">
        <v>128</v>
      </c>
      <c r="L36" s="4" t="s">
        <v>158</v>
      </c>
      <c r="M36">
        <v>44</v>
      </c>
    </row>
    <row r="37" spans="1:13" x14ac:dyDescent="0.2">
      <c r="A37" s="4" t="s">
        <v>220</v>
      </c>
      <c r="B37">
        <v>36</v>
      </c>
      <c r="C37" s="4" t="s">
        <v>26</v>
      </c>
      <c r="D37" s="4" t="s">
        <v>27</v>
      </c>
      <c r="E37" s="4" t="s">
        <v>53</v>
      </c>
      <c r="F37" s="4" t="s">
        <v>54</v>
      </c>
      <c r="G37">
        <v>2</v>
      </c>
      <c r="H37">
        <v>9</v>
      </c>
      <c r="I37" s="4" t="s">
        <v>112</v>
      </c>
      <c r="J37" s="4" t="s">
        <v>127</v>
      </c>
      <c r="K37" s="4" t="s">
        <v>128</v>
      </c>
      <c r="L37" s="4" t="s">
        <v>158</v>
      </c>
      <c r="M37">
        <v>44</v>
      </c>
    </row>
    <row r="38" spans="1:13" x14ac:dyDescent="0.2">
      <c r="A38" s="4" t="s">
        <v>221</v>
      </c>
      <c r="B38">
        <v>37</v>
      </c>
      <c r="C38" s="4" t="s">
        <v>26</v>
      </c>
      <c r="D38" s="4" t="s">
        <v>27</v>
      </c>
      <c r="E38" s="4" t="s">
        <v>53</v>
      </c>
      <c r="F38" s="4" t="s">
        <v>54</v>
      </c>
      <c r="G38">
        <v>2</v>
      </c>
      <c r="H38">
        <v>9</v>
      </c>
      <c r="I38" s="4" t="s">
        <v>116</v>
      </c>
      <c r="J38" s="4" t="s">
        <v>129</v>
      </c>
      <c r="K38" s="4" t="s">
        <v>130</v>
      </c>
      <c r="L38" s="4" t="s">
        <v>158</v>
      </c>
      <c r="M38">
        <v>36</v>
      </c>
    </row>
    <row r="39" spans="1:13" x14ac:dyDescent="0.2">
      <c r="A39" s="4" t="s">
        <v>222</v>
      </c>
      <c r="B39">
        <v>38</v>
      </c>
      <c r="C39" s="4" t="s">
        <v>26</v>
      </c>
      <c r="D39" s="4" t="s">
        <v>27</v>
      </c>
      <c r="E39" s="4" t="s">
        <v>56</v>
      </c>
      <c r="F39" s="4" t="s">
        <v>57</v>
      </c>
      <c r="G39">
        <v>2</v>
      </c>
      <c r="H39">
        <v>10</v>
      </c>
      <c r="I39" s="4" t="s">
        <v>112</v>
      </c>
      <c r="J39" s="4" t="s">
        <v>122</v>
      </c>
      <c r="K39" s="4" t="s">
        <v>123</v>
      </c>
      <c r="L39" s="4" t="s">
        <v>158</v>
      </c>
      <c r="M39">
        <v>54</v>
      </c>
    </row>
    <row r="40" spans="1:13" x14ac:dyDescent="0.2">
      <c r="A40" s="4" t="s">
        <v>223</v>
      </c>
      <c r="B40">
        <v>39</v>
      </c>
      <c r="C40" s="4" t="s">
        <v>26</v>
      </c>
      <c r="D40" s="4" t="s">
        <v>27</v>
      </c>
      <c r="E40" s="4" t="s">
        <v>56</v>
      </c>
      <c r="F40" s="4" t="s">
        <v>57</v>
      </c>
      <c r="G40">
        <v>2</v>
      </c>
      <c r="H40">
        <v>10</v>
      </c>
      <c r="I40" s="4" t="s">
        <v>114</v>
      </c>
      <c r="J40" s="4" t="s">
        <v>127</v>
      </c>
      <c r="K40" s="4" t="s">
        <v>128</v>
      </c>
      <c r="L40" s="4" t="s">
        <v>158</v>
      </c>
      <c r="M40">
        <v>110</v>
      </c>
    </row>
    <row r="41" spans="1:13" x14ac:dyDescent="0.2">
      <c r="A41" s="4" t="s">
        <v>224</v>
      </c>
      <c r="B41">
        <v>40</v>
      </c>
      <c r="C41" s="4" t="s">
        <v>26</v>
      </c>
      <c r="D41" s="4" t="s">
        <v>27</v>
      </c>
      <c r="E41" s="4" t="s">
        <v>56</v>
      </c>
      <c r="F41" s="4" t="s">
        <v>57</v>
      </c>
      <c r="G41">
        <v>2</v>
      </c>
      <c r="H41">
        <v>10</v>
      </c>
      <c r="I41" s="4" t="s">
        <v>112</v>
      </c>
      <c r="J41" s="4" t="s">
        <v>127</v>
      </c>
      <c r="K41" s="4" t="s">
        <v>128</v>
      </c>
      <c r="L41" s="4" t="s">
        <v>158</v>
      </c>
      <c r="M41">
        <v>57</v>
      </c>
    </row>
    <row r="42" spans="1:13" x14ac:dyDescent="0.2">
      <c r="A42" s="4" t="s">
        <v>225</v>
      </c>
      <c r="B42">
        <v>41</v>
      </c>
      <c r="C42" s="4" t="s">
        <v>26</v>
      </c>
      <c r="D42" s="4" t="s">
        <v>27</v>
      </c>
      <c r="E42" s="4" t="s">
        <v>56</v>
      </c>
      <c r="F42" s="4" t="s">
        <v>57</v>
      </c>
      <c r="G42">
        <v>2</v>
      </c>
      <c r="H42">
        <v>10</v>
      </c>
      <c r="I42" s="4" t="s">
        <v>116</v>
      </c>
      <c r="J42" s="4" t="s">
        <v>129</v>
      </c>
      <c r="K42" s="4" t="s">
        <v>130</v>
      </c>
      <c r="L42" s="4" t="s">
        <v>158</v>
      </c>
      <c r="M42">
        <v>23</v>
      </c>
    </row>
    <row r="43" spans="1:13" x14ac:dyDescent="0.2">
      <c r="A43" s="4" t="s">
        <v>226</v>
      </c>
      <c r="B43">
        <v>42</v>
      </c>
      <c r="C43" s="4" t="s">
        <v>26</v>
      </c>
      <c r="D43" s="4" t="s">
        <v>27</v>
      </c>
      <c r="E43" s="4" t="s">
        <v>56</v>
      </c>
      <c r="F43" s="4" t="s">
        <v>57</v>
      </c>
      <c r="G43">
        <v>2</v>
      </c>
      <c r="H43">
        <v>10</v>
      </c>
      <c r="I43" s="4" t="s">
        <v>114</v>
      </c>
      <c r="J43" s="4" t="s">
        <v>131</v>
      </c>
      <c r="K43" s="4" t="s">
        <v>132</v>
      </c>
      <c r="L43" s="4" t="s">
        <v>158</v>
      </c>
      <c r="M43">
        <v>31</v>
      </c>
    </row>
    <row r="44" spans="1:13" x14ac:dyDescent="0.2">
      <c r="A44" s="4" t="s">
        <v>227</v>
      </c>
      <c r="B44">
        <v>43</v>
      </c>
      <c r="C44" s="4" t="s">
        <v>26</v>
      </c>
      <c r="D44" s="4" t="s">
        <v>27</v>
      </c>
      <c r="E44" s="4" t="s">
        <v>56</v>
      </c>
      <c r="F44" s="4" t="s">
        <v>57</v>
      </c>
      <c r="G44">
        <v>2</v>
      </c>
      <c r="H44">
        <v>10</v>
      </c>
      <c r="I44" s="4" t="s">
        <v>112</v>
      </c>
      <c r="J44" s="4" t="s">
        <v>131</v>
      </c>
      <c r="K44" s="4" t="s">
        <v>132</v>
      </c>
      <c r="L44" s="4" t="s">
        <v>158</v>
      </c>
      <c r="M44">
        <v>26</v>
      </c>
    </row>
    <row r="45" spans="1:13" x14ac:dyDescent="0.2">
      <c r="A45" s="4" t="s">
        <v>228</v>
      </c>
      <c r="B45">
        <v>44</v>
      </c>
      <c r="C45" s="4" t="s">
        <v>26</v>
      </c>
      <c r="D45" s="4" t="s">
        <v>32</v>
      </c>
      <c r="E45" s="4" t="s">
        <v>27</v>
      </c>
      <c r="F45" s="4" t="s">
        <v>59</v>
      </c>
      <c r="G45">
        <v>3</v>
      </c>
      <c r="H45">
        <v>11</v>
      </c>
      <c r="I45" s="4" t="s">
        <v>114</v>
      </c>
      <c r="J45" s="4" t="s">
        <v>122</v>
      </c>
      <c r="K45" s="4" t="s">
        <v>123</v>
      </c>
      <c r="L45" s="4" t="s">
        <v>158</v>
      </c>
      <c r="M45">
        <v>40</v>
      </c>
    </row>
    <row r="46" spans="1:13" x14ac:dyDescent="0.2">
      <c r="A46" s="4" t="s">
        <v>229</v>
      </c>
      <c r="B46">
        <v>45</v>
      </c>
      <c r="C46" s="4" t="s">
        <v>26</v>
      </c>
      <c r="D46" s="4" t="s">
        <v>32</v>
      </c>
      <c r="E46" s="4" t="s">
        <v>27</v>
      </c>
      <c r="F46" s="4" t="s">
        <v>59</v>
      </c>
      <c r="G46">
        <v>3</v>
      </c>
      <c r="H46">
        <v>11</v>
      </c>
      <c r="I46" s="4" t="s">
        <v>112</v>
      </c>
      <c r="J46" s="4" t="s">
        <v>125</v>
      </c>
      <c r="K46" s="4" t="s">
        <v>126</v>
      </c>
      <c r="L46" s="4" t="s">
        <v>158</v>
      </c>
      <c r="M46">
        <v>9</v>
      </c>
    </row>
    <row r="47" spans="1:13" x14ac:dyDescent="0.2">
      <c r="A47" s="4" t="s">
        <v>230</v>
      </c>
      <c r="B47">
        <v>46</v>
      </c>
      <c r="C47" s="4" t="s">
        <v>26</v>
      </c>
      <c r="D47" s="4" t="s">
        <v>32</v>
      </c>
      <c r="E47" s="4" t="s">
        <v>27</v>
      </c>
      <c r="F47" s="4" t="s">
        <v>59</v>
      </c>
      <c r="G47">
        <v>3</v>
      </c>
      <c r="H47">
        <v>11</v>
      </c>
      <c r="I47" s="4" t="s">
        <v>116</v>
      </c>
      <c r="J47" s="4" t="s">
        <v>125</v>
      </c>
      <c r="K47" s="4" t="s">
        <v>126</v>
      </c>
      <c r="L47" s="4" t="s">
        <v>158</v>
      </c>
      <c r="M47">
        <v>20</v>
      </c>
    </row>
    <row r="48" spans="1:13" x14ac:dyDescent="0.2">
      <c r="A48" s="4" t="s">
        <v>231</v>
      </c>
      <c r="B48">
        <v>47</v>
      </c>
      <c r="C48" s="4" t="s">
        <v>26</v>
      </c>
      <c r="D48" s="4" t="s">
        <v>32</v>
      </c>
      <c r="E48" s="4" t="s">
        <v>27</v>
      </c>
      <c r="F48" s="4" t="s">
        <v>59</v>
      </c>
      <c r="G48">
        <v>3</v>
      </c>
      <c r="H48">
        <v>11</v>
      </c>
      <c r="I48" s="4" t="s">
        <v>112</v>
      </c>
      <c r="J48" s="4" t="s">
        <v>127</v>
      </c>
      <c r="K48" s="4" t="s">
        <v>128</v>
      </c>
      <c r="L48" s="4" t="s">
        <v>158</v>
      </c>
      <c r="M48">
        <v>5</v>
      </c>
    </row>
    <row r="49" spans="1:13" x14ac:dyDescent="0.2">
      <c r="A49" s="4" t="s">
        <v>232</v>
      </c>
      <c r="B49">
        <v>48</v>
      </c>
      <c r="C49" s="4" t="s">
        <v>26</v>
      </c>
      <c r="D49" s="4" t="s">
        <v>32</v>
      </c>
      <c r="E49" s="4" t="s">
        <v>27</v>
      </c>
      <c r="F49" s="4" t="s">
        <v>59</v>
      </c>
      <c r="G49">
        <v>3</v>
      </c>
      <c r="H49">
        <v>11</v>
      </c>
      <c r="I49" s="4" t="s">
        <v>114</v>
      </c>
      <c r="J49" s="4" t="s">
        <v>127</v>
      </c>
      <c r="K49" s="4" t="s">
        <v>128</v>
      </c>
      <c r="L49" s="4" t="s">
        <v>158</v>
      </c>
      <c r="M49">
        <v>40</v>
      </c>
    </row>
    <row r="50" spans="1:13" x14ac:dyDescent="0.2">
      <c r="A50" s="4" t="s">
        <v>233</v>
      </c>
      <c r="B50">
        <v>49</v>
      </c>
      <c r="C50" s="4" t="s">
        <v>26</v>
      </c>
      <c r="D50" s="4" t="s">
        <v>32</v>
      </c>
      <c r="E50" s="4" t="s">
        <v>27</v>
      </c>
      <c r="F50" s="4" t="s">
        <v>59</v>
      </c>
      <c r="G50">
        <v>3</v>
      </c>
      <c r="H50">
        <v>11</v>
      </c>
      <c r="I50" s="4" t="s">
        <v>114</v>
      </c>
      <c r="J50" s="4" t="s">
        <v>129</v>
      </c>
      <c r="K50" s="4" t="s">
        <v>130</v>
      </c>
      <c r="L50" s="4" t="s">
        <v>158</v>
      </c>
      <c r="M50">
        <v>25</v>
      </c>
    </row>
    <row r="51" spans="1:13" x14ac:dyDescent="0.2">
      <c r="A51" s="4" t="s">
        <v>234</v>
      </c>
      <c r="B51">
        <v>50</v>
      </c>
      <c r="C51" s="4" t="s">
        <v>26</v>
      </c>
      <c r="D51" s="4" t="s">
        <v>32</v>
      </c>
      <c r="E51" s="4" t="s">
        <v>27</v>
      </c>
      <c r="F51" s="4" t="s">
        <v>59</v>
      </c>
      <c r="G51">
        <v>3</v>
      </c>
      <c r="H51">
        <v>11</v>
      </c>
      <c r="I51" s="4" t="s">
        <v>112</v>
      </c>
      <c r="J51" s="4" t="s">
        <v>129</v>
      </c>
      <c r="K51" s="4" t="s">
        <v>130</v>
      </c>
      <c r="L51" s="4" t="s">
        <v>158</v>
      </c>
      <c r="M51">
        <v>5</v>
      </c>
    </row>
    <row r="52" spans="1:13" x14ac:dyDescent="0.2">
      <c r="A52" s="4" t="s">
        <v>235</v>
      </c>
      <c r="B52">
        <v>51</v>
      </c>
      <c r="C52" s="4" t="s">
        <v>26</v>
      </c>
      <c r="D52" s="4" t="s">
        <v>32</v>
      </c>
      <c r="E52" s="4" t="s">
        <v>27</v>
      </c>
      <c r="F52" s="4" t="s">
        <v>59</v>
      </c>
      <c r="G52">
        <v>3</v>
      </c>
      <c r="H52">
        <v>11</v>
      </c>
      <c r="I52" s="4" t="s">
        <v>116</v>
      </c>
      <c r="J52" s="4" t="s">
        <v>129</v>
      </c>
      <c r="K52" s="4" t="s">
        <v>130</v>
      </c>
      <c r="L52" s="4" t="s">
        <v>158</v>
      </c>
      <c r="M52">
        <v>15</v>
      </c>
    </row>
    <row r="53" spans="1:13" x14ac:dyDescent="0.2">
      <c r="A53" s="4" t="s">
        <v>236</v>
      </c>
      <c r="B53">
        <v>52</v>
      </c>
      <c r="C53" s="4" t="s">
        <v>26</v>
      </c>
      <c r="D53" s="4" t="s">
        <v>32</v>
      </c>
      <c r="E53" s="4" t="s">
        <v>27</v>
      </c>
      <c r="F53" s="4" t="s">
        <v>59</v>
      </c>
      <c r="G53">
        <v>3</v>
      </c>
      <c r="H53">
        <v>11</v>
      </c>
      <c r="I53" s="4" t="s">
        <v>112</v>
      </c>
      <c r="J53" s="4" t="s">
        <v>131</v>
      </c>
      <c r="K53" s="4" t="s">
        <v>132</v>
      </c>
      <c r="L53" s="4" t="s">
        <v>158</v>
      </c>
      <c r="M53">
        <v>6</v>
      </c>
    </row>
    <row r="54" spans="1:13" x14ac:dyDescent="0.2">
      <c r="A54" s="4" t="s">
        <v>237</v>
      </c>
      <c r="B54">
        <v>53</v>
      </c>
      <c r="C54" s="4" t="s">
        <v>26</v>
      </c>
      <c r="D54" s="4" t="s">
        <v>32</v>
      </c>
      <c r="E54" s="4" t="s">
        <v>27</v>
      </c>
      <c r="F54" s="4" t="s">
        <v>59</v>
      </c>
      <c r="G54">
        <v>3</v>
      </c>
      <c r="H54">
        <v>11</v>
      </c>
      <c r="I54" s="4" t="s">
        <v>116</v>
      </c>
      <c r="J54" s="4" t="s">
        <v>131</v>
      </c>
      <c r="K54" s="4" t="s">
        <v>132</v>
      </c>
      <c r="L54" s="4" t="s">
        <v>158</v>
      </c>
      <c r="M54">
        <v>10</v>
      </c>
    </row>
    <row r="55" spans="1:13" x14ac:dyDescent="0.2">
      <c r="A55" s="4" t="s">
        <v>238</v>
      </c>
      <c r="B55">
        <v>54</v>
      </c>
      <c r="C55" s="4" t="s">
        <v>26</v>
      </c>
      <c r="D55" s="4" t="s">
        <v>32</v>
      </c>
      <c r="E55" s="4" t="s">
        <v>27</v>
      </c>
      <c r="F55" s="4" t="s">
        <v>59</v>
      </c>
      <c r="G55">
        <v>3</v>
      </c>
      <c r="H55">
        <v>11</v>
      </c>
      <c r="I55" s="4" t="s">
        <v>114</v>
      </c>
      <c r="J55" s="4" t="s">
        <v>133</v>
      </c>
      <c r="K55" s="4" t="s">
        <v>134</v>
      </c>
      <c r="L55" s="4" t="s">
        <v>158</v>
      </c>
      <c r="M55">
        <v>15</v>
      </c>
    </row>
    <row r="56" spans="1:13" x14ac:dyDescent="0.2">
      <c r="A56" s="4" t="s">
        <v>239</v>
      </c>
      <c r="B56">
        <v>55</v>
      </c>
      <c r="C56" s="4" t="s">
        <v>26</v>
      </c>
      <c r="D56" s="4" t="s">
        <v>32</v>
      </c>
      <c r="E56" s="4" t="s">
        <v>27</v>
      </c>
      <c r="F56" s="4" t="s">
        <v>59</v>
      </c>
      <c r="G56">
        <v>3</v>
      </c>
      <c r="H56">
        <v>11</v>
      </c>
      <c r="I56" s="4" t="s">
        <v>116</v>
      </c>
      <c r="J56" s="4" t="s">
        <v>133</v>
      </c>
      <c r="K56" s="4" t="s">
        <v>134</v>
      </c>
      <c r="L56" s="4" t="s">
        <v>158</v>
      </c>
      <c r="M56">
        <v>10</v>
      </c>
    </row>
    <row r="57" spans="1:13" x14ac:dyDescent="0.2">
      <c r="A57" s="4" t="s">
        <v>240</v>
      </c>
      <c r="B57">
        <v>56</v>
      </c>
      <c r="C57" s="4" t="s">
        <v>26</v>
      </c>
      <c r="D57" s="4" t="s">
        <v>32</v>
      </c>
      <c r="E57" s="4" t="s">
        <v>32</v>
      </c>
      <c r="F57" s="4" t="s">
        <v>61</v>
      </c>
      <c r="G57">
        <v>3</v>
      </c>
      <c r="H57">
        <v>12</v>
      </c>
      <c r="I57" s="4" t="s">
        <v>114</v>
      </c>
      <c r="J57" s="4" t="s">
        <v>122</v>
      </c>
      <c r="K57" s="4" t="s">
        <v>123</v>
      </c>
      <c r="L57" s="4" t="s">
        <v>158</v>
      </c>
      <c r="M57">
        <v>57</v>
      </c>
    </row>
    <row r="58" spans="1:13" x14ac:dyDescent="0.2">
      <c r="A58" s="4" t="s">
        <v>241</v>
      </c>
      <c r="B58">
        <v>57</v>
      </c>
      <c r="C58" s="4" t="s">
        <v>26</v>
      </c>
      <c r="D58" s="4" t="s">
        <v>32</v>
      </c>
      <c r="E58" s="4" t="s">
        <v>32</v>
      </c>
      <c r="F58" s="4" t="s">
        <v>61</v>
      </c>
      <c r="G58">
        <v>3</v>
      </c>
      <c r="H58">
        <v>12</v>
      </c>
      <c r="I58" s="4" t="s">
        <v>112</v>
      </c>
      <c r="J58" s="4" t="s">
        <v>122</v>
      </c>
      <c r="K58" s="4" t="s">
        <v>123</v>
      </c>
      <c r="L58" s="4" t="s">
        <v>158</v>
      </c>
      <c r="M58">
        <v>132</v>
      </c>
    </row>
    <row r="59" spans="1:13" x14ac:dyDescent="0.2">
      <c r="A59" s="4" t="s">
        <v>242</v>
      </c>
      <c r="B59">
        <v>58</v>
      </c>
      <c r="C59" s="4" t="s">
        <v>26</v>
      </c>
      <c r="D59" s="4" t="s">
        <v>32</v>
      </c>
      <c r="E59" s="4" t="s">
        <v>32</v>
      </c>
      <c r="F59" s="4" t="s">
        <v>61</v>
      </c>
      <c r="G59">
        <v>3</v>
      </c>
      <c r="H59">
        <v>12</v>
      </c>
      <c r="I59" s="4" t="s">
        <v>116</v>
      </c>
      <c r="J59" s="4" t="s">
        <v>122</v>
      </c>
      <c r="K59" s="4" t="s">
        <v>123</v>
      </c>
      <c r="L59" s="4" t="s">
        <v>158</v>
      </c>
      <c r="M59">
        <v>36</v>
      </c>
    </row>
    <row r="60" spans="1:13" x14ac:dyDescent="0.2">
      <c r="A60" s="4" t="s">
        <v>243</v>
      </c>
      <c r="B60">
        <v>59</v>
      </c>
      <c r="C60" s="4" t="s">
        <v>26</v>
      </c>
      <c r="D60" s="4" t="s">
        <v>32</v>
      </c>
      <c r="E60" s="4" t="s">
        <v>32</v>
      </c>
      <c r="F60" s="4" t="s">
        <v>61</v>
      </c>
      <c r="G60">
        <v>3</v>
      </c>
      <c r="H60">
        <v>12</v>
      </c>
      <c r="I60" s="4" t="s">
        <v>112</v>
      </c>
      <c r="J60" s="4" t="s">
        <v>131</v>
      </c>
      <c r="K60" s="4" t="s">
        <v>132</v>
      </c>
      <c r="L60" s="4" t="s">
        <v>158</v>
      </c>
      <c r="M60">
        <v>22</v>
      </c>
    </row>
    <row r="61" spans="1:13" x14ac:dyDescent="0.2">
      <c r="A61" s="4" t="s">
        <v>244</v>
      </c>
      <c r="B61">
        <v>60</v>
      </c>
      <c r="C61" s="4" t="s">
        <v>26</v>
      </c>
      <c r="D61" s="4" t="s">
        <v>32</v>
      </c>
      <c r="E61" s="4" t="s">
        <v>35</v>
      </c>
      <c r="F61" s="4" t="s">
        <v>63</v>
      </c>
      <c r="G61">
        <v>3</v>
      </c>
      <c r="H61">
        <v>13</v>
      </c>
      <c r="I61" s="4" t="s">
        <v>114</v>
      </c>
      <c r="J61" s="4" t="s">
        <v>125</v>
      </c>
      <c r="K61" s="4" t="s">
        <v>126</v>
      </c>
      <c r="L61" s="4" t="s">
        <v>158</v>
      </c>
      <c r="M61">
        <v>35</v>
      </c>
    </row>
    <row r="62" spans="1:13" x14ac:dyDescent="0.2">
      <c r="A62" s="4" t="s">
        <v>245</v>
      </c>
      <c r="B62">
        <v>61</v>
      </c>
      <c r="C62" s="4" t="s">
        <v>26</v>
      </c>
      <c r="D62" s="4" t="s">
        <v>32</v>
      </c>
      <c r="E62" s="4" t="s">
        <v>35</v>
      </c>
      <c r="F62" s="4" t="s">
        <v>63</v>
      </c>
      <c r="G62">
        <v>3</v>
      </c>
      <c r="H62">
        <v>13</v>
      </c>
      <c r="I62" s="4" t="s">
        <v>114</v>
      </c>
      <c r="J62" s="4" t="s">
        <v>127</v>
      </c>
      <c r="K62" s="4" t="s">
        <v>128</v>
      </c>
      <c r="L62" s="4" t="s">
        <v>158</v>
      </c>
      <c r="M62">
        <v>85</v>
      </c>
    </row>
    <row r="63" spans="1:13" x14ac:dyDescent="0.2">
      <c r="A63" s="4" t="s">
        <v>246</v>
      </c>
      <c r="B63">
        <v>62</v>
      </c>
      <c r="C63" s="4" t="s">
        <v>26</v>
      </c>
      <c r="D63" s="4" t="s">
        <v>32</v>
      </c>
      <c r="E63" s="4" t="s">
        <v>35</v>
      </c>
      <c r="F63" s="4" t="s">
        <v>63</v>
      </c>
      <c r="G63">
        <v>3</v>
      </c>
      <c r="H63">
        <v>13</v>
      </c>
      <c r="I63" s="4" t="s">
        <v>112</v>
      </c>
      <c r="J63" s="4" t="s">
        <v>131</v>
      </c>
      <c r="K63" s="4" t="s">
        <v>132</v>
      </c>
      <c r="L63" s="4" t="s">
        <v>158</v>
      </c>
      <c r="M63">
        <v>3</v>
      </c>
    </row>
    <row r="64" spans="1:13" x14ac:dyDescent="0.2">
      <c r="A64" s="4" t="s">
        <v>247</v>
      </c>
      <c r="B64">
        <v>63</v>
      </c>
      <c r="C64" s="4" t="s">
        <v>26</v>
      </c>
      <c r="D64" s="4" t="s">
        <v>32</v>
      </c>
      <c r="E64" s="4" t="s">
        <v>38</v>
      </c>
      <c r="F64" s="4" t="s">
        <v>65</v>
      </c>
      <c r="G64">
        <v>3</v>
      </c>
      <c r="H64">
        <v>14</v>
      </c>
      <c r="I64" s="4" t="s">
        <v>114</v>
      </c>
      <c r="J64" s="4" t="s">
        <v>122</v>
      </c>
      <c r="K64" s="4" t="s">
        <v>123</v>
      </c>
      <c r="L64" s="4" t="s">
        <v>158</v>
      </c>
      <c r="M64">
        <v>68</v>
      </c>
    </row>
    <row r="65" spans="1:13" x14ac:dyDescent="0.2">
      <c r="A65" s="4" t="s">
        <v>248</v>
      </c>
      <c r="B65">
        <v>64</v>
      </c>
      <c r="C65" s="4" t="s">
        <v>26</v>
      </c>
      <c r="D65" s="4" t="s">
        <v>32</v>
      </c>
      <c r="E65" s="4" t="s">
        <v>38</v>
      </c>
      <c r="F65" s="4" t="s">
        <v>65</v>
      </c>
      <c r="G65">
        <v>3</v>
      </c>
      <c r="H65">
        <v>14</v>
      </c>
      <c r="I65" s="4" t="s">
        <v>112</v>
      </c>
      <c r="J65" s="4" t="s">
        <v>122</v>
      </c>
      <c r="K65" s="4" t="s">
        <v>123</v>
      </c>
      <c r="L65" s="4" t="s">
        <v>158</v>
      </c>
      <c r="M65">
        <v>202</v>
      </c>
    </row>
    <row r="66" spans="1:13" x14ac:dyDescent="0.2">
      <c r="A66" s="4" t="s">
        <v>249</v>
      </c>
      <c r="B66">
        <v>65</v>
      </c>
      <c r="C66" s="4" t="s">
        <v>26</v>
      </c>
      <c r="D66" s="4" t="s">
        <v>32</v>
      </c>
      <c r="E66" s="4" t="s">
        <v>38</v>
      </c>
      <c r="F66" s="4" t="s">
        <v>65</v>
      </c>
      <c r="G66">
        <v>3</v>
      </c>
      <c r="H66">
        <v>14</v>
      </c>
      <c r="I66" s="4" t="s">
        <v>116</v>
      </c>
      <c r="J66" s="4" t="s">
        <v>122</v>
      </c>
      <c r="K66" s="4" t="s">
        <v>123</v>
      </c>
      <c r="L66" s="4" t="s">
        <v>158</v>
      </c>
      <c r="M66">
        <v>50</v>
      </c>
    </row>
    <row r="67" spans="1:13" x14ac:dyDescent="0.2">
      <c r="A67" s="4" t="s">
        <v>250</v>
      </c>
      <c r="B67">
        <v>66</v>
      </c>
      <c r="C67" s="4" t="s">
        <v>26</v>
      </c>
      <c r="D67" s="4" t="s">
        <v>32</v>
      </c>
      <c r="E67" s="4" t="s">
        <v>38</v>
      </c>
      <c r="F67" s="4" t="s">
        <v>65</v>
      </c>
      <c r="G67">
        <v>3</v>
      </c>
      <c r="H67">
        <v>14</v>
      </c>
      <c r="I67" s="4" t="s">
        <v>114</v>
      </c>
      <c r="J67" s="4" t="s">
        <v>127</v>
      </c>
      <c r="K67" s="4" t="s">
        <v>128</v>
      </c>
      <c r="L67" s="4" t="s">
        <v>158</v>
      </c>
      <c r="M67">
        <v>65</v>
      </c>
    </row>
    <row r="68" spans="1:13" x14ac:dyDescent="0.2">
      <c r="A68" s="4" t="s">
        <v>251</v>
      </c>
      <c r="B68">
        <v>67</v>
      </c>
      <c r="C68" s="4" t="s">
        <v>26</v>
      </c>
      <c r="D68" s="4" t="s">
        <v>32</v>
      </c>
      <c r="E68" s="4" t="s">
        <v>38</v>
      </c>
      <c r="F68" s="4" t="s">
        <v>65</v>
      </c>
      <c r="G68">
        <v>3</v>
      </c>
      <c r="H68">
        <v>14</v>
      </c>
      <c r="I68" s="4" t="s">
        <v>112</v>
      </c>
      <c r="J68" s="4" t="s">
        <v>127</v>
      </c>
      <c r="K68" s="4" t="s">
        <v>128</v>
      </c>
      <c r="L68" s="4" t="s">
        <v>158</v>
      </c>
      <c r="M68">
        <v>62</v>
      </c>
    </row>
    <row r="69" spans="1:13" x14ac:dyDescent="0.2">
      <c r="A69" s="4" t="s">
        <v>252</v>
      </c>
      <c r="B69">
        <v>68</v>
      </c>
      <c r="C69" s="4" t="s">
        <v>26</v>
      </c>
      <c r="D69" s="4" t="s">
        <v>32</v>
      </c>
      <c r="E69" s="4" t="s">
        <v>38</v>
      </c>
      <c r="F69" s="4" t="s">
        <v>65</v>
      </c>
      <c r="G69">
        <v>3</v>
      </c>
      <c r="H69">
        <v>14</v>
      </c>
      <c r="I69" s="4" t="s">
        <v>114</v>
      </c>
      <c r="J69" s="4" t="s">
        <v>131</v>
      </c>
      <c r="K69" s="4" t="s">
        <v>132</v>
      </c>
      <c r="L69" s="4" t="s">
        <v>158</v>
      </c>
      <c r="M69">
        <v>36</v>
      </c>
    </row>
    <row r="70" spans="1:13" x14ac:dyDescent="0.2">
      <c r="A70" s="4" t="s">
        <v>253</v>
      </c>
      <c r="B70">
        <v>69</v>
      </c>
      <c r="C70" s="4" t="s">
        <v>26</v>
      </c>
      <c r="D70" s="4" t="s">
        <v>32</v>
      </c>
      <c r="E70" s="4" t="s">
        <v>38</v>
      </c>
      <c r="F70" s="4" t="s">
        <v>65</v>
      </c>
      <c r="G70">
        <v>3</v>
      </c>
      <c r="H70">
        <v>14</v>
      </c>
      <c r="I70" s="4" t="s">
        <v>112</v>
      </c>
      <c r="J70" s="4" t="s">
        <v>131</v>
      </c>
      <c r="K70" s="4" t="s">
        <v>132</v>
      </c>
      <c r="L70" s="4" t="s">
        <v>158</v>
      </c>
      <c r="M70">
        <v>23</v>
      </c>
    </row>
    <row r="71" spans="1:13" x14ac:dyDescent="0.2">
      <c r="A71" s="4" t="s">
        <v>254</v>
      </c>
      <c r="B71">
        <v>70</v>
      </c>
      <c r="C71" s="4" t="s">
        <v>26</v>
      </c>
      <c r="D71" s="4" t="s">
        <v>32</v>
      </c>
      <c r="E71" s="4" t="s">
        <v>41</v>
      </c>
      <c r="F71" s="4" t="s">
        <v>67</v>
      </c>
      <c r="G71">
        <v>3</v>
      </c>
      <c r="H71">
        <v>15</v>
      </c>
      <c r="I71" s="4" t="s">
        <v>112</v>
      </c>
      <c r="J71" s="4" t="s">
        <v>122</v>
      </c>
      <c r="K71" s="4" t="s">
        <v>123</v>
      </c>
      <c r="L71" s="4" t="s">
        <v>158</v>
      </c>
      <c r="M71">
        <v>18</v>
      </c>
    </row>
    <row r="72" spans="1:13" x14ac:dyDescent="0.2">
      <c r="A72" s="4" t="s">
        <v>255</v>
      </c>
      <c r="B72">
        <v>71</v>
      </c>
      <c r="C72" s="4" t="s">
        <v>26</v>
      </c>
      <c r="D72" s="4" t="s">
        <v>32</v>
      </c>
      <c r="E72" s="4" t="s">
        <v>41</v>
      </c>
      <c r="F72" s="4" t="s">
        <v>67</v>
      </c>
      <c r="G72">
        <v>3</v>
      </c>
      <c r="H72">
        <v>15</v>
      </c>
      <c r="I72" s="4" t="s">
        <v>112</v>
      </c>
      <c r="J72" s="4" t="s">
        <v>125</v>
      </c>
      <c r="K72" s="4" t="s">
        <v>126</v>
      </c>
      <c r="L72" s="4" t="s">
        <v>158</v>
      </c>
      <c r="M72">
        <v>29</v>
      </c>
    </row>
    <row r="73" spans="1:13" x14ac:dyDescent="0.2">
      <c r="A73" s="4" t="s">
        <v>256</v>
      </c>
      <c r="B73">
        <v>72</v>
      </c>
      <c r="C73" s="4" t="s">
        <v>26</v>
      </c>
      <c r="D73" s="4" t="s">
        <v>32</v>
      </c>
      <c r="E73" s="4" t="s">
        <v>41</v>
      </c>
      <c r="F73" s="4" t="s">
        <v>67</v>
      </c>
      <c r="G73">
        <v>3</v>
      </c>
      <c r="H73">
        <v>15</v>
      </c>
      <c r="I73" s="4" t="s">
        <v>114</v>
      </c>
      <c r="J73" s="4" t="s">
        <v>127</v>
      </c>
      <c r="K73" s="4" t="s">
        <v>128</v>
      </c>
      <c r="L73" s="4" t="s">
        <v>158</v>
      </c>
      <c r="M73">
        <v>62</v>
      </c>
    </row>
    <row r="74" spans="1:13" x14ac:dyDescent="0.2">
      <c r="A74" s="4" t="s">
        <v>257</v>
      </c>
      <c r="B74">
        <v>73</v>
      </c>
      <c r="C74" s="4" t="s">
        <v>26</v>
      </c>
      <c r="D74" s="4" t="s">
        <v>32</v>
      </c>
      <c r="E74" s="4" t="s">
        <v>41</v>
      </c>
      <c r="F74" s="4" t="s">
        <v>67</v>
      </c>
      <c r="G74">
        <v>3</v>
      </c>
      <c r="H74">
        <v>15</v>
      </c>
      <c r="I74" s="4" t="s">
        <v>112</v>
      </c>
      <c r="J74" s="4" t="s">
        <v>127</v>
      </c>
      <c r="K74" s="4" t="s">
        <v>128</v>
      </c>
      <c r="L74" s="4" t="s">
        <v>158</v>
      </c>
      <c r="M74">
        <v>51</v>
      </c>
    </row>
    <row r="75" spans="1:13" x14ac:dyDescent="0.2">
      <c r="A75" s="4" t="s">
        <v>258</v>
      </c>
      <c r="B75">
        <v>74</v>
      </c>
      <c r="C75" s="4" t="s">
        <v>26</v>
      </c>
      <c r="D75" s="4" t="s">
        <v>32</v>
      </c>
      <c r="E75" s="4" t="s">
        <v>41</v>
      </c>
      <c r="F75" s="4" t="s">
        <v>67</v>
      </c>
      <c r="G75">
        <v>3</v>
      </c>
      <c r="H75">
        <v>15</v>
      </c>
      <c r="I75" s="4" t="s">
        <v>116</v>
      </c>
      <c r="J75" s="4" t="s">
        <v>129</v>
      </c>
      <c r="K75" s="4" t="s">
        <v>130</v>
      </c>
      <c r="L75" s="4" t="s">
        <v>158</v>
      </c>
      <c r="M75">
        <v>34</v>
      </c>
    </row>
    <row r="76" spans="1:13" x14ac:dyDescent="0.2">
      <c r="A76" s="4" t="s">
        <v>259</v>
      </c>
      <c r="B76">
        <v>75</v>
      </c>
      <c r="C76" s="4" t="s">
        <v>26</v>
      </c>
      <c r="D76" s="4" t="s">
        <v>32</v>
      </c>
      <c r="E76" s="4" t="s">
        <v>41</v>
      </c>
      <c r="F76" s="4" t="s">
        <v>67</v>
      </c>
      <c r="G76">
        <v>3</v>
      </c>
      <c r="H76">
        <v>15</v>
      </c>
      <c r="I76" s="4" t="s">
        <v>114</v>
      </c>
      <c r="J76" s="4" t="s">
        <v>131</v>
      </c>
      <c r="K76" s="4" t="s">
        <v>132</v>
      </c>
      <c r="L76" s="4" t="s">
        <v>158</v>
      </c>
      <c r="M76">
        <v>34</v>
      </c>
    </row>
    <row r="77" spans="1:13" x14ac:dyDescent="0.2">
      <c r="A77" s="4" t="s">
        <v>260</v>
      </c>
      <c r="B77">
        <v>76</v>
      </c>
      <c r="C77" s="4" t="s">
        <v>26</v>
      </c>
      <c r="D77" s="4" t="s">
        <v>32</v>
      </c>
      <c r="E77" s="4" t="s">
        <v>41</v>
      </c>
      <c r="F77" s="4" t="s">
        <v>67</v>
      </c>
      <c r="G77">
        <v>3</v>
      </c>
      <c r="H77">
        <v>15</v>
      </c>
      <c r="I77" s="4" t="s">
        <v>112</v>
      </c>
      <c r="J77" s="4" t="s">
        <v>131</v>
      </c>
      <c r="K77" s="4" t="s">
        <v>132</v>
      </c>
      <c r="L77" s="4" t="s">
        <v>158</v>
      </c>
      <c r="M77">
        <v>37</v>
      </c>
    </row>
    <row r="78" spans="1:13" x14ac:dyDescent="0.2">
      <c r="A78" s="4" t="s">
        <v>261</v>
      </c>
      <c r="B78">
        <v>77</v>
      </c>
      <c r="C78" s="4" t="s">
        <v>26</v>
      </c>
      <c r="D78" s="4" t="s">
        <v>32</v>
      </c>
      <c r="E78" s="4" t="s">
        <v>44</v>
      </c>
      <c r="F78" s="4" t="s">
        <v>69</v>
      </c>
      <c r="G78">
        <v>4</v>
      </c>
      <c r="H78">
        <v>16</v>
      </c>
      <c r="I78" s="4" t="s">
        <v>112</v>
      </c>
      <c r="J78" s="4" t="s">
        <v>122</v>
      </c>
      <c r="K78" s="4" t="s">
        <v>123</v>
      </c>
      <c r="L78" s="4" t="s">
        <v>158</v>
      </c>
      <c r="M78">
        <v>64</v>
      </c>
    </row>
    <row r="79" spans="1:13" x14ac:dyDescent="0.2">
      <c r="A79" s="4" t="s">
        <v>262</v>
      </c>
      <c r="B79">
        <v>78</v>
      </c>
      <c r="C79" s="4" t="s">
        <v>26</v>
      </c>
      <c r="D79" s="4" t="s">
        <v>32</v>
      </c>
      <c r="E79" s="4" t="s">
        <v>44</v>
      </c>
      <c r="F79" s="4" t="s">
        <v>69</v>
      </c>
      <c r="G79">
        <v>4</v>
      </c>
      <c r="H79">
        <v>16</v>
      </c>
      <c r="I79" s="4" t="s">
        <v>114</v>
      </c>
      <c r="J79" s="4" t="s">
        <v>127</v>
      </c>
      <c r="K79" s="4" t="s">
        <v>128</v>
      </c>
      <c r="L79" s="4" t="s">
        <v>158</v>
      </c>
      <c r="M79">
        <v>53</v>
      </c>
    </row>
    <row r="80" spans="1:13" x14ac:dyDescent="0.2">
      <c r="A80" s="4" t="s">
        <v>263</v>
      </c>
      <c r="B80">
        <v>79</v>
      </c>
      <c r="C80" s="4" t="s">
        <v>26</v>
      </c>
      <c r="D80" s="4" t="s">
        <v>32</v>
      </c>
      <c r="E80" s="4" t="s">
        <v>44</v>
      </c>
      <c r="F80" s="4" t="s">
        <v>69</v>
      </c>
      <c r="G80">
        <v>4</v>
      </c>
      <c r="H80">
        <v>16</v>
      </c>
      <c r="I80" s="4" t="s">
        <v>112</v>
      </c>
      <c r="J80" s="4" t="s">
        <v>127</v>
      </c>
      <c r="K80" s="4" t="s">
        <v>128</v>
      </c>
      <c r="L80" s="4" t="s">
        <v>158</v>
      </c>
      <c r="M80">
        <v>60</v>
      </c>
    </row>
    <row r="81" spans="1:13" x14ac:dyDescent="0.2">
      <c r="A81" s="4" t="s">
        <v>264</v>
      </c>
      <c r="B81">
        <v>80</v>
      </c>
      <c r="C81" s="4" t="s">
        <v>26</v>
      </c>
      <c r="D81" s="4" t="s">
        <v>32</v>
      </c>
      <c r="E81" s="4" t="s">
        <v>44</v>
      </c>
      <c r="F81" s="4" t="s">
        <v>69</v>
      </c>
      <c r="G81">
        <v>4</v>
      </c>
      <c r="H81">
        <v>16</v>
      </c>
      <c r="I81" s="4" t="s">
        <v>116</v>
      </c>
      <c r="J81" s="4" t="s">
        <v>129</v>
      </c>
      <c r="K81" s="4" t="s">
        <v>130</v>
      </c>
      <c r="L81" s="4" t="s">
        <v>158</v>
      </c>
      <c r="M81">
        <v>49</v>
      </c>
    </row>
    <row r="82" spans="1:13" x14ac:dyDescent="0.2">
      <c r="A82" s="4" t="s">
        <v>265</v>
      </c>
      <c r="B82">
        <v>81</v>
      </c>
      <c r="C82" s="4" t="s">
        <v>26</v>
      </c>
      <c r="D82" s="4" t="s">
        <v>32</v>
      </c>
      <c r="E82" s="4" t="s">
        <v>44</v>
      </c>
      <c r="F82" s="4" t="s">
        <v>69</v>
      </c>
      <c r="G82">
        <v>4</v>
      </c>
      <c r="H82">
        <v>16</v>
      </c>
      <c r="I82" s="4" t="s">
        <v>112</v>
      </c>
      <c r="J82" s="4" t="s">
        <v>129</v>
      </c>
      <c r="K82" s="4" t="s">
        <v>130</v>
      </c>
      <c r="L82" s="4" t="s">
        <v>158</v>
      </c>
      <c r="M82">
        <v>21</v>
      </c>
    </row>
    <row r="83" spans="1:13" x14ac:dyDescent="0.2">
      <c r="A83" s="4" t="s">
        <v>266</v>
      </c>
      <c r="B83">
        <v>82</v>
      </c>
      <c r="C83" s="4" t="s">
        <v>26</v>
      </c>
      <c r="D83" s="4" t="s">
        <v>32</v>
      </c>
      <c r="E83" s="4" t="s">
        <v>44</v>
      </c>
      <c r="F83" s="4" t="s">
        <v>69</v>
      </c>
      <c r="G83">
        <v>4</v>
      </c>
      <c r="H83">
        <v>16</v>
      </c>
      <c r="I83" s="4" t="s">
        <v>114</v>
      </c>
      <c r="J83" s="4" t="s">
        <v>129</v>
      </c>
      <c r="K83" s="4" t="s">
        <v>130</v>
      </c>
      <c r="L83" s="4" t="s">
        <v>158</v>
      </c>
      <c r="M83">
        <v>23</v>
      </c>
    </row>
    <row r="84" spans="1:13" x14ac:dyDescent="0.2">
      <c r="A84" s="4" t="s">
        <v>267</v>
      </c>
      <c r="B84">
        <v>83</v>
      </c>
      <c r="C84" s="4" t="s">
        <v>26</v>
      </c>
      <c r="D84" s="4" t="s">
        <v>32</v>
      </c>
      <c r="E84" s="4" t="s">
        <v>44</v>
      </c>
      <c r="F84" s="4" t="s">
        <v>69</v>
      </c>
      <c r="G84">
        <v>4</v>
      </c>
      <c r="H84">
        <v>16</v>
      </c>
      <c r="I84" s="4" t="s">
        <v>114</v>
      </c>
      <c r="J84" s="4" t="s">
        <v>131</v>
      </c>
      <c r="K84" s="4" t="s">
        <v>132</v>
      </c>
      <c r="L84" s="4" t="s">
        <v>158</v>
      </c>
      <c r="M84">
        <v>36</v>
      </c>
    </row>
    <row r="85" spans="1:13" x14ac:dyDescent="0.2">
      <c r="A85" s="4" t="s">
        <v>268</v>
      </c>
      <c r="B85">
        <v>84</v>
      </c>
      <c r="C85" s="4" t="s">
        <v>26</v>
      </c>
      <c r="D85" s="4" t="s">
        <v>32</v>
      </c>
      <c r="E85" s="4" t="s">
        <v>47</v>
      </c>
      <c r="F85" s="4" t="s">
        <v>71</v>
      </c>
      <c r="G85">
        <v>4</v>
      </c>
      <c r="H85">
        <v>17</v>
      </c>
      <c r="I85" s="4" t="s">
        <v>112</v>
      </c>
      <c r="J85" s="4" t="s">
        <v>122</v>
      </c>
      <c r="K85" s="4" t="s">
        <v>123</v>
      </c>
      <c r="L85" s="4" t="s">
        <v>158</v>
      </c>
      <c r="M85">
        <v>156</v>
      </c>
    </row>
    <row r="86" spans="1:13" x14ac:dyDescent="0.2">
      <c r="A86" s="4" t="s">
        <v>269</v>
      </c>
      <c r="B86">
        <v>85</v>
      </c>
      <c r="C86" s="4" t="s">
        <v>26</v>
      </c>
      <c r="D86" s="4" t="s">
        <v>32</v>
      </c>
      <c r="E86" s="4" t="s">
        <v>47</v>
      </c>
      <c r="F86" s="4" t="s">
        <v>71</v>
      </c>
      <c r="G86">
        <v>4</v>
      </c>
      <c r="H86">
        <v>17</v>
      </c>
      <c r="I86" s="4" t="s">
        <v>114</v>
      </c>
      <c r="J86" s="4" t="s">
        <v>125</v>
      </c>
      <c r="K86" s="4" t="s">
        <v>126</v>
      </c>
      <c r="L86" s="4" t="s">
        <v>158</v>
      </c>
      <c r="M86">
        <v>19</v>
      </c>
    </row>
    <row r="87" spans="1:13" x14ac:dyDescent="0.2">
      <c r="A87" s="4" t="s">
        <v>270</v>
      </c>
      <c r="B87">
        <v>86</v>
      </c>
      <c r="C87" s="4" t="s">
        <v>26</v>
      </c>
      <c r="D87" s="4" t="s">
        <v>32</v>
      </c>
      <c r="E87" s="4" t="s">
        <v>47</v>
      </c>
      <c r="F87" s="4" t="s">
        <v>71</v>
      </c>
      <c r="G87">
        <v>4</v>
      </c>
      <c r="H87">
        <v>17</v>
      </c>
      <c r="I87" s="4" t="s">
        <v>114</v>
      </c>
      <c r="J87" s="4" t="s">
        <v>127</v>
      </c>
      <c r="K87" s="4" t="s">
        <v>128</v>
      </c>
      <c r="L87" s="4" t="s">
        <v>158</v>
      </c>
      <c r="M87">
        <v>48</v>
      </c>
    </row>
    <row r="88" spans="1:13" x14ac:dyDescent="0.2">
      <c r="A88" s="4" t="s">
        <v>271</v>
      </c>
      <c r="B88">
        <v>87</v>
      </c>
      <c r="C88" s="4" t="s">
        <v>26</v>
      </c>
      <c r="D88" s="4" t="s">
        <v>32</v>
      </c>
      <c r="E88" s="4" t="s">
        <v>47</v>
      </c>
      <c r="F88" s="4" t="s">
        <v>71</v>
      </c>
      <c r="G88">
        <v>4</v>
      </c>
      <c r="H88">
        <v>17</v>
      </c>
      <c r="I88" s="4" t="s">
        <v>112</v>
      </c>
      <c r="J88" s="4" t="s">
        <v>127</v>
      </c>
      <c r="K88" s="4" t="s">
        <v>128</v>
      </c>
      <c r="L88" s="4" t="s">
        <v>158</v>
      </c>
      <c r="M88">
        <v>60</v>
      </c>
    </row>
    <row r="89" spans="1:13" x14ac:dyDescent="0.2">
      <c r="A89" s="4" t="s">
        <v>272</v>
      </c>
      <c r="B89">
        <v>88</v>
      </c>
      <c r="C89" s="4" t="s">
        <v>26</v>
      </c>
      <c r="D89" s="4" t="s">
        <v>32</v>
      </c>
      <c r="E89" s="4" t="s">
        <v>47</v>
      </c>
      <c r="F89" s="4" t="s">
        <v>71</v>
      </c>
      <c r="G89">
        <v>4</v>
      </c>
      <c r="H89">
        <v>17</v>
      </c>
      <c r="I89" s="4" t="s">
        <v>112</v>
      </c>
      <c r="J89" s="4" t="s">
        <v>131</v>
      </c>
      <c r="K89" s="4" t="s">
        <v>132</v>
      </c>
      <c r="L89" s="4" t="s">
        <v>158</v>
      </c>
      <c r="M89">
        <v>31</v>
      </c>
    </row>
    <row r="90" spans="1:13" x14ac:dyDescent="0.2">
      <c r="A90" s="4" t="s">
        <v>273</v>
      </c>
      <c r="B90">
        <v>89</v>
      </c>
      <c r="C90" s="4" t="s">
        <v>26</v>
      </c>
      <c r="D90" s="4" t="s">
        <v>32</v>
      </c>
      <c r="E90" s="4" t="s">
        <v>47</v>
      </c>
      <c r="F90" s="4" t="s">
        <v>71</v>
      </c>
      <c r="G90">
        <v>4</v>
      </c>
      <c r="H90">
        <v>17</v>
      </c>
      <c r="I90" s="4" t="s">
        <v>114</v>
      </c>
      <c r="J90" s="4" t="s">
        <v>133</v>
      </c>
      <c r="K90" s="4" t="s">
        <v>134</v>
      </c>
      <c r="L90" s="4" t="s">
        <v>158</v>
      </c>
      <c r="M90">
        <v>35</v>
      </c>
    </row>
    <row r="91" spans="1:13" x14ac:dyDescent="0.2">
      <c r="A91" s="4" t="s">
        <v>274</v>
      </c>
      <c r="B91">
        <v>90</v>
      </c>
      <c r="C91" s="4" t="s">
        <v>26</v>
      </c>
      <c r="D91" s="4" t="s">
        <v>32</v>
      </c>
      <c r="E91" s="4" t="s">
        <v>47</v>
      </c>
      <c r="F91" s="4" t="s">
        <v>71</v>
      </c>
      <c r="G91">
        <v>4</v>
      </c>
      <c r="H91">
        <v>17</v>
      </c>
      <c r="I91" s="4" t="s">
        <v>112</v>
      </c>
      <c r="J91" s="4" t="s">
        <v>133</v>
      </c>
      <c r="K91" s="4" t="s">
        <v>134</v>
      </c>
      <c r="L91" s="4" t="s">
        <v>158</v>
      </c>
      <c r="M91">
        <v>60</v>
      </c>
    </row>
    <row r="92" spans="1:13" x14ac:dyDescent="0.2">
      <c r="A92" s="4" t="s">
        <v>275</v>
      </c>
      <c r="B92">
        <v>91</v>
      </c>
      <c r="C92" s="4" t="s">
        <v>26</v>
      </c>
      <c r="D92" s="4" t="s">
        <v>32</v>
      </c>
      <c r="E92" s="4" t="s">
        <v>50</v>
      </c>
      <c r="F92" s="4" t="s">
        <v>73</v>
      </c>
      <c r="G92">
        <v>4</v>
      </c>
      <c r="H92">
        <v>18</v>
      </c>
      <c r="I92" s="4" t="s">
        <v>114</v>
      </c>
      <c r="J92" s="4" t="s">
        <v>127</v>
      </c>
      <c r="K92" s="4" t="s">
        <v>128</v>
      </c>
      <c r="L92" s="4" t="s">
        <v>158</v>
      </c>
      <c r="M92">
        <v>68</v>
      </c>
    </row>
    <row r="93" spans="1:13" x14ac:dyDescent="0.2">
      <c r="A93" s="4" t="s">
        <v>276</v>
      </c>
      <c r="B93">
        <v>92</v>
      </c>
      <c r="C93" s="4" t="s">
        <v>26</v>
      </c>
      <c r="D93" s="4" t="s">
        <v>32</v>
      </c>
      <c r="E93" s="4" t="s">
        <v>50</v>
      </c>
      <c r="F93" s="4" t="s">
        <v>73</v>
      </c>
      <c r="G93">
        <v>4</v>
      </c>
      <c r="H93">
        <v>18</v>
      </c>
      <c r="I93" s="4" t="s">
        <v>116</v>
      </c>
      <c r="J93" s="4" t="s">
        <v>129</v>
      </c>
      <c r="K93" s="4" t="s">
        <v>130</v>
      </c>
      <c r="L93" s="4" t="s">
        <v>158</v>
      </c>
      <c r="M93">
        <v>23</v>
      </c>
    </row>
    <row r="94" spans="1:13" x14ac:dyDescent="0.2">
      <c r="A94" s="4" t="s">
        <v>277</v>
      </c>
      <c r="B94">
        <v>93</v>
      </c>
      <c r="C94" s="4" t="s">
        <v>26</v>
      </c>
      <c r="D94" s="4" t="s">
        <v>32</v>
      </c>
      <c r="E94" s="4" t="s">
        <v>50</v>
      </c>
      <c r="F94" s="4" t="s">
        <v>73</v>
      </c>
      <c r="G94">
        <v>4</v>
      </c>
      <c r="H94">
        <v>18</v>
      </c>
      <c r="I94" s="4" t="s">
        <v>114</v>
      </c>
      <c r="J94" s="4" t="s">
        <v>131</v>
      </c>
      <c r="K94" s="4" t="s">
        <v>132</v>
      </c>
      <c r="L94" s="4" t="s">
        <v>158</v>
      </c>
      <c r="M94">
        <v>28</v>
      </c>
    </row>
    <row r="95" spans="1:13" x14ac:dyDescent="0.2">
      <c r="A95" s="4" t="s">
        <v>278</v>
      </c>
      <c r="B95">
        <v>94</v>
      </c>
      <c r="C95" s="4" t="s">
        <v>26</v>
      </c>
      <c r="D95" s="4" t="s">
        <v>32</v>
      </c>
      <c r="E95" s="4" t="s">
        <v>50</v>
      </c>
      <c r="F95" s="4" t="s">
        <v>73</v>
      </c>
      <c r="G95">
        <v>4</v>
      </c>
      <c r="H95">
        <v>18</v>
      </c>
      <c r="I95" s="4" t="s">
        <v>116</v>
      </c>
      <c r="J95" s="4" t="s">
        <v>133</v>
      </c>
      <c r="K95" s="4" t="s">
        <v>134</v>
      </c>
      <c r="L95" s="4" t="s">
        <v>158</v>
      </c>
      <c r="M95">
        <v>33</v>
      </c>
    </row>
    <row r="96" spans="1:13" x14ac:dyDescent="0.2">
      <c r="A96" s="4" t="s">
        <v>279</v>
      </c>
      <c r="B96">
        <v>95</v>
      </c>
      <c r="C96" s="4" t="s">
        <v>26</v>
      </c>
      <c r="D96" s="4" t="s">
        <v>32</v>
      </c>
      <c r="E96" s="4" t="s">
        <v>53</v>
      </c>
      <c r="F96" s="4" t="s">
        <v>75</v>
      </c>
      <c r="G96">
        <v>4</v>
      </c>
      <c r="H96">
        <v>19</v>
      </c>
      <c r="I96" s="4" t="s">
        <v>112</v>
      </c>
      <c r="J96" s="4" t="s">
        <v>122</v>
      </c>
      <c r="K96" s="4" t="s">
        <v>123</v>
      </c>
      <c r="L96" s="4" t="s">
        <v>158</v>
      </c>
      <c r="M96">
        <v>133</v>
      </c>
    </row>
    <row r="97" spans="1:13" x14ac:dyDescent="0.2">
      <c r="A97" s="4" t="s">
        <v>280</v>
      </c>
      <c r="B97">
        <v>96</v>
      </c>
      <c r="C97" s="4" t="s">
        <v>26</v>
      </c>
      <c r="D97" s="4" t="s">
        <v>32</v>
      </c>
      <c r="E97" s="4" t="s">
        <v>53</v>
      </c>
      <c r="F97" s="4" t="s">
        <v>75</v>
      </c>
      <c r="G97">
        <v>4</v>
      </c>
      <c r="H97">
        <v>19</v>
      </c>
      <c r="I97" s="4" t="s">
        <v>116</v>
      </c>
      <c r="J97" s="4" t="s">
        <v>122</v>
      </c>
      <c r="K97" s="4" t="s">
        <v>123</v>
      </c>
      <c r="L97" s="4" t="s">
        <v>158</v>
      </c>
      <c r="M97">
        <v>50</v>
      </c>
    </row>
    <row r="98" spans="1:13" x14ac:dyDescent="0.2">
      <c r="A98" s="4" t="s">
        <v>281</v>
      </c>
      <c r="B98">
        <v>97</v>
      </c>
      <c r="C98" s="4" t="s">
        <v>26</v>
      </c>
      <c r="D98" s="4" t="s">
        <v>32</v>
      </c>
      <c r="E98" s="4" t="s">
        <v>53</v>
      </c>
      <c r="F98" s="4" t="s">
        <v>75</v>
      </c>
      <c r="G98">
        <v>4</v>
      </c>
      <c r="H98">
        <v>19</v>
      </c>
      <c r="I98" s="4" t="s">
        <v>112</v>
      </c>
      <c r="J98" s="4" t="s">
        <v>125</v>
      </c>
      <c r="K98" s="4" t="s">
        <v>126</v>
      </c>
      <c r="L98" s="4" t="s">
        <v>158</v>
      </c>
      <c r="M98">
        <v>18</v>
      </c>
    </row>
    <row r="99" spans="1:13" x14ac:dyDescent="0.2">
      <c r="A99" s="4" t="s">
        <v>282</v>
      </c>
      <c r="B99">
        <v>98</v>
      </c>
      <c r="C99" s="4" t="s">
        <v>26</v>
      </c>
      <c r="D99" s="4" t="s">
        <v>32</v>
      </c>
      <c r="E99" s="4" t="s">
        <v>53</v>
      </c>
      <c r="F99" s="4" t="s">
        <v>75</v>
      </c>
      <c r="G99">
        <v>4</v>
      </c>
      <c r="H99">
        <v>19</v>
      </c>
      <c r="I99" s="4" t="s">
        <v>114</v>
      </c>
      <c r="J99" s="4" t="s">
        <v>127</v>
      </c>
      <c r="K99" s="4" t="s">
        <v>128</v>
      </c>
      <c r="L99" s="4" t="s">
        <v>158</v>
      </c>
      <c r="M99">
        <v>27</v>
      </c>
    </row>
    <row r="100" spans="1:13" x14ac:dyDescent="0.2">
      <c r="A100" s="4" t="s">
        <v>283</v>
      </c>
      <c r="B100">
        <v>99</v>
      </c>
      <c r="C100" s="4" t="s">
        <v>26</v>
      </c>
      <c r="D100" s="4" t="s">
        <v>32</v>
      </c>
      <c r="E100" s="4" t="s">
        <v>53</v>
      </c>
      <c r="F100" s="4" t="s">
        <v>75</v>
      </c>
      <c r="G100">
        <v>4</v>
      </c>
      <c r="H100">
        <v>19</v>
      </c>
      <c r="I100" s="4" t="s">
        <v>112</v>
      </c>
      <c r="J100" s="4" t="s">
        <v>127</v>
      </c>
      <c r="K100" s="4" t="s">
        <v>128</v>
      </c>
      <c r="L100" s="4" t="s">
        <v>158</v>
      </c>
      <c r="M100">
        <v>65</v>
      </c>
    </row>
    <row r="101" spans="1:13" x14ac:dyDescent="0.2">
      <c r="A101" s="4" t="s">
        <v>284</v>
      </c>
      <c r="B101">
        <v>100</v>
      </c>
      <c r="C101" s="4" t="s">
        <v>26</v>
      </c>
      <c r="D101" s="4" t="s">
        <v>32</v>
      </c>
      <c r="E101" s="4" t="s">
        <v>53</v>
      </c>
      <c r="F101" s="4" t="s">
        <v>75</v>
      </c>
      <c r="G101">
        <v>4</v>
      </c>
      <c r="H101">
        <v>19</v>
      </c>
      <c r="I101" s="4" t="s">
        <v>116</v>
      </c>
      <c r="J101" s="4" t="s">
        <v>127</v>
      </c>
      <c r="K101" s="4" t="s">
        <v>128</v>
      </c>
      <c r="L101" s="4" t="s">
        <v>158</v>
      </c>
      <c r="M101">
        <v>20</v>
      </c>
    </row>
    <row r="102" spans="1:13" x14ac:dyDescent="0.2">
      <c r="A102" s="4" t="s">
        <v>285</v>
      </c>
      <c r="B102">
        <v>101</v>
      </c>
      <c r="C102" s="4" t="s">
        <v>26</v>
      </c>
      <c r="D102" s="4" t="s">
        <v>32</v>
      </c>
      <c r="E102" s="4" t="s">
        <v>53</v>
      </c>
      <c r="F102" s="4" t="s">
        <v>75</v>
      </c>
      <c r="G102">
        <v>4</v>
      </c>
      <c r="H102">
        <v>19</v>
      </c>
      <c r="I102" s="4" t="s">
        <v>116</v>
      </c>
      <c r="J102" s="4" t="s">
        <v>129</v>
      </c>
      <c r="K102" s="4" t="s">
        <v>130</v>
      </c>
      <c r="L102" s="4" t="s">
        <v>158</v>
      </c>
      <c r="M102">
        <v>24</v>
      </c>
    </row>
    <row r="103" spans="1:13" x14ac:dyDescent="0.2">
      <c r="A103" s="4" t="s">
        <v>286</v>
      </c>
      <c r="B103">
        <v>102</v>
      </c>
      <c r="C103" s="4" t="s">
        <v>26</v>
      </c>
      <c r="D103" s="4" t="s">
        <v>32</v>
      </c>
      <c r="E103" s="4" t="s">
        <v>53</v>
      </c>
      <c r="F103" s="4" t="s">
        <v>75</v>
      </c>
      <c r="G103">
        <v>4</v>
      </c>
      <c r="H103">
        <v>19</v>
      </c>
      <c r="I103" s="4" t="s">
        <v>114</v>
      </c>
      <c r="J103" s="4" t="s">
        <v>131</v>
      </c>
      <c r="K103" s="4" t="s">
        <v>132</v>
      </c>
      <c r="L103" s="4" t="s">
        <v>158</v>
      </c>
      <c r="M103">
        <v>28</v>
      </c>
    </row>
    <row r="104" spans="1:13" x14ac:dyDescent="0.2">
      <c r="A104" s="4" t="s">
        <v>287</v>
      </c>
      <c r="B104">
        <v>103</v>
      </c>
      <c r="C104" s="4" t="s">
        <v>26</v>
      </c>
      <c r="D104" s="4" t="s">
        <v>32</v>
      </c>
      <c r="E104" s="4" t="s">
        <v>53</v>
      </c>
      <c r="F104" s="4" t="s">
        <v>75</v>
      </c>
      <c r="G104">
        <v>4</v>
      </c>
      <c r="H104">
        <v>19</v>
      </c>
      <c r="I104" s="4" t="s">
        <v>112</v>
      </c>
      <c r="J104" s="4" t="s">
        <v>133</v>
      </c>
      <c r="K104" s="4" t="s">
        <v>134</v>
      </c>
      <c r="L104" s="4" t="s">
        <v>158</v>
      </c>
      <c r="M104">
        <v>41</v>
      </c>
    </row>
    <row r="105" spans="1:13" x14ac:dyDescent="0.2">
      <c r="A105" s="4" t="s">
        <v>288</v>
      </c>
      <c r="B105">
        <v>104</v>
      </c>
      <c r="C105" s="4" t="s">
        <v>26</v>
      </c>
      <c r="D105" s="4" t="s">
        <v>32</v>
      </c>
      <c r="E105" s="4" t="s">
        <v>56</v>
      </c>
      <c r="F105" s="4" t="s">
        <v>77</v>
      </c>
      <c r="G105">
        <v>4</v>
      </c>
      <c r="H105">
        <v>20</v>
      </c>
      <c r="I105" s="4" t="s">
        <v>112</v>
      </c>
      <c r="J105" s="4" t="s">
        <v>122</v>
      </c>
      <c r="K105" s="4" t="s">
        <v>123</v>
      </c>
      <c r="L105" s="4" t="s">
        <v>158</v>
      </c>
      <c r="M105">
        <v>13</v>
      </c>
    </row>
    <row r="106" spans="1:13" x14ac:dyDescent="0.2">
      <c r="A106" s="4" t="s">
        <v>289</v>
      </c>
      <c r="B106">
        <v>105</v>
      </c>
      <c r="C106" s="4" t="s">
        <v>26</v>
      </c>
      <c r="D106" s="4" t="s">
        <v>32</v>
      </c>
      <c r="E106" s="4" t="s">
        <v>56</v>
      </c>
      <c r="F106" s="4" t="s">
        <v>77</v>
      </c>
      <c r="G106">
        <v>4</v>
      </c>
      <c r="H106">
        <v>20</v>
      </c>
      <c r="I106" s="4" t="s">
        <v>114</v>
      </c>
      <c r="J106" s="4" t="s">
        <v>125</v>
      </c>
      <c r="K106" s="4" t="s">
        <v>126</v>
      </c>
      <c r="L106" s="4" t="s">
        <v>158</v>
      </c>
      <c r="M106">
        <v>25</v>
      </c>
    </row>
    <row r="107" spans="1:13" x14ac:dyDescent="0.2">
      <c r="A107" s="4" t="s">
        <v>290</v>
      </c>
      <c r="B107">
        <v>106</v>
      </c>
      <c r="C107" s="4" t="s">
        <v>26</v>
      </c>
      <c r="D107" s="4" t="s">
        <v>32</v>
      </c>
      <c r="E107" s="4" t="s">
        <v>56</v>
      </c>
      <c r="F107" s="4" t="s">
        <v>77</v>
      </c>
      <c r="G107">
        <v>4</v>
      </c>
      <c r="H107">
        <v>20</v>
      </c>
      <c r="I107" s="4" t="s">
        <v>114</v>
      </c>
      <c r="J107" s="4" t="s">
        <v>127</v>
      </c>
      <c r="K107" s="4" t="s">
        <v>128</v>
      </c>
      <c r="L107" s="4" t="s">
        <v>158</v>
      </c>
      <c r="M107">
        <v>123</v>
      </c>
    </row>
    <row r="108" spans="1:13" x14ac:dyDescent="0.2">
      <c r="A108" s="4" t="s">
        <v>291</v>
      </c>
      <c r="B108">
        <v>107</v>
      </c>
      <c r="C108" s="4" t="s">
        <v>26</v>
      </c>
      <c r="D108" s="4" t="s">
        <v>32</v>
      </c>
      <c r="E108" s="4" t="s">
        <v>56</v>
      </c>
      <c r="F108" s="4" t="s">
        <v>77</v>
      </c>
      <c r="G108">
        <v>4</v>
      </c>
      <c r="H108">
        <v>20</v>
      </c>
      <c r="I108" s="4" t="s">
        <v>116</v>
      </c>
      <c r="J108" s="4" t="s">
        <v>129</v>
      </c>
      <c r="K108" s="4" t="s">
        <v>130</v>
      </c>
      <c r="L108" s="4" t="s">
        <v>158</v>
      </c>
      <c r="M108">
        <v>25</v>
      </c>
    </row>
    <row r="109" spans="1:13" x14ac:dyDescent="0.2">
      <c r="A109" s="4" t="s">
        <v>292</v>
      </c>
      <c r="B109">
        <v>108</v>
      </c>
      <c r="C109" s="4" t="s">
        <v>26</v>
      </c>
      <c r="D109" s="4" t="s">
        <v>32</v>
      </c>
      <c r="E109" s="4" t="s">
        <v>56</v>
      </c>
      <c r="F109" s="4" t="s">
        <v>77</v>
      </c>
      <c r="G109">
        <v>4</v>
      </c>
      <c r="H109">
        <v>20</v>
      </c>
      <c r="I109" s="4" t="s">
        <v>116</v>
      </c>
      <c r="J109" s="4" t="s">
        <v>131</v>
      </c>
      <c r="K109" s="4" t="s">
        <v>132</v>
      </c>
      <c r="L109" s="4" t="s">
        <v>158</v>
      </c>
      <c r="M109">
        <v>35</v>
      </c>
    </row>
    <row r="110" spans="1:13" x14ac:dyDescent="0.2">
      <c r="A110" s="4" t="s">
        <v>293</v>
      </c>
      <c r="B110">
        <v>109</v>
      </c>
      <c r="C110" s="4" t="s">
        <v>26</v>
      </c>
      <c r="D110" s="4" t="s">
        <v>32</v>
      </c>
      <c r="E110" s="4" t="s">
        <v>56</v>
      </c>
      <c r="F110" s="4" t="s">
        <v>77</v>
      </c>
      <c r="G110">
        <v>4</v>
      </c>
      <c r="H110">
        <v>20</v>
      </c>
      <c r="I110" s="4" t="s">
        <v>112</v>
      </c>
      <c r="J110" s="4" t="s">
        <v>133</v>
      </c>
      <c r="K110" s="4" t="s">
        <v>134</v>
      </c>
      <c r="L110" s="4" t="s">
        <v>158</v>
      </c>
      <c r="M110">
        <v>19</v>
      </c>
    </row>
    <row r="111" spans="1:13" x14ac:dyDescent="0.2">
      <c r="A111" s="4" t="s">
        <v>294</v>
      </c>
      <c r="B111">
        <v>110</v>
      </c>
      <c r="C111" s="4" t="s">
        <v>26</v>
      </c>
      <c r="D111" s="4" t="s">
        <v>35</v>
      </c>
      <c r="E111" s="4" t="s">
        <v>27</v>
      </c>
      <c r="F111" s="4" t="s">
        <v>79</v>
      </c>
      <c r="G111">
        <v>5</v>
      </c>
      <c r="H111">
        <v>21</v>
      </c>
      <c r="I111" s="4" t="s">
        <v>116</v>
      </c>
      <c r="J111" s="4" t="s">
        <v>122</v>
      </c>
      <c r="K111" s="4" t="s">
        <v>123</v>
      </c>
      <c r="L111" s="4" t="s">
        <v>158</v>
      </c>
      <c r="M111">
        <v>75</v>
      </c>
    </row>
    <row r="112" spans="1:13" x14ac:dyDescent="0.2">
      <c r="A112" s="4" t="s">
        <v>295</v>
      </c>
      <c r="B112">
        <v>111</v>
      </c>
      <c r="C112" s="4" t="s">
        <v>26</v>
      </c>
      <c r="D112" s="4" t="s">
        <v>35</v>
      </c>
      <c r="E112" s="4" t="s">
        <v>27</v>
      </c>
      <c r="F112" s="4" t="s">
        <v>79</v>
      </c>
      <c r="G112">
        <v>5</v>
      </c>
      <c r="H112">
        <v>21</v>
      </c>
      <c r="I112" s="4" t="s">
        <v>114</v>
      </c>
      <c r="J112" s="4" t="s">
        <v>127</v>
      </c>
      <c r="K112" s="4" t="s">
        <v>128</v>
      </c>
      <c r="L112" s="4" t="s">
        <v>158</v>
      </c>
      <c r="M112">
        <v>52</v>
      </c>
    </row>
    <row r="113" spans="1:13" x14ac:dyDescent="0.2">
      <c r="A113" s="4" t="s">
        <v>296</v>
      </c>
      <c r="B113">
        <v>112</v>
      </c>
      <c r="C113" s="4" t="s">
        <v>26</v>
      </c>
      <c r="D113" s="4" t="s">
        <v>35</v>
      </c>
      <c r="E113" s="4" t="s">
        <v>27</v>
      </c>
      <c r="F113" s="4" t="s">
        <v>79</v>
      </c>
      <c r="G113">
        <v>5</v>
      </c>
      <c r="H113">
        <v>21</v>
      </c>
      <c r="I113" s="4" t="s">
        <v>112</v>
      </c>
      <c r="J113" s="4" t="s">
        <v>127</v>
      </c>
      <c r="K113" s="4" t="s">
        <v>128</v>
      </c>
      <c r="L113" s="4" t="s">
        <v>158</v>
      </c>
      <c r="M113">
        <v>30</v>
      </c>
    </row>
    <row r="114" spans="1:13" x14ac:dyDescent="0.2">
      <c r="A114" s="4" t="s">
        <v>297</v>
      </c>
      <c r="B114">
        <v>113</v>
      </c>
      <c r="C114" s="4" t="s">
        <v>26</v>
      </c>
      <c r="D114" s="4" t="s">
        <v>35</v>
      </c>
      <c r="E114" s="4" t="s">
        <v>27</v>
      </c>
      <c r="F114" s="4" t="s">
        <v>79</v>
      </c>
      <c r="G114">
        <v>5</v>
      </c>
      <c r="H114">
        <v>21</v>
      </c>
      <c r="I114" s="4" t="s">
        <v>116</v>
      </c>
      <c r="J114" s="4" t="s">
        <v>127</v>
      </c>
      <c r="K114" s="4" t="s">
        <v>128</v>
      </c>
      <c r="L114" s="4" t="s">
        <v>158</v>
      </c>
      <c r="M114">
        <v>25</v>
      </c>
    </row>
    <row r="115" spans="1:13" x14ac:dyDescent="0.2">
      <c r="A115" s="4" t="s">
        <v>298</v>
      </c>
      <c r="B115">
        <v>114</v>
      </c>
      <c r="C115" s="4" t="s">
        <v>26</v>
      </c>
      <c r="D115" s="4" t="s">
        <v>35</v>
      </c>
      <c r="E115" s="4" t="s">
        <v>32</v>
      </c>
      <c r="F115" s="4" t="s">
        <v>81</v>
      </c>
      <c r="G115">
        <v>5</v>
      </c>
      <c r="H115">
        <v>22</v>
      </c>
      <c r="I115" s="4" t="s">
        <v>116</v>
      </c>
      <c r="J115" s="4" t="s">
        <v>129</v>
      </c>
      <c r="K115" s="4" t="s">
        <v>130</v>
      </c>
      <c r="L115" s="4" t="s">
        <v>158</v>
      </c>
      <c r="M115">
        <v>23</v>
      </c>
    </row>
    <row r="116" spans="1:13" x14ac:dyDescent="0.2">
      <c r="A116" s="4" t="s">
        <v>299</v>
      </c>
      <c r="B116">
        <v>115</v>
      </c>
      <c r="C116" s="4" t="s">
        <v>26</v>
      </c>
      <c r="D116" s="4" t="s">
        <v>35</v>
      </c>
      <c r="E116" s="4" t="s">
        <v>32</v>
      </c>
      <c r="F116" s="4" t="s">
        <v>81</v>
      </c>
      <c r="G116">
        <v>5</v>
      </c>
      <c r="H116">
        <v>22</v>
      </c>
      <c r="I116" s="4" t="s">
        <v>114</v>
      </c>
      <c r="J116" s="4" t="s">
        <v>131</v>
      </c>
      <c r="K116" s="4" t="s">
        <v>132</v>
      </c>
      <c r="L116" s="4" t="s">
        <v>158</v>
      </c>
      <c r="M116">
        <v>33</v>
      </c>
    </row>
    <row r="117" spans="1:13" x14ac:dyDescent="0.2">
      <c r="A117" s="4" t="s">
        <v>300</v>
      </c>
      <c r="B117">
        <v>116</v>
      </c>
      <c r="C117" s="4" t="s">
        <v>26</v>
      </c>
      <c r="D117" s="4" t="s">
        <v>35</v>
      </c>
      <c r="E117" s="4" t="s">
        <v>35</v>
      </c>
      <c r="F117" s="4" t="s">
        <v>83</v>
      </c>
      <c r="G117">
        <v>5</v>
      </c>
      <c r="H117">
        <v>23</v>
      </c>
      <c r="I117" s="4" t="s">
        <v>112</v>
      </c>
      <c r="J117" s="4" t="s">
        <v>122</v>
      </c>
      <c r="K117" s="4" t="s">
        <v>123</v>
      </c>
      <c r="L117" s="4" t="s">
        <v>158</v>
      </c>
      <c r="M117">
        <v>1</v>
      </c>
    </row>
    <row r="118" spans="1:13" x14ac:dyDescent="0.2">
      <c r="A118" s="4" t="s">
        <v>301</v>
      </c>
      <c r="B118">
        <v>117</v>
      </c>
      <c r="C118" s="4" t="s">
        <v>26</v>
      </c>
      <c r="D118" s="4" t="s">
        <v>35</v>
      </c>
      <c r="E118" s="4" t="s">
        <v>35</v>
      </c>
      <c r="F118" s="4" t="s">
        <v>83</v>
      </c>
      <c r="G118">
        <v>5</v>
      </c>
      <c r="H118">
        <v>23</v>
      </c>
      <c r="I118" s="4" t="s">
        <v>114</v>
      </c>
      <c r="J118" s="4" t="s">
        <v>125</v>
      </c>
      <c r="K118" s="4" t="s">
        <v>126</v>
      </c>
      <c r="L118" s="4" t="s">
        <v>158</v>
      </c>
      <c r="M118">
        <v>21</v>
      </c>
    </row>
    <row r="119" spans="1:13" x14ac:dyDescent="0.2">
      <c r="A119" s="4" t="s">
        <v>302</v>
      </c>
      <c r="B119">
        <v>118</v>
      </c>
      <c r="C119" s="4" t="s">
        <v>26</v>
      </c>
      <c r="D119" s="4" t="s">
        <v>35</v>
      </c>
      <c r="E119" s="4" t="s">
        <v>35</v>
      </c>
      <c r="F119" s="4" t="s">
        <v>83</v>
      </c>
      <c r="G119">
        <v>5</v>
      </c>
      <c r="H119">
        <v>23</v>
      </c>
      <c r="I119" s="4" t="s">
        <v>114</v>
      </c>
      <c r="J119" s="4" t="s">
        <v>127</v>
      </c>
      <c r="K119" s="4" t="s">
        <v>128</v>
      </c>
      <c r="L119" s="4" t="s">
        <v>158</v>
      </c>
      <c r="M119">
        <v>56</v>
      </c>
    </row>
    <row r="120" spans="1:13" x14ac:dyDescent="0.2">
      <c r="A120" s="4" t="s">
        <v>303</v>
      </c>
      <c r="B120">
        <v>119</v>
      </c>
      <c r="C120" s="4" t="s">
        <v>26</v>
      </c>
      <c r="D120" s="4" t="s">
        <v>35</v>
      </c>
      <c r="E120" s="4" t="s">
        <v>35</v>
      </c>
      <c r="F120" s="4" t="s">
        <v>83</v>
      </c>
      <c r="G120">
        <v>5</v>
      </c>
      <c r="H120">
        <v>23</v>
      </c>
      <c r="I120" s="4" t="s">
        <v>114</v>
      </c>
      <c r="J120" s="4" t="s">
        <v>131</v>
      </c>
      <c r="K120" s="4" t="s">
        <v>132</v>
      </c>
      <c r="L120" s="4" t="s">
        <v>158</v>
      </c>
      <c r="M120">
        <v>30</v>
      </c>
    </row>
    <row r="121" spans="1:13" x14ac:dyDescent="0.2">
      <c r="A121" s="4" t="s">
        <v>304</v>
      </c>
      <c r="B121">
        <v>120</v>
      </c>
      <c r="C121" s="4" t="s">
        <v>26</v>
      </c>
      <c r="D121" s="4" t="s">
        <v>35</v>
      </c>
      <c r="E121" s="4" t="s">
        <v>38</v>
      </c>
      <c r="F121" s="4" t="s">
        <v>85</v>
      </c>
      <c r="G121">
        <v>5</v>
      </c>
      <c r="H121">
        <v>24</v>
      </c>
      <c r="I121" s="4" t="s">
        <v>112</v>
      </c>
      <c r="J121" s="4" t="s">
        <v>122</v>
      </c>
      <c r="K121" s="4" t="s">
        <v>123</v>
      </c>
      <c r="L121" s="4" t="s">
        <v>158</v>
      </c>
      <c r="M121">
        <v>148</v>
      </c>
    </row>
    <row r="122" spans="1:13" x14ac:dyDescent="0.2">
      <c r="A122" s="4" t="s">
        <v>305</v>
      </c>
      <c r="B122">
        <v>121</v>
      </c>
      <c r="C122" s="4" t="s">
        <v>26</v>
      </c>
      <c r="D122" s="4" t="s">
        <v>35</v>
      </c>
      <c r="E122" s="4" t="s">
        <v>38</v>
      </c>
      <c r="F122" s="4" t="s">
        <v>85</v>
      </c>
      <c r="G122">
        <v>5</v>
      </c>
      <c r="H122">
        <v>24</v>
      </c>
      <c r="I122" s="4" t="s">
        <v>114</v>
      </c>
      <c r="J122" s="4" t="s">
        <v>127</v>
      </c>
      <c r="K122" s="4" t="s">
        <v>128</v>
      </c>
      <c r="L122" s="4" t="s">
        <v>158</v>
      </c>
      <c r="M122">
        <v>61</v>
      </c>
    </row>
    <row r="123" spans="1:13" x14ac:dyDescent="0.2">
      <c r="A123" s="4" t="s">
        <v>306</v>
      </c>
      <c r="B123">
        <v>122</v>
      </c>
      <c r="C123" s="4" t="s">
        <v>26</v>
      </c>
      <c r="D123" s="4" t="s">
        <v>35</v>
      </c>
      <c r="E123" s="4" t="s">
        <v>38</v>
      </c>
      <c r="F123" s="4" t="s">
        <v>85</v>
      </c>
      <c r="G123">
        <v>5</v>
      </c>
      <c r="H123">
        <v>24</v>
      </c>
      <c r="I123" s="4" t="s">
        <v>112</v>
      </c>
      <c r="J123" s="4" t="s">
        <v>127</v>
      </c>
      <c r="K123" s="4" t="s">
        <v>128</v>
      </c>
      <c r="L123" s="4" t="s">
        <v>158</v>
      </c>
      <c r="M123">
        <v>58</v>
      </c>
    </row>
    <row r="124" spans="1:13" x14ac:dyDescent="0.2">
      <c r="A124" s="4" t="s">
        <v>307</v>
      </c>
      <c r="B124">
        <v>123</v>
      </c>
      <c r="C124" s="4" t="s">
        <v>26</v>
      </c>
      <c r="D124" s="4" t="s">
        <v>35</v>
      </c>
      <c r="E124" s="4" t="s">
        <v>38</v>
      </c>
      <c r="F124" s="4" t="s">
        <v>85</v>
      </c>
      <c r="G124">
        <v>5</v>
      </c>
      <c r="H124">
        <v>24</v>
      </c>
      <c r="I124" s="4" t="s">
        <v>112</v>
      </c>
      <c r="J124" s="4" t="s">
        <v>133</v>
      </c>
      <c r="K124" s="4" t="s">
        <v>134</v>
      </c>
      <c r="L124" s="4" t="s">
        <v>158</v>
      </c>
      <c r="M124">
        <v>60</v>
      </c>
    </row>
    <row r="125" spans="1:13" x14ac:dyDescent="0.2">
      <c r="A125" s="4" t="s">
        <v>308</v>
      </c>
      <c r="B125">
        <v>124</v>
      </c>
      <c r="C125" s="4" t="s">
        <v>26</v>
      </c>
      <c r="D125" s="4" t="s">
        <v>35</v>
      </c>
      <c r="E125" s="4" t="s">
        <v>41</v>
      </c>
      <c r="F125" s="4" t="s">
        <v>87</v>
      </c>
      <c r="G125">
        <v>5</v>
      </c>
      <c r="H125">
        <v>25</v>
      </c>
      <c r="I125" s="4" t="s">
        <v>112</v>
      </c>
      <c r="J125" s="4" t="s">
        <v>122</v>
      </c>
      <c r="K125" s="4" t="s">
        <v>123</v>
      </c>
      <c r="L125" s="4" t="s">
        <v>158</v>
      </c>
      <c r="M125">
        <v>72</v>
      </c>
    </row>
    <row r="126" spans="1:13" x14ac:dyDescent="0.2">
      <c r="A126" s="4" t="s">
        <v>309</v>
      </c>
      <c r="B126">
        <v>125</v>
      </c>
      <c r="C126" s="4" t="s">
        <v>26</v>
      </c>
      <c r="D126" s="4" t="s">
        <v>35</v>
      </c>
      <c r="E126" s="4" t="s">
        <v>41</v>
      </c>
      <c r="F126" s="4" t="s">
        <v>87</v>
      </c>
      <c r="G126">
        <v>5</v>
      </c>
      <c r="H126">
        <v>25</v>
      </c>
      <c r="I126" s="4" t="s">
        <v>116</v>
      </c>
      <c r="J126" s="4" t="s">
        <v>122</v>
      </c>
      <c r="K126" s="4" t="s">
        <v>123</v>
      </c>
      <c r="L126" s="4" t="s">
        <v>158</v>
      </c>
      <c r="M126">
        <v>75</v>
      </c>
    </row>
    <row r="127" spans="1:13" x14ac:dyDescent="0.2">
      <c r="A127" s="4" t="s">
        <v>310</v>
      </c>
      <c r="B127">
        <v>126</v>
      </c>
      <c r="C127" s="4" t="s">
        <v>26</v>
      </c>
      <c r="D127" s="4" t="s">
        <v>35</v>
      </c>
      <c r="E127" s="4" t="s">
        <v>41</v>
      </c>
      <c r="F127" s="4" t="s">
        <v>87</v>
      </c>
      <c r="G127">
        <v>5</v>
      </c>
      <c r="H127">
        <v>25</v>
      </c>
      <c r="I127" s="4" t="s">
        <v>114</v>
      </c>
      <c r="J127" s="4" t="s">
        <v>127</v>
      </c>
      <c r="K127" s="4" t="s">
        <v>128</v>
      </c>
      <c r="L127" s="4" t="s">
        <v>158</v>
      </c>
      <c r="M127">
        <v>104</v>
      </c>
    </row>
    <row r="128" spans="1:13" x14ac:dyDescent="0.2">
      <c r="A128" s="4" t="s">
        <v>311</v>
      </c>
      <c r="B128">
        <v>127</v>
      </c>
      <c r="C128" s="4" t="s">
        <v>26</v>
      </c>
      <c r="D128" s="4" t="s">
        <v>35</v>
      </c>
      <c r="E128" s="4" t="s">
        <v>41</v>
      </c>
      <c r="F128" s="4" t="s">
        <v>87</v>
      </c>
      <c r="G128">
        <v>5</v>
      </c>
      <c r="H128">
        <v>25</v>
      </c>
      <c r="I128" s="4" t="s">
        <v>116</v>
      </c>
      <c r="J128" s="4" t="s">
        <v>129</v>
      </c>
      <c r="K128" s="4" t="s">
        <v>130</v>
      </c>
      <c r="L128" s="4" t="s">
        <v>158</v>
      </c>
      <c r="M128">
        <v>22</v>
      </c>
    </row>
    <row r="129" spans="1:13" x14ac:dyDescent="0.2">
      <c r="A129" s="4" t="s">
        <v>312</v>
      </c>
      <c r="B129">
        <v>128</v>
      </c>
      <c r="C129" s="4" t="s">
        <v>26</v>
      </c>
      <c r="D129" s="4" t="s">
        <v>35</v>
      </c>
      <c r="E129" s="4" t="s">
        <v>41</v>
      </c>
      <c r="F129" s="4" t="s">
        <v>87</v>
      </c>
      <c r="G129">
        <v>5</v>
      </c>
      <c r="H129">
        <v>25</v>
      </c>
      <c r="I129" s="4" t="s">
        <v>114</v>
      </c>
      <c r="J129" s="4" t="s">
        <v>129</v>
      </c>
      <c r="K129" s="4" t="s">
        <v>130</v>
      </c>
      <c r="L129" s="4" t="s">
        <v>158</v>
      </c>
      <c r="M129">
        <v>22</v>
      </c>
    </row>
    <row r="130" spans="1:13" x14ac:dyDescent="0.2">
      <c r="A130" s="4" t="s">
        <v>313</v>
      </c>
      <c r="B130">
        <v>129</v>
      </c>
      <c r="C130" s="4" t="s">
        <v>26</v>
      </c>
      <c r="D130" s="4" t="s">
        <v>35</v>
      </c>
      <c r="E130" s="4" t="s">
        <v>41</v>
      </c>
      <c r="F130" s="4" t="s">
        <v>87</v>
      </c>
      <c r="G130">
        <v>5</v>
      </c>
      <c r="H130">
        <v>25</v>
      </c>
      <c r="I130" s="4" t="s">
        <v>114</v>
      </c>
      <c r="J130" s="4" t="s">
        <v>131</v>
      </c>
      <c r="K130" s="4" t="s">
        <v>132</v>
      </c>
      <c r="L130" s="4" t="s">
        <v>158</v>
      </c>
      <c r="M130">
        <v>24</v>
      </c>
    </row>
    <row r="131" spans="1:13" x14ac:dyDescent="0.2">
      <c r="A131" s="4" t="s">
        <v>314</v>
      </c>
      <c r="B131">
        <v>130</v>
      </c>
      <c r="C131" s="4" t="s">
        <v>26</v>
      </c>
      <c r="D131" s="4" t="s">
        <v>35</v>
      </c>
      <c r="E131" s="4" t="s">
        <v>41</v>
      </c>
      <c r="F131" s="4" t="s">
        <v>87</v>
      </c>
      <c r="G131">
        <v>5</v>
      </c>
      <c r="H131">
        <v>25</v>
      </c>
      <c r="I131" s="4" t="s">
        <v>112</v>
      </c>
      <c r="J131" s="4" t="s">
        <v>131</v>
      </c>
      <c r="K131" s="4" t="s">
        <v>132</v>
      </c>
      <c r="L131" s="4" t="s">
        <v>158</v>
      </c>
      <c r="M131">
        <v>47</v>
      </c>
    </row>
    <row r="132" spans="1:13" x14ac:dyDescent="0.2">
      <c r="A132" s="4" t="s">
        <v>315</v>
      </c>
      <c r="B132">
        <v>131</v>
      </c>
      <c r="C132" s="4" t="s">
        <v>26</v>
      </c>
      <c r="D132" s="4" t="s">
        <v>35</v>
      </c>
      <c r="E132" s="4" t="s">
        <v>41</v>
      </c>
      <c r="F132" s="4" t="s">
        <v>87</v>
      </c>
      <c r="G132">
        <v>5</v>
      </c>
      <c r="H132">
        <v>25</v>
      </c>
      <c r="I132" s="4" t="s">
        <v>116</v>
      </c>
      <c r="J132" s="4" t="s">
        <v>133</v>
      </c>
      <c r="K132" s="4" t="s">
        <v>134</v>
      </c>
      <c r="L132" s="4" t="s">
        <v>158</v>
      </c>
      <c r="M132">
        <v>35</v>
      </c>
    </row>
    <row r="133" spans="1:13" x14ac:dyDescent="0.2">
      <c r="A133" s="4" t="s">
        <v>316</v>
      </c>
      <c r="B133">
        <v>132</v>
      </c>
      <c r="C133" s="4" t="s">
        <v>26</v>
      </c>
      <c r="D133" s="4" t="s">
        <v>35</v>
      </c>
      <c r="E133" s="4" t="s">
        <v>44</v>
      </c>
      <c r="F133" s="4" t="s">
        <v>89</v>
      </c>
      <c r="G133">
        <v>6</v>
      </c>
      <c r="H133">
        <v>26</v>
      </c>
      <c r="I133" s="4" t="s">
        <v>112</v>
      </c>
      <c r="J133" s="4" t="s">
        <v>122</v>
      </c>
      <c r="K133" s="4" t="s">
        <v>123</v>
      </c>
      <c r="L133" s="4" t="s">
        <v>158</v>
      </c>
      <c r="M133">
        <v>11</v>
      </c>
    </row>
    <row r="134" spans="1:13" x14ac:dyDescent="0.2">
      <c r="A134" s="4" t="s">
        <v>317</v>
      </c>
      <c r="B134">
        <v>133</v>
      </c>
      <c r="C134" s="4" t="s">
        <v>26</v>
      </c>
      <c r="D134" s="4" t="s">
        <v>35</v>
      </c>
      <c r="E134" s="4" t="s">
        <v>44</v>
      </c>
      <c r="F134" s="4" t="s">
        <v>89</v>
      </c>
      <c r="G134">
        <v>6</v>
      </c>
      <c r="H134">
        <v>26</v>
      </c>
      <c r="I134" s="4" t="s">
        <v>112</v>
      </c>
      <c r="J134" s="4" t="s">
        <v>125</v>
      </c>
      <c r="K134" s="4" t="s">
        <v>126</v>
      </c>
      <c r="L134" s="4" t="s">
        <v>158</v>
      </c>
      <c r="M134">
        <v>29</v>
      </c>
    </row>
    <row r="135" spans="1:13" x14ac:dyDescent="0.2">
      <c r="A135" s="4" t="s">
        <v>318</v>
      </c>
      <c r="B135">
        <v>134</v>
      </c>
      <c r="C135" s="4" t="s">
        <v>26</v>
      </c>
      <c r="D135" s="4" t="s">
        <v>35</v>
      </c>
      <c r="E135" s="4" t="s">
        <v>44</v>
      </c>
      <c r="F135" s="4" t="s">
        <v>89</v>
      </c>
      <c r="G135">
        <v>6</v>
      </c>
      <c r="H135">
        <v>26</v>
      </c>
      <c r="I135" s="4" t="s">
        <v>114</v>
      </c>
      <c r="J135" s="4" t="s">
        <v>131</v>
      </c>
      <c r="K135" s="4" t="s">
        <v>132</v>
      </c>
      <c r="L135" s="4" t="s">
        <v>158</v>
      </c>
      <c r="M135">
        <v>46</v>
      </c>
    </row>
    <row r="136" spans="1:13" x14ac:dyDescent="0.2">
      <c r="A136" s="4" t="s">
        <v>319</v>
      </c>
      <c r="B136">
        <v>135</v>
      </c>
      <c r="C136" s="4" t="s">
        <v>26</v>
      </c>
      <c r="D136" s="4" t="s">
        <v>35</v>
      </c>
      <c r="E136" s="4" t="s">
        <v>44</v>
      </c>
      <c r="F136" s="4" t="s">
        <v>89</v>
      </c>
      <c r="G136">
        <v>6</v>
      </c>
      <c r="H136">
        <v>26</v>
      </c>
      <c r="I136" s="4" t="s">
        <v>112</v>
      </c>
      <c r="J136" s="4" t="s">
        <v>131</v>
      </c>
      <c r="K136" s="4" t="s">
        <v>132</v>
      </c>
      <c r="L136" s="4" t="s">
        <v>158</v>
      </c>
      <c r="M136">
        <v>13</v>
      </c>
    </row>
    <row r="137" spans="1:13" x14ac:dyDescent="0.2">
      <c r="A137" s="4" t="s">
        <v>320</v>
      </c>
      <c r="B137">
        <v>136</v>
      </c>
      <c r="C137" s="4" t="s">
        <v>26</v>
      </c>
      <c r="D137" s="4" t="s">
        <v>35</v>
      </c>
      <c r="E137" s="4" t="s">
        <v>44</v>
      </c>
      <c r="F137" s="4" t="s">
        <v>89</v>
      </c>
      <c r="G137">
        <v>6</v>
      </c>
      <c r="H137">
        <v>26</v>
      </c>
      <c r="I137" s="4" t="s">
        <v>114</v>
      </c>
      <c r="J137" s="4" t="s">
        <v>133</v>
      </c>
      <c r="K137" s="4" t="s">
        <v>134</v>
      </c>
      <c r="L137" s="4" t="s">
        <v>158</v>
      </c>
      <c r="M137">
        <v>39</v>
      </c>
    </row>
    <row r="138" spans="1:13" x14ac:dyDescent="0.2">
      <c r="A138" s="4" t="s">
        <v>321</v>
      </c>
      <c r="B138">
        <v>137</v>
      </c>
      <c r="C138" s="4" t="s">
        <v>26</v>
      </c>
      <c r="D138" s="4" t="s">
        <v>35</v>
      </c>
      <c r="E138" s="4" t="s">
        <v>44</v>
      </c>
      <c r="F138" s="4" t="s">
        <v>89</v>
      </c>
      <c r="G138">
        <v>6</v>
      </c>
      <c r="H138">
        <v>26</v>
      </c>
      <c r="I138" s="4" t="s">
        <v>116</v>
      </c>
      <c r="J138" s="4" t="s">
        <v>133</v>
      </c>
      <c r="K138" s="4" t="s">
        <v>134</v>
      </c>
      <c r="L138" s="4" t="s">
        <v>158</v>
      </c>
      <c r="M138">
        <v>5</v>
      </c>
    </row>
    <row r="139" spans="1:13" x14ac:dyDescent="0.2">
      <c r="A139" s="4" t="s">
        <v>322</v>
      </c>
      <c r="B139">
        <v>138</v>
      </c>
      <c r="C139" s="4" t="s">
        <v>26</v>
      </c>
      <c r="D139" s="4" t="s">
        <v>35</v>
      </c>
      <c r="E139" s="4" t="s">
        <v>47</v>
      </c>
      <c r="F139" s="4" t="s">
        <v>91</v>
      </c>
      <c r="G139">
        <v>6</v>
      </c>
      <c r="H139">
        <v>27</v>
      </c>
      <c r="I139" s="4" t="s">
        <v>112</v>
      </c>
      <c r="J139" s="4" t="s">
        <v>122</v>
      </c>
      <c r="K139" s="4" t="s">
        <v>123</v>
      </c>
      <c r="L139" s="4" t="s">
        <v>158</v>
      </c>
      <c r="M139">
        <v>70</v>
      </c>
    </row>
    <row r="140" spans="1:13" x14ac:dyDescent="0.2">
      <c r="A140" s="4" t="s">
        <v>323</v>
      </c>
      <c r="B140">
        <v>139</v>
      </c>
      <c r="C140" s="4" t="s">
        <v>26</v>
      </c>
      <c r="D140" s="4" t="s">
        <v>35</v>
      </c>
      <c r="E140" s="4" t="s">
        <v>47</v>
      </c>
      <c r="F140" s="4" t="s">
        <v>91</v>
      </c>
      <c r="G140">
        <v>6</v>
      </c>
      <c r="H140">
        <v>27</v>
      </c>
      <c r="I140" s="4" t="s">
        <v>114</v>
      </c>
      <c r="J140" s="4" t="s">
        <v>122</v>
      </c>
      <c r="K140" s="4" t="s">
        <v>123</v>
      </c>
      <c r="L140" s="4" t="s">
        <v>158</v>
      </c>
      <c r="M140">
        <v>27</v>
      </c>
    </row>
    <row r="141" spans="1:13" x14ac:dyDescent="0.2">
      <c r="A141" s="4" t="s">
        <v>324</v>
      </c>
      <c r="B141">
        <v>140</v>
      </c>
      <c r="C141" s="4" t="s">
        <v>26</v>
      </c>
      <c r="D141" s="4" t="s">
        <v>35</v>
      </c>
      <c r="E141" s="4" t="s">
        <v>47</v>
      </c>
      <c r="F141" s="4" t="s">
        <v>91</v>
      </c>
      <c r="G141">
        <v>6</v>
      </c>
      <c r="H141">
        <v>27</v>
      </c>
      <c r="I141" s="4" t="s">
        <v>112</v>
      </c>
      <c r="J141" s="4" t="s">
        <v>127</v>
      </c>
      <c r="K141" s="4" t="s">
        <v>128</v>
      </c>
      <c r="L141" s="4" t="s">
        <v>158</v>
      </c>
      <c r="M141">
        <v>52</v>
      </c>
    </row>
    <row r="142" spans="1:13" x14ac:dyDescent="0.2">
      <c r="A142" s="4" t="s">
        <v>325</v>
      </c>
      <c r="B142">
        <v>141</v>
      </c>
      <c r="C142" s="4" t="s">
        <v>26</v>
      </c>
      <c r="D142" s="4" t="s">
        <v>35</v>
      </c>
      <c r="E142" s="4" t="s">
        <v>47</v>
      </c>
      <c r="F142" s="4" t="s">
        <v>91</v>
      </c>
      <c r="G142">
        <v>6</v>
      </c>
      <c r="H142">
        <v>27</v>
      </c>
      <c r="I142" s="4" t="s">
        <v>112</v>
      </c>
      <c r="J142" s="4" t="s">
        <v>133</v>
      </c>
      <c r="K142" s="4" t="s">
        <v>134</v>
      </c>
      <c r="L142" s="4" t="s">
        <v>158</v>
      </c>
      <c r="M142">
        <v>46</v>
      </c>
    </row>
    <row r="143" spans="1:13" x14ac:dyDescent="0.2">
      <c r="A143" s="4" t="s">
        <v>326</v>
      </c>
      <c r="B143">
        <v>142</v>
      </c>
      <c r="C143" s="4" t="s">
        <v>26</v>
      </c>
      <c r="D143" s="4" t="s">
        <v>35</v>
      </c>
      <c r="E143" s="4" t="s">
        <v>50</v>
      </c>
      <c r="F143" s="4" t="s">
        <v>93</v>
      </c>
      <c r="G143">
        <v>6</v>
      </c>
      <c r="H143">
        <v>28</v>
      </c>
      <c r="I143" s="4" t="s">
        <v>112</v>
      </c>
      <c r="J143" s="4" t="s">
        <v>122</v>
      </c>
      <c r="K143" s="4" t="s">
        <v>123</v>
      </c>
      <c r="L143" s="4" t="s">
        <v>158</v>
      </c>
      <c r="M143">
        <v>141</v>
      </c>
    </row>
    <row r="144" spans="1:13" x14ac:dyDescent="0.2">
      <c r="A144" s="4" t="s">
        <v>327</v>
      </c>
      <c r="B144">
        <v>143</v>
      </c>
      <c r="C144" s="4" t="s">
        <v>26</v>
      </c>
      <c r="D144" s="4" t="s">
        <v>35</v>
      </c>
      <c r="E144" s="4" t="s">
        <v>50</v>
      </c>
      <c r="F144" s="4" t="s">
        <v>93</v>
      </c>
      <c r="G144">
        <v>6</v>
      </c>
      <c r="H144">
        <v>28</v>
      </c>
      <c r="I144" s="4" t="s">
        <v>112</v>
      </c>
      <c r="J144" s="4" t="s">
        <v>125</v>
      </c>
      <c r="K144" s="4" t="s">
        <v>126</v>
      </c>
      <c r="L144" s="4" t="s">
        <v>158</v>
      </c>
      <c r="M144">
        <v>21</v>
      </c>
    </row>
    <row r="145" spans="1:13" x14ac:dyDescent="0.2">
      <c r="A145" s="4" t="s">
        <v>328</v>
      </c>
      <c r="B145">
        <v>144</v>
      </c>
      <c r="C145" s="4" t="s">
        <v>26</v>
      </c>
      <c r="D145" s="4" t="s">
        <v>35</v>
      </c>
      <c r="E145" s="4" t="s">
        <v>50</v>
      </c>
      <c r="F145" s="4" t="s">
        <v>93</v>
      </c>
      <c r="G145">
        <v>6</v>
      </c>
      <c r="H145">
        <v>28</v>
      </c>
      <c r="I145" s="4" t="s">
        <v>114</v>
      </c>
      <c r="J145" s="4" t="s">
        <v>127</v>
      </c>
      <c r="K145" s="4" t="s">
        <v>128</v>
      </c>
      <c r="L145" s="4" t="s">
        <v>158</v>
      </c>
      <c r="M145">
        <v>109</v>
      </c>
    </row>
    <row r="146" spans="1:13" x14ac:dyDescent="0.2">
      <c r="A146" s="4" t="s">
        <v>329</v>
      </c>
      <c r="B146">
        <v>145</v>
      </c>
      <c r="C146" s="4" t="s">
        <v>26</v>
      </c>
      <c r="D146" s="4" t="s">
        <v>35</v>
      </c>
      <c r="E146" s="4" t="s">
        <v>50</v>
      </c>
      <c r="F146" s="4" t="s">
        <v>93</v>
      </c>
      <c r="G146">
        <v>6</v>
      </c>
      <c r="H146">
        <v>28</v>
      </c>
      <c r="I146" s="4" t="s">
        <v>112</v>
      </c>
      <c r="J146" s="4" t="s">
        <v>127</v>
      </c>
      <c r="K146" s="4" t="s">
        <v>128</v>
      </c>
      <c r="L146" s="4" t="s">
        <v>158</v>
      </c>
      <c r="M146">
        <v>54</v>
      </c>
    </row>
    <row r="147" spans="1:13" x14ac:dyDescent="0.2">
      <c r="A147" s="4" t="s">
        <v>330</v>
      </c>
      <c r="B147">
        <v>146</v>
      </c>
      <c r="C147" s="4" t="s">
        <v>26</v>
      </c>
      <c r="D147" s="4" t="s">
        <v>35</v>
      </c>
      <c r="E147" s="4" t="s">
        <v>50</v>
      </c>
      <c r="F147" s="4" t="s">
        <v>93</v>
      </c>
      <c r="G147">
        <v>6</v>
      </c>
      <c r="H147">
        <v>28</v>
      </c>
      <c r="I147" s="4" t="s">
        <v>114</v>
      </c>
      <c r="J147" s="4" t="s">
        <v>131</v>
      </c>
      <c r="K147" s="4" t="s">
        <v>132</v>
      </c>
      <c r="L147" s="4" t="s">
        <v>158</v>
      </c>
      <c r="M147">
        <v>56</v>
      </c>
    </row>
    <row r="148" spans="1:13" x14ac:dyDescent="0.2">
      <c r="A148" s="4" t="s">
        <v>331</v>
      </c>
      <c r="B148">
        <v>147</v>
      </c>
      <c r="C148" s="4" t="s">
        <v>26</v>
      </c>
      <c r="D148" s="4" t="s">
        <v>35</v>
      </c>
      <c r="E148" s="4" t="s">
        <v>53</v>
      </c>
      <c r="F148" s="4" t="s">
        <v>95</v>
      </c>
      <c r="G148">
        <v>6</v>
      </c>
      <c r="H148">
        <v>29</v>
      </c>
      <c r="I148" s="4" t="s">
        <v>114</v>
      </c>
      <c r="J148" s="4" t="s">
        <v>122</v>
      </c>
      <c r="K148" s="4" t="s">
        <v>123</v>
      </c>
      <c r="L148" s="4" t="s">
        <v>158</v>
      </c>
      <c r="M148">
        <v>61</v>
      </c>
    </row>
    <row r="149" spans="1:13" x14ac:dyDescent="0.2">
      <c r="A149" s="4" t="s">
        <v>332</v>
      </c>
      <c r="B149">
        <v>148</v>
      </c>
      <c r="C149" s="4" t="s">
        <v>26</v>
      </c>
      <c r="D149" s="4" t="s">
        <v>35</v>
      </c>
      <c r="E149" s="4" t="s">
        <v>53</v>
      </c>
      <c r="F149" s="4" t="s">
        <v>95</v>
      </c>
      <c r="G149">
        <v>6</v>
      </c>
      <c r="H149">
        <v>29</v>
      </c>
      <c r="I149" s="4" t="s">
        <v>112</v>
      </c>
      <c r="J149" s="4" t="s">
        <v>122</v>
      </c>
      <c r="K149" s="4" t="s">
        <v>123</v>
      </c>
      <c r="L149" s="4" t="s">
        <v>158</v>
      </c>
      <c r="M149">
        <v>71</v>
      </c>
    </row>
    <row r="150" spans="1:13" x14ac:dyDescent="0.2">
      <c r="A150" s="4" t="s">
        <v>333</v>
      </c>
      <c r="B150">
        <v>149</v>
      </c>
      <c r="C150" s="4" t="s">
        <v>26</v>
      </c>
      <c r="D150" s="4" t="s">
        <v>35</v>
      </c>
      <c r="E150" s="4" t="s">
        <v>53</v>
      </c>
      <c r="F150" s="4" t="s">
        <v>95</v>
      </c>
      <c r="G150">
        <v>6</v>
      </c>
      <c r="H150">
        <v>29</v>
      </c>
      <c r="I150" s="4" t="s">
        <v>116</v>
      </c>
      <c r="J150" s="4" t="s">
        <v>122</v>
      </c>
      <c r="K150" s="4" t="s">
        <v>123</v>
      </c>
      <c r="L150" s="4" t="s">
        <v>158</v>
      </c>
      <c r="M150">
        <v>56</v>
      </c>
    </row>
    <row r="151" spans="1:13" x14ac:dyDescent="0.2">
      <c r="A151" s="4" t="s">
        <v>334</v>
      </c>
      <c r="B151">
        <v>150</v>
      </c>
      <c r="C151" s="4" t="s">
        <v>26</v>
      </c>
      <c r="D151" s="4" t="s">
        <v>35</v>
      </c>
      <c r="E151" s="4" t="s">
        <v>53</v>
      </c>
      <c r="F151" s="4" t="s">
        <v>95</v>
      </c>
      <c r="G151">
        <v>6</v>
      </c>
      <c r="H151">
        <v>29</v>
      </c>
      <c r="I151" s="4" t="s">
        <v>114</v>
      </c>
      <c r="J151" s="4" t="s">
        <v>125</v>
      </c>
      <c r="K151" s="4" t="s">
        <v>126</v>
      </c>
      <c r="L151" s="4" t="s">
        <v>158</v>
      </c>
      <c r="M151">
        <v>29</v>
      </c>
    </row>
    <row r="152" spans="1:13" x14ac:dyDescent="0.2">
      <c r="A152" s="4" t="s">
        <v>335</v>
      </c>
      <c r="B152">
        <v>151</v>
      </c>
      <c r="C152" s="4" t="s">
        <v>26</v>
      </c>
      <c r="D152" s="4" t="s">
        <v>35</v>
      </c>
      <c r="E152" s="4" t="s">
        <v>53</v>
      </c>
      <c r="F152" s="4" t="s">
        <v>95</v>
      </c>
      <c r="G152">
        <v>6</v>
      </c>
      <c r="H152">
        <v>29</v>
      </c>
      <c r="I152" s="4" t="s">
        <v>114</v>
      </c>
      <c r="J152" s="4" t="s">
        <v>127</v>
      </c>
      <c r="K152" s="4" t="s">
        <v>128</v>
      </c>
      <c r="L152" s="4" t="s">
        <v>158</v>
      </c>
      <c r="M152">
        <v>66</v>
      </c>
    </row>
    <row r="153" spans="1:13" x14ac:dyDescent="0.2">
      <c r="A153" s="4" t="s">
        <v>336</v>
      </c>
      <c r="B153">
        <v>152</v>
      </c>
      <c r="C153" s="4" t="s">
        <v>26</v>
      </c>
      <c r="D153" s="4" t="s">
        <v>35</v>
      </c>
      <c r="E153" s="4" t="s">
        <v>53</v>
      </c>
      <c r="F153" s="4" t="s">
        <v>95</v>
      </c>
      <c r="G153">
        <v>6</v>
      </c>
      <c r="H153">
        <v>29</v>
      </c>
      <c r="I153" s="4" t="s">
        <v>114</v>
      </c>
      <c r="J153" s="4" t="s">
        <v>131</v>
      </c>
      <c r="K153" s="4" t="s">
        <v>132</v>
      </c>
      <c r="L153" s="4" t="s">
        <v>158</v>
      </c>
      <c r="M153">
        <v>14</v>
      </c>
    </row>
    <row r="154" spans="1:13" x14ac:dyDescent="0.2">
      <c r="A154" s="4" t="s">
        <v>337</v>
      </c>
      <c r="B154">
        <v>153</v>
      </c>
      <c r="C154" s="4" t="s">
        <v>26</v>
      </c>
      <c r="D154" s="4" t="s">
        <v>35</v>
      </c>
      <c r="E154" s="4" t="s">
        <v>53</v>
      </c>
      <c r="F154" s="4" t="s">
        <v>95</v>
      </c>
      <c r="G154">
        <v>6</v>
      </c>
      <c r="H154">
        <v>29</v>
      </c>
      <c r="I154" s="4" t="s">
        <v>114</v>
      </c>
      <c r="J154" s="4" t="s">
        <v>133</v>
      </c>
      <c r="K154" s="4" t="s">
        <v>134</v>
      </c>
      <c r="L154" s="4" t="s">
        <v>158</v>
      </c>
      <c r="M154">
        <v>40</v>
      </c>
    </row>
    <row r="155" spans="1:13" x14ac:dyDescent="0.2">
      <c r="A155" s="4" t="s">
        <v>338</v>
      </c>
      <c r="B155">
        <v>154</v>
      </c>
      <c r="C155" s="4" t="s">
        <v>26</v>
      </c>
      <c r="D155" s="4" t="s">
        <v>35</v>
      </c>
      <c r="E155" s="4" t="s">
        <v>56</v>
      </c>
      <c r="F155" s="4" t="s">
        <v>97</v>
      </c>
      <c r="G155">
        <v>6</v>
      </c>
      <c r="H155">
        <v>30</v>
      </c>
      <c r="I155" s="4" t="s">
        <v>114</v>
      </c>
      <c r="J155" s="4" t="s">
        <v>122</v>
      </c>
      <c r="K155" s="4" t="s">
        <v>123</v>
      </c>
      <c r="L155" s="4" t="s">
        <v>158</v>
      </c>
      <c r="M155">
        <v>39</v>
      </c>
    </row>
    <row r="156" spans="1:13" x14ac:dyDescent="0.2">
      <c r="A156" s="4" t="s">
        <v>339</v>
      </c>
      <c r="B156">
        <v>155</v>
      </c>
      <c r="C156" s="4" t="s">
        <v>26</v>
      </c>
      <c r="D156" s="4" t="s">
        <v>35</v>
      </c>
      <c r="E156" s="4" t="s">
        <v>56</v>
      </c>
      <c r="F156" s="4" t="s">
        <v>97</v>
      </c>
      <c r="G156">
        <v>6</v>
      </c>
      <c r="H156">
        <v>30</v>
      </c>
      <c r="I156" s="4" t="s">
        <v>112</v>
      </c>
      <c r="J156" s="4" t="s">
        <v>122</v>
      </c>
      <c r="K156" s="4" t="s">
        <v>123</v>
      </c>
      <c r="L156" s="4" t="s">
        <v>158</v>
      </c>
      <c r="M156">
        <v>75</v>
      </c>
    </row>
    <row r="157" spans="1:13" x14ac:dyDescent="0.2">
      <c r="A157" s="4" t="s">
        <v>340</v>
      </c>
      <c r="B157">
        <v>156</v>
      </c>
      <c r="C157" s="4" t="s">
        <v>26</v>
      </c>
      <c r="D157" s="4" t="s">
        <v>35</v>
      </c>
      <c r="E157" s="4" t="s">
        <v>56</v>
      </c>
      <c r="F157" s="4" t="s">
        <v>97</v>
      </c>
      <c r="G157">
        <v>6</v>
      </c>
      <c r="H157">
        <v>30</v>
      </c>
      <c r="I157" s="4" t="s">
        <v>114</v>
      </c>
      <c r="J157" s="4" t="s">
        <v>127</v>
      </c>
      <c r="K157" s="4" t="s">
        <v>128</v>
      </c>
      <c r="L157" s="4" t="s">
        <v>158</v>
      </c>
      <c r="M157">
        <v>109</v>
      </c>
    </row>
    <row r="158" spans="1:13" x14ac:dyDescent="0.2">
      <c r="A158" s="4" t="s">
        <v>341</v>
      </c>
      <c r="B158">
        <v>157</v>
      </c>
      <c r="C158" s="4" t="s">
        <v>26</v>
      </c>
      <c r="D158" s="4" t="s">
        <v>35</v>
      </c>
      <c r="E158" s="4" t="s">
        <v>56</v>
      </c>
      <c r="F158" s="4" t="s">
        <v>97</v>
      </c>
      <c r="G158">
        <v>6</v>
      </c>
      <c r="H158">
        <v>30</v>
      </c>
      <c r="I158" s="4" t="s">
        <v>112</v>
      </c>
      <c r="J158" s="4" t="s">
        <v>127</v>
      </c>
      <c r="K158" s="4" t="s">
        <v>128</v>
      </c>
      <c r="L158" s="4" t="s">
        <v>158</v>
      </c>
      <c r="M158">
        <v>50</v>
      </c>
    </row>
    <row r="159" spans="1:13" x14ac:dyDescent="0.2">
      <c r="A159" s="4" t="s">
        <v>342</v>
      </c>
      <c r="B159">
        <v>158</v>
      </c>
      <c r="C159" s="4" t="s">
        <v>26</v>
      </c>
      <c r="D159" s="4" t="s">
        <v>35</v>
      </c>
      <c r="E159" s="4" t="s">
        <v>56</v>
      </c>
      <c r="F159" s="4" t="s">
        <v>97</v>
      </c>
      <c r="G159">
        <v>6</v>
      </c>
      <c r="H159">
        <v>30</v>
      </c>
      <c r="I159" s="4" t="s">
        <v>112</v>
      </c>
      <c r="J159" s="4" t="s">
        <v>129</v>
      </c>
      <c r="K159" s="4" t="s">
        <v>130</v>
      </c>
      <c r="L159" s="4" t="s">
        <v>158</v>
      </c>
      <c r="M159">
        <v>18</v>
      </c>
    </row>
    <row r="160" spans="1:13" x14ac:dyDescent="0.2">
      <c r="A160" s="4" t="s">
        <v>343</v>
      </c>
      <c r="B160">
        <v>159</v>
      </c>
      <c r="C160" s="4" t="s">
        <v>26</v>
      </c>
      <c r="D160" s="4" t="s">
        <v>35</v>
      </c>
      <c r="E160" s="4" t="s">
        <v>56</v>
      </c>
      <c r="F160" s="4" t="s">
        <v>97</v>
      </c>
      <c r="G160">
        <v>6</v>
      </c>
      <c r="H160">
        <v>30</v>
      </c>
      <c r="I160" s="4" t="s">
        <v>116</v>
      </c>
      <c r="J160" s="4" t="s">
        <v>129</v>
      </c>
      <c r="K160" s="4" t="s">
        <v>130</v>
      </c>
      <c r="L160" s="4" t="s">
        <v>158</v>
      </c>
      <c r="M160">
        <v>22</v>
      </c>
    </row>
    <row r="161" spans="1:13" x14ac:dyDescent="0.2">
      <c r="A161" s="4" t="s">
        <v>344</v>
      </c>
      <c r="B161">
        <v>160</v>
      </c>
      <c r="C161" s="4" t="s">
        <v>26</v>
      </c>
      <c r="D161" s="4" t="s">
        <v>35</v>
      </c>
      <c r="E161" s="4" t="s">
        <v>56</v>
      </c>
      <c r="F161" s="4" t="s">
        <v>97</v>
      </c>
      <c r="G161">
        <v>6</v>
      </c>
      <c r="H161">
        <v>30</v>
      </c>
      <c r="I161" s="4" t="s">
        <v>114</v>
      </c>
      <c r="J161" s="4" t="s">
        <v>131</v>
      </c>
      <c r="K161" s="4" t="s">
        <v>132</v>
      </c>
      <c r="L161" s="4" t="s">
        <v>158</v>
      </c>
      <c r="M161">
        <v>56</v>
      </c>
    </row>
    <row r="162" spans="1:13" x14ac:dyDescent="0.2">
      <c r="A162" s="4" t="s">
        <v>345</v>
      </c>
      <c r="B162">
        <v>161</v>
      </c>
      <c r="C162" s="4" t="s">
        <v>26</v>
      </c>
      <c r="D162" s="4" t="s">
        <v>35</v>
      </c>
      <c r="E162" s="4" t="s">
        <v>56</v>
      </c>
      <c r="F162" s="4" t="s">
        <v>97</v>
      </c>
      <c r="G162">
        <v>6</v>
      </c>
      <c r="H162">
        <v>30</v>
      </c>
      <c r="I162" s="4" t="s">
        <v>112</v>
      </c>
      <c r="J162" s="4" t="s">
        <v>131</v>
      </c>
      <c r="K162" s="4" t="s">
        <v>132</v>
      </c>
      <c r="L162" s="4" t="s">
        <v>158</v>
      </c>
      <c r="M162">
        <v>29</v>
      </c>
    </row>
    <row r="163" spans="1:13" x14ac:dyDescent="0.2">
      <c r="A163" s="4" t="s">
        <v>346</v>
      </c>
      <c r="B163">
        <v>162</v>
      </c>
      <c r="C163" s="4" t="s">
        <v>26</v>
      </c>
      <c r="D163" s="4" t="s">
        <v>38</v>
      </c>
      <c r="E163" s="4" t="s">
        <v>27</v>
      </c>
      <c r="F163" s="4" t="s">
        <v>907</v>
      </c>
      <c r="G163">
        <v>7</v>
      </c>
      <c r="H163">
        <v>31</v>
      </c>
      <c r="I163" s="4" t="s">
        <v>116</v>
      </c>
      <c r="J163" s="4" t="s">
        <v>122</v>
      </c>
      <c r="K163" s="4" t="s">
        <v>123</v>
      </c>
      <c r="L163" s="4" t="s">
        <v>158</v>
      </c>
      <c r="M163">
        <v>25</v>
      </c>
    </row>
    <row r="164" spans="1:13" x14ac:dyDescent="0.2">
      <c r="A164" s="4" t="s">
        <v>347</v>
      </c>
      <c r="B164">
        <v>163</v>
      </c>
      <c r="C164" s="4" t="s">
        <v>26</v>
      </c>
      <c r="D164" s="4" t="s">
        <v>38</v>
      </c>
      <c r="E164" s="4" t="s">
        <v>27</v>
      </c>
      <c r="F164" s="4" t="s">
        <v>907</v>
      </c>
      <c r="G164">
        <v>7</v>
      </c>
      <c r="H164">
        <v>31</v>
      </c>
      <c r="I164" s="4" t="s">
        <v>112</v>
      </c>
      <c r="J164" s="4" t="s">
        <v>122</v>
      </c>
      <c r="K164" s="4" t="s">
        <v>123</v>
      </c>
      <c r="L164" s="4" t="s">
        <v>158</v>
      </c>
      <c r="M164">
        <v>191</v>
      </c>
    </row>
    <row r="165" spans="1:13" x14ac:dyDescent="0.2">
      <c r="A165" s="4" t="s">
        <v>348</v>
      </c>
      <c r="B165">
        <v>164</v>
      </c>
      <c r="C165" s="4" t="s">
        <v>26</v>
      </c>
      <c r="D165" s="4" t="s">
        <v>38</v>
      </c>
      <c r="E165" s="4" t="s">
        <v>27</v>
      </c>
      <c r="F165" s="4" t="s">
        <v>907</v>
      </c>
      <c r="G165">
        <v>7</v>
      </c>
      <c r="H165">
        <v>31</v>
      </c>
      <c r="I165" s="4" t="s">
        <v>114</v>
      </c>
      <c r="J165" s="4" t="s">
        <v>125</v>
      </c>
      <c r="K165" s="4" t="s">
        <v>126</v>
      </c>
      <c r="L165" s="4" t="s">
        <v>158</v>
      </c>
      <c r="M165">
        <v>10</v>
      </c>
    </row>
    <row r="166" spans="1:13" x14ac:dyDescent="0.2">
      <c r="A166" s="4" t="s">
        <v>349</v>
      </c>
      <c r="B166">
        <v>165</v>
      </c>
      <c r="C166" s="4" t="s">
        <v>26</v>
      </c>
      <c r="D166" s="4" t="s">
        <v>38</v>
      </c>
      <c r="E166" s="4" t="s">
        <v>27</v>
      </c>
      <c r="F166" s="4" t="s">
        <v>907</v>
      </c>
      <c r="G166">
        <v>7</v>
      </c>
      <c r="H166">
        <v>31</v>
      </c>
      <c r="I166" s="4" t="s">
        <v>112</v>
      </c>
      <c r="J166" s="4" t="s">
        <v>125</v>
      </c>
      <c r="K166" s="4" t="s">
        <v>126</v>
      </c>
      <c r="L166" s="4" t="s">
        <v>158</v>
      </c>
      <c r="M166">
        <v>3</v>
      </c>
    </row>
    <row r="167" spans="1:13" x14ac:dyDescent="0.2">
      <c r="A167" s="4" t="s">
        <v>350</v>
      </c>
      <c r="B167">
        <v>166</v>
      </c>
      <c r="C167" s="4" t="s">
        <v>26</v>
      </c>
      <c r="D167" s="4" t="s">
        <v>38</v>
      </c>
      <c r="E167" s="4" t="s">
        <v>27</v>
      </c>
      <c r="F167" s="4" t="s">
        <v>907</v>
      </c>
      <c r="G167">
        <v>7</v>
      </c>
      <c r="H167">
        <v>31</v>
      </c>
      <c r="I167" s="4" t="s">
        <v>114</v>
      </c>
      <c r="J167" s="4" t="s">
        <v>127</v>
      </c>
      <c r="K167" s="4" t="s">
        <v>128</v>
      </c>
      <c r="L167" s="4" t="s">
        <v>158</v>
      </c>
      <c r="M167">
        <v>87</v>
      </c>
    </row>
    <row r="168" spans="1:13" x14ac:dyDescent="0.2">
      <c r="A168" s="4" t="s">
        <v>351</v>
      </c>
      <c r="B168">
        <v>167</v>
      </c>
      <c r="C168" s="4" t="s">
        <v>26</v>
      </c>
      <c r="D168" s="4" t="s">
        <v>38</v>
      </c>
      <c r="E168" s="4" t="s">
        <v>27</v>
      </c>
      <c r="F168" s="4" t="s">
        <v>907</v>
      </c>
      <c r="G168">
        <v>7</v>
      </c>
      <c r="H168">
        <v>31</v>
      </c>
      <c r="I168" s="4" t="s">
        <v>114</v>
      </c>
      <c r="J168" s="4" t="s">
        <v>131</v>
      </c>
      <c r="K168" s="4" t="s">
        <v>132</v>
      </c>
      <c r="L168" s="4" t="s">
        <v>158</v>
      </c>
      <c r="M168">
        <v>19</v>
      </c>
    </row>
    <row r="169" spans="1:13" x14ac:dyDescent="0.2">
      <c r="A169" s="4" t="s">
        <v>352</v>
      </c>
      <c r="B169">
        <v>168</v>
      </c>
      <c r="C169" s="4" t="s">
        <v>26</v>
      </c>
      <c r="D169" s="4" t="s">
        <v>38</v>
      </c>
      <c r="E169" s="4" t="s">
        <v>27</v>
      </c>
      <c r="F169" s="4" t="s">
        <v>907</v>
      </c>
      <c r="G169">
        <v>7</v>
      </c>
      <c r="H169">
        <v>31</v>
      </c>
      <c r="I169" s="4" t="s">
        <v>112</v>
      </c>
      <c r="J169" s="4" t="s">
        <v>133</v>
      </c>
      <c r="K169" s="4" t="s">
        <v>134</v>
      </c>
      <c r="L169" s="4" t="s">
        <v>158</v>
      </c>
      <c r="M169">
        <v>31</v>
      </c>
    </row>
    <row r="170" spans="1:13" x14ac:dyDescent="0.2">
      <c r="A170" s="4" t="s">
        <v>353</v>
      </c>
      <c r="B170">
        <v>169</v>
      </c>
      <c r="C170" s="4" t="s">
        <v>26</v>
      </c>
      <c r="D170" s="4" t="s">
        <v>38</v>
      </c>
      <c r="E170" s="4" t="s">
        <v>27</v>
      </c>
      <c r="F170" s="4" t="s">
        <v>907</v>
      </c>
      <c r="G170">
        <v>7</v>
      </c>
      <c r="H170">
        <v>31</v>
      </c>
      <c r="I170" s="4" t="s">
        <v>116</v>
      </c>
      <c r="J170" s="4" t="s">
        <v>133</v>
      </c>
      <c r="K170" s="4" t="s">
        <v>134</v>
      </c>
      <c r="L170" s="4" t="s">
        <v>158</v>
      </c>
      <c r="M170">
        <v>20</v>
      </c>
    </row>
    <row r="171" spans="1:13" x14ac:dyDescent="0.2">
      <c r="A171" s="4" t="s">
        <v>354</v>
      </c>
      <c r="B171">
        <v>170</v>
      </c>
      <c r="C171" s="4" t="s">
        <v>26</v>
      </c>
      <c r="D171" s="4" t="s">
        <v>38</v>
      </c>
      <c r="E171" s="4" t="s">
        <v>32</v>
      </c>
      <c r="F171" s="4" t="s">
        <v>1093</v>
      </c>
      <c r="G171">
        <v>7</v>
      </c>
      <c r="H171">
        <v>32</v>
      </c>
      <c r="I171" s="4" t="s">
        <v>114</v>
      </c>
      <c r="J171" s="4" t="s">
        <v>122</v>
      </c>
      <c r="K171" s="4" t="s">
        <v>123</v>
      </c>
      <c r="L171" s="4" t="s">
        <v>158</v>
      </c>
      <c r="M171">
        <v>22</v>
      </c>
    </row>
    <row r="172" spans="1:13" x14ac:dyDescent="0.2">
      <c r="A172" s="4" t="s">
        <v>355</v>
      </c>
      <c r="B172">
        <v>171</v>
      </c>
      <c r="C172" s="4" t="s">
        <v>26</v>
      </c>
      <c r="D172" s="4" t="s">
        <v>38</v>
      </c>
      <c r="E172" s="4" t="s">
        <v>32</v>
      </c>
      <c r="F172" s="4" t="s">
        <v>1093</v>
      </c>
      <c r="G172">
        <v>7</v>
      </c>
      <c r="H172">
        <v>32</v>
      </c>
      <c r="I172" s="4" t="s">
        <v>112</v>
      </c>
      <c r="J172" s="4" t="s">
        <v>122</v>
      </c>
      <c r="K172" s="4" t="s">
        <v>123</v>
      </c>
      <c r="L172" s="4" t="s">
        <v>158</v>
      </c>
      <c r="M172">
        <v>7</v>
      </c>
    </row>
    <row r="173" spans="1:13" x14ac:dyDescent="0.2">
      <c r="A173" s="4" t="s">
        <v>356</v>
      </c>
      <c r="B173">
        <v>172</v>
      </c>
      <c r="C173" s="4" t="s">
        <v>26</v>
      </c>
      <c r="D173" s="4" t="s">
        <v>38</v>
      </c>
      <c r="E173" s="4" t="s">
        <v>32</v>
      </c>
      <c r="F173" s="4" t="s">
        <v>1093</v>
      </c>
      <c r="G173">
        <v>7</v>
      </c>
      <c r="H173">
        <v>32</v>
      </c>
      <c r="I173" s="4" t="s">
        <v>116</v>
      </c>
      <c r="J173" s="4" t="s">
        <v>122</v>
      </c>
      <c r="K173" s="4" t="s">
        <v>123</v>
      </c>
      <c r="L173" s="4" t="s">
        <v>158</v>
      </c>
      <c r="M173">
        <v>20</v>
      </c>
    </row>
    <row r="174" spans="1:13" x14ac:dyDescent="0.2">
      <c r="A174" s="4" t="s">
        <v>357</v>
      </c>
      <c r="B174">
        <v>173</v>
      </c>
      <c r="C174" s="4" t="s">
        <v>26</v>
      </c>
      <c r="D174" s="4" t="s">
        <v>38</v>
      </c>
      <c r="E174" s="4" t="s">
        <v>32</v>
      </c>
      <c r="F174" s="4" t="s">
        <v>1093</v>
      </c>
      <c r="G174">
        <v>7</v>
      </c>
      <c r="H174">
        <v>32</v>
      </c>
      <c r="I174" s="4" t="s">
        <v>114</v>
      </c>
      <c r="J174" s="4" t="s">
        <v>125</v>
      </c>
      <c r="K174" s="4" t="s">
        <v>126</v>
      </c>
      <c r="L174" s="4" t="s">
        <v>158</v>
      </c>
      <c r="M174">
        <v>20</v>
      </c>
    </row>
    <row r="175" spans="1:13" x14ac:dyDescent="0.2">
      <c r="A175" s="4" t="s">
        <v>358</v>
      </c>
      <c r="B175">
        <v>174</v>
      </c>
      <c r="C175" s="4" t="s">
        <v>26</v>
      </c>
      <c r="D175" s="4" t="s">
        <v>38</v>
      </c>
      <c r="E175" s="4" t="s">
        <v>32</v>
      </c>
      <c r="F175" s="4" t="s">
        <v>1093</v>
      </c>
      <c r="G175">
        <v>7</v>
      </c>
      <c r="H175">
        <v>32</v>
      </c>
      <c r="I175" s="4" t="s">
        <v>116</v>
      </c>
      <c r="J175" s="4" t="s">
        <v>127</v>
      </c>
      <c r="K175" s="4" t="s">
        <v>128</v>
      </c>
      <c r="L175" s="4" t="s">
        <v>158</v>
      </c>
      <c r="M175">
        <v>45</v>
      </c>
    </row>
    <row r="176" spans="1:13" x14ac:dyDescent="0.2">
      <c r="A176" s="4" t="s">
        <v>359</v>
      </c>
      <c r="B176">
        <v>175</v>
      </c>
      <c r="C176" s="4" t="s">
        <v>26</v>
      </c>
      <c r="D176" s="4" t="s">
        <v>38</v>
      </c>
      <c r="E176" s="4" t="s">
        <v>32</v>
      </c>
      <c r="F176" s="4" t="s">
        <v>1093</v>
      </c>
      <c r="G176">
        <v>7</v>
      </c>
      <c r="H176">
        <v>32</v>
      </c>
      <c r="I176" s="4" t="s">
        <v>112</v>
      </c>
      <c r="J176" s="4" t="s">
        <v>127</v>
      </c>
      <c r="K176" s="4" t="s">
        <v>128</v>
      </c>
      <c r="L176" s="4" t="s">
        <v>158</v>
      </c>
      <c r="M176">
        <v>118</v>
      </c>
    </row>
    <row r="177" spans="1:13" x14ac:dyDescent="0.2">
      <c r="A177" s="4" t="s">
        <v>360</v>
      </c>
      <c r="B177">
        <v>176</v>
      </c>
      <c r="C177" s="4" t="s">
        <v>26</v>
      </c>
      <c r="D177" s="4" t="s">
        <v>38</v>
      </c>
      <c r="E177" s="4" t="s">
        <v>32</v>
      </c>
      <c r="F177" s="4" t="s">
        <v>1093</v>
      </c>
      <c r="G177">
        <v>7</v>
      </c>
      <c r="H177">
        <v>32</v>
      </c>
      <c r="I177" s="4" t="s">
        <v>114</v>
      </c>
      <c r="J177" s="4" t="s">
        <v>127</v>
      </c>
      <c r="K177" s="4" t="s">
        <v>128</v>
      </c>
      <c r="L177" s="4" t="s">
        <v>158</v>
      </c>
      <c r="M177">
        <v>110</v>
      </c>
    </row>
    <row r="178" spans="1:13" x14ac:dyDescent="0.2">
      <c r="A178" s="4" t="s">
        <v>361</v>
      </c>
      <c r="B178">
        <v>177</v>
      </c>
      <c r="C178" s="4" t="s">
        <v>26</v>
      </c>
      <c r="D178" s="4" t="s">
        <v>38</v>
      </c>
      <c r="E178" s="4" t="s">
        <v>32</v>
      </c>
      <c r="F178" s="4" t="s">
        <v>1093</v>
      </c>
      <c r="G178">
        <v>7</v>
      </c>
      <c r="H178">
        <v>32</v>
      </c>
      <c r="I178" s="4" t="s">
        <v>116</v>
      </c>
      <c r="J178" s="4" t="s">
        <v>129</v>
      </c>
      <c r="K178" s="4" t="s">
        <v>130</v>
      </c>
      <c r="L178" s="4" t="s">
        <v>158</v>
      </c>
      <c r="M178">
        <v>25</v>
      </c>
    </row>
    <row r="179" spans="1:13" x14ac:dyDescent="0.2">
      <c r="A179" s="4" t="s">
        <v>362</v>
      </c>
      <c r="B179">
        <v>178</v>
      </c>
      <c r="C179" s="4" t="s">
        <v>26</v>
      </c>
      <c r="D179" s="4" t="s">
        <v>38</v>
      </c>
      <c r="E179" s="4" t="s">
        <v>32</v>
      </c>
      <c r="F179" s="4" t="s">
        <v>1093</v>
      </c>
      <c r="G179">
        <v>7</v>
      </c>
      <c r="H179">
        <v>32</v>
      </c>
      <c r="I179" s="4" t="s">
        <v>114</v>
      </c>
      <c r="J179" s="4" t="s">
        <v>131</v>
      </c>
      <c r="K179" s="4" t="s">
        <v>132</v>
      </c>
      <c r="L179" s="4" t="s">
        <v>158</v>
      </c>
      <c r="M179">
        <v>56</v>
      </c>
    </row>
    <row r="180" spans="1:13" x14ac:dyDescent="0.2">
      <c r="A180" s="4" t="s">
        <v>363</v>
      </c>
      <c r="B180">
        <v>179</v>
      </c>
      <c r="C180" s="4" t="s">
        <v>26</v>
      </c>
      <c r="D180" s="4" t="s">
        <v>38</v>
      </c>
      <c r="E180" s="4" t="s">
        <v>32</v>
      </c>
      <c r="F180" s="4" t="s">
        <v>1093</v>
      </c>
      <c r="G180">
        <v>7</v>
      </c>
      <c r="H180">
        <v>32</v>
      </c>
      <c r="I180" s="4" t="s">
        <v>116</v>
      </c>
      <c r="J180" s="4" t="s">
        <v>131</v>
      </c>
      <c r="K180" s="4" t="s">
        <v>132</v>
      </c>
      <c r="L180" s="4" t="s">
        <v>158</v>
      </c>
      <c r="M180">
        <v>30</v>
      </c>
    </row>
    <row r="181" spans="1:13" x14ac:dyDescent="0.2">
      <c r="A181" s="4" t="s">
        <v>364</v>
      </c>
      <c r="B181">
        <v>180</v>
      </c>
      <c r="C181" s="4" t="s">
        <v>26</v>
      </c>
      <c r="D181" s="4" t="s">
        <v>38</v>
      </c>
      <c r="E181" s="4" t="s">
        <v>32</v>
      </c>
      <c r="F181" s="4" t="s">
        <v>1093</v>
      </c>
      <c r="G181">
        <v>7</v>
      </c>
      <c r="H181">
        <v>32</v>
      </c>
      <c r="I181" s="4" t="s">
        <v>112</v>
      </c>
      <c r="J181" s="4" t="s">
        <v>133</v>
      </c>
      <c r="K181" s="4" t="s">
        <v>134</v>
      </c>
      <c r="L181" s="4" t="s">
        <v>158</v>
      </c>
      <c r="M181">
        <v>19</v>
      </c>
    </row>
    <row r="182" spans="1:13" x14ac:dyDescent="0.2">
      <c r="A182" s="4" t="s">
        <v>365</v>
      </c>
      <c r="B182">
        <v>181</v>
      </c>
      <c r="C182" s="4" t="s">
        <v>26</v>
      </c>
      <c r="D182" s="4" t="s">
        <v>38</v>
      </c>
      <c r="E182" s="4" t="s">
        <v>35</v>
      </c>
      <c r="F182" s="4" t="s">
        <v>1122</v>
      </c>
      <c r="G182">
        <v>7</v>
      </c>
      <c r="H182">
        <v>33</v>
      </c>
      <c r="I182" s="4" t="s">
        <v>114</v>
      </c>
      <c r="J182" s="4" t="s">
        <v>125</v>
      </c>
      <c r="K182" s="4" t="s">
        <v>126</v>
      </c>
      <c r="L182" s="4" t="s">
        <v>158</v>
      </c>
      <c r="M182">
        <v>6</v>
      </c>
    </row>
    <row r="183" spans="1:13" x14ac:dyDescent="0.2">
      <c r="A183" s="4" t="s">
        <v>366</v>
      </c>
      <c r="B183">
        <v>182</v>
      </c>
      <c r="C183" s="4" t="s">
        <v>26</v>
      </c>
      <c r="D183" s="4" t="s">
        <v>38</v>
      </c>
      <c r="E183" s="4" t="s">
        <v>35</v>
      </c>
      <c r="F183" s="4" t="s">
        <v>1122</v>
      </c>
      <c r="G183">
        <v>7</v>
      </c>
      <c r="H183">
        <v>33</v>
      </c>
      <c r="I183" s="4" t="s">
        <v>116</v>
      </c>
      <c r="J183" s="4" t="s">
        <v>129</v>
      </c>
      <c r="K183" s="4" t="s">
        <v>130</v>
      </c>
      <c r="L183" s="4" t="s">
        <v>158</v>
      </c>
      <c r="M183">
        <v>35</v>
      </c>
    </row>
    <row r="184" spans="1:13" x14ac:dyDescent="0.2">
      <c r="A184" s="4" t="s">
        <v>367</v>
      </c>
      <c r="B184">
        <v>183</v>
      </c>
      <c r="C184" s="4" t="s">
        <v>26</v>
      </c>
      <c r="D184" s="4" t="s">
        <v>38</v>
      </c>
      <c r="E184" s="4" t="s">
        <v>35</v>
      </c>
      <c r="F184" s="4" t="s">
        <v>1122</v>
      </c>
      <c r="G184">
        <v>7</v>
      </c>
      <c r="H184">
        <v>33</v>
      </c>
      <c r="I184" s="4" t="s">
        <v>112</v>
      </c>
      <c r="J184" s="4" t="s">
        <v>131</v>
      </c>
      <c r="K184" s="4" t="s">
        <v>132</v>
      </c>
      <c r="L184" s="4" t="s">
        <v>158</v>
      </c>
      <c r="M184">
        <v>20</v>
      </c>
    </row>
    <row r="185" spans="1:13" x14ac:dyDescent="0.2">
      <c r="A185" s="4" t="s">
        <v>368</v>
      </c>
      <c r="B185">
        <v>184</v>
      </c>
      <c r="C185" s="4" t="s">
        <v>26</v>
      </c>
      <c r="D185" s="4" t="s">
        <v>38</v>
      </c>
      <c r="E185" s="4" t="s">
        <v>38</v>
      </c>
      <c r="F185" s="4" t="s">
        <v>1151</v>
      </c>
      <c r="G185">
        <v>7</v>
      </c>
      <c r="H185">
        <v>34</v>
      </c>
      <c r="I185" s="4" t="s">
        <v>116</v>
      </c>
      <c r="J185" s="4" t="s">
        <v>122</v>
      </c>
      <c r="K185" s="4" t="s">
        <v>123</v>
      </c>
      <c r="L185" s="4" t="s">
        <v>158</v>
      </c>
      <c r="M185">
        <v>100</v>
      </c>
    </row>
    <row r="186" spans="1:13" x14ac:dyDescent="0.2">
      <c r="A186" s="4" t="s">
        <v>369</v>
      </c>
      <c r="B186">
        <v>185</v>
      </c>
      <c r="C186" s="4" t="s">
        <v>26</v>
      </c>
      <c r="D186" s="4" t="s">
        <v>38</v>
      </c>
      <c r="E186" s="4" t="s">
        <v>38</v>
      </c>
      <c r="F186" s="4" t="s">
        <v>1151</v>
      </c>
      <c r="G186">
        <v>7</v>
      </c>
      <c r="H186">
        <v>34</v>
      </c>
      <c r="I186" s="4" t="s">
        <v>112</v>
      </c>
      <c r="J186" s="4" t="s">
        <v>122</v>
      </c>
      <c r="K186" s="4" t="s">
        <v>123</v>
      </c>
      <c r="L186" s="4" t="s">
        <v>158</v>
      </c>
      <c r="M186">
        <v>215</v>
      </c>
    </row>
    <row r="187" spans="1:13" x14ac:dyDescent="0.2">
      <c r="A187" s="4" t="s">
        <v>370</v>
      </c>
      <c r="B187">
        <v>186</v>
      </c>
      <c r="C187" s="4" t="s">
        <v>26</v>
      </c>
      <c r="D187" s="4" t="s">
        <v>38</v>
      </c>
      <c r="E187" s="4" t="s">
        <v>38</v>
      </c>
      <c r="F187" s="4" t="s">
        <v>1151</v>
      </c>
      <c r="G187">
        <v>7</v>
      </c>
      <c r="H187">
        <v>34</v>
      </c>
      <c r="I187" s="4" t="s">
        <v>114</v>
      </c>
      <c r="J187" s="4" t="s">
        <v>122</v>
      </c>
      <c r="K187" s="4" t="s">
        <v>123</v>
      </c>
      <c r="L187" s="4" t="s">
        <v>158</v>
      </c>
      <c r="M187">
        <v>35</v>
      </c>
    </row>
    <row r="188" spans="1:13" x14ac:dyDescent="0.2">
      <c r="A188" s="4" t="s">
        <v>371</v>
      </c>
      <c r="B188">
        <v>187</v>
      </c>
      <c r="C188" s="4" t="s">
        <v>26</v>
      </c>
      <c r="D188" s="4" t="s">
        <v>38</v>
      </c>
      <c r="E188" s="4" t="s">
        <v>38</v>
      </c>
      <c r="F188" s="4" t="s">
        <v>1151</v>
      </c>
      <c r="G188">
        <v>7</v>
      </c>
      <c r="H188">
        <v>34</v>
      </c>
      <c r="I188" s="4" t="s">
        <v>116</v>
      </c>
      <c r="J188" s="4" t="s">
        <v>125</v>
      </c>
      <c r="K188" s="4" t="s">
        <v>126</v>
      </c>
      <c r="L188" s="4" t="s">
        <v>158</v>
      </c>
      <c r="M188">
        <v>18</v>
      </c>
    </row>
    <row r="189" spans="1:13" x14ac:dyDescent="0.2">
      <c r="A189" s="4" t="s">
        <v>372</v>
      </c>
      <c r="B189">
        <v>188</v>
      </c>
      <c r="C189" s="4" t="s">
        <v>26</v>
      </c>
      <c r="D189" s="4" t="s">
        <v>38</v>
      </c>
      <c r="E189" s="4" t="s">
        <v>38</v>
      </c>
      <c r="F189" s="4" t="s">
        <v>1151</v>
      </c>
      <c r="G189">
        <v>7</v>
      </c>
      <c r="H189">
        <v>34</v>
      </c>
      <c r="I189" s="4" t="s">
        <v>114</v>
      </c>
      <c r="J189" s="4" t="s">
        <v>127</v>
      </c>
      <c r="K189" s="4" t="s">
        <v>128</v>
      </c>
      <c r="L189" s="4" t="s">
        <v>158</v>
      </c>
      <c r="M189">
        <v>210</v>
      </c>
    </row>
    <row r="190" spans="1:13" x14ac:dyDescent="0.2">
      <c r="A190" s="4" t="s">
        <v>373</v>
      </c>
      <c r="B190">
        <v>189</v>
      </c>
      <c r="C190" s="4" t="s">
        <v>26</v>
      </c>
      <c r="D190" s="4" t="s">
        <v>38</v>
      </c>
      <c r="E190" s="4" t="s">
        <v>38</v>
      </c>
      <c r="F190" s="4" t="s">
        <v>1151</v>
      </c>
      <c r="G190">
        <v>7</v>
      </c>
      <c r="H190">
        <v>34</v>
      </c>
      <c r="I190" s="4" t="s">
        <v>112</v>
      </c>
      <c r="J190" s="4" t="s">
        <v>127</v>
      </c>
      <c r="K190" s="4" t="s">
        <v>128</v>
      </c>
      <c r="L190" s="4" t="s">
        <v>158</v>
      </c>
      <c r="M190">
        <v>102</v>
      </c>
    </row>
    <row r="191" spans="1:13" x14ac:dyDescent="0.2">
      <c r="A191" s="4" t="s">
        <v>374</v>
      </c>
      <c r="B191">
        <v>190</v>
      </c>
      <c r="C191" s="4" t="s">
        <v>26</v>
      </c>
      <c r="D191" s="4" t="s">
        <v>38</v>
      </c>
      <c r="E191" s="4" t="s">
        <v>38</v>
      </c>
      <c r="F191" s="4" t="s">
        <v>1151</v>
      </c>
      <c r="G191">
        <v>7</v>
      </c>
      <c r="H191">
        <v>34</v>
      </c>
      <c r="I191" s="4" t="s">
        <v>116</v>
      </c>
      <c r="J191" s="4" t="s">
        <v>127</v>
      </c>
      <c r="K191" s="4" t="s">
        <v>128</v>
      </c>
      <c r="L191" s="4" t="s">
        <v>158</v>
      </c>
      <c r="M191">
        <v>5</v>
      </c>
    </row>
    <row r="192" spans="1:13" x14ac:dyDescent="0.2">
      <c r="A192" s="4" t="s">
        <v>375</v>
      </c>
      <c r="B192">
        <v>191</v>
      </c>
      <c r="C192" s="4" t="s">
        <v>26</v>
      </c>
      <c r="D192" s="4" t="s">
        <v>38</v>
      </c>
      <c r="E192" s="4" t="s">
        <v>38</v>
      </c>
      <c r="F192" s="4" t="s">
        <v>1151</v>
      </c>
      <c r="G192">
        <v>7</v>
      </c>
      <c r="H192">
        <v>34</v>
      </c>
      <c r="I192" s="4" t="s">
        <v>114</v>
      </c>
      <c r="J192" s="4" t="s">
        <v>131</v>
      </c>
      <c r="K192" s="4" t="s">
        <v>132</v>
      </c>
      <c r="L192" s="4" t="s">
        <v>158</v>
      </c>
      <c r="M192">
        <v>51</v>
      </c>
    </row>
    <row r="193" spans="1:13" x14ac:dyDescent="0.2">
      <c r="A193" s="4" t="s">
        <v>376</v>
      </c>
      <c r="B193">
        <v>192</v>
      </c>
      <c r="C193" s="4" t="s">
        <v>26</v>
      </c>
      <c r="D193" s="4" t="s">
        <v>38</v>
      </c>
      <c r="E193" s="4" t="s">
        <v>38</v>
      </c>
      <c r="F193" s="4" t="s">
        <v>1151</v>
      </c>
      <c r="G193">
        <v>7</v>
      </c>
      <c r="H193">
        <v>34</v>
      </c>
      <c r="I193" s="4" t="s">
        <v>112</v>
      </c>
      <c r="J193" s="4" t="s">
        <v>131</v>
      </c>
      <c r="K193" s="4" t="s">
        <v>132</v>
      </c>
      <c r="L193" s="4" t="s">
        <v>158</v>
      </c>
      <c r="M193">
        <v>2</v>
      </c>
    </row>
    <row r="194" spans="1:13" x14ac:dyDescent="0.2">
      <c r="A194" s="4" t="s">
        <v>377</v>
      </c>
      <c r="B194">
        <v>193</v>
      </c>
      <c r="C194" s="4" t="s">
        <v>26</v>
      </c>
      <c r="D194" s="4" t="s">
        <v>38</v>
      </c>
      <c r="E194" s="4" t="s">
        <v>38</v>
      </c>
      <c r="F194" s="4" t="s">
        <v>1151</v>
      </c>
      <c r="G194">
        <v>7</v>
      </c>
      <c r="H194">
        <v>34</v>
      </c>
      <c r="I194" s="4" t="s">
        <v>114</v>
      </c>
      <c r="J194" s="4" t="s">
        <v>133</v>
      </c>
      <c r="K194" s="4" t="s">
        <v>134</v>
      </c>
      <c r="L194" s="4" t="s">
        <v>158</v>
      </c>
      <c r="M194">
        <v>30</v>
      </c>
    </row>
    <row r="195" spans="1:13" x14ac:dyDescent="0.2">
      <c r="A195" s="4" t="s">
        <v>378</v>
      </c>
      <c r="B195">
        <v>194</v>
      </c>
      <c r="C195" s="4" t="s">
        <v>26</v>
      </c>
      <c r="D195" s="4" t="s">
        <v>38</v>
      </c>
      <c r="E195" s="4" t="s">
        <v>41</v>
      </c>
      <c r="F195" s="4" t="s">
        <v>1180</v>
      </c>
      <c r="G195">
        <v>7</v>
      </c>
      <c r="H195">
        <v>35</v>
      </c>
      <c r="I195" s="4" t="s">
        <v>114</v>
      </c>
      <c r="J195" s="4" t="s">
        <v>122</v>
      </c>
      <c r="K195" s="4" t="s">
        <v>123</v>
      </c>
      <c r="L195" s="4" t="s">
        <v>158</v>
      </c>
      <c r="M195">
        <v>65</v>
      </c>
    </row>
    <row r="196" spans="1:13" x14ac:dyDescent="0.2">
      <c r="A196" s="4" t="s">
        <v>379</v>
      </c>
      <c r="B196">
        <v>195</v>
      </c>
      <c r="C196" s="4" t="s">
        <v>26</v>
      </c>
      <c r="D196" s="4" t="s">
        <v>38</v>
      </c>
      <c r="E196" s="4" t="s">
        <v>41</v>
      </c>
      <c r="F196" s="4" t="s">
        <v>1180</v>
      </c>
      <c r="G196">
        <v>7</v>
      </c>
      <c r="H196">
        <v>35</v>
      </c>
      <c r="I196" s="4" t="s">
        <v>116</v>
      </c>
      <c r="J196" s="4" t="s">
        <v>129</v>
      </c>
      <c r="K196" s="4" t="s">
        <v>130</v>
      </c>
      <c r="L196" s="4" t="s">
        <v>158</v>
      </c>
      <c r="M196">
        <v>36</v>
      </c>
    </row>
    <row r="197" spans="1:13" x14ac:dyDescent="0.2">
      <c r="A197" s="4" t="s">
        <v>380</v>
      </c>
      <c r="B197">
        <v>196</v>
      </c>
      <c r="C197" s="4" t="s">
        <v>26</v>
      </c>
      <c r="D197" s="4" t="s">
        <v>38</v>
      </c>
      <c r="E197" s="4" t="s">
        <v>41</v>
      </c>
      <c r="F197" s="4" t="s">
        <v>1180</v>
      </c>
      <c r="G197">
        <v>7</v>
      </c>
      <c r="H197">
        <v>35</v>
      </c>
      <c r="I197" s="4" t="s">
        <v>112</v>
      </c>
      <c r="J197" s="4" t="s">
        <v>129</v>
      </c>
      <c r="K197" s="4" t="s">
        <v>130</v>
      </c>
      <c r="L197" s="4" t="s">
        <v>158</v>
      </c>
      <c r="M197">
        <v>1</v>
      </c>
    </row>
    <row r="198" spans="1:13" x14ac:dyDescent="0.2">
      <c r="A198" s="4" t="s">
        <v>381</v>
      </c>
      <c r="B198">
        <v>197</v>
      </c>
      <c r="C198" s="4" t="s">
        <v>26</v>
      </c>
      <c r="D198" s="4" t="s">
        <v>38</v>
      </c>
      <c r="E198" s="4" t="s">
        <v>41</v>
      </c>
      <c r="F198" s="4" t="s">
        <v>1180</v>
      </c>
      <c r="G198">
        <v>7</v>
      </c>
      <c r="H198">
        <v>35</v>
      </c>
      <c r="I198" s="4" t="s">
        <v>114</v>
      </c>
      <c r="J198" s="4" t="s">
        <v>129</v>
      </c>
      <c r="K198" s="4" t="s">
        <v>130</v>
      </c>
      <c r="L198" s="4" t="s">
        <v>158</v>
      </c>
      <c r="M198">
        <v>8</v>
      </c>
    </row>
    <row r="199" spans="1:13" x14ac:dyDescent="0.2">
      <c r="A199" s="4" t="s">
        <v>382</v>
      </c>
      <c r="B199">
        <v>198</v>
      </c>
      <c r="C199" s="4" t="s">
        <v>26</v>
      </c>
      <c r="D199" s="4" t="s">
        <v>38</v>
      </c>
      <c r="E199" s="4" t="s">
        <v>41</v>
      </c>
      <c r="F199" s="4" t="s">
        <v>1180</v>
      </c>
      <c r="G199">
        <v>7</v>
      </c>
      <c r="H199">
        <v>35</v>
      </c>
      <c r="I199" s="4" t="s">
        <v>116</v>
      </c>
      <c r="J199" s="4" t="s">
        <v>131</v>
      </c>
      <c r="K199" s="4" t="s">
        <v>132</v>
      </c>
      <c r="L199" s="4" t="s">
        <v>158</v>
      </c>
      <c r="M199">
        <v>30</v>
      </c>
    </row>
    <row r="200" spans="1:13" x14ac:dyDescent="0.2">
      <c r="A200" s="4" t="s">
        <v>383</v>
      </c>
      <c r="B200">
        <v>199</v>
      </c>
      <c r="C200" s="4" t="s">
        <v>26</v>
      </c>
      <c r="D200" s="4" t="s">
        <v>38</v>
      </c>
      <c r="E200" s="4" t="s">
        <v>41</v>
      </c>
      <c r="F200" s="4" t="s">
        <v>1180</v>
      </c>
      <c r="G200">
        <v>7</v>
      </c>
      <c r="H200">
        <v>35</v>
      </c>
      <c r="I200" s="4" t="s">
        <v>112</v>
      </c>
      <c r="J200" s="4" t="s">
        <v>133</v>
      </c>
      <c r="K200" s="4" t="s">
        <v>134</v>
      </c>
      <c r="L200" s="4" t="s">
        <v>158</v>
      </c>
      <c r="M200">
        <v>11</v>
      </c>
    </row>
    <row r="201" spans="1:13" x14ac:dyDescent="0.2">
      <c r="A201" s="4" t="s">
        <v>384</v>
      </c>
      <c r="B201">
        <v>200</v>
      </c>
      <c r="C201" s="4" t="s">
        <v>26</v>
      </c>
      <c r="D201" s="4" t="s">
        <v>38</v>
      </c>
      <c r="E201" s="4" t="s">
        <v>41</v>
      </c>
      <c r="F201" s="4" t="s">
        <v>1180</v>
      </c>
      <c r="G201">
        <v>7</v>
      </c>
      <c r="H201">
        <v>35</v>
      </c>
      <c r="I201" s="4" t="s">
        <v>116</v>
      </c>
      <c r="J201" s="4" t="s">
        <v>133</v>
      </c>
      <c r="K201" s="4" t="s">
        <v>134</v>
      </c>
      <c r="L201" s="4" t="s">
        <v>158</v>
      </c>
      <c r="M201">
        <v>30</v>
      </c>
    </row>
    <row r="202" spans="1:13" x14ac:dyDescent="0.2">
      <c r="A202" s="4" t="s">
        <v>385</v>
      </c>
      <c r="B202">
        <v>201</v>
      </c>
      <c r="C202" s="4" t="s">
        <v>26</v>
      </c>
      <c r="D202" s="4" t="s">
        <v>38</v>
      </c>
      <c r="E202" s="4" t="s">
        <v>44</v>
      </c>
      <c r="F202" s="4" t="s">
        <v>1210</v>
      </c>
      <c r="G202">
        <v>8</v>
      </c>
      <c r="H202">
        <v>36</v>
      </c>
      <c r="I202" s="4" t="s">
        <v>112</v>
      </c>
      <c r="J202" s="4" t="s">
        <v>122</v>
      </c>
      <c r="K202" s="4" t="s">
        <v>123</v>
      </c>
      <c r="L202" s="4" t="s">
        <v>158</v>
      </c>
      <c r="M202">
        <v>202</v>
      </c>
    </row>
    <row r="203" spans="1:13" x14ac:dyDescent="0.2">
      <c r="A203" s="4" t="s">
        <v>386</v>
      </c>
      <c r="B203">
        <v>202</v>
      </c>
      <c r="C203" s="4" t="s">
        <v>26</v>
      </c>
      <c r="D203" s="4" t="s">
        <v>38</v>
      </c>
      <c r="E203" s="4" t="s">
        <v>44</v>
      </c>
      <c r="F203" s="4" t="s">
        <v>1210</v>
      </c>
      <c r="G203">
        <v>8</v>
      </c>
      <c r="H203">
        <v>36</v>
      </c>
      <c r="I203" s="4" t="s">
        <v>114</v>
      </c>
      <c r="J203" s="4" t="s">
        <v>127</v>
      </c>
      <c r="K203" s="4" t="s">
        <v>128</v>
      </c>
      <c r="L203" s="4" t="s">
        <v>158</v>
      </c>
      <c r="M203">
        <v>127</v>
      </c>
    </row>
    <row r="204" spans="1:13" x14ac:dyDescent="0.2">
      <c r="A204" s="4" t="s">
        <v>387</v>
      </c>
      <c r="B204">
        <v>203</v>
      </c>
      <c r="C204" s="4" t="s">
        <v>26</v>
      </c>
      <c r="D204" s="4" t="s">
        <v>38</v>
      </c>
      <c r="E204" s="4" t="s">
        <v>44</v>
      </c>
      <c r="F204" s="4" t="s">
        <v>1210</v>
      </c>
      <c r="G204">
        <v>8</v>
      </c>
      <c r="H204">
        <v>36</v>
      </c>
      <c r="I204" s="4" t="s">
        <v>112</v>
      </c>
      <c r="J204" s="4" t="s">
        <v>127</v>
      </c>
      <c r="K204" s="4" t="s">
        <v>128</v>
      </c>
      <c r="L204" s="4" t="s">
        <v>158</v>
      </c>
      <c r="M204">
        <v>1</v>
      </c>
    </row>
    <row r="205" spans="1:13" x14ac:dyDescent="0.2">
      <c r="A205" s="4" t="s">
        <v>388</v>
      </c>
      <c r="B205">
        <v>204</v>
      </c>
      <c r="C205" s="4" t="s">
        <v>26</v>
      </c>
      <c r="D205" s="4" t="s">
        <v>38</v>
      </c>
      <c r="E205" s="4" t="s">
        <v>44</v>
      </c>
      <c r="F205" s="4" t="s">
        <v>1210</v>
      </c>
      <c r="G205">
        <v>8</v>
      </c>
      <c r="H205">
        <v>36</v>
      </c>
      <c r="I205" s="4" t="s">
        <v>116</v>
      </c>
      <c r="J205" s="4" t="s">
        <v>127</v>
      </c>
      <c r="K205" s="4" t="s">
        <v>128</v>
      </c>
      <c r="L205" s="4" t="s">
        <v>158</v>
      </c>
      <c r="M205">
        <v>47</v>
      </c>
    </row>
    <row r="206" spans="1:13" x14ac:dyDescent="0.2">
      <c r="A206" s="4" t="s">
        <v>389</v>
      </c>
      <c r="B206">
        <v>205</v>
      </c>
      <c r="C206" s="4" t="s">
        <v>26</v>
      </c>
      <c r="D206" s="4" t="s">
        <v>38</v>
      </c>
      <c r="E206" s="4" t="s">
        <v>44</v>
      </c>
      <c r="F206" s="4" t="s">
        <v>1210</v>
      </c>
      <c r="G206">
        <v>8</v>
      </c>
      <c r="H206">
        <v>36</v>
      </c>
      <c r="I206" s="4" t="s">
        <v>114</v>
      </c>
      <c r="J206" s="4" t="s">
        <v>131</v>
      </c>
      <c r="K206" s="4" t="s">
        <v>132</v>
      </c>
      <c r="L206" s="4" t="s">
        <v>158</v>
      </c>
      <c r="M206">
        <v>25</v>
      </c>
    </row>
    <row r="207" spans="1:13" x14ac:dyDescent="0.2">
      <c r="A207" s="4" t="s">
        <v>390</v>
      </c>
      <c r="B207">
        <v>206</v>
      </c>
      <c r="C207" s="4" t="s">
        <v>26</v>
      </c>
      <c r="D207" s="4" t="s">
        <v>38</v>
      </c>
      <c r="E207" s="4" t="s">
        <v>47</v>
      </c>
      <c r="F207" s="4" t="s">
        <v>1240</v>
      </c>
      <c r="G207">
        <v>8</v>
      </c>
      <c r="H207">
        <v>37</v>
      </c>
      <c r="I207" s="4" t="s">
        <v>114</v>
      </c>
      <c r="J207" s="4" t="s">
        <v>122</v>
      </c>
      <c r="K207" s="4" t="s">
        <v>123</v>
      </c>
      <c r="L207" s="4" t="s">
        <v>158</v>
      </c>
      <c r="M207">
        <v>100</v>
      </c>
    </row>
    <row r="208" spans="1:13" x14ac:dyDescent="0.2">
      <c r="A208" s="4" t="s">
        <v>391</v>
      </c>
      <c r="B208">
        <v>207</v>
      </c>
      <c r="C208" s="4" t="s">
        <v>26</v>
      </c>
      <c r="D208" s="4" t="s">
        <v>38</v>
      </c>
      <c r="E208" s="4" t="s">
        <v>47</v>
      </c>
      <c r="F208" s="4" t="s">
        <v>1240</v>
      </c>
      <c r="G208">
        <v>8</v>
      </c>
      <c r="H208">
        <v>37</v>
      </c>
      <c r="I208" s="4" t="s">
        <v>112</v>
      </c>
      <c r="J208" s="4" t="s">
        <v>122</v>
      </c>
      <c r="K208" s="4" t="s">
        <v>123</v>
      </c>
      <c r="L208" s="4" t="s">
        <v>158</v>
      </c>
      <c r="M208">
        <v>68</v>
      </c>
    </row>
    <row r="209" spans="1:13" x14ac:dyDescent="0.2">
      <c r="A209" s="4" t="s">
        <v>392</v>
      </c>
      <c r="B209">
        <v>208</v>
      </c>
      <c r="C209" s="4" t="s">
        <v>26</v>
      </c>
      <c r="D209" s="4" t="s">
        <v>38</v>
      </c>
      <c r="E209" s="4" t="s">
        <v>47</v>
      </c>
      <c r="F209" s="4" t="s">
        <v>1240</v>
      </c>
      <c r="G209">
        <v>8</v>
      </c>
      <c r="H209">
        <v>37</v>
      </c>
      <c r="I209" s="4" t="s">
        <v>114</v>
      </c>
      <c r="J209" s="4" t="s">
        <v>125</v>
      </c>
      <c r="K209" s="4" t="s">
        <v>126</v>
      </c>
      <c r="L209" s="4" t="s">
        <v>158</v>
      </c>
      <c r="M209">
        <v>27</v>
      </c>
    </row>
    <row r="210" spans="1:13" x14ac:dyDescent="0.2">
      <c r="A210" s="4" t="s">
        <v>393</v>
      </c>
      <c r="B210">
        <v>209</v>
      </c>
      <c r="C210" s="4" t="s">
        <v>26</v>
      </c>
      <c r="D210" s="4" t="s">
        <v>38</v>
      </c>
      <c r="E210" s="4" t="s">
        <v>47</v>
      </c>
      <c r="F210" s="4" t="s">
        <v>1240</v>
      </c>
      <c r="G210">
        <v>8</v>
      </c>
      <c r="H210">
        <v>37</v>
      </c>
      <c r="I210" s="4" t="s">
        <v>112</v>
      </c>
      <c r="J210" s="4" t="s">
        <v>125</v>
      </c>
      <c r="K210" s="4" t="s">
        <v>126</v>
      </c>
      <c r="L210" s="4" t="s">
        <v>158</v>
      </c>
      <c r="M210">
        <v>25</v>
      </c>
    </row>
    <row r="211" spans="1:13" x14ac:dyDescent="0.2">
      <c r="A211" s="4" t="s">
        <v>394</v>
      </c>
      <c r="B211">
        <v>210</v>
      </c>
      <c r="C211" s="4" t="s">
        <v>26</v>
      </c>
      <c r="D211" s="4" t="s">
        <v>38</v>
      </c>
      <c r="E211" s="4" t="s">
        <v>47</v>
      </c>
      <c r="F211" s="4" t="s">
        <v>1240</v>
      </c>
      <c r="G211">
        <v>8</v>
      </c>
      <c r="H211">
        <v>37</v>
      </c>
      <c r="I211" s="4" t="s">
        <v>112</v>
      </c>
      <c r="J211" s="4" t="s">
        <v>131</v>
      </c>
      <c r="K211" s="4" t="s">
        <v>132</v>
      </c>
      <c r="L211" s="4" t="s">
        <v>158</v>
      </c>
      <c r="M211">
        <v>35</v>
      </c>
    </row>
    <row r="212" spans="1:13" x14ac:dyDescent="0.2">
      <c r="A212" s="4" t="s">
        <v>395</v>
      </c>
      <c r="B212">
        <v>211</v>
      </c>
      <c r="C212" s="4" t="s">
        <v>26</v>
      </c>
      <c r="D212" s="4" t="s">
        <v>38</v>
      </c>
      <c r="E212" s="4" t="s">
        <v>47</v>
      </c>
      <c r="F212" s="4" t="s">
        <v>1240</v>
      </c>
      <c r="G212">
        <v>8</v>
      </c>
      <c r="H212">
        <v>37</v>
      </c>
      <c r="I212" s="4" t="s">
        <v>112</v>
      </c>
      <c r="J212" s="4" t="s">
        <v>133</v>
      </c>
      <c r="K212" s="4" t="s">
        <v>134</v>
      </c>
      <c r="L212" s="4" t="s">
        <v>158</v>
      </c>
      <c r="M212">
        <v>50</v>
      </c>
    </row>
    <row r="213" spans="1:13" x14ac:dyDescent="0.2">
      <c r="A213" s="4" t="s">
        <v>396</v>
      </c>
      <c r="B213">
        <v>212</v>
      </c>
      <c r="C213" s="4" t="s">
        <v>26</v>
      </c>
      <c r="D213" s="4" t="s">
        <v>38</v>
      </c>
      <c r="E213" s="4" t="s">
        <v>50</v>
      </c>
      <c r="F213" s="4" t="s">
        <v>1270</v>
      </c>
      <c r="G213">
        <v>8</v>
      </c>
      <c r="H213">
        <v>38</v>
      </c>
      <c r="I213" s="4" t="s">
        <v>112</v>
      </c>
      <c r="J213" s="4" t="s">
        <v>122</v>
      </c>
      <c r="K213" s="4" t="s">
        <v>123</v>
      </c>
      <c r="L213" s="4" t="s">
        <v>158</v>
      </c>
      <c r="M213">
        <v>74</v>
      </c>
    </row>
    <row r="214" spans="1:13" x14ac:dyDescent="0.2">
      <c r="A214" s="4" t="s">
        <v>397</v>
      </c>
      <c r="B214">
        <v>213</v>
      </c>
      <c r="C214" s="4" t="s">
        <v>26</v>
      </c>
      <c r="D214" s="4" t="s">
        <v>38</v>
      </c>
      <c r="E214" s="4" t="s">
        <v>50</v>
      </c>
      <c r="F214" s="4" t="s">
        <v>1270</v>
      </c>
      <c r="G214">
        <v>8</v>
      </c>
      <c r="H214">
        <v>38</v>
      </c>
      <c r="I214" s="4" t="s">
        <v>116</v>
      </c>
      <c r="J214" s="4" t="s">
        <v>122</v>
      </c>
      <c r="K214" s="4" t="s">
        <v>123</v>
      </c>
      <c r="L214" s="4" t="s">
        <v>158</v>
      </c>
      <c r="M214">
        <v>22</v>
      </c>
    </row>
    <row r="215" spans="1:13" x14ac:dyDescent="0.2">
      <c r="A215" s="4" t="s">
        <v>398</v>
      </c>
      <c r="B215">
        <v>214</v>
      </c>
      <c r="C215" s="4" t="s">
        <v>26</v>
      </c>
      <c r="D215" s="4" t="s">
        <v>38</v>
      </c>
      <c r="E215" s="4" t="s">
        <v>50</v>
      </c>
      <c r="F215" s="4" t="s">
        <v>1270</v>
      </c>
      <c r="G215">
        <v>8</v>
      </c>
      <c r="H215">
        <v>38</v>
      </c>
      <c r="I215" s="4" t="s">
        <v>112</v>
      </c>
      <c r="J215" s="4" t="s">
        <v>131</v>
      </c>
      <c r="K215" s="4" t="s">
        <v>132</v>
      </c>
      <c r="L215" s="4" t="s">
        <v>158</v>
      </c>
      <c r="M215">
        <v>8</v>
      </c>
    </row>
    <row r="216" spans="1:13" x14ac:dyDescent="0.2">
      <c r="A216" s="4" t="s">
        <v>399</v>
      </c>
      <c r="B216">
        <v>215</v>
      </c>
      <c r="C216" s="4" t="s">
        <v>26</v>
      </c>
      <c r="D216" s="4" t="s">
        <v>38</v>
      </c>
      <c r="E216" s="4" t="s">
        <v>50</v>
      </c>
      <c r="F216" s="4" t="s">
        <v>1270</v>
      </c>
      <c r="G216">
        <v>8</v>
      </c>
      <c r="H216">
        <v>38</v>
      </c>
      <c r="I216" s="4" t="s">
        <v>114</v>
      </c>
      <c r="J216" s="4" t="s">
        <v>131</v>
      </c>
      <c r="K216" s="4" t="s">
        <v>132</v>
      </c>
      <c r="L216" s="4" t="s">
        <v>158</v>
      </c>
      <c r="M216">
        <v>18</v>
      </c>
    </row>
    <row r="217" spans="1:13" x14ac:dyDescent="0.2">
      <c r="A217" s="4" t="s">
        <v>400</v>
      </c>
      <c r="B217">
        <v>216</v>
      </c>
      <c r="C217" s="4" t="s">
        <v>26</v>
      </c>
      <c r="D217" s="4" t="s">
        <v>38</v>
      </c>
      <c r="E217" s="4" t="s">
        <v>50</v>
      </c>
      <c r="F217" s="4" t="s">
        <v>1270</v>
      </c>
      <c r="G217">
        <v>8</v>
      </c>
      <c r="H217">
        <v>38</v>
      </c>
      <c r="I217" s="4" t="s">
        <v>116</v>
      </c>
      <c r="J217" s="4" t="s">
        <v>133</v>
      </c>
      <c r="K217" s="4" t="s">
        <v>134</v>
      </c>
      <c r="L217" s="4" t="s">
        <v>158</v>
      </c>
      <c r="M217">
        <v>30</v>
      </c>
    </row>
    <row r="218" spans="1:13" x14ac:dyDescent="0.2">
      <c r="A218" s="4" t="s">
        <v>401</v>
      </c>
      <c r="B218">
        <v>217</v>
      </c>
      <c r="C218" s="4" t="s">
        <v>26</v>
      </c>
      <c r="D218" s="4" t="s">
        <v>38</v>
      </c>
      <c r="E218" s="4" t="s">
        <v>53</v>
      </c>
      <c r="F218" s="4" t="s">
        <v>1295</v>
      </c>
      <c r="G218">
        <v>8</v>
      </c>
      <c r="H218">
        <v>39</v>
      </c>
      <c r="I218" s="4" t="s">
        <v>114</v>
      </c>
      <c r="J218" s="4" t="s">
        <v>125</v>
      </c>
      <c r="K218" s="4" t="s">
        <v>126</v>
      </c>
      <c r="L218" s="4" t="s">
        <v>158</v>
      </c>
      <c r="M218">
        <v>22</v>
      </c>
    </row>
    <row r="219" spans="1:13" x14ac:dyDescent="0.2">
      <c r="A219" s="4" t="s">
        <v>402</v>
      </c>
      <c r="B219">
        <v>218</v>
      </c>
      <c r="C219" s="4" t="s">
        <v>26</v>
      </c>
      <c r="D219" s="4" t="s">
        <v>38</v>
      </c>
      <c r="E219" s="4" t="s">
        <v>53</v>
      </c>
      <c r="F219" s="4" t="s">
        <v>1295</v>
      </c>
      <c r="G219">
        <v>8</v>
      </c>
      <c r="H219">
        <v>39</v>
      </c>
      <c r="I219" s="4" t="s">
        <v>112</v>
      </c>
      <c r="J219" s="4" t="s">
        <v>133</v>
      </c>
      <c r="K219" s="4" t="s">
        <v>134</v>
      </c>
      <c r="L219" s="4" t="s">
        <v>158</v>
      </c>
      <c r="M219">
        <v>48</v>
      </c>
    </row>
    <row r="220" spans="1:13" x14ac:dyDescent="0.2">
      <c r="A220" s="4" t="s">
        <v>403</v>
      </c>
      <c r="B220">
        <v>219</v>
      </c>
      <c r="C220" s="4" t="s">
        <v>26</v>
      </c>
      <c r="D220" s="4" t="s">
        <v>38</v>
      </c>
      <c r="E220" s="4" t="s">
        <v>56</v>
      </c>
      <c r="F220" s="4" t="s">
        <v>1329</v>
      </c>
      <c r="G220">
        <v>8</v>
      </c>
      <c r="H220">
        <v>40</v>
      </c>
      <c r="I220" s="4" t="s">
        <v>114</v>
      </c>
      <c r="J220" s="4" t="s">
        <v>122</v>
      </c>
      <c r="K220" s="4" t="s">
        <v>123</v>
      </c>
      <c r="L220" s="4" t="s">
        <v>158</v>
      </c>
      <c r="M220">
        <v>75</v>
      </c>
    </row>
    <row r="221" spans="1:13" x14ac:dyDescent="0.2">
      <c r="A221" s="4" t="s">
        <v>404</v>
      </c>
      <c r="B221">
        <v>220</v>
      </c>
      <c r="C221" s="4" t="s">
        <v>26</v>
      </c>
      <c r="D221" s="4" t="s">
        <v>38</v>
      </c>
      <c r="E221" s="4" t="s">
        <v>56</v>
      </c>
      <c r="F221" s="4" t="s">
        <v>1329</v>
      </c>
      <c r="G221">
        <v>8</v>
      </c>
      <c r="H221">
        <v>40</v>
      </c>
      <c r="I221" s="4" t="s">
        <v>112</v>
      </c>
      <c r="J221" s="4" t="s">
        <v>122</v>
      </c>
      <c r="K221" s="4" t="s">
        <v>123</v>
      </c>
      <c r="L221" s="4" t="s">
        <v>158</v>
      </c>
      <c r="M221">
        <v>270</v>
      </c>
    </row>
    <row r="222" spans="1:13" x14ac:dyDescent="0.2">
      <c r="A222" s="4" t="s">
        <v>405</v>
      </c>
      <c r="B222">
        <v>221</v>
      </c>
      <c r="C222" s="4" t="s">
        <v>26</v>
      </c>
      <c r="D222" s="4" t="s">
        <v>38</v>
      </c>
      <c r="E222" s="4" t="s">
        <v>56</v>
      </c>
      <c r="F222" s="4" t="s">
        <v>1329</v>
      </c>
      <c r="G222">
        <v>8</v>
      </c>
      <c r="H222">
        <v>40</v>
      </c>
      <c r="I222" s="4" t="s">
        <v>116</v>
      </c>
      <c r="J222" s="4" t="s">
        <v>122</v>
      </c>
      <c r="K222" s="4" t="s">
        <v>123</v>
      </c>
      <c r="L222" s="4" t="s">
        <v>158</v>
      </c>
      <c r="M222">
        <v>78</v>
      </c>
    </row>
    <row r="223" spans="1:13" x14ac:dyDescent="0.2">
      <c r="A223" s="4" t="s">
        <v>406</v>
      </c>
      <c r="B223">
        <v>222</v>
      </c>
      <c r="C223" s="4" t="s">
        <v>26</v>
      </c>
      <c r="D223" s="4" t="s">
        <v>38</v>
      </c>
      <c r="E223" s="4" t="s">
        <v>56</v>
      </c>
      <c r="F223" s="4" t="s">
        <v>1329</v>
      </c>
      <c r="G223">
        <v>8</v>
      </c>
      <c r="H223">
        <v>40</v>
      </c>
      <c r="I223" s="4" t="s">
        <v>116</v>
      </c>
      <c r="J223" s="4" t="s">
        <v>125</v>
      </c>
      <c r="K223" s="4" t="s">
        <v>126</v>
      </c>
      <c r="L223" s="4" t="s">
        <v>158</v>
      </c>
      <c r="M223">
        <v>26</v>
      </c>
    </row>
    <row r="224" spans="1:13" x14ac:dyDescent="0.2">
      <c r="A224" s="4" t="s">
        <v>407</v>
      </c>
      <c r="B224">
        <v>223</v>
      </c>
      <c r="C224" s="4" t="s">
        <v>26</v>
      </c>
      <c r="D224" s="4" t="s">
        <v>38</v>
      </c>
      <c r="E224" s="4" t="s">
        <v>56</v>
      </c>
      <c r="F224" s="4" t="s">
        <v>1329</v>
      </c>
      <c r="G224">
        <v>8</v>
      </c>
      <c r="H224">
        <v>40</v>
      </c>
      <c r="I224" s="4" t="s">
        <v>116</v>
      </c>
      <c r="J224" s="4" t="s">
        <v>127</v>
      </c>
      <c r="K224" s="4" t="s">
        <v>128</v>
      </c>
      <c r="L224" s="4" t="s">
        <v>158</v>
      </c>
      <c r="M224">
        <v>3</v>
      </c>
    </row>
    <row r="225" spans="1:13" x14ac:dyDescent="0.2">
      <c r="A225" s="4" t="s">
        <v>408</v>
      </c>
      <c r="B225">
        <v>224</v>
      </c>
      <c r="C225" s="4" t="s">
        <v>26</v>
      </c>
      <c r="D225" s="4" t="s">
        <v>38</v>
      </c>
      <c r="E225" s="4" t="s">
        <v>56</v>
      </c>
      <c r="F225" s="4" t="s">
        <v>1329</v>
      </c>
      <c r="G225">
        <v>8</v>
      </c>
      <c r="H225">
        <v>40</v>
      </c>
      <c r="I225" s="4" t="s">
        <v>112</v>
      </c>
      <c r="J225" s="4" t="s">
        <v>127</v>
      </c>
      <c r="K225" s="4" t="s">
        <v>128</v>
      </c>
      <c r="L225" s="4" t="s">
        <v>158</v>
      </c>
      <c r="M225">
        <v>150</v>
      </c>
    </row>
    <row r="226" spans="1:13" x14ac:dyDescent="0.2">
      <c r="A226" s="4" t="s">
        <v>409</v>
      </c>
      <c r="B226">
        <v>225</v>
      </c>
      <c r="C226" s="4" t="s">
        <v>26</v>
      </c>
      <c r="D226" s="4" t="s">
        <v>38</v>
      </c>
      <c r="E226" s="4" t="s">
        <v>56</v>
      </c>
      <c r="F226" s="4" t="s">
        <v>1329</v>
      </c>
      <c r="G226">
        <v>8</v>
      </c>
      <c r="H226">
        <v>40</v>
      </c>
      <c r="I226" s="4" t="s">
        <v>114</v>
      </c>
      <c r="J226" s="4" t="s">
        <v>127</v>
      </c>
      <c r="K226" s="4" t="s">
        <v>128</v>
      </c>
      <c r="L226" s="4" t="s">
        <v>158</v>
      </c>
      <c r="M226">
        <v>204</v>
      </c>
    </row>
    <row r="227" spans="1:13" x14ac:dyDescent="0.2">
      <c r="A227" s="4" t="s">
        <v>410</v>
      </c>
      <c r="B227">
        <v>226</v>
      </c>
      <c r="C227" s="4" t="s">
        <v>26</v>
      </c>
      <c r="D227" s="4" t="s">
        <v>38</v>
      </c>
      <c r="E227" s="4" t="s">
        <v>56</v>
      </c>
      <c r="F227" s="4" t="s">
        <v>1329</v>
      </c>
      <c r="G227">
        <v>8</v>
      </c>
      <c r="H227">
        <v>40</v>
      </c>
      <c r="I227" s="4" t="s">
        <v>114</v>
      </c>
      <c r="J227" s="4" t="s">
        <v>129</v>
      </c>
      <c r="K227" s="4" t="s">
        <v>130</v>
      </c>
      <c r="L227" s="4" t="s">
        <v>158</v>
      </c>
      <c r="M227">
        <v>7</v>
      </c>
    </row>
    <row r="228" spans="1:13" x14ac:dyDescent="0.2">
      <c r="A228" s="4" t="s">
        <v>411</v>
      </c>
      <c r="B228">
        <v>227</v>
      </c>
      <c r="C228" s="4" t="s">
        <v>26</v>
      </c>
      <c r="D228" s="4" t="s">
        <v>38</v>
      </c>
      <c r="E228" s="4" t="s">
        <v>56</v>
      </c>
      <c r="F228" s="4" t="s">
        <v>1329</v>
      </c>
      <c r="G228">
        <v>8</v>
      </c>
      <c r="H228">
        <v>40</v>
      </c>
      <c r="I228" s="4" t="s">
        <v>112</v>
      </c>
      <c r="J228" s="4" t="s">
        <v>129</v>
      </c>
      <c r="K228" s="4" t="s">
        <v>130</v>
      </c>
      <c r="L228" s="4" t="s">
        <v>158</v>
      </c>
      <c r="M228">
        <v>30</v>
      </c>
    </row>
    <row r="229" spans="1:13" x14ac:dyDescent="0.2">
      <c r="A229" s="4" t="s">
        <v>412</v>
      </c>
      <c r="B229">
        <v>228</v>
      </c>
      <c r="C229" s="4" t="s">
        <v>26</v>
      </c>
      <c r="D229" s="4" t="s">
        <v>38</v>
      </c>
      <c r="E229" s="4" t="s">
        <v>56</v>
      </c>
      <c r="F229" s="4" t="s">
        <v>1329</v>
      </c>
      <c r="G229">
        <v>8</v>
      </c>
      <c r="H229">
        <v>40</v>
      </c>
      <c r="I229" s="4" t="s">
        <v>116</v>
      </c>
      <c r="J229" s="4" t="s">
        <v>129</v>
      </c>
      <c r="K229" s="4" t="s">
        <v>130</v>
      </c>
      <c r="L229" s="4" t="s">
        <v>158</v>
      </c>
      <c r="M229">
        <v>60</v>
      </c>
    </row>
    <row r="230" spans="1:13" x14ac:dyDescent="0.2">
      <c r="A230" s="4" t="s">
        <v>413</v>
      </c>
      <c r="B230">
        <v>229</v>
      </c>
      <c r="C230" s="4" t="s">
        <v>26</v>
      </c>
      <c r="D230" s="4" t="s">
        <v>38</v>
      </c>
      <c r="E230" s="4" t="s">
        <v>56</v>
      </c>
      <c r="F230" s="4" t="s">
        <v>1329</v>
      </c>
      <c r="G230">
        <v>8</v>
      </c>
      <c r="H230">
        <v>40</v>
      </c>
      <c r="I230" s="4" t="s">
        <v>114</v>
      </c>
      <c r="J230" s="4" t="s">
        <v>131</v>
      </c>
      <c r="K230" s="4" t="s">
        <v>132</v>
      </c>
      <c r="L230" s="4" t="s">
        <v>158</v>
      </c>
      <c r="M230">
        <v>57</v>
      </c>
    </row>
    <row r="231" spans="1:13" x14ac:dyDescent="0.2">
      <c r="A231" s="4" t="s">
        <v>414</v>
      </c>
      <c r="B231">
        <v>230</v>
      </c>
      <c r="C231" s="4" t="s">
        <v>26</v>
      </c>
      <c r="D231" s="4" t="s">
        <v>38</v>
      </c>
      <c r="E231" s="4" t="s">
        <v>56</v>
      </c>
      <c r="F231" s="4" t="s">
        <v>1329</v>
      </c>
      <c r="G231">
        <v>8</v>
      </c>
      <c r="H231">
        <v>40</v>
      </c>
      <c r="I231" s="4" t="s">
        <v>112</v>
      </c>
      <c r="J231" s="4" t="s">
        <v>131</v>
      </c>
      <c r="K231" s="4" t="s">
        <v>132</v>
      </c>
      <c r="L231" s="4" t="s">
        <v>158</v>
      </c>
      <c r="M231">
        <v>7</v>
      </c>
    </row>
    <row r="232" spans="1:13" x14ac:dyDescent="0.2">
      <c r="A232" s="4" t="s">
        <v>415</v>
      </c>
      <c r="B232">
        <v>231</v>
      </c>
      <c r="C232" s="4" t="s">
        <v>26</v>
      </c>
      <c r="D232" s="4" t="s">
        <v>38</v>
      </c>
      <c r="E232" s="4" t="s">
        <v>56</v>
      </c>
      <c r="F232" s="4" t="s">
        <v>1329</v>
      </c>
      <c r="G232">
        <v>8</v>
      </c>
      <c r="H232">
        <v>40</v>
      </c>
      <c r="I232" s="4" t="s">
        <v>112</v>
      </c>
      <c r="J232" s="4" t="s">
        <v>133</v>
      </c>
      <c r="K232" s="4" t="s">
        <v>134</v>
      </c>
      <c r="L232" s="4" t="s">
        <v>158</v>
      </c>
      <c r="M232">
        <v>2</v>
      </c>
    </row>
    <row r="233" spans="1:13" x14ac:dyDescent="0.2">
      <c r="A233" s="4" t="s">
        <v>416</v>
      </c>
      <c r="B233">
        <v>232</v>
      </c>
      <c r="C233" s="4" t="s">
        <v>26</v>
      </c>
      <c r="D233" s="4" t="s">
        <v>41</v>
      </c>
      <c r="E233" s="4" t="s">
        <v>27</v>
      </c>
      <c r="F233" s="4" t="s">
        <v>1353</v>
      </c>
      <c r="G233">
        <v>9</v>
      </c>
      <c r="H233">
        <v>41</v>
      </c>
      <c r="I233" s="4" t="s">
        <v>114</v>
      </c>
      <c r="J233" s="4" t="s">
        <v>127</v>
      </c>
      <c r="K233" s="4" t="s">
        <v>128</v>
      </c>
      <c r="L233" s="4" t="s">
        <v>158</v>
      </c>
      <c r="M233">
        <v>6</v>
      </c>
    </row>
    <row r="234" spans="1:13" x14ac:dyDescent="0.2">
      <c r="A234" s="4" t="s">
        <v>417</v>
      </c>
      <c r="B234">
        <v>233</v>
      </c>
      <c r="C234" s="4" t="s">
        <v>26</v>
      </c>
      <c r="D234" s="4" t="s">
        <v>41</v>
      </c>
      <c r="E234" s="4" t="s">
        <v>27</v>
      </c>
      <c r="F234" s="4" t="s">
        <v>1353</v>
      </c>
      <c r="G234">
        <v>9</v>
      </c>
      <c r="H234">
        <v>41</v>
      </c>
      <c r="I234" s="4" t="s">
        <v>114</v>
      </c>
      <c r="J234" s="4" t="s">
        <v>129</v>
      </c>
      <c r="K234" s="4" t="s">
        <v>130</v>
      </c>
      <c r="L234" s="4" t="s">
        <v>158</v>
      </c>
      <c r="M234">
        <v>18</v>
      </c>
    </row>
    <row r="235" spans="1:13" x14ac:dyDescent="0.2">
      <c r="A235" s="4" t="s">
        <v>418</v>
      </c>
      <c r="B235">
        <v>234</v>
      </c>
      <c r="C235" s="4" t="s">
        <v>26</v>
      </c>
      <c r="D235" s="4" t="s">
        <v>41</v>
      </c>
      <c r="E235" s="4" t="s">
        <v>27</v>
      </c>
      <c r="F235" s="4" t="s">
        <v>1353</v>
      </c>
      <c r="G235">
        <v>9</v>
      </c>
      <c r="H235">
        <v>41</v>
      </c>
      <c r="I235" s="4" t="s">
        <v>112</v>
      </c>
      <c r="J235" s="4" t="s">
        <v>131</v>
      </c>
      <c r="K235" s="4" t="s">
        <v>132</v>
      </c>
      <c r="L235" s="4" t="s">
        <v>158</v>
      </c>
      <c r="M235">
        <v>43</v>
      </c>
    </row>
    <row r="236" spans="1:13" x14ac:dyDescent="0.2">
      <c r="A236" s="4" t="s">
        <v>419</v>
      </c>
      <c r="B236">
        <v>235</v>
      </c>
      <c r="C236" s="4" t="s">
        <v>26</v>
      </c>
      <c r="D236" s="4" t="s">
        <v>41</v>
      </c>
      <c r="E236" s="4" t="s">
        <v>27</v>
      </c>
      <c r="F236" s="4" t="s">
        <v>1353</v>
      </c>
      <c r="G236">
        <v>9</v>
      </c>
      <c r="H236">
        <v>41</v>
      </c>
      <c r="I236" s="4" t="s">
        <v>114</v>
      </c>
      <c r="J236" s="4" t="s">
        <v>131</v>
      </c>
      <c r="K236" s="4" t="s">
        <v>132</v>
      </c>
      <c r="L236" s="4" t="s">
        <v>158</v>
      </c>
      <c r="M236">
        <v>18</v>
      </c>
    </row>
    <row r="237" spans="1:13" x14ac:dyDescent="0.2">
      <c r="A237" s="4" t="s">
        <v>420</v>
      </c>
      <c r="B237">
        <v>236</v>
      </c>
      <c r="C237" s="4" t="s">
        <v>26</v>
      </c>
      <c r="D237" s="4" t="s">
        <v>41</v>
      </c>
      <c r="E237" s="4" t="s">
        <v>27</v>
      </c>
      <c r="F237" s="4" t="s">
        <v>1353</v>
      </c>
      <c r="G237">
        <v>9</v>
      </c>
      <c r="H237">
        <v>41</v>
      </c>
      <c r="I237" s="4" t="s">
        <v>112</v>
      </c>
      <c r="J237" s="4" t="s">
        <v>133</v>
      </c>
      <c r="K237" s="4" t="s">
        <v>134</v>
      </c>
      <c r="L237" s="4" t="s">
        <v>158</v>
      </c>
      <c r="M237">
        <v>45</v>
      </c>
    </row>
    <row r="238" spans="1:13" x14ac:dyDescent="0.2">
      <c r="A238" s="4" t="s">
        <v>421</v>
      </c>
      <c r="B238">
        <v>237</v>
      </c>
      <c r="C238" s="4" t="s">
        <v>26</v>
      </c>
      <c r="D238" s="4" t="s">
        <v>41</v>
      </c>
      <c r="E238" s="4" t="s">
        <v>32</v>
      </c>
      <c r="F238" s="4" t="s">
        <v>1354</v>
      </c>
      <c r="G238">
        <v>9</v>
      </c>
      <c r="H238">
        <v>42</v>
      </c>
      <c r="I238" s="4" t="s">
        <v>112</v>
      </c>
      <c r="J238" s="4" t="s">
        <v>122</v>
      </c>
      <c r="K238" s="4" t="s">
        <v>123</v>
      </c>
      <c r="L238" s="4" t="s">
        <v>158</v>
      </c>
      <c r="M238">
        <v>81</v>
      </c>
    </row>
    <row r="239" spans="1:13" x14ac:dyDescent="0.2">
      <c r="A239" s="4" t="s">
        <v>422</v>
      </c>
      <c r="B239">
        <v>238</v>
      </c>
      <c r="C239" s="4" t="s">
        <v>26</v>
      </c>
      <c r="D239" s="4" t="s">
        <v>41</v>
      </c>
      <c r="E239" s="4" t="s">
        <v>32</v>
      </c>
      <c r="F239" s="4" t="s">
        <v>1354</v>
      </c>
      <c r="G239">
        <v>9</v>
      </c>
      <c r="H239">
        <v>42</v>
      </c>
      <c r="I239" s="4" t="s">
        <v>114</v>
      </c>
      <c r="J239" s="4" t="s">
        <v>127</v>
      </c>
      <c r="K239" s="4" t="s">
        <v>128</v>
      </c>
      <c r="L239" s="4" t="s">
        <v>158</v>
      </c>
      <c r="M239">
        <v>186</v>
      </c>
    </row>
    <row r="240" spans="1:13" x14ac:dyDescent="0.2">
      <c r="A240" s="4" t="s">
        <v>423</v>
      </c>
      <c r="B240">
        <v>239</v>
      </c>
      <c r="C240" s="4" t="s">
        <v>26</v>
      </c>
      <c r="D240" s="4" t="s">
        <v>41</v>
      </c>
      <c r="E240" s="4" t="s">
        <v>32</v>
      </c>
      <c r="F240" s="4" t="s">
        <v>1354</v>
      </c>
      <c r="G240">
        <v>9</v>
      </c>
      <c r="H240">
        <v>42</v>
      </c>
      <c r="I240" s="4" t="s">
        <v>112</v>
      </c>
      <c r="J240" s="4" t="s">
        <v>127</v>
      </c>
      <c r="K240" s="4" t="s">
        <v>128</v>
      </c>
      <c r="L240" s="4" t="s">
        <v>158</v>
      </c>
      <c r="M240">
        <v>77</v>
      </c>
    </row>
    <row r="241" spans="1:13" x14ac:dyDescent="0.2">
      <c r="A241" s="4" t="s">
        <v>424</v>
      </c>
      <c r="B241">
        <v>240</v>
      </c>
      <c r="C241" s="4" t="s">
        <v>26</v>
      </c>
      <c r="D241" s="4" t="s">
        <v>41</v>
      </c>
      <c r="E241" s="4" t="s">
        <v>32</v>
      </c>
      <c r="F241" s="4" t="s">
        <v>1354</v>
      </c>
      <c r="G241">
        <v>9</v>
      </c>
      <c r="H241">
        <v>42</v>
      </c>
      <c r="I241" s="4" t="s">
        <v>116</v>
      </c>
      <c r="J241" s="4" t="s">
        <v>127</v>
      </c>
      <c r="K241" s="4" t="s">
        <v>128</v>
      </c>
      <c r="L241" s="4" t="s">
        <v>158</v>
      </c>
      <c r="M241">
        <v>50</v>
      </c>
    </row>
    <row r="242" spans="1:13" x14ac:dyDescent="0.2">
      <c r="A242" s="4" t="s">
        <v>425</v>
      </c>
      <c r="B242">
        <v>241</v>
      </c>
      <c r="C242" s="4" t="s">
        <v>26</v>
      </c>
      <c r="D242" s="4" t="s">
        <v>41</v>
      </c>
      <c r="E242" s="4" t="s">
        <v>32</v>
      </c>
      <c r="F242" s="4" t="s">
        <v>1354</v>
      </c>
      <c r="G242">
        <v>9</v>
      </c>
      <c r="H242">
        <v>42</v>
      </c>
      <c r="I242" s="4" t="s">
        <v>112</v>
      </c>
      <c r="J242" s="4" t="s">
        <v>129</v>
      </c>
      <c r="K242" s="4" t="s">
        <v>130</v>
      </c>
      <c r="L242" s="4" t="s">
        <v>158</v>
      </c>
      <c r="M242">
        <v>30</v>
      </c>
    </row>
    <row r="243" spans="1:13" x14ac:dyDescent="0.2">
      <c r="A243" s="4" t="s">
        <v>426</v>
      </c>
      <c r="B243">
        <v>242</v>
      </c>
      <c r="C243" s="4" t="s">
        <v>26</v>
      </c>
      <c r="D243" s="4" t="s">
        <v>41</v>
      </c>
      <c r="E243" s="4" t="s">
        <v>32</v>
      </c>
      <c r="F243" s="4" t="s">
        <v>1354</v>
      </c>
      <c r="G243">
        <v>9</v>
      </c>
      <c r="H243">
        <v>42</v>
      </c>
      <c r="I243" s="4" t="s">
        <v>114</v>
      </c>
      <c r="J243" s="4" t="s">
        <v>131</v>
      </c>
      <c r="K243" s="4" t="s">
        <v>132</v>
      </c>
      <c r="L243" s="4" t="s">
        <v>158</v>
      </c>
      <c r="M243">
        <v>24</v>
      </c>
    </row>
    <row r="244" spans="1:13" x14ac:dyDescent="0.2">
      <c r="A244" s="4" t="s">
        <v>427</v>
      </c>
      <c r="B244">
        <v>243</v>
      </c>
      <c r="C244" s="4" t="s">
        <v>26</v>
      </c>
      <c r="D244" s="4" t="s">
        <v>41</v>
      </c>
      <c r="E244" s="4" t="s">
        <v>32</v>
      </c>
      <c r="F244" s="4" t="s">
        <v>1354</v>
      </c>
      <c r="G244">
        <v>9</v>
      </c>
      <c r="H244">
        <v>42</v>
      </c>
      <c r="I244" s="4" t="s">
        <v>116</v>
      </c>
      <c r="J244" s="4" t="s">
        <v>131</v>
      </c>
      <c r="K244" s="4" t="s">
        <v>132</v>
      </c>
      <c r="L244" s="4" t="s">
        <v>158</v>
      </c>
      <c r="M244">
        <v>20</v>
      </c>
    </row>
    <row r="245" spans="1:13" x14ac:dyDescent="0.2">
      <c r="A245" s="4" t="s">
        <v>428</v>
      </c>
      <c r="B245">
        <v>244</v>
      </c>
      <c r="C245" s="4" t="s">
        <v>26</v>
      </c>
      <c r="D245" s="4" t="s">
        <v>41</v>
      </c>
      <c r="E245" s="4" t="s">
        <v>35</v>
      </c>
      <c r="F245" s="4" t="s">
        <v>1415</v>
      </c>
      <c r="G245">
        <v>9</v>
      </c>
      <c r="H245">
        <v>43</v>
      </c>
      <c r="I245" s="4" t="s">
        <v>116</v>
      </c>
      <c r="J245" s="4" t="s">
        <v>122</v>
      </c>
      <c r="K245" s="4" t="s">
        <v>123</v>
      </c>
      <c r="L245" s="4" t="s">
        <v>158</v>
      </c>
      <c r="M245">
        <v>85</v>
      </c>
    </row>
    <row r="246" spans="1:13" x14ac:dyDescent="0.2">
      <c r="A246" s="4" t="s">
        <v>429</v>
      </c>
      <c r="B246">
        <v>245</v>
      </c>
      <c r="C246" s="4" t="s">
        <v>26</v>
      </c>
      <c r="D246" s="4" t="s">
        <v>41</v>
      </c>
      <c r="E246" s="4" t="s">
        <v>35</v>
      </c>
      <c r="F246" s="4" t="s">
        <v>1415</v>
      </c>
      <c r="G246">
        <v>9</v>
      </c>
      <c r="H246">
        <v>43</v>
      </c>
      <c r="I246" s="4" t="s">
        <v>112</v>
      </c>
      <c r="J246" s="4" t="s">
        <v>122</v>
      </c>
      <c r="K246" s="4" t="s">
        <v>123</v>
      </c>
      <c r="L246" s="4" t="s">
        <v>158</v>
      </c>
      <c r="M246">
        <v>134</v>
      </c>
    </row>
    <row r="247" spans="1:13" x14ac:dyDescent="0.2">
      <c r="A247" s="4" t="s">
        <v>430</v>
      </c>
      <c r="B247">
        <v>246</v>
      </c>
      <c r="C247" s="4" t="s">
        <v>26</v>
      </c>
      <c r="D247" s="4" t="s">
        <v>41</v>
      </c>
      <c r="E247" s="4" t="s">
        <v>35</v>
      </c>
      <c r="F247" s="4" t="s">
        <v>1415</v>
      </c>
      <c r="G247">
        <v>9</v>
      </c>
      <c r="H247">
        <v>43</v>
      </c>
      <c r="I247" s="4" t="s">
        <v>114</v>
      </c>
      <c r="J247" s="4" t="s">
        <v>125</v>
      </c>
      <c r="K247" s="4" t="s">
        <v>126</v>
      </c>
      <c r="L247" s="4" t="s">
        <v>158</v>
      </c>
      <c r="M247">
        <v>50</v>
      </c>
    </row>
    <row r="248" spans="1:13" x14ac:dyDescent="0.2">
      <c r="A248" s="4" t="s">
        <v>431</v>
      </c>
      <c r="B248">
        <v>247</v>
      </c>
      <c r="C248" s="4" t="s">
        <v>26</v>
      </c>
      <c r="D248" s="4" t="s">
        <v>41</v>
      </c>
      <c r="E248" s="4" t="s">
        <v>35</v>
      </c>
      <c r="F248" s="4" t="s">
        <v>1415</v>
      </c>
      <c r="G248">
        <v>9</v>
      </c>
      <c r="H248">
        <v>43</v>
      </c>
      <c r="I248" s="4" t="s">
        <v>114</v>
      </c>
      <c r="J248" s="4" t="s">
        <v>127</v>
      </c>
      <c r="K248" s="4" t="s">
        <v>128</v>
      </c>
      <c r="L248" s="4" t="s">
        <v>158</v>
      </c>
      <c r="M248">
        <v>24</v>
      </c>
    </row>
    <row r="249" spans="1:13" x14ac:dyDescent="0.2">
      <c r="A249" s="4" t="s">
        <v>432</v>
      </c>
      <c r="B249">
        <v>248</v>
      </c>
      <c r="C249" s="4" t="s">
        <v>26</v>
      </c>
      <c r="D249" s="4" t="s">
        <v>41</v>
      </c>
      <c r="E249" s="4" t="s">
        <v>35</v>
      </c>
      <c r="F249" s="4" t="s">
        <v>1415</v>
      </c>
      <c r="G249">
        <v>9</v>
      </c>
      <c r="H249">
        <v>43</v>
      </c>
      <c r="I249" s="4" t="s">
        <v>112</v>
      </c>
      <c r="J249" s="4" t="s">
        <v>127</v>
      </c>
      <c r="K249" s="4" t="s">
        <v>128</v>
      </c>
      <c r="L249" s="4" t="s">
        <v>158</v>
      </c>
      <c r="M249">
        <v>73</v>
      </c>
    </row>
    <row r="250" spans="1:13" x14ac:dyDescent="0.2">
      <c r="A250" s="4" t="s">
        <v>433</v>
      </c>
      <c r="B250">
        <v>249</v>
      </c>
      <c r="C250" s="4" t="s">
        <v>26</v>
      </c>
      <c r="D250" s="4" t="s">
        <v>41</v>
      </c>
      <c r="E250" s="4" t="s">
        <v>35</v>
      </c>
      <c r="F250" s="4" t="s">
        <v>1415</v>
      </c>
      <c r="G250">
        <v>9</v>
      </c>
      <c r="H250">
        <v>43</v>
      </c>
      <c r="I250" s="4" t="s">
        <v>116</v>
      </c>
      <c r="J250" s="4" t="s">
        <v>129</v>
      </c>
      <c r="K250" s="4" t="s">
        <v>130</v>
      </c>
      <c r="L250" s="4" t="s">
        <v>158</v>
      </c>
      <c r="M250">
        <v>23</v>
      </c>
    </row>
    <row r="251" spans="1:13" x14ac:dyDescent="0.2">
      <c r="A251" s="4" t="s">
        <v>434</v>
      </c>
      <c r="B251">
        <v>250</v>
      </c>
      <c r="C251" s="4" t="s">
        <v>26</v>
      </c>
      <c r="D251" s="4" t="s">
        <v>41</v>
      </c>
      <c r="E251" s="4" t="s">
        <v>35</v>
      </c>
      <c r="F251" s="4" t="s">
        <v>1415</v>
      </c>
      <c r="G251">
        <v>9</v>
      </c>
      <c r="H251">
        <v>43</v>
      </c>
      <c r="I251" s="4" t="s">
        <v>112</v>
      </c>
      <c r="J251" s="4" t="s">
        <v>131</v>
      </c>
      <c r="K251" s="4" t="s">
        <v>132</v>
      </c>
      <c r="L251" s="4" t="s">
        <v>158</v>
      </c>
      <c r="M251">
        <v>28</v>
      </c>
    </row>
    <row r="252" spans="1:13" x14ac:dyDescent="0.2">
      <c r="A252" s="4" t="s">
        <v>435</v>
      </c>
      <c r="B252">
        <v>251</v>
      </c>
      <c r="C252" s="4" t="s">
        <v>26</v>
      </c>
      <c r="D252" s="4" t="s">
        <v>41</v>
      </c>
      <c r="E252" s="4" t="s">
        <v>38</v>
      </c>
      <c r="F252" s="4" t="s">
        <v>1446</v>
      </c>
      <c r="G252">
        <v>9</v>
      </c>
      <c r="H252">
        <v>44</v>
      </c>
      <c r="I252" s="4" t="s">
        <v>114</v>
      </c>
      <c r="J252" s="4" t="s">
        <v>122</v>
      </c>
      <c r="K252" s="4" t="s">
        <v>123</v>
      </c>
      <c r="L252" s="4" t="s">
        <v>158</v>
      </c>
      <c r="M252">
        <v>54</v>
      </c>
    </row>
    <row r="253" spans="1:13" x14ac:dyDescent="0.2">
      <c r="A253" s="4" t="s">
        <v>436</v>
      </c>
      <c r="B253">
        <v>252</v>
      </c>
      <c r="C253" s="4" t="s">
        <v>26</v>
      </c>
      <c r="D253" s="4" t="s">
        <v>41</v>
      </c>
      <c r="E253" s="4" t="s">
        <v>38</v>
      </c>
      <c r="F253" s="4" t="s">
        <v>1446</v>
      </c>
      <c r="G253">
        <v>9</v>
      </c>
      <c r="H253">
        <v>44</v>
      </c>
      <c r="I253" s="4" t="s">
        <v>112</v>
      </c>
      <c r="J253" s="4" t="s">
        <v>122</v>
      </c>
      <c r="K253" s="4" t="s">
        <v>123</v>
      </c>
      <c r="L253" s="4" t="s">
        <v>158</v>
      </c>
      <c r="M253">
        <v>72</v>
      </c>
    </row>
    <row r="254" spans="1:13" x14ac:dyDescent="0.2">
      <c r="A254" s="4" t="s">
        <v>438</v>
      </c>
      <c r="B254">
        <v>253</v>
      </c>
      <c r="C254" s="4" t="s">
        <v>26</v>
      </c>
      <c r="D254" s="4" t="s">
        <v>41</v>
      </c>
      <c r="E254" s="4" t="s">
        <v>38</v>
      </c>
      <c r="F254" s="4" t="s">
        <v>1446</v>
      </c>
      <c r="G254">
        <v>9</v>
      </c>
      <c r="H254">
        <v>44</v>
      </c>
      <c r="I254" s="4" t="s">
        <v>116</v>
      </c>
      <c r="J254" s="4" t="s">
        <v>122</v>
      </c>
      <c r="K254" s="4" t="s">
        <v>123</v>
      </c>
      <c r="L254" s="4" t="s">
        <v>158</v>
      </c>
      <c r="M254">
        <v>15</v>
      </c>
    </row>
    <row r="255" spans="1:13" x14ac:dyDescent="0.2">
      <c r="A255" s="4" t="s">
        <v>439</v>
      </c>
      <c r="B255">
        <v>254</v>
      </c>
      <c r="C255" s="4" t="s">
        <v>26</v>
      </c>
      <c r="D255" s="4" t="s">
        <v>41</v>
      </c>
      <c r="E255" s="4" t="s">
        <v>38</v>
      </c>
      <c r="F255" s="4" t="s">
        <v>1446</v>
      </c>
      <c r="G255">
        <v>9</v>
      </c>
      <c r="H255">
        <v>44</v>
      </c>
      <c r="I255" s="4" t="s">
        <v>112</v>
      </c>
      <c r="J255" s="4" t="s">
        <v>125</v>
      </c>
      <c r="K255" s="4" t="s">
        <v>126</v>
      </c>
      <c r="L255" s="4" t="s">
        <v>158</v>
      </c>
      <c r="M255">
        <v>23</v>
      </c>
    </row>
    <row r="256" spans="1:13" x14ac:dyDescent="0.2">
      <c r="A256" s="4" t="s">
        <v>440</v>
      </c>
      <c r="B256">
        <v>255</v>
      </c>
      <c r="C256" s="4" t="s">
        <v>26</v>
      </c>
      <c r="D256" s="4" t="s">
        <v>41</v>
      </c>
      <c r="E256" s="4" t="s">
        <v>38</v>
      </c>
      <c r="F256" s="4" t="s">
        <v>1446</v>
      </c>
      <c r="G256">
        <v>9</v>
      </c>
      <c r="H256">
        <v>44</v>
      </c>
      <c r="I256" s="4" t="s">
        <v>112</v>
      </c>
      <c r="J256" s="4" t="s">
        <v>127</v>
      </c>
      <c r="K256" s="4" t="s">
        <v>128</v>
      </c>
      <c r="L256" s="4" t="s">
        <v>158</v>
      </c>
      <c r="M256">
        <v>77</v>
      </c>
    </row>
    <row r="257" spans="1:13" x14ac:dyDescent="0.2">
      <c r="A257" s="4" t="s">
        <v>441</v>
      </c>
      <c r="B257">
        <v>256</v>
      </c>
      <c r="C257" s="4" t="s">
        <v>26</v>
      </c>
      <c r="D257" s="4" t="s">
        <v>41</v>
      </c>
      <c r="E257" s="4" t="s">
        <v>38</v>
      </c>
      <c r="F257" s="4" t="s">
        <v>1446</v>
      </c>
      <c r="G257">
        <v>9</v>
      </c>
      <c r="H257">
        <v>44</v>
      </c>
      <c r="I257" s="4" t="s">
        <v>114</v>
      </c>
      <c r="J257" s="4" t="s">
        <v>131</v>
      </c>
      <c r="K257" s="4" t="s">
        <v>132</v>
      </c>
      <c r="L257" s="4" t="s">
        <v>158</v>
      </c>
      <c r="M257">
        <v>67</v>
      </c>
    </row>
    <row r="258" spans="1:13" x14ac:dyDescent="0.2">
      <c r="A258" s="4" t="s">
        <v>442</v>
      </c>
      <c r="B258">
        <v>257</v>
      </c>
      <c r="C258" s="4" t="s">
        <v>26</v>
      </c>
      <c r="D258" s="4" t="s">
        <v>41</v>
      </c>
      <c r="E258" s="4" t="s">
        <v>38</v>
      </c>
      <c r="F258" s="4" t="s">
        <v>1446</v>
      </c>
      <c r="G258">
        <v>9</v>
      </c>
      <c r="H258">
        <v>44</v>
      </c>
      <c r="I258" s="4" t="s">
        <v>112</v>
      </c>
      <c r="J258" s="4" t="s">
        <v>133</v>
      </c>
      <c r="K258" s="4" t="s">
        <v>134</v>
      </c>
      <c r="L258" s="4" t="s">
        <v>158</v>
      </c>
      <c r="M258">
        <v>50</v>
      </c>
    </row>
    <row r="259" spans="1:13" x14ac:dyDescent="0.2">
      <c r="A259" s="4" t="s">
        <v>443</v>
      </c>
      <c r="B259">
        <v>258</v>
      </c>
      <c r="C259" s="4" t="s">
        <v>26</v>
      </c>
      <c r="D259" s="4" t="s">
        <v>41</v>
      </c>
      <c r="E259" s="4" t="s">
        <v>41</v>
      </c>
      <c r="F259" s="4" t="s">
        <v>1474</v>
      </c>
      <c r="G259">
        <v>9</v>
      </c>
      <c r="H259">
        <v>45</v>
      </c>
      <c r="I259" s="4" t="s">
        <v>112</v>
      </c>
      <c r="J259" s="4" t="s">
        <v>122</v>
      </c>
      <c r="K259" s="4" t="s">
        <v>123</v>
      </c>
      <c r="L259" s="4" t="s">
        <v>158</v>
      </c>
      <c r="M259">
        <v>134</v>
      </c>
    </row>
    <row r="260" spans="1:13" x14ac:dyDescent="0.2">
      <c r="A260" s="4" t="s">
        <v>444</v>
      </c>
      <c r="B260">
        <v>259</v>
      </c>
      <c r="C260" s="4" t="s">
        <v>26</v>
      </c>
      <c r="D260" s="4" t="s">
        <v>41</v>
      </c>
      <c r="E260" s="4" t="s">
        <v>41</v>
      </c>
      <c r="F260" s="4" t="s">
        <v>1474</v>
      </c>
      <c r="G260">
        <v>9</v>
      </c>
      <c r="H260">
        <v>45</v>
      </c>
      <c r="I260" s="4" t="s">
        <v>116</v>
      </c>
      <c r="J260" s="4" t="s">
        <v>122</v>
      </c>
      <c r="K260" s="4" t="s">
        <v>123</v>
      </c>
      <c r="L260" s="4" t="s">
        <v>158</v>
      </c>
      <c r="M260">
        <v>20</v>
      </c>
    </row>
    <row r="261" spans="1:13" x14ac:dyDescent="0.2">
      <c r="A261" s="4" t="s">
        <v>445</v>
      </c>
      <c r="B261">
        <v>260</v>
      </c>
      <c r="C261" s="4" t="s">
        <v>26</v>
      </c>
      <c r="D261" s="4" t="s">
        <v>41</v>
      </c>
      <c r="E261" s="4" t="s">
        <v>41</v>
      </c>
      <c r="F261" s="4" t="s">
        <v>1474</v>
      </c>
      <c r="G261">
        <v>9</v>
      </c>
      <c r="H261">
        <v>45</v>
      </c>
      <c r="I261" s="4" t="s">
        <v>116</v>
      </c>
      <c r="J261" s="4" t="s">
        <v>125</v>
      </c>
      <c r="K261" s="4" t="s">
        <v>126</v>
      </c>
      <c r="L261" s="4" t="s">
        <v>158</v>
      </c>
      <c r="M261">
        <v>23</v>
      </c>
    </row>
    <row r="262" spans="1:13" x14ac:dyDescent="0.2">
      <c r="A262" s="4" t="s">
        <v>446</v>
      </c>
      <c r="B262">
        <v>261</v>
      </c>
      <c r="C262" s="4" t="s">
        <v>26</v>
      </c>
      <c r="D262" s="4" t="s">
        <v>41</v>
      </c>
      <c r="E262" s="4" t="s">
        <v>41</v>
      </c>
      <c r="F262" s="4" t="s">
        <v>1474</v>
      </c>
      <c r="G262">
        <v>9</v>
      </c>
      <c r="H262">
        <v>45</v>
      </c>
      <c r="I262" s="4" t="s">
        <v>116</v>
      </c>
      <c r="J262" s="4" t="s">
        <v>129</v>
      </c>
      <c r="K262" s="4" t="s">
        <v>130</v>
      </c>
      <c r="L262" s="4" t="s">
        <v>158</v>
      </c>
      <c r="M262">
        <v>42</v>
      </c>
    </row>
    <row r="263" spans="1:13" x14ac:dyDescent="0.2">
      <c r="A263" s="4" t="s">
        <v>447</v>
      </c>
      <c r="B263">
        <v>262</v>
      </c>
      <c r="C263" s="4" t="s">
        <v>26</v>
      </c>
      <c r="D263" s="4" t="s">
        <v>41</v>
      </c>
      <c r="E263" s="4" t="s">
        <v>41</v>
      </c>
      <c r="F263" s="4" t="s">
        <v>1474</v>
      </c>
      <c r="G263">
        <v>9</v>
      </c>
      <c r="H263">
        <v>45</v>
      </c>
      <c r="I263" s="4" t="s">
        <v>112</v>
      </c>
      <c r="J263" s="4" t="s">
        <v>131</v>
      </c>
      <c r="K263" s="4" t="s">
        <v>132</v>
      </c>
      <c r="L263" s="4" t="s">
        <v>158</v>
      </c>
      <c r="M263">
        <v>46</v>
      </c>
    </row>
    <row r="264" spans="1:13" x14ac:dyDescent="0.2">
      <c r="A264" s="4" t="s">
        <v>448</v>
      </c>
      <c r="B264">
        <v>263</v>
      </c>
      <c r="C264" s="4" t="s">
        <v>26</v>
      </c>
      <c r="D264" s="4" t="s">
        <v>41</v>
      </c>
      <c r="E264" s="4" t="s">
        <v>41</v>
      </c>
      <c r="F264" s="4" t="s">
        <v>1474</v>
      </c>
      <c r="G264">
        <v>9</v>
      </c>
      <c r="H264">
        <v>45</v>
      </c>
      <c r="I264" s="4" t="s">
        <v>116</v>
      </c>
      <c r="J264" s="4" t="s">
        <v>131</v>
      </c>
      <c r="K264" s="4" t="s">
        <v>132</v>
      </c>
      <c r="L264" s="4" t="s">
        <v>158</v>
      </c>
      <c r="M264">
        <v>29</v>
      </c>
    </row>
    <row r="265" spans="1:13" x14ac:dyDescent="0.2">
      <c r="A265" s="4" t="s">
        <v>449</v>
      </c>
      <c r="B265">
        <v>264</v>
      </c>
      <c r="C265" s="4" t="s">
        <v>26</v>
      </c>
      <c r="D265" s="4" t="s">
        <v>41</v>
      </c>
      <c r="E265" s="4" t="s">
        <v>44</v>
      </c>
      <c r="F265" s="4" t="s">
        <v>1475</v>
      </c>
      <c r="G265">
        <v>10</v>
      </c>
      <c r="H265">
        <v>46</v>
      </c>
      <c r="I265" s="4" t="s">
        <v>112</v>
      </c>
      <c r="J265" s="4" t="s">
        <v>122</v>
      </c>
      <c r="K265" s="4" t="s">
        <v>123</v>
      </c>
      <c r="L265" s="4" t="s">
        <v>158</v>
      </c>
      <c r="M265">
        <v>79</v>
      </c>
    </row>
    <row r="266" spans="1:13" x14ac:dyDescent="0.2">
      <c r="A266" s="4" t="s">
        <v>450</v>
      </c>
      <c r="B266">
        <v>265</v>
      </c>
      <c r="C266" s="4" t="s">
        <v>26</v>
      </c>
      <c r="D266" s="4" t="s">
        <v>41</v>
      </c>
      <c r="E266" s="4" t="s">
        <v>44</v>
      </c>
      <c r="F266" s="4" t="s">
        <v>1475</v>
      </c>
      <c r="G266">
        <v>10</v>
      </c>
      <c r="H266">
        <v>46</v>
      </c>
      <c r="I266" s="4" t="s">
        <v>112</v>
      </c>
      <c r="J266" s="4" t="s">
        <v>125</v>
      </c>
      <c r="K266" s="4" t="s">
        <v>126</v>
      </c>
      <c r="L266" s="4" t="s">
        <v>158</v>
      </c>
      <c r="M266">
        <v>27</v>
      </c>
    </row>
    <row r="267" spans="1:13" x14ac:dyDescent="0.2">
      <c r="A267" s="4" t="s">
        <v>451</v>
      </c>
      <c r="B267">
        <v>266</v>
      </c>
      <c r="C267" s="4" t="s">
        <v>26</v>
      </c>
      <c r="D267" s="4" t="s">
        <v>41</v>
      </c>
      <c r="E267" s="4" t="s">
        <v>44</v>
      </c>
      <c r="F267" s="4" t="s">
        <v>1475</v>
      </c>
      <c r="G267">
        <v>10</v>
      </c>
      <c r="H267">
        <v>46</v>
      </c>
      <c r="I267" s="4" t="s">
        <v>114</v>
      </c>
      <c r="J267" s="4" t="s">
        <v>127</v>
      </c>
      <c r="K267" s="4" t="s">
        <v>128</v>
      </c>
      <c r="L267" s="4" t="s">
        <v>158</v>
      </c>
      <c r="M267">
        <v>130</v>
      </c>
    </row>
    <row r="268" spans="1:13" x14ac:dyDescent="0.2">
      <c r="A268" s="4" t="s">
        <v>452</v>
      </c>
      <c r="B268">
        <v>267</v>
      </c>
      <c r="C268" s="4" t="s">
        <v>26</v>
      </c>
      <c r="D268" s="4" t="s">
        <v>41</v>
      </c>
      <c r="E268" s="4" t="s">
        <v>44</v>
      </c>
      <c r="F268" s="4" t="s">
        <v>1475</v>
      </c>
      <c r="G268">
        <v>10</v>
      </c>
      <c r="H268">
        <v>46</v>
      </c>
      <c r="I268" s="4" t="s">
        <v>112</v>
      </c>
      <c r="J268" s="4" t="s">
        <v>127</v>
      </c>
      <c r="K268" s="4" t="s">
        <v>128</v>
      </c>
      <c r="L268" s="4" t="s">
        <v>158</v>
      </c>
      <c r="M268">
        <v>71</v>
      </c>
    </row>
    <row r="269" spans="1:13" x14ac:dyDescent="0.2">
      <c r="A269" s="4" t="s">
        <v>453</v>
      </c>
      <c r="B269">
        <v>268</v>
      </c>
      <c r="C269" s="4" t="s">
        <v>26</v>
      </c>
      <c r="D269" s="4" t="s">
        <v>41</v>
      </c>
      <c r="E269" s="4" t="s">
        <v>44</v>
      </c>
      <c r="F269" s="4" t="s">
        <v>1475</v>
      </c>
      <c r="G269">
        <v>10</v>
      </c>
      <c r="H269">
        <v>46</v>
      </c>
      <c r="I269" s="4" t="s">
        <v>116</v>
      </c>
      <c r="J269" s="4" t="s">
        <v>127</v>
      </c>
      <c r="K269" s="4" t="s">
        <v>128</v>
      </c>
      <c r="L269" s="4" t="s">
        <v>158</v>
      </c>
      <c r="M269">
        <v>71</v>
      </c>
    </row>
    <row r="270" spans="1:13" x14ac:dyDescent="0.2">
      <c r="A270" s="4" t="s">
        <v>454</v>
      </c>
      <c r="B270">
        <v>269</v>
      </c>
      <c r="C270" s="4" t="s">
        <v>26</v>
      </c>
      <c r="D270" s="4" t="s">
        <v>41</v>
      </c>
      <c r="E270" s="4" t="s">
        <v>44</v>
      </c>
      <c r="F270" s="4" t="s">
        <v>1475</v>
      </c>
      <c r="G270">
        <v>10</v>
      </c>
      <c r="H270">
        <v>46</v>
      </c>
      <c r="I270" s="4" t="s">
        <v>116</v>
      </c>
      <c r="J270" s="4" t="s">
        <v>129</v>
      </c>
      <c r="K270" s="4" t="s">
        <v>130</v>
      </c>
      <c r="L270" s="4" t="s">
        <v>158</v>
      </c>
      <c r="M270">
        <v>18</v>
      </c>
    </row>
    <row r="271" spans="1:13" x14ac:dyDescent="0.2">
      <c r="A271" s="4" t="s">
        <v>455</v>
      </c>
      <c r="B271">
        <v>270</v>
      </c>
      <c r="C271" s="4" t="s">
        <v>26</v>
      </c>
      <c r="D271" s="4" t="s">
        <v>41</v>
      </c>
      <c r="E271" s="4" t="s">
        <v>47</v>
      </c>
      <c r="F271" s="4" t="s">
        <v>1476</v>
      </c>
      <c r="G271">
        <v>10</v>
      </c>
      <c r="H271">
        <v>47</v>
      </c>
      <c r="I271" s="4" t="s">
        <v>112</v>
      </c>
      <c r="J271" s="4" t="s">
        <v>122</v>
      </c>
      <c r="K271" s="4" t="s">
        <v>123</v>
      </c>
      <c r="L271" s="4" t="s">
        <v>158</v>
      </c>
      <c r="M271">
        <v>191</v>
      </c>
    </row>
    <row r="272" spans="1:13" x14ac:dyDescent="0.2">
      <c r="A272" s="4" t="s">
        <v>456</v>
      </c>
      <c r="B272">
        <v>271</v>
      </c>
      <c r="C272" s="4" t="s">
        <v>26</v>
      </c>
      <c r="D272" s="4" t="s">
        <v>41</v>
      </c>
      <c r="E272" s="4" t="s">
        <v>47</v>
      </c>
      <c r="F272" s="4" t="s">
        <v>1476</v>
      </c>
      <c r="G272">
        <v>10</v>
      </c>
      <c r="H272">
        <v>47</v>
      </c>
      <c r="I272" s="4" t="s">
        <v>112</v>
      </c>
      <c r="J272" s="4" t="s">
        <v>127</v>
      </c>
      <c r="K272" s="4" t="s">
        <v>128</v>
      </c>
      <c r="L272" s="4" t="s">
        <v>158</v>
      </c>
      <c r="M272">
        <v>78</v>
      </c>
    </row>
    <row r="273" spans="1:13" x14ac:dyDescent="0.2">
      <c r="A273" s="4" t="s">
        <v>457</v>
      </c>
      <c r="B273">
        <v>272</v>
      </c>
      <c r="C273" s="4" t="s">
        <v>26</v>
      </c>
      <c r="D273" s="4" t="s">
        <v>41</v>
      </c>
      <c r="E273" s="4" t="s">
        <v>47</v>
      </c>
      <c r="F273" s="4" t="s">
        <v>1476</v>
      </c>
      <c r="G273">
        <v>10</v>
      </c>
      <c r="H273">
        <v>47</v>
      </c>
      <c r="I273" s="4" t="s">
        <v>116</v>
      </c>
      <c r="J273" s="4" t="s">
        <v>131</v>
      </c>
      <c r="K273" s="4" t="s">
        <v>132</v>
      </c>
      <c r="L273" s="4" t="s">
        <v>158</v>
      </c>
      <c r="M273">
        <v>32</v>
      </c>
    </row>
    <row r="274" spans="1:13" x14ac:dyDescent="0.2">
      <c r="A274" s="4" t="s">
        <v>458</v>
      </c>
      <c r="B274">
        <v>273</v>
      </c>
      <c r="C274" s="4" t="s">
        <v>26</v>
      </c>
      <c r="D274" s="4" t="s">
        <v>41</v>
      </c>
      <c r="E274" s="4" t="s">
        <v>47</v>
      </c>
      <c r="F274" s="4" t="s">
        <v>1476</v>
      </c>
      <c r="G274">
        <v>10</v>
      </c>
      <c r="H274">
        <v>47</v>
      </c>
      <c r="I274" s="4" t="s">
        <v>112</v>
      </c>
      <c r="J274" s="4" t="s">
        <v>133</v>
      </c>
      <c r="K274" s="4" t="s">
        <v>134</v>
      </c>
      <c r="L274" s="4" t="s">
        <v>158</v>
      </c>
      <c r="M274">
        <v>50</v>
      </c>
    </row>
    <row r="275" spans="1:13" x14ac:dyDescent="0.2">
      <c r="A275" s="4" t="s">
        <v>459</v>
      </c>
      <c r="B275">
        <v>274</v>
      </c>
      <c r="C275" s="4" t="s">
        <v>26</v>
      </c>
      <c r="D275" s="4" t="s">
        <v>41</v>
      </c>
      <c r="E275" s="4" t="s">
        <v>47</v>
      </c>
      <c r="F275" s="4" t="s">
        <v>1476</v>
      </c>
      <c r="G275">
        <v>10</v>
      </c>
      <c r="H275">
        <v>47</v>
      </c>
      <c r="I275" s="4" t="s">
        <v>114</v>
      </c>
      <c r="J275" s="4" t="s">
        <v>133</v>
      </c>
      <c r="K275" s="4" t="s">
        <v>134</v>
      </c>
      <c r="L275" s="4" t="s">
        <v>158</v>
      </c>
      <c r="M275">
        <v>30</v>
      </c>
    </row>
    <row r="276" spans="1:13" x14ac:dyDescent="0.2">
      <c r="A276" s="4" t="s">
        <v>460</v>
      </c>
      <c r="B276">
        <v>275</v>
      </c>
      <c r="C276" s="4" t="s">
        <v>26</v>
      </c>
      <c r="D276" s="4" t="s">
        <v>41</v>
      </c>
      <c r="E276" s="4" t="s">
        <v>50</v>
      </c>
      <c r="F276" s="4" t="s">
        <v>1477</v>
      </c>
      <c r="G276">
        <v>10</v>
      </c>
      <c r="H276">
        <v>48</v>
      </c>
      <c r="I276" s="4" t="s">
        <v>112</v>
      </c>
      <c r="J276" s="4" t="s">
        <v>122</v>
      </c>
      <c r="K276" s="4" t="s">
        <v>123</v>
      </c>
      <c r="L276" s="4" t="s">
        <v>158</v>
      </c>
      <c r="M276">
        <v>79</v>
      </c>
    </row>
    <row r="277" spans="1:13" x14ac:dyDescent="0.2">
      <c r="A277" s="4" t="s">
        <v>461</v>
      </c>
      <c r="B277">
        <v>276</v>
      </c>
      <c r="C277" s="4" t="s">
        <v>26</v>
      </c>
      <c r="D277" s="4" t="s">
        <v>41</v>
      </c>
      <c r="E277" s="4" t="s">
        <v>50</v>
      </c>
      <c r="F277" s="4" t="s">
        <v>1477</v>
      </c>
      <c r="G277">
        <v>10</v>
      </c>
      <c r="H277">
        <v>48</v>
      </c>
      <c r="I277" s="4" t="s">
        <v>112</v>
      </c>
      <c r="J277" s="4" t="s">
        <v>127</v>
      </c>
      <c r="K277" s="4" t="s">
        <v>128</v>
      </c>
      <c r="L277" s="4" t="s">
        <v>158</v>
      </c>
      <c r="M277">
        <v>1</v>
      </c>
    </row>
    <row r="278" spans="1:13" x14ac:dyDescent="0.2">
      <c r="A278" s="4" t="s">
        <v>462</v>
      </c>
      <c r="B278">
        <v>277</v>
      </c>
      <c r="C278" s="4" t="s">
        <v>26</v>
      </c>
      <c r="D278" s="4" t="s">
        <v>41</v>
      </c>
      <c r="E278" s="4" t="s">
        <v>50</v>
      </c>
      <c r="F278" s="4" t="s">
        <v>1477</v>
      </c>
      <c r="G278">
        <v>10</v>
      </c>
      <c r="H278">
        <v>48</v>
      </c>
      <c r="I278" s="4" t="s">
        <v>116</v>
      </c>
      <c r="J278" s="4" t="s">
        <v>129</v>
      </c>
      <c r="K278" s="4" t="s">
        <v>130</v>
      </c>
      <c r="L278" s="4" t="s">
        <v>158</v>
      </c>
      <c r="M278">
        <v>17</v>
      </c>
    </row>
    <row r="279" spans="1:13" x14ac:dyDescent="0.2">
      <c r="A279" s="4" t="s">
        <v>463</v>
      </c>
      <c r="B279">
        <v>278</v>
      </c>
      <c r="C279" s="4" t="s">
        <v>26</v>
      </c>
      <c r="D279" s="4" t="s">
        <v>41</v>
      </c>
      <c r="E279" s="4" t="s">
        <v>50</v>
      </c>
      <c r="F279" s="4" t="s">
        <v>1477</v>
      </c>
      <c r="G279">
        <v>10</v>
      </c>
      <c r="H279">
        <v>48</v>
      </c>
      <c r="I279" s="4" t="s">
        <v>114</v>
      </c>
      <c r="J279" s="4" t="s">
        <v>131</v>
      </c>
      <c r="K279" s="4" t="s">
        <v>132</v>
      </c>
      <c r="L279" s="4" t="s">
        <v>158</v>
      </c>
      <c r="M279">
        <v>31</v>
      </c>
    </row>
    <row r="280" spans="1:13" x14ac:dyDescent="0.2">
      <c r="A280" s="4" t="s">
        <v>464</v>
      </c>
      <c r="B280">
        <v>279</v>
      </c>
      <c r="C280" s="4" t="s">
        <v>26</v>
      </c>
      <c r="D280" s="4" t="s">
        <v>41</v>
      </c>
      <c r="E280" s="4" t="s">
        <v>53</v>
      </c>
      <c r="F280" s="4" t="s">
        <v>1596</v>
      </c>
      <c r="G280">
        <v>10</v>
      </c>
      <c r="H280">
        <v>49</v>
      </c>
      <c r="I280" s="4" t="s">
        <v>112</v>
      </c>
      <c r="J280" s="4" t="s">
        <v>122</v>
      </c>
      <c r="K280" s="4" t="s">
        <v>123</v>
      </c>
      <c r="L280" s="4" t="s">
        <v>158</v>
      </c>
      <c r="M280">
        <v>123</v>
      </c>
    </row>
    <row r="281" spans="1:13" x14ac:dyDescent="0.2">
      <c r="A281" s="4" t="s">
        <v>465</v>
      </c>
      <c r="B281">
        <v>280</v>
      </c>
      <c r="C281" s="4" t="s">
        <v>26</v>
      </c>
      <c r="D281" s="4" t="s">
        <v>41</v>
      </c>
      <c r="E281" s="4" t="s">
        <v>53</v>
      </c>
      <c r="F281" s="4" t="s">
        <v>1596</v>
      </c>
      <c r="G281">
        <v>10</v>
      </c>
      <c r="H281">
        <v>49</v>
      </c>
      <c r="I281" s="4" t="s">
        <v>116</v>
      </c>
      <c r="J281" s="4" t="s">
        <v>122</v>
      </c>
      <c r="K281" s="4" t="s">
        <v>123</v>
      </c>
      <c r="L281" s="4" t="s">
        <v>158</v>
      </c>
      <c r="M281">
        <v>71</v>
      </c>
    </row>
    <row r="282" spans="1:13" x14ac:dyDescent="0.2">
      <c r="A282" s="4" t="s">
        <v>466</v>
      </c>
      <c r="B282">
        <v>281</v>
      </c>
      <c r="C282" s="4" t="s">
        <v>26</v>
      </c>
      <c r="D282" s="4" t="s">
        <v>41</v>
      </c>
      <c r="E282" s="4" t="s">
        <v>53</v>
      </c>
      <c r="F282" s="4" t="s">
        <v>1596</v>
      </c>
      <c r="G282">
        <v>10</v>
      </c>
      <c r="H282">
        <v>49</v>
      </c>
      <c r="I282" s="4" t="s">
        <v>114</v>
      </c>
      <c r="J282" s="4" t="s">
        <v>125</v>
      </c>
      <c r="K282" s="4" t="s">
        <v>126</v>
      </c>
      <c r="L282" s="4" t="s">
        <v>158</v>
      </c>
      <c r="M282">
        <v>24</v>
      </c>
    </row>
    <row r="283" spans="1:13" x14ac:dyDescent="0.2">
      <c r="A283" s="4" t="s">
        <v>467</v>
      </c>
      <c r="B283">
        <v>282</v>
      </c>
      <c r="C283" s="4" t="s">
        <v>26</v>
      </c>
      <c r="D283" s="4" t="s">
        <v>41</v>
      </c>
      <c r="E283" s="4" t="s">
        <v>53</v>
      </c>
      <c r="F283" s="4" t="s">
        <v>1596</v>
      </c>
      <c r="G283">
        <v>10</v>
      </c>
      <c r="H283">
        <v>49</v>
      </c>
      <c r="I283" s="4" t="s">
        <v>112</v>
      </c>
      <c r="J283" s="4" t="s">
        <v>125</v>
      </c>
      <c r="K283" s="4" t="s">
        <v>126</v>
      </c>
      <c r="L283" s="4" t="s">
        <v>158</v>
      </c>
      <c r="M283">
        <v>19</v>
      </c>
    </row>
    <row r="284" spans="1:13" x14ac:dyDescent="0.2">
      <c r="A284" s="4" t="s">
        <v>468</v>
      </c>
      <c r="B284">
        <v>283</v>
      </c>
      <c r="C284" s="4" t="s">
        <v>26</v>
      </c>
      <c r="D284" s="4" t="s">
        <v>41</v>
      </c>
      <c r="E284" s="4" t="s">
        <v>53</v>
      </c>
      <c r="F284" s="4" t="s">
        <v>1596</v>
      </c>
      <c r="G284">
        <v>10</v>
      </c>
      <c r="H284">
        <v>49</v>
      </c>
      <c r="I284" s="4" t="s">
        <v>116</v>
      </c>
      <c r="J284" s="4" t="s">
        <v>127</v>
      </c>
      <c r="K284" s="4" t="s">
        <v>128</v>
      </c>
      <c r="L284" s="4" t="s">
        <v>158</v>
      </c>
      <c r="M284">
        <v>100</v>
      </c>
    </row>
    <row r="285" spans="1:13" x14ac:dyDescent="0.2">
      <c r="A285" s="4" t="s">
        <v>469</v>
      </c>
      <c r="B285">
        <v>284</v>
      </c>
      <c r="C285" s="4" t="s">
        <v>26</v>
      </c>
      <c r="D285" s="4" t="s">
        <v>41</v>
      </c>
      <c r="E285" s="4" t="s">
        <v>53</v>
      </c>
      <c r="F285" s="4" t="s">
        <v>1596</v>
      </c>
      <c r="G285">
        <v>10</v>
      </c>
      <c r="H285">
        <v>49</v>
      </c>
      <c r="I285" s="4" t="s">
        <v>112</v>
      </c>
      <c r="J285" s="4" t="s">
        <v>127</v>
      </c>
      <c r="K285" s="4" t="s">
        <v>128</v>
      </c>
      <c r="L285" s="4" t="s">
        <v>158</v>
      </c>
      <c r="M285">
        <v>48</v>
      </c>
    </row>
    <row r="286" spans="1:13" x14ac:dyDescent="0.2">
      <c r="A286" s="4" t="s">
        <v>470</v>
      </c>
      <c r="B286">
        <v>285</v>
      </c>
      <c r="C286" s="4" t="s">
        <v>26</v>
      </c>
      <c r="D286" s="4" t="s">
        <v>41</v>
      </c>
      <c r="E286" s="4" t="s">
        <v>53</v>
      </c>
      <c r="F286" s="4" t="s">
        <v>1596</v>
      </c>
      <c r="G286">
        <v>10</v>
      </c>
      <c r="H286">
        <v>49</v>
      </c>
      <c r="I286" s="4" t="s">
        <v>114</v>
      </c>
      <c r="J286" s="4" t="s">
        <v>127</v>
      </c>
      <c r="K286" s="4" t="s">
        <v>128</v>
      </c>
      <c r="L286" s="4" t="s">
        <v>158</v>
      </c>
      <c r="M286">
        <v>89</v>
      </c>
    </row>
    <row r="287" spans="1:13" x14ac:dyDescent="0.2">
      <c r="A287" s="4" t="s">
        <v>471</v>
      </c>
      <c r="B287">
        <v>286</v>
      </c>
      <c r="C287" s="4" t="s">
        <v>26</v>
      </c>
      <c r="D287" s="4" t="s">
        <v>41</v>
      </c>
      <c r="E287" s="4" t="s">
        <v>53</v>
      </c>
      <c r="F287" s="4" t="s">
        <v>1596</v>
      </c>
      <c r="G287">
        <v>10</v>
      </c>
      <c r="H287">
        <v>49</v>
      </c>
      <c r="I287" s="4" t="s">
        <v>116</v>
      </c>
      <c r="J287" s="4" t="s">
        <v>129</v>
      </c>
      <c r="K287" s="4" t="s">
        <v>130</v>
      </c>
      <c r="L287" s="4" t="s">
        <v>158</v>
      </c>
      <c r="M287">
        <v>38</v>
      </c>
    </row>
    <row r="288" spans="1:13" x14ac:dyDescent="0.2">
      <c r="A288" s="4" t="s">
        <v>472</v>
      </c>
      <c r="B288">
        <v>287</v>
      </c>
      <c r="C288" s="4" t="s">
        <v>26</v>
      </c>
      <c r="D288" s="4" t="s">
        <v>41</v>
      </c>
      <c r="E288" s="4" t="s">
        <v>53</v>
      </c>
      <c r="F288" s="4" t="s">
        <v>1596</v>
      </c>
      <c r="G288">
        <v>10</v>
      </c>
      <c r="H288">
        <v>49</v>
      </c>
      <c r="I288" s="4" t="s">
        <v>114</v>
      </c>
      <c r="J288" s="4" t="s">
        <v>131</v>
      </c>
      <c r="K288" s="4" t="s">
        <v>132</v>
      </c>
      <c r="L288" s="4" t="s">
        <v>158</v>
      </c>
      <c r="M288">
        <v>31</v>
      </c>
    </row>
    <row r="289" spans="1:13" x14ac:dyDescent="0.2">
      <c r="A289" s="4" t="s">
        <v>473</v>
      </c>
      <c r="B289">
        <v>288</v>
      </c>
      <c r="C289" s="4" t="s">
        <v>26</v>
      </c>
      <c r="D289" s="4" t="s">
        <v>41</v>
      </c>
      <c r="E289" s="4" t="s">
        <v>53</v>
      </c>
      <c r="F289" s="4" t="s">
        <v>1596</v>
      </c>
      <c r="G289">
        <v>10</v>
      </c>
      <c r="H289">
        <v>49</v>
      </c>
      <c r="I289" s="4" t="s">
        <v>116</v>
      </c>
      <c r="J289" s="4" t="s">
        <v>131</v>
      </c>
      <c r="K289" s="4" t="s">
        <v>132</v>
      </c>
      <c r="L289" s="4" t="s">
        <v>158</v>
      </c>
      <c r="M289">
        <v>35</v>
      </c>
    </row>
    <row r="290" spans="1:13" x14ac:dyDescent="0.2">
      <c r="A290" s="4" t="s">
        <v>474</v>
      </c>
      <c r="B290">
        <v>289</v>
      </c>
      <c r="C290" s="4" t="s">
        <v>26</v>
      </c>
      <c r="D290" s="4" t="s">
        <v>41</v>
      </c>
      <c r="E290" s="4" t="s">
        <v>53</v>
      </c>
      <c r="F290" s="4" t="s">
        <v>1596</v>
      </c>
      <c r="G290">
        <v>10</v>
      </c>
      <c r="H290">
        <v>49</v>
      </c>
      <c r="I290" s="4" t="s">
        <v>114</v>
      </c>
      <c r="J290" s="4" t="s">
        <v>133</v>
      </c>
      <c r="K290" s="4" t="s">
        <v>134</v>
      </c>
      <c r="L290" s="4" t="s">
        <v>158</v>
      </c>
      <c r="M290">
        <v>30</v>
      </c>
    </row>
    <row r="291" spans="1:13" x14ac:dyDescent="0.2">
      <c r="A291" s="4" t="s">
        <v>475</v>
      </c>
      <c r="B291">
        <v>290</v>
      </c>
      <c r="C291" s="4" t="s">
        <v>26</v>
      </c>
      <c r="D291" s="4" t="s">
        <v>41</v>
      </c>
      <c r="E291" s="4" t="s">
        <v>53</v>
      </c>
      <c r="F291" s="4" t="s">
        <v>1596</v>
      </c>
      <c r="G291">
        <v>10</v>
      </c>
      <c r="H291">
        <v>49</v>
      </c>
      <c r="I291" s="4" t="s">
        <v>116</v>
      </c>
      <c r="J291" s="4" t="s">
        <v>133</v>
      </c>
      <c r="K291" s="4" t="s">
        <v>134</v>
      </c>
      <c r="L291" s="4" t="s">
        <v>158</v>
      </c>
      <c r="M291">
        <v>30</v>
      </c>
    </row>
    <row r="292" spans="1:13" x14ac:dyDescent="0.2">
      <c r="A292" s="4" t="s">
        <v>476</v>
      </c>
      <c r="B292">
        <v>291</v>
      </c>
      <c r="C292" s="4" t="s">
        <v>26</v>
      </c>
      <c r="D292" s="4" t="s">
        <v>41</v>
      </c>
      <c r="E292" s="4" t="s">
        <v>56</v>
      </c>
      <c r="F292" s="4" t="s">
        <v>1626</v>
      </c>
      <c r="G292">
        <v>10</v>
      </c>
      <c r="H292">
        <v>50</v>
      </c>
      <c r="I292" s="4" t="s">
        <v>114</v>
      </c>
      <c r="J292" s="4" t="s">
        <v>122</v>
      </c>
      <c r="K292" s="4" t="s">
        <v>123</v>
      </c>
      <c r="L292" s="4" t="s">
        <v>158</v>
      </c>
      <c r="M292">
        <v>76</v>
      </c>
    </row>
    <row r="293" spans="1:13" x14ac:dyDescent="0.2">
      <c r="A293" s="4" t="s">
        <v>477</v>
      </c>
      <c r="B293">
        <v>292</v>
      </c>
      <c r="C293" s="4" t="s">
        <v>26</v>
      </c>
      <c r="D293" s="4" t="s">
        <v>41</v>
      </c>
      <c r="E293" s="4" t="s">
        <v>56</v>
      </c>
      <c r="F293" s="4" t="s">
        <v>1626</v>
      </c>
      <c r="G293">
        <v>10</v>
      </c>
      <c r="H293">
        <v>50</v>
      </c>
      <c r="I293" s="4" t="s">
        <v>112</v>
      </c>
      <c r="J293" s="4" t="s">
        <v>122</v>
      </c>
      <c r="K293" s="4" t="s">
        <v>123</v>
      </c>
      <c r="L293" s="4" t="s">
        <v>158</v>
      </c>
      <c r="M293">
        <v>82</v>
      </c>
    </row>
    <row r="294" spans="1:13" x14ac:dyDescent="0.2">
      <c r="A294" s="4" t="s">
        <v>478</v>
      </c>
      <c r="B294">
        <v>293</v>
      </c>
      <c r="C294" s="4" t="s">
        <v>26</v>
      </c>
      <c r="D294" s="4" t="s">
        <v>41</v>
      </c>
      <c r="E294" s="4" t="s">
        <v>56</v>
      </c>
      <c r="F294" s="4" t="s">
        <v>1626</v>
      </c>
      <c r="G294">
        <v>10</v>
      </c>
      <c r="H294">
        <v>50</v>
      </c>
      <c r="I294" s="4" t="s">
        <v>114</v>
      </c>
      <c r="J294" s="4" t="s">
        <v>127</v>
      </c>
      <c r="K294" s="4" t="s">
        <v>128</v>
      </c>
      <c r="L294" s="4" t="s">
        <v>158</v>
      </c>
      <c r="M294">
        <v>114</v>
      </c>
    </row>
    <row r="295" spans="1:13" x14ac:dyDescent="0.2">
      <c r="A295" s="4" t="s">
        <v>479</v>
      </c>
      <c r="B295">
        <v>294</v>
      </c>
      <c r="C295" s="4" t="s">
        <v>26</v>
      </c>
      <c r="D295" s="4" t="s">
        <v>41</v>
      </c>
      <c r="E295" s="4" t="s">
        <v>56</v>
      </c>
      <c r="F295" s="4" t="s">
        <v>1626</v>
      </c>
      <c r="G295">
        <v>10</v>
      </c>
      <c r="H295">
        <v>50</v>
      </c>
      <c r="I295" s="4" t="s">
        <v>116</v>
      </c>
      <c r="J295" s="4" t="s">
        <v>129</v>
      </c>
      <c r="K295" s="4" t="s">
        <v>130</v>
      </c>
      <c r="L295" s="4" t="s">
        <v>158</v>
      </c>
      <c r="M295">
        <v>22</v>
      </c>
    </row>
    <row r="296" spans="1:13" x14ac:dyDescent="0.2">
      <c r="A296" s="4" t="s">
        <v>480</v>
      </c>
      <c r="B296">
        <v>295</v>
      </c>
      <c r="C296" s="4" t="s">
        <v>26</v>
      </c>
      <c r="D296" s="4" t="s">
        <v>41</v>
      </c>
      <c r="E296" s="4" t="s">
        <v>56</v>
      </c>
      <c r="F296" s="4" t="s">
        <v>1626</v>
      </c>
      <c r="G296">
        <v>10</v>
      </c>
      <c r="H296">
        <v>50</v>
      </c>
      <c r="I296" s="4" t="s">
        <v>112</v>
      </c>
      <c r="J296" s="4" t="s">
        <v>131</v>
      </c>
      <c r="K296" s="4" t="s">
        <v>132</v>
      </c>
      <c r="L296" s="4" t="s">
        <v>158</v>
      </c>
      <c r="M296">
        <v>30</v>
      </c>
    </row>
    <row r="297" spans="1:13" x14ac:dyDescent="0.2">
      <c r="A297" s="4" t="s">
        <v>481</v>
      </c>
      <c r="B297">
        <v>296</v>
      </c>
      <c r="C297" s="4" t="s">
        <v>26</v>
      </c>
      <c r="D297" s="4" t="s">
        <v>41</v>
      </c>
      <c r="E297" s="4" t="s">
        <v>56</v>
      </c>
      <c r="F297" s="4" t="s">
        <v>1626</v>
      </c>
      <c r="G297">
        <v>10</v>
      </c>
      <c r="H297">
        <v>50</v>
      </c>
      <c r="I297" s="4" t="s">
        <v>112</v>
      </c>
      <c r="J297" s="4" t="s">
        <v>133</v>
      </c>
      <c r="K297" s="4" t="s">
        <v>134</v>
      </c>
      <c r="L297" s="4" t="s">
        <v>158</v>
      </c>
      <c r="M297">
        <v>42</v>
      </c>
    </row>
    <row r="298" spans="1:13" x14ac:dyDescent="0.2">
      <c r="A298" s="4" t="s">
        <v>482</v>
      </c>
      <c r="B298">
        <v>297</v>
      </c>
      <c r="C298" s="4" t="s">
        <v>26</v>
      </c>
      <c r="D298" s="4" t="s">
        <v>44</v>
      </c>
      <c r="E298" s="4" t="s">
        <v>27</v>
      </c>
      <c r="F298" s="4" t="s">
        <v>1655</v>
      </c>
      <c r="G298">
        <v>11</v>
      </c>
      <c r="H298">
        <v>51</v>
      </c>
      <c r="I298" s="4" t="s">
        <v>112</v>
      </c>
      <c r="J298" s="4" t="s">
        <v>122</v>
      </c>
      <c r="K298" s="4" t="s">
        <v>123</v>
      </c>
      <c r="L298" s="4" t="s">
        <v>158</v>
      </c>
      <c r="M298">
        <v>183</v>
      </c>
    </row>
    <row r="299" spans="1:13" x14ac:dyDescent="0.2">
      <c r="A299" s="4" t="s">
        <v>483</v>
      </c>
      <c r="B299">
        <v>298</v>
      </c>
      <c r="C299" s="4" t="s">
        <v>26</v>
      </c>
      <c r="D299" s="4" t="s">
        <v>44</v>
      </c>
      <c r="E299" s="4" t="s">
        <v>27</v>
      </c>
      <c r="F299" s="4" t="s">
        <v>1655</v>
      </c>
      <c r="G299">
        <v>11</v>
      </c>
      <c r="H299">
        <v>51</v>
      </c>
      <c r="I299" s="4" t="s">
        <v>116</v>
      </c>
      <c r="J299" s="4" t="s">
        <v>122</v>
      </c>
      <c r="K299" s="4" t="s">
        <v>123</v>
      </c>
      <c r="L299" s="4" t="s">
        <v>158</v>
      </c>
      <c r="M299">
        <v>46</v>
      </c>
    </row>
    <row r="300" spans="1:13" x14ac:dyDescent="0.2">
      <c r="A300" s="4" t="s">
        <v>484</v>
      </c>
      <c r="B300">
        <v>299</v>
      </c>
      <c r="C300" s="4" t="s">
        <v>26</v>
      </c>
      <c r="D300" s="4" t="s">
        <v>44</v>
      </c>
      <c r="E300" s="4" t="s">
        <v>27</v>
      </c>
      <c r="F300" s="4" t="s">
        <v>1655</v>
      </c>
      <c r="G300">
        <v>11</v>
      </c>
      <c r="H300">
        <v>51</v>
      </c>
      <c r="I300" s="4" t="s">
        <v>114</v>
      </c>
      <c r="J300" s="4" t="s">
        <v>127</v>
      </c>
      <c r="K300" s="4" t="s">
        <v>128</v>
      </c>
      <c r="L300" s="4" t="s">
        <v>158</v>
      </c>
      <c r="M300">
        <v>27</v>
      </c>
    </row>
    <row r="301" spans="1:13" x14ac:dyDescent="0.2">
      <c r="A301" s="4" t="s">
        <v>485</v>
      </c>
      <c r="B301">
        <v>300</v>
      </c>
      <c r="C301" s="4" t="s">
        <v>26</v>
      </c>
      <c r="D301" s="4" t="s">
        <v>44</v>
      </c>
      <c r="E301" s="4" t="s">
        <v>27</v>
      </c>
      <c r="F301" s="4" t="s">
        <v>1655</v>
      </c>
      <c r="G301">
        <v>11</v>
      </c>
      <c r="H301">
        <v>51</v>
      </c>
      <c r="I301" s="4" t="s">
        <v>112</v>
      </c>
      <c r="J301" s="4" t="s">
        <v>127</v>
      </c>
      <c r="K301" s="4" t="s">
        <v>128</v>
      </c>
      <c r="L301" s="4" t="s">
        <v>158</v>
      </c>
      <c r="M301">
        <v>11</v>
      </c>
    </row>
    <row r="302" spans="1:13" x14ac:dyDescent="0.2">
      <c r="A302" s="4" t="s">
        <v>486</v>
      </c>
      <c r="B302">
        <v>301</v>
      </c>
      <c r="C302" s="4" t="s">
        <v>26</v>
      </c>
      <c r="D302" s="4" t="s">
        <v>44</v>
      </c>
      <c r="E302" s="4" t="s">
        <v>27</v>
      </c>
      <c r="F302" s="4" t="s">
        <v>1655</v>
      </c>
      <c r="G302">
        <v>11</v>
      </c>
      <c r="H302">
        <v>51</v>
      </c>
      <c r="I302" s="4" t="s">
        <v>116</v>
      </c>
      <c r="J302" s="4" t="s">
        <v>129</v>
      </c>
      <c r="K302" s="4" t="s">
        <v>130</v>
      </c>
      <c r="L302" s="4" t="s">
        <v>158</v>
      </c>
      <c r="M302">
        <v>34</v>
      </c>
    </row>
    <row r="303" spans="1:13" x14ac:dyDescent="0.2">
      <c r="A303" s="4" t="s">
        <v>487</v>
      </c>
      <c r="B303">
        <v>302</v>
      </c>
      <c r="C303" s="4" t="s">
        <v>26</v>
      </c>
      <c r="D303" s="4" t="s">
        <v>44</v>
      </c>
      <c r="E303" s="4" t="s">
        <v>27</v>
      </c>
      <c r="F303" s="4" t="s">
        <v>1655</v>
      </c>
      <c r="G303">
        <v>11</v>
      </c>
      <c r="H303">
        <v>51</v>
      </c>
      <c r="I303" s="4" t="s">
        <v>112</v>
      </c>
      <c r="J303" s="4" t="s">
        <v>129</v>
      </c>
      <c r="K303" s="4" t="s">
        <v>130</v>
      </c>
      <c r="L303" s="4" t="s">
        <v>158</v>
      </c>
      <c r="M303">
        <v>26</v>
      </c>
    </row>
    <row r="304" spans="1:13" x14ac:dyDescent="0.2">
      <c r="A304" s="4" t="s">
        <v>488</v>
      </c>
      <c r="B304">
        <v>303</v>
      </c>
      <c r="C304" s="4" t="s">
        <v>26</v>
      </c>
      <c r="D304" s="4" t="s">
        <v>44</v>
      </c>
      <c r="E304" s="4" t="s">
        <v>27</v>
      </c>
      <c r="F304" s="4" t="s">
        <v>1655</v>
      </c>
      <c r="G304">
        <v>11</v>
      </c>
      <c r="H304">
        <v>51</v>
      </c>
      <c r="I304" s="4" t="s">
        <v>114</v>
      </c>
      <c r="J304" s="4" t="s">
        <v>129</v>
      </c>
      <c r="K304" s="4" t="s">
        <v>130</v>
      </c>
      <c r="L304" s="4" t="s">
        <v>158</v>
      </c>
      <c r="M304">
        <v>25</v>
      </c>
    </row>
    <row r="305" spans="1:13" x14ac:dyDescent="0.2">
      <c r="A305" s="4" t="s">
        <v>489</v>
      </c>
      <c r="B305">
        <v>304</v>
      </c>
      <c r="C305" s="4" t="s">
        <v>26</v>
      </c>
      <c r="D305" s="4" t="s">
        <v>44</v>
      </c>
      <c r="E305" s="4" t="s">
        <v>27</v>
      </c>
      <c r="F305" s="4" t="s">
        <v>1655</v>
      </c>
      <c r="G305">
        <v>11</v>
      </c>
      <c r="H305">
        <v>51</v>
      </c>
      <c r="I305" s="4" t="s">
        <v>114</v>
      </c>
      <c r="J305" s="4" t="s">
        <v>131</v>
      </c>
      <c r="K305" s="4" t="s">
        <v>132</v>
      </c>
      <c r="L305" s="4" t="s">
        <v>158</v>
      </c>
      <c r="M305">
        <v>60</v>
      </c>
    </row>
    <row r="306" spans="1:13" x14ac:dyDescent="0.2">
      <c r="A306" s="4" t="s">
        <v>490</v>
      </c>
      <c r="B306">
        <v>305</v>
      </c>
      <c r="C306" s="4" t="s">
        <v>26</v>
      </c>
      <c r="D306" s="4" t="s">
        <v>44</v>
      </c>
      <c r="E306" s="4" t="s">
        <v>27</v>
      </c>
      <c r="F306" s="4" t="s">
        <v>1655</v>
      </c>
      <c r="G306">
        <v>11</v>
      </c>
      <c r="H306">
        <v>51</v>
      </c>
      <c r="I306" s="4" t="s">
        <v>112</v>
      </c>
      <c r="J306" s="4" t="s">
        <v>131</v>
      </c>
      <c r="K306" s="4" t="s">
        <v>132</v>
      </c>
      <c r="L306" s="4" t="s">
        <v>158</v>
      </c>
      <c r="M306">
        <v>29</v>
      </c>
    </row>
    <row r="307" spans="1:13" x14ac:dyDescent="0.2">
      <c r="A307" s="4" t="s">
        <v>491</v>
      </c>
      <c r="B307">
        <v>306</v>
      </c>
      <c r="C307" s="4" t="s">
        <v>26</v>
      </c>
      <c r="D307" s="4" t="s">
        <v>44</v>
      </c>
      <c r="E307" s="4" t="s">
        <v>27</v>
      </c>
      <c r="F307" s="4" t="s">
        <v>1655</v>
      </c>
      <c r="G307">
        <v>11</v>
      </c>
      <c r="H307">
        <v>51</v>
      </c>
      <c r="I307" s="4" t="s">
        <v>116</v>
      </c>
      <c r="J307" s="4" t="s">
        <v>131</v>
      </c>
      <c r="K307" s="4" t="s">
        <v>132</v>
      </c>
      <c r="L307" s="4" t="s">
        <v>158</v>
      </c>
      <c r="M307">
        <v>27</v>
      </c>
    </row>
    <row r="308" spans="1:13" x14ac:dyDescent="0.2">
      <c r="A308" s="4" t="s">
        <v>492</v>
      </c>
      <c r="B308">
        <v>307</v>
      </c>
      <c r="C308" s="4" t="s">
        <v>26</v>
      </c>
      <c r="D308" s="4" t="s">
        <v>44</v>
      </c>
      <c r="E308" s="4" t="s">
        <v>27</v>
      </c>
      <c r="F308" s="4" t="s">
        <v>1655</v>
      </c>
      <c r="G308">
        <v>11</v>
      </c>
      <c r="H308">
        <v>51</v>
      </c>
      <c r="I308" s="4" t="s">
        <v>114</v>
      </c>
      <c r="J308" s="4" t="s">
        <v>133</v>
      </c>
      <c r="K308" s="4" t="s">
        <v>134</v>
      </c>
      <c r="L308" s="4" t="s">
        <v>158</v>
      </c>
      <c r="M308">
        <v>2</v>
      </c>
    </row>
    <row r="309" spans="1:13" x14ac:dyDescent="0.2">
      <c r="A309" s="4" t="s">
        <v>493</v>
      </c>
      <c r="B309">
        <v>308</v>
      </c>
      <c r="C309" s="4" t="s">
        <v>26</v>
      </c>
      <c r="D309" s="4" t="s">
        <v>44</v>
      </c>
      <c r="E309" s="4" t="s">
        <v>27</v>
      </c>
      <c r="F309" s="4" t="s">
        <v>1655</v>
      </c>
      <c r="G309">
        <v>11</v>
      </c>
      <c r="H309">
        <v>51</v>
      </c>
      <c r="I309" s="4" t="s">
        <v>112</v>
      </c>
      <c r="J309" s="4" t="s">
        <v>133</v>
      </c>
      <c r="K309" s="4" t="s">
        <v>134</v>
      </c>
      <c r="L309" s="4" t="s">
        <v>158</v>
      </c>
      <c r="M309">
        <v>5</v>
      </c>
    </row>
    <row r="310" spans="1:13" x14ac:dyDescent="0.2">
      <c r="A310" s="4" t="s">
        <v>494</v>
      </c>
      <c r="B310">
        <v>309</v>
      </c>
      <c r="C310" s="4" t="s">
        <v>26</v>
      </c>
      <c r="D310" s="4" t="s">
        <v>44</v>
      </c>
      <c r="E310" s="4" t="s">
        <v>27</v>
      </c>
      <c r="F310" s="4" t="s">
        <v>1655</v>
      </c>
      <c r="G310">
        <v>11</v>
      </c>
      <c r="H310">
        <v>51</v>
      </c>
      <c r="I310" s="4" t="s">
        <v>116</v>
      </c>
      <c r="J310" s="4" t="s">
        <v>133</v>
      </c>
      <c r="K310" s="4" t="s">
        <v>134</v>
      </c>
      <c r="L310" s="4" t="s">
        <v>158</v>
      </c>
      <c r="M310">
        <v>1</v>
      </c>
    </row>
    <row r="311" spans="1:13" x14ac:dyDescent="0.2">
      <c r="A311" s="4" t="s">
        <v>495</v>
      </c>
      <c r="B311">
        <v>310</v>
      </c>
      <c r="C311" s="4" t="s">
        <v>26</v>
      </c>
      <c r="D311" s="4" t="s">
        <v>44</v>
      </c>
      <c r="E311" s="4" t="s">
        <v>35</v>
      </c>
      <c r="F311" s="4" t="s">
        <v>1715</v>
      </c>
      <c r="G311">
        <v>11</v>
      </c>
      <c r="H311">
        <v>53</v>
      </c>
      <c r="I311" s="4" t="s">
        <v>116</v>
      </c>
      <c r="J311" s="4" t="s">
        <v>122</v>
      </c>
      <c r="K311" s="4" t="s">
        <v>123</v>
      </c>
      <c r="L311" s="4" t="s">
        <v>158</v>
      </c>
      <c r="M311">
        <v>71</v>
      </c>
    </row>
    <row r="312" spans="1:13" x14ac:dyDescent="0.2">
      <c r="A312" s="4" t="s">
        <v>496</v>
      </c>
      <c r="B312">
        <v>311</v>
      </c>
      <c r="C312" s="4" t="s">
        <v>26</v>
      </c>
      <c r="D312" s="4" t="s">
        <v>44</v>
      </c>
      <c r="E312" s="4" t="s">
        <v>35</v>
      </c>
      <c r="F312" s="4" t="s">
        <v>1715</v>
      </c>
      <c r="G312">
        <v>11</v>
      </c>
      <c r="H312">
        <v>53</v>
      </c>
      <c r="I312" s="4" t="s">
        <v>112</v>
      </c>
      <c r="J312" s="4" t="s">
        <v>122</v>
      </c>
      <c r="K312" s="4" t="s">
        <v>123</v>
      </c>
      <c r="L312" s="4" t="s">
        <v>158</v>
      </c>
      <c r="M312">
        <v>630</v>
      </c>
    </row>
    <row r="313" spans="1:13" x14ac:dyDescent="0.2">
      <c r="A313" s="4" t="s">
        <v>497</v>
      </c>
      <c r="B313">
        <v>312</v>
      </c>
      <c r="C313" s="4" t="s">
        <v>26</v>
      </c>
      <c r="D313" s="4" t="s">
        <v>44</v>
      </c>
      <c r="E313" s="4" t="s">
        <v>35</v>
      </c>
      <c r="F313" s="4" t="s">
        <v>1715</v>
      </c>
      <c r="G313">
        <v>11</v>
      </c>
      <c r="H313">
        <v>53</v>
      </c>
      <c r="I313" s="4" t="s">
        <v>114</v>
      </c>
      <c r="J313" s="4" t="s">
        <v>125</v>
      </c>
      <c r="K313" s="4" t="s">
        <v>126</v>
      </c>
      <c r="L313" s="4" t="s">
        <v>158</v>
      </c>
      <c r="M313">
        <v>10</v>
      </c>
    </row>
    <row r="314" spans="1:13" x14ac:dyDescent="0.2">
      <c r="A314" s="4" t="s">
        <v>498</v>
      </c>
      <c r="B314">
        <v>313</v>
      </c>
      <c r="C314" s="4" t="s">
        <v>26</v>
      </c>
      <c r="D314" s="4" t="s">
        <v>44</v>
      </c>
      <c r="E314" s="4" t="s">
        <v>35</v>
      </c>
      <c r="F314" s="4" t="s">
        <v>1715</v>
      </c>
      <c r="G314">
        <v>11</v>
      </c>
      <c r="H314">
        <v>53</v>
      </c>
      <c r="I314" s="4" t="s">
        <v>112</v>
      </c>
      <c r="J314" s="4" t="s">
        <v>125</v>
      </c>
      <c r="K314" s="4" t="s">
        <v>126</v>
      </c>
      <c r="L314" s="4" t="s">
        <v>158</v>
      </c>
      <c r="M314">
        <v>3</v>
      </c>
    </row>
    <row r="315" spans="1:13" x14ac:dyDescent="0.2">
      <c r="A315" s="4" t="s">
        <v>499</v>
      </c>
      <c r="B315">
        <v>314</v>
      </c>
      <c r="C315" s="4" t="s">
        <v>26</v>
      </c>
      <c r="D315" s="4" t="s">
        <v>44</v>
      </c>
      <c r="E315" s="4" t="s">
        <v>35</v>
      </c>
      <c r="F315" s="4" t="s">
        <v>1715</v>
      </c>
      <c r="G315">
        <v>11</v>
      </c>
      <c r="H315">
        <v>53</v>
      </c>
      <c r="I315" s="4" t="s">
        <v>116</v>
      </c>
      <c r="J315" s="4" t="s">
        <v>125</v>
      </c>
      <c r="K315" s="4" t="s">
        <v>126</v>
      </c>
      <c r="L315" s="4" t="s">
        <v>158</v>
      </c>
      <c r="M315">
        <v>5</v>
      </c>
    </row>
    <row r="316" spans="1:13" x14ac:dyDescent="0.2">
      <c r="A316" s="4" t="s">
        <v>500</v>
      </c>
      <c r="B316">
        <v>315</v>
      </c>
      <c r="C316" s="4" t="s">
        <v>26</v>
      </c>
      <c r="D316" s="4" t="s">
        <v>44</v>
      </c>
      <c r="E316" s="4" t="s">
        <v>35</v>
      </c>
      <c r="F316" s="4" t="s">
        <v>1715</v>
      </c>
      <c r="G316">
        <v>11</v>
      </c>
      <c r="H316">
        <v>53</v>
      </c>
      <c r="I316" s="4" t="s">
        <v>114</v>
      </c>
      <c r="J316" s="4" t="s">
        <v>127</v>
      </c>
      <c r="K316" s="4" t="s">
        <v>128</v>
      </c>
      <c r="L316" s="4" t="s">
        <v>158</v>
      </c>
      <c r="M316">
        <v>400</v>
      </c>
    </row>
    <row r="317" spans="1:13" x14ac:dyDescent="0.2">
      <c r="A317" s="4" t="s">
        <v>501</v>
      </c>
      <c r="B317">
        <v>316</v>
      </c>
      <c r="C317" s="4" t="s">
        <v>26</v>
      </c>
      <c r="D317" s="4" t="s">
        <v>44</v>
      </c>
      <c r="E317" s="4" t="s">
        <v>35</v>
      </c>
      <c r="F317" s="4" t="s">
        <v>1715</v>
      </c>
      <c r="G317">
        <v>11</v>
      </c>
      <c r="H317">
        <v>53</v>
      </c>
      <c r="I317" s="4" t="s">
        <v>112</v>
      </c>
      <c r="J317" s="4" t="s">
        <v>127</v>
      </c>
      <c r="K317" s="4" t="s">
        <v>128</v>
      </c>
      <c r="L317" s="4" t="s">
        <v>158</v>
      </c>
      <c r="M317">
        <v>250</v>
      </c>
    </row>
    <row r="318" spans="1:13" x14ac:dyDescent="0.2">
      <c r="A318" s="4" t="s">
        <v>502</v>
      </c>
      <c r="B318">
        <v>317</v>
      </c>
      <c r="C318" s="4" t="s">
        <v>26</v>
      </c>
      <c r="D318" s="4" t="s">
        <v>44</v>
      </c>
      <c r="E318" s="4" t="s">
        <v>35</v>
      </c>
      <c r="F318" s="4" t="s">
        <v>1715</v>
      </c>
      <c r="G318">
        <v>11</v>
      </c>
      <c r="H318">
        <v>53</v>
      </c>
      <c r="I318" s="4" t="s">
        <v>114</v>
      </c>
      <c r="J318" s="4" t="s">
        <v>129</v>
      </c>
      <c r="K318" s="4" t="s">
        <v>130</v>
      </c>
      <c r="L318" s="4" t="s">
        <v>158</v>
      </c>
      <c r="M318">
        <v>13</v>
      </c>
    </row>
    <row r="319" spans="1:13" x14ac:dyDescent="0.2">
      <c r="A319" s="4" t="s">
        <v>503</v>
      </c>
      <c r="B319">
        <v>318</v>
      </c>
      <c r="C319" s="4" t="s">
        <v>26</v>
      </c>
      <c r="D319" s="4" t="s">
        <v>44</v>
      </c>
      <c r="E319" s="4" t="s">
        <v>35</v>
      </c>
      <c r="F319" s="4" t="s">
        <v>1715</v>
      </c>
      <c r="G319">
        <v>11</v>
      </c>
      <c r="H319">
        <v>53</v>
      </c>
      <c r="I319" s="4" t="s">
        <v>112</v>
      </c>
      <c r="J319" s="4" t="s">
        <v>129</v>
      </c>
      <c r="K319" s="4" t="s">
        <v>130</v>
      </c>
      <c r="L319" s="4" t="s">
        <v>158</v>
      </c>
      <c r="M319">
        <v>42</v>
      </c>
    </row>
    <row r="320" spans="1:13" x14ac:dyDescent="0.2">
      <c r="A320" s="4" t="s">
        <v>504</v>
      </c>
      <c r="B320">
        <v>319</v>
      </c>
      <c r="C320" s="4" t="s">
        <v>26</v>
      </c>
      <c r="D320" s="4" t="s">
        <v>44</v>
      </c>
      <c r="E320" s="4" t="s">
        <v>35</v>
      </c>
      <c r="F320" s="4" t="s">
        <v>1715</v>
      </c>
      <c r="G320">
        <v>11</v>
      </c>
      <c r="H320">
        <v>53</v>
      </c>
      <c r="I320" s="4" t="s">
        <v>116</v>
      </c>
      <c r="J320" s="4" t="s">
        <v>129</v>
      </c>
      <c r="K320" s="4" t="s">
        <v>130</v>
      </c>
      <c r="L320" s="4" t="s">
        <v>158</v>
      </c>
      <c r="M320">
        <v>40</v>
      </c>
    </row>
    <row r="321" spans="1:13" x14ac:dyDescent="0.2">
      <c r="A321" s="4" t="s">
        <v>505</v>
      </c>
      <c r="B321">
        <v>320</v>
      </c>
      <c r="C321" s="4" t="s">
        <v>26</v>
      </c>
      <c r="D321" s="4" t="s">
        <v>44</v>
      </c>
      <c r="E321" s="4" t="s">
        <v>35</v>
      </c>
      <c r="F321" s="4" t="s">
        <v>1715</v>
      </c>
      <c r="G321">
        <v>11</v>
      </c>
      <c r="H321">
        <v>53</v>
      </c>
      <c r="I321" s="4" t="s">
        <v>116</v>
      </c>
      <c r="J321" s="4" t="s">
        <v>131</v>
      </c>
      <c r="K321" s="4" t="s">
        <v>132</v>
      </c>
      <c r="L321" s="4" t="s">
        <v>158</v>
      </c>
      <c r="M321">
        <v>24</v>
      </c>
    </row>
    <row r="322" spans="1:13" x14ac:dyDescent="0.2">
      <c r="A322" s="4" t="s">
        <v>506</v>
      </c>
      <c r="B322">
        <v>321</v>
      </c>
      <c r="C322" s="4" t="s">
        <v>26</v>
      </c>
      <c r="D322" s="4" t="s">
        <v>44</v>
      </c>
      <c r="E322" s="4" t="s">
        <v>35</v>
      </c>
      <c r="F322" s="4" t="s">
        <v>1715</v>
      </c>
      <c r="G322">
        <v>11</v>
      </c>
      <c r="H322">
        <v>53</v>
      </c>
      <c r="I322" s="4" t="s">
        <v>112</v>
      </c>
      <c r="J322" s="4" t="s">
        <v>131</v>
      </c>
      <c r="K322" s="4" t="s">
        <v>132</v>
      </c>
      <c r="L322" s="4" t="s">
        <v>158</v>
      </c>
      <c r="M322">
        <v>62</v>
      </c>
    </row>
    <row r="323" spans="1:13" x14ac:dyDescent="0.2">
      <c r="A323" s="4" t="s">
        <v>507</v>
      </c>
      <c r="B323">
        <v>322</v>
      </c>
      <c r="C323" s="4" t="s">
        <v>26</v>
      </c>
      <c r="D323" s="4" t="s">
        <v>44</v>
      </c>
      <c r="E323" s="4" t="s">
        <v>35</v>
      </c>
      <c r="F323" s="4" t="s">
        <v>1715</v>
      </c>
      <c r="G323">
        <v>11</v>
      </c>
      <c r="H323">
        <v>53</v>
      </c>
      <c r="I323" s="4" t="s">
        <v>114</v>
      </c>
      <c r="J323" s="4" t="s">
        <v>131</v>
      </c>
      <c r="K323" s="4" t="s">
        <v>132</v>
      </c>
      <c r="L323" s="4" t="s">
        <v>158</v>
      </c>
      <c r="M323">
        <v>73</v>
      </c>
    </row>
    <row r="324" spans="1:13" x14ac:dyDescent="0.2">
      <c r="A324" s="4" t="s">
        <v>508</v>
      </c>
      <c r="B324">
        <v>323</v>
      </c>
      <c r="C324" s="4" t="s">
        <v>26</v>
      </c>
      <c r="D324" s="4" t="s">
        <v>44</v>
      </c>
      <c r="E324" s="4" t="s">
        <v>35</v>
      </c>
      <c r="F324" s="4" t="s">
        <v>1715</v>
      </c>
      <c r="G324">
        <v>11</v>
      </c>
      <c r="H324">
        <v>53</v>
      </c>
      <c r="I324" s="4" t="s">
        <v>114</v>
      </c>
      <c r="J324" s="4" t="s">
        <v>133</v>
      </c>
      <c r="K324" s="4" t="s">
        <v>134</v>
      </c>
      <c r="L324" s="4" t="s">
        <v>158</v>
      </c>
      <c r="M324">
        <v>18</v>
      </c>
    </row>
    <row r="325" spans="1:13" x14ac:dyDescent="0.2">
      <c r="A325" s="4" t="s">
        <v>509</v>
      </c>
      <c r="B325">
        <v>324</v>
      </c>
      <c r="C325" s="4" t="s">
        <v>26</v>
      </c>
      <c r="D325" s="4" t="s">
        <v>44</v>
      </c>
      <c r="E325" s="4" t="s">
        <v>35</v>
      </c>
      <c r="F325" s="4" t="s">
        <v>1715</v>
      </c>
      <c r="G325">
        <v>11</v>
      </c>
      <c r="H325">
        <v>53</v>
      </c>
      <c r="I325" s="4" t="s">
        <v>112</v>
      </c>
      <c r="J325" s="4" t="s">
        <v>133</v>
      </c>
      <c r="K325" s="4" t="s">
        <v>134</v>
      </c>
      <c r="L325" s="4" t="s">
        <v>158</v>
      </c>
      <c r="M325">
        <v>57</v>
      </c>
    </row>
    <row r="326" spans="1:13" x14ac:dyDescent="0.2">
      <c r="A326" s="4" t="s">
        <v>510</v>
      </c>
      <c r="B326">
        <v>325</v>
      </c>
      <c r="C326" s="4" t="s">
        <v>26</v>
      </c>
      <c r="D326" s="4" t="s">
        <v>44</v>
      </c>
      <c r="E326" s="4" t="s">
        <v>35</v>
      </c>
      <c r="F326" s="4" t="s">
        <v>1715</v>
      </c>
      <c r="G326">
        <v>11</v>
      </c>
      <c r="H326">
        <v>53</v>
      </c>
      <c r="I326" s="4" t="s">
        <v>116</v>
      </c>
      <c r="J326" s="4" t="s">
        <v>133</v>
      </c>
      <c r="K326" s="4" t="s">
        <v>134</v>
      </c>
      <c r="L326" s="4" t="s">
        <v>158</v>
      </c>
      <c r="M326">
        <v>19</v>
      </c>
    </row>
    <row r="327" spans="1:13" x14ac:dyDescent="0.2">
      <c r="A327" s="4" t="s">
        <v>511</v>
      </c>
      <c r="B327">
        <v>326</v>
      </c>
      <c r="C327" s="4" t="s">
        <v>26</v>
      </c>
      <c r="D327" s="4" t="s">
        <v>44</v>
      </c>
      <c r="E327" s="4" t="s">
        <v>44</v>
      </c>
      <c r="F327" s="4" t="s">
        <v>1798</v>
      </c>
      <c r="G327">
        <v>12</v>
      </c>
      <c r="H327">
        <v>56</v>
      </c>
      <c r="I327" s="4" t="s">
        <v>114</v>
      </c>
      <c r="J327" s="4" t="s">
        <v>127</v>
      </c>
      <c r="K327" s="4" t="s">
        <v>128</v>
      </c>
      <c r="L327" s="4" t="s">
        <v>158</v>
      </c>
      <c r="M327">
        <v>41</v>
      </c>
    </row>
    <row r="328" spans="1:13" x14ac:dyDescent="0.2">
      <c r="A328" s="4" t="s">
        <v>512</v>
      </c>
      <c r="B328">
        <v>327</v>
      </c>
      <c r="C328" s="4" t="s">
        <v>26</v>
      </c>
      <c r="D328" s="4" t="s">
        <v>44</v>
      </c>
      <c r="E328" s="4" t="s">
        <v>44</v>
      </c>
      <c r="F328" s="4" t="s">
        <v>1798</v>
      </c>
      <c r="G328">
        <v>12</v>
      </c>
      <c r="H328">
        <v>56</v>
      </c>
      <c r="I328" s="4" t="s">
        <v>112</v>
      </c>
      <c r="J328" s="4" t="s">
        <v>127</v>
      </c>
      <c r="K328" s="4" t="s">
        <v>128</v>
      </c>
      <c r="L328" s="4" t="s">
        <v>158</v>
      </c>
      <c r="M328">
        <v>11</v>
      </c>
    </row>
    <row r="329" spans="1:13" x14ac:dyDescent="0.2">
      <c r="A329" s="4" t="s">
        <v>513</v>
      </c>
      <c r="B329">
        <v>328</v>
      </c>
      <c r="C329" s="4" t="s">
        <v>26</v>
      </c>
      <c r="D329" s="4" t="s">
        <v>44</v>
      </c>
      <c r="E329" s="4" t="s">
        <v>44</v>
      </c>
      <c r="F329" s="4" t="s">
        <v>1798</v>
      </c>
      <c r="G329">
        <v>12</v>
      </c>
      <c r="H329">
        <v>56</v>
      </c>
      <c r="I329" s="4" t="s">
        <v>112</v>
      </c>
      <c r="J329" s="4" t="s">
        <v>133</v>
      </c>
      <c r="K329" s="4" t="s">
        <v>134</v>
      </c>
      <c r="L329" s="4" t="s">
        <v>158</v>
      </c>
      <c r="M329">
        <v>54</v>
      </c>
    </row>
    <row r="330" spans="1:13" x14ac:dyDescent="0.2">
      <c r="A330" s="4" t="s">
        <v>514</v>
      </c>
      <c r="B330">
        <v>329</v>
      </c>
      <c r="C330" s="4" t="s">
        <v>26</v>
      </c>
      <c r="D330" s="4" t="s">
        <v>44</v>
      </c>
      <c r="E330" s="4" t="s">
        <v>44</v>
      </c>
      <c r="F330" s="4" t="s">
        <v>1798</v>
      </c>
      <c r="G330">
        <v>12</v>
      </c>
      <c r="H330">
        <v>56</v>
      </c>
      <c r="I330" s="4" t="s">
        <v>116</v>
      </c>
      <c r="J330" s="4" t="s">
        <v>133</v>
      </c>
      <c r="K330" s="4" t="s">
        <v>134</v>
      </c>
      <c r="L330" s="4" t="s">
        <v>158</v>
      </c>
      <c r="M330">
        <v>34</v>
      </c>
    </row>
    <row r="331" spans="1:13" x14ac:dyDescent="0.2">
      <c r="A331" s="4" t="s">
        <v>515</v>
      </c>
      <c r="B331">
        <v>330</v>
      </c>
      <c r="C331" s="4" t="s">
        <v>26</v>
      </c>
      <c r="D331" s="4" t="s">
        <v>44</v>
      </c>
      <c r="E331" s="4" t="s">
        <v>47</v>
      </c>
      <c r="F331" s="4" t="s">
        <v>1834</v>
      </c>
      <c r="G331">
        <v>12</v>
      </c>
      <c r="H331">
        <v>57</v>
      </c>
      <c r="I331" s="4" t="s">
        <v>116</v>
      </c>
      <c r="J331" s="4" t="s">
        <v>122</v>
      </c>
      <c r="K331" s="4" t="s">
        <v>123</v>
      </c>
      <c r="L331" s="4" t="s">
        <v>158</v>
      </c>
      <c r="M331">
        <v>79</v>
      </c>
    </row>
    <row r="332" spans="1:13" x14ac:dyDescent="0.2">
      <c r="A332" s="4" t="s">
        <v>516</v>
      </c>
      <c r="B332">
        <v>331</v>
      </c>
      <c r="C332" s="4" t="s">
        <v>26</v>
      </c>
      <c r="D332" s="4" t="s">
        <v>44</v>
      </c>
      <c r="E332" s="4" t="s">
        <v>47</v>
      </c>
      <c r="F332" s="4" t="s">
        <v>1834</v>
      </c>
      <c r="G332">
        <v>12</v>
      </c>
      <c r="H332">
        <v>57</v>
      </c>
      <c r="I332" s="4" t="s">
        <v>112</v>
      </c>
      <c r="J332" s="4" t="s">
        <v>122</v>
      </c>
      <c r="K332" s="4" t="s">
        <v>123</v>
      </c>
      <c r="L332" s="4" t="s">
        <v>158</v>
      </c>
      <c r="M332">
        <v>348</v>
      </c>
    </row>
    <row r="333" spans="1:13" x14ac:dyDescent="0.2">
      <c r="A333" s="4" t="s">
        <v>517</v>
      </c>
      <c r="B333">
        <v>332</v>
      </c>
      <c r="C333" s="4" t="s">
        <v>26</v>
      </c>
      <c r="D333" s="4" t="s">
        <v>44</v>
      </c>
      <c r="E333" s="4" t="s">
        <v>47</v>
      </c>
      <c r="F333" s="4" t="s">
        <v>1834</v>
      </c>
      <c r="G333">
        <v>12</v>
      </c>
      <c r="H333">
        <v>57</v>
      </c>
      <c r="I333" s="4" t="s">
        <v>114</v>
      </c>
      <c r="J333" s="4" t="s">
        <v>125</v>
      </c>
      <c r="K333" s="4" t="s">
        <v>126</v>
      </c>
      <c r="L333" s="4" t="s">
        <v>158</v>
      </c>
      <c r="M333">
        <v>65</v>
      </c>
    </row>
    <row r="334" spans="1:13" x14ac:dyDescent="0.2">
      <c r="A334" s="4" t="s">
        <v>518</v>
      </c>
      <c r="B334">
        <v>333</v>
      </c>
      <c r="C334" s="4" t="s">
        <v>26</v>
      </c>
      <c r="D334" s="4" t="s">
        <v>44</v>
      </c>
      <c r="E334" s="4" t="s">
        <v>47</v>
      </c>
      <c r="F334" s="4" t="s">
        <v>1834</v>
      </c>
      <c r="G334">
        <v>12</v>
      </c>
      <c r="H334">
        <v>57</v>
      </c>
      <c r="I334" s="4" t="s">
        <v>112</v>
      </c>
      <c r="J334" s="4" t="s">
        <v>125</v>
      </c>
      <c r="K334" s="4" t="s">
        <v>126</v>
      </c>
      <c r="L334" s="4" t="s">
        <v>158</v>
      </c>
      <c r="M334">
        <v>50</v>
      </c>
    </row>
    <row r="335" spans="1:13" x14ac:dyDescent="0.2">
      <c r="A335" s="4" t="s">
        <v>519</v>
      </c>
      <c r="B335">
        <v>334</v>
      </c>
      <c r="C335" s="4" t="s">
        <v>26</v>
      </c>
      <c r="D335" s="4" t="s">
        <v>44</v>
      </c>
      <c r="E335" s="4" t="s">
        <v>47</v>
      </c>
      <c r="F335" s="4" t="s">
        <v>1834</v>
      </c>
      <c r="G335">
        <v>12</v>
      </c>
      <c r="H335">
        <v>57</v>
      </c>
      <c r="I335" s="4" t="s">
        <v>116</v>
      </c>
      <c r="J335" s="4" t="s">
        <v>125</v>
      </c>
      <c r="K335" s="4" t="s">
        <v>126</v>
      </c>
      <c r="L335" s="4" t="s">
        <v>158</v>
      </c>
      <c r="M335">
        <v>40</v>
      </c>
    </row>
    <row r="336" spans="1:13" x14ac:dyDescent="0.2">
      <c r="A336" s="4" t="s">
        <v>520</v>
      </c>
      <c r="B336">
        <v>335</v>
      </c>
      <c r="C336" s="4" t="s">
        <v>26</v>
      </c>
      <c r="D336" s="4" t="s">
        <v>44</v>
      </c>
      <c r="E336" s="4" t="s">
        <v>47</v>
      </c>
      <c r="F336" s="4" t="s">
        <v>1834</v>
      </c>
      <c r="G336">
        <v>12</v>
      </c>
      <c r="H336">
        <v>57</v>
      </c>
      <c r="I336" s="4" t="s">
        <v>114</v>
      </c>
      <c r="J336" s="4" t="s">
        <v>127</v>
      </c>
      <c r="K336" s="4" t="s">
        <v>128</v>
      </c>
      <c r="L336" s="4" t="s">
        <v>158</v>
      </c>
      <c r="M336">
        <v>341</v>
      </c>
    </row>
    <row r="337" spans="1:13" x14ac:dyDescent="0.2">
      <c r="A337" s="4" t="s">
        <v>521</v>
      </c>
      <c r="B337">
        <v>336</v>
      </c>
      <c r="C337" s="4" t="s">
        <v>26</v>
      </c>
      <c r="D337" s="4" t="s">
        <v>44</v>
      </c>
      <c r="E337" s="4" t="s">
        <v>47</v>
      </c>
      <c r="F337" s="4" t="s">
        <v>1834</v>
      </c>
      <c r="G337">
        <v>12</v>
      </c>
      <c r="H337">
        <v>57</v>
      </c>
      <c r="I337" s="4" t="s">
        <v>112</v>
      </c>
      <c r="J337" s="4" t="s">
        <v>127</v>
      </c>
      <c r="K337" s="4" t="s">
        <v>128</v>
      </c>
      <c r="L337" s="4" t="s">
        <v>158</v>
      </c>
      <c r="M337">
        <v>61</v>
      </c>
    </row>
    <row r="338" spans="1:13" x14ac:dyDescent="0.2">
      <c r="A338" s="4" t="s">
        <v>522</v>
      </c>
      <c r="B338">
        <v>337</v>
      </c>
      <c r="C338" s="4" t="s">
        <v>26</v>
      </c>
      <c r="D338" s="4" t="s">
        <v>44</v>
      </c>
      <c r="E338" s="4" t="s">
        <v>47</v>
      </c>
      <c r="F338" s="4" t="s">
        <v>1834</v>
      </c>
      <c r="G338">
        <v>12</v>
      </c>
      <c r="H338">
        <v>57</v>
      </c>
      <c r="I338" s="4" t="s">
        <v>116</v>
      </c>
      <c r="J338" s="4" t="s">
        <v>127</v>
      </c>
      <c r="K338" s="4" t="s">
        <v>128</v>
      </c>
      <c r="L338" s="4" t="s">
        <v>158</v>
      </c>
      <c r="M338">
        <v>46</v>
      </c>
    </row>
    <row r="339" spans="1:13" x14ac:dyDescent="0.2">
      <c r="A339" s="4" t="s">
        <v>523</v>
      </c>
      <c r="B339">
        <v>338</v>
      </c>
      <c r="C339" s="4" t="s">
        <v>26</v>
      </c>
      <c r="D339" s="4" t="s">
        <v>44</v>
      </c>
      <c r="E339" s="4" t="s">
        <v>47</v>
      </c>
      <c r="F339" s="4" t="s">
        <v>1834</v>
      </c>
      <c r="G339">
        <v>12</v>
      </c>
      <c r="H339">
        <v>57</v>
      </c>
      <c r="I339" s="4" t="s">
        <v>114</v>
      </c>
      <c r="J339" s="4" t="s">
        <v>129</v>
      </c>
      <c r="K339" s="4" t="s">
        <v>130</v>
      </c>
      <c r="L339" s="4" t="s">
        <v>158</v>
      </c>
      <c r="M339">
        <v>22</v>
      </c>
    </row>
    <row r="340" spans="1:13" x14ac:dyDescent="0.2">
      <c r="A340" s="4" t="s">
        <v>524</v>
      </c>
      <c r="B340">
        <v>339</v>
      </c>
      <c r="C340" s="4" t="s">
        <v>26</v>
      </c>
      <c r="D340" s="4" t="s">
        <v>44</v>
      </c>
      <c r="E340" s="4" t="s">
        <v>47</v>
      </c>
      <c r="F340" s="4" t="s">
        <v>1834</v>
      </c>
      <c r="G340">
        <v>12</v>
      </c>
      <c r="H340">
        <v>57</v>
      </c>
      <c r="I340" s="4" t="s">
        <v>112</v>
      </c>
      <c r="J340" s="4" t="s">
        <v>129</v>
      </c>
      <c r="K340" s="4" t="s">
        <v>130</v>
      </c>
      <c r="L340" s="4" t="s">
        <v>158</v>
      </c>
      <c r="M340">
        <v>8</v>
      </c>
    </row>
    <row r="341" spans="1:13" x14ac:dyDescent="0.2">
      <c r="A341" s="4" t="s">
        <v>525</v>
      </c>
      <c r="B341">
        <v>340</v>
      </c>
      <c r="C341" s="4" t="s">
        <v>26</v>
      </c>
      <c r="D341" s="4" t="s">
        <v>44</v>
      </c>
      <c r="E341" s="4" t="s">
        <v>47</v>
      </c>
      <c r="F341" s="4" t="s">
        <v>1834</v>
      </c>
      <c r="G341">
        <v>12</v>
      </c>
      <c r="H341">
        <v>57</v>
      </c>
      <c r="I341" s="4" t="s">
        <v>116</v>
      </c>
      <c r="J341" s="4" t="s">
        <v>129</v>
      </c>
      <c r="K341" s="4" t="s">
        <v>130</v>
      </c>
      <c r="L341" s="4" t="s">
        <v>158</v>
      </c>
      <c r="M341">
        <v>99</v>
      </c>
    </row>
    <row r="342" spans="1:13" x14ac:dyDescent="0.2">
      <c r="A342" s="4" t="s">
        <v>526</v>
      </c>
      <c r="B342">
        <v>341</v>
      </c>
      <c r="C342" s="4" t="s">
        <v>26</v>
      </c>
      <c r="D342" s="4" t="s">
        <v>44</v>
      </c>
      <c r="E342" s="4" t="s">
        <v>47</v>
      </c>
      <c r="F342" s="4" t="s">
        <v>1834</v>
      </c>
      <c r="G342">
        <v>12</v>
      </c>
      <c r="H342">
        <v>57</v>
      </c>
      <c r="I342" s="4" t="s">
        <v>114</v>
      </c>
      <c r="J342" s="4" t="s">
        <v>131</v>
      </c>
      <c r="K342" s="4" t="s">
        <v>132</v>
      </c>
      <c r="L342" s="4" t="s">
        <v>158</v>
      </c>
      <c r="M342">
        <v>143</v>
      </c>
    </row>
    <row r="343" spans="1:13" x14ac:dyDescent="0.2">
      <c r="A343" s="4" t="s">
        <v>527</v>
      </c>
      <c r="B343">
        <v>342</v>
      </c>
      <c r="C343" s="4" t="s">
        <v>26</v>
      </c>
      <c r="D343" s="4" t="s">
        <v>44</v>
      </c>
      <c r="E343" s="4" t="s">
        <v>47</v>
      </c>
      <c r="F343" s="4" t="s">
        <v>1834</v>
      </c>
      <c r="G343">
        <v>12</v>
      </c>
      <c r="H343">
        <v>57</v>
      </c>
      <c r="I343" s="4" t="s">
        <v>112</v>
      </c>
      <c r="J343" s="4" t="s">
        <v>131</v>
      </c>
      <c r="K343" s="4" t="s">
        <v>132</v>
      </c>
      <c r="L343" s="4" t="s">
        <v>158</v>
      </c>
      <c r="M343">
        <v>92</v>
      </c>
    </row>
    <row r="344" spans="1:13" x14ac:dyDescent="0.2">
      <c r="A344" s="4" t="s">
        <v>528</v>
      </c>
      <c r="B344">
        <v>343</v>
      </c>
      <c r="C344" s="4" t="s">
        <v>26</v>
      </c>
      <c r="D344" s="4" t="s">
        <v>44</v>
      </c>
      <c r="E344" s="4" t="s">
        <v>47</v>
      </c>
      <c r="F344" s="4" t="s">
        <v>1834</v>
      </c>
      <c r="G344">
        <v>12</v>
      </c>
      <c r="H344">
        <v>57</v>
      </c>
      <c r="I344" s="4" t="s">
        <v>116</v>
      </c>
      <c r="J344" s="4" t="s">
        <v>131</v>
      </c>
      <c r="K344" s="4" t="s">
        <v>132</v>
      </c>
      <c r="L344" s="4" t="s">
        <v>158</v>
      </c>
      <c r="M344">
        <v>39</v>
      </c>
    </row>
    <row r="345" spans="1:13" x14ac:dyDescent="0.2">
      <c r="A345" s="4" t="s">
        <v>529</v>
      </c>
      <c r="B345">
        <v>344</v>
      </c>
      <c r="C345" s="4" t="s">
        <v>26</v>
      </c>
      <c r="D345" s="4" t="s">
        <v>44</v>
      </c>
      <c r="E345" s="4" t="s">
        <v>47</v>
      </c>
      <c r="F345" s="4" t="s">
        <v>1834</v>
      </c>
      <c r="G345">
        <v>12</v>
      </c>
      <c r="H345">
        <v>57</v>
      </c>
      <c r="I345" s="4" t="s">
        <v>114</v>
      </c>
      <c r="J345" s="4" t="s">
        <v>133</v>
      </c>
      <c r="K345" s="4" t="s">
        <v>134</v>
      </c>
      <c r="L345" s="4" t="s">
        <v>158</v>
      </c>
      <c r="M345">
        <v>19</v>
      </c>
    </row>
    <row r="346" spans="1:13" x14ac:dyDescent="0.2">
      <c r="A346" s="4" t="s">
        <v>530</v>
      </c>
      <c r="B346">
        <v>345</v>
      </c>
      <c r="C346" s="4" t="s">
        <v>26</v>
      </c>
      <c r="D346" s="4" t="s">
        <v>44</v>
      </c>
      <c r="E346" s="4" t="s">
        <v>47</v>
      </c>
      <c r="F346" s="4" t="s">
        <v>1834</v>
      </c>
      <c r="G346">
        <v>12</v>
      </c>
      <c r="H346">
        <v>57</v>
      </c>
      <c r="I346" s="4" t="s">
        <v>112</v>
      </c>
      <c r="J346" s="4" t="s">
        <v>133</v>
      </c>
      <c r="K346" s="4" t="s">
        <v>134</v>
      </c>
      <c r="L346" s="4" t="s">
        <v>158</v>
      </c>
      <c r="M346">
        <v>18</v>
      </c>
    </row>
    <row r="347" spans="1:13" x14ac:dyDescent="0.2">
      <c r="A347" s="4" t="s">
        <v>531</v>
      </c>
      <c r="B347">
        <v>346</v>
      </c>
      <c r="C347" s="4" t="s">
        <v>26</v>
      </c>
      <c r="D347" s="4" t="s">
        <v>44</v>
      </c>
      <c r="E347" s="4" t="s">
        <v>47</v>
      </c>
      <c r="F347" s="4" t="s">
        <v>1834</v>
      </c>
      <c r="G347">
        <v>12</v>
      </c>
      <c r="H347">
        <v>57</v>
      </c>
      <c r="I347" s="4" t="s">
        <v>116</v>
      </c>
      <c r="J347" s="4" t="s">
        <v>133</v>
      </c>
      <c r="K347" s="4" t="s">
        <v>134</v>
      </c>
      <c r="L347" s="4" t="s">
        <v>158</v>
      </c>
      <c r="M347">
        <v>6</v>
      </c>
    </row>
    <row r="348" spans="1:13" x14ac:dyDescent="0.2">
      <c r="A348" s="4" t="s">
        <v>532</v>
      </c>
      <c r="B348">
        <v>347</v>
      </c>
      <c r="C348" s="4" t="s">
        <v>26</v>
      </c>
      <c r="D348" s="4" t="s">
        <v>44</v>
      </c>
      <c r="E348" s="4" t="s">
        <v>56</v>
      </c>
      <c r="F348" s="4" t="s">
        <v>1922</v>
      </c>
      <c r="G348">
        <v>12</v>
      </c>
      <c r="H348">
        <v>60</v>
      </c>
      <c r="I348" s="4" t="s">
        <v>114</v>
      </c>
      <c r="J348" s="4" t="s">
        <v>122</v>
      </c>
      <c r="K348" s="4" t="s">
        <v>123</v>
      </c>
      <c r="L348" s="4" t="s">
        <v>158</v>
      </c>
      <c r="M348">
        <v>43</v>
      </c>
    </row>
    <row r="349" spans="1:13" x14ac:dyDescent="0.2">
      <c r="A349" s="4" t="s">
        <v>533</v>
      </c>
      <c r="B349">
        <v>348</v>
      </c>
      <c r="C349" s="4" t="s">
        <v>26</v>
      </c>
      <c r="D349" s="4" t="s">
        <v>44</v>
      </c>
      <c r="E349" s="4" t="s">
        <v>56</v>
      </c>
      <c r="F349" s="4" t="s">
        <v>1922</v>
      </c>
      <c r="G349">
        <v>12</v>
      </c>
      <c r="H349">
        <v>60</v>
      </c>
      <c r="I349" s="4" t="s">
        <v>112</v>
      </c>
      <c r="J349" s="4" t="s">
        <v>122</v>
      </c>
      <c r="K349" s="4" t="s">
        <v>123</v>
      </c>
      <c r="L349" s="4" t="s">
        <v>158</v>
      </c>
      <c r="M349">
        <v>143</v>
      </c>
    </row>
    <row r="350" spans="1:13" x14ac:dyDescent="0.2">
      <c r="A350" s="4" t="s">
        <v>534</v>
      </c>
      <c r="B350">
        <v>349</v>
      </c>
      <c r="C350" s="4" t="s">
        <v>26</v>
      </c>
      <c r="D350" s="4" t="s">
        <v>44</v>
      </c>
      <c r="E350" s="4" t="s">
        <v>56</v>
      </c>
      <c r="F350" s="4" t="s">
        <v>1922</v>
      </c>
      <c r="G350">
        <v>12</v>
      </c>
      <c r="H350">
        <v>60</v>
      </c>
      <c r="I350" s="4" t="s">
        <v>116</v>
      </c>
      <c r="J350" s="4" t="s">
        <v>122</v>
      </c>
      <c r="K350" s="4" t="s">
        <v>123</v>
      </c>
      <c r="L350" s="4" t="s">
        <v>158</v>
      </c>
      <c r="M350">
        <v>86</v>
      </c>
    </row>
    <row r="351" spans="1:13" x14ac:dyDescent="0.2">
      <c r="A351" s="4" t="s">
        <v>535</v>
      </c>
      <c r="B351">
        <v>350</v>
      </c>
      <c r="C351" s="4" t="s">
        <v>26</v>
      </c>
      <c r="D351" s="4" t="s">
        <v>44</v>
      </c>
      <c r="E351" s="4" t="s">
        <v>56</v>
      </c>
      <c r="F351" s="4" t="s">
        <v>1922</v>
      </c>
      <c r="G351">
        <v>12</v>
      </c>
      <c r="H351">
        <v>60</v>
      </c>
      <c r="I351" s="4" t="s">
        <v>112</v>
      </c>
      <c r="J351" s="4" t="s">
        <v>125</v>
      </c>
      <c r="K351" s="4" t="s">
        <v>126</v>
      </c>
      <c r="L351" s="4" t="s">
        <v>158</v>
      </c>
      <c r="M351">
        <v>30</v>
      </c>
    </row>
    <row r="352" spans="1:13" x14ac:dyDescent="0.2">
      <c r="A352" s="4" t="s">
        <v>536</v>
      </c>
      <c r="B352">
        <v>351</v>
      </c>
      <c r="C352" s="4" t="s">
        <v>26</v>
      </c>
      <c r="D352" s="4" t="s">
        <v>44</v>
      </c>
      <c r="E352" s="4" t="s">
        <v>56</v>
      </c>
      <c r="F352" s="4" t="s">
        <v>1922</v>
      </c>
      <c r="G352">
        <v>12</v>
      </c>
      <c r="H352">
        <v>60</v>
      </c>
      <c r="I352" s="4" t="s">
        <v>116</v>
      </c>
      <c r="J352" s="4" t="s">
        <v>129</v>
      </c>
      <c r="K352" s="4" t="s">
        <v>130</v>
      </c>
      <c r="L352" s="4" t="s">
        <v>158</v>
      </c>
      <c r="M352">
        <v>4</v>
      </c>
    </row>
    <row r="353" spans="1:13" x14ac:dyDescent="0.2">
      <c r="A353" s="4" t="s">
        <v>537</v>
      </c>
      <c r="B353">
        <v>352</v>
      </c>
      <c r="C353" s="4" t="s">
        <v>26</v>
      </c>
      <c r="D353" s="4" t="s">
        <v>44</v>
      </c>
      <c r="E353" s="4" t="s">
        <v>56</v>
      </c>
      <c r="F353" s="4" t="s">
        <v>1922</v>
      </c>
      <c r="G353">
        <v>12</v>
      </c>
      <c r="H353">
        <v>60</v>
      </c>
      <c r="I353" s="4" t="s">
        <v>112</v>
      </c>
      <c r="J353" s="4" t="s">
        <v>129</v>
      </c>
      <c r="K353" s="4" t="s">
        <v>130</v>
      </c>
      <c r="L353" s="4" t="s">
        <v>158</v>
      </c>
      <c r="M353">
        <v>1</v>
      </c>
    </row>
    <row r="354" spans="1:13" x14ac:dyDescent="0.2">
      <c r="A354" s="4" t="s">
        <v>538</v>
      </c>
      <c r="B354">
        <v>353</v>
      </c>
      <c r="C354" s="4" t="s">
        <v>26</v>
      </c>
      <c r="D354" s="4" t="s">
        <v>44</v>
      </c>
      <c r="E354" s="4" t="s">
        <v>56</v>
      </c>
      <c r="F354" s="4" t="s">
        <v>1922</v>
      </c>
      <c r="G354">
        <v>12</v>
      </c>
      <c r="H354">
        <v>60</v>
      </c>
      <c r="I354" s="4" t="s">
        <v>114</v>
      </c>
      <c r="J354" s="4" t="s">
        <v>129</v>
      </c>
      <c r="K354" s="4" t="s">
        <v>130</v>
      </c>
      <c r="L354" s="4" t="s">
        <v>158</v>
      </c>
      <c r="M354">
        <v>6</v>
      </c>
    </row>
    <row r="355" spans="1:13" x14ac:dyDescent="0.2">
      <c r="A355" s="4" t="s">
        <v>539</v>
      </c>
      <c r="B355">
        <v>354</v>
      </c>
      <c r="C355" s="4" t="s">
        <v>26</v>
      </c>
      <c r="D355" s="4" t="s">
        <v>44</v>
      </c>
      <c r="E355" s="4" t="s">
        <v>56</v>
      </c>
      <c r="F355" s="4" t="s">
        <v>1922</v>
      </c>
      <c r="G355">
        <v>12</v>
      </c>
      <c r="H355">
        <v>60</v>
      </c>
      <c r="I355" s="4" t="s">
        <v>114</v>
      </c>
      <c r="J355" s="4" t="s">
        <v>131</v>
      </c>
      <c r="K355" s="4" t="s">
        <v>132</v>
      </c>
      <c r="L355" s="4" t="s">
        <v>158</v>
      </c>
      <c r="M355">
        <v>14</v>
      </c>
    </row>
    <row r="356" spans="1:13" x14ac:dyDescent="0.2">
      <c r="A356" s="4" t="s">
        <v>540</v>
      </c>
      <c r="B356">
        <v>355</v>
      </c>
      <c r="C356" s="4" t="s">
        <v>26</v>
      </c>
      <c r="D356" s="4" t="s">
        <v>44</v>
      </c>
      <c r="E356" s="4" t="s">
        <v>56</v>
      </c>
      <c r="F356" s="4" t="s">
        <v>1922</v>
      </c>
      <c r="G356">
        <v>12</v>
      </c>
      <c r="H356">
        <v>60</v>
      </c>
      <c r="I356" s="4" t="s">
        <v>112</v>
      </c>
      <c r="J356" s="4" t="s">
        <v>131</v>
      </c>
      <c r="K356" s="4" t="s">
        <v>132</v>
      </c>
      <c r="L356" s="4" t="s">
        <v>158</v>
      </c>
      <c r="M356">
        <v>13</v>
      </c>
    </row>
    <row r="357" spans="1:13" x14ac:dyDescent="0.2">
      <c r="A357" s="4" t="s">
        <v>541</v>
      </c>
      <c r="B357">
        <v>356</v>
      </c>
      <c r="C357" s="4" t="s">
        <v>26</v>
      </c>
      <c r="D357" s="4" t="s">
        <v>47</v>
      </c>
      <c r="E357" s="4" t="s">
        <v>27</v>
      </c>
      <c r="F357" s="4" t="s">
        <v>1953</v>
      </c>
      <c r="G357">
        <v>13</v>
      </c>
      <c r="H357">
        <v>61</v>
      </c>
      <c r="I357" s="4" t="s">
        <v>114</v>
      </c>
      <c r="J357" s="4" t="s">
        <v>122</v>
      </c>
      <c r="K357" s="4" t="s">
        <v>123</v>
      </c>
      <c r="L357" s="4" t="s">
        <v>158</v>
      </c>
      <c r="M357">
        <v>33</v>
      </c>
    </row>
    <row r="358" spans="1:13" x14ac:dyDescent="0.2">
      <c r="A358" s="4" t="s">
        <v>542</v>
      </c>
      <c r="B358">
        <v>357</v>
      </c>
      <c r="C358" s="4" t="s">
        <v>26</v>
      </c>
      <c r="D358" s="4" t="s">
        <v>47</v>
      </c>
      <c r="E358" s="4" t="s">
        <v>27</v>
      </c>
      <c r="F358" s="4" t="s">
        <v>1953</v>
      </c>
      <c r="G358">
        <v>13</v>
      </c>
      <c r="H358">
        <v>61</v>
      </c>
      <c r="I358" s="4" t="s">
        <v>112</v>
      </c>
      <c r="J358" s="4" t="s">
        <v>122</v>
      </c>
      <c r="K358" s="4" t="s">
        <v>123</v>
      </c>
      <c r="L358" s="4" t="s">
        <v>158</v>
      </c>
      <c r="M358">
        <v>251</v>
      </c>
    </row>
    <row r="359" spans="1:13" x14ac:dyDescent="0.2">
      <c r="A359" s="4" t="s">
        <v>543</v>
      </c>
      <c r="B359">
        <v>358</v>
      </c>
      <c r="C359" s="4" t="s">
        <v>26</v>
      </c>
      <c r="D359" s="4" t="s">
        <v>47</v>
      </c>
      <c r="E359" s="4" t="s">
        <v>27</v>
      </c>
      <c r="F359" s="4" t="s">
        <v>1953</v>
      </c>
      <c r="G359">
        <v>13</v>
      </c>
      <c r="H359">
        <v>61</v>
      </c>
      <c r="I359" s="4" t="s">
        <v>116</v>
      </c>
      <c r="J359" s="4" t="s">
        <v>122</v>
      </c>
      <c r="K359" s="4" t="s">
        <v>123</v>
      </c>
      <c r="L359" s="4" t="s">
        <v>158</v>
      </c>
      <c r="M359">
        <v>64</v>
      </c>
    </row>
    <row r="360" spans="1:13" x14ac:dyDescent="0.2">
      <c r="A360" s="4" t="s">
        <v>544</v>
      </c>
      <c r="B360">
        <v>359</v>
      </c>
      <c r="C360" s="4" t="s">
        <v>26</v>
      </c>
      <c r="D360" s="4" t="s">
        <v>47</v>
      </c>
      <c r="E360" s="4" t="s">
        <v>27</v>
      </c>
      <c r="F360" s="4" t="s">
        <v>1953</v>
      </c>
      <c r="G360">
        <v>13</v>
      </c>
      <c r="H360">
        <v>61</v>
      </c>
      <c r="I360" s="4" t="s">
        <v>114</v>
      </c>
      <c r="J360" s="4" t="s">
        <v>125</v>
      </c>
      <c r="K360" s="4" t="s">
        <v>126</v>
      </c>
      <c r="L360" s="4" t="s">
        <v>158</v>
      </c>
      <c r="M360">
        <v>23</v>
      </c>
    </row>
    <row r="361" spans="1:13" x14ac:dyDescent="0.2">
      <c r="A361" s="4" t="s">
        <v>545</v>
      </c>
      <c r="B361">
        <v>360</v>
      </c>
      <c r="C361" s="4" t="s">
        <v>26</v>
      </c>
      <c r="D361" s="4" t="s">
        <v>47</v>
      </c>
      <c r="E361" s="4" t="s">
        <v>27</v>
      </c>
      <c r="F361" s="4" t="s">
        <v>1953</v>
      </c>
      <c r="G361">
        <v>13</v>
      </c>
      <c r="H361">
        <v>61</v>
      </c>
      <c r="I361" s="4" t="s">
        <v>116</v>
      </c>
      <c r="J361" s="4" t="s">
        <v>127</v>
      </c>
      <c r="K361" s="4" t="s">
        <v>128</v>
      </c>
      <c r="L361" s="4" t="s">
        <v>158</v>
      </c>
      <c r="M361">
        <v>47</v>
      </c>
    </row>
    <row r="362" spans="1:13" x14ac:dyDescent="0.2">
      <c r="A362" s="4" t="s">
        <v>546</v>
      </c>
      <c r="B362">
        <v>361</v>
      </c>
      <c r="C362" s="4" t="s">
        <v>26</v>
      </c>
      <c r="D362" s="4" t="s">
        <v>47</v>
      </c>
      <c r="E362" s="4" t="s">
        <v>27</v>
      </c>
      <c r="F362" s="4" t="s">
        <v>1953</v>
      </c>
      <c r="G362">
        <v>13</v>
      </c>
      <c r="H362">
        <v>61</v>
      </c>
      <c r="I362" s="4" t="s">
        <v>112</v>
      </c>
      <c r="J362" s="4" t="s">
        <v>127</v>
      </c>
      <c r="K362" s="4" t="s">
        <v>128</v>
      </c>
      <c r="L362" s="4" t="s">
        <v>158</v>
      </c>
      <c r="M362">
        <v>350</v>
      </c>
    </row>
    <row r="363" spans="1:13" x14ac:dyDescent="0.2">
      <c r="A363" s="4" t="s">
        <v>547</v>
      </c>
      <c r="B363">
        <v>362</v>
      </c>
      <c r="C363" s="4" t="s">
        <v>26</v>
      </c>
      <c r="D363" s="4" t="s">
        <v>47</v>
      </c>
      <c r="E363" s="4" t="s">
        <v>27</v>
      </c>
      <c r="F363" s="4" t="s">
        <v>1953</v>
      </c>
      <c r="G363">
        <v>13</v>
      </c>
      <c r="H363">
        <v>61</v>
      </c>
      <c r="I363" s="4" t="s">
        <v>114</v>
      </c>
      <c r="J363" s="4" t="s">
        <v>127</v>
      </c>
      <c r="K363" s="4" t="s">
        <v>128</v>
      </c>
      <c r="L363" s="4" t="s">
        <v>158</v>
      </c>
      <c r="M363">
        <v>66</v>
      </c>
    </row>
    <row r="364" spans="1:13" x14ac:dyDescent="0.2">
      <c r="A364" s="4" t="s">
        <v>548</v>
      </c>
      <c r="B364">
        <v>363</v>
      </c>
      <c r="C364" s="4" t="s">
        <v>26</v>
      </c>
      <c r="D364" s="4" t="s">
        <v>47</v>
      </c>
      <c r="E364" s="4" t="s">
        <v>27</v>
      </c>
      <c r="F364" s="4" t="s">
        <v>1953</v>
      </c>
      <c r="G364">
        <v>13</v>
      </c>
      <c r="H364">
        <v>61</v>
      </c>
      <c r="I364" s="4" t="s">
        <v>114</v>
      </c>
      <c r="J364" s="4" t="s">
        <v>129</v>
      </c>
      <c r="K364" s="4" t="s">
        <v>130</v>
      </c>
      <c r="L364" s="4" t="s">
        <v>158</v>
      </c>
      <c r="M364">
        <v>29</v>
      </c>
    </row>
    <row r="365" spans="1:13" x14ac:dyDescent="0.2">
      <c r="A365" s="4" t="s">
        <v>549</v>
      </c>
      <c r="B365">
        <v>364</v>
      </c>
      <c r="C365" s="4" t="s">
        <v>26</v>
      </c>
      <c r="D365" s="4" t="s">
        <v>47</v>
      </c>
      <c r="E365" s="4" t="s">
        <v>27</v>
      </c>
      <c r="F365" s="4" t="s">
        <v>1953</v>
      </c>
      <c r="G365">
        <v>13</v>
      </c>
      <c r="H365">
        <v>61</v>
      </c>
      <c r="I365" s="4" t="s">
        <v>112</v>
      </c>
      <c r="J365" s="4" t="s">
        <v>129</v>
      </c>
      <c r="K365" s="4" t="s">
        <v>130</v>
      </c>
      <c r="L365" s="4" t="s">
        <v>158</v>
      </c>
      <c r="M365">
        <v>30</v>
      </c>
    </row>
    <row r="366" spans="1:13" x14ac:dyDescent="0.2">
      <c r="A366" s="4" t="s">
        <v>550</v>
      </c>
      <c r="B366">
        <v>365</v>
      </c>
      <c r="C366" s="4" t="s">
        <v>26</v>
      </c>
      <c r="D366" s="4" t="s">
        <v>47</v>
      </c>
      <c r="E366" s="4" t="s">
        <v>27</v>
      </c>
      <c r="F366" s="4" t="s">
        <v>1953</v>
      </c>
      <c r="G366">
        <v>13</v>
      </c>
      <c r="H366">
        <v>61</v>
      </c>
      <c r="I366" s="4" t="s">
        <v>116</v>
      </c>
      <c r="J366" s="4" t="s">
        <v>129</v>
      </c>
      <c r="K366" s="4" t="s">
        <v>130</v>
      </c>
      <c r="L366" s="4" t="s">
        <v>158</v>
      </c>
      <c r="M366">
        <v>31</v>
      </c>
    </row>
    <row r="367" spans="1:13" x14ac:dyDescent="0.2">
      <c r="A367" s="4" t="s">
        <v>551</v>
      </c>
      <c r="B367">
        <v>366</v>
      </c>
      <c r="C367" s="4" t="s">
        <v>26</v>
      </c>
      <c r="D367" s="4" t="s">
        <v>47</v>
      </c>
      <c r="E367" s="4" t="s">
        <v>27</v>
      </c>
      <c r="F367" s="4" t="s">
        <v>1953</v>
      </c>
      <c r="G367">
        <v>13</v>
      </c>
      <c r="H367">
        <v>61</v>
      </c>
      <c r="I367" s="4" t="s">
        <v>114</v>
      </c>
      <c r="J367" s="4" t="s">
        <v>131</v>
      </c>
      <c r="K367" s="4" t="s">
        <v>132</v>
      </c>
      <c r="L367" s="4" t="s">
        <v>158</v>
      </c>
      <c r="M367">
        <v>56</v>
      </c>
    </row>
    <row r="368" spans="1:13" x14ac:dyDescent="0.2">
      <c r="A368" s="4" t="s">
        <v>552</v>
      </c>
      <c r="B368">
        <v>367</v>
      </c>
      <c r="C368" s="4" t="s">
        <v>26</v>
      </c>
      <c r="D368" s="4" t="s">
        <v>47</v>
      </c>
      <c r="E368" s="4" t="s">
        <v>27</v>
      </c>
      <c r="F368" s="4" t="s">
        <v>1953</v>
      </c>
      <c r="G368">
        <v>13</v>
      </c>
      <c r="H368">
        <v>61</v>
      </c>
      <c r="I368" s="4" t="s">
        <v>112</v>
      </c>
      <c r="J368" s="4" t="s">
        <v>131</v>
      </c>
      <c r="K368" s="4" t="s">
        <v>132</v>
      </c>
      <c r="L368" s="4" t="s">
        <v>158</v>
      </c>
      <c r="M368">
        <v>63</v>
      </c>
    </row>
    <row r="369" spans="1:13" x14ac:dyDescent="0.2">
      <c r="A369" s="4" t="s">
        <v>553</v>
      </c>
      <c r="B369">
        <v>368</v>
      </c>
      <c r="C369" s="4" t="s">
        <v>26</v>
      </c>
      <c r="D369" s="4" t="s">
        <v>47</v>
      </c>
      <c r="E369" s="4" t="s">
        <v>27</v>
      </c>
      <c r="F369" s="4" t="s">
        <v>1953</v>
      </c>
      <c r="G369">
        <v>13</v>
      </c>
      <c r="H369">
        <v>61</v>
      </c>
      <c r="I369" s="4" t="s">
        <v>116</v>
      </c>
      <c r="J369" s="4" t="s">
        <v>131</v>
      </c>
      <c r="K369" s="4" t="s">
        <v>132</v>
      </c>
      <c r="L369" s="4" t="s">
        <v>158</v>
      </c>
      <c r="M369">
        <v>31</v>
      </c>
    </row>
    <row r="370" spans="1:13" x14ac:dyDescent="0.2">
      <c r="A370" s="4" t="s">
        <v>554</v>
      </c>
      <c r="B370">
        <v>369</v>
      </c>
      <c r="C370" s="4" t="s">
        <v>26</v>
      </c>
      <c r="D370" s="4" t="s">
        <v>47</v>
      </c>
      <c r="E370" s="4" t="s">
        <v>27</v>
      </c>
      <c r="F370" s="4" t="s">
        <v>1953</v>
      </c>
      <c r="G370">
        <v>13</v>
      </c>
      <c r="H370">
        <v>61</v>
      </c>
      <c r="I370" s="4" t="s">
        <v>116</v>
      </c>
      <c r="J370" s="4" t="s">
        <v>133</v>
      </c>
      <c r="K370" s="4" t="s">
        <v>134</v>
      </c>
      <c r="L370" s="4" t="s">
        <v>158</v>
      </c>
      <c r="M370">
        <v>50</v>
      </c>
    </row>
    <row r="371" spans="1:13" x14ac:dyDescent="0.2">
      <c r="A371" s="4" t="s">
        <v>555</v>
      </c>
      <c r="B371">
        <v>370</v>
      </c>
      <c r="C371" s="4" t="s">
        <v>26</v>
      </c>
      <c r="D371" s="4" t="s">
        <v>47</v>
      </c>
      <c r="E371" s="4" t="s">
        <v>27</v>
      </c>
      <c r="F371" s="4" t="s">
        <v>1953</v>
      </c>
      <c r="G371">
        <v>13</v>
      </c>
      <c r="H371">
        <v>61</v>
      </c>
      <c r="I371" s="4" t="s">
        <v>112</v>
      </c>
      <c r="J371" s="4" t="s">
        <v>133</v>
      </c>
      <c r="K371" s="4" t="s">
        <v>134</v>
      </c>
      <c r="L371" s="4" t="s">
        <v>158</v>
      </c>
      <c r="M371">
        <v>75</v>
      </c>
    </row>
    <row r="372" spans="1:13" x14ac:dyDescent="0.2">
      <c r="A372" s="4" t="s">
        <v>556</v>
      </c>
      <c r="B372">
        <v>371</v>
      </c>
      <c r="C372" s="4" t="s">
        <v>26</v>
      </c>
      <c r="D372" s="4" t="s">
        <v>47</v>
      </c>
      <c r="E372" s="4" t="s">
        <v>27</v>
      </c>
      <c r="F372" s="4" t="s">
        <v>1953</v>
      </c>
      <c r="G372">
        <v>13</v>
      </c>
      <c r="H372">
        <v>61</v>
      </c>
      <c r="I372" s="4" t="s">
        <v>114</v>
      </c>
      <c r="J372" s="4" t="s">
        <v>133</v>
      </c>
      <c r="K372" s="4" t="s">
        <v>134</v>
      </c>
      <c r="L372" s="4" t="s">
        <v>158</v>
      </c>
      <c r="M372">
        <v>31</v>
      </c>
    </row>
    <row r="373" spans="1:13" x14ac:dyDescent="0.2">
      <c r="A373" s="4" t="s">
        <v>557</v>
      </c>
      <c r="B373">
        <v>372</v>
      </c>
      <c r="C373" s="4" t="s">
        <v>26</v>
      </c>
      <c r="D373" s="4" t="s">
        <v>47</v>
      </c>
      <c r="E373" s="4" t="s">
        <v>38</v>
      </c>
      <c r="F373" s="4" t="s">
        <v>2042</v>
      </c>
      <c r="G373">
        <v>13</v>
      </c>
      <c r="H373">
        <v>64</v>
      </c>
      <c r="I373" s="4" t="s">
        <v>114</v>
      </c>
      <c r="J373" s="4" t="s">
        <v>122</v>
      </c>
      <c r="K373" s="4" t="s">
        <v>123</v>
      </c>
      <c r="L373" s="4" t="s">
        <v>158</v>
      </c>
      <c r="M373">
        <v>15</v>
      </c>
    </row>
    <row r="374" spans="1:13" x14ac:dyDescent="0.2">
      <c r="A374" s="4" t="s">
        <v>558</v>
      </c>
      <c r="B374">
        <v>373</v>
      </c>
      <c r="C374" s="4" t="s">
        <v>26</v>
      </c>
      <c r="D374" s="4" t="s">
        <v>47</v>
      </c>
      <c r="E374" s="4" t="s">
        <v>38</v>
      </c>
      <c r="F374" s="4" t="s">
        <v>2042</v>
      </c>
      <c r="G374">
        <v>13</v>
      </c>
      <c r="H374">
        <v>64</v>
      </c>
      <c r="I374" s="4" t="s">
        <v>112</v>
      </c>
      <c r="J374" s="4" t="s">
        <v>122</v>
      </c>
      <c r="K374" s="4" t="s">
        <v>123</v>
      </c>
      <c r="L374" s="4" t="s">
        <v>158</v>
      </c>
      <c r="M374">
        <v>77</v>
      </c>
    </row>
    <row r="375" spans="1:13" x14ac:dyDescent="0.2">
      <c r="A375" s="4" t="s">
        <v>559</v>
      </c>
      <c r="B375">
        <v>374</v>
      </c>
      <c r="C375" s="4" t="s">
        <v>26</v>
      </c>
      <c r="D375" s="4" t="s">
        <v>47</v>
      </c>
      <c r="E375" s="4" t="s">
        <v>38</v>
      </c>
      <c r="F375" s="4" t="s">
        <v>2042</v>
      </c>
      <c r="G375">
        <v>13</v>
      </c>
      <c r="H375">
        <v>64</v>
      </c>
      <c r="I375" s="4" t="s">
        <v>116</v>
      </c>
      <c r="J375" s="4" t="s">
        <v>122</v>
      </c>
      <c r="K375" s="4" t="s">
        <v>123</v>
      </c>
      <c r="L375" s="4" t="s">
        <v>158</v>
      </c>
      <c r="M375">
        <v>12</v>
      </c>
    </row>
    <row r="376" spans="1:13" x14ac:dyDescent="0.2">
      <c r="A376" s="4" t="s">
        <v>560</v>
      </c>
      <c r="B376">
        <v>375</v>
      </c>
      <c r="C376" s="4" t="s">
        <v>26</v>
      </c>
      <c r="D376" s="4" t="s">
        <v>47</v>
      </c>
      <c r="E376" s="4" t="s">
        <v>38</v>
      </c>
      <c r="F376" s="4" t="s">
        <v>2042</v>
      </c>
      <c r="G376">
        <v>13</v>
      </c>
      <c r="H376">
        <v>64</v>
      </c>
      <c r="I376" s="4" t="s">
        <v>114</v>
      </c>
      <c r="J376" s="4" t="s">
        <v>125</v>
      </c>
      <c r="K376" s="4" t="s">
        <v>126</v>
      </c>
      <c r="L376" s="4" t="s">
        <v>158</v>
      </c>
      <c r="M376">
        <v>15</v>
      </c>
    </row>
    <row r="377" spans="1:13" x14ac:dyDescent="0.2">
      <c r="A377" s="4" t="s">
        <v>561</v>
      </c>
      <c r="B377">
        <v>376</v>
      </c>
      <c r="C377" s="4" t="s">
        <v>26</v>
      </c>
      <c r="D377" s="4" t="s">
        <v>47</v>
      </c>
      <c r="E377" s="4" t="s">
        <v>38</v>
      </c>
      <c r="F377" s="4" t="s">
        <v>2042</v>
      </c>
      <c r="G377">
        <v>13</v>
      </c>
      <c r="H377">
        <v>64</v>
      </c>
      <c r="I377" s="4" t="s">
        <v>112</v>
      </c>
      <c r="J377" s="4" t="s">
        <v>125</v>
      </c>
      <c r="K377" s="4" t="s">
        <v>126</v>
      </c>
      <c r="L377" s="4" t="s">
        <v>158</v>
      </c>
      <c r="M377">
        <v>7</v>
      </c>
    </row>
    <row r="378" spans="1:13" x14ac:dyDescent="0.2">
      <c r="A378" s="4" t="s">
        <v>562</v>
      </c>
      <c r="B378">
        <v>377</v>
      </c>
      <c r="C378" s="4" t="s">
        <v>26</v>
      </c>
      <c r="D378" s="4" t="s">
        <v>47</v>
      </c>
      <c r="E378" s="4" t="s">
        <v>38</v>
      </c>
      <c r="F378" s="4" t="s">
        <v>2042</v>
      </c>
      <c r="G378">
        <v>13</v>
      </c>
      <c r="H378">
        <v>64</v>
      </c>
      <c r="I378" s="4" t="s">
        <v>114</v>
      </c>
      <c r="J378" s="4" t="s">
        <v>127</v>
      </c>
      <c r="K378" s="4" t="s">
        <v>128</v>
      </c>
      <c r="L378" s="4" t="s">
        <v>158</v>
      </c>
      <c r="M378">
        <v>69</v>
      </c>
    </row>
    <row r="379" spans="1:13" x14ac:dyDescent="0.2">
      <c r="A379" s="4" t="s">
        <v>563</v>
      </c>
      <c r="B379">
        <v>378</v>
      </c>
      <c r="C379" s="4" t="s">
        <v>26</v>
      </c>
      <c r="D379" s="4" t="s">
        <v>47</v>
      </c>
      <c r="E379" s="4" t="s">
        <v>38</v>
      </c>
      <c r="F379" s="4" t="s">
        <v>2042</v>
      </c>
      <c r="G379">
        <v>13</v>
      </c>
      <c r="H379">
        <v>64</v>
      </c>
      <c r="I379" s="4" t="s">
        <v>112</v>
      </c>
      <c r="J379" s="4" t="s">
        <v>127</v>
      </c>
      <c r="K379" s="4" t="s">
        <v>128</v>
      </c>
      <c r="L379" s="4" t="s">
        <v>158</v>
      </c>
      <c r="M379">
        <v>71</v>
      </c>
    </row>
    <row r="380" spans="1:13" x14ac:dyDescent="0.2">
      <c r="A380" s="4" t="s">
        <v>564</v>
      </c>
      <c r="B380">
        <v>379</v>
      </c>
      <c r="C380" s="4" t="s">
        <v>26</v>
      </c>
      <c r="D380" s="4" t="s">
        <v>47</v>
      </c>
      <c r="E380" s="4" t="s">
        <v>38</v>
      </c>
      <c r="F380" s="4" t="s">
        <v>2042</v>
      </c>
      <c r="G380">
        <v>13</v>
      </c>
      <c r="H380">
        <v>64</v>
      </c>
      <c r="I380" s="4" t="s">
        <v>116</v>
      </c>
      <c r="J380" s="4" t="s">
        <v>127</v>
      </c>
      <c r="K380" s="4" t="s">
        <v>128</v>
      </c>
      <c r="L380" s="4" t="s">
        <v>158</v>
      </c>
      <c r="M380">
        <v>19</v>
      </c>
    </row>
    <row r="381" spans="1:13" x14ac:dyDescent="0.2">
      <c r="A381" s="4" t="s">
        <v>565</v>
      </c>
      <c r="B381">
        <v>380</v>
      </c>
      <c r="C381" s="4" t="s">
        <v>26</v>
      </c>
      <c r="D381" s="4" t="s">
        <v>47</v>
      </c>
      <c r="E381" s="4" t="s">
        <v>38</v>
      </c>
      <c r="F381" s="4" t="s">
        <v>2042</v>
      </c>
      <c r="G381">
        <v>13</v>
      </c>
      <c r="H381">
        <v>64</v>
      </c>
      <c r="I381" s="4" t="s">
        <v>116</v>
      </c>
      <c r="J381" s="4" t="s">
        <v>133</v>
      </c>
      <c r="K381" s="4" t="s">
        <v>134</v>
      </c>
      <c r="L381" s="4" t="s">
        <v>158</v>
      </c>
      <c r="M381">
        <v>43</v>
      </c>
    </row>
    <row r="382" spans="1:13" x14ac:dyDescent="0.2">
      <c r="A382" s="4" t="s">
        <v>566</v>
      </c>
      <c r="B382">
        <v>381</v>
      </c>
      <c r="C382" s="4" t="s">
        <v>26</v>
      </c>
      <c r="D382" s="4" t="s">
        <v>47</v>
      </c>
      <c r="E382" s="4" t="s">
        <v>41</v>
      </c>
      <c r="F382" s="4" t="s">
        <v>2073</v>
      </c>
      <c r="G382">
        <v>13</v>
      </c>
      <c r="H382">
        <v>65</v>
      </c>
      <c r="I382" s="4" t="s">
        <v>116</v>
      </c>
      <c r="J382" s="4" t="s">
        <v>122</v>
      </c>
      <c r="K382" s="4" t="s">
        <v>123</v>
      </c>
      <c r="L382" s="4" t="s">
        <v>158</v>
      </c>
      <c r="M382">
        <v>62</v>
      </c>
    </row>
    <row r="383" spans="1:13" x14ac:dyDescent="0.2">
      <c r="A383" s="4" t="s">
        <v>567</v>
      </c>
      <c r="B383">
        <v>382</v>
      </c>
      <c r="C383" s="4" t="s">
        <v>26</v>
      </c>
      <c r="D383" s="4" t="s">
        <v>47</v>
      </c>
      <c r="E383" s="4" t="s">
        <v>41</v>
      </c>
      <c r="F383" s="4" t="s">
        <v>2073</v>
      </c>
      <c r="G383">
        <v>13</v>
      </c>
      <c r="H383">
        <v>65</v>
      </c>
      <c r="I383" s="4" t="s">
        <v>112</v>
      </c>
      <c r="J383" s="4" t="s">
        <v>122</v>
      </c>
      <c r="K383" s="4" t="s">
        <v>123</v>
      </c>
      <c r="L383" s="4" t="s">
        <v>158</v>
      </c>
      <c r="M383">
        <v>362</v>
      </c>
    </row>
    <row r="384" spans="1:13" x14ac:dyDescent="0.2">
      <c r="A384" s="4" t="s">
        <v>568</v>
      </c>
      <c r="B384">
        <v>383</v>
      </c>
      <c r="C384" s="4" t="s">
        <v>26</v>
      </c>
      <c r="D384" s="4" t="s">
        <v>47</v>
      </c>
      <c r="E384" s="4" t="s">
        <v>41</v>
      </c>
      <c r="F384" s="4" t="s">
        <v>2073</v>
      </c>
      <c r="G384">
        <v>13</v>
      </c>
      <c r="H384">
        <v>65</v>
      </c>
      <c r="I384" s="4" t="s">
        <v>114</v>
      </c>
      <c r="J384" s="4" t="s">
        <v>122</v>
      </c>
      <c r="K384" s="4" t="s">
        <v>123</v>
      </c>
      <c r="L384" s="4" t="s">
        <v>158</v>
      </c>
      <c r="M384">
        <v>65</v>
      </c>
    </row>
    <row r="385" spans="1:13" x14ac:dyDescent="0.2">
      <c r="A385" s="4" t="s">
        <v>569</v>
      </c>
      <c r="B385">
        <v>384</v>
      </c>
      <c r="C385" s="4" t="s">
        <v>26</v>
      </c>
      <c r="D385" s="4" t="s">
        <v>47</v>
      </c>
      <c r="E385" s="4" t="s">
        <v>41</v>
      </c>
      <c r="F385" s="4" t="s">
        <v>2073</v>
      </c>
      <c r="G385">
        <v>13</v>
      </c>
      <c r="H385">
        <v>65</v>
      </c>
      <c r="I385" s="4" t="s">
        <v>114</v>
      </c>
      <c r="J385" s="4" t="s">
        <v>125</v>
      </c>
      <c r="K385" s="4" t="s">
        <v>126</v>
      </c>
      <c r="L385" s="4" t="s">
        <v>158</v>
      </c>
      <c r="M385">
        <v>34</v>
      </c>
    </row>
    <row r="386" spans="1:13" x14ac:dyDescent="0.2">
      <c r="A386" s="4" t="s">
        <v>570</v>
      </c>
      <c r="B386">
        <v>385</v>
      </c>
      <c r="C386" s="4" t="s">
        <v>26</v>
      </c>
      <c r="D386" s="4" t="s">
        <v>47</v>
      </c>
      <c r="E386" s="4" t="s">
        <v>41</v>
      </c>
      <c r="F386" s="4" t="s">
        <v>2073</v>
      </c>
      <c r="G386">
        <v>13</v>
      </c>
      <c r="H386">
        <v>65</v>
      </c>
      <c r="I386" s="4" t="s">
        <v>112</v>
      </c>
      <c r="J386" s="4" t="s">
        <v>125</v>
      </c>
      <c r="K386" s="4" t="s">
        <v>126</v>
      </c>
      <c r="L386" s="4" t="s">
        <v>158</v>
      </c>
      <c r="M386">
        <v>15</v>
      </c>
    </row>
    <row r="387" spans="1:13" x14ac:dyDescent="0.2">
      <c r="A387" s="4" t="s">
        <v>571</v>
      </c>
      <c r="B387">
        <v>386</v>
      </c>
      <c r="C387" s="4" t="s">
        <v>26</v>
      </c>
      <c r="D387" s="4" t="s">
        <v>47</v>
      </c>
      <c r="E387" s="4" t="s">
        <v>41</v>
      </c>
      <c r="F387" s="4" t="s">
        <v>2073</v>
      </c>
      <c r="G387">
        <v>13</v>
      </c>
      <c r="H387">
        <v>65</v>
      </c>
      <c r="I387" s="4" t="s">
        <v>114</v>
      </c>
      <c r="J387" s="4" t="s">
        <v>127</v>
      </c>
      <c r="K387" s="4" t="s">
        <v>128</v>
      </c>
      <c r="L387" s="4" t="s">
        <v>158</v>
      </c>
      <c r="M387">
        <v>190</v>
      </c>
    </row>
    <row r="388" spans="1:13" x14ac:dyDescent="0.2">
      <c r="A388" s="4" t="s">
        <v>572</v>
      </c>
      <c r="B388">
        <v>387</v>
      </c>
      <c r="C388" s="4" t="s">
        <v>26</v>
      </c>
      <c r="D388" s="4" t="s">
        <v>47</v>
      </c>
      <c r="E388" s="4" t="s">
        <v>41</v>
      </c>
      <c r="F388" s="4" t="s">
        <v>2073</v>
      </c>
      <c r="G388">
        <v>13</v>
      </c>
      <c r="H388">
        <v>65</v>
      </c>
      <c r="I388" s="4" t="s">
        <v>112</v>
      </c>
      <c r="J388" s="4" t="s">
        <v>127</v>
      </c>
      <c r="K388" s="4" t="s">
        <v>128</v>
      </c>
      <c r="L388" s="4" t="s">
        <v>158</v>
      </c>
      <c r="M388">
        <v>121</v>
      </c>
    </row>
    <row r="389" spans="1:13" x14ac:dyDescent="0.2">
      <c r="A389" s="4" t="s">
        <v>573</v>
      </c>
      <c r="B389">
        <v>388</v>
      </c>
      <c r="C389" s="4" t="s">
        <v>26</v>
      </c>
      <c r="D389" s="4" t="s">
        <v>47</v>
      </c>
      <c r="E389" s="4" t="s">
        <v>41</v>
      </c>
      <c r="F389" s="4" t="s">
        <v>2073</v>
      </c>
      <c r="G389">
        <v>13</v>
      </c>
      <c r="H389">
        <v>65</v>
      </c>
      <c r="I389" s="4" t="s">
        <v>116</v>
      </c>
      <c r="J389" s="4" t="s">
        <v>127</v>
      </c>
      <c r="K389" s="4" t="s">
        <v>128</v>
      </c>
      <c r="L389" s="4" t="s">
        <v>158</v>
      </c>
      <c r="M389">
        <v>34</v>
      </c>
    </row>
    <row r="390" spans="1:13" x14ac:dyDescent="0.2">
      <c r="A390" s="4" t="s">
        <v>574</v>
      </c>
      <c r="B390">
        <v>389</v>
      </c>
      <c r="C390" s="4" t="s">
        <v>26</v>
      </c>
      <c r="D390" s="4" t="s">
        <v>47</v>
      </c>
      <c r="E390" s="4" t="s">
        <v>41</v>
      </c>
      <c r="F390" s="4" t="s">
        <v>2073</v>
      </c>
      <c r="G390">
        <v>13</v>
      </c>
      <c r="H390">
        <v>65</v>
      </c>
      <c r="I390" s="4" t="s">
        <v>116</v>
      </c>
      <c r="J390" s="4" t="s">
        <v>129</v>
      </c>
      <c r="K390" s="4" t="s">
        <v>130</v>
      </c>
      <c r="L390" s="4" t="s">
        <v>158</v>
      </c>
      <c r="M390">
        <v>80</v>
      </c>
    </row>
    <row r="391" spans="1:13" x14ac:dyDescent="0.2">
      <c r="A391" s="4" t="s">
        <v>575</v>
      </c>
      <c r="B391">
        <v>390</v>
      </c>
      <c r="C391" s="4" t="s">
        <v>26</v>
      </c>
      <c r="D391" s="4" t="s">
        <v>47</v>
      </c>
      <c r="E391" s="4" t="s">
        <v>41</v>
      </c>
      <c r="F391" s="4" t="s">
        <v>2073</v>
      </c>
      <c r="G391">
        <v>13</v>
      </c>
      <c r="H391">
        <v>65</v>
      </c>
      <c r="I391" s="4" t="s">
        <v>112</v>
      </c>
      <c r="J391" s="4" t="s">
        <v>129</v>
      </c>
      <c r="K391" s="4" t="s">
        <v>130</v>
      </c>
      <c r="L391" s="4" t="s">
        <v>158</v>
      </c>
      <c r="M391">
        <v>50</v>
      </c>
    </row>
    <row r="392" spans="1:13" x14ac:dyDescent="0.2">
      <c r="A392" s="4" t="s">
        <v>576</v>
      </c>
      <c r="B392">
        <v>391</v>
      </c>
      <c r="C392" s="4" t="s">
        <v>26</v>
      </c>
      <c r="D392" s="4" t="s">
        <v>47</v>
      </c>
      <c r="E392" s="4" t="s">
        <v>41</v>
      </c>
      <c r="F392" s="4" t="s">
        <v>2073</v>
      </c>
      <c r="G392">
        <v>13</v>
      </c>
      <c r="H392">
        <v>65</v>
      </c>
      <c r="I392" s="4" t="s">
        <v>114</v>
      </c>
      <c r="J392" s="4" t="s">
        <v>129</v>
      </c>
      <c r="K392" s="4" t="s">
        <v>130</v>
      </c>
      <c r="L392" s="4" t="s">
        <v>158</v>
      </c>
      <c r="M392">
        <v>15</v>
      </c>
    </row>
    <row r="393" spans="1:13" x14ac:dyDescent="0.2">
      <c r="A393" s="4" t="s">
        <v>577</v>
      </c>
      <c r="B393">
        <v>392</v>
      </c>
      <c r="C393" s="4" t="s">
        <v>26</v>
      </c>
      <c r="D393" s="4" t="s">
        <v>47</v>
      </c>
      <c r="E393" s="4" t="s">
        <v>41</v>
      </c>
      <c r="F393" s="4" t="s">
        <v>2073</v>
      </c>
      <c r="G393">
        <v>13</v>
      </c>
      <c r="H393">
        <v>65</v>
      </c>
      <c r="I393" s="4" t="s">
        <v>114</v>
      </c>
      <c r="J393" s="4" t="s">
        <v>131</v>
      </c>
      <c r="K393" s="4" t="s">
        <v>132</v>
      </c>
      <c r="L393" s="4" t="s">
        <v>158</v>
      </c>
      <c r="M393">
        <v>90</v>
      </c>
    </row>
    <row r="394" spans="1:13" x14ac:dyDescent="0.2">
      <c r="A394" s="4" t="s">
        <v>578</v>
      </c>
      <c r="B394">
        <v>393</v>
      </c>
      <c r="C394" s="4" t="s">
        <v>26</v>
      </c>
      <c r="D394" s="4" t="s">
        <v>47</v>
      </c>
      <c r="E394" s="4" t="s">
        <v>41</v>
      </c>
      <c r="F394" s="4" t="s">
        <v>2073</v>
      </c>
      <c r="G394">
        <v>13</v>
      </c>
      <c r="H394">
        <v>65</v>
      </c>
      <c r="I394" s="4" t="s">
        <v>112</v>
      </c>
      <c r="J394" s="4" t="s">
        <v>131</v>
      </c>
      <c r="K394" s="4" t="s">
        <v>132</v>
      </c>
      <c r="L394" s="4" t="s">
        <v>158</v>
      </c>
      <c r="M394">
        <v>95</v>
      </c>
    </row>
    <row r="395" spans="1:13" x14ac:dyDescent="0.2">
      <c r="A395" s="4" t="s">
        <v>579</v>
      </c>
      <c r="B395">
        <v>394</v>
      </c>
      <c r="C395" s="4" t="s">
        <v>26</v>
      </c>
      <c r="D395" s="4" t="s">
        <v>47</v>
      </c>
      <c r="E395" s="4" t="s">
        <v>41</v>
      </c>
      <c r="F395" s="4" t="s">
        <v>2073</v>
      </c>
      <c r="G395">
        <v>13</v>
      </c>
      <c r="H395">
        <v>65</v>
      </c>
      <c r="I395" s="4" t="s">
        <v>116</v>
      </c>
      <c r="J395" s="4" t="s">
        <v>131</v>
      </c>
      <c r="K395" s="4" t="s">
        <v>132</v>
      </c>
      <c r="L395" s="4" t="s">
        <v>158</v>
      </c>
      <c r="M395">
        <v>33</v>
      </c>
    </row>
    <row r="396" spans="1:13" x14ac:dyDescent="0.2">
      <c r="A396" s="4" t="s">
        <v>580</v>
      </c>
      <c r="B396">
        <v>395</v>
      </c>
      <c r="C396" s="4" t="s">
        <v>26</v>
      </c>
      <c r="D396" s="4" t="s">
        <v>47</v>
      </c>
      <c r="E396" s="4" t="s">
        <v>41</v>
      </c>
      <c r="F396" s="4" t="s">
        <v>2073</v>
      </c>
      <c r="G396">
        <v>13</v>
      </c>
      <c r="H396">
        <v>65</v>
      </c>
      <c r="I396" s="4" t="s">
        <v>112</v>
      </c>
      <c r="J396" s="4" t="s">
        <v>133</v>
      </c>
      <c r="K396" s="4" t="s">
        <v>134</v>
      </c>
      <c r="L396" s="4" t="s">
        <v>158</v>
      </c>
      <c r="M396">
        <v>31</v>
      </c>
    </row>
    <row r="397" spans="1:13" x14ac:dyDescent="0.2">
      <c r="A397" s="4" t="s">
        <v>581</v>
      </c>
      <c r="B397">
        <v>396</v>
      </c>
      <c r="C397" s="4" t="s">
        <v>26</v>
      </c>
      <c r="D397" s="4" t="s">
        <v>47</v>
      </c>
      <c r="E397" s="4" t="s">
        <v>41</v>
      </c>
      <c r="F397" s="4" t="s">
        <v>2073</v>
      </c>
      <c r="G397">
        <v>13</v>
      </c>
      <c r="H397">
        <v>65</v>
      </c>
      <c r="I397" s="4" t="s">
        <v>116</v>
      </c>
      <c r="J397" s="4" t="s">
        <v>133</v>
      </c>
      <c r="K397" s="4" t="s">
        <v>134</v>
      </c>
      <c r="L397" s="4" t="s">
        <v>158</v>
      </c>
      <c r="M397">
        <v>7</v>
      </c>
    </row>
    <row r="398" spans="1:13" x14ac:dyDescent="0.2">
      <c r="A398" s="4" t="s">
        <v>582</v>
      </c>
      <c r="B398">
        <v>397</v>
      </c>
      <c r="C398" s="4" t="s">
        <v>26</v>
      </c>
      <c r="D398" s="4" t="s">
        <v>47</v>
      </c>
      <c r="E398" s="4" t="s">
        <v>47</v>
      </c>
      <c r="F398" s="4" t="s">
        <v>2128</v>
      </c>
      <c r="G398">
        <v>14</v>
      </c>
      <c r="H398">
        <v>67</v>
      </c>
      <c r="I398" s="4" t="s">
        <v>114</v>
      </c>
      <c r="J398" s="4" t="s">
        <v>122</v>
      </c>
      <c r="K398" s="4" t="s">
        <v>123</v>
      </c>
      <c r="L398" s="4" t="s">
        <v>158</v>
      </c>
      <c r="M398">
        <v>76</v>
      </c>
    </row>
    <row r="399" spans="1:13" x14ac:dyDescent="0.2">
      <c r="A399" s="4" t="s">
        <v>583</v>
      </c>
      <c r="B399">
        <v>398</v>
      </c>
      <c r="C399" s="4" t="s">
        <v>26</v>
      </c>
      <c r="D399" s="4" t="s">
        <v>47</v>
      </c>
      <c r="E399" s="4" t="s">
        <v>47</v>
      </c>
      <c r="F399" s="4" t="s">
        <v>2128</v>
      </c>
      <c r="G399">
        <v>14</v>
      </c>
      <c r="H399">
        <v>67</v>
      </c>
      <c r="I399" s="4" t="s">
        <v>112</v>
      </c>
      <c r="J399" s="4" t="s">
        <v>122</v>
      </c>
      <c r="K399" s="4" t="s">
        <v>123</v>
      </c>
      <c r="L399" s="4" t="s">
        <v>158</v>
      </c>
      <c r="M399">
        <v>165</v>
      </c>
    </row>
    <row r="400" spans="1:13" x14ac:dyDescent="0.2">
      <c r="A400" s="4" t="s">
        <v>584</v>
      </c>
      <c r="B400">
        <v>399</v>
      </c>
      <c r="C400" s="4" t="s">
        <v>26</v>
      </c>
      <c r="D400" s="4" t="s">
        <v>47</v>
      </c>
      <c r="E400" s="4" t="s">
        <v>47</v>
      </c>
      <c r="F400" s="4" t="s">
        <v>2128</v>
      </c>
      <c r="G400">
        <v>14</v>
      </c>
      <c r="H400">
        <v>67</v>
      </c>
      <c r="I400" s="4" t="s">
        <v>116</v>
      </c>
      <c r="J400" s="4" t="s">
        <v>125</v>
      </c>
      <c r="K400" s="4" t="s">
        <v>126</v>
      </c>
      <c r="L400" s="4" t="s">
        <v>158</v>
      </c>
      <c r="M400">
        <v>12</v>
      </c>
    </row>
    <row r="401" spans="1:13" x14ac:dyDescent="0.2">
      <c r="A401" s="4" t="s">
        <v>585</v>
      </c>
      <c r="B401">
        <v>400</v>
      </c>
      <c r="C401" s="4" t="s">
        <v>26</v>
      </c>
      <c r="D401" s="4" t="s">
        <v>47</v>
      </c>
      <c r="E401" s="4" t="s">
        <v>47</v>
      </c>
      <c r="F401" s="4" t="s">
        <v>2128</v>
      </c>
      <c r="G401">
        <v>14</v>
      </c>
      <c r="H401">
        <v>67</v>
      </c>
      <c r="I401" s="4" t="s">
        <v>112</v>
      </c>
      <c r="J401" s="4" t="s">
        <v>125</v>
      </c>
      <c r="K401" s="4" t="s">
        <v>126</v>
      </c>
      <c r="L401" s="4" t="s">
        <v>158</v>
      </c>
      <c r="M401">
        <v>16</v>
      </c>
    </row>
    <row r="402" spans="1:13" x14ac:dyDescent="0.2">
      <c r="A402" s="4" t="s">
        <v>586</v>
      </c>
      <c r="B402">
        <v>401</v>
      </c>
      <c r="C402" s="4" t="s">
        <v>26</v>
      </c>
      <c r="D402" s="4" t="s">
        <v>47</v>
      </c>
      <c r="E402" s="4" t="s">
        <v>47</v>
      </c>
      <c r="F402" s="4" t="s">
        <v>2128</v>
      </c>
      <c r="G402">
        <v>14</v>
      </c>
      <c r="H402">
        <v>67</v>
      </c>
      <c r="I402" s="4" t="s">
        <v>114</v>
      </c>
      <c r="J402" s="4" t="s">
        <v>125</v>
      </c>
      <c r="K402" s="4" t="s">
        <v>126</v>
      </c>
      <c r="L402" s="4" t="s">
        <v>158</v>
      </c>
      <c r="M402">
        <v>26</v>
      </c>
    </row>
    <row r="403" spans="1:13" x14ac:dyDescent="0.2">
      <c r="A403" s="4" t="s">
        <v>587</v>
      </c>
      <c r="B403">
        <v>402</v>
      </c>
      <c r="C403" s="4" t="s">
        <v>26</v>
      </c>
      <c r="D403" s="4" t="s">
        <v>47</v>
      </c>
      <c r="E403" s="4" t="s">
        <v>47</v>
      </c>
      <c r="F403" s="4" t="s">
        <v>2128</v>
      </c>
      <c r="G403">
        <v>14</v>
      </c>
      <c r="H403">
        <v>67</v>
      </c>
      <c r="I403" s="4" t="s">
        <v>114</v>
      </c>
      <c r="J403" s="4" t="s">
        <v>127</v>
      </c>
      <c r="K403" s="4" t="s">
        <v>128</v>
      </c>
      <c r="L403" s="4" t="s">
        <v>158</v>
      </c>
      <c r="M403">
        <v>91</v>
      </c>
    </row>
    <row r="404" spans="1:13" x14ac:dyDescent="0.2">
      <c r="A404" s="4" t="s">
        <v>588</v>
      </c>
      <c r="B404">
        <v>403</v>
      </c>
      <c r="C404" s="4" t="s">
        <v>26</v>
      </c>
      <c r="D404" s="4" t="s">
        <v>47</v>
      </c>
      <c r="E404" s="4" t="s">
        <v>47</v>
      </c>
      <c r="F404" s="4" t="s">
        <v>2128</v>
      </c>
      <c r="G404">
        <v>14</v>
      </c>
      <c r="H404">
        <v>67</v>
      </c>
      <c r="I404" s="4" t="s">
        <v>112</v>
      </c>
      <c r="J404" s="4" t="s">
        <v>127</v>
      </c>
      <c r="K404" s="4" t="s">
        <v>128</v>
      </c>
      <c r="L404" s="4" t="s">
        <v>158</v>
      </c>
      <c r="M404">
        <v>100</v>
      </c>
    </row>
    <row r="405" spans="1:13" x14ac:dyDescent="0.2">
      <c r="A405" s="4" t="s">
        <v>589</v>
      </c>
      <c r="B405">
        <v>404</v>
      </c>
      <c r="C405" s="4" t="s">
        <v>26</v>
      </c>
      <c r="D405" s="4" t="s">
        <v>47</v>
      </c>
      <c r="E405" s="4" t="s">
        <v>47</v>
      </c>
      <c r="F405" s="4" t="s">
        <v>2128</v>
      </c>
      <c r="G405">
        <v>14</v>
      </c>
      <c r="H405">
        <v>67</v>
      </c>
      <c r="I405" s="4" t="s">
        <v>116</v>
      </c>
      <c r="J405" s="4" t="s">
        <v>127</v>
      </c>
      <c r="K405" s="4" t="s">
        <v>128</v>
      </c>
      <c r="L405" s="4" t="s">
        <v>158</v>
      </c>
      <c r="M405">
        <v>56</v>
      </c>
    </row>
    <row r="406" spans="1:13" x14ac:dyDescent="0.2">
      <c r="A406" s="4" t="s">
        <v>590</v>
      </c>
      <c r="B406">
        <v>405</v>
      </c>
      <c r="C406" s="4" t="s">
        <v>26</v>
      </c>
      <c r="D406" s="4" t="s">
        <v>47</v>
      </c>
      <c r="E406" s="4" t="s">
        <v>47</v>
      </c>
      <c r="F406" s="4" t="s">
        <v>2128</v>
      </c>
      <c r="G406">
        <v>14</v>
      </c>
      <c r="H406">
        <v>67</v>
      </c>
      <c r="I406" s="4" t="s">
        <v>114</v>
      </c>
      <c r="J406" s="4" t="s">
        <v>129</v>
      </c>
      <c r="K406" s="4" t="s">
        <v>130</v>
      </c>
      <c r="L406" s="4" t="s">
        <v>158</v>
      </c>
      <c r="M406">
        <v>12</v>
      </c>
    </row>
    <row r="407" spans="1:13" x14ac:dyDescent="0.2">
      <c r="A407" s="4" t="s">
        <v>591</v>
      </c>
      <c r="B407">
        <v>406</v>
      </c>
      <c r="C407" s="4" t="s">
        <v>26</v>
      </c>
      <c r="D407" s="4" t="s">
        <v>47</v>
      </c>
      <c r="E407" s="4" t="s">
        <v>47</v>
      </c>
      <c r="F407" s="4" t="s">
        <v>2128</v>
      </c>
      <c r="G407">
        <v>14</v>
      </c>
      <c r="H407">
        <v>67</v>
      </c>
      <c r="I407" s="4" t="s">
        <v>112</v>
      </c>
      <c r="J407" s="4" t="s">
        <v>129</v>
      </c>
      <c r="K407" s="4" t="s">
        <v>130</v>
      </c>
      <c r="L407" s="4" t="s">
        <v>158</v>
      </c>
      <c r="M407">
        <v>1</v>
      </c>
    </row>
    <row r="408" spans="1:13" x14ac:dyDescent="0.2">
      <c r="A408" s="4" t="s">
        <v>592</v>
      </c>
      <c r="B408">
        <v>407</v>
      </c>
      <c r="C408" s="4" t="s">
        <v>26</v>
      </c>
      <c r="D408" s="4" t="s">
        <v>47</v>
      </c>
      <c r="E408" s="4" t="s">
        <v>47</v>
      </c>
      <c r="F408" s="4" t="s">
        <v>2128</v>
      </c>
      <c r="G408">
        <v>14</v>
      </c>
      <c r="H408">
        <v>67</v>
      </c>
      <c r="I408" s="4" t="s">
        <v>116</v>
      </c>
      <c r="J408" s="4" t="s">
        <v>129</v>
      </c>
      <c r="K408" s="4" t="s">
        <v>130</v>
      </c>
      <c r="L408" s="4" t="s">
        <v>158</v>
      </c>
      <c r="M408">
        <v>73</v>
      </c>
    </row>
    <row r="409" spans="1:13" x14ac:dyDescent="0.2">
      <c r="A409" s="4" t="s">
        <v>593</v>
      </c>
      <c r="B409">
        <v>408</v>
      </c>
      <c r="C409" s="4" t="s">
        <v>26</v>
      </c>
      <c r="D409" s="4" t="s">
        <v>47</v>
      </c>
      <c r="E409" s="4" t="s">
        <v>47</v>
      </c>
      <c r="F409" s="4" t="s">
        <v>2128</v>
      </c>
      <c r="G409">
        <v>14</v>
      </c>
      <c r="H409">
        <v>67</v>
      </c>
      <c r="I409" s="4" t="s">
        <v>114</v>
      </c>
      <c r="J409" s="4" t="s">
        <v>131</v>
      </c>
      <c r="K409" s="4" t="s">
        <v>132</v>
      </c>
      <c r="L409" s="4" t="s">
        <v>158</v>
      </c>
      <c r="M409">
        <v>28</v>
      </c>
    </row>
    <row r="410" spans="1:13" x14ac:dyDescent="0.2">
      <c r="A410" s="4" t="s">
        <v>594</v>
      </c>
      <c r="B410">
        <v>409</v>
      </c>
      <c r="C410" s="4" t="s">
        <v>26</v>
      </c>
      <c r="D410" s="4" t="s">
        <v>47</v>
      </c>
      <c r="E410" s="4" t="s">
        <v>47</v>
      </c>
      <c r="F410" s="4" t="s">
        <v>2128</v>
      </c>
      <c r="G410">
        <v>14</v>
      </c>
      <c r="H410">
        <v>67</v>
      </c>
      <c r="I410" s="4" t="s">
        <v>116</v>
      </c>
      <c r="J410" s="4" t="s">
        <v>131</v>
      </c>
      <c r="K410" s="4" t="s">
        <v>132</v>
      </c>
      <c r="L410" s="4" t="s">
        <v>158</v>
      </c>
      <c r="M410">
        <v>25</v>
      </c>
    </row>
    <row r="411" spans="1:13" x14ac:dyDescent="0.2">
      <c r="A411" s="4" t="s">
        <v>595</v>
      </c>
      <c r="B411">
        <v>410</v>
      </c>
      <c r="C411" s="4" t="s">
        <v>26</v>
      </c>
      <c r="D411" s="4" t="s">
        <v>47</v>
      </c>
      <c r="E411" s="4" t="s">
        <v>47</v>
      </c>
      <c r="F411" s="4" t="s">
        <v>2128</v>
      </c>
      <c r="G411">
        <v>14</v>
      </c>
      <c r="H411">
        <v>67</v>
      </c>
      <c r="I411" s="4" t="s">
        <v>116</v>
      </c>
      <c r="J411" s="4" t="s">
        <v>133</v>
      </c>
      <c r="K411" s="4" t="s">
        <v>134</v>
      </c>
      <c r="L411" s="4" t="s">
        <v>158</v>
      </c>
      <c r="M411">
        <v>22</v>
      </c>
    </row>
    <row r="412" spans="1:13" x14ac:dyDescent="0.2">
      <c r="A412" s="4" t="s">
        <v>596</v>
      </c>
      <c r="B412">
        <v>411</v>
      </c>
      <c r="C412" s="4" t="s">
        <v>26</v>
      </c>
      <c r="D412" s="4" t="s">
        <v>47</v>
      </c>
      <c r="E412" s="4" t="s">
        <v>47</v>
      </c>
      <c r="F412" s="4" t="s">
        <v>2128</v>
      </c>
      <c r="G412">
        <v>14</v>
      </c>
      <c r="H412">
        <v>67</v>
      </c>
      <c r="I412" s="4" t="s">
        <v>112</v>
      </c>
      <c r="J412" s="4" t="s">
        <v>133</v>
      </c>
      <c r="K412" s="4" t="s">
        <v>134</v>
      </c>
      <c r="L412" s="4" t="s">
        <v>158</v>
      </c>
      <c r="M412">
        <v>29</v>
      </c>
    </row>
    <row r="413" spans="1:13" x14ac:dyDescent="0.2">
      <c r="A413" s="4" t="s">
        <v>597</v>
      </c>
      <c r="B413">
        <v>412</v>
      </c>
      <c r="C413" s="4" t="s">
        <v>26</v>
      </c>
      <c r="D413" s="4" t="s">
        <v>47</v>
      </c>
      <c r="E413" s="4" t="s">
        <v>47</v>
      </c>
      <c r="F413" s="4" t="s">
        <v>2128</v>
      </c>
      <c r="G413">
        <v>14</v>
      </c>
      <c r="H413">
        <v>67</v>
      </c>
      <c r="I413" s="4" t="s">
        <v>114</v>
      </c>
      <c r="J413" s="4" t="s">
        <v>133</v>
      </c>
      <c r="K413" s="4" t="s">
        <v>134</v>
      </c>
      <c r="L413" s="4" t="s">
        <v>158</v>
      </c>
      <c r="M413">
        <v>18</v>
      </c>
    </row>
    <row r="414" spans="1:13" x14ac:dyDescent="0.2">
      <c r="A414" s="4" t="s">
        <v>598</v>
      </c>
      <c r="B414">
        <v>413</v>
      </c>
      <c r="C414" s="4" t="s">
        <v>26</v>
      </c>
      <c r="D414" s="4" t="s">
        <v>47</v>
      </c>
      <c r="E414" s="4" t="s">
        <v>53</v>
      </c>
      <c r="F414" s="4" t="s">
        <v>2158</v>
      </c>
      <c r="G414">
        <v>14</v>
      </c>
      <c r="H414">
        <v>69</v>
      </c>
      <c r="I414" s="4" t="s">
        <v>114</v>
      </c>
      <c r="J414" s="4" t="s">
        <v>122</v>
      </c>
      <c r="K414" s="4" t="s">
        <v>123</v>
      </c>
      <c r="L414" s="4" t="s">
        <v>158</v>
      </c>
      <c r="M414">
        <v>71</v>
      </c>
    </row>
    <row r="415" spans="1:13" x14ac:dyDescent="0.2">
      <c r="A415" s="4" t="s">
        <v>599</v>
      </c>
      <c r="B415">
        <v>414</v>
      </c>
      <c r="C415" s="4" t="s">
        <v>26</v>
      </c>
      <c r="D415" s="4" t="s">
        <v>47</v>
      </c>
      <c r="E415" s="4" t="s">
        <v>53</v>
      </c>
      <c r="F415" s="4" t="s">
        <v>2158</v>
      </c>
      <c r="G415">
        <v>14</v>
      </c>
      <c r="H415">
        <v>69</v>
      </c>
      <c r="I415" s="4" t="s">
        <v>112</v>
      </c>
      <c r="J415" s="4" t="s">
        <v>122</v>
      </c>
      <c r="K415" s="4" t="s">
        <v>123</v>
      </c>
      <c r="L415" s="4" t="s">
        <v>158</v>
      </c>
      <c r="M415">
        <v>245</v>
      </c>
    </row>
    <row r="416" spans="1:13" x14ac:dyDescent="0.2">
      <c r="A416" s="4" t="s">
        <v>600</v>
      </c>
      <c r="B416">
        <v>415</v>
      </c>
      <c r="C416" s="4" t="s">
        <v>26</v>
      </c>
      <c r="D416" s="4" t="s">
        <v>47</v>
      </c>
      <c r="E416" s="4" t="s">
        <v>53</v>
      </c>
      <c r="F416" s="4" t="s">
        <v>2158</v>
      </c>
      <c r="G416">
        <v>14</v>
      </c>
      <c r="H416">
        <v>69</v>
      </c>
      <c r="I416" s="4" t="s">
        <v>116</v>
      </c>
      <c r="J416" s="4" t="s">
        <v>122</v>
      </c>
      <c r="K416" s="4" t="s">
        <v>123</v>
      </c>
      <c r="L416" s="4" t="s">
        <v>158</v>
      </c>
      <c r="M416">
        <v>150</v>
      </c>
    </row>
    <row r="417" spans="1:13" x14ac:dyDescent="0.2">
      <c r="A417" s="4" t="s">
        <v>601</v>
      </c>
      <c r="B417">
        <v>416</v>
      </c>
      <c r="C417" s="4" t="s">
        <v>26</v>
      </c>
      <c r="D417" s="4" t="s">
        <v>47</v>
      </c>
      <c r="E417" s="4" t="s">
        <v>53</v>
      </c>
      <c r="F417" s="4" t="s">
        <v>2158</v>
      </c>
      <c r="G417">
        <v>14</v>
      </c>
      <c r="H417">
        <v>69</v>
      </c>
      <c r="I417" s="4" t="s">
        <v>114</v>
      </c>
      <c r="J417" s="4" t="s">
        <v>125</v>
      </c>
      <c r="K417" s="4" t="s">
        <v>126</v>
      </c>
      <c r="L417" s="4" t="s">
        <v>158</v>
      </c>
      <c r="M417">
        <v>40</v>
      </c>
    </row>
    <row r="418" spans="1:13" x14ac:dyDescent="0.2">
      <c r="A418" s="4" t="s">
        <v>602</v>
      </c>
      <c r="B418">
        <v>417</v>
      </c>
      <c r="C418" s="4" t="s">
        <v>26</v>
      </c>
      <c r="D418" s="4" t="s">
        <v>47</v>
      </c>
      <c r="E418" s="4" t="s">
        <v>53</v>
      </c>
      <c r="F418" s="4" t="s">
        <v>2158</v>
      </c>
      <c r="G418">
        <v>14</v>
      </c>
      <c r="H418">
        <v>69</v>
      </c>
      <c r="I418" s="4" t="s">
        <v>112</v>
      </c>
      <c r="J418" s="4" t="s">
        <v>125</v>
      </c>
      <c r="K418" s="4" t="s">
        <v>126</v>
      </c>
      <c r="L418" s="4" t="s">
        <v>158</v>
      </c>
      <c r="M418">
        <v>34</v>
      </c>
    </row>
    <row r="419" spans="1:13" x14ac:dyDescent="0.2">
      <c r="A419" s="4" t="s">
        <v>603</v>
      </c>
      <c r="B419">
        <v>418</v>
      </c>
      <c r="C419" s="4" t="s">
        <v>26</v>
      </c>
      <c r="D419" s="4" t="s">
        <v>47</v>
      </c>
      <c r="E419" s="4" t="s">
        <v>53</v>
      </c>
      <c r="F419" s="4" t="s">
        <v>2158</v>
      </c>
      <c r="G419">
        <v>14</v>
      </c>
      <c r="H419">
        <v>69</v>
      </c>
      <c r="I419" s="4" t="s">
        <v>116</v>
      </c>
      <c r="J419" s="4" t="s">
        <v>125</v>
      </c>
      <c r="K419" s="4" t="s">
        <v>126</v>
      </c>
      <c r="L419" s="4" t="s">
        <v>158</v>
      </c>
      <c r="M419">
        <v>9</v>
      </c>
    </row>
    <row r="420" spans="1:13" x14ac:dyDescent="0.2">
      <c r="A420" s="4" t="s">
        <v>604</v>
      </c>
      <c r="B420">
        <v>419</v>
      </c>
      <c r="C420" s="4" t="s">
        <v>26</v>
      </c>
      <c r="D420" s="4" t="s">
        <v>47</v>
      </c>
      <c r="E420" s="4" t="s">
        <v>53</v>
      </c>
      <c r="F420" s="4" t="s">
        <v>2158</v>
      </c>
      <c r="G420">
        <v>14</v>
      </c>
      <c r="H420">
        <v>69</v>
      </c>
      <c r="I420" s="4" t="s">
        <v>116</v>
      </c>
      <c r="J420" s="4" t="s">
        <v>127</v>
      </c>
      <c r="K420" s="4" t="s">
        <v>128</v>
      </c>
      <c r="L420" s="4" t="s">
        <v>158</v>
      </c>
      <c r="M420">
        <v>100</v>
      </c>
    </row>
    <row r="421" spans="1:13" x14ac:dyDescent="0.2">
      <c r="A421" s="4" t="s">
        <v>605</v>
      </c>
      <c r="B421">
        <v>420</v>
      </c>
      <c r="C421" s="4" t="s">
        <v>26</v>
      </c>
      <c r="D421" s="4" t="s">
        <v>47</v>
      </c>
      <c r="E421" s="4" t="s">
        <v>53</v>
      </c>
      <c r="F421" s="4" t="s">
        <v>2158</v>
      </c>
      <c r="G421">
        <v>14</v>
      </c>
      <c r="H421">
        <v>69</v>
      </c>
      <c r="I421" s="4" t="s">
        <v>112</v>
      </c>
      <c r="J421" s="4" t="s">
        <v>127</v>
      </c>
      <c r="K421" s="4" t="s">
        <v>128</v>
      </c>
      <c r="L421" s="4" t="s">
        <v>158</v>
      </c>
      <c r="M421">
        <v>144</v>
      </c>
    </row>
    <row r="422" spans="1:13" x14ac:dyDescent="0.2">
      <c r="A422" s="4" t="s">
        <v>606</v>
      </c>
      <c r="B422">
        <v>421</v>
      </c>
      <c r="C422" s="4" t="s">
        <v>26</v>
      </c>
      <c r="D422" s="4" t="s">
        <v>47</v>
      </c>
      <c r="E422" s="4" t="s">
        <v>53</v>
      </c>
      <c r="F422" s="4" t="s">
        <v>2158</v>
      </c>
      <c r="G422">
        <v>14</v>
      </c>
      <c r="H422">
        <v>69</v>
      </c>
      <c r="I422" s="4" t="s">
        <v>114</v>
      </c>
      <c r="J422" s="4" t="s">
        <v>127</v>
      </c>
      <c r="K422" s="4" t="s">
        <v>128</v>
      </c>
      <c r="L422" s="4" t="s">
        <v>158</v>
      </c>
      <c r="M422">
        <v>228</v>
      </c>
    </row>
    <row r="423" spans="1:13" x14ac:dyDescent="0.2">
      <c r="A423" s="4" t="s">
        <v>607</v>
      </c>
      <c r="B423">
        <v>422</v>
      </c>
      <c r="C423" s="4" t="s">
        <v>26</v>
      </c>
      <c r="D423" s="4" t="s">
        <v>47</v>
      </c>
      <c r="E423" s="4" t="s">
        <v>53</v>
      </c>
      <c r="F423" s="4" t="s">
        <v>2158</v>
      </c>
      <c r="G423">
        <v>14</v>
      </c>
      <c r="H423">
        <v>69</v>
      </c>
      <c r="I423" s="4" t="s">
        <v>114</v>
      </c>
      <c r="J423" s="4" t="s">
        <v>129</v>
      </c>
      <c r="K423" s="4" t="s">
        <v>130</v>
      </c>
      <c r="L423" s="4" t="s">
        <v>158</v>
      </c>
      <c r="M423">
        <v>13</v>
      </c>
    </row>
    <row r="424" spans="1:13" x14ac:dyDescent="0.2">
      <c r="A424" s="4" t="s">
        <v>608</v>
      </c>
      <c r="B424">
        <v>423</v>
      </c>
      <c r="C424" s="4" t="s">
        <v>26</v>
      </c>
      <c r="D424" s="4" t="s">
        <v>47</v>
      </c>
      <c r="E424" s="4" t="s">
        <v>53</v>
      </c>
      <c r="F424" s="4" t="s">
        <v>2158</v>
      </c>
      <c r="G424">
        <v>14</v>
      </c>
      <c r="H424">
        <v>69</v>
      </c>
      <c r="I424" s="4" t="s">
        <v>112</v>
      </c>
      <c r="J424" s="4" t="s">
        <v>129</v>
      </c>
      <c r="K424" s="4" t="s">
        <v>130</v>
      </c>
      <c r="L424" s="4" t="s">
        <v>158</v>
      </c>
      <c r="M424">
        <v>10</v>
      </c>
    </row>
    <row r="425" spans="1:13" x14ac:dyDescent="0.2">
      <c r="A425" s="4" t="s">
        <v>609</v>
      </c>
      <c r="B425">
        <v>424</v>
      </c>
      <c r="C425" s="4" t="s">
        <v>26</v>
      </c>
      <c r="D425" s="4" t="s">
        <v>47</v>
      </c>
      <c r="E425" s="4" t="s">
        <v>53</v>
      </c>
      <c r="F425" s="4" t="s">
        <v>2158</v>
      </c>
      <c r="G425">
        <v>14</v>
      </c>
      <c r="H425">
        <v>69</v>
      </c>
      <c r="I425" s="4" t="s">
        <v>116</v>
      </c>
      <c r="J425" s="4" t="s">
        <v>129</v>
      </c>
      <c r="K425" s="4" t="s">
        <v>130</v>
      </c>
      <c r="L425" s="4" t="s">
        <v>158</v>
      </c>
      <c r="M425">
        <v>58</v>
      </c>
    </row>
    <row r="426" spans="1:13" x14ac:dyDescent="0.2">
      <c r="A426" s="4" t="s">
        <v>610</v>
      </c>
      <c r="B426">
        <v>425</v>
      </c>
      <c r="C426" s="4" t="s">
        <v>26</v>
      </c>
      <c r="D426" s="4" t="s">
        <v>47</v>
      </c>
      <c r="E426" s="4" t="s">
        <v>53</v>
      </c>
      <c r="F426" s="4" t="s">
        <v>2158</v>
      </c>
      <c r="G426">
        <v>14</v>
      </c>
      <c r="H426">
        <v>69</v>
      </c>
      <c r="I426" s="4" t="s">
        <v>114</v>
      </c>
      <c r="J426" s="4" t="s">
        <v>131</v>
      </c>
      <c r="K426" s="4" t="s">
        <v>132</v>
      </c>
      <c r="L426" s="4" t="s">
        <v>158</v>
      </c>
      <c r="M426">
        <v>52</v>
      </c>
    </row>
    <row r="427" spans="1:13" x14ac:dyDescent="0.2">
      <c r="A427" s="4" t="s">
        <v>611</v>
      </c>
      <c r="B427">
        <v>426</v>
      </c>
      <c r="C427" s="4" t="s">
        <v>26</v>
      </c>
      <c r="D427" s="4" t="s">
        <v>47</v>
      </c>
      <c r="E427" s="4" t="s">
        <v>53</v>
      </c>
      <c r="F427" s="4" t="s">
        <v>2158</v>
      </c>
      <c r="G427">
        <v>14</v>
      </c>
      <c r="H427">
        <v>69</v>
      </c>
      <c r="I427" s="4" t="s">
        <v>116</v>
      </c>
      <c r="J427" s="4" t="s">
        <v>131</v>
      </c>
      <c r="K427" s="4" t="s">
        <v>132</v>
      </c>
      <c r="L427" s="4" t="s">
        <v>158</v>
      </c>
      <c r="M427">
        <v>57</v>
      </c>
    </row>
    <row r="428" spans="1:13" x14ac:dyDescent="0.2">
      <c r="A428" s="4" t="s">
        <v>612</v>
      </c>
      <c r="B428">
        <v>427</v>
      </c>
      <c r="C428" s="4" t="s">
        <v>26</v>
      </c>
      <c r="D428" s="4" t="s">
        <v>47</v>
      </c>
      <c r="E428" s="4" t="s">
        <v>53</v>
      </c>
      <c r="F428" s="4" t="s">
        <v>2158</v>
      </c>
      <c r="G428">
        <v>14</v>
      </c>
      <c r="H428">
        <v>69</v>
      </c>
      <c r="I428" s="4" t="s">
        <v>114</v>
      </c>
      <c r="J428" s="4" t="s">
        <v>133</v>
      </c>
      <c r="K428" s="4" t="s">
        <v>134</v>
      </c>
      <c r="L428" s="4" t="s">
        <v>158</v>
      </c>
      <c r="M428">
        <v>43</v>
      </c>
    </row>
    <row r="429" spans="1:13" x14ac:dyDescent="0.2">
      <c r="A429" s="4" t="s">
        <v>613</v>
      </c>
      <c r="B429">
        <v>428</v>
      </c>
      <c r="C429" s="4" t="s">
        <v>26</v>
      </c>
      <c r="D429" s="4" t="s">
        <v>47</v>
      </c>
      <c r="E429" s="4" t="s">
        <v>53</v>
      </c>
      <c r="F429" s="4" t="s">
        <v>2158</v>
      </c>
      <c r="G429">
        <v>14</v>
      </c>
      <c r="H429">
        <v>69</v>
      </c>
      <c r="I429" s="4" t="s">
        <v>112</v>
      </c>
      <c r="J429" s="4" t="s">
        <v>133</v>
      </c>
      <c r="K429" s="4" t="s">
        <v>134</v>
      </c>
      <c r="L429" s="4" t="s">
        <v>158</v>
      </c>
      <c r="M429">
        <v>62</v>
      </c>
    </row>
    <row r="430" spans="1:13" x14ac:dyDescent="0.2">
      <c r="A430" s="4" t="s">
        <v>614</v>
      </c>
      <c r="B430">
        <v>429</v>
      </c>
      <c r="C430" s="4" t="s">
        <v>26</v>
      </c>
      <c r="D430" s="4" t="s">
        <v>47</v>
      </c>
      <c r="E430" s="4" t="s">
        <v>53</v>
      </c>
      <c r="F430" s="4" t="s">
        <v>2158</v>
      </c>
      <c r="G430">
        <v>14</v>
      </c>
      <c r="H430">
        <v>69</v>
      </c>
      <c r="I430" s="4" t="s">
        <v>116</v>
      </c>
      <c r="J430" s="4" t="s">
        <v>133</v>
      </c>
      <c r="K430" s="4" t="s">
        <v>134</v>
      </c>
      <c r="L430" s="4" t="s">
        <v>158</v>
      </c>
      <c r="M430">
        <v>19</v>
      </c>
    </row>
    <row r="431" spans="1:13" x14ac:dyDescent="0.2">
      <c r="A431" s="4" t="s">
        <v>615</v>
      </c>
      <c r="B431">
        <v>430</v>
      </c>
      <c r="C431" s="4" t="s">
        <v>26</v>
      </c>
      <c r="D431" s="4" t="s">
        <v>50</v>
      </c>
      <c r="E431" s="4" t="s">
        <v>27</v>
      </c>
      <c r="F431" s="4" t="s">
        <v>2252</v>
      </c>
      <c r="G431">
        <v>15</v>
      </c>
      <c r="H431">
        <v>71</v>
      </c>
      <c r="I431" s="4" t="s">
        <v>116</v>
      </c>
      <c r="J431" s="4" t="s">
        <v>122</v>
      </c>
      <c r="K431" s="4" t="s">
        <v>123</v>
      </c>
      <c r="L431" s="4" t="s">
        <v>158</v>
      </c>
      <c r="M431">
        <v>44</v>
      </c>
    </row>
    <row r="432" spans="1:13" x14ac:dyDescent="0.2">
      <c r="A432" s="4" t="s">
        <v>616</v>
      </c>
      <c r="B432">
        <v>431</v>
      </c>
      <c r="C432" s="4" t="s">
        <v>26</v>
      </c>
      <c r="D432" s="4" t="s">
        <v>50</v>
      </c>
      <c r="E432" s="4" t="s">
        <v>27</v>
      </c>
      <c r="F432" s="4" t="s">
        <v>2252</v>
      </c>
      <c r="G432">
        <v>15</v>
      </c>
      <c r="H432">
        <v>71</v>
      </c>
      <c r="I432" s="4" t="s">
        <v>112</v>
      </c>
      <c r="J432" s="4" t="s">
        <v>122</v>
      </c>
      <c r="K432" s="4" t="s">
        <v>123</v>
      </c>
      <c r="L432" s="4" t="s">
        <v>158</v>
      </c>
      <c r="M432">
        <v>164</v>
      </c>
    </row>
    <row r="433" spans="1:13" x14ac:dyDescent="0.2">
      <c r="A433" s="4" t="s">
        <v>617</v>
      </c>
      <c r="B433">
        <v>432</v>
      </c>
      <c r="C433" s="4" t="s">
        <v>26</v>
      </c>
      <c r="D433" s="4" t="s">
        <v>50</v>
      </c>
      <c r="E433" s="4" t="s">
        <v>27</v>
      </c>
      <c r="F433" s="4" t="s">
        <v>2252</v>
      </c>
      <c r="G433">
        <v>15</v>
      </c>
      <c r="H433">
        <v>71</v>
      </c>
      <c r="I433" s="4" t="s">
        <v>114</v>
      </c>
      <c r="J433" s="4" t="s">
        <v>125</v>
      </c>
      <c r="K433" s="4" t="s">
        <v>126</v>
      </c>
      <c r="L433" s="4" t="s">
        <v>158</v>
      </c>
      <c r="M433">
        <v>38</v>
      </c>
    </row>
    <row r="434" spans="1:13" x14ac:dyDescent="0.2">
      <c r="A434" s="4" t="s">
        <v>618</v>
      </c>
      <c r="B434">
        <v>433</v>
      </c>
      <c r="C434" s="4" t="s">
        <v>26</v>
      </c>
      <c r="D434" s="4" t="s">
        <v>50</v>
      </c>
      <c r="E434" s="4" t="s">
        <v>27</v>
      </c>
      <c r="F434" s="4" t="s">
        <v>2252</v>
      </c>
      <c r="G434">
        <v>15</v>
      </c>
      <c r="H434">
        <v>71</v>
      </c>
      <c r="I434" s="4" t="s">
        <v>112</v>
      </c>
      <c r="J434" s="4" t="s">
        <v>125</v>
      </c>
      <c r="K434" s="4" t="s">
        <v>126</v>
      </c>
      <c r="L434" s="4" t="s">
        <v>158</v>
      </c>
      <c r="M434">
        <v>1</v>
      </c>
    </row>
    <row r="435" spans="1:13" x14ac:dyDescent="0.2">
      <c r="A435" s="4" t="s">
        <v>619</v>
      </c>
      <c r="B435">
        <v>434</v>
      </c>
      <c r="C435" s="4" t="s">
        <v>26</v>
      </c>
      <c r="D435" s="4" t="s">
        <v>50</v>
      </c>
      <c r="E435" s="4" t="s">
        <v>27</v>
      </c>
      <c r="F435" s="4" t="s">
        <v>2252</v>
      </c>
      <c r="G435">
        <v>15</v>
      </c>
      <c r="H435">
        <v>71</v>
      </c>
      <c r="I435" s="4" t="s">
        <v>116</v>
      </c>
      <c r="J435" s="4" t="s">
        <v>125</v>
      </c>
      <c r="K435" s="4" t="s">
        <v>126</v>
      </c>
      <c r="L435" s="4" t="s">
        <v>158</v>
      </c>
      <c r="M435">
        <v>16</v>
      </c>
    </row>
    <row r="436" spans="1:13" x14ac:dyDescent="0.2">
      <c r="A436" s="4" t="s">
        <v>620</v>
      </c>
      <c r="B436">
        <v>435</v>
      </c>
      <c r="C436" s="4" t="s">
        <v>26</v>
      </c>
      <c r="D436" s="4" t="s">
        <v>50</v>
      </c>
      <c r="E436" s="4" t="s">
        <v>27</v>
      </c>
      <c r="F436" s="4" t="s">
        <v>2252</v>
      </c>
      <c r="G436">
        <v>15</v>
      </c>
      <c r="H436">
        <v>71</v>
      </c>
      <c r="I436" s="4" t="s">
        <v>114</v>
      </c>
      <c r="J436" s="4" t="s">
        <v>127</v>
      </c>
      <c r="K436" s="4" t="s">
        <v>128</v>
      </c>
      <c r="L436" s="4" t="s">
        <v>158</v>
      </c>
      <c r="M436">
        <v>100</v>
      </c>
    </row>
    <row r="437" spans="1:13" x14ac:dyDescent="0.2">
      <c r="A437" s="4" t="s">
        <v>621</v>
      </c>
      <c r="B437">
        <v>436</v>
      </c>
      <c r="C437" s="4" t="s">
        <v>26</v>
      </c>
      <c r="D437" s="4" t="s">
        <v>50</v>
      </c>
      <c r="E437" s="4" t="s">
        <v>27</v>
      </c>
      <c r="F437" s="4" t="s">
        <v>2252</v>
      </c>
      <c r="G437">
        <v>15</v>
      </c>
      <c r="H437">
        <v>71</v>
      </c>
      <c r="I437" s="4" t="s">
        <v>112</v>
      </c>
      <c r="J437" s="4" t="s">
        <v>127</v>
      </c>
      <c r="K437" s="4" t="s">
        <v>128</v>
      </c>
      <c r="L437" s="4" t="s">
        <v>158</v>
      </c>
      <c r="M437">
        <v>32</v>
      </c>
    </row>
    <row r="438" spans="1:13" x14ac:dyDescent="0.2">
      <c r="A438" s="4" t="s">
        <v>622</v>
      </c>
      <c r="B438">
        <v>437</v>
      </c>
      <c r="C438" s="4" t="s">
        <v>26</v>
      </c>
      <c r="D438" s="4" t="s">
        <v>50</v>
      </c>
      <c r="E438" s="4" t="s">
        <v>27</v>
      </c>
      <c r="F438" s="4" t="s">
        <v>2252</v>
      </c>
      <c r="G438">
        <v>15</v>
      </c>
      <c r="H438">
        <v>71</v>
      </c>
      <c r="I438" s="4" t="s">
        <v>116</v>
      </c>
      <c r="J438" s="4" t="s">
        <v>127</v>
      </c>
      <c r="K438" s="4" t="s">
        <v>128</v>
      </c>
      <c r="L438" s="4" t="s">
        <v>158</v>
      </c>
      <c r="M438">
        <v>34</v>
      </c>
    </row>
    <row r="439" spans="1:13" x14ac:dyDescent="0.2">
      <c r="A439" s="4" t="s">
        <v>623</v>
      </c>
      <c r="B439">
        <v>438</v>
      </c>
      <c r="C439" s="4" t="s">
        <v>26</v>
      </c>
      <c r="D439" s="4" t="s">
        <v>50</v>
      </c>
      <c r="E439" s="4" t="s">
        <v>27</v>
      </c>
      <c r="F439" s="4" t="s">
        <v>2252</v>
      </c>
      <c r="G439">
        <v>15</v>
      </c>
      <c r="H439">
        <v>71</v>
      </c>
      <c r="I439" s="4" t="s">
        <v>114</v>
      </c>
      <c r="J439" s="4" t="s">
        <v>131</v>
      </c>
      <c r="K439" s="4" t="s">
        <v>132</v>
      </c>
      <c r="L439" s="4" t="s">
        <v>158</v>
      </c>
      <c r="M439">
        <v>82</v>
      </c>
    </row>
    <row r="440" spans="1:13" x14ac:dyDescent="0.2">
      <c r="A440" s="4" t="s">
        <v>624</v>
      </c>
      <c r="B440">
        <v>439</v>
      </c>
      <c r="C440" s="4" t="s">
        <v>26</v>
      </c>
      <c r="D440" s="4" t="s">
        <v>50</v>
      </c>
      <c r="E440" s="4" t="s">
        <v>27</v>
      </c>
      <c r="F440" s="4" t="s">
        <v>2252</v>
      </c>
      <c r="G440">
        <v>15</v>
      </c>
      <c r="H440">
        <v>71</v>
      </c>
      <c r="I440" s="4" t="s">
        <v>112</v>
      </c>
      <c r="J440" s="4" t="s">
        <v>131</v>
      </c>
      <c r="K440" s="4" t="s">
        <v>132</v>
      </c>
      <c r="L440" s="4" t="s">
        <v>158</v>
      </c>
      <c r="M440">
        <v>44</v>
      </c>
    </row>
    <row r="441" spans="1:13" x14ac:dyDescent="0.2">
      <c r="A441" s="4" t="s">
        <v>625</v>
      </c>
      <c r="B441">
        <v>440</v>
      </c>
      <c r="C441" s="4" t="s">
        <v>26</v>
      </c>
      <c r="D441" s="4" t="s">
        <v>50</v>
      </c>
      <c r="E441" s="4" t="s">
        <v>35</v>
      </c>
      <c r="F441" s="4" t="s">
        <v>2278</v>
      </c>
      <c r="G441">
        <v>15</v>
      </c>
      <c r="H441">
        <v>73</v>
      </c>
      <c r="I441" s="4" t="s">
        <v>116</v>
      </c>
      <c r="J441" s="4" t="s">
        <v>122</v>
      </c>
      <c r="K441" s="4" t="s">
        <v>123</v>
      </c>
      <c r="L441" s="4" t="s">
        <v>158</v>
      </c>
      <c r="M441">
        <v>31</v>
      </c>
    </row>
    <row r="442" spans="1:13" x14ac:dyDescent="0.2">
      <c r="A442" s="4" t="s">
        <v>626</v>
      </c>
      <c r="B442">
        <v>441</v>
      </c>
      <c r="C442" s="4" t="s">
        <v>26</v>
      </c>
      <c r="D442" s="4" t="s">
        <v>50</v>
      </c>
      <c r="E442" s="4" t="s">
        <v>35</v>
      </c>
      <c r="F442" s="4" t="s">
        <v>2278</v>
      </c>
      <c r="G442">
        <v>15</v>
      </c>
      <c r="H442">
        <v>73</v>
      </c>
      <c r="I442" s="4" t="s">
        <v>112</v>
      </c>
      <c r="J442" s="4" t="s">
        <v>122</v>
      </c>
      <c r="K442" s="4" t="s">
        <v>123</v>
      </c>
      <c r="L442" s="4" t="s">
        <v>158</v>
      </c>
      <c r="M442">
        <v>311</v>
      </c>
    </row>
    <row r="443" spans="1:13" x14ac:dyDescent="0.2">
      <c r="A443" s="4" t="s">
        <v>627</v>
      </c>
      <c r="B443">
        <v>442</v>
      </c>
      <c r="C443" s="4" t="s">
        <v>26</v>
      </c>
      <c r="D443" s="4" t="s">
        <v>50</v>
      </c>
      <c r="E443" s="4" t="s">
        <v>35</v>
      </c>
      <c r="F443" s="4" t="s">
        <v>2278</v>
      </c>
      <c r="G443">
        <v>15</v>
      </c>
      <c r="H443">
        <v>73</v>
      </c>
      <c r="I443" s="4" t="s">
        <v>114</v>
      </c>
      <c r="J443" s="4" t="s">
        <v>125</v>
      </c>
      <c r="K443" s="4" t="s">
        <v>126</v>
      </c>
      <c r="L443" s="4" t="s">
        <v>158</v>
      </c>
      <c r="M443">
        <v>55</v>
      </c>
    </row>
    <row r="444" spans="1:13" x14ac:dyDescent="0.2">
      <c r="A444" s="4" t="s">
        <v>628</v>
      </c>
      <c r="B444">
        <v>443</v>
      </c>
      <c r="C444" s="4" t="s">
        <v>26</v>
      </c>
      <c r="D444" s="4" t="s">
        <v>50</v>
      </c>
      <c r="E444" s="4" t="s">
        <v>35</v>
      </c>
      <c r="F444" s="4" t="s">
        <v>2278</v>
      </c>
      <c r="G444">
        <v>15</v>
      </c>
      <c r="H444">
        <v>73</v>
      </c>
      <c r="I444" s="4" t="s">
        <v>116</v>
      </c>
      <c r="J444" s="4" t="s">
        <v>125</v>
      </c>
      <c r="K444" s="4" t="s">
        <v>126</v>
      </c>
      <c r="L444" s="4" t="s">
        <v>158</v>
      </c>
      <c r="M444">
        <v>7</v>
      </c>
    </row>
    <row r="445" spans="1:13" x14ac:dyDescent="0.2">
      <c r="A445" s="4" t="s">
        <v>629</v>
      </c>
      <c r="B445">
        <v>444</v>
      </c>
      <c r="C445" s="4" t="s">
        <v>26</v>
      </c>
      <c r="D445" s="4" t="s">
        <v>50</v>
      </c>
      <c r="E445" s="4" t="s">
        <v>35</v>
      </c>
      <c r="F445" s="4" t="s">
        <v>2278</v>
      </c>
      <c r="G445">
        <v>15</v>
      </c>
      <c r="H445">
        <v>73</v>
      </c>
      <c r="I445" s="4" t="s">
        <v>114</v>
      </c>
      <c r="J445" s="4" t="s">
        <v>127</v>
      </c>
      <c r="K445" s="4" t="s">
        <v>128</v>
      </c>
      <c r="L445" s="4" t="s">
        <v>158</v>
      </c>
      <c r="M445">
        <v>234</v>
      </c>
    </row>
    <row r="446" spans="1:13" x14ac:dyDescent="0.2">
      <c r="A446" s="4" t="s">
        <v>630</v>
      </c>
      <c r="B446">
        <v>445</v>
      </c>
      <c r="C446" s="4" t="s">
        <v>26</v>
      </c>
      <c r="D446" s="4" t="s">
        <v>50</v>
      </c>
      <c r="E446" s="4" t="s">
        <v>35</v>
      </c>
      <c r="F446" s="4" t="s">
        <v>2278</v>
      </c>
      <c r="G446">
        <v>15</v>
      </c>
      <c r="H446">
        <v>73</v>
      </c>
      <c r="I446" s="4" t="s">
        <v>112</v>
      </c>
      <c r="J446" s="4" t="s">
        <v>127</v>
      </c>
      <c r="K446" s="4" t="s">
        <v>128</v>
      </c>
      <c r="L446" s="4" t="s">
        <v>158</v>
      </c>
      <c r="M446">
        <v>95</v>
      </c>
    </row>
    <row r="447" spans="1:13" x14ac:dyDescent="0.2">
      <c r="A447" s="4" t="s">
        <v>631</v>
      </c>
      <c r="B447">
        <v>446</v>
      </c>
      <c r="C447" s="4" t="s">
        <v>26</v>
      </c>
      <c r="D447" s="4" t="s">
        <v>50</v>
      </c>
      <c r="E447" s="4" t="s">
        <v>35</v>
      </c>
      <c r="F447" s="4" t="s">
        <v>2278</v>
      </c>
      <c r="G447">
        <v>15</v>
      </c>
      <c r="H447">
        <v>73</v>
      </c>
      <c r="I447" s="4" t="s">
        <v>116</v>
      </c>
      <c r="J447" s="4" t="s">
        <v>127</v>
      </c>
      <c r="K447" s="4" t="s">
        <v>128</v>
      </c>
      <c r="L447" s="4" t="s">
        <v>158</v>
      </c>
      <c r="M447">
        <v>26</v>
      </c>
    </row>
    <row r="448" spans="1:13" x14ac:dyDescent="0.2">
      <c r="A448" s="4" t="s">
        <v>632</v>
      </c>
      <c r="B448">
        <v>447</v>
      </c>
      <c r="C448" s="4" t="s">
        <v>26</v>
      </c>
      <c r="D448" s="4" t="s">
        <v>50</v>
      </c>
      <c r="E448" s="4" t="s">
        <v>35</v>
      </c>
      <c r="F448" s="4" t="s">
        <v>2278</v>
      </c>
      <c r="G448">
        <v>15</v>
      </c>
      <c r="H448">
        <v>73</v>
      </c>
      <c r="I448" s="4" t="s">
        <v>114</v>
      </c>
      <c r="J448" s="4" t="s">
        <v>129</v>
      </c>
      <c r="K448" s="4" t="s">
        <v>130</v>
      </c>
      <c r="L448" s="4" t="s">
        <v>158</v>
      </c>
      <c r="M448">
        <v>37</v>
      </c>
    </row>
    <row r="449" spans="1:13" x14ac:dyDescent="0.2">
      <c r="A449" s="4" t="s">
        <v>633</v>
      </c>
      <c r="B449">
        <v>448</v>
      </c>
      <c r="C449" s="4" t="s">
        <v>26</v>
      </c>
      <c r="D449" s="4" t="s">
        <v>50</v>
      </c>
      <c r="E449" s="4" t="s">
        <v>35</v>
      </c>
      <c r="F449" s="4" t="s">
        <v>2278</v>
      </c>
      <c r="G449">
        <v>15</v>
      </c>
      <c r="H449">
        <v>73</v>
      </c>
      <c r="I449" s="4" t="s">
        <v>112</v>
      </c>
      <c r="J449" s="4" t="s">
        <v>129</v>
      </c>
      <c r="K449" s="4" t="s">
        <v>130</v>
      </c>
      <c r="L449" s="4" t="s">
        <v>158</v>
      </c>
      <c r="M449">
        <v>50</v>
      </c>
    </row>
    <row r="450" spans="1:13" x14ac:dyDescent="0.2">
      <c r="A450" s="4" t="s">
        <v>634</v>
      </c>
      <c r="B450">
        <v>449</v>
      </c>
      <c r="C450" s="4" t="s">
        <v>26</v>
      </c>
      <c r="D450" s="4" t="s">
        <v>50</v>
      </c>
      <c r="E450" s="4" t="s">
        <v>35</v>
      </c>
      <c r="F450" s="4" t="s">
        <v>2278</v>
      </c>
      <c r="G450">
        <v>15</v>
      </c>
      <c r="H450">
        <v>73</v>
      </c>
      <c r="I450" s="4" t="s">
        <v>116</v>
      </c>
      <c r="J450" s="4" t="s">
        <v>129</v>
      </c>
      <c r="K450" s="4" t="s">
        <v>130</v>
      </c>
      <c r="L450" s="4" t="s">
        <v>158</v>
      </c>
      <c r="M450">
        <v>134</v>
      </c>
    </row>
    <row r="451" spans="1:13" x14ac:dyDescent="0.2">
      <c r="A451" s="4" t="s">
        <v>635</v>
      </c>
      <c r="B451">
        <v>450</v>
      </c>
      <c r="C451" s="4" t="s">
        <v>26</v>
      </c>
      <c r="D451" s="4" t="s">
        <v>50</v>
      </c>
      <c r="E451" s="4" t="s">
        <v>35</v>
      </c>
      <c r="F451" s="4" t="s">
        <v>2278</v>
      </c>
      <c r="G451">
        <v>15</v>
      </c>
      <c r="H451">
        <v>73</v>
      </c>
      <c r="I451" s="4" t="s">
        <v>116</v>
      </c>
      <c r="J451" s="4" t="s">
        <v>131</v>
      </c>
      <c r="K451" s="4" t="s">
        <v>132</v>
      </c>
      <c r="L451" s="4" t="s">
        <v>158</v>
      </c>
      <c r="M451">
        <v>51</v>
      </c>
    </row>
    <row r="452" spans="1:13" x14ac:dyDescent="0.2">
      <c r="A452" s="4" t="s">
        <v>636</v>
      </c>
      <c r="B452">
        <v>451</v>
      </c>
      <c r="C452" s="4" t="s">
        <v>26</v>
      </c>
      <c r="D452" s="4" t="s">
        <v>50</v>
      </c>
      <c r="E452" s="4" t="s">
        <v>35</v>
      </c>
      <c r="F452" s="4" t="s">
        <v>2278</v>
      </c>
      <c r="G452">
        <v>15</v>
      </c>
      <c r="H452">
        <v>73</v>
      </c>
      <c r="I452" s="4" t="s">
        <v>112</v>
      </c>
      <c r="J452" s="4" t="s">
        <v>131</v>
      </c>
      <c r="K452" s="4" t="s">
        <v>132</v>
      </c>
      <c r="L452" s="4" t="s">
        <v>158</v>
      </c>
      <c r="M452">
        <v>28</v>
      </c>
    </row>
    <row r="453" spans="1:13" x14ac:dyDescent="0.2">
      <c r="A453" s="4" t="s">
        <v>637</v>
      </c>
      <c r="B453">
        <v>452</v>
      </c>
      <c r="C453" s="4" t="s">
        <v>26</v>
      </c>
      <c r="D453" s="4" t="s">
        <v>50</v>
      </c>
      <c r="E453" s="4" t="s">
        <v>35</v>
      </c>
      <c r="F453" s="4" t="s">
        <v>2278</v>
      </c>
      <c r="G453">
        <v>15</v>
      </c>
      <c r="H453">
        <v>73</v>
      </c>
      <c r="I453" s="4" t="s">
        <v>114</v>
      </c>
      <c r="J453" s="4" t="s">
        <v>131</v>
      </c>
      <c r="K453" s="4" t="s">
        <v>132</v>
      </c>
      <c r="L453" s="4" t="s">
        <v>158</v>
      </c>
      <c r="M453">
        <v>34</v>
      </c>
    </row>
    <row r="454" spans="1:13" x14ac:dyDescent="0.2">
      <c r="A454" s="4" t="s">
        <v>638</v>
      </c>
      <c r="B454">
        <v>453</v>
      </c>
      <c r="C454" s="4" t="s">
        <v>26</v>
      </c>
      <c r="D454" s="4" t="s">
        <v>50</v>
      </c>
      <c r="E454" s="4" t="s">
        <v>35</v>
      </c>
      <c r="F454" s="4" t="s">
        <v>2278</v>
      </c>
      <c r="G454">
        <v>15</v>
      </c>
      <c r="H454">
        <v>73</v>
      </c>
      <c r="I454" s="4" t="s">
        <v>114</v>
      </c>
      <c r="J454" s="4" t="s">
        <v>133</v>
      </c>
      <c r="K454" s="4" t="s">
        <v>134</v>
      </c>
      <c r="L454" s="4" t="s">
        <v>158</v>
      </c>
      <c r="M454">
        <v>7</v>
      </c>
    </row>
    <row r="455" spans="1:13" x14ac:dyDescent="0.2">
      <c r="A455" s="4" t="s">
        <v>639</v>
      </c>
      <c r="B455">
        <v>454</v>
      </c>
      <c r="C455" s="4" t="s">
        <v>26</v>
      </c>
      <c r="D455" s="4" t="s">
        <v>50</v>
      </c>
      <c r="E455" s="4" t="s">
        <v>35</v>
      </c>
      <c r="F455" s="4" t="s">
        <v>2278</v>
      </c>
      <c r="G455">
        <v>15</v>
      </c>
      <c r="H455">
        <v>73</v>
      </c>
      <c r="I455" s="4" t="s">
        <v>112</v>
      </c>
      <c r="J455" s="4" t="s">
        <v>133</v>
      </c>
      <c r="K455" s="4" t="s">
        <v>134</v>
      </c>
      <c r="L455" s="4" t="s">
        <v>158</v>
      </c>
      <c r="M455">
        <v>65</v>
      </c>
    </row>
    <row r="456" spans="1:13" x14ac:dyDescent="0.2">
      <c r="A456" s="4" t="s">
        <v>640</v>
      </c>
      <c r="B456">
        <v>455</v>
      </c>
      <c r="C456" s="4" t="s">
        <v>26</v>
      </c>
      <c r="D456" s="4" t="s">
        <v>50</v>
      </c>
      <c r="E456" s="4" t="s">
        <v>35</v>
      </c>
      <c r="F456" s="4" t="s">
        <v>2278</v>
      </c>
      <c r="G456">
        <v>15</v>
      </c>
      <c r="H456">
        <v>73</v>
      </c>
      <c r="I456" s="4" t="s">
        <v>116</v>
      </c>
      <c r="J456" s="4" t="s">
        <v>133</v>
      </c>
      <c r="K456" s="4" t="s">
        <v>134</v>
      </c>
      <c r="L456" s="4" t="s">
        <v>158</v>
      </c>
      <c r="M456">
        <v>45</v>
      </c>
    </row>
    <row r="457" spans="1:13" x14ac:dyDescent="0.2">
      <c r="A457" s="4" t="s">
        <v>641</v>
      </c>
      <c r="B457">
        <v>456</v>
      </c>
      <c r="C457" s="4" t="s">
        <v>26</v>
      </c>
      <c r="D457" s="4" t="s">
        <v>50</v>
      </c>
      <c r="E457" s="4" t="s">
        <v>41</v>
      </c>
      <c r="F457" s="4" t="s">
        <v>2370</v>
      </c>
      <c r="G457">
        <v>15</v>
      </c>
      <c r="H457">
        <v>75</v>
      </c>
      <c r="I457" s="4" t="s">
        <v>114</v>
      </c>
      <c r="J457" s="4" t="s">
        <v>122</v>
      </c>
      <c r="K457" s="4" t="s">
        <v>123</v>
      </c>
      <c r="L457" s="4" t="s">
        <v>158</v>
      </c>
      <c r="M457">
        <v>44</v>
      </c>
    </row>
    <row r="458" spans="1:13" x14ac:dyDescent="0.2">
      <c r="A458" s="4" t="s">
        <v>642</v>
      </c>
      <c r="B458">
        <v>457</v>
      </c>
      <c r="C458" s="4" t="s">
        <v>26</v>
      </c>
      <c r="D458" s="4" t="s">
        <v>50</v>
      </c>
      <c r="E458" s="4" t="s">
        <v>41</v>
      </c>
      <c r="F458" s="4" t="s">
        <v>2370</v>
      </c>
      <c r="G458">
        <v>15</v>
      </c>
      <c r="H458">
        <v>75</v>
      </c>
      <c r="I458" s="4" t="s">
        <v>112</v>
      </c>
      <c r="J458" s="4" t="s">
        <v>122</v>
      </c>
      <c r="K458" s="4" t="s">
        <v>123</v>
      </c>
      <c r="L458" s="4" t="s">
        <v>158</v>
      </c>
      <c r="M458">
        <v>106</v>
      </c>
    </row>
    <row r="459" spans="1:13" x14ac:dyDescent="0.2">
      <c r="A459" s="4" t="s">
        <v>643</v>
      </c>
      <c r="B459">
        <v>458</v>
      </c>
      <c r="C459" s="4" t="s">
        <v>26</v>
      </c>
      <c r="D459" s="4" t="s">
        <v>50</v>
      </c>
      <c r="E459" s="4" t="s">
        <v>41</v>
      </c>
      <c r="F459" s="4" t="s">
        <v>2370</v>
      </c>
      <c r="G459">
        <v>15</v>
      </c>
      <c r="H459">
        <v>75</v>
      </c>
      <c r="I459" s="4" t="s">
        <v>116</v>
      </c>
      <c r="J459" s="4" t="s">
        <v>122</v>
      </c>
      <c r="K459" s="4" t="s">
        <v>123</v>
      </c>
      <c r="L459" s="4" t="s">
        <v>158</v>
      </c>
      <c r="M459">
        <v>50</v>
      </c>
    </row>
    <row r="460" spans="1:13" x14ac:dyDescent="0.2">
      <c r="A460" s="4" t="s">
        <v>644</v>
      </c>
      <c r="B460">
        <v>459</v>
      </c>
      <c r="C460" s="4" t="s">
        <v>26</v>
      </c>
      <c r="D460" s="4" t="s">
        <v>50</v>
      </c>
      <c r="E460" s="4" t="s">
        <v>41</v>
      </c>
      <c r="F460" s="4" t="s">
        <v>2370</v>
      </c>
      <c r="G460">
        <v>15</v>
      </c>
      <c r="H460">
        <v>75</v>
      </c>
      <c r="I460" s="4" t="s">
        <v>114</v>
      </c>
      <c r="J460" s="4" t="s">
        <v>125</v>
      </c>
      <c r="K460" s="4" t="s">
        <v>126</v>
      </c>
      <c r="L460" s="4" t="s">
        <v>158</v>
      </c>
      <c r="M460">
        <v>20</v>
      </c>
    </row>
    <row r="461" spans="1:13" x14ac:dyDescent="0.2">
      <c r="A461" s="4" t="s">
        <v>645</v>
      </c>
      <c r="B461">
        <v>460</v>
      </c>
      <c r="C461" s="4" t="s">
        <v>26</v>
      </c>
      <c r="D461" s="4" t="s">
        <v>50</v>
      </c>
      <c r="E461" s="4" t="s">
        <v>41</v>
      </c>
      <c r="F461" s="4" t="s">
        <v>2370</v>
      </c>
      <c r="G461">
        <v>15</v>
      </c>
      <c r="H461">
        <v>75</v>
      </c>
      <c r="I461" s="4" t="s">
        <v>116</v>
      </c>
      <c r="J461" s="4" t="s">
        <v>127</v>
      </c>
      <c r="K461" s="4" t="s">
        <v>128</v>
      </c>
      <c r="L461" s="4" t="s">
        <v>158</v>
      </c>
      <c r="M461">
        <v>57</v>
      </c>
    </row>
    <row r="462" spans="1:13" x14ac:dyDescent="0.2">
      <c r="A462" s="4" t="s">
        <v>646</v>
      </c>
      <c r="B462">
        <v>461</v>
      </c>
      <c r="C462" s="4" t="s">
        <v>26</v>
      </c>
      <c r="D462" s="4" t="s">
        <v>50</v>
      </c>
      <c r="E462" s="4" t="s">
        <v>41</v>
      </c>
      <c r="F462" s="4" t="s">
        <v>2370</v>
      </c>
      <c r="G462">
        <v>15</v>
      </c>
      <c r="H462">
        <v>75</v>
      </c>
      <c r="I462" s="4" t="s">
        <v>112</v>
      </c>
      <c r="J462" s="4" t="s">
        <v>127</v>
      </c>
      <c r="K462" s="4" t="s">
        <v>128</v>
      </c>
      <c r="L462" s="4" t="s">
        <v>158</v>
      </c>
      <c r="M462">
        <v>66</v>
      </c>
    </row>
    <row r="463" spans="1:13" x14ac:dyDescent="0.2">
      <c r="A463" s="4" t="s">
        <v>647</v>
      </c>
      <c r="B463">
        <v>462</v>
      </c>
      <c r="C463" s="4" t="s">
        <v>26</v>
      </c>
      <c r="D463" s="4" t="s">
        <v>50</v>
      </c>
      <c r="E463" s="4" t="s">
        <v>41</v>
      </c>
      <c r="F463" s="4" t="s">
        <v>2370</v>
      </c>
      <c r="G463">
        <v>15</v>
      </c>
      <c r="H463">
        <v>75</v>
      </c>
      <c r="I463" s="4" t="s">
        <v>114</v>
      </c>
      <c r="J463" s="4" t="s">
        <v>127</v>
      </c>
      <c r="K463" s="4" t="s">
        <v>128</v>
      </c>
      <c r="L463" s="4" t="s">
        <v>158</v>
      </c>
      <c r="M463">
        <v>182</v>
      </c>
    </row>
    <row r="464" spans="1:13" x14ac:dyDescent="0.2">
      <c r="A464" s="4" t="s">
        <v>648</v>
      </c>
      <c r="B464">
        <v>463</v>
      </c>
      <c r="C464" s="4" t="s">
        <v>26</v>
      </c>
      <c r="D464" s="4" t="s">
        <v>50</v>
      </c>
      <c r="E464" s="4" t="s">
        <v>41</v>
      </c>
      <c r="F464" s="4" t="s">
        <v>2370</v>
      </c>
      <c r="G464">
        <v>15</v>
      </c>
      <c r="H464">
        <v>75</v>
      </c>
      <c r="I464" s="4" t="s">
        <v>114</v>
      </c>
      <c r="J464" s="4" t="s">
        <v>129</v>
      </c>
      <c r="K464" s="4" t="s">
        <v>130</v>
      </c>
      <c r="L464" s="4" t="s">
        <v>158</v>
      </c>
      <c r="M464">
        <v>18</v>
      </c>
    </row>
    <row r="465" spans="1:13" x14ac:dyDescent="0.2">
      <c r="A465" s="4" t="s">
        <v>649</v>
      </c>
      <c r="B465">
        <v>464</v>
      </c>
      <c r="C465" s="4" t="s">
        <v>26</v>
      </c>
      <c r="D465" s="4" t="s">
        <v>50</v>
      </c>
      <c r="E465" s="4" t="s">
        <v>41</v>
      </c>
      <c r="F465" s="4" t="s">
        <v>2370</v>
      </c>
      <c r="G465">
        <v>15</v>
      </c>
      <c r="H465">
        <v>75</v>
      </c>
      <c r="I465" s="4" t="s">
        <v>112</v>
      </c>
      <c r="J465" s="4" t="s">
        <v>129</v>
      </c>
      <c r="K465" s="4" t="s">
        <v>130</v>
      </c>
      <c r="L465" s="4" t="s">
        <v>158</v>
      </c>
      <c r="M465">
        <v>1</v>
      </c>
    </row>
    <row r="466" spans="1:13" x14ac:dyDescent="0.2">
      <c r="A466" s="4" t="s">
        <v>650</v>
      </c>
      <c r="B466">
        <v>465</v>
      </c>
      <c r="C466" s="4" t="s">
        <v>26</v>
      </c>
      <c r="D466" s="4" t="s">
        <v>50</v>
      </c>
      <c r="E466" s="4" t="s">
        <v>41</v>
      </c>
      <c r="F466" s="4" t="s">
        <v>2370</v>
      </c>
      <c r="G466">
        <v>15</v>
      </c>
      <c r="H466">
        <v>75</v>
      </c>
      <c r="I466" s="4" t="s">
        <v>116</v>
      </c>
      <c r="J466" s="4" t="s">
        <v>129</v>
      </c>
      <c r="K466" s="4" t="s">
        <v>130</v>
      </c>
      <c r="L466" s="4" t="s">
        <v>158</v>
      </c>
      <c r="M466">
        <v>54</v>
      </c>
    </row>
    <row r="467" spans="1:13" x14ac:dyDescent="0.2">
      <c r="A467" s="4" t="s">
        <v>651</v>
      </c>
      <c r="B467">
        <v>466</v>
      </c>
      <c r="C467" s="4" t="s">
        <v>26</v>
      </c>
      <c r="D467" s="4" t="s">
        <v>50</v>
      </c>
      <c r="E467" s="4" t="s">
        <v>41</v>
      </c>
      <c r="F467" s="4" t="s">
        <v>2370</v>
      </c>
      <c r="G467">
        <v>15</v>
      </c>
      <c r="H467">
        <v>75</v>
      </c>
      <c r="I467" s="4" t="s">
        <v>114</v>
      </c>
      <c r="J467" s="4" t="s">
        <v>131</v>
      </c>
      <c r="K467" s="4" t="s">
        <v>132</v>
      </c>
      <c r="L467" s="4" t="s">
        <v>158</v>
      </c>
      <c r="M467">
        <v>54</v>
      </c>
    </row>
    <row r="468" spans="1:13" x14ac:dyDescent="0.2">
      <c r="A468" s="4" t="s">
        <v>652</v>
      </c>
      <c r="B468">
        <v>467</v>
      </c>
      <c r="C468" s="4" t="s">
        <v>26</v>
      </c>
      <c r="D468" s="4" t="s">
        <v>50</v>
      </c>
      <c r="E468" s="4" t="s">
        <v>41</v>
      </c>
      <c r="F468" s="4" t="s">
        <v>2370</v>
      </c>
      <c r="G468">
        <v>15</v>
      </c>
      <c r="H468">
        <v>75</v>
      </c>
      <c r="I468" s="4" t="s">
        <v>112</v>
      </c>
      <c r="J468" s="4" t="s">
        <v>131</v>
      </c>
      <c r="K468" s="4" t="s">
        <v>132</v>
      </c>
      <c r="L468" s="4" t="s">
        <v>158</v>
      </c>
      <c r="M468">
        <v>17</v>
      </c>
    </row>
    <row r="469" spans="1:13" x14ac:dyDescent="0.2">
      <c r="A469" s="4" t="s">
        <v>653</v>
      </c>
      <c r="B469">
        <v>468</v>
      </c>
      <c r="C469" s="4" t="s">
        <v>26</v>
      </c>
      <c r="D469" s="4" t="s">
        <v>50</v>
      </c>
      <c r="E469" s="4" t="s">
        <v>41</v>
      </c>
      <c r="F469" s="4" t="s">
        <v>2370</v>
      </c>
      <c r="G469">
        <v>15</v>
      </c>
      <c r="H469">
        <v>75</v>
      </c>
      <c r="I469" s="4" t="s">
        <v>112</v>
      </c>
      <c r="J469" s="4" t="s">
        <v>133</v>
      </c>
      <c r="K469" s="4" t="s">
        <v>134</v>
      </c>
      <c r="L469" s="4" t="s">
        <v>158</v>
      </c>
      <c r="M469">
        <v>53</v>
      </c>
    </row>
    <row r="470" spans="1:13" x14ac:dyDescent="0.2">
      <c r="A470" s="4" t="s">
        <v>654</v>
      </c>
      <c r="B470">
        <v>469</v>
      </c>
      <c r="C470" s="4" t="s">
        <v>26</v>
      </c>
      <c r="D470" s="4" t="s">
        <v>50</v>
      </c>
      <c r="E470" s="4" t="s">
        <v>47</v>
      </c>
      <c r="F470" s="4" t="s">
        <v>2395</v>
      </c>
      <c r="G470">
        <v>16</v>
      </c>
      <c r="H470">
        <v>77</v>
      </c>
      <c r="I470" s="4" t="s">
        <v>116</v>
      </c>
      <c r="J470" s="4" t="s">
        <v>125</v>
      </c>
      <c r="K470" s="4" t="s">
        <v>126</v>
      </c>
      <c r="L470" s="4" t="s">
        <v>158</v>
      </c>
      <c r="M470">
        <v>25</v>
      </c>
    </row>
    <row r="471" spans="1:13" x14ac:dyDescent="0.2">
      <c r="A471" s="4" t="s">
        <v>655</v>
      </c>
      <c r="B471">
        <v>470</v>
      </c>
      <c r="C471" s="4" t="s">
        <v>26</v>
      </c>
      <c r="D471" s="4" t="s">
        <v>50</v>
      </c>
      <c r="E471" s="4" t="s">
        <v>47</v>
      </c>
      <c r="F471" s="4" t="s">
        <v>2395</v>
      </c>
      <c r="G471">
        <v>16</v>
      </c>
      <c r="H471">
        <v>77</v>
      </c>
      <c r="I471" s="4" t="s">
        <v>112</v>
      </c>
      <c r="J471" s="4" t="s">
        <v>125</v>
      </c>
      <c r="K471" s="4" t="s">
        <v>126</v>
      </c>
      <c r="L471" s="4" t="s">
        <v>158</v>
      </c>
      <c r="M471">
        <v>1</v>
      </c>
    </row>
    <row r="472" spans="1:13" x14ac:dyDescent="0.2">
      <c r="A472" s="4" t="s">
        <v>656</v>
      </c>
      <c r="B472">
        <v>471</v>
      </c>
      <c r="C472" s="4" t="s">
        <v>26</v>
      </c>
      <c r="D472" s="4" t="s">
        <v>50</v>
      </c>
      <c r="E472" s="4" t="s">
        <v>47</v>
      </c>
      <c r="F472" s="4" t="s">
        <v>2395</v>
      </c>
      <c r="G472">
        <v>16</v>
      </c>
      <c r="H472">
        <v>77</v>
      </c>
      <c r="I472" s="4" t="s">
        <v>114</v>
      </c>
      <c r="J472" s="4" t="s">
        <v>125</v>
      </c>
      <c r="K472" s="4" t="s">
        <v>126</v>
      </c>
      <c r="L472" s="4" t="s">
        <v>158</v>
      </c>
      <c r="M472">
        <v>14</v>
      </c>
    </row>
    <row r="473" spans="1:13" x14ac:dyDescent="0.2">
      <c r="A473" s="4" t="s">
        <v>657</v>
      </c>
      <c r="B473">
        <v>472</v>
      </c>
      <c r="C473" s="4" t="s">
        <v>26</v>
      </c>
      <c r="D473" s="4" t="s">
        <v>50</v>
      </c>
      <c r="E473" s="4" t="s">
        <v>50</v>
      </c>
      <c r="F473" s="4" t="s">
        <v>2458</v>
      </c>
      <c r="G473">
        <v>16</v>
      </c>
      <c r="H473">
        <v>78</v>
      </c>
      <c r="I473" s="4" t="s">
        <v>114</v>
      </c>
      <c r="J473" s="4" t="s">
        <v>122</v>
      </c>
      <c r="K473" s="4" t="s">
        <v>123</v>
      </c>
      <c r="L473" s="4" t="s">
        <v>158</v>
      </c>
      <c r="M473">
        <v>100</v>
      </c>
    </row>
    <row r="474" spans="1:13" x14ac:dyDescent="0.2">
      <c r="A474" s="4" t="s">
        <v>658</v>
      </c>
      <c r="B474">
        <v>473</v>
      </c>
      <c r="C474" s="4" t="s">
        <v>26</v>
      </c>
      <c r="D474" s="4" t="s">
        <v>50</v>
      </c>
      <c r="E474" s="4" t="s">
        <v>50</v>
      </c>
      <c r="F474" s="4" t="s">
        <v>2458</v>
      </c>
      <c r="G474">
        <v>16</v>
      </c>
      <c r="H474">
        <v>78</v>
      </c>
      <c r="I474" s="4" t="s">
        <v>112</v>
      </c>
      <c r="J474" s="4" t="s">
        <v>122</v>
      </c>
      <c r="K474" s="4" t="s">
        <v>123</v>
      </c>
      <c r="L474" s="4" t="s">
        <v>158</v>
      </c>
      <c r="M474">
        <v>427</v>
      </c>
    </row>
    <row r="475" spans="1:13" x14ac:dyDescent="0.2">
      <c r="A475" s="4" t="s">
        <v>659</v>
      </c>
      <c r="B475">
        <v>474</v>
      </c>
      <c r="C475" s="4" t="s">
        <v>26</v>
      </c>
      <c r="D475" s="4" t="s">
        <v>50</v>
      </c>
      <c r="E475" s="4" t="s">
        <v>50</v>
      </c>
      <c r="F475" s="4" t="s">
        <v>2458</v>
      </c>
      <c r="G475">
        <v>16</v>
      </c>
      <c r="H475">
        <v>78</v>
      </c>
      <c r="I475" s="4" t="s">
        <v>116</v>
      </c>
      <c r="J475" s="4" t="s">
        <v>122</v>
      </c>
      <c r="K475" s="4" t="s">
        <v>123</v>
      </c>
      <c r="L475" s="4" t="s">
        <v>158</v>
      </c>
      <c r="M475">
        <v>98</v>
      </c>
    </row>
    <row r="476" spans="1:13" x14ac:dyDescent="0.2">
      <c r="A476" s="4" t="s">
        <v>660</v>
      </c>
      <c r="B476">
        <v>475</v>
      </c>
      <c r="C476" s="4" t="s">
        <v>26</v>
      </c>
      <c r="D476" s="4" t="s">
        <v>50</v>
      </c>
      <c r="E476" s="4" t="s">
        <v>50</v>
      </c>
      <c r="F476" s="4" t="s">
        <v>2458</v>
      </c>
      <c r="G476">
        <v>16</v>
      </c>
      <c r="H476">
        <v>78</v>
      </c>
      <c r="I476" s="4" t="s">
        <v>114</v>
      </c>
      <c r="J476" s="4" t="s">
        <v>125</v>
      </c>
      <c r="K476" s="4" t="s">
        <v>126</v>
      </c>
      <c r="L476" s="4" t="s">
        <v>158</v>
      </c>
      <c r="M476">
        <v>13</v>
      </c>
    </row>
    <row r="477" spans="1:13" x14ac:dyDescent="0.2">
      <c r="A477" s="4" t="s">
        <v>661</v>
      </c>
      <c r="B477">
        <v>476</v>
      </c>
      <c r="C477" s="4" t="s">
        <v>26</v>
      </c>
      <c r="D477" s="4" t="s">
        <v>50</v>
      </c>
      <c r="E477" s="4" t="s">
        <v>50</v>
      </c>
      <c r="F477" s="4" t="s">
        <v>2458</v>
      </c>
      <c r="G477">
        <v>16</v>
      </c>
      <c r="H477">
        <v>78</v>
      </c>
      <c r="I477" s="4" t="s">
        <v>116</v>
      </c>
      <c r="J477" s="4" t="s">
        <v>125</v>
      </c>
      <c r="K477" s="4" t="s">
        <v>126</v>
      </c>
      <c r="L477" s="4" t="s">
        <v>158</v>
      </c>
      <c r="M477">
        <v>25</v>
      </c>
    </row>
    <row r="478" spans="1:13" x14ac:dyDescent="0.2">
      <c r="A478" s="4" t="s">
        <v>662</v>
      </c>
      <c r="B478">
        <v>477</v>
      </c>
      <c r="C478" s="4" t="s">
        <v>26</v>
      </c>
      <c r="D478" s="4" t="s">
        <v>50</v>
      </c>
      <c r="E478" s="4" t="s">
        <v>50</v>
      </c>
      <c r="F478" s="4" t="s">
        <v>2458</v>
      </c>
      <c r="G478">
        <v>16</v>
      </c>
      <c r="H478">
        <v>78</v>
      </c>
      <c r="I478" s="4" t="s">
        <v>114</v>
      </c>
      <c r="J478" s="4" t="s">
        <v>127</v>
      </c>
      <c r="K478" s="4" t="s">
        <v>128</v>
      </c>
      <c r="L478" s="4" t="s">
        <v>158</v>
      </c>
      <c r="M478">
        <v>281</v>
      </c>
    </row>
    <row r="479" spans="1:13" x14ac:dyDescent="0.2">
      <c r="A479" s="4" t="s">
        <v>663</v>
      </c>
      <c r="B479">
        <v>478</v>
      </c>
      <c r="C479" s="4" t="s">
        <v>26</v>
      </c>
      <c r="D479" s="4" t="s">
        <v>50</v>
      </c>
      <c r="E479" s="4" t="s">
        <v>50</v>
      </c>
      <c r="F479" s="4" t="s">
        <v>2458</v>
      </c>
      <c r="G479">
        <v>16</v>
      </c>
      <c r="H479">
        <v>78</v>
      </c>
      <c r="I479" s="4" t="s">
        <v>112</v>
      </c>
      <c r="J479" s="4" t="s">
        <v>127</v>
      </c>
      <c r="K479" s="4" t="s">
        <v>128</v>
      </c>
      <c r="L479" s="4" t="s">
        <v>158</v>
      </c>
      <c r="M479">
        <v>57</v>
      </c>
    </row>
    <row r="480" spans="1:13" x14ac:dyDescent="0.2">
      <c r="A480" s="4" t="s">
        <v>664</v>
      </c>
      <c r="B480">
        <v>479</v>
      </c>
      <c r="C480" s="4" t="s">
        <v>26</v>
      </c>
      <c r="D480" s="4" t="s">
        <v>50</v>
      </c>
      <c r="E480" s="4" t="s">
        <v>50</v>
      </c>
      <c r="F480" s="4" t="s">
        <v>2458</v>
      </c>
      <c r="G480">
        <v>16</v>
      </c>
      <c r="H480">
        <v>78</v>
      </c>
      <c r="I480" s="4" t="s">
        <v>116</v>
      </c>
      <c r="J480" s="4" t="s">
        <v>127</v>
      </c>
      <c r="K480" s="4" t="s">
        <v>128</v>
      </c>
      <c r="L480" s="4" t="s">
        <v>158</v>
      </c>
      <c r="M480">
        <v>65</v>
      </c>
    </row>
    <row r="481" spans="1:13" x14ac:dyDescent="0.2">
      <c r="A481" s="4" t="s">
        <v>665</v>
      </c>
      <c r="B481">
        <v>480</v>
      </c>
      <c r="C481" s="4" t="s">
        <v>26</v>
      </c>
      <c r="D481" s="4" t="s">
        <v>50</v>
      </c>
      <c r="E481" s="4" t="s">
        <v>50</v>
      </c>
      <c r="F481" s="4" t="s">
        <v>2458</v>
      </c>
      <c r="G481">
        <v>16</v>
      </c>
      <c r="H481">
        <v>78</v>
      </c>
      <c r="I481" s="4" t="s">
        <v>116</v>
      </c>
      <c r="J481" s="4" t="s">
        <v>129</v>
      </c>
      <c r="K481" s="4" t="s">
        <v>130</v>
      </c>
      <c r="L481" s="4" t="s">
        <v>158</v>
      </c>
      <c r="M481">
        <v>106</v>
      </c>
    </row>
    <row r="482" spans="1:13" x14ac:dyDescent="0.2">
      <c r="A482" s="4" t="s">
        <v>666</v>
      </c>
      <c r="B482">
        <v>481</v>
      </c>
      <c r="C482" s="4" t="s">
        <v>26</v>
      </c>
      <c r="D482" s="4" t="s">
        <v>50</v>
      </c>
      <c r="E482" s="4" t="s">
        <v>50</v>
      </c>
      <c r="F482" s="4" t="s">
        <v>2458</v>
      </c>
      <c r="G482">
        <v>16</v>
      </c>
      <c r="H482">
        <v>78</v>
      </c>
      <c r="I482" s="4" t="s">
        <v>112</v>
      </c>
      <c r="J482" s="4" t="s">
        <v>129</v>
      </c>
      <c r="K482" s="4" t="s">
        <v>130</v>
      </c>
      <c r="L482" s="4" t="s">
        <v>158</v>
      </c>
      <c r="M482">
        <v>15</v>
      </c>
    </row>
    <row r="483" spans="1:13" x14ac:dyDescent="0.2">
      <c r="A483" s="4" t="s">
        <v>667</v>
      </c>
      <c r="B483">
        <v>482</v>
      </c>
      <c r="C483" s="4" t="s">
        <v>26</v>
      </c>
      <c r="D483" s="4" t="s">
        <v>50</v>
      </c>
      <c r="E483" s="4" t="s">
        <v>50</v>
      </c>
      <c r="F483" s="4" t="s">
        <v>2458</v>
      </c>
      <c r="G483">
        <v>16</v>
      </c>
      <c r="H483">
        <v>78</v>
      </c>
      <c r="I483" s="4" t="s">
        <v>114</v>
      </c>
      <c r="J483" s="4" t="s">
        <v>129</v>
      </c>
      <c r="K483" s="4" t="s">
        <v>130</v>
      </c>
      <c r="L483" s="4" t="s">
        <v>158</v>
      </c>
      <c r="M483">
        <v>33</v>
      </c>
    </row>
    <row r="484" spans="1:13" x14ac:dyDescent="0.2">
      <c r="A484" s="4" t="s">
        <v>668</v>
      </c>
      <c r="B484">
        <v>483</v>
      </c>
      <c r="C484" s="4" t="s">
        <v>26</v>
      </c>
      <c r="D484" s="4" t="s">
        <v>50</v>
      </c>
      <c r="E484" s="4" t="s">
        <v>50</v>
      </c>
      <c r="F484" s="4" t="s">
        <v>2458</v>
      </c>
      <c r="G484">
        <v>16</v>
      </c>
      <c r="H484">
        <v>78</v>
      </c>
      <c r="I484" s="4" t="s">
        <v>114</v>
      </c>
      <c r="J484" s="4" t="s">
        <v>131</v>
      </c>
      <c r="K484" s="4" t="s">
        <v>132</v>
      </c>
      <c r="L484" s="4" t="s">
        <v>158</v>
      </c>
      <c r="M484">
        <v>120</v>
      </c>
    </row>
    <row r="485" spans="1:13" x14ac:dyDescent="0.2">
      <c r="A485" s="4" t="s">
        <v>669</v>
      </c>
      <c r="B485">
        <v>484</v>
      </c>
      <c r="C485" s="4" t="s">
        <v>26</v>
      </c>
      <c r="D485" s="4" t="s">
        <v>50</v>
      </c>
      <c r="E485" s="4" t="s">
        <v>50</v>
      </c>
      <c r="F485" s="4" t="s">
        <v>2458</v>
      </c>
      <c r="G485">
        <v>16</v>
      </c>
      <c r="H485">
        <v>78</v>
      </c>
      <c r="I485" s="4" t="s">
        <v>112</v>
      </c>
      <c r="J485" s="4" t="s">
        <v>131</v>
      </c>
      <c r="K485" s="4" t="s">
        <v>132</v>
      </c>
      <c r="L485" s="4" t="s">
        <v>158</v>
      </c>
      <c r="M485">
        <v>37</v>
      </c>
    </row>
    <row r="486" spans="1:13" x14ac:dyDescent="0.2">
      <c r="A486" s="4" t="s">
        <v>670</v>
      </c>
      <c r="B486">
        <v>485</v>
      </c>
      <c r="C486" s="4" t="s">
        <v>26</v>
      </c>
      <c r="D486" s="4" t="s">
        <v>50</v>
      </c>
      <c r="E486" s="4" t="s">
        <v>50</v>
      </c>
      <c r="F486" s="4" t="s">
        <v>2458</v>
      </c>
      <c r="G486">
        <v>16</v>
      </c>
      <c r="H486">
        <v>78</v>
      </c>
      <c r="I486" s="4" t="s">
        <v>116</v>
      </c>
      <c r="J486" s="4" t="s">
        <v>131</v>
      </c>
      <c r="K486" s="4" t="s">
        <v>132</v>
      </c>
      <c r="L486" s="4" t="s">
        <v>158</v>
      </c>
      <c r="M486">
        <v>30</v>
      </c>
    </row>
    <row r="487" spans="1:13" x14ac:dyDescent="0.2">
      <c r="A487" s="4" t="s">
        <v>671</v>
      </c>
      <c r="B487">
        <v>486</v>
      </c>
      <c r="C487" s="4" t="s">
        <v>26</v>
      </c>
      <c r="D487" s="4" t="s">
        <v>50</v>
      </c>
      <c r="E487" s="4" t="s">
        <v>50</v>
      </c>
      <c r="F487" s="4" t="s">
        <v>2458</v>
      </c>
      <c r="G487">
        <v>16</v>
      </c>
      <c r="H487">
        <v>78</v>
      </c>
      <c r="I487" s="4" t="s">
        <v>114</v>
      </c>
      <c r="J487" s="4" t="s">
        <v>133</v>
      </c>
      <c r="K487" s="4" t="s">
        <v>134</v>
      </c>
      <c r="L487" s="4" t="s">
        <v>158</v>
      </c>
      <c r="M487">
        <v>31</v>
      </c>
    </row>
    <row r="488" spans="1:13" x14ac:dyDescent="0.2">
      <c r="A488" s="4" t="s">
        <v>672</v>
      </c>
      <c r="B488">
        <v>487</v>
      </c>
      <c r="C488" s="4" t="s">
        <v>26</v>
      </c>
      <c r="D488" s="4" t="s">
        <v>50</v>
      </c>
      <c r="E488" s="4" t="s">
        <v>50</v>
      </c>
      <c r="F488" s="4" t="s">
        <v>2458</v>
      </c>
      <c r="G488">
        <v>16</v>
      </c>
      <c r="H488">
        <v>78</v>
      </c>
      <c r="I488" s="4" t="s">
        <v>112</v>
      </c>
      <c r="J488" s="4" t="s">
        <v>133</v>
      </c>
      <c r="K488" s="4" t="s">
        <v>134</v>
      </c>
      <c r="L488" s="4" t="s">
        <v>158</v>
      </c>
      <c r="M488">
        <v>100</v>
      </c>
    </row>
    <row r="489" spans="1:13" x14ac:dyDescent="0.2">
      <c r="A489" s="4" t="s">
        <v>673</v>
      </c>
      <c r="B489">
        <v>488</v>
      </c>
      <c r="C489" s="4" t="s">
        <v>26</v>
      </c>
      <c r="D489" s="4" t="s">
        <v>50</v>
      </c>
      <c r="E489" s="4" t="s">
        <v>50</v>
      </c>
      <c r="F489" s="4" t="s">
        <v>2458</v>
      </c>
      <c r="G489">
        <v>16</v>
      </c>
      <c r="H489">
        <v>78</v>
      </c>
      <c r="I489" s="4" t="s">
        <v>116</v>
      </c>
      <c r="J489" s="4" t="s">
        <v>133</v>
      </c>
      <c r="K489" s="4" t="s">
        <v>134</v>
      </c>
      <c r="L489" s="4" t="s">
        <v>158</v>
      </c>
      <c r="M489">
        <v>33</v>
      </c>
    </row>
    <row r="490" spans="1:13" x14ac:dyDescent="0.2">
      <c r="A490" s="4" t="s">
        <v>674</v>
      </c>
      <c r="B490">
        <v>489</v>
      </c>
      <c r="C490" s="4" t="s">
        <v>26</v>
      </c>
      <c r="D490" s="4" t="s">
        <v>50</v>
      </c>
      <c r="E490" s="4" t="s">
        <v>56</v>
      </c>
      <c r="F490" s="4" t="s">
        <v>2513</v>
      </c>
      <c r="G490">
        <v>16</v>
      </c>
      <c r="H490">
        <v>80</v>
      </c>
      <c r="I490" s="4" t="s">
        <v>116</v>
      </c>
      <c r="J490" s="4" t="s">
        <v>122</v>
      </c>
      <c r="K490" s="4" t="s">
        <v>123</v>
      </c>
      <c r="L490" s="4" t="s">
        <v>158</v>
      </c>
      <c r="M490">
        <v>26</v>
      </c>
    </row>
    <row r="491" spans="1:13" x14ac:dyDescent="0.2">
      <c r="A491" s="4" t="s">
        <v>675</v>
      </c>
      <c r="B491">
        <v>490</v>
      </c>
      <c r="C491" s="4" t="s">
        <v>26</v>
      </c>
      <c r="D491" s="4" t="s">
        <v>50</v>
      </c>
      <c r="E491" s="4" t="s">
        <v>56</v>
      </c>
      <c r="F491" s="4" t="s">
        <v>2513</v>
      </c>
      <c r="G491">
        <v>16</v>
      </c>
      <c r="H491">
        <v>80</v>
      </c>
      <c r="I491" s="4" t="s">
        <v>112</v>
      </c>
      <c r="J491" s="4" t="s">
        <v>122</v>
      </c>
      <c r="K491" s="4" t="s">
        <v>123</v>
      </c>
      <c r="L491" s="4" t="s">
        <v>158</v>
      </c>
      <c r="M491">
        <v>154</v>
      </c>
    </row>
    <row r="492" spans="1:13" x14ac:dyDescent="0.2">
      <c r="A492" s="4" t="s">
        <v>676</v>
      </c>
      <c r="B492">
        <v>491</v>
      </c>
      <c r="C492" s="4" t="s">
        <v>26</v>
      </c>
      <c r="D492" s="4" t="s">
        <v>50</v>
      </c>
      <c r="E492" s="4" t="s">
        <v>56</v>
      </c>
      <c r="F492" s="4" t="s">
        <v>2513</v>
      </c>
      <c r="G492">
        <v>16</v>
      </c>
      <c r="H492">
        <v>80</v>
      </c>
      <c r="I492" s="4" t="s">
        <v>114</v>
      </c>
      <c r="J492" s="4" t="s">
        <v>122</v>
      </c>
      <c r="K492" s="4" t="s">
        <v>123</v>
      </c>
      <c r="L492" s="4" t="s">
        <v>158</v>
      </c>
      <c r="M492">
        <v>28</v>
      </c>
    </row>
    <row r="493" spans="1:13" x14ac:dyDescent="0.2">
      <c r="A493" s="4" t="s">
        <v>677</v>
      </c>
      <c r="B493">
        <v>492</v>
      </c>
      <c r="C493" s="4" t="s">
        <v>26</v>
      </c>
      <c r="D493" s="4" t="s">
        <v>50</v>
      </c>
      <c r="E493" s="4" t="s">
        <v>56</v>
      </c>
      <c r="F493" s="4" t="s">
        <v>2513</v>
      </c>
      <c r="G493">
        <v>16</v>
      </c>
      <c r="H493">
        <v>80</v>
      </c>
      <c r="I493" s="4" t="s">
        <v>114</v>
      </c>
      <c r="J493" s="4" t="s">
        <v>125</v>
      </c>
      <c r="K493" s="4" t="s">
        <v>126</v>
      </c>
      <c r="L493" s="4" t="s">
        <v>158</v>
      </c>
      <c r="M493">
        <v>29</v>
      </c>
    </row>
    <row r="494" spans="1:13" x14ac:dyDescent="0.2">
      <c r="A494" s="4" t="s">
        <v>678</v>
      </c>
      <c r="B494">
        <v>493</v>
      </c>
      <c r="C494" s="4" t="s">
        <v>26</v>
      </c>
      <c r="D494" s="4" t="s">
        <v>50</v>
      </c>
      <c r="E494" s="4" t="s">
        <v>56</v>
      </c>
      <c r="F494" s="4" t="s">
        <v>2513</v>
      </c>
      <c r="G494">
        <v>16</v>
      </c>
      <c r="H494">
        <v>80</v>
      </c>
      <c r="I494" s="4" t="s">
        <v>114</v>
      </c>
      <c r="J494" s="4" t="s">
        <v>127</v>
      </c>
      <c r="K494" s="4" t="s">
        <v>128</v>
      </c>
      <c r="L494" s="4" t="s">
        <v>158</v>
      </c>
      <c r="M494">
        <v>131</v>
      </c>
    </row>
    <row r="495" spans="1:13" x14ac:dyDescent="0.2">
      <c r="A495" s="4" t="s">
        <v>679</v>
      </c>
      <c r="B495">
        <v>494</v>
      </c>
      <c r="C495" s="4" t="s">
        <v>26</v>
      </c>
      <c r="D495" s="4" t="s">
        <v>50</v>
      </c>
      <c r="E495" s="4" t="s">
        <v>56</v>
      </c>
      <c r="F495" s="4" t="s">
        <v>2513</v>
      </c>
      <c r="G495">
        <v>16</v>
      </c>
      <c r="H495">
        <v>80</v>
      </c>
      <c r="I495" s="4" t="s">
        <v>112</v>
      </c>
      <c r="J495" s="4" t="s">
        <v>127</v>
      </c>
      <c r="K495" s="4" t="s">
        <v>128</v>
      </c>
      <c r="L495" s="4" t="s">
        <v>158</v>
      </c>
      <c r="M495">
        <v>119</v>
      </c>
    </row>
    <row r="496" spans="1:13" x14ac:dyDescent="0.2">
      <c r="A496" s="4" t="s">
        <v>680</v>
      </c>
      <c r="B496">
        <v>495</v>
      </c>
      <c r="C496" s="4" t="s">
        <v>26</v>
      </c>
      <c r="D496" s="4" t="s">
        <v>50</v>
      </c>
      <c r="E496" s="4" t="s">
        <v>56</v>
      </c>
      <c r="F496" s="4" t="s">
        <v>2513</v>
      </c>
      <c r="G496">
        <v>16</v>
      </c>
      <c r="H496">
        <v>80</v>
      </c>
      <c r="I496" s="4" t="s">
        <v>116</v>
      </c>
      <c r="J496" s="4" t="s">
        <v>127</v>
      </c>
      <c r="K496" s="4" t="s">
        <v>128</v>
      </c>
      <c r="L496" s="4" t="s">
        <v>158</v>
      </c>
      <c r="M496">
        <v>35</v>
      </c>
    </row>
    <row r="497" spans="1:13" x14ac:dyDescent="0.2">
      <c r="A497" s="4" t="s">
        <v>681</v>
      </c>
      <c r="B497">
        <v>496</v>
      </c>
      <c r="C497" s="4" t="s">
        <v>26</v>
      </c>
      <c r="D497" s="4" t="s">
        <v>50</v>
      </c>
      <c r="E497" s="4" t="s">
        <v>56</v>
      </c>
      <c r="F497" s="4" t="s">
        <v>2513</v>
      </c>
      <c r="G497">
        <v>16</v>
      </c>
      <c r="H497">
        <v>80</v>
      </c>
      <c r="I497" s="4" t="s">
        <v>112</v>
      </c>
      <c r="J497" s="4" t="s">
        <v>131</v>
      </c>
      <c r="K497" s="4" t="s">
        <v>132</v>
      </c>
      <c r="L497" s="4" t="s">
        <v>158</v>
      </c>
      <c r="M497">
        <v>25</v>
      </c>
    </row>
    <row r="498" spans="1:13" x14ac:dyDescent="0.2">
      <c r="A498" s="4" t="s">
        <v>682</v>
      </c>
      <c r="B498">
        <v>497</v>
      </c>
      <c r="C498" s="4" t="s">
        <v>26</v>
      </c>
      <c r="D498" s="4" t="s">
        <v>50</v>
      </c>
      <c r="E498" s="4" t="s">
        <v>56</v>
      </c>
      <c r="F498" s="4" t="s">
        <v>2513</v>
      </c>
      <c r="G498">
        <v>16</v>
      </c>
      <c r="H498">
        <v>80</v>
      </c>
      <c r="I498" s="4" t="s">
        <v>116</v>
      </c>
      <c r="J498" s="4" t="s">
        <v>131</v>
      </c>
      <c r="K498" s="4" t="s">
        <v>132</v>
      </c>
      <c r="L498" s="4" t="s">
        <v>158</v>
      </c>
      <c r="M498">
        <v>36</v>
      </c>
    </row>
    <row r="499" spans="1:13" x14ac:dyDescent="0.2">
      <c r="A499" s="4" t="s">
        <v>683</v>
      </c>
      <c r="B499">
        <v>498</v>
      </c>
      <c r="C499" s="4" t="s">
        <v>26</v>
      </c>
      <c r="D499" s="4" t="s">
        <v>50</v>
      </c>
      <c r="E499" s="4" t="s">
        <v>56</v>
      </c>
      <c r="F499" s="4" t="s">
        <v>2513</v>
      </c>
      <c r="G499">
        <v>16</v>
      </c>
      <c r="H499">
        <v>80</v>
      </c>
      <c r="I499" s="4" t="s">
        <v>112</v>
      </c>
      <c r="J499" s="4" t="s">
        <v>133</v>
      </c>
      <c r="K499" s="4" t="s">
        <v>134</v>
      </c>
      <c r="L499" s="4" t="s">
        <v>158</v>
      </c>
      <c r="M499">
        <v>2</v>
      </c>
    </row>
    <row r="500" spans="1:13" x14ac:dyDescent="0.2">
      <c r="A500" s="4" t="s">
        <v>684</v>
      </c>
      <c r="B500">
        <v>499</v>
      </c>
      <c r="C500" s="4" t="s">
        <v>26</v>
      </c>
      <c r="D500" s="4" t="s">
        <v>50</v>
      </c>
      <c r="E500" s="4" t="s">
        <v>56</v>
      </c>
      <c r="F500" s="4" t="s">
        <v>2513</v>
      </c>
      <c r="G500">
        <v>16</v>
      </c>
      <c r="H500">
        <v>80</v>
      </c>
      <c r="I500" s="4" t="s">
        <v>114</v>
      </c>
      <c r="J500" s="4" t="s">
        <v>133</v>
      </c>
      <c r="K500" s="4" t="s">
        <v>134</v>
      </c>
      <c r="L500" s="4" t="s">
        <v>158</v>
      </c>
      <c r="M500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6488-A502-FC47-B85F-39DB3BB440C4}">
  <dimension ref="A1:T92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2.1640625" bestFit="1" customWidth="1"/>
    <col min="10" max="10" width="11" bestFit="1" customWidth="1"/>
    <col min="11" max="11" width="20.33203125" bestFit="1" customWidth="1"/>
    <col min="12" max="12" width="24.6640625" bestFit="1" customWidth="1"/>
    <col min="13" max="13" width="13.5" bestFit="1" customWidth="1"/>
    <col min="14" max="14" width="13.1640625" bestFit="1" customWidth="1"/>
    <col min="15" max="15" width="11.83203125" bestFit="1" customWidth="1"/>
    <col min="16" max="16" width="9.6640625" bestFit="1" customWidth="1"/>
    <col min="17" max="17" width="7.5" bestFit="1" customWidth="1"/>
    <col min="18" max="18" width="25.33203125" bestFit="1" customWidth="1"/>
    <col min="19" max="19" width="22.83203125" bestFit="1" customWidth="1"/>
    <col min="20" max="20" width="23.1640625" bestFit="1" customWidth="1"/>
  </cols>
  <sheetData>
    <row r="1" spans="1:20" x14ac:dyDescent="0.2">
      <c r="A1" t="s">
        <v>0</v>
      </c>
      <c r="B1" t="s">
        <v>1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935</v>
      </c>
      <c r="J1" t="s">
        <v>936</v>
      </c>
      <c r="K1" t="s">
        <v>8</v>
      </c>
      <c r="L1" t="s">
        <v>9</v>
      </c>
      <c r="M1" t="s">
        <v>937</v>
      </c>
      <c r="N1" t="s">
        <v>24</v>
      </c>
      <c r="O1" t="s">
        <v>10</v>
      </c>
      <c r="P1" t="s">
        <v>938</v>
      </c>
      <c r="Q1" t="s">
        <v>11</v>
      </c>
      <c r="R1" t="s">
        <v>939</v>
      </c>
      <c r="S1" t="s">
        <v>940</v>
      </c>
      <c r="T1" t="s">
        <v>941</v>
      </c>
    </row>
    <row r="2" spans="1:20" x14ac:dyDescent="0.2">
      <c r="A2" s="4" t="s">
        <v>25</v>
      </c>
      <c r="B2">
        <v>1</v>
      </c>
      <c r="C2" s="4" t="s">
        <v>26</v>
      </c>
      <c r="D2" s="4" t="s">
        <v>27</v>
      </c>
      <c r="E2" s="4" t="s">
        <v>27</v>
      </c>
      <c r="F2" s="4" t="s">
        <v>28</v>
      </c>
      <c r="G2">
        <v>1</v>
      </c>
      <c r="H2">
        <v>1</v>
      </c>
      <c r="I2" s="4" t="s">
        <v>942</v>
      </c>
      <c r="J2" s="4" t="s">
        <v>119</v>
      </c>
      <c r="K2" s="4" t="s">
        <v>122</v>
      </c>
      <c r="L2" s="4" t="s">
        <v>123</v>
      </c>
      <c r="M2">
        <v>22.95</v>
      </c>
      <c r="N2" s="4" t="s">
        <v>30</v>
      </c>
      <c r="O2">
        <v>1161</v>
      </c>
      <c r="P2" s="4" t="s">
        <v>943</v>
      </c>
      <c r="Q2" s="4" t="s">
        <v>158</v>
      </c>
      <c r="R2" s="4" t="s">
        <v>27</v>
      </c>
      <c r="S2" s="4" t="s">
        <v>35</v>
      </c>
      <c r="T2" s="4" t="s">
        <v>36</v>
      </c>
    </row>
    <row r="3" spans="1:20" x14ac:dyDescent="0.2">
      <c r="A3" s="4" t="s">
        <v>31</v>
      </c>
      <c r="B3">
        <v>2</v>
      </c>
      <c r="C3" s="4" t="s">
        <v>26</v>
      </c>
      <c r="D3" s="4" t="s">
        <v>27</v>
      </c>
      <c r="E3" s="4" t="s">
        <v>27</v>
      </c>
      <c r="F3" s="4" t="s">
        <v>28</v>
      </c>
      <c r="G3">
        <v>1</v>
      </c>
      <c r="H3">
        <v>1</v>
      </c>
      <c r="I3" s="4" t="s">
        <v>942</v>
      </c>
      <c r="J3" s="4" t="s">
        <v>119</v>
      </c>
      <c r="K3" s="4" t="s">
        <v>125</v>
      </c>
      <c r="L3" s="4" t="s">
        <v>126</v>
      </c>
      <c r="M3">
        <v>72.069999999999993</v>
      </c>
      <c r="N3" s="4" t="s">
        <v>30</v>
      </c>
      <c r="O3">
        <v>452</v>
      </c>
      <c r="P3" s="4" t="s">
        <v>943</v>
      </c>
      <c r="Q3" s="4" t="s">
        <v>158</v>
      </c>
      <c r="R3" s="4" t="s">
        <v>27</v>
      </c>
      <c r="S3" s="4" t="s">
        <v>35</v>
      </c>
      <c r="T3" s="4" t="s">
        <v>36</v>
      </c>
    </row>
    <row r="4" spans="1:20" x14ac:dyDescent="0.2">
      <c r="A4" s="4" t="s">
        <v>34</v>
      </c>
      <c r="B4">
        <v>3</v>
      </c>
      <c r="C4" s="4" t="s">
        <v>26</v>
      </c>
      <c r="D4" s="4" t="s">
        <v>27</v>
      </c>
      <c r="E4" s="4" t="s">
        <v>27</v>
      </c>
      <c r="F4" s="4" t="s">
        <v>28</v>
      </c>
      <c r="G4">
        <v>1</v>
      </c>
      <c r="H4">
        <v>1</v>
      </c>
      <c r="I4" s="4" t="s">
        <v>942</v>
      </c>
      <c r="J4" s="4" t="s">
        <v>119</v>
      </c>
      <c r="K4" s="4" t="s">
        <v>127</v>
      </c>
      <c r="L4" s="4" t="s">
        <v>128</v>
      </c>
      <c r="M4">
        <v>25.85</v>
      </c>
      <c r="N4" s="4" t="s">
        <v>30</v>
      </c>
      <c r="O4">
        <v>1023</v>
      </c>
      <c r="P4" s="4" t="s">
        <v>943</v>
      </c>
      <c r="Q4" s="4" t="s">
        <v>158</v>
      </c>
      <c r="R4" s="4" t="s">
        <v>27</v>
      </c>
      <c r="S4" s="4" t="s">
        <v>35</v>
      </c>
      <c r="T4" s="4" t="s">
        <v>36</v>
      </c>
    </row>
    <row r="5" spans="1:20" x14ac:dyDescent="0.2">
      <c r="A5" s="4" t="s">
        <v>37</v>
      </c>
      <c r="B5">
        <v>4</v>
      </c>
      <c r="C5" s="4" t="s">
        <v>26</v>
      </c>
      <c r="D5" s="4" t="s">
        <v>27</v>
      </c>
      <c r="E5" s="4" t="s">
        <v>27</v>
      </c>
      <c r="F5" s="4" t="s">
        <v>28</v>
      </c>
      <c r="G5">
        <v>1</v>
      </c>
      <c r="H5">
        <v>1</v>
      </c>
      <c r="I5" s="4" t="s">
        <v>942</v>
      </c>
      <c r="J5" s="4" t="s">
        <v>119</v>
      </c>
      <c r="K5" s="4" t="s">
        <v>129</v>
      </c>
      <c r="L5" s="4" t="s">
        <v>130</v>
      </c>
      <c r="M5">
        <v>82.68</v>
      </c>
      <c r="N5" s="4" t="s">
        <v>30</v>
      </c>
      <c r="O5">
        <v>391</v>
      </c>
      <c r="P5" s="4" t="s">
        <v>943</v>
      </c>
      <c r="Q5" s="4" t="s">
        <v>158</v>
      </c>
      <c r="R5" s="4" t="s">
        <v>27</v>
      </c>
      <c r="S5" s="4" t="s">
        <v>35</v>
      </c>
      <c r="T5" s="4" t="s">
        <v>36</v>
      </c>
    </row>
    <row r="6" spans="1:20" x14ac:dyDescent="0.2">
      <c r="A6" s="4" t="s">
        <v>40</v>
      </c>
      <c r="B6">
        <v>5</v>
      </c>
      <c r="C6" s="4" t="s">
        <v>26</v>
      </c>
      <c r="D6" s="4" t="s">
        <v>27</v>
      </c>
      <c r="E6" s="4" t="s">
        <v>27</v>
      </c>
      <c r="F6" s="4" t="s">
        <v>28</v>
      </c>
      <c r="G6">
        <v>1</v>
      </c>
      <c r="H6">
        <v>1</v>
      </c>
      <c r="I6" s="4" t="s">
        <v>942</v>
      </c>
      <c r="J6" s="4" t="s">
        <v>119</v>
      </c>
      <c r="K6" s="4" t="s">
        <v>131</v>
      </c>
      <c r="L6" s="4" t="s">
        <v>132</v>
      </c>
      <c r="M6">
        <v>59.88</v>
      </c>
      <c r="N6" s="4" t="s">
        <v>30</v>
      </c>
      <c r="O6">
        <v>497</v>
      </c>
      <c r="P6" s="4" t="s">
        <v>943</v>
      </c>
      <c r="Q6" s="4" t="s">
        <v>158</v>
      </c>
      <c r="R6" s="4" t="s">
        <v>27</v>
      </c>
      <c r="S6" s="4" t="s">
        <v>35</v>
      </c>
      <c r="T6" s="4" t="s">
        <v>36</v>
      </c>
    </row>
    <row r="7" spans="1:20" x14ac:dyDescent="0.2">
      <c r="A7" s="4" t="s">
        <v>43</v>
      </c>
      <c r="B7">
        <v>6</v>
      </c>
      <c r="C7" s="4" t="s">
        <v>26</v>
      </c>
      <c r="D7" s="4" t="s">
        <v>27</v>
      </c>
      <c r="E7" s="4" t="s">
        <v>27</v>
      </c>
      <c r="F7" s="4" t="s">
        <v>28</v>
      </c>
      <c r="G7">
        <v>1</v>
      </c>
      <c r="H7">
        <v>1</v>
      </c>
      <c r="I7" s="4" t="s">
        <v>942</v>
      </c>
      <c r="J7" s="4" t="s">
        <v>119</v>
      </c>
      <c r="K7" s="4" t="s">
        <v>133</v>
      </c>
      <c r="L7" s="4" t="s">
        <v>134</v>
      </c>
      <c r="M7">
        <v>43.15</v>
      </c>
      <c r="N7" s="4" t="s">
        <v>30</v>
      </c>
      <c r="O7">
        <v>386</v>
      </c>
      <c r="P7" s="4" t="s">
        <v>943</v>
      </c>
      <c r="Q7" s="4" t="s">
        <v>158</v>
      </c>
      <c r="R7" s="4" t="s">
        <v>27</v>
      </c>
      <c r="S7" s="4" t="s">
        <v>35</v>
      </c>
      <c r="T7" s="4" t="s">
        <v>36</v>
      </c>
    </row>
    <row r="8" spans="1:20" x14ac:dyDescent="0.2">
      <c r="A8" s="4" t="s">
        <v>46</v>
      </c>
      <c r="B8">
        <v>7</v>
      </c>
      <c r="C8" s="4" t="s">
        <v>26</v>
      </c>
      <c r="D8" s="4" t="s">
        <v>27</v>
      </c>
      <c r="E8" s="4" t="s">
        <v>41</v>
      </c>
      <c r="F8" s="4" t="s">
        <v>42</v>
      </c>
      <c r="G8">
        <v>1</v>
      </c>
      <c r="H8">
        <v>5</v>
      </c>
      <c r="I8" s="4" t="s">
        <v>944</v>
      </c>
      <c r="J8" s="4" t="s">
        <v>119</v>
      </c>
      <c r="K8" s="4" t="s">
        <v>122</v>
      </c>
      <c r="L8" s="4" t="s">
        <v>123</v>
      </c>
      <c r="M8">
        <v>22.95</v>
      </c>
      <c r="N8" s="4" t="s">
        <v>30</v>
      </c>
      <c r="O8">
        <v>1</v>
      </c>
      <c r="P8" s="4" t="s">
        <v>943</v>
      </c>
      <c r="Q8" s="4" t="s">
        <v>158</v>
      </c>
      <c r="R8" s="4" t="s">
        <v>27</v>
      </c>
      <c r="S8" s="4" t="s">
        <v>44</v>
      </c>
      <c r="T8" s="4" t="s">
        <v>45</v>
      </c>
    </row>
    <row r="9" spans="1:20" x14ac:dyDescent="0.2">
      <c r="A9" s="4" t="s">
        <v>49</v>
      </c>
      <c r="B9">
        <v>8</v>
      </c>
      <c r="C9" s="4" t="s">
        <v>26</v>
      </c>
      <c r="D9" s="4" t="s">
        <v>27</v>
      </c>
      <c r="E9" s="4" t="s">
        <v>41</v>
      </c>
      <c r="F9" s="4" t="s">
        <v>42</v>
      </c>
      <c r="G9">
        <v>1</v>
      </c>
      <c r="H9">
        <v>5</v>
      </c>
      <c r="I9" s="4" t="s">
        <v>944</v>
      </c>
      <c r="J9" s="4" t="s">
        <v>119</v>
      </c>
      <c r="K9" s="4" t="s">
        <v>125</v>
      </c>
      <c r="L9" s="4" t="s">
        <v>126</v>
      </c>
      <c r="M9">
        <v>72.069999999999993</v>
      </c>
      <c r="N9" s="4" t="s">
        <v>30</v>
      </c>
      <c r="O9">
        <v>1</v>
      </c>
      <c r="P9" s="4" t="s">
        <v>943</v>
      </c>
      <c r="Q9" s="4" t="s">
        <v>158</v>
      </c>
      <c r="R9" s="4" t="s">
        <v>27</v>
      </c>
      <c r="S9" s="4" t="s">
        <v>44</v>
      </c>
      <c r="T9" s="4" t="s">
        <v>45</v>
      </c>
    </row>
    <row r="10" spans="1:20" x14ac:dyDescent="0.2">
      <c r="A10" s="4" t="s">
        <v>52</v>
      </c>
      <c r="B10">
        <v>9</v>
      </c>
      <c r="C10" s="4" t="s">
        <v>26</v>
      </c>
      <c r="D10" s="4" t="s">
        <v>27</v>
      </c>
      <c r="E10" s="4" t="s">
        <v>41</v>
      </c>
      <c r="F10" s="4" t="s">
        <v>42</v>
      </c>
      <c r="G10">
        <v>1</v>
      </c>
      <c r="H10">
        <v>5</v>
      </c>
      <c r="I10" s="4" t="s">
        <v>944</v>
      </c>
      <c r="J10" s="4" t="s">
        <v>119</v>
      </c>
      <c r="K10" s="4" t="s">
        <v>127</v>
      </c>
      <c r="L10" s="4" t="s">
        <v>128</v>
      </c>
      <c r="M10">
        <v>25.85</v>
      </c>
      <c r="N10" s="4" t="s">
        <v>30</v>
      </c>
      <c r="O10">
        <v>1</v>
      </c>
      <c r="P10" s="4" t="s">
        <v>943</v>
      </c>
      <c r="Q10" s="4" t="s">
        <v>158</v>
      </c>
      <c r="R10" s="4" t="s">
        <v>27</v>
      </c>
      <c r="S10" s="4" t="s">
        <v>44</v>
      </c>
      <c r="T10" s="4" t="s">
        <v>45</v>
      </c>
    </row>
    <row r="11" spans="1:20" x14ac:dyDescent="0.2">
      <c r="A11" s="4" t="s">
        <v>55</v>
      </c>
      <c r="B11">
        <v>10</v>
      </c>
      <c r="C11" s="4" t="s">
        <v>26</v>
      </c>
      <c r="D11" s="4" t="s">
        <v>27</v>
      </c>
      <c r="E11" s="4" t="s">
        <v>41</v>
      </c>
      <c r="F11" s="4" t="s">
        <v>42</v>
      </c>
      <c r="G11">
        <v>1</v>
      </c>
      <c r="H11">
        <v>5</v>
      </c>
      <c r="I11" s="4" t="s">
        <v>944</v>
      </c>
      <c r="J11" s="4" t="s">
        <v>119</v>
      </c>
      <c r="K11" s="4" t="s">
        <v>129</v>
      </c>
      <c r="L11" s="4" t="s">
        <v>130</v>
      </c>
      <c r="M11">
        <v>82.68</v>
      </c>
      <c r="N11" s="4" t="s">
        <v>30</v>
      </c>
      <c r="O11">
        <v>1</v>
      </c>
      <c r="P11" s="4" t="s">
        <v>943</v>
      </c>
      <c r="Q11" s="4" t="s">
        <v>158</v>
      </c>
      <c r="R11" s="4" t="s">
        <v>27</v>
      </c>
      <c r="S11" s="4" t="s">
        <v>44</v>
      </c>
      <c r="T11" s="4" t="s">
        <v>45</v>
      </c>
    </row>
    <row r="12" spans="1:20" x14ac:dyDescent="0.2">
      <c r="A12" s="4" t="s">
        <v>58</v>
      </c>
      <c r="B12">
        <v>11</v>
      </c>
      <c r="C12" s="4" t="s">
        <v>26</v>
      </c>
      <c r="D12" s="4" t="s">
        <v>27</v>
      </c>
      <c r="E12" s="4" t="s">
        <v>41</v>
      </c>
      <c r="F12" s="4" t="s">
        <v>42</v>
      </c>
      <c r="G12">
        <v>1</v>
      </c>
      <c r="H12">
        <v>5</v>
      </c>
      <c r="I12" s="4" t="s">
        <v>944</v>
      </c>
      <c r="J12" s="4" t="s">
        <v>119</v>
      </c>
      <c r="K12" s="4" t="s">
        <v>131</v>
      </c>
      <c r="L12" s="4" t="s">
        <v>132</v>
      </c>
      <c r="M12">
        <v>59.88</v>
      </c>
      <c r="N12" s="4" t="s">
        <v>30</v>
      </c>
      <c r="O12">
        <v>1</v>
      </c>
      <c r="P12" s="4" t="s">
        <v>943</v>
      </c>
      <c r="Q12" s="4" t="s">
        <v>158</v>
      </c>
      <c r="R12" s="4" t="s">
        <v>27</v>
      </c>
      <c r="S12" s="4" t="s">
        <v>44</v>
      </c>
      <c r="T12" s="4" t="s">
        <v>45</v>
      </c>
    </row>
    <row r="13" spans="1:20" x14ac:dyDescent="0.2">
      <c r="A13" s="4" t="s">
        <v>60</v>
      </c>
      <c r="B13">
        <v>12</v>
      </c>
      <c r="C13" s="4" t="s">
        <v>26</v>
      </c>
      <c r="D13" s="4" t="s">
        <v>27</v>
      </c>
      <c r="E13" s="4" t="s">
        <v>41</v>
      </c>
      <c r="F13" s="4" t="s">
        <v>42</v>
      </c>
      <c r="G13">
        <v>1</v>
      </c>
      <c r="H13">
        <v>5</v>
      </c>
      <c r="I13" s="4" t="s">
        <v>944</v>
      </c>
      <c r="J13" s="4" t="s">
        <v>119</v>
      </c>
      <c r="K13" s="4" t="s">
        <v>133</v>
      </c>
      <c r="L13" s="4" t="s">
        <v>134</v>
      </c>
      <c r="M13">
        <v>43.15</v>
      </c>
      <c r="N13" s="4" t="s">
        <v>30</v>
      </c>
      <c r="O13">
        <v>1</v>
      </c>
      <c r="P13" s="4" t="s">
        <v>943</v>
      </c>
      <c r="Q13" s="4" t="s">
        <v>158</v>
      </c>
      <c r="R13" s="4" t="s">
        <v>27</v>
      </c>
      <c r="S13" s="4" t="s">
        <v>44</v>
      </c>
      <c r="T13" s="4" t="s">
        <v>45</v>
      </c>
    </row>
    <row r="14" spans="1:20" x14ac:dyDescent="0.2">
      <c r="A14" s="4" t="s">
        <v>62</v>
      </c>
      <c r="B14">
        <v>13</v>
      </c>
      <c r="C14" s="4" t="s">
        <v>26</v>
      </c>
      <c r="D14" s="4" t="s">
        <v>27</v>
      </c>
      <c r="E14" s="4" t="s">
        <v>44</v>
      </c>
      <c r="F14" s="4" t="s">
        <v>45</v>
      </c>
      <c r="G14">
        <v>2</v>
      </c>
      <c r="H14">
        <v>6</v>
      </c>
      <c r="I14" s="4" t="s">
        <v>945</v>
      </c>
      <c r="J14" s="4" t="s">
        <v>119</v>
      </c>
      <c r="K14" s="4" t="s">
        <v>122</v>
      </c>
      <c r="L14" s="4" t="s">
        <v>123</v>
      </c>
      <c r="M14">
        <v>22.95</v>
      </c>
      <c r="N14" s="4" t="s">
        <v>30</v>
      </c>
      <c r="O14">
        <v>141</v>
      </c>
      <c r="P14" s="4" t="s">
        <v>943</v>
      </c>
      <c r="Q14" s="4" t="s">
        <v>158</v>
      </c>
      <c r="R14" s="4" t="s">
        <v>27</v>
      </c>
      <c r="S14" s="4" t="s">
        <v>47</v>
      </c>
      <c r="T14" s="4" t="s">
        <v>48</v>
      </c>
    </row>
    <row r="15" spans="1:20" x14ac:dyDescent="0.2">
      <c r="A15" s="4" t="s">
        <v>64</v>
      </c>
      <c r="B15">
        <v>14</v>
      </c>
      <c r="C15" s="4" t="s">
        <v>26</v>
      </c>
      <c r="D15" s="4" t="s">
        <v>27</v>
      </c>
      <c r="E15" s="4" t="s">
        <v>44</v>
      </c>
      <c r="F15" s="4" t="s">
        <v>45</v>
      </c>
      <c r="G15">
        <v>2</v>
      </c>
      <c r="H15">
        <v>6</v>
      </c>
      <c r="I15" s="4" t="s">
        <v>945</v>
      </c>
      <c r="J15" s="4" t="s">
        <v>119</v>
      </c>
      <c r="K15" s="4" t="s">
        <v>127</v>
      </c>
      <c r="L15" s="4" t="s">
        <v>128</v>
      </c>
      <c r="M15">
        <v>25.85</v>
      </c>
      <c r="N15" s="4" t="s">
        <v>30</v>
      </c>
      <c r="O15">
        <v>66</v>
      </c>
      <c r="P15" s="4" t="s">
        <v>943</v>
      </c>
      <c r="Q15" s="4" t="s">
        <v>158</v>
      </c>
      <c r="R15" s="4" t="s">
        <v>27</v>
      </c>
      <c r="S15" s="4" t="s">
        <v>47</v>
      </c>
      <c r="T15" s="4" t="s">
        <v>48</v>
      </c>
    </row>
    <row r="16" spans="1:20" x14ac:dyDescent="0.2">
      <c r="A16" s="4" t="s">
        <v>66</v>
      </c>
      <c r="B16">
        <v>15</v>
      </c>
      <c r="C16" s="4" t="s">
        <v>26</v>
      </c>
      <c r="D16" s="4" t="s">
        <v>27</v>
      </c>
      <c r="E16" s="4" t="s">
        <v>44</v>
      </c>
      <c r="F16" s="4" t="s">
        <v>45</v>
      </c>
      <c r="G16">
        <v>2</v>
      </c>
      <c r="H16">
        <v>6</v>
      </c>
      <c r="I16" s="4" t="s">
        <v>945</v>
      </c>
      <c r="J16" s="4" t="s">
        <v>119</v>
      </c>
      <c r="K16" s="4" t="s">
        <v>129</v>
      </c>
      <c r="L16" s="4" t="s">
        <v>130</v>
      </c>
      <c r="M16">
        <v>82.68</v>
      </c>
      <c r="N16" s="4" t="s">
        <v>30</v>
      </c>
      <c r="O16">
        <v>15</v>
      </c>
      <c r="P16" s="4" t="s">
        <v>943</v>
      </c>
      <c r="Q16" s="4" t="s">
        <v>158</v>
      </c>
      <c r="R16" s="4" t="s">
        <v>27</v>
      </c>
      <c r="S16" s="4" t="s">
        <v>47</v>
      </c>
      <c r="T16" s="4" t="s">
        <v>48</v>
      </c>
    </row>
    <row r="17" spans="1:20" x14ac:dyDescent="0.2">
      <c r="A17" s="4" t="s">
        <v>68</v>
      </c>
      <c r="B17">
        <v>16</v>
      </c>
      <c r="C17" s="4" t="s">
        <v>26</v>
      </c>
      <c r="D17" s="4" t="s">
        <v>32</v>
      </c>
      <c r="E17" s="4" t="s">
        <v>27</v>
      </c>
      <c r="F17" s="4" t="s">
        <v>59</v>
      </c>
      <c r="G17">
        <v>3</v>
      </c>
      <c r="H17">
        <v>11</v>
      </c>
      <c r="I17" s="4" t="s">
        <v>946</v>
      </c>
      <c r="J17" s="4" t="s">
        <v>119</v>
      </c>
      <c r="K17" s="4" t="s">
        <v>122</v>
      </c>
      <c r="L17" s="4" t="s">
        <v>123</v>
      </c>
      <c r="M17">
        <v>22.95</v>
      </c>
      <c r="N17" s="4" t="s">
        <v>30</v>
      </c>
      <c r="O17">
        <v>417</v>
      </c>
      <c r="P17" s="4" t="s">
        <v>943</v>
      </c>
      <c r="Q17" s="4" t="s">
        <v>158</v>
      </c>
      <c r="R17" s="4" t="s">
        <v>32</v>
      </c>
      <c r="S17" s="4" t="s">
        <v>32</v>
      </c>
      <c r="T17" s="4" t="s">
        <v>61</v>
      </c>
    </row>
    <row r="18" spans="1:20" x14ac:dyDescent="0.2">
      <c r="A18" s="4" t="s">
        <v>70</v>
      </c>
      <c r="B18">
        <v>17</v>
      </c>
      <c r="C18" s="4" t="s">
        <v>26</v>
      </c>
      <c r="D18" s="4" t="s">
        <v>32</v>
      </c>
      <c r="E18" s="4" t="s">
        <v>27</v>
      </c>
      <c r="F18" s="4" t="s">
        <v>59</v>
      </c>
      <c r="G18">
        <v>3</v>
      </c>
      <c r="H18">
        <v>11</v>
      </c>
      <c r="I18" s="4" t="s">
        <v>946</v>
      </c>
      <c r="J18" s="4" t="s">
        <v>119</v>
      </c>
      <c r="K18" s="4" t="s">
        <v>125</v>
      </c>
      <c r="L18" s="4" t="s">
        <v>126</v>
      </c>
      <c r="M18">
        <v>72.069999999999993</v>
      </c>
      <c r="N18" s="4" t="s">
        <v>30</v>
      </c>
      <c r="O18">
        <v>39</v>
      </c>
      <c r="P18" s="4" t="s">
        <v>943</v>
      </c>
      <c r="Q18" s="4" t="s">
        <v>158</v>
      </c>
      <c r="R18" s="4" t="s">
        <v>32</v>
      </c>
      <c r="S18" s="4" t="s">
        <v>32</v>
      </c>
      <c r="T18" s="4" t="s">
        <v>61</v>
      </c>
    </row>
    <row r="19" spans="1:20" x14ac:dyDescent="0.2">
      <c r="A19" s="4" t="s">
        <v>72</v>
      </c>
      <c r="B19">
        <v>18</v>
      </c>
      <c r="C19" s="4" t="s">
        <v>26</v>
      </c>
      <c r="D19" s="4" t="s">
        <v>32</v>
      </c>
      <c r="E19" s="4" t="s">
        <v>27</v>
      </c>
      <c r="F19" s="4" t="s">
        <v>59</v>
      </c>
      <c r="G19">
        <v>3</v>
      </c>
      <c r="H19">
        <v>11</v>
      </c>
      <c r="I19" s="4" t="s">
        <v>946</v>
      </c>
      <c r="J19" s="4" t="s">
        <v>119</v>
      </c>
      <c r="K19" s="4" t="s">
        <v>127</v>
      </c>
      <c r="L19" s="4" t="s">
        <v>128</v>
      </c>
      <c r="M19">
        <v>25.85</v>
      </c>
      <c r="N19" s="4" t="s">
        <v>30</v>
      </c>
      <c r="O19">
        <v>479</v>
      </c>
      <c r="P19" s="4" t="s">
        <v>943</v>
      </c>
      <c r="Q19" s="4" t="s">
        <v>158</v>
      </c>
      <c r="R19" s="4" t="s">
        <v>32</v>
      </c>
      <c r="S19" s="4" t="s">
        <v>32</v>
      </c>
      <c r="T19" s="4" t="s">
        <v>61</v>
      </c>
    </row>
    <row r="20" spans="1:20" x14ac:dyDescent="0.2">
      <c r="A20" s="4" t="s">
        <v>74</v>
      </c>
      <c r="B20">
        <v>19</v>
      </c>
      <c r="C20" s="4" t="s">
        <v>26</v>
      </c>
      <c r="D20" s="4" t="s">
        <v>32</v>
      </c>
      <c r="E20" s="4" t="s">
        <v>27</v>
      </c>
      <c r="F20" s="4" t="s">
        <v>59</v>
      </c>
      <c r="G20">
        <v>3</v>
      </c>
      <c r="H20">
        <v>11</v>
      </c>
      <c r="I20" s="4" t="s">
        <v>946</v>
      </c>
      <c r="J20" s="4" t="s">
        <v>119</v>
      </c>
      <c r="K20" s="4" t="s">
        <v>129</v>
      </c>
      <c r="L20" s="4" t="s">
        <v>130</v>
      </c>
      <c r="M20">
        <v>82.68</v>
      </c>
      <c r="N20" s="4" t="s">
        <v>30</v>
      </c>
      <c r="O20">
        <v>97</v>
      </c>
      <c r="P20" s="4" t="s">
        <v>943</v>
      </c>
      <c r="Q20" s="4" t="s">
        <v>158</v>
      </c>
      <c r="R20" s="4" t="s">
        <v>32</v>
      </c>
      <c r="S20" s="4" t="s">
        <v>32</v>
      </c>
      <c r="T20" s="4" t="s">
        <v>61</v>
      </c>
    </row>
    <row r="21" spans="1:20" x14ac:dyDescent="0.2">
      <c r="A21" s="4" t="s">
        <v>76</v>
      </c>
      <c r="B21">
        <v>20</v>
      </c>
      <c r="C21" s="4" t="s">
        <v>26</v>
      </c>
      <c r="D21" s="4" t="s">
        <v>32</v>
      </c>
      <c r="E21" s="4" t="s">
        <v>27</v>
      </c>
      <c r="F21" s="4" t="s">
        <v>59</v>
      </c>
      <c r="G21">
        <v>3</v>
      </c>
      <c r="H21">
        <v>11</v>
      </c>
      <c r="I21" s="4" t="s">
        <v>946</v>
      </c>
      <c r="J21" s="4" t="s">
        <v>119</v>
      </c>
      <c r="K21" s="4" t="s">
        <v>131</v>
      </c>
      <c r="L21" s="4" t="s">
        <v>132</v>
      </c>
      <c r="M21">
        <v>59.88</v>
      </c>
      <c r="N21" s="4" t="s">
        <v>30</v>
      </c>
      <c r="O21">
        <v>63</v>
      </c>
      <c r="P21" s="4" t="s">
        <v>943</v>
      </c>
      <c r="Q21" s="4" t="s">
        <v>158</v>
      </c>
      <c r="R21" s="4" t="s">
        <v>32</v>
      </c>
      <c r="S21" s="4" t="s">
        <v>32</v>
      </c>
      <c r="T21" s="4" t="s">
        <v>61</v>
      </c>
    </row>
    <row r="22" spans="1:20" x14ac:dyDescent="0.2">
      <c r="A22" s="4" t="s">
        <v>78</v>
      </c>
      <c r="B22">
        <v>21</v>
      </c>
      <c r="C22" s="4" t="s">
        <v>26</v>
      </c>
      <c r="D22" s="4" t="s">
        <v>32</v>
      </c>
      <c r="E22" s="4" t="s">
        <v>41</v>
      </c>
      <c r="F22" s="4" t="s">
        <v>67</v>
      </c>
      <c r="G22">
        <v>3</v>
      </c>
      <c r="H22">
        <v>15</v>
      </c>
      <c r="I22" s="4" t="s">
        <v>947</v>
      </c>
      <c r="J22" s="4" t="s">
        <v>119</v>
      </c>
      <c r="K22" s="4" t="s">
        <v>122</v>
      </c>
      <c r="L22" s="4" t="s">
        <v>123</v>
      </c>
      <c r="M22">
        <v>22.95</v>
      </c>
      <c r="N22" s="4" t="s">
        <v>30</v>
      </c>
      <c r="O22">
        <v>588</v>
      </c>
      <c r="P22" s="4" t="s">
        <v>943</v>
      </c>
      <c r="Q22" s="4" t="s">
        <v>158</v>
      </c>
      <c r="R22" s="4" t="s">
        <v>32</v>
      </c>
      <c r="S22" s="4" t="s">
        <v>44</v>
      </c>
      <c r="T22" s="4" t="s">
        <v>69</v>
      </c>
    </row>
    <row r="23" spans="1:20" x14ac:dyDescent="0.2">
      <c r="A23" s="4" t="s">
        <v>80</v>
      </c>
      <c r="B23">
        <v>22</v>
      </c>
      <c r="C23" s="4" t="s">
        <v>26</v>
      </c>
      <c r="D23" s="4" t="s">
        <v>32</v>
      </c>
      <c r="E23" s="4" t="s">
        <v>41</v>
      </c>
      <c r="F23" s="4" t="s">
        <v>67</v>
      </c>
      <c r="G23">
        <v>3</v>
      </c>
      <c r="H23">
        <v>15</v>
      </c>
      <c r="I23" s="4" t="s">
        <v>947</v>
      </c>
      <c r="J23" s="4" t="s">
        <v>119</v>
      </c>
      <c r="K23" s="4" t="s">
        <v>125</v>
      </c>
      <c r="L23" s="4" t="s">
        <v>126</v>
      </c>
      <c r="M23">
        <v>72.069999999999993</v>
      </c>
      <c r="N23" s="4" t="s">
        <v>30</v>
      </c>
      <c r="O23">
        <v>84</v>
      </c>
      <c r="P23" s="4" t="s">
        <v>943</v>
      </c>
      <c r="Q23" s="4" t="s">
        <v>158</v>
      </c>
      <c r="R23" s="4" t="s">
        <v>32</v>
      </c>
      <c r="S23" s="4" t="s">
        <v>44</v>
      </c>
      <c r="T23" s="4" t="s">
        <v>69</v>
      </c>
    </row>
    <row r="24" spans="1:20" x14ac:dyDescent="0.2">
      <c r="A24" s="4" t="s">
        <v>82</v>
      </c>
      <c r="B24">
        <v>23</v>
      </c>
      <c r="C24" s="4" t="s">
        <v>26</v>
      </c>
      <c r="D24" s="4" t="s">
        <v>32</v>
      </c>
      <c r="E24" s="4" t="s">
        <v>41</v>
      </c>
      <c r="F24" s="4" t="s">
        <v>67</v>
      </c>
      <c r="G24">
        <v>3</v>
      </c>
      <c r="H24">
        <v>15</v>
      </c>
      <c r="I24" s="4" t="s">
        <v>947</v>
      </c>
      <c r="J24" s="4" t="s">
        <v>119</v>
      </c>
      <c r="K24" s="4" t="s">
        <v>127</v>
      </c>
      <c r="L24" s="4" t="s">
        <v>128</v>
      </c>
      <c r="M24">
        <v>25.85</v>
      </c>
      <c r="N24" s="4" t="s">
        <v>30</v>
      </c>
      <c r="O24">
        <v>325</v>
      </c>
      <c r="P24" s="4" t="s">
        <v>943</v>
      </c>
      <c r="Q24" s="4" t="s">
        <v>158</v>
      </c>
      <c r="R24" s="4" t="s">
        <v>32</v>
      </c>
      <c r="S24" s="4" t="s">
        <v>44</v>
      </c>
      <c r="T24" s="4" t="s">
        <v>69</v>
      </c>
    </row>
    <row r="25" spans="1:20" x14ac:dyDescent="0.2">
      <c r="A25" s="4" t="s">
        <v>84</v>
      </c>
      <c r="B25">
        <v>24</v>
      </c>
      <c r="C25" s="4" t="s">
        <v>26</v>
      </c>
      <c r="D25" s="4" t="s">
        <v>32</v>
      </c>
      <c r="E25" s="4" t="s">
        <v>41</v>
      </c>
      <c r="F25" s="4" t="s">
        <v>67</v>
      </c>
      <c r="G25">
        <v>3</v>
      </c>
      <c r="H25">
        <v>15</v>
      </c>
      <c r="I25" s="4" t="s">
        <v>947</v>
      </c>
      <c r="J25" s="4" t="s">
        <v>119</v>
      </c>
      <c r="K25" s="4" t="s">
        <v>129</v>
      </c>
      <c r="L25" s="4" t="s">
        <v>130</v>
      </c>
      <c r="M25">
        <v>82.68</v>
      </c>
      <c r="N25" s="4" t="s">
        <v>30</v>
      </c>
      <c r="O25">
        <v>34</v>
      </c>
      <c r="P25" s="4" t="s">
        <v>943</v>
      </c>
      <c r="Q25" s="4" t="s">
        <v>158</v>
      </c>
      <c r="R25" s="4" t="s">
        <v>32</v>
      </c>
      <c r="S25" s="4" t="s">
        <v>44</v>
      </c>
      <c r="T25" s="4" t="s">
        <v>69</v>
      </c>
    </row>
    <row r="26" spans="1:20" x14ac:dyDescent="0.2">
      <c r="A26" s="4" t="s">
        <v>86</v>
      </c>
      <c r="B26">
        <v>25</v>
      </c>
      <c r="C26" s="4" t="s">
        <v>26</v>
      </c>
      <c r="D26" s="4" t="s">
        <v>32</v>
      </c>
      <c r="E26" s="4" t="s">
        <v>41</v>
      </c>
      <c r="F26" s="4" t="s">
        <v>67</v>
      </c>
      <c r="G26">
        <v>3</v>
      </c>
      <c r="H26">
        <v>15</v>
      </c>
      <c r="I26" s="4" t="s">
        <v>947</v>
      </c>
      <c r="J26" s="4" t="s">
        <v>119</v>
      </c>
      <c r="K26" s="4" t="s">
        <v>131</v>
      </c>
      <c r="L26" s="4" t="s">
        <v>132</v>
      </c>
      <c r="M26">
        <v>59.88</v>
      </c>
      <c r="N26" s="4" t="s">
        <v>30</v>
      </c>
      <c r="O26">
        <v>155</v>
      </c>
      <c r="P26" s="4" t="s">
        <v>943</v>
      </c>
      <c r="Q26" s="4" t="s">
        <v>158</v>
      </c>
      <c r="R26" s="4" t="s">
        <v>32</v>
      </c>
      <c r="S26" s="4" t="s">
        <v>44</v>
      </c>
      <c r="T26" s="4" t="s">
        <v>69</v>
      </c>
    </row>
    <row r="27" spans="1:20" x14ac:dyDescent="0.2">
      <c r="A27" s="4" t="s">
        <v>88</v>
      </c>
      <c r="B27">
        <v>26</v>
      </c>
      <c r="C27" s="4" t="s">
        <v>26</v>
      </c>
      <c r="D27" s="4" t="s">
        <v>32</v>
      </c>
      <c r="E27" s="4" t="s">
        <v>56</v>
      </c>
      <c r="F27" s="4" t="s">
        <v>77</v>
      </c>
      <c r="G27">
        <v>4</v>
      </c>
      <c r="H27">
        <v>20</v>
      </c>
      <c r="I27" s="4" t="s">
        <v>948</v>
      </c>
      <c r="J27" s="4" t="s">
        <v>119</v>
      </c>
      <c r="K27" s="4" t="s">
        <v>122</v>
      </c>
      <c r="L27" s="4" t="s">
        <v>123</v>
      </c>
      <c r="M27">
        <v>22.95</v>
      </c>
      <c r="N27" s="4" t="s">
        <v>30</v>
      </c>
      <c r="O27">
        <v>416</v>
      </c>
      <c r="P27" s="4" t="s">
        <v>943</v>
      </c>
      <c r="Q27" s="4" t="s">
        <v>158</v>
      </c>
      <c r="R27" s="4" t="s">
        <v>35</v>
      </c>
      <c r="S27" s="4" t="s">
        <v>32</v>
      </c>
      <c r="T27" s="4" t="s">
        <v>81</v>
      </c>
    </row>
    <row r="28" spans="1:20" x14ac:dyDescent="0.2">
      <c r="A28" s="4" t="s">
        <v>90</v>
      </c>
      <c r="B28">
        <v>27</v>
      </c>
      <c r="C28" s="4" t="s">
        <v>26</v>
      </c>
      <c r="D28" s="4" t="s">
        <v>32</v>
      </c>
      <c r="E28" s="4" t="s">
        <v>56</v>
      </c>
      <c r="F28" s="4" t="s">
        <v>77</v>
      </c>
      <c r="G28">
        <v>4</v>
      </c>
      <c r="H28">
        <v>20</v>
      </c>
      <c r="I28" s="4" t="s">
        <v>948</v>
      </c>
      <c r="J28" s="4" t="s">
        <v>119</v>
      </c>
      <c r="K28" s="4" t="s">
        <v>125</v>
      </c>
      <c r="L28" s="4" t="s">
        <v>126</v>
      </c>
      <c r="M28">
        <v>72.069999999999993</v>
      </c>
      <c r="N28" s="4" t="s">
        <v>30</v>
      </c>
      <c r="O28">
        <v>62</v>
      </c>
      <c r="P28" s="4" t="s">
        <v>943</v>
      </c>
      <c r="Q28" s="4" t="s">
        <v>158</v>
      </c>
      <c r="R28" s="4" t="s">
        <v>35</v>
      </c>
      <c r="S28" s="4" t="s">
        <v>32</v>
      </c>
      <c r="T28" s="4" t="s">
        <v>81</v>
      </c>
    </row>
    <row r="29" spans="1:20" x14ac:dyDescent="0.2">
      <c r="A29" s="4" t="s">
        <v>92</v>
      </c>
      <c r="B29">
        <v>28</v>
      </c>
      <c r="C29" s="4" t="s">
        <v>26</v>
      </c>
      <c r="D29" s="4" t="s">
        <v>32</v>
      </c>
      <c r="E29" s="4" t="s">
        <v>56</v>
      </c>
      <c r="F29" s="4" t="s">
        <v>77</v>
      </c>
      <c r="G29">
        <v>4</v>
      </c>
      <c r="H29">
        <v>20</v>
      </c>
      <c r="I29" s="4" t="s">
        <v>948</v>
      </c>
      <c r="J29" s="4" t="s">
        <v>119</v>
      </c>
      <c r="K29" s="4" t="s">
        <v>127</v>
      </c>
      <c r="L29" s="4" t="s">
        <v>128</v>
      </c>
      <c r="M29">
        <v>25.85</v>
      </c>
      <c r="N29" s="4" t="s">
        <v>30</v>
      </c>
      <c r="O29">
        <v>559</v>
      </c>
      <c r="P29" s="4" t="s">
        <v>943</v>
      </c>
      <c r="Q29" s="4" t="s">
        <v>158</v>
      </c>
      <c r="R29" s="4" t="s">
        <v>35</v>
      </c>
      <c r="S29" s="4" t="s">
        <v>32</v>
      </c>
      <c r="T29" s="4" t="s">
        <v>81</v>
      </c>
    </row>
    <row r="30" spans="1:20" x14ac:dyDescent="0.2">
      <c r="A30" s="4" t="s">
        <v>94</v>
      </c>
      <c r="B30">
        <v>29</v>
      </c>
      <c r="C30" s="4" t="s">
        <v>26</v>
      </c>
      <c r="D30" s="4" t="s">
        <v>32</v>
      </c>
      <c r="E30" s="4" t="s">
        <v>56</v>
      </c>
      <c r="F30" s="4" t="s">
        <v>77</v>
      </c>
      <c r="G30">
        <v>4</v>
      </c>
      <c r="H30">
        <v>20</v>
      </c>
      <c r="I30" s="4" t="s">
        <v>948</v>
      </c>
      <c r="J30" s="4" t="s">
        <v>119</v>
      </c>
      <c r="K30" s="4" t="s">
        <v>129</v>
      </c>
      <c r="L30" s="4" t="s">
        <v>130</v>
      </c>
      <c r="M30">
        <v>82.68</v>
      </c>
      <c r="N30" s="4" t="s">
        <v>30</v>
      </c>
      <c r="O30">
        <v>165</v>
      </c>
      <c r="P30" s="4" t="s">
        <v>943</v>
      </c>
      <c r="Q30" s="4" t="s">
        <v>158</v>
      </c>
      <c r="R30" s="4" t="s">
        <v>35</v>
      </c>
      <c r="S30" s="4" t="s">
        <v>32</v>
      </c>
      <c r="T30" s="4" t="s">
        <v>81</v>
      </c>
    </row>
    <row r="31" spans="1:20" x14ac:dyDescent="0.2">
      <c r="A31" s="4" t="s">
        <v>96</v>
      </c>
      <c r="B31">
        <v>30</v>
      </c>
      <c r="C31" s="4" t="s">
        <v>26</v>
      </c>
      <c r="D31" s="4" t="s">
        <v>32</v>
      </c>
      <c r="E31" s="4" t="s">
        <v>56</v>
      </c>
      <c r="F31" s="4" t="s">
        <v>77</v>
      </c>
      <c r="G31">
        <v>4</v>
      </c>
      <c r="H31">
        <v>20</v>
      </c>
      <c r="I31" s="4" t="s">
        <v>948</v>
      </c>
      <c r="J31" s="4" t="s">
        <v>119</v>
      </c>
      <c r="K31" s="4" t="s">
        <v>131</v>
      </c>
      <c r="L31" s="4" t="s">
        <v>132</v>
      </c>
      <c r="M31">
        <v>59.88</v>
      </c>
      <c r="N31" s="4" t="s">
        <v>30</v>
      </c>
      <c r="O31">
        <v>158</v>
      </c>
      <c r="P31" s="4" t="s">
        <v>943</v>
      </c>
      <c r="Q31" s="4" t="s">
        <v>158</v>
      </c>
      <c r="R31" s="4" t="s">
        <v>35</v>
      </c>
      <c r="S31" s="4" t="s">
        <v>32</v>
      </c>
      <c r="T31" s="4" t="s">
        <v>81</v>
      </c>
    </row>
    <row r="32" spans="1:20" x14ac:dyDescent="0.2">
      <c r="A32" s="4" t="s">
        <v>215</v>
      </c>
      <c r="B32">
        <v>31</v>
      </c>
      <c r="C32" s="4" t="s">
        <v>26</v>
      </c>
      <c r="D32" s="4" t="s">
        <v>32</v>
      </c>
      <c r="E32" s="4" t="s">
        <v>56</v>
      </c>
      <c r="F32" s="4" t="s">
        <v>77</v>
      </c>
      <c r="G32">
        <v>4</v>
      </c>
      <c r="H32">
        <v>20</v>
      </c>
      <c r="I32" s="4" t="s">
        <v>948</v>
      </c>
      <c r="J32" s="4" t="s">
        <v>119</v>
      </c>
      <c r="K32" s="4" t="s">
        <v>133</v>
      </c>
      <c r="L32" s="4" t="s">
        <v>134</v>
      </c>
      <c r="M32">
        <v>43.15</v>
      </c>
      <c r="N32" s="4" t="s">
        <v>30</v>
      </c>
      <c r="O32">
        <v>198</v>
      </c>
      <c r="P32" s="4" t="s">
        <v>943</v>
      </c>
      <c r="Q32" s="4" t="s">
        <v>158</v>
      </c>
      <c r="R32" s="4" t="s">
        <v>35</v>
      </c>
      <c r="S32" s="4" t="s">
        <v>32</v>
      </c>
      <c r="T32" s="4" t="s">
        <v>81</v>
      </c>
    </row>
    <row r="33" spans="1:20" x14ac:dyDescent="0.2">
      <c r="A33" s="4" t="s">
        <v>216</v>
      </c>
      <c r="B33">
        <v>32</v>
      </c>
      <c r="C33" s="4" t="s">
        <v>26</v>
      </c>
      <c r="D33" s="4" t="s">
        <v>35</v>
      </c>
      <c r="E33" s="4" t="s">
        <v>44</v>
      </c>
      <c r="F33" s="4" t="s">
        <v>89</v>
      </c>
      <c r="G33">
        <v>6</v>
      </c>
      <c r="H33">
        <v>26</v>
      </c>
      <c r="I33" s="4" t="s">
        <v>949</v>
      </c>
      <c r="J33" s="4" t="s">
        <v>119</v>
      </c>
      <c r="K33" s="4" t="s">
        <v>122</v>
      </c>
      <c r="L33" s="4" t="s">
        <v>123</v>
      </c>
      <c r="M33">
        <v>22.95</v>
      </c>
      <c r="N33" s="4" t="s">
        <v>30</v>
      </c>
      <c r="O33">
        <v>395</v>
      </c>
      <c r="P33" s="4" t="s">
        <v>943</v>
      </c>
      <c r="Q33" s="4" t="s">
        <v>158</v>
      </c>
      <c r="R33" s="4" t="s">
        <v>35</v>
      </c>
      <c r="S33" s="4" t="s">
        <v>47</v>
      </c>
      <c r="T33" s="4" t="s">
        <v>91</v>
      </c>
    </row>
    <row r="34" spans="1:20" x14ac:dyDescent="0.2">
      <c r="A34" s="4" t="s">
        <v>217</v>
      </c>
      <c r="B34">
        <v>33</v>
      </c>
      <c r="C34" s="4" t="s">
        <v>26</v>
      </c>
      <c r="D34" s="4" t="s">
        <v>35</v>
      </c>
      <c r="E34" s="4" t="s">
        <v>44</v>
      </c>
      <c r="F34" s="4" t="s">
        <v>89</v>
      </c>
      <c r="G34">
        <v>6</v>
      </c>
      <c r="H34">
        <v>26</v>
      </c>
      <c r="I34" s="4" t="s">
        <v>949</v>
      </c>
      <c r="J34" s="4" t="s">
        <v>119</v>
      </c>
      <c r="K34" s="4" t="s">
        <v>127</v>
      </c>
      <c r="L34" s="4" t="s">
        <v>128</v>
      </c>
      <c r="M34">
        <v>25.85</v>
      </c>
      <c r="N34" s="4" t="s">
        <v>30</v>
      </c>
      <c r="O34">
        <v>482</v>
      </c>
      <c r="P34" s="4" t="s">
        <v>943</v>
      </c>
      <c r="Q34" s="4" t="s">
        <v>158</v>
      </c>
      <c r="R34" s="4" t="s">
        <v>35</v>
      </c>
      <c r="S34" s="4" t="s">
        <v>47</v>
      </c>
      <c r="T34" s="4" t="s">
        <v>91</v>
      </c>
    </row>
    <row r="35" spans="1:20" x14ac:dyDescent="0.2">
      <c r="A35" s="4" t="s">
        <v>218</v>
      </c>
      <c r="B35">
        <v>34</v>
      </c>
      <c r="C35" s="4" t="s">
        <v>26</v>
      </c>
      <c r="D35" s="4" t="s">
        <v>35</v>
      </c>
      <c r="E35" s="4" t="s">
        <v>44</v>
      </c>
      <c r="F35" s="4" t="s">
        <v>89</v>
      </c>
      <c r="G35">
        <v>6</v>
      </c>
      <c r="H35">
        <v>26</v>
      </c>
      <c r="I35" s="4" t="s">
        <v>949</v>
      </c>
      <c r="J35" s="4" t="s">
        <v>119</v>
      </c>
      <c r="K35" s="4" t="s">
        <v>131</v>
      </c>
      <c r="L35" s="4" t="s">
        <v>132</v>
      </c>
      <c r="M35">
        <v>59.88</v>
      </c>
      <c r="N35" s="4" t="s">
        <v>30</v>
      </c>
      <c r="O35">
        <v>145</v>
      </c>
      <c r="P35" s="4" t="s">
        <v>943</v>
      </c>
      <c r="Q35" s="4" t="s">
        <v>158</v>
      </c>
      <c r="R35" s="4" t="s">
        <v>35</v>
      </c>
      <c r="S35" s="4" t="s">
        <v>47</v>
      </c>
      <c r="T35" s="4" t="s">
        <v>91</v>
      </c>
    </row>
    <row r="36" spans="1:20" x14ac:dyDescent="0.2">
      <c r="A36" s="4" t="s">
        <v>219</v>
      </c>
      <c r="B36">
        <v>35</v>
      </c>
      <c r="C36" s="4" t="s">
        <v>26</v>
      </c>
      <c r="D36" s="4" t="s">
        <v>35</v>
      </c>
      <c r="E36" s="4" t="s">
        <v>44</v>
      </c>
      <c r="F36" s="4" t="s">
        <v>89</v>
      </c>
      <c r="G36">
        <v>6</v>
      </c>
      <c r="H36">
        <v>26</v>
      </c>
      <c r="I36" s="4" t="s">
        <v>949</v>
      </c>
      <c r="J36" s="4" t="s">
        <v>119</v>
      </c>
      <c r="K36" s="4" t="s">
        <v>133</v>
      </c>
      <c r="L36" s="4" t="s">
        <v>134</v>
      </c>
      <c r="M36">
        <v>43.15</v>
      </c>
      <c r="N36" s="4" t="s">
        <v>30</v>
      </c>
      <c r="O36">
        <v>252</v>
      </c>
      <c r="P36" s="4" t="s">
        <v>943</v>
      </c>
      <c r="Q36" s="4" t="s">
        <v>158</v>
      </c>
      <c r="R36" s="4" t="s">
        <v>35</v>
      </c>
      <c r="S36" s="4" t="s">
        <v>47</v>
      </c>
      <c r="T36" s="4" t="s">
        <v>91</v>
      </c>
    </row>
    <row r="37" spans="1:20" x14ac:dyDescent="0.2">
      <c r="A37" s="4" t="s">
        <v>220</v>
      </c>
      <c r="B37">
        <v>36</v>
      </c>
      <c r="C37" s="4" t="s">
        <v>26</v>
      </c>
      <c r="D37" s="4" t="s">
        <v>38</v>
      </c>
      <c r="E37" s="4" t="s">
        <v>32</v>
      </c>
      <c r="F37" s="4" t="s">
        <v>1093</v>
      </c>
      <c r="G37">
        <v>7</v>
      </c>
      <c r="H37">
        <v>32</v>
      </c>
      <c r="I37" s="4" t="s">
        <v>1146</v>
      </c>
      <c r="J37" s="4" t="s">
        <v>119</v>
      </c>
      <c r="K37" s="4" t="s">
        <v>122</v>
      </c>
      <c r="L37" s="4" t="s">
        <v>123</v>
      </c>
      <c r="M37">
        <v>22.95</v>
      </c>
      <c r="N37" s="4" t="s">
        <v>30</v>
      </c>
      <c r="O37">
        <v>881</v>
      </c>
      <c r="P37" s="4" t="s">
        <v>943</v>
      </c>
      <c r="Q37" s="4" t="s">
        <v>158</v>
      </c>
      <c r="R37" s="4" t="s">
        <v>38</v>
      </c>
      <c r="S37" s="4" t="s">
        <v>35</v>
      </c>
      <c r="T37" s="4" t="s">
        <v>1122</v>
      </c>
    </row>
    <row r="38" spans="1:20" x14ac:dyDescent="0.2">
      <c r="A38" s="4" t="s">
        <v>221</v>
      </c>
      <c r="B38">
        <v>37</v>
      </c>
      <c r="C38" s="4" t="s">
        <v>26</v>
      </c>
      <c r="D38" s="4" t="s">
        <v>38</v>
      </c>
      <c r="E38" s="4" t="s">
        <v>32</v>
      </c>
      <c r="F38" s="4" t="s">
        <v>1093</v>
      </c>
      <c r="G38">
        <v>7</v>
      </c>
      <c r="H38">
        <v>32</v>
      </c>
      <c r="I38" s="4" t="s">
        <v>1146</v>
      </c>
      <c r="J38" s="4" t="s">
        <v>119</v>
      </c>
      <c r="K38" s="4" t="s">
        <v>127</v>
      </c>
      <c r="L38" s="4" t="s">
        <v>128</v>
      </c>
      <c r="M38">
        <v>25.85</v>
      </c>
      <c r="N38" s="4" t="s">
        <v>30</v>
      </c>
      <c r="O38">
        <v>492</v>
      </c>
      <c r="P38" s="4" t="s">
        <v>943</v>
      </c>
      <c r="Q38" s="4" t="s">
        <v>158</v>
      </c>
      <c r="R38" s="4" t="s">
        <v>38</v>
      </c>
      <c r="S38" s="4" t="s">
        <v>35</v>
      </c>
      <c r="T38" s="4" t="s">
        <v>1122</v>
      </c>
    </row>
    <row r="39" spans="1:20" x14ac:dyDescent="0.2">
      <c r="A39" s="4" t="s">
        <v>222</v>
      </c>
      <c r="B39">
        <v>38</v>
      </c>
      <c r="C39" s="4" t="s">
        <v>26</v>
      </c>
      <c r="D39" s="4" t="s">
        <v>38</v>
      </c>
      <c r="E39" s="4" t="s">
        <v>32</v>
      </c>
      <c r="F39" s="4" t="s">
        <v>1093</v>
      </c>
      <c r="G39">
        <v>7</v>
      </c>
      <c r="H39">
        <v>32</v>
      </c>
      <c r="I39" s="4" t="s">
        <v>1146</v>
      </c>
      <c r="J39" s="4" t="s">
        <v>119</v>
      </c>
      <c r="K39" s="4" t="s">
        <v>131</v>
      </c>
      <c r="L39" s="4" t="s">
        <v>132</v>
      </c>
      <c r="M39">
        <v>59.88</v>
      </c>
      <c r="N39" s="4" t="s">
        <v>30</v>
      </c>
      <c r="O39">
        <v>169</v>
      </c>
      <c r="P39" s="4" t="s">
        <v>943</v>
      </c>
      <c r="Q39" s="4" t="s">
        <v>158</v>
      </c>
      <c r="R39" s="4" t="s">
        <v>38</v>
      </c>
      <c r="S39" s="4" t="s">
        <v>35</v>
      </c>
      <c r="T39" s="4" t="s">
        <v>1122</v>
      </c>
    </row>
    <row r="40" spans="1:20" x14ac:dyDescent="0.2">
      <c r="A40" s="4" t="s">
        <v>223</v>
      </c>
      <c r="B40">
        <v>39</v>
      </c>
      <c r="C40" s="4" t="s">
        <v>26</v>
      </c>
      <c r="D40" s="4" t="s">
        <v>38</v>
      </c>
      <c r="E40" s="4" t="s">
        <v>47</v>
      </c>
      <c r="F40" s="4" t="s">
        <v>1240</v>
      </c>
      <c r="G40">
        <v>8</v>
      </c>
      <c r="H40">
        <v>37</v>
      </c>
      <c r="I40" s="4" t="s">
        <v>1294</v>
      </c>
      <c r="J40" s="4" t="s">
        <v>119</v>
      </c>
      <c r="K40" s="4" t="s">
        <v>122</v>
      </c>
      <c r="L40" s="4" t="s">
        <v>123</v>
      </c>
      <c r="M40">
        <v>22.95</v>
      </c>
      <c r="N40" s="4" t="s">
        <v>30</v>
      </c>
      <c r="O40">
        <v>1400</v>
      </c>
      <c r="P40" s="4" t="s">
        <v>943</v>
      </c>
      <c r="Q40" s="4" t="s">
        <v>158</v>
      </c>
      <c r="R40" s="4" t="s">
        <v>38</v>
      </c>
      <c r="S40" s="4" t="s">
        <v>53</v>
      </c>
      <c r="T40" s="4" t="s">
        <v>1295</v>
      </c>
    </row>
    <row r="41" spans="1:20" x14ac:dyDescent="0.2">
      <c r="A41" s="4" t="s">
        <v>224</v>
      </c>
      <c r="B41">
        <v>40</v>
      </c>
      <c r="C41" s="4" t="s">
        <v>26</v>
      </c>
      <c r="D41" s="4" t="s">
        <v>38</v>
      </c>
      <c r="E41" s="4" t="s">
        <v>47</v>
      </c>
      <c r="F41" s="4" t="s">
        <v>1240</v>
      </c>
      <c r="G41">
        <v>8</v>
      </c>
      <c r="H41">
        <v>37</v>
      </c>
      <c r="I41" s="4" t="s">
        <v>1294</v>
      </c>
      <c r="J41" s="4" t="s">
        <v>119</v>
      </c>
      <c r="K41" s="4" t="s">
        <v>125</v>
      </c>
      <c r="L41" s="4" t="s">
        <v>126</v>
      </c>
      <c r="M41">
        <v>72.069999999999993</v>
      </c>
      <c r="N41" s="4" t="s">
        <v>30</v>
      </c>
      <c r="O41">
        <v>100</v>
      </c>
      <c r="P41" s="4" t="s">
        <v>943</v>
      </c>
      <c r="Q41" s="4" t="s">
        <v>158</v>
      </c>
      <c r="R41" s="4" t="s">
        <v>38</v>
      </c>
      <c r="S41" s="4" t="s">
        <v>53</v>
      </c>
      <c r="T41" s="4" t="s">
        <v>1295</v>
      </c>
    </row>
    <row r="42" spans="1:20" x14ac:dyDescent="0.2">
      <c r="A42" s="4" t="s">
        <v>225</v>
      </c>
      <c r="B42">
        <v>41</v>
      </c>
      <c r="C42" s="4" t="s">
        <v>26</v>
      </c>
      <c r="D42" s="4" t="s">
        <v>38</v>
      </c>
      <c r="E42" s="4" t="s">
        <v>47</v>
      </c>
      <c r="F42" s="4" t="s">
        <v>1240</v>
      </c>
      <c r="G42">
        <v>8</v>
      </c>
      <c r="H42">
        <v>37</v>
      </c>
      <c r="I42" s="4" t="s">
        <v>1294</v>
      </c>
      <c r="J42" s="4" t="s">
        <v>119</v>
      </c>
      <c r="K42" s="4" t="s">
        <v>127</v>
      </c>
      <c r="L42" s="4" t="s">
        <v>128</v>
      </c>
      <c r="M42">
        <v>25.85</v>
      </c>
      <c r="N42" s="4" t="s">
        <v>30</v>
      </c>
      <c r="O42">
        <v>1200</v>
      </c>
      <c r="P42" s="4" t="s">
        <v>943</v>
      </c>
      <c r="Q42" s="4" t="s">
        <v>158</v>
      </c>
      <c r="R42" s="4" t="s">
        <v>38</v>
      </c>
      <c r="S42" s="4" t="s">
        <v>53</v>
      </c>
      <c r="T42" s="4" t="s">
        <v>1295</v>
      </c>
    </row>
    <row r="43" spans="1:20" x14ac:dyDescent="0.2">
      <c r="A43" s="4" t="s">
        <v>226</v>
      </c>
      <c r="B43">
        <v>42</v>
      </c>
      <c r="C43" s="4" t="s">
        <v>26</v>
      </c>
      <c r="D43" s="4" t="s">
        <v>38</v>
      </c>
      <c r="E43" s="4" t="s">
        <v>47</v>
      </c>
      <c r="F43" s="4" t="s">
        <v>1240</v>
      </c>
      <c r="G43">
        <v>8</v>
      </c>
      <c r="H43">
        <v>37</v>
      </c>
      <c r="I43" s="4" t="s">
        <v>1294</v>
      </c>
      <c r="J43" s="4" t="s">
        <v>119</v>
      </c>
      <c r="K43" s="4" t="s">
        <v>129</v>
      </c>
      <c r="L43" s="4" t="s">
        <v>130</v>
      </c>
      <c r="M43">
        <v>82.68</v>
      </c>
      <c r="N43" s="4" t="s">
        <v>30</v>
      </c>
      <c r="O43">
        <v>253</v>
      </c>
      <c r="P43" s="4" t="s">
        <v>943</v>
      </c>
      <c r="Q43" s="4" t="s">
        <v>158</v>
      </c>
      <c r="R43" s="4" t="s">
        <v>38</v>
      </c>
      <c r="S43" s="4" t="s">
        <v>53</v>
      </c>
      <c r="T43" s="4" t="s">
        <v>1295</v>
      </c>
    </row>
    <row r="44" spans="1:20" x14ac:dyDescent="0.2">
      <c r="A44" s="4" t="s">
        <v>227</v>
      </c>
      <c r="B44">
        <v>43</v>
      </c>
      <c r="C44" s="4" t="s">
        <v>26</v>
      </c>
      <c r="D44" s="4" t="s">
        <v>38</v>
      </c>
      <c r="E44" s="4" t="s">
        <v>47</v>
      </c>
      <c r="F44" s="4" t="s">
        <v>1240</v>
      </c>
      <c r="G44">
        <v>8</v>
      </c>
      <c r="H44">
        <v>37</v>
      </c>
      <c r="I44" s="4" t="s">
        <v>1294</v>
      </c>
      <c r="J44" s="4" t="s">
        <v>119</v>
      </c>
      <c r="K44" s="4" t="s">
        <v>131</v>
      </c>
      <c r="L44" s="4" t="s">
        <v>132</v>
      </c>
      <c r="M44">
        <v>59.88</v>
      </c>
      <c r="N44" s="4" t="s">
        <v>30</v>
      </c>
      <c r="O44">
        <v>450</v>
      </c>
      <c r="P44" s="4" t="s">
        <v>943</v>
      </c>
      <c r="Q44" s="4" t="s">
        <v>158</v>
      </c>
      <c r="R44" s="4" t="s">
        <v>38</v>
      </c>
      <c r="S44" s="4" t="s">
        <v>53</v>
      </c>
      <c r="T44" s="4" t="s">
        <v>1295</v>
      </c>
    </row>
    <row r="45" spans="1:20" x14ac:dyDescent="0.2">
      <c r="A45" s="4" t="s">
        <v>228</v>
      </c>
      <c r="B45">
        <v>44</v>
      </c>
      <c r="C45" s="4" t="s">
        <v>26</v>
      </c>
      <c r="D45" s="4" t="s">
        <v>38</v>
      </c>
      <c r="E45" s="4" t="s">
        <v>47</v>
      </c>
      <c r="F45" s="4" t="s">
        <v>1240</v>
      </c>
      <c r="G45">
        <v>8</v>
      </c>
      <c r="H45">
        <v>37</v>
      </c>
      <c r="I45" s="4" t="s">
        <v>1294</v>
      </c>
      <c r="J45" s="4" t="s">
        <v>119</v>
      </c>
      <c r="K45" s="4" t="s">
        <v>133</v>
      </c>
      <c r="L45" s="4" t="s">
        <v>134</v>
      </c>
      <c r="M45">
        <v>43.15</v>
      </c>
      <c r="N45" s="4" t="s">
        <v>30</v>
      </c>
      <c r="O45">
        <v>257</v>
      </c>
      <c r="P45" s="4" t="s">
        <v>943</v>
      </c>
      <c r="Q45" s="4" t="s">
        <v>158</v>
      </c>
      <c r="R45" s="4" t="s">
        <v>38</v>
      </c>
      <c r="S45" s="4" t="s">
        <v>53</v>
      </c>
      <c r="T45" s="4" t="s">
        <v>1295</v>
      </c>
    </row>
    <row r="46" spans="1:20" x14ac:dyDescent="0.2">
      <c r="A46" s="4" t="s">
        <v>229</v>
      </c>
      <c r="B46">
        <v>45</v>
      </c>
      <c r="C46" s="4" t="s">
        <v>26</v>
      </c>
      <c r="D46" s="4" t="s">
        <v>41</v>
      </c>
      <c r="E46" s="4" t="s">
        <v>41</v>
      </c>
      <c r="F46" s="4" t="s">
        <v>1474</v>
      </c>
      <c r="G46">
        <v>9</v>
      </c>
      <c r="H46">
        <v>45</v>
      </c>
      <c r="I46" s="4" t="s">
        <v>1620</v>
      </c>
      <c r="J46" s="4" t="s">
        <v>119</v>
      </c>
      <c r="K46" s="4" t="s">
        <v>122</v>
      </c>
      <c r="L46" s="4" t="s">
        <v>123</v>
      </c>
      <c r="M46">
        <v>22.95</v>
      </c>
      <c r="N46" s="4" t="s">
        <v>30</v>
      </c>
      <c r="O46">
        <v>548</v>
      </c>
      <c r="P46" s="4" t="s">
        <v>943</v>
      </c>
      <c r="Q46" s="4" t="s">
        <v>158</v>
      </c>
      <c r="R46" s="4" t="s">
        <v>41</v>
      </c>
      <c r="S46" s="4" t="s">
        <v>47</v>
      </c>
      <c r="T46" s="4" t="s">
        <v>1476</v>
      </c>
    </row>
    <row r="47" spans="1:20" x14ac:dyDescent="0.2">
      <c r="A47" s="4" t="s">
        <v>230</v>
      </c>
      <c r="B47">
        <v>46</v>
      </c>
      <c r="C47" s="4" t="s">
        <v>26</v>
      </c>
      <c r="D47" s="4" t="s">
        <v>41</v>
      </c>
      <c r="E47" s="4" t="s">
        <v>41</v>
      </c>
      <c r="F47" s="4" t="s">
        <v>1474</v>
      </c>
      <c r="G47">
        <v>9</v>
      </c>
      <c r="H47">
        <v>45</v>
      </c>
      <c r="I47" s="4" t="s">
        <v>1620</v>
      </c>
      <c r="J47" s="4" t="s">
        <v>119</v>
      </c>
      <c r="K47" s="4" t="s">
        <v>127</v>
      </c>
      <c r="L47" s="4" t="s">
        <v>128</v>
      </c>
      <c r="M47">
        <v>25.85</v>
      </c>
      <c r="N47" s="4" t="s">
        <v>30</v>
      </c>
      <c r="O47">
        <v>390</v>
      </c>
      <c r="P47" s="4" t="s">
        <v>943</v>
      </c>
      <c r="Q47" s="4" t="s">
        <v>158</v>
      </c>
      <c r="R47" s="4" t="s">
        <v>41</v>
      </c>
      <c r="S47" s="4" t="s">
        <v>47</v>
      </c>
      <c r="T47" s="4" t="s">
        <v>1476</v>
      </c>
    </row>
    <row r="48" spans="1:20" x14ac:dyDescent="0.2">
      <c r="A48" s="4" t="s">
        <v>231</v>
      </c>
      <c r="B48">
        <v>47</v>
      </c>
      <c r="C48" s="4" t="s">
        <v>26</v>
      </c>
      <c r="D48" s="4" t="s">
        <v>41</v>
      </c>
      <c r="E48" s="4" t="s">
        <v>41</v>
      </c>
      <c r="F48" s="4" t="s">
        <v>1474</v>
      </c>
      <c r="G48">
        <v>9</v>
      </c>
      <c r="H48">
        <v>45</v>
      </c>
      <c r="I48" s="4" t="s">
        <v>1620</v>
      </c>
      <c r="J48" s="4" t="s">
        <v>119</v>
      </c>
      <c r="K48" s="4" t="s">
        <v>129</v>
      </c>
      <c r="L48" s="4" t="s">
        <v>130</v>
      </c>
      <c r="M48">
        <v>82.68</v>
      </c>
      <c r="N48" s="4" t="s">
        <v>30</v>
      </c>
      <c r="O48">
        <v>137</v>
      </c>
      <c r="P48" s="4" t="s">
        <v>943</v>
      </c>
      <c r="Q48" s="4" t="s">
        <v>158</v>
      </c>
      <c r="R48" s="4" t="s">
        <v>41</v>
      </c>
      <c r="S48" s="4" t="s">
        <v>47</v>
      </c>
      <c r="T48" s="4" t="s">
        <v>1476</v>
      </c>
    </row>
    <row r="49" spans="1:20" x14ac:dyDescent="0.2">
      <c r="A49" s="4" t="s">
        <v>232</v>
      </c>
      <c r="B49">
        <v>48</v>
      </c>
      <c r="C49" s="4" t="s">
        <v>26</v>
      </c>
      <c r="D49" s="4" t="s">
        <v>41</v>
      </c>
      <c r="E49" s="4" t="s">
        <v>41</v>
      </c>
      <c r="F49" s="4" t="s">
        <v>1474</v>
      </c>
      <c r="G49">
        <v>9</v>
      </c>
      <c r="H49">
        <v>45</v>
      </c>
      <c r="I49" s="4" t="s">
        <v>1620</v>
      </c>
      <c r="J49" s="4" t="s">
        <v>119</v>
      </c>
      <c r="K49" s="4" t="s">
        <v>131</v>
      </c>
      <c r="L49" s="4" t="s">
        <v>132</v>
      </c>
      <c r="M49">
        <v>59.88</v>
      </c>
      <c r="N49" s="4" t="s">
        <v>30</v>
      </c>
      <c r="O49">
        <v>164</v>
      </c>
      <c r="P49" s="4" t="s">
        <v>943</v>
      </c>
      <c r="Q49" s="4" t="s">
        <v>158</v>
      </c>
      <c r="R49" s="4" t="s">
        <v>41</v>
      </c>
      <c r="S49" s="4" t="s">
        <v>47</v>
      </c>
      <c r="T49" s="4" t="s">
        <v>1476</v>
      </c>
    </row>
    <row r="50" spans="1:20" x14ac:dyDescent="0.2">
      <c r="A50" s="4" t="s">
        <v>233</v>
      </c>
      <c r="B50">
        <v>49</v>
      </c>
      <c r="C50" s="4" t="s">
        <v>26</v>
      </c>
      <c r="D50" s="4" t="s">
        <v>41</v>
      </c>
      <c r="E50" s="4" t="s">
        <v>41</v>
      </c>
      <c r="F50" s="4" t="s">
        <v>1474</v>
      </c>
      <c r="G50">
        <v>9</v>
      </c>
      <c r="H50">
        <v>45</v>
      </c>
      <c r="I50" s="4" t="s">
        <v>1620</v>
      </c>
      <c r="J50" s="4" t="s">
        <v>119</v>
      </c>
      <c r="K50" s="4" t="s">
        <v>133</v>
      </c>
      <c r="L50" s="4" t="s">
        <v>134</v>
      </c>
      <c r="M50">
        <v>43.15</v>
      </c>
      <c r="N50" s="4" t="s">
        <v>30</v>
      </c>
      <c r="O50">
        <v>25</v>
      </c>
      <c r="P50" s="4" t="s">
        <v>943</v>
      </c>
      <c r="Q50" s="4" t="s">
        <v>158</v>
      </c>
      <c r="R50" s="4" t="s">
        <v>41</v>
      </c>
      <c r="S50" s="4" t="s">
        <v>47</v>
      </c>
      <c r="T50" s="4" t="s">
        <v>1476</v>
      </c>
    </row>
    <row r="51" spans="1:20" x14ac:dyDescent="0.2">
      <c r="A51" s="4" t="s">
        <v>234</v>
      </c>
      <c r="B51">
        <v>50</v>
      </c>
      <c r="C51" s="4" t="s">
        <v>26</v>
      </c>
      <c r="D51" s="4" t="s">
        <v>41</v>
      </c>
      <c r="E51" s="4" t="s">
        <v>56</v>
      </c>
      <c r="F51" s="4" t="s">
        <v>1626</v>
      </c>
      <c r="G51">
        <v>10</v>
      </c>
      <c r="H51">
        <v>50</v>
      </c>
      <c r="I51" s="4" t="s">
        <v>1679</v>
      </c>
      <c r="J51" s="4" t="s">
        <v>119</v>
      </c>
      <c r="K51" s="4" t="s">
        <v>122</v>
      </c>
      <c r="L51" s="4" t="s">
        <v>123</v>
      </c>
      <c r="M51">
        <v>22.95</v>
      </c>
      <c r="N51" s="4" t="s">
        <v>30</v>
      </c>
      <c r="O51">
        <v>701</v>
      </c>
      <c r="P51" s="4" t="s">
        <v>943</v>
      </c>
      <c r="Q51" s="4" t="s">
        <v>158</v>
      </c>
      <c r="R51" s="4" t="s">
        <v>44</v>
      </c>
      <c r="S51" s="4" t="s">
        <v>32</v>
      </c>
      <c r="T51" s="4" t="s">
        <v>1680</v>
      </c>
    </row>
    <row r="52" spans="1:20" x14ac:dyDescent="0.2">
      <c r="A52" s="4" t="s">
        <v>235</v>
      </c>
      <c r="B52">
        <v>51</v>
      </c>
      <c r="C52" s="4" t="s">
        <v>26</v>
      </c>
      <c r="D52" s="4" t="s">
        <v>41</v>
      </c>
      <c r="E52" s="4" t="s">
        <v>56</v>
      </c>
      <c r="F52" s="4" t="s">
        <v>1626</v>
      </c>
      <c r="G52">
        <v>10</v>
      </c>
      <c r="H52">
        <v>50</v>
      </c>
      <c r="I52" s="4" t="s">
        <v>1679</v>
      </c>
      <c r="J52" s="4" t="s">
        <v>119</v>
      </c>
      <c r="K52" s="4" t="s">
        <v>125</v>
      </c>
      <c r="L52" s="4" t="s">
        <v>126</v>
      </c>
      <c r="M52">
        <v>72.069999999999993</v>
      </c>
      <c r="N52" s="4" t="s">
        <v>30</v>
      </c>
      <c r="O52">
        <v>18</v>
      </c>
      <c r="P52" s="4" t="s">
        <v>943</v>
      </c>
      <c r="Q52" s="4" t="s">
        <v>158</v>
      </c>
      <c r="R52" s="4" t="s">
        <v>44</v>
      </c>
      <c r="S52" s="4" t="s">
        <v>32</v>
      </c>
      <c r="T52" s="4" t="s">
        <v>1680</v>
      </c>
    </row>
    <row r="53" spans="1:20" x14ac:dyDescent="0.2">
      <c r="A53" s="4" t="s">
        <v>236</v>
      </c>
      <c r="B53">
        <v>52</v>
      </c>
      <c r="C53" s="4" t="s">
        <v>26</v>
      </c>
      <c r="D53" s="4" t="s">
        <v>41</v>
      </c>
      <c r="E53" s="4" t="s">
        <v>56</v>
      </c>
      <c r="F53" s="4" t="s">
        <v>1626</v>
      </c>
      <c r="G53">
        <v>10</v>
      </c>
      <c r="H53">
        <v>50</v>
      </c>
      <c r="I53" s="4" t="s">
        <v>1679</v>
      </c>
      <c r="J53" s="4" t="s">
        <v>119</v>
      </c>
      <c r="K53" s="4" t="s">
        <v>127</v>
      </c>
      <c r="L53" s="4" t="s">
        <v>128</v>
      </c>
      <c r="M53">
        <v>25.85</v>
      </c>
      <c r="N53" s="4" t="s">
        <v>30</v>
      </c>
      <c r="O53">
        <v>702</v>
      </c>
      <c r="P53" s="4" t="s">
        <v>943</v>
      </c>
      <c r="Q53" s="4" t="s">
        <v>158</v>
      </c>
      <c r="R53" s="4" t="s">
        <v>44</v>
      </c>
      <c r="S53" s="4" t="s">
        <v>32</v>
      </c>
      <c r="T53" s="4" t="s">
        <v>1680</v>
      </c>
    </row>
    <row r="54" spans="1:20" x14ac:dyDescent="0.2">
      <c r="A54" s="4" t="s">
        <v>237</v>
      </c>
      <c r="B54">
        <v>53</v>
      </c>
      <c r="C54" s="4" t="s">
        <v>26</v>
      </c>
      <c r="D54" s="4" t="s">
        <v>41</v>
      </c>
      <c r="E54" s="4" t="s">
        <v>56</v>
      </c>
      <c r="F54" s="4" t="s">
        <v>1626</v>
      </c>
      <c r="G54">
        <v>10</v>
      </c>
      <c r="H54">
        <v>50</v>
      </c>
      <c r="I54" s="4" t="s">
        <v>1679</v>
      </c>
      <c r="J54" s="4" t="s">
        <v>119</v>
      </c>
      <c r="K54" s="4" t="s">
        <v>129</v>
      </c>
      <c r="L54" s="4" t="s">
        <v>130</v>
      </c>
      <c r="M54">
        <v>82.68</v>
      </c>
      <c r="N54" s="4" t="s">
        <v>30</v>
      </c>
      <c r="O54">
        <v>95</v>
      </c>
      <c r="P54" s="4" t="s">
        <v>943</v>
      </c>
      <c r="Q54" s="4" t="s">
        <v>158</v>
      </c>
      <c r="R54" s="4" t="s">
        <v>44</v>
      </c>
      <c r="S54" s="4" t="s">
        <v>32</v>
      </c>
      <c r="T54" s="4" t="s">
        <v>1680</v>
      </c>
    </row>
    <row r="55" spans="1:20" x14ac:dyDescent="0.2">
      <c r="A55" s="4" t="s">
        <v>238</v>
      </c>
      <c r="B55">
        <v>54</v>
      </c>
      <c r="C55" s="4" t="s">
        <v>26</v>
      </c>
      <c r="D55" s="4" t="s">
        <v>41</v>
      </c>
      <c r="E55" s="4" t="s">
        <v>56</v>
      </c>
      <c r="F55" s="4" t="s">
        <v>1626</v>
      </c>
      <c r="G55">
        <v>10</v>
      </c>
      <c r="H55">
        <v>50</v>
      </c>
      <c r="I55" s="4" t="s">
        <v>1679</v>
      </c>
      <c r="J55" s="4" t="s">
        <v>119</v>
      </c>
      <c r="K55" s="4" t="s">
        <v>131</v>
      </c>
      <c r="L55" s="4" t="s">
        <v>132</v>
      </c>
      <c r="M55">
        <v>59.88</v>
      </c>
      <c r="N55" s="4" t="s">
        <v>30</v>
      </c>
      <c r="O55">
        <v>159</v>
      </c>
      <c r="P55" s="4" t="s">
        <v>943</v>
      </c>
      <c r="Q55" s="4" t="s">
        <v>158</v>
      </c>
      <c r="R55" s="4" t="s">
        <v>44</v>
      </c>
      <c r="S55" s="4" t="s">
        <v>32</v>
      </c>
      <c r="T55" s="4" t="s">
        <v>1680</v>
      </c>
    </row>
    <row r="56" spans="1:20" x14ac:dyDescent="0.2">
      <c r="A56" s="4" t="s">
        <v>239</v>
      </c>
      <c r="B56">
        <v>55</v>
      </c>
      <c r="C56" s="4" t="s">
        <v>26</v>
      </c>
      <c r="D56" s="4" t="s">
        <v>41</v>
      </c>
      <c r="E56" s="4" t="s">
        <v>56</v>
      </c>
      <c r="F56" s="4" t="s">
        <v>1626</v>
      </c>
      <c r="G56">
        <v>10</v>
      </c>
      <c r="H56">
        <v>50</v>
      </c>
      <c r="I56" s="4" t="s">
        <v>1679</v>
      </c>
      <c r="J56" s="4" t="s">
        <v>119</v>
      </c>
      <c r="K56" s="4" t="s">
        <v>133</v>
      </c>
      <c r="L56" s="4" t="s">
        <v>134</v>
      </c>
      <c r="M56">
        <v>43.15</v>
      </c>
      <c r="N56" s="4" t="s">
        <v>30</v>
      </c>
      <c r="O56">
        <v>182</v>
      </c>
      <c r="P56" s="4" t="s">
        <v>943</v>
      </c>
      <c r="Q56" s="4" t="s">
        <v>158</v>
      </c>
      <c r="R56" s="4" t="s">
        <v>44</v>
      </c>
      <c r="S56" s="4" t="s">
        <v>32</v>
      </c>
      <c r="T56" s="4" t="s">
        <v>1680</v>
      </c>
    </row>
    <row r="57" spans="1:20" x14ac:dyDescent="0.2">
      <c r="A57" s="4" t="s">
        <v>240</v>
      </c>
      <c r="B57">
        <v>56</v>
      </c>
      <c r="C57" s="4" t="s">
        <v>26</v>
      </c>
      <c r="D57" s="4" t="s">
        <v>44</v>
      </c>
      <c r="E57" s="4" t="s">
        <v>38</v>
      </c>
      <c r="F57" s="4" t="s">
        <v>1743</v>
      </c>
      <c r="G57">
        <v>11</v>
      </c>
      <c r="H57">
        <v>54</v>
      </c>
      <c r="I57" s="4" t="s">
        <v>1797</v>
      </c>
      <c r="J57" s="4" t="s">
        <v>119</v>
      </c>
      <c r="K57" s="4" t="s">
        <v>122</v>
      </c>
      <c r="L57" s="4" t="s">
        <v>123</v>
      </c>
      <c r="M57">
        <v>22.95</v>
      </c>
      <c r="N57" s="4" t="s">
        <v>30</v>
      </c>
      <c r="O57">
        <v>699</v>
      </c>
      <c r="P57" s="4" t="s">
        <v>943</v>
      </c>
      <c r="Q57" s="4" t="s">
        <v>158</v>
      </c>
      <c r="R57" s="4" t="s">
        <v>44</v>
      </c>
      <c r="S57" s="4" t="s">
        <v>44</v>
      </c>
      <c r="T57" s="4" t="s">
        <v>1798</v>
      </c>
    </row>
    <row r="58" spans="1:20" x14ac:dyDescent="0.2">
      <c r="A58" s="4" t="s">
        <v>241</v>
      </c>
      <c r="B58">
        <v>57</v>
      </c>
      <c r="C58" s="4" t="s">
        <v>26</v>
      </c>
      <c r="D58" s="4" t="s">
        <v>44</v>
      </c>
      <c r="E58" s="4" t="s">
        <v>38</v>
      </c>
      <c r="F58" s="4" t="s">
        <v>1743</v>
      </c>
      <c r="G58">
        <v>11</v>
      </c>
      <c r="H58">
        <v>54</v>
      </c>
      <c r="I58" s="4" t="s">
        <v>1797</v>
      </c>
      <c r="J58" s="4" t="s">
        <v>119</v>
      </c>
      <c r="K58" s="4" t="s">
        <v>125</v>
      </c>
      <c r="L58" s="4" t="s">
        <v>126</v>
      </c>
      <c r="M58">
        <v>72.069999999999993</v>
      </c>
      <c r="N58" s="4" t="s">
        <v>30</v>
      </c>
      <c r="O58">
        <v>224</v>
      </c>
      <c r="P58" s="4" t="s">
        <v>943</v>
      </c>
      <c r="Q58" s="4" t="s">
        <v>158</v>
      </c>
      <c r="R58" s="4" t="s">
        <v>44</v>
      </c>
      <c r="S58" s="4" t="s">
        <v>44</v>
      </c>
      <c r="T58" s="4" t="s">
        <v>1798</v>
      </c>
    </row>
    <row r="59" spans="1:20" x14ac:dyDescent="0.2">
      <c r="A59" s="4" t="s">
        <v>242</v>
      </c>
      <c r="B59">
        <v>58</v>
      </c>
      <c r="C59" s="4" t="s">
        <v>26</v>
      </c>
      <c r="D59" s="4" t="s">
        <v>44</v>
      </c>
      <c r="E59" s="4" t="s">
        <v>38</v>
      </c>
      <c r="F59" s="4" t="s">
        <v>1743</v>
      </c>
      <c r="G59">
        <v>11</v>
      </c>
      <c r="H59">
        <v>54</v>
      </c>
      <c r="I59" s="4" t="s">
        <v>1797</v>
      </c>
      <c r="J59" s="4" t="s">
        <v>119</v>
      </c>
      <c r="K59" s="4" t="s">
        <v>127</v>
      </c>
      <c r="L59" s="4" t="s">
        <v>128</v>
      </c>
      <c r="M59">
        <v>25.85</v>
      </c>
      <c r="N59" s="4" t="s">
        <v>30</v>
      </c>
      <c r="O59">
        <v>448</v>
      </c>
      <c r="P59" s="4" t="s">
        <v>943</v>
      </c>
      <c r="Q59" s="4" t="s">
        <v>158</v>
      </c>
      <c r="R59" s="4" t="s">
        <v>44</v>
      </c>
      <c r="S59" s="4" t="s">
        <v>44</v>
      </c>
      <c r="T59" s="4" t="s">
        <v>1798</v>
      </c>
    </row>
    <row r="60" spans="1:20" x14ac:dyDescent="0.2">
      <c r="A60" s="4" t="s">
        <v>243</v>
      </c>
      <c r="B60">
        <v>59</v>
      </c>
      <c r="C60" s="4" t="s">
        <v>26</v>
      </c>
      <c r="D60" s="4" t="s">
        <v>44</v>
      </c>
      <c r="E60" s="4" t="s">
        <v>38</v>
      </c>
      <c r="F60" s="4" t="s">
        <v>1743</v>
      </c>
      <c r="G60">
        <v>11</v>
      </c>
      <c r="H60">
        <v>54</v>
      </c>
      <c r="I60" s="4" t="s">
        <v>1797</v>
      </c>
      <c r="J60" s="4" t="s">
        <v>119</v>
      </c>
      <c r="K60" s="4" t="s">
        <v>129</v>
      </c>
      <c r="L60" s="4" t="s">
        <v>130</v>
      </c>
      <c r="M60">
        <v>82.68</v>
      </c>
      <c r="N60" s="4" t="s">
        <v>30</v>
      </c>
      <c r="O60">
        <v>140</v>
      </c>
      <c r="P60" s="4" t="s">
        <v>943</v>
      </c>
      <c r="Q60" s="4" t="s">
        <v>158</v>
      </c>
      <c r="R60" s="4" t="s">
        <v>44</v>
      </c>
      <c r="S60" s="4" t="s">
        <v>44</v>
      </c>
      <c r="T60" s="4" t="s">
        <v>1798</v>
      </c>
    </row>
    <row r="61" spans="1:20" x14ac:dyDescent="0.2">
      <c r="A61" s="4" t="s">
        <v>244</v>
      </c>
      <c r="B61">
        <v>60</v>
      </c>
      <c r="C61" s="4" t="s">
        <v>26</v>
      </c>
      <c r="D61" s="4" t="s">
        <v>44</v>
      </c>
      <c r="E61" s="4" t="s">
        <v>38</v>
      </c>
      <c r="F61" s="4" t="s">
        <v>1743</v>
      </c>
      <c r="G61">
        <v>11</v>
      </c>
      <c r="H61">
        <v>54</v>
      </c>
      <c r="I61" s="4" t="s">
        <v>1797</v>
      </c>
      <c r="J61" s="4" t="s">
        <v>119</v>
      </c>
      <c r="K61" s="4" t="s">
        <v>131</v>
      </c>
      <c r="L61" s="4" t="s">
        <v>132</v>
      </c>
      <c r="M61">
        <v>59.88</v>
      </c>
      <c r="N61" s="4" t="s">
        <v>30</v>
      </c>
      <c r="O61">
        <v>301</v>
      </c>
      <c r="P61" s="4" t="s">
        <v>943</v>
      </c>
      <c r="Q61" s="4" t="s">
        <v>158</v>
      </c>
      <c r="R61" s="4" t="s">
        <v>44</v>
      </c>
      <c r="S61" s="4" t="s">
        <v>44</v>
      </c>
      <c r="T61" s="4" t="s">
        <v>1798</v>
      </c>
    </row>
    <row r="62" spans="1:20" x14ac:dyDescent="0.2">
      <c r="A62" s="4" t="s">
        <v>245</v>
      </c>
      <c r="B62">
        <v>61</v>
      </c>
      <c r="C62" s="4" t="s">
        <v>26</v>
      </c>
      <c r="D62" s="4" t="s">
        <v>44</v>
      </c>
      <c r="E62" s="4" t="s">
        <v>38</v>
      </c>
      <c r="F62" s="4" t="s">
        <v>1743</v>
      </c>
      <c r="G62">
        <v>11</v>
      </c>
      <c r="H62">
        <v>54</v>
      </c>
      <c r="I62" s="4" t="s">
        <v>1797</v>
      </c>
      <c r="J62" s="4" t="s">
        <v>119</v>
      </c>
      <c r="K62" s="4" t="s">
        <v>133</v>
      </c>
      <c r="L62" s="4" t="s">
        <v>134</v>
      </c>
      <c r="M62">
        <v>43.15</v>
      </c>
      <c r="N62" s="4" t="s">
        <v>30</v>
      </c>
      <c r="O62">
        <v>43</v>
      </c>
      <c r="P62" s="4" t="s">
        <v>943</v>
      </c>
      <c r="Q62" s="4" t="s">
        <v>158</v>
      </c>
      <c r="R62" s="4" t="s">
        <v>44</v>
      </c>
      <c r="S62" s="4" t="s">
        <v>44</v>
      </c>
      <c r="T62" s="4" t="s">
        <v>1798</v>
      </c>
    </row>
    <row r="63" spans="1:20" x14ac:dyDescent="0.2">
      <c r="A63" s="4" t="s">
        <v>246</v>
      </c>
      <c r="B63">
        <v>62</v>
      </c>
      <c r="C63" s="4" t="s">
        <v>26</v>
      </c>
      <c r="D63" s="4" t="s">
        <v>44</v>
      </c>
      <c r="E63" s="4" t="s">
        <v>50</v>
      </c>
      <c r="F63" s="4" t="s">
        <v>1858</v>
      </c>
      <c r="G63">
        <v>12</v>
      </c>
      <c r="H63">
        <v>58</v>
      </c>
      <c r="I63" s="4" t="s">
        <v>1946</v>
      </c>
      <c r="J63" s="4" t="s">
        <v>119</v>
      </c>
      <c r="K63" s="4" t="s">
        <v>122</v>
      </c>
      <c r="L63" s="4" t="s">
        <v>123</v>
      </c>
      <c r="M63">
        <v>22.95</v>
      </c>
      <c r="N63" s="4" t="s">
        <v>30</v>
      </c>
      <c r="O63">
        <v>452</v>
      </c>
      <c r="P63" s="4" t="s">
        <v>943</v>
      </c>
      <c r="Q63" s="4" t="s">
        <v>158</v>
      </c>
      <c r="R63" s="4" t="s">
        <v>44</v>
      </c>
      <c r="S63" s="4" t="s">
        <v>56</v>
      </c>
      <c r="T63" s="4" t="s">
        <v>1922</v>
      </c>
    </row>
    <row r="64" spans="1:20" x14ac:dyDescent="0.2">
      <c r="A64" s="4" t="s">
        <v>247</v>
      </c>
      <c r="B64">
        <v>63</v>
      </c>
      <c r="C64" s="4" t="s">
        <v>26</v>
      </c>
      <c r="D64" s="4" t="s">
        <v>44</v>
      </c>
      <c r="E64" s="4" t="s">
        <v>50</v>
      </c>
      <c r="F64" s="4" t="s">
        <v>1858</v>
      </c>
      <c r="G64">
        <v>12</v>
      </c>
      <c r="H64">
        <v>58</v>
      </c>
      <c r="I64" s="4" t="s">
        <v>1946</v>
      </c>
      <c r="J64" s="4" t="s">
        <v>119</v>
      </c>
      <c r="K64" s="4" t="s">
        <v>125</v>
      </c>
      <c r="L64" s="4" t="s">
        <v>126</v>
      </c>
      <c r="M64">
        <v>72.069999999999993</v>
      </c>
      <c r="N64" s="4" t="s">
        <v>30</v>
      </c>
      <c r="O64">
        <v>6</v>
      </c>
      <c r="P64" s="4" t="s">
        <v>943</v>
      </c>
      <c r="Q64" s="4" t="s">
        <v>158</v>
      </c>
      <c r="R64" s="4" t="s">
        <v>44</v>
      </c>
      <c r="S64" s="4" t="s">
        <v>56</v>
      </c>
      <c r="T64" s="4" t="s">
        <v>1922</v>
      </c>
    </row>
    <row r="65" spans="1:20" x14ac:dyDescent="0.2">
      <c r="A65" s="4" t="s">
        <v>248</v>
      </c>
      <c r="B65">
        <v>64</v>
      </c>
      <c r="C65" s="4" t="s">
        <v>26</v>
      </c>
      <c r="D65" s="4" t="s">
        <v>44</v>
      </c>
      <c r="E65" s="4" t="s">
        <v>50</v>
      </c>
      <c r="F65" s="4" t="s">
        <v>1858</v>
      </c>
      <c r="G65">
        <v>12</v>
      </c>
      <c r="H65">
        <v>58</v>
      </c>
      <c r="I65" s="4" t="s">
        <v>1946</v>
      </c>
      <c r="J65" s="4" t="s">
        <v>119</v>
      </c>
      <c r="K65" s="4" t="s">
        <v>127</v>
      </c>
      <c r="L65" s="4" t="s">
        <v>128</v>
      </c>
      <c r="M65">
        <v>25.85</v>
      </c>
      <c r="N65" s="4" t="s">
        <v>30</v>
      </c>
      <c r="O65">
        <v>622</v>
      </c>
      <c r="P65" s="4" t="s">
        <v>943</v>
      </c>
      <c r="Q65" s="4" t="s">
        <v>158</v>
      </c>
      <c r="R65" s="4" t="s">
        <v>44</v>
      </c>
      <c r="S65" s="4" t="s">
        <v>56</v>
      </c>
      <c r="T65" s="4" t="s">
        <v>1922</v>
      </c>
    </row>
    <row r="66" spans="1:20" x14ac:dyDescent="0.2">
      <c r="A66" s="4" t="s">
        <v>249</v>
      </c>
      <c r="B66">
        <v>65</v>
      </c>
      <c r="C66" s="4" t="s">
        <v>26</v>
      </c>
      <c r="D66" s="4" t="s">
        <v>44</v>
      </c>
      <c r="E66" s="4" t="s">
        <v>50</v>
      </c>
      <c r="F66" s="4" t="s">
        <v>1858</v>
      </c>
      <c r="G66">
        <v>12</v>
      </c>
      <c r="H66">
        <v>58</v>
      </c>
      <c r="I66" s="4" t="s">
        <v>1946</v>
      </c>
      <c r="J66" s="4" t="s">
        <v>119</v>
      </c>
      <c r="K66" s="4" t="s">
        <v>129</v>
      </c>
      <c r="L66" s="4" t="s">
        <v>130</v>
      </c>
      <c r="M66">
        <v>82.68</v>
      </c>
      <c r="N66" s="4" t="s">
        <v>30</v>
      </c>
      <c r="O66">
        <v>90</v>
      </c>
      <c r="P66" s="4" t="s">
        <v>943</v>
      </c>
      <c r="Q66" s="4" t="s">
        <v>158</v>
      </c>
      <c r="R66" s="4" t="s">
        <v>44</v>
      </c>
      <c r="S66" s="4" t="s">
        <v>56</v>
      </c>
      <c r="T66" s="4" t="s">
        <v>1922</v>
      </c>
    </row>
    <row r="67" spans="1:20" x14ac:dyDescent="0.2">
      <c r="A67" s="4" t="s">
        <v>250</v>
      </c>
      <c r="B67">
        <v>66</v>
      </c>
      <c r="C67" s="4" t="s">
        <v>26</v>
      </c>
      <c r="D67" s="4" t="s">
        <v>44</v>
      </c>
      <c r="E67" s="4" t="s">
        <v>50</v>
      </c>
      <c r="F67" s="4" t="s">
        <v>1858</v>
      </c>
      <c r="G67">
        <v>12</v>
      </c>
      <c r="H67">
        <v>58</v>
      </c>
      <c r="I67" s="4" t="s">
        <v>1946</v>
      </c>
      <c r="J67" s="4" t="s">
        <v>119</v>
      </c>
      <c r="K67" s="4" t="s">
        <v>131</v>
      </c>
      <c r="L67" s="4" t="s">
        <v>132</v>
      </c>
      <c r="M67">
        <v>59.88</v>
      </c>
      <c r="N67" s="4" t="s">
        <v>30</v>
      </c>
      <c r="O67">
        <v>150</v>
      </c>
      <c r="P67" s="4" t="s">
        <v>943</v>
      </c>
      <c r="Q67" s="4" t="s">
        <v>158</v>
      </c>
      <c r="R67" s="4" t="s">
        <v>44</v>
      </c>
      <c r="S67" s="4" t="s">
        <v>56</v>
      </c>
      <c r="T67" s="4" t="s">
        <v>1922</v>
      </c>
    </row>
    <row r="68" spans="1:20" x14ac:dyDescent="0.2">
      <c r="A68" s="4" t="s">
        <v>251</v>
      </c>
      <c r="B68">
        <v>67</v>
      </c>
      <c r="C68" s="4" t="s">
        <v>26</v>
      </c>
      <c r="D68" s="4" t="s">
        <v>44</v>
      </c>
      <c r="E68" s="4" t="s">
        <v>50</v>
      </c>
      <c r="F68" s="4" t="s">
        <v>1858</v>
      </c>
      <c r="G68">
        <v>12</v>
      </c>
      <c r="H68">
        <v>58</v>
      </c>
      <c r="I68" s="4" t="s">
        <v>1946</v>
      </c>
      <c r="J68" s="4" t="s">
        <v>119</v>
      </c>
      <c r="K68" s="4" t="s">
        <v>133</v>
      </c>
      <c r="L68" s="4" t="s">
        <v>134</v>
      </c>
      <c r="M68">
        <v>43.15</v>
      </c>
      <c r="N68" s="4" t="s">
        <v>30</v>
      </c>
      <c r="O68">
        <v>216</v>
      </c>
      <c r="P68" s="4" t="s">
        <v>943</v>
      </c>
      <c r="Q68" s="4" t="s">
        <v>158</v>
      </c>
      <c r="R68" s="4" t="s">
        <v>44</v>
      </c>
      <c r="S68" s="4" t="s">
        <v>56</v>
      </c>
      <c r="T68" s="4" t="s">
        <v>1922</v>
      </c>
    </row>
    <row r="69" spans="1:20" x14ac:dyDescent="0.2">
      <c r="A69" s="4" t="s">
        <v>252</v>
      </c>
      <c r="B69">
        <v>68</v>
      </c>
      <c r="C69" s="4" t="s">
        <v>26</v>
      </c>
      <c r="D69" s="4" t="s">
        <v>47</v>
      </c>
      <c r="E69" s="4" t="s">
        <v>32</v>
      </c>
      <c r="F69" s="4" t="s">
        <v>1983</v>
      </c>
      <c r="G69">
        <v>13</v>
      </c>
      <c r="H69">
        <v>62</v>
      </c>
      <c r="I69" s="4" t="s">
        <v>2066</v>
      </c>
      <c r="J69" s="4" t="s">
        <v>119</v>
      </c>
      <c r="K69" s="4" t="s">
        <v>122</v>
      </c>
      <c r="L69" s="4" t="s">
        <v>123</v>
      </c>
      <c r="M69">
        <v>22.95</v>
      </c>
      <c r="N69" s="4" t="s">
        <v>30</v>
      </c>
      <c r="O69">
        <v>781</v>
      </c>
      <c r="P69" s="4" t="s">
        <v>943</v>
      </c>
      <c r="Q69" s="4" t="s">
        <v>158</v>
      </c>
      <c r="R69" s="4" t="s">
        <v>47</v>
      </c>
      <c r="S69" s="4" t="s">
        <v>38</v>
      </c>
      <c r="T69" s="4" t="s">
        <v>2042</v>
      </c>
    </row>
    <row r="70" spans="1:20" x14ac:dyDescent="0.2">
      <c r="A70" s="4" t="s">
        <v>253</v>
      </c>
      <c r="B70">
        <v>69</v>
      </c>
      <c r="C70" s="4" t="s">
        <v>26</v>
      </c>
      <c r="D70" s="4" t="s">
        <v>47</v>
      </c>
      <c r="E70" s="4" t="s">
        <v>32</v>
      </c>
      <c r="F70" s="4" t="s">
        <v>1983</v>
      </c>
      <c r="G70">
        <v>13</v>
      </c>
      <c r="H70">
        <v>62</v>
      </c>
      <c r="I70" s="4" t="s">
        <v>2066</v>
      </c>
      <c r="J70" s="4" t="s">
        <v>119</v>
      </c>
      <c r="K70" s="4" t="s">
        <v>125</v>
      </c>
      <c r="L70" s="4" t="s">
        <v>126</v>
      </c>
      <c r="M70">
        <v>72.069999999999993</v>
      </c>
      <c r="N70" s="4" t="s">
        <v>30</v>
      </c>
      <c r="O70">
        <v>103</v>
      </c>
      <c r="P70" s="4" t="s">
        <v>943</v>
      </c>
      <c r="Q70" s="4" t="s">
        <v>158</v>
      </c>
      <c r="R70" s="4" t="s">
        <v>47</v>
      </c>
      <c r="S70" s="4" t="s">
        <v>38</v>
      </c>
      <c r="T70" s="4" t="s">
        <v>2042</v>
      </c>
    </row>
    <row r="71" spans="1:20" x14ac:dyDescent="0.2">
      <c r="A71" s="4" t="s">
        <v>254</v>
      </c>
      <c r="B71">
        <v>70</v>
      </c>
      <c r="C71" s="4" t="s">
        <v>26</v>
      </c>
      <c r="D71" s="4" t="s">
        <v>47</v>
      </c>
      <c r="E71" s="4" t="s">
        <v>32</v>
      </c>
      <c r="F71" s="4" t="s">
        <v>1983</v>
      </c>
      <c r="G71">
        <v>13</v>
      </c>
      <c r="H71">
        <v>62</v>
      </c>
      <c r="I71" s="4" t="s">
        <v>2066</v>
      </c>
      <c r="J71" s="4" t="s">
        <v>119</v>
      </c>
      <c r="K71" s="4" t="s">
        <v>127</v>
      </c>
      <c r="L71" s="4" t="s">
        <v>128</v>
      </c>
      <c r="M71">
        <v>25.85</v>
      </c>
      <c r="N71" s="4" t="s">
        <v>30</v>
      </c>
      <c r="O71">
        <v>592</v>
      </c>
      <c r="P71" s="4" t="s">
        <v>943</v>
      </c>
      <c r="Q71" s="4" t="s">
        <v>158</v>
      </c>
      <c r="R71" s="4" t="s">
        <v>47</v>
      </c>
      <c r="S71" s="4" t="s">
        <v>38</v>
      </c>
      <c r="T71" s="4" t="s">
        <v>2042</v>
      </c>
    </row>
    <row r="72" spans="1:20" x14ac:dyDescent="0.2">
      <c r="A72" s="4" t="s">
        <v>255</v>
      </c>
      <c r="B72">
        <v>71</v>
      </c>
      <c r="C72" s="4" t="s">
        <v>26</v>
      </c>
      <c r="D72" s="4" t="s">
        <v>47</v>
      </c>
      <c r="E72" s="4" t="s">
        <v>32</v>
      </c>
      <c r="F72" s="4" t="s">
        <v>1983</v>
      </c>
      <c r="G72">
        <v>13</v>
      </c>
      <c r="H72">
        <v>62</v>
      </c>
      <c r="I72" s="4" t="s">
        <v>2066</v>
      </c>
      <c r="J72" s="4" t="s">
        <v>119</v>
      </c>
      <c r="K72" s="4" t="s">
        <v>129</v>
      </c>
      <c r="L72" s="4" t="s">
        <v>130</v>
      </c>
      <c r="M72">
        <v>82.68</v>
      </c>
      <c r="N72" s="4" t="s">
        <v>30</v>
      </c>
      <c r="O72">
        <v>231</v>
      </c>
      <c r="P72" s="4" t="s">
        <v>943</v>
      </c>
      <c r="Q72" s="4" t="s">
        <v>158</v>
      </c>
      <c r="R72" s="4" t="s">
        <v>47</v>
      </c>
      <c r="S72" s="4" t="s">
        <v>38</v>
      </c>
      <c r="T72" s="4" t="s">
        <v>2042</v>
      </c>
    </row>
    <row r="73" spans="1:20" x14ac:dyDescent="0.2">
      <c r="A73" s="4" t="s">
        <v>256</v>
      </c>
      <c r="B73">
        <v>72</v>
      </c>
      <c r="C73" s="4" t="s">
        <v>26</v>
      </c>
      <c r="D73" s="4" t="s">
        <v>47</v>
      </c>
      <c r="E73" s="4" t="s">
        <v>32</v>
      </c>
      <c r="F73" s="4" t="s">
        <v>1983</v>
      </c>
      <c r="G73">
        <v>13</v>
      </c>
      <c r="H73">
        <v>62</v>
      </c>
      <c r="I73" s="4" t="s">
        <v>2066</v>
      </c>
      <c r="J73" s="4" t="s">
        <v>119</v>
      </c>
      <c r="K73" s="4" t="s">
        <v>131</v>
      </c>
      <c r="L73" s="4" t="s">
        <v>132</v>
      </c>
      <c r="M73">
        <v>59.88</v>
      </c>
      <c r="N73" s="4" t="s">
        <v>30</v>
      </c>
      <c r="O73">
        <v>322</v>
      </c>
      <c r="P73" s="4" t="s">
        <v>943</v>
      </c>
      <c r="Q73" s="4" t="s">
        <v>158</v>
      </c>
      <c r="R73" s="4" t="s">
        <v>47</v>
      </c>
      <c r="S73" s="4" t="s">
        <v>38</v>
      </c>
      <c r="T73" s="4" t="s">
        <v>2042</v>
      </c>
    </row>
    <row r="74" spans="1:20" x14ac:dyDescent="0.2">
      <c r="A74" s="4" t="s">
        <v>257</v>
      </c>
      <c r="B74">
        <v>73</v>
      </c>
      <c r="C74" s="4" t="s">
        <v>26</v>
      </c>
      <c r="D74" s="4" t="s">
        <v>47</v>
      </c>
      <c r="E74" s="4" t="s">
        <v>32</v>
      </c>
      <c r="F74" s="4" t="s">
        <v>1983</v>
      </c>
      <c r="G74">
        <v>13</v>
      </c>
      <c r="H74">
        <v>62</v>
      </c>
      <c r="I74" s="4" t="s">
        <v>2066</v>
      </c>
      <c r="J74" s="4" t="s">
        <v>119</v>
      </c>
      <c r="K74" s="4" t="s">
        <v>133</v>
      </c>
      <c r="L74" s="4" t="s">
        <v>134</v>
      </c>
      <c r="M74">
        <v>43.15</v>
      </c>
      <c r="N74" s="4" t="s">
        <v>30</v>
      </c>
      <c r="O74">
        <v>90</v>
      </c>
      <c r="P74" s="4" t="s">
        <v>943</v>
      </c>
      <c r="Q74" s="4" t="s">
        <v>158</v>
      </c>
      <c r="R74" s="4" t="s">
        <v>47</v>
      </c>
      <c r="S74" s="4" t="s">
        <v>38</v>
      </c>
      <c r="T74" s="4" t="s">
        <v>2042</v>
      </c>
    </row>
    <row r="75" spans="1:20" x14ac:dyDescent="0.2">
      <c r="A75" s="4" t="s">
        <v>258</v>
      </c>
      <c r="B75">
        <v>74</v>
      </c>
      <c r="C75" s="4" t="s">
        <v>26</v>
      </c>
      <c r="D75" s="4" t="s">
        <v>47</v>
      </c>
      <c r="E75" s="4" t="s">
        <v>44</v>
      </c>
      <c r="F75" s="4" t="s">
        <v>2103</v>
      </c>
      <c r="G75">
        <v>14</v>
      </c>
      <c r="H75">
        <v>66</v>
      </c>
      <c r="I75" s="4" t="s">
        <v>2127</v>
      </c>
      <c r="J75" s="4" t="s">
        <v>119</v>
      </c>
      <c r="K75" s="4" t="s">
        <v>122</v>
      </c>
      <c r="L75" s="4" t="s">
        <v>123</v>
      </c>
      <c r="M75">
        <v>22.95</v>
      </c>
      <c r="N75" s="4" t="s">
        <v>30</v>
      </c>
      <c r="O75">
        <v>623</v>
      </c>
      <c r="P75" s="4" t="s">
        <v>943</v>
      </c>
      <c r="Q75" s="4" t="s">
        <v>158</v>
      </c>
      <c r="R75" s="4" t="s">
        <v>47</v>
      </c>
      <c r="S75" s="4" t="s">
        <v>47</v>
      </c>
      <c r="T75" s="4" t="s">
        <v>2128</v>
      </c>
    </row>
    <row r="76" spans="1:20" x14ac:dyDescent="0.2">
      <c r="A76" s="4" t="s">
        <v>259</v>
      </c>
      <c r="B76">
        <v>75</v>
      </c>
      <c r="C76" s="4" t="s">
        <v>26</v>
      </c>
      <c r="D76" s="4" t="s">
        <v>47</v>
      </c>
      <c r="E76" s="4" t="s">
        <v>44</v>
      </c>
      <c r="F76" s="4" t="s">
        <v>2103</v>
      </c>
      <c r="G76">
        <v>14</v>
      </c>
      <c r="H76">
        <v>66</v>
      </c>
      <c r="I76" s="4" t="s">
        <v>2127</v>
      </c>
      <c r="J76" s="4" t="s">
        <v>119</v>
      </c>
      <c r="K76" s="4" t="s">
        <v>125</v>
      </c>
      <c r="L76" s="4" t="s">
        <v>126</v>
      </c>
      <c r="M76">
        <v>72.069999999999993</v>
      </c>
      <c r="N76" s="4" t="s">
        <v>30</v>
      </c>
      <c r="O76">
        <v>138</v>
      </c>
      <c r="P76" s="4" t="s">
        <v>943</v>
      </c>
      <c r="Q76" s="4" t="s">
        <v>158</v>
      </c>
      <c r="R76" s="4" t="s">
        <v>47</v>
      </c>
      <c r="S76" s="4" t="s">
        <v>47</v>
      </c>
      <c r="T76" s="4" t="s">
        <v>2128</v>
      </c>
    </row>
    <row r="77" spans="1:20" x14ac:dyDescent="0.2">
      <c r="A77" s="4" t="s">
        <v>260</v>
      </c>
      <c r="B77">
        <v>76</v>
      </c>
      <c r="C77" s="4" t="s">
        <v>26</v>
      </c>
      <c r="D77" s="4" t="s">
        <v>47</v>
      </c>
      <c r="E77" s="4" t="s">
        <v>44</v>
      </c>
      <c r="F77" s="4" t="s">
        <v>2103</v>
      </c>
      <c r="G77">
        <v>14</v>
      </c>
      <c r="H77">
        <v>66</v>
      </c>
      <c r="I77" s="4" t="s">
        <v>2127</v>
      </c>
      <c r="J77" s="4" t="s">
        <v>119</v>
      </c>
      <c r="K77" s="4" t="s">
        <v>127</v>
      </c>
      <c r="L77" s="4" t="s">
        <v>128</v>
      </c>
      <c r="M77">
        <v>25.85</v>
      </c>
      <c r="N77" s="4" t="s">
        <v>30</v>
      </c>
      <c r="O77">
        <v>638</v>
      </c>
      <c r="P77" s="4" t="s">
        <v>943</v>
      </c>
      <c r="Q77" s="4" t="s">
        <v>158</v>
      </c>
      <c r="R77" s="4" t="s">
        <v>47</v>
      </c>
      <c r="S77" s="4" t="s">
        <v>47</v>
      </c>
      <c r="T77" s="4" t="s">
        <v>2128</v>
      </c>
    </row>
    <row r="78" spans="1:20" x14ac:dyDescent="0.2">
      <c r="A78" s="4" t="s">
        <v>261</v>
      </c>
      <c r="B78">
        <v>77</v>
      </c>
      <c r="C78" s="4" t="s">
        <v>26</v>
      </c>
      <c r="D78" s="4" t="s">
        <v>47</v>
      </c>
      <c r="E78" s="4" t="s">
        <v>44</v>
      </c>
      <c r="F78" s="4" t="s">
        <v>2103</v>
      </c>
      <c r="G78">
        <v>14</v>
      </c>
      <c r="H78">
        <v>66</v>
      </c>
      <c r="I78" s="4" t="s">
        <v>2127</v>
      </c>
      <c r="J78" s="4" t="s">
        <v>119</v>
      </c>
      <c r="K78" s="4" t="s">
        <v>129</v>
      </c>
      <c r="L78" s="4" t="s">
        <v>130</v>
      </c>
      <c r="M78">
        <v>82.68</v>
      </c>
      <c r="N78" s="4" t="s">
        <v>30</v>
      </c>
      <c r="O78">
        <v>81</v>
      </c>
      <c r="P78" s="4" t="s">
        <v>943</v>
      </c>
      <c r="Q78" s="4" t="s">
        <v>158</v>
      </c>
      <c r="R78" s="4" t="s">
        <v>47</v>
      </c>
      <c r="S78" s="4" t="s">
        <v>47</v>
      </c>
      <c r="T78" s="4" t="s">
        <v>2128</v>
      </c>
    </row>
    <row r="79" spans="1:20" x14ac:dyDescent="0.2">
      <c r="A79" s="4" t="s">
        <v>262</v>
      </c>
      <c r="B79">
        <v>78</v>
      </c>
      <c r="C79" s="4" t="s">
        <v>26</v>
      </c>
      <c r="D79" s="4" t="s">
        <v>47</v>
      </c>
      <c r="E79" s="4" t="s">
        <v>44</v>
      </c>
      <c r="F79" s="4" t="s">
        <v>2103</v>
      </c>
      <c r="G79">
        <v>14</v>
      </c>
      <c r="H79">
        <v>66</v>
      </c>
      <c r="I79" s="4" t="s">
        <v>2127</v>
      </c>
      <c r="J79" s="4" t="s">
        <v>119</v>
      </c>
      <c r="K79" s="4" t="s">
        <v>131</v>
      </c>
      <c r="L79" s="4" t="s">
        <v>132</v>
      </c>
      <c r="M79">
        <v>59.88</v>
      </c>
      <c r="N79" s="4" t="s">
        <v>30</v>
      </c>
      <c r="O79">
        <v>184</v>
      </c>
      <c r="P79" s="4" t="s">
        <v>943</v>
      </c>
      <c r="Q79" s="4" t="s">
        <v>158</v>
      </c>
      <c r="R79" s="4" t="s">
        <v>47</v>
      </c>
      <c r="S79" s="4" t="s">
        <v>47</v>
      </c>
      <c r="T79" s="4" t="s">
        <v>2128</v>
      </c>
    </row>
    <row r="80" spans="1:20" x14ac:dyDescent="0.2">
      <c r="A80" s="4" t="s">
        <v>263</v>
      </c>
      <c r="B80">
        <v>79</v>
      </c>
      <c r="C80" s="4" t="s">
        <v>26</v>
      </c>
      <c r="D80" s="4" t="s">
        <v>47</v>
      </c>
      <c r="E80" s="4" t="s">
        <v>44</v>
      </c>
      <c r="F80" s="4" t="s">
        <v>2103</v>
      </c>
      <c r="G80">
        <v>14</v>
      </c>
      <c r="H80">
        <v>66</v>
      </c>
      <c r="I80" s="4" t="s">
        <v>2127</v>
      </c>
      <c r="J80" s="4" t="s">
        <v>119</v>
      </c>
      <c r="K80" s="4" t="s">
        <v>133</v>
      </c>
      <c r="L80" s="4" t="s">
        <v>134</v>
      </c>
      <c r="M80">
        <v>43.15</v>
      </c>
      <c r="N80" s="4" t="s">
        <v>30</v>
      </c>
      <c r="O80">
        <v>124</v>
      </c>
      <c r="P80" s="4" t="s">
        <v>943</v>
      </c>
      <c r="Q80" s="4" t="s">
        <v>158</v>
      </c>
      <c r="R80" s="4" t="s">
        <v>47</v>
      </c>
      <c r="S80" s="4" t="s">
        <v>47</v>
      </c>
      <c r="T80" s="4" t="s">
        <v>2128</v>
      </c>
    </row>
    <row r="81" spans="1:20" x14ac:dyDescent="0.2">
      <c r="A81" s="4" t="s">
        <v>264</v>
      </c>
      <c r="B81">
        <v>80</v>
      </c>
      <c r="C81" s="4" t="s">
        <v>26</v>
      </c>
      <c r="D81" s="4" t="s">
        <v>47</v>
      </c>
      <c r="E81" s="4" t="s">
        <v>56</v>
      </c>
      <c r="F81" s="4" t="s">
        <v>2222</v>
      </c>
      <c r="G81">
        <v>14</v>
      </c>
      <c r="H81">
        <v>70</v>
      </c>
      <c r="I81" s="4" t="s">
        <v>2276</v>
      </c>
      <c r="J81" s="4" t="s">
        <v>119</v>
      </c>
      <c r="K81" s="4" t="s">
        <v>122</v>
      </c>
      <c r="L81" s="4" t="s">
        <v>123</v>
      </c>
      <c r="M81">
        <v>22.95</v>
      </c>
      <c r="N81" s="4" t="s">
        <v>30</v>
      </c>
      <c r="O81">
        <v>542</v>
      </c>
      <c r="P81" s="4" t="s">
        <v>943</v>
      </c>
      <c r="Q81" s="4" t="s">
        <v>158</v>
      </c>
      <c r="R81" s="4" t="s">
        <v>50</v>
      </c>
      <c r="S81" s="4" t="s">
        <v>27</v>
      </c>
      <c r="T81" s="4" t="s">
        <v>2252</v>
      </c>
    </row>
    <row r="82" spans="1:20" x14ac:dyDescent="0.2">
      <c r="A82" s="4" t="s">
        <v>265</v>
      </c>
      <c r="B82">
        <v>81</v>
      </c>
      <c r="C82" s="4" t="s">
        <v>26</v>
      </c>
      <c r="D82" s="4" t="s">
        <v>47</v>
      </c>
      <c r="E82" s="4" t="s">
        <v>56</v>
      </c>
      <c r="F82" s="4" t="s">
        <v>2222</v>
      </c>
      <c r="G82">
        <v>14</v>
      </c>
      <c r="H82">
        <v>70</v>
      </c>
      <c r="I82" s="4" t="s">
        <v>2276</v>
      </c>
      <c r="J82" s="4" t="s">
        <v>119</v>
      </c>
      <c r="K82" s="4" t="s">
        <v>125</v>
      </c>
      <c r="L82" s="4" t="s">
        <v>126</v>
      </c>
      <c r="M82">
        <v>72.069999999999993</v>
      </c>
      <c r="N82" s="4" t="s">
        <v>30</v>
      </c>
      <c r="O82">
        <v>122</v>
      </c>
      <c r="P82" s="4" t="s">
        <v>943</v>
      </c>
      <c r="Q82" s="4" t="s">
        <v>158</v>
      </c>
      <c r="R82" s="4" t="s">
        <v>50</v>
      </c>
      <c r="S82" s="4" t="s">
        <v>27</v>
      </c>
      <c r="T82" s="4" t="s">
        <v>2252</v>
      </c>
    </row>
    <row r="83" spans="1:20" x14ac:dyDescent="0.2">
      <c r="A83" s="4" t="s">
        <v>266</v>
      </c>
      <c r="B83">
        <v>82</v>
      </c>
      <c r="C83" s="4" t="s">
        <v>26</v>
      </c>
      <c r="D83" s="4" t="s">
        <v>47</v>
      </c>
      <c r="E83" s="4" t="s">
        <v>56</v>
      </c>
      <c r="F83" s="4" t="s">
        <v>2222</v>
      </c>
      <c r="G83">
        <v>14</v>
      </c>
      <c r="H83">
        <v>70</v>
      </c>
      <c r="I83" s="4" t="s">
        <v>2276</v>
      </c>
      <c r="J83" s="4" t="s">
        <v>119</v>
      </c>
      <c r="K83" s="4" t="s">
        <v>127</v>
      </c>
      <c r="L83" s="4" t="s">
        <v>128</v>
      </c>
      <c r="M83">
        <v>25.85</v>
      </c>
      <c r="N83" s="4" t="s">
        <v>30</v>
      </c>
      <c r="O83">
        <v>660</v>
      </c>
      <c r="P83" s="4" t="s">
        <v>943</v>
      </c>
      <c r="Q83" s="4" t="s">
        <v>158</v>
      </c>
      <c r="R83" s="4" t="s">
        <v>50</v>
      </c>
      <c r="S83" s="4" t="s">
        <v>27</v>
      </c>
      <c r="T83" s="4" t="s">
        <v>2252</v>
      </c>
    </row>
    <row r="84" spans="1:20" x14ac:dyDescent="0.2">
      <c r="A84" s="4" t="s">
        <v>267</v>
      </c>
      <c r="B84">
        <v>83</v>
      </c>
      <c r="C84" s="4" t="s">
        <v>26</v>
      </c>
      <c r="D84" s="4" t="s">
        <v>47</v>
      </c>
      <c r="E84" s="4" t="s">
        <v>56</v>
      </c>
      <c r="F84" s="4" t="s">
        <v>2222</v>
      </c>
      <c r="G84">
        <v>14</v>
      </c>
      <c r="H84">
        <v>70</v>
      </c>
      <c r="I84" s="4" t="s">
        <v>2276</v>
      </c>
      <c r="J84" s="4" t="s">
        <v>119</v>
      </c>
      <c r="K84" s="4" t="s">
        <v>129</v>
      </c>
      <c r="L84" s="4" t="s">
        <v>130</v>
      </c>
      <c r="M84">
        <v>82.68</v>
      </c>
      <c r="N84" s="4" t="s">
        <v>30</v>
      </c>
      <c r="O84">
        <v>294</v>
      </c>
      <c r="P84" s="4" t="s">
        <v>943</v>
      </c>
      <c r="Q84" s="4" t="s">
        <v>158</v>
      </c>
      <c r="R84" s="4" t="s">
        <v>50</v>
      </c>
      <c r="S84" s="4" t="s">
        <v>27</v>
      </c>
      <c r="T84" s="4" t="s">
        <v>2252</v>
      </c>
    </row>
    <row r="85" spans="1:20" x14ac:dyDescent="0.2">
      <c r="A85" s="4" t="s">
        <v>268</v>
      </c>
      <c r="B85">
        <v>84</v>
      </c>
      <c r="C85" s="4" t="s">
        <v>26</v>
      </c>
      <c r="D85" s="4" t="s">
        <v>47</v>
      </c>
      <c r="E85" s="4" t="s">
        <v>56</v>
      </c>
      <c r="F85" s="4" t="s">
        <v>2222</v>
      </c>
      <c r="G85">
        <v>14</v>
      </c>
      <c r="H85">
        <v>70</v>
      </c>
      <c r="I85" s="4" t="s">
        <v>2276</v>
      </c>
      <c r="J85" s="4" t="s">
        <v>119</v>
      </c>
      <c r="K85" s="4" t="s">
        <v>131</v>
      </c>
      <c r="L85" s="4" t="s">
        <v>132</v>
      </c>
      <c r="M85">
        <v>59.88</v>
      </c>
      <c r="N85" s="4" t="s">
        <v>30</v>
      </c>
      <c r="O85">
        <v>184</v>
      </c>
      <c r="P85" s="4" t="s">
        <v>943</v>
      </c>
      <c r="Q85" s="4" t="s">
        <v>158</v>
      </c>
      <c r="R85" s="4" t="s">
        <v>50</v>
      </c>
      <c r="S85" s="4" t="s">
        <v>27</v>
      </c>
      <c r="T85" s="4" t="s">
        <v>2252</v>
      </c>
    </row>
    <row r="86" spans="1:20" x14ac:dyDescent="0.2">
      <c r="A86" s="4" t="s">
        <v>269</v>
      </c>
      <c r="B86">
        <v>85</v>
      </c>
      <c r="C86" s="4" t="s">
        <v>26</v>
      </c>
      <c r="D86" s="4" t="s">
        <v>47</v>
      </c>
      <c r="E86" s="4" t="s">
        <v>56</v>
      </c>
      <c r="F86" s="4" t="s">
        <v>2222</v>
      </c>
      <c r="G86">
        <v>14</v>
      </c>
      <c r="H86">
        <v>70</v>
      </c>
      <c r="I86" s="4" t="s">
        <v>2276</v>
      </c>
      <c r="J86" s="4" t="s">
        <v>119</v>
      </c>
      <c r="K86" s="4" t="s">
        <v>133</v>
      </c>
      <c r="L86" s="4" t="s">
        <v>134</v>
      </c>
      <c r="M86">
        <v>43.15</v>
      </c>
      <c r="N86" s="4" t="s">
        <v>30</v>
      </c>
      <c r="O86">
        <v>170</v>
      </c>
      <c r="P86" s="4" t="s">
        <v>943</v>
      </c>
      <c r="Q86" s="4" t="s">
        <v>158</v>
      </c>
      <c r="R86" s="4" t="s">
        <v>50</v>
      </c>
      <c r="S86" s="4" t="s">
        <v>27</v>
      </c>
      <c r="T86" s="4" t="s">
        <v>2252</v>
      </c>
    </row>
    <row r="87" spans="1:20" x14ac:dyDescent="0.2">
      <c r="A87" s="4" t="s">
        <v>270</v>
      </c>
      <c r="B87">
        <v>86</v>
      </c>
      <c r="C87" s="4" t="s">
        <v>26</v>
      </c>
      <c r="D87" s="4" t="s">
        <v>50</v>
      </c>
      <c r="E87" s="4" t="s">
        <v>41</v>
      </c>
      <c r="F87" s="4" t="s">
        <v>2370</v>
      </c>
      <c r="G87">
        <v>15</v>
      </c>
      <c r="H87">
        <v>75</v>
      </c>
      <c r="I87" s="4" t="s">
        <v>2394</v>
      </c>
      <c r="J87" s="4" t="s">
        <v>119</v>
      </c>
      <c r="K87" s="4" t="s">
        <v>122</v>
      </c>
      <c r="L87" s="4" t="s">
        <v>123</v>
      </c>
      <c r="M87">
        <v>22.95</v>
      </c>
      <c r="N87" s="4" t="s">
        <v>30</v>
      </c>
      <c r="O87">
        <v>833</v>
      </c>
      <c r="P87" s="4" t="s">
        <v>943</v>
      </c>
      <c r="Q87" s="4" t="s">
        <v>158</v>
      </c>
      <c r="R87" s="4" t="s">
        <v>50</v>
      </c>
      <c r="S87" s="4" t="s">
        <v>47</v>
      </c>
      <c r="T87" s="4" t="s">
        <v>2395</v>
      </c>
    </row>
    <row r="88" spans="1:20" x14ac:dyDescent="0.2">
      <c r="A88" s="4" t="s">
        <v>271</v>
      </c>
      <c r="B88">
        <v>87</v>
      </c>
      <c r="C88" s="4" t="s">
        <v>26</v>
      </c>
      <c r="D88" s="4" t="s">
        <v>50</v>
      </c>
      <c r="E88" s="4" t="s">
        <v>41</v>
      </c>
      <c r="F88" s="4" t="s">
        <v>2370</v>
      </c>
      <c r="G88">
        <v>15</v>
      </c>
      <c r="H88">
        <v>75</v>
      </c>
      <c r="I88" s="4" t="s">
        <v>2394</v>
      </c>
      <c r="J88" s="4" t="s">
        <v>119</v>
      </c>
      <c r="K88" s="4" t="s">
        <v>125</v>
      </c>
      <c r="L88" s="4" t="s">
        <v>126</v>
      </c>
      <c r="M88">
        <v>72.069999999999993</v>
      </c>
      <c r="N88" s="4" t="s">
        <v>30</v>
      </c>
      <c r="O88">
        <v>84</v>
      </c>
      <c r="P88" s="4" t="s">
        <v>943</v>
      </c>
      <c r="Q88" s="4" t="s">
        <v>158</v>
      </c>
      <c r="R88" s="4" t="s">
        <v>50</v>
      </c>
      <c r="S88" s="4" t="s">
        <v>47</v>
      </c>
      <c r="T88" s="4" t="s">
        <v>2395</v>
      </c>
    </row>
    <row r="89" spans="1:20" x14ac:dyDescent="0.2">
      <c r="A89" s="4" t="s">
        <v>272</v>
      </c>
      <c r="B89">
        <v>88</v>
      </c>
      <c r="C89" s="4" t="s">
        <v>26</v>
      </c>
      <c r="D89" s="4" t="s">
        <v>50</v>
      </c>
      <c r="E89" s="4" t="s">
        <v>41</v>
      </c>
      <c r="F89" s="4" t="s">
        <v>2370</v>
      </c>
      <c r="G89">
        <v>15</v>
      </c>
      <c r="H89">
        <v>75</v>
      </c>
      <c r="I89" s="4" t="s">
        <v>2394</v>
      </c>
      <c r="J89" s="4" t="s">
        <v>119</v>
      </c>
      <c r="K89" s="4" t="s">
        <v>127</v>
      </c>
      <c r="L89" s="4" t="s">
        <v>128</v>
      </c>
      <c r="M89">
        <v>25.85</v>
      </c>
      <c r="N89" s="4" t="s">
        <v>30</v>
      </c>
      <c r="O89">
        <v>689</v>
      </c>
      <c r="P89" s="4" t="s">
        <v>943</v>
      </c>
      <c r="Q89" s="4" t="s">
        <v>158</v>
      </c>
      <c r="R89" s="4" t="s">
        <v>50</v>
      </c>
      <c r="S89" s="4" t="s">
        <v>47</v>
      </c>
      <c r="T89" s="4" t="s">
        <v>2395</v>
      </c>
    </row>
    <row r="90" spans="1:20" x14ac:dyDescent="0.2">
      <c r="A90" s="4" t="s">
        <v>273</v>
      </c>
      <c r="B90">
        <v>89</v>
      </c>
      <c r="C90" s="4" t="s">
        <v>26</v>
      </c>
      <c r="D90" s="4" t="s">
        <v>50</v>
      </c>
      <c r="E90" s="4" t="s">
        <v>41</v>
      </c>
      <c r="F90" s="4" t="s">
        <v>2370</v>
      </c>
      <c r="G90">
        <v>15</v>
      </c>
      <c r="H90">
        <v>75</v>
      </c>
      <c r="I90" s="4" t="s">
        <v>2394</v>
      </c>
      <c r="J90" s="4" t="s">
        <v>119</v>
      </c>
      <c r="K90" s="4" t="s">
        <v>129</v>
      </c>
      <c r="L90" s="4" t="s">
        <v>130</v>
      </c>
      <c r="M90">
        <v>82.68</v>
      </c>
      <c r="N90" s="4" t="s">
        <v>30</v>
      </c>
      <c r="O90">
        <v>154</v>
      </c>
      <c r="P90" s="4" t="s">
        <v>943</v>
      </c>
      <c r="Q90" s="4" t="s">
        <v>158</v>
      </c>
      <c r="R90" s="4" t="s">
        <v>50</v>
      </c>
      <c r="S90" s="4" t="s">
        <v>47</v>
      </c>
      <c r="T90" s="4" t="s">
        <v>2395</v>
      </c>
    </row>
    <row r="91" spans="1:20" x14ac:dyDescent="0.2">
      <c r="A91" s="4" t="s">
        <v>274</v>
      </c>
      <c r="B91">
        <v>90</v>
      </c>
      <c r="C91" s="4" t="s">
        <v>26</v>
      </c>
      <c r="D91" s="4" t="s">
        <v>50</v>
      </c>
      <c r="E91" s="4" t="s">
        <v>41</v>
      </c>
      <c r="F91" s="4" t="s">
        <v>2370</v>
      </c>
      <c r="G91">
        <v>15</v>
      </c>
      <c r="H91">
        <v>75</v>
      </c>
      <c r="I91" s="4" t="s">
        <v>2394</v>
      </c>
      <c r="J91" s="4" t="s">
        <v>119</v>
      </c>
      <c r="K91" s="4" t="s">
        <v>131</v>
      </c>
      <c r="L91" s="4" t="s">
        <v>132</v>
      </c>
      <c r="M91">
        <v>59.88</v>
      </c>
      <c r="N91" s="4" t="s">
        <v>30</v>
      </c>
      <c r="O91">
        <v>303</v>
      </c>
      <c r="P91" s="4" t="s">
        <v>943</v>
      </c>
      <c r="Q91" s="4" t="s">
        <v>158</v>
      </c>
      <c r="R91" s="4" t="s">
        <v>50</v>
      </c>
      <c r="S91" s="4" t="s">
        <v>47</v>
      </c>
      <c r="T91" s="4" t="s">
        <v>2395</v>
      </c>
    </row>
    <row r="92" spans="1:20" x14ac:dyDescent="0.2">
      <c r="A92" s="4" t="s">
        <v>275</v>
      </c>
      <c r="B92">
        <v>91</v>
      </c>
      <c r="C92" s="4" t="s">
        <v>26</v>
      </c>
      <c r="D92" s="4" t="s">
        <v>50</v>
      </c>
      <c r="E92" s="4" t="s">
        <v>41</v>
      </c>
      <c r="F92" s="4" t="s">
        <v>2370</v>
      </c>
      <c r="G92">
        <v>15</v>
      </c>
      <c r="H92">
        <v>75</v>
      </c>
      <c r="I92" s="4" t="s">
        <v>2394</v>
      </c>
      <c r="J92" s="4" t="s">
        <v>119</v>
      </c>
      <c r="K92" s="4" t="s">
        <v>133</v>
      </c>
      <c r="L92" s="4" t="s">
        <v>134</v>
      </c>
      <c r="M92">
        <v>43.15</v>
      </c>
      <c r="N92" s="4" t="s">
        <v>30</v>
      </c>
      <c r="O92">
        <v>167</v>
      </c>
      <c r="P92" s="4" t="s">
        <v>943</v>
      </c>
      <c r="Q92" s="4" t="s">
        <v>158</v>
      </c>
      <c r="R92" s="4" t="s">
        <v>50</v>
      </c>
      <c r="S92" s="4" t="s">
        <v>47</v>
      </c>
      <c r="T92" s="4" t="s">
        <v>2395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3FE5-5FA3-B646-857C-51C21153C094}">
  <dimension ref="A1:S2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2.1640625" bestFit="1" customWidth="1"/>
    <col min="10" max="10" width="20.33203125" bestFit="1" customWidth="1"/>
    <col min="11" max="11" width="24.6640625" bestFit="1" customWidth="1"/>
    <col min="12" max="12" width="16.1640625" bestFit="1" customWidth="1"/>
    <col min="13" max="13" width="13.83203125" bestFit="1" customWidth="1"/>
    <col min="14" max="14" width="14.5" bestFit="1" customWidth="1"/>
    <col min="15" max="15" width="12.1640625" bestFit="1" customWidth="1"/>
    <col min="16" max="16" width="19.1640625" bestFit="1" customWidth="1"/>
    <col min="17" max="17" width="23.33203125" bestFit="1" customWidth="1"/>
    <col min="18" max="18" width="7.5" bestFit="1" customWidth="1"/>
    <col min="19" max="19" width="13.5" bestFit="1" customWidth="1"/>
  </cols>
  <sheetData>
    <row r="1" spans="1:19" x14ac:dyDescent="0.2">
      <c r="A1" t="s">
        <v>0</v>
      </c>
      <c r="B1" t="s">
        <v>1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1075</v>
      </c>
      <c r="J1" t="s">
        <v>8</v>
      </c>
      <c r="K1" t="s">
        <v>9</v>
      </c>
      <c r="L1" t="s">
        <v>1076</v>
      </c>
      <c r="M1" t="s">
        <v>1077</v>
      </c>
      <c r="N1" t="s">
        <v>1078</v>
      </c>
      <c r="O1" t="s">
        <v>1079</v>
      </c>
      <c r="P1" t="s">
        <v>1080</v>
      </c>
      <c r="Q1" t="s">
        <v>1081</v>
      </c>
      <c r="R1" t="s">
        <v>11</v>
      </c>
      <c r="S1" t="s">
        <v>1082</v>
      </c>
    </row>
    <row r="2" spans="1:19" x14ac:dyDescent="0.2">
      <c r="A2" s="4"/>
      <c r="C2" s="4"/>
      <c r="D2" s="4"/>
      <c r="E2" s="4"/>
      <c r="F2" s="4"/>
      <c r="I2" s="4"/>
      <c r="J2" s="4"/>
      <c r="K2" s="4"/>
      <c r="L2" s="4"/>
      <c r="M2" s="4"/>
      <c r="N2" s="4"/>
      <c r="O2" s="4"/>
      <c r="R2" s="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5CF7-A3DA-404F-9145-0C7079A83CA1}">
  <dimension ref="A1:N282"/>
  <sheetViews>
    <sheetView topLeftCell="D1" workbookViewId="0"/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18.33203125" bestFit="1" customWidth="1"/>
    <col min="4" max="4" width="22.83203125" bestFit="1" customWidth="1"/>
    <col min="5" max="5" width="13.83203125" bestFit="1" customWidth="1"/>
    <col min="6" max="6" width="14" bestFit="1" customWidth="1"/>
    <col min="7" max="7" width="24.6640625" bestFit="1" customWidth="1"/>
    <col min="8" max="8" width="25" bestFit="1" customWidth="1"/>
    <col min="9" max="9" width="8.1640625" bestFit="1" customWidth="1"/>
    <col min="10" max="10" width="11.83203125" bestFit="1" customWidth="1"/>
    <col min="11" max="11" width="7.5" bestFit="1" customWidth="1"/>
    <col min="12" max="12" width="17.6640625" bestFit="1" customWidth="1"/>
    <col min="13" max="14" width="13.1640625" bestFit="1" customWidth="1"/>
  </cols>
  <sheetData>
    <row r="1" spans="1:14" x14ac:dyDescent="0.2">
      <c r="A1" t="s">
        <v>0</v>
      </c>
      <c r="B1" t="s">
        <v>1</v>
      </c>
      <c r="C1" t="s">
        <v>12</v>
      </c>
      <c r="D1" t="s">
        <v>162</v>
      </c>
      <c r="E1" t="s">
        <v>3</v>
      </c>
      <c r="F1" t="s">
        <v>6</v>
      </c>
      <c r="G1" t="s">
        <v>9</v>
      </c>
      <c r="H1" t="s">
        <v>163</v>
      </c>
      <c r="I1" t="s">
        <v>931</v>
      </c>
      <c r="J1" t="s">
        <v>10</v>
      </c>
      <c r="K1" t="s">
        <v>11</v>
      </c>
      <c r="L1" t="s">
        <v>932</v>
      </c>
      <c r="M1" t="s">
        <v>933</v>
      </c>
      <c r="N1" t="s">
        <v>24</v>
      </c>
    </row>
    <row r="2" spans="1:14" x14ac:dyDescent="0.2">
      <c r="A2" s="4" t="s">
        <v>25</v>
      </c>
      <c r="B2">
        <v>1</v>
      </c>
      <c r="C2" s="4" t="s">
        <v>26</v>
      </c>
      <c r="D2" s="4" t="s">
        <v>934</v>
      </c>
      <c r="E2" s="4" t="s">
        <v>27</v>
      </c>
      <c r="F2">
        <v>1</v>
      </c>
      <c r="G2" s="4" t="s">
        <v>132</v>
      </c>
      <c r="H2" s="4" t="s">
        <v>108</v>
      </c>
      <c r="I2" s="4" t="s">
        <v>113</v>
      </c>
      <c r="J2">
        <v>37</v>
      </c>
      <c r="K2" s="4" t="s">
        <v>158</v>
      </c>
      <c r="L2">
        <v>65.87</v>
      </c>
      <c r="M2">
        <v>2437.19</v>
      </c>
      <c r="N2" s="4" t="s">
        <v>30</v>
      </c>
    </row>
    <row r="3" spans="1:14" x14ac:dyDescent="0.2">
      <c r="A3" s="4" t="s">
        <v>31</v>
      </c>
      <c r="B3">
        <v>2</v>
      </c>
      <c r="C3" s="4" t="s">
        <v>26</v>
      </c>
      <c r="D3" s="4" t="s">
        <v>934</v>
      </c>
      <c r="E3" s="4" t="s">
        <v>27</v>
      </c>
      <c r="F3">
        <v>1</v>
      </c>
      <c r="G3" s="4" t="s">
        <v>132</v>
      </c>
      <c r="H3" s="4" t="s">
        <v>108</v>
      </c>
      <c r="I3" s="4" t="s">
        <v>115</v>
      </c>
      <c r="J3">
        <v>60</v>
      </c>
      <c r="K3" s="4" t="s">
        <v>158</v>
      </c>
      <c r="L3">
        <v>65.87</v>
      </c>
      <c r="M3">
        <v>3952.2</v>
      </c>
      <c r="N3" s="4" t="s">
        <v>30</v>
      </c>
    </row>
    <row r="4" spans="1:14" x14ac:dyDescent="0.2">
      <c r="A4" s="4" t="s">
        <v>34</v>
      </c>
      <c r="B4">
        <v>3</v>
      </c>
      <c r="C4" s="4" t="s">
        <v>26</v>
      </c>
      <c r="D4" s="4" t="s">
        <v>934</v>
      </c>
      <c r="E4" s="4" t="s">
        <v>27</v>
      </c>
      <c r="F4">
        <v>1</v>
      </c>
      <c r="G4" s="4" t="s">
        <v>130</v>
      </c>
      <c r="H4" s="4" t="s">
        <v>108</v>
      </c>
      <c r="I4" s="4" t="s">
        <v>113</v>
      </c>
      <c r="J4">
        <v>45</v>
      </c>
      <c r="K4" s="4" t="s">
        <v>158</v>
      </c>
      <c r="L4">
        <v>91.23</v>
      </c>
      <c r="M4">
        <v>4107</v>
      </c>
      <c r="N4" s="4" t="s">
        <v>30</v>
      </c>
    </row>
    <row r="5" spans="1:14" x14ac:dyDescent="0.2">
      <c r="A5" s="4" t="s">
        <v>37</v>
      </c>
      <c r="B5">
        <v>4</v>
      </c>
      <c r="C5" s="4" t="s">
        <v>26</v>
      </c>
      <c r="D5" s="4" t="s">
        <v>934</v>
      </c>
      <c r="E5" s="4" t="s">
        <v>27</v>
      </c>
      <c r="F5">
        <v>1</v>
      </c>
      <c r="G5" s="4" t="s">
        <v>130</v>
      </c>
      <c r="H5" s="4" t="s">
        <v>108</v>
      </c>
      <c r="I5" s="4" t="s">
        <v>115</v>
      </c>
      <c r="J5">
        <v>25</v>
      </c>
      <c r="K5" s="4" t="s">
        <v>158</v>
      </c>
      <c r="L5">
        <v>91.52</v>
      </c>
      <c r="M5">
        <v>2288</v>
      </c>
      <c r="N5" s="4" t="s">
        <v>30</v>
      </c>
    </row>
    <row r="6" spans="1:14" x14ac:dyDescent="0.2">
      <c r="A6" s="4" t="s">
        <v>40</v>
      </c>
      <c r="B6">
        <v>5</v>
      </c>
      <c r="C6" s="4" t="s">
        <v>26</v>
      </c>
      <c r="D6" s="4" t="s">
        <v>934</v>
      </c>
      <c r="E6" s="4" t="s">
        <v>27</v>
      </c>
      <c r="F6">
        <v>1</v>
      </c>
      <c r="G6" s="4" t="s">
        <v>130</v>
      </c>
      <c r="H6" s="4" t="s">
        <v>108</v>
      </c>
      <c r="I6" s="4" t="s">
        <v>117</v>
      </c>
      <c r="J6">
        <v>85</v>
      </c>
      <c r="K6" s="4" t="s">
        <v>158</v>
      </c>
      <c r="L6">
        <v>92.81</v>
      </c>
      <c r="M6">
        <v>7868.27</v>
      </c>
      <c r="N6" s="4" t="s">
        <v>30</v>
      </c>
    </row>
    <row r="7" spans="1:14" x14ac:dyDescent="0.2">
      <c r="A7" s="4" t="s">
        <v>43</v>
      </c>
      <c r="B7">
        <v>6</v>
      </c>
      <c r="C7" s="4" t="s">
        <v>26</v>
      </c>
      <c r="D7" s="4" t="s">
        <v>934</v>
      </c>
      <c r="E7" s="4" t="s">
        <v>27</v>
      </c>
      <c r="F7">
        <v>1</v>
      </c>
      <c r="G7" s="4" t="s">
        <v>126</v>
      </c>
      <c r="H7" s="4" t="s">
        <v>108</v>
      </c>
      <c r="I7" s="4" t="s">
        <v>113</v>
      </c>
      <c r="J7">
        <v>22</v>
      </c>
      <c r="K7" s="4" t="s">
        <v>158</v>
      </c>
      <c r="L7">
        <v>79.78</v>
      </c>
      <c r="M7">
        <v>1755.16</v>
      </c>
      <c r="N7" s="4" t="s">
        <v>30</v>
      </c>
    </row>
    <row r="8" spans="1:14" x14ac:dyDescent="0.2">
      <c r="A8" s="4" t="s">
        <v>46</v>
      </c>
      <c r="B8">
        <v>7</v>
      </c>
      <c r="C8" s="4" t="s">
        <v>26</v>
      </c>
      <c r="D8" s="4" t="s">
        <v>934</v>
      </c>
      <c r="E8" s="4" t="s">
        <v>27</v>
      </c>
      <c r="F8">
        <v>1</v>
      </c>
      <c r="G8" s="4" t="s">
        <v>126</v>
      </c>
      <c r="H8" s="4" t="s">
        <v>108</v>
      </c>
      <c r="I8" s="4" t="s">
        <v>117</v>
      </c>
      <c r="J8">
        <v>28</v>
      </c>
      <c r="K8" s="4" t="s">
        <v>158</v>
      </c>
      <c r="L8">
        <v>79.78</v>
      </c>
      <c r="M8">
        <v>2233.84</v>
      </c>
      <c r="N8" s="4" t="s">
        <v>30</v>
      </c>
    </row>
    <row r="9" spans="1:14" x14ac:dyDescent="0.2">
      <c r="A9" s="4" t="s">
        <v>49</v>
      </c>
      <c r="B9">
        <v>8</v>
      </c>
      <c r="C9" s="4" t="s">
        <v>26</v>
      </c>
      <c r="D9" s="4" t="s">
        <v>934</v>
      </c>
      <c r="E9" s="4" t="s">
        <v>27</v>
      </c>
      <c r="F9">
        <v>1</v>
      </c>
      <c r="G9" s="4" t="s">
        <v>134</v>
      </c>
      <c r="H9" s="4" t="s">
        <v>108</v>
      </c>
      <c r="I9" s="4" t="s">
        <v>115</v>
      </c>
      <c r="J9">
        <v>72</v>
      </c>
      <c r="K9" s="4" t="s">
        <v>158</v>
      </c>
      <c r="L9">
        <v>48.5</v>
      </c>
      <c r="M9">
        <v>3489.94</v>
      </c>
      <c r="N9" s="4" t="s">
        <v>30</v>
      </c>
    </row>
    <row r="10" spans="1:14" x14ac:dyDescent="0.2">
      <c r="A10" s="4" t="s">
        <v>52</v>
      </c>
      <c r="B10">
        <v>9</v>
      </c>
      <c r="C10" s="4" t="s">
        <v>26</v>
      </c>
      <c r="D10" s="4" t="s">
        <v>934</v>
      </c>
      <c r="E10" s="4" t="s">
        <v>27</v>
      </c>
      <c r="F10">
        <v>1</v>
      </c>
      <c r="G10" s="4" t="s">
        <v>134</v>
      </c>
      <c r="H10" s="4" t="s">
        <v>108</v>
      </c>
      <c r="I10" s="4" t="s">
        <v>117</v>
      </c>
      <c r="J10">
        <v>47</v>
      </c>
      <c r="K10" s="4" t="s">
        <v>158</v>
      </c>
      <c r="L10">
        <v>47.47</v>
      </c>
      <c r="M10">
        <v>2231.09</v>
      </c>
      <c r="N10" s="4" t="s">
        <v>30</v>
      </c>
    </row>
    <row r="11" spans="1:14" x14ac:dyDescent="0.2">
      <c r="A11" s="4" t="s">
        <v>55</v>
      </c>
      <c r="B11">
        <v>10</v>
      </c>
      <c r="C11" s="4" t="s">
        <v>26</v>
      </c>
      <c r="D11" s="4" t="s">
        <v>934</v>
      </c>
      <c r="E11" s="4" t="s">
        <v>27</v>
      </c>
      <c r="F11">
        <v>1</v>
      </c>
      <c r="G11" s="4" t="s">
        <v>123</v>
      </c>
      <c r="H11" s="4" t="s">
        <v>108</v>
      </c>
      <c r="I11" s="4" t="s">
        <v>113</v>
      </c>
      <c r="J11">
        <v>391</v>
      </c>
      <c r="K11" s="4" t="s">
        <v>158</v>
      </c>
      <c r="L11">
        <v>26.48</v>
      </c>
      <c r="M11">
        <v>10383.200000000001</v>
      </c>
      <c r="N11" s="4" t="s">
        <v>30</v>
      </c>
    </row>
    <row r="12" spans="1:14" x14ac:dyDescent="0.2">
      <c r="A12" s="4" t="s">
        <v>58</v>
      </c>
      <c r="B12">
        <v>11</v>
      </c>
      <c r="C12" s="4" t="s">
        <v>26</v>
      </c>
      <c r="D12" s="4" t="s">
        <v>934</v>
      </c>
      <c r="E12" s="4" t="s">
        <v>27</v>
      </c>
      <c r="F12">
        <v>1</v>
      </c>
      <c r="G12" s="4" t="s">
        <v>123</v>
      </c>
      <c r="H12" s="4" t="s">
        <v>108</v>
      </c>
      <c r="I12" s="4" t="s">
        <v>115</v>
      </c>
      <c r="J12">
        <v>223</v>
      </c>
      <c r="K12" s="4" t="s">
        <v>158</v>
      </c>
      <c r="L12">
        <v>27.3</v>
      </c>
      <c r="M12">
        <v>6036.65</v>
      </c>
      <c r="N12" s="4" t="s">
        <v>30</v>
      </c>
    </row>
    <row r="13" spans="1:14" x14ac:dyDescent="0.2">
      <c r="A13" s="4" t="s">
        <v>60</v>
      </c>
      <c r="B13">
        <v>12</v>
      </c>
      <c r="C13" s="4" t="s">
        <v>26</v>
      </c>
      <c r="D13" s="4" t="s">
        <v>934</v>
      </c>
      <c r="E13" s="4" t="s">
        <v>27</v>
      </c>
      <c r="F13">
        <v>1</v>
      </c>
      <c r="G13" s="4" t="s">
        <v>128</v>
      </c>
      <c r="H13" s="4" t="s">
        <v>108</v>
      </c>
      <c r="I13" s="4" t="s">
        <v>113</v>
      </c>
      <c r="J13">
        <v>150</v>
      </c>
      <c r="K13" s="4" t="s">
        <v>158</v>
      </c>
      <c r="L13">
        <v>28.43</v>
      </c>
      <c r="M13">
        <v>4264.5</v>
      </c>
      <c r="N13" s="4" t="s">
        <v>30</v>
      </c>
    </row>
    <row r="14" spans="1:14" x14ac:dyDescent="0.2">
      <c r="A14" s="4" t="s">
        <v>62</v>
      </c>
      <c r="B14">
        <v>13</v>
      </c>
      <c r="C14" s="4" t="s">
        <v>26</v>
      </c>
      <c r="D14" s="4" t="s">
        <v>934</v>
      </c>
      <c r="E14" s="4" t="s">
        <v>27</v>
      </c>
      <c r="F14">
        <v>1</v>
      </c>
      <c r="G14" s="4" t="s">
        <v>128</v>
      </c>
      <c r="H14" s="4" t="s">
        <v>108</v>
      </c>
      <c r="I14" s="4" t="s">
        <v>115</v>
      </c>
      <c r="J14">
        <v>204</v>
      </c>
      <c r="K14" s="4" t="s">
        <v>158</v>
      </c>
      <c r="L14">
        <v>31.18</v>
      </c>
      <c r="M14">
        <v>6344.88</v>
      </c>
      <c r="N14" s="4" t="s">
        <v>30</v>
      </c>
    </row>
    <row r="15" spans="1:14" x14ac:dyDescent="0.2">
      <c r="A15" s="4" t="s">
        <v>64</v>
      </c>
      <c r="B15">
        <v>14</v>
      </c>
      <c r="C15" s="4" t="s">
        <v>26</v>
      </c>
      <c r="D15" s="4" t="s">
        <v>934</v>
      </c>
      <c r="E15" s="4" t="s">
        <v>27</v>
      </c>
      <c r="F15">
        <v>2</v>
      </c>
      <c r="G15" s="4" t="s">
        <v>132</v>
      </c>
      <c r="H15" s="4" t="s">
        <v>108</v>
      </c>
      <c r="I15" s="4" t="s">
        <v>113</v>
      </c>
      <c r="J15">
        <v>307</v>
      </c>
      <c r="K15" s="4" t="s">
        <v>158</v>
      </c>
      <c r="L15">
        <v>67.37</v>
      </c>
      <c r="M15">
        <v>20586.13</v>
      </c>
      <c r="N15" s="4" t="s">
        <v>30</v>
      </c>
    </row>
    <row r="16" spans="1:14" x14ac:dyDescent="0.2">
      <c r="A16" s="4" t="s">
        <v>66</v>
      </c>
      <c r="B16">
        <v>15</v>
      </c>
      <c r="C16" s="4" t="s">
        <v>26</v>
      </c>
      <c r="D16" s="4" t="s">
        <v>934</v>
      </c>
      <c r="E16" s="4" t="s">
        <v>27</v>
      </c>
      <c r="F16">
        <v>2</v>
      </c>
      <c r="G16" s="4" t="s">
        <v>132</v>
      </c>
      <c r="H16" s="4" t="s">
        <v>108</v>
      </c>
      <c r="I16" s="4" t="s">
        <v>115</v>
      </c>
      <c r="J16">
        <v>412</v>
      </c>
      <c r="K16" s="4" t="s">
        <v>158</v>
      </c>
      <c r="L16">
        <v>66.75</v>
      </c>
      <c r="M16">
        <v>27545.279999999999</v>
      </c>
      <c r="N16" s="4" t="s">
        <v>30</v>
      </c>
    </row>
    <row r="17" spans="1:14" x14ac:dyDescent="0.2">
      <c r="A17" s="4" t="s">
        <v>68</v>
      </c>
      <c r="B17">
        <v>16</v>
      </c>
      <c r="C17" s="4" t="s">
        <v>26</v>
      </c>
      <c r="D17" s="4" t="s">
        <v>934</v>
      </c>
      <c r="E17" s="4" t="s">
        <v>27</v>
      </c>
      <c r="F17">
        <v>2</v>
      </c>
      <c r="G17" s="4" t="s">
        <v>132</v>
      </c>
      <c r="H17" s="4" t="s">
        <v>108</v>
      </c>
      <c r="I17" s="4" t="s">
        <v>117</v>
      </c>
      <c r="J17">
        <v>141</v>
      </c>
      <c r="K17" s="4" t="s">
        <v>158</v>
      </c>
      <c r="L17">
        <v>66.290000000000006</v>
      </c>
      <c r="M17">
        <v>9339.6299999999992</v>
      </c>
      <c r="N17" s="4" t="s">
        <v>30</v>
      </c>
    </row>
    <row r="18" spans="1:14" x14ac:dyDescent="0.2">
      <c r="A18" s="4" t="s">
        <v>70</v>
      </c>
      <c r="B18">
        <v>17</v>
      </c>
      <c r="C18" s="4" t="s">
        <v>26</v>
      </c>
      <c r="D18" s="4" t="s">
        <v>934</v>
      </c>
      <c r="E18" s="4" t="s">
        <v>27</v>
      </c>
      <c r="F18">
        <v>2</v>
      </c>
      <c r="G18" s="4" t="s">
        <v>130</v>
      </c>
      <c r="H18" s="4" t="s">
        <v>108</v>
      </c>
      <c r="I18" s="4" t="s">
        <v>113</v>
      </c>
      <c r="J18">
        <v>69</v>
      </c>
      <c r="K18" s="4" t="s">
        <v>158</v>
      </c>
      <c r="L18">
        <v>91.11</v>
      </c>
      <c r="M18">
        <v>6282.51</v>
      </c>
      <c r="N18" s="4" t="s">
        <v>30</v>
      </c>
    </row>
    <row r="19" spans="1:14" x14ac:dyDescent="0.2">
      <c r="A19" s="4" t="s">
        <v>72</v>
      </c>
      <c r="B19">
        <v>18</v>
      </c>
      <c r="C19" s="4" t="s">
        <v>26</v>
      </c>
      <c r="D19" s="4" t="s">
        <v>934</v>
      </c>
      <c r="E19" s="4" t="s">
        <v>27</v>
      </c>
      <c r="F19">
        <v>2</v>
      </c>
      <c r="G19" s="4" t="s">
        <v>130</v>
      </c>
      <c r="H19" s="4" t="s">
        <v>108</v>
      </c>
      <c r="I19" s="4" t="s">
        <v>115</v>
      </c>
      <c r="J19">
        <v>98</v>
      </c>
      <c r="K19" s="4" t="s">
        <v>158</v>
      </c>
      <c r="L19">
        <v>92.46</v>
      </c>
      <c r="M19">
        <v>9024.1</v>
      </c>
      <c r="N19" s="4" t="s">
        <v>30</v>
      </c>
    </row>
    <row r="20" spans="1:14" x14ac:dyDescent="0.2">
      <c r="A20" s="4" t="s">
        <v>74</v>
      </c>
      <c r="B20">
        <v>19</v>
      </c>
      <c r="C20" s="4" t="s">
        <v>26</v>
      </c>
      <c r="D20" s="4" t="s">
        <v>934</v>
      </c>
      <c r="E20" s="4" t="s">
        <v>27</v>
      </c>
      <c r="F20">
        <v>2</v>
      </c>
      <c r="G20" s="4" t="s">
        <v>130</v>
      </c>
      <c r="H20" s="4" t="s">
        <v>108</v>
      </c>
      <c r="I20" s="4" t="s">
        <v>117</v>
      </c>
      <c r="J20">
        <v>432</v>
      </c>
      <c r="K20" s="4" t="s">
        <v>158</v>
      </c>
      <c r="L20">
        <v>92.79</v>
      </c>
      <c r="M20">
        <v>39995.72</v>
      </c>
      <c r="N20" s="4" t="s">
        <v>30</v>
      </c>
    </row>
    <row r="21" spans="1:14" x14ac:dyDescent="0.2">
      <c r="A21" s="4" t="s">
        <v>76</v>
      </c>
      <c r="B21">
        <v>20</v>
      </c>
      <c r="C21" s="4" t="s">
        <v>26</v>
      </c>
      <c r="D21" s="4" t="s">
        <v>934</v>
      </c>
      <c r="E21" s="4" t="s">
        <v>27</v>
      </c>
      <c r="F21">
        <v>2</v>
      </c>
      <c r="G21" s="4" t="s">
        <v>126</v>
      </c>
      <c r="H21" s="4" t="s">
        <v>108</v>
      </c>
      <c r="I21" s="4" t="s">
        <v>113</v>
      </c>
      <c r="J21">
        <v>117</v>
      </c>
      <c r="K21" s="4" t="s">
        <v>158</v>
      </c>
      <c r="L21">
        <v>82.38</v>
      </c>
      <c r="M21">
        <v>9599.58</v>
      </c>
      <c r="N21" s="4" t="s">
        <v>30</v>
      </c>
    </row>
    <row r="22" spans="1:14" x14ac:dyDescent="0.2">
      <c r="A22" s="4" t="s">
        <v>78</v>
      </c>
      <c r="B22">
        <v>21</v>
      </c>
      <c r="C22" s="4" t="s">
        <v>26</v>
      </c>
      <c r="D22" s="4" t="s">
        <v>934</v>
      </c>
      <c r="E22" s="4" t="s">
        <v>27</v>
      </c>
      <c r="F22">
        <v>2</v>
      </c>
      <c r="G22" s="4" t="s">
        <v>126</v>
      </c>
      <c r="H22" s="4" t="s">
        <v>108</v>
      </c>
      <c r="I22" s="4" t="s">
        <v>115</v>
      </c>
      <c r="J22">
        <v>91</v>
      </c>
      <c r="K22" s="4" t="s">
        <v>158</v>
      </c>
      <c r="L22">
        <v>80.23</v>
      </c>
      <c r="M22">
        <v>7297.21</v>
      </c>
      <c r="N22" s="4" t="s">
        <v>30</v>
      </c>
    </row>
    <row r="23" spans="1:14" x14ac:dyDescent="0.2">
      <c r="A23" s="4" t="s">
        <v>80</v>
      </c>
      <c r="B23">
        <v>22</v>
      </c>
      <c r="C23" s="4" t="s">
        <v>26</v>
      </c>
      <c r="D23" s="4" t="s">
        <v>934</v>
      </c>
      <c r="E23" s="4" t="s">
        <v>27</v>
      </c>
      <c r="F23">
        <v>2</v>
      </c>
      <c r="G23" s="4" t="s">
        <v>134</v>
      </c>
      <c r="H23" s="4" t="s">
        <v>108</v>
      </c>
      <c r="I23" s="4" t="s">
        <v>113</v>
      </c>
      <c r="J23">
        <v>509</v>
      </c>
      <c r="K23" s="4" t="s">
        <v>158</v>
      </c>
      <c r="L23">
        <v>49.24</v>
      </c>
      <c r="M23">
        <v>25129.27</v>
      </c>
      <c r="N23" s="4" t="s">
        <v>30</v>
      </c>
    </row>
    <row r="24" spans="1:14" x14ac:dyDescent="0.2">
      <c r="A24" s="4" t="s">
        <v>82</v>
      </c>
      <c r="B24">
        <v>23</v>
      </c>
      <c r="C24" s="4" t="s">
        <v>26</v>
      </c>
      <c r="D24" s="4" t="s">
        <v>934</v>
      </c>
      <c r="E24" s="4" t="s">
        <v>27</v>
      </c>
      <c r="F24">
        <v>2</v>
      </c>
      <c r="G24" s="4" t="s">
        <v>134</v>
      </c>
      <c r="H24" s="4" t="s">
        <v>108</v>
      </c>
      <c r="I24" s="4" t="s">
        <v>115</v>
      </c>
      <c r="J24">
        <v>166</v>
      </c>
      <c r="K24" s="4" t="s">
        <v>158</v>
      </c>
      <c r="L24">
        <v>49.72</v>
      </c>
      <c r="M24">
        <v>8244.0400000000009</v>
      </c>
      <c r="N24" s="4" t="s">
        <v>30</v>
      </c>
    </row>
    <row r="25" spans="1:14" x14ac:dyDescent="0.2">
      <c r="A25" s="4" t="s">
        <v>84</v>
      </c>
      <c r="B25">
        <v>24</v>
      </c>
      <c r="C25" s="4" t="s">
        <v>26</v>
      </c>
      <c r="D25" s="4" t="s">
        <v>934</v>
      </c>
      <c r="E25" s="4" t="s">
        <v>27</v>
      </c>
      <c r="F25">
        <v>2</v>
      </c>
      <c r="G25" s="4" t="s">
        <v>134</v>
      </c>
      <c r="H25" s="4" t="s">
        <v>108</v>
      </c>
      <c r="I25" s="4" t="s">
        <v>117</v>
      </c>
      <c r="J25">
        <v>123</v>
      </c>
      <c r="K25" s="4" t="s">
        <v>158</v>
      </c>
      <c r="L25">
        <v>48.74</v>
      </c>
      <c r="M25">
        <v>6007.11</v>
      </c>
      <c r="N25" s="4" t="s">
        <v>30</v>
      </c>
    </row>
    <row r="26" spans="1:14" x14ac:dyDescent="0.2">
      <c r="A26" s="4" t="s">
        <v>86</v>
      </c>
      <c r="B26">
        <v>25</v>
      </c>
      <c r="C26" s="4" t="s">
        <v>26</v>
      </c>
      <c r="D26" s="4" t="s">
        <v>934</v>
      </c>
      <c r="E26" s="4" t="s">
        <v>27</v>
      </c>
      <c r="F26">
        <v>2</v>
      </c>
      <c r="G26" s="4" t="s">
        <v>123</v>
      </c>
      <c r="H26" s="4" t="s">
        <v>108</v>
      </c>
      <c r="I26" s="4" t="s">
        <v>113</v>
      </c>
      <c r="J26">
        <v>1470</v>
      </c>
      <c r="K26" s="4" t="s">
        <v>158</v>
      </c>
      <c r="L26">
        <v>27.89</v>
      </c>
      <c r="M26">
        <v>41012.42</v>
      </c>
      <c r="N26" s="4" t="s">
        <v>30</v>
      </c>
    </row>
    <row r="27" spans="1:14" x14ac:dyDescent="0.2">
      <c r="A27" s="4" t="s">
        <v>88</v>
      </c>
      <c r="B27">
        <v>26</v>
      </c>
      <c r="C27" s="4" t="s">
        <v>26</v>
      </c>
      <c r="D27" s="4" t="s">
        <v>934</v>
      </c>
      <c r="E27" s="4" t="s">
        <v>27</v>
      </c>
      <c r="F27">
        <v>2</v>
      </c>
      <c r="G27" s="4" t="s">
        <v>123</v>
      </c>
      <c r="H27" s="4" t="s">
        <v>108</v>
      </c>
      <c r="I27" s="4" t="s">
        <v>115</v>
      </c>
      <c r="J27">
        <v>449</v>
      </c>
      <c r="K27" s="4" t="s">
        <v>158</v>
      </c>
      <c r="L27">
        <v>28.49</v>
      </c>
      <c r="M27">
        <v>12846.84</v>
      </c>
      <c r="N27" s="4" t="s">
        <v>30</v>
      </c>
    </row>
    <row r="28" spans="1:14" x14ac:dyDescent="0.2">
      <c r="A28" s="4" t="s">
        <v>90</v>
      </c>
      <c r="B28">
        <v>27</v>
      </c>
      <c r="C28" s="4" t="s">
        <v>26</v>
      </c>
      <c r="D28" s="4" t="s">
        <v>934</v>
      </c>
      <c r="E28" s="4" t="s">
        <v>27</v>
      </c>
      <c r="F28">
        <v>2</v>
      </c>
      <c r="G28" s="4" t="s">
        <v>123</v>
      </c>
      <c r="H28" s="4" t="s">
        <v>108</v>
      </c>
      <c r="I28" s="4" t="s">
        <v>117</v>
      </c>
      <c r="J28">
        <v>974</v>
      </c>
      <c r="K28" s="4" t="s">
        <v>158</v>
      </c>
      <c r="L28">
        <v>27.43</v>
      </c>
      <c r="M28">
        <v>26432.44</v>
      </c>
      <c r="N28" s="4" t="s">
        <v>30</v>
      </c>
    </row>
    <row r="29" spans="1:14" x14ac:dyDescent="0.2">
      <c r="A29" s="4" t="s">
        <v>92</v>
      </c>
      <c r="B29">
        <v>28</v>
      </c>
      <c r="C29" s="4" t="s">
        <v>26</v>
      </c>
      <c r="D29" s="4" t="s">
        <v>934</v>
      </c>
      <c r="E29" s="4" t="s">
        <v>27</v>
      </c>
      <c r="F29">
        <v>2</v>
      </c>
      <c r="G29" s="4" t="s">
        <v>128</v>
      </c>
      <c r="H29" s="4" t="s">
        <v>108</v>
      </c>
      <c r="I29" s="4" t="s">
        <v>113</v>
      </c>
      <c r="J29">
        <v>836</v>
      </c>
      <c r="K29" s="4" t="s">
        <v>158</v>
      </c>
      <c r="L29">
        <v>31.59</v>
      </c>
      <c r="M29">
        <v>26076.12</v>
      </c>
      <c r="N29" s="4" t="s">
        <v>30</v>
      </c>
    </row>
    <row r="30" spans="1:14" x14ac:dyDescent="0.2">
      <c r="A30" s="4" t="s">
        <v>94</v>
      </c>
      <c r="B30">
        <v>29</v>
      </c>
      <c r="C30" s="4" t="s">
        <v>26</v>
      </c>
      <c r="D30" s="4" t="s">
        <v>934</v>
      </c>
      <c r="E30" s="4" t="s">
        <v>27</v>
      </c>
      <c r="F30">
        <v>2</v>
      </c>
      <c r="G30" s="4" t="s">
        <v>128</v>
      </c>
      <c r="H30" s="4" t="s">
        <v>108</v>
      </c>
      <c r="I30" s="4" t="s">
        <v>115</v>
      </c>
      <c r="J30">
        <v>1110</v>
      </c>
      <c r="K30" s="4" t="s">
        <v>158</v>
      </c>
      <c r="L30">
        <v>30.93</v>
      </c>
      <c r="M30">
        <v>34281.97</v>
      </c>
      <c r="N30" s="4" t="s">
        <v>30</v>
      </c>
    </row>
    <row r="31" spans="1:14" x14ac:dyDescent="0.2">
      <c r="A31" s="4" t="s">
        <v>96</v>
      </c>
      <c r="B31">
        <v>30</v>
      </c>
      <c r="C31" s="4" t="s">
        <v>26</v>
      </c>
      <c r="D31" s="4" t="s">
        <v>934</v>
      </c>
      <c r="E31" s="4" t="s">
        <v>27</v>
      </c>
      <c r="F31">
        <v>2</v>
      </c>
      <c r="G31" s="4" t="s">
        <v>128</v>
      </c>
      <c r="H31" s="4" t="s">
        <v>108</v>
      </c>
      <c r="I31" s="4" t="s">
        <v>117</v>
      </c>
      <c r="J31">
        <v>547</v>
      </c>
      <c r="K31" s="4" t="s">
        <v>158</v>
      </c>
      <c r="L31">
        <v>30.46</v>
      </c>
      <c r="M31">
        <v>16609.23</v>
      </c>
      <c r="N31" s="4" t="s">
        <v>30</v>
      </c>
    </row>
    <row r="32" spans="1:14" x14ac:dyDescent="0.2">
      <c r="A32" s="4" t="s">
        <v>215</v>
      </c>
      <c r="B32">
        <v>31</v>
      </c>
      <c r="C32" s="4" t="s">
        <v>26</v>
      </c>
      <c r="D32" s="4" t="s">
        <v>934</v>
      </c>
      <c r="E32" s="4" t="s">
        <v>32</v>
      </c>
      <c r="F32">
        <v>3</v>
      </c>
      <c r="G32" s="4" t="s">
        <v>132</v>
      </c>
      <c r="H32" s="4" t="s">
        <v>108</v>
      </c>
      <c r="I32" s="4" t="s">
        <v>113</v>
      </c>
      <c r="J32">
        <v>485</v>
      </c>
      <c r="K32" s="4" t="s">
        <v>158</v>
      </c>
      <c r="L32">
        <v>66.599999999999994</v>
      </c>
      <c r="M32">
        <v>32211</v>
      </c>
      <c r="N32" s="4" t="s">
        <v>30</v>
      </c>
    </row>
    <row r="33" spans="1:14" x14ac:dyDescent="0.2">
      <c r="A33" s="4" t="s">
        <v>216</v>
      </c>
      <c r="B33">
        <v>32</v>
      </c>
      <c r="C33" s="4" t="s">
        <v>26</v>
      </c>
      <c r="D33" s="4" t="s">
        <v>934</v>
      </c>
      <c r="E33" s="4" t="s">
        <v>32</v>
      </c>
      <c r="F33">
        <v>3</v>
      </c>
      <c r="G33" s="4" t="s">
        <v>132</v>
      </c>
      <c r="H33" s="4" t="s">
        <v>108</v>
      </c>
      <c r="I33" s="4" t="s">
        <v>115</v>
      </c>
      <c r="J33">
        <v>678</v>
      </c>
      <c r="K33" s="4" t="s">
        <v>158</v>
      </c>
      <c r="L33">
        <v>66.349999999999994</v>
      </c>
      <c r="M33">
        <v>45042.79</v>
      </c>
      <c r="N33" s="4" t="s">
        <v>30</v>
      </c>
    </row>
    <row r="34" spans="1:14" x14ac:dyDescent="0.2">
      <c r="A34" s="4" t="s">
        <v>217</v>
      </c>
      <c r="B34">
        <v>33</v>
      </c>
      <c r="C34" s="4" t="s">
        <v>26</v>
      </c>
      <c r="D34" s="4" t="s">
        <v>934</v>
      </c>
      <c r="E34" s="4" t="s">
        <v>32</v>
      </c>
      <c r="F34">
        <v>3</v>
      </c>
      <c r="G34" s="4" t="s">
        <v>132</v>
      </c>
      <c r="H34" s="4" t="s">
        <v>108</v>
      </c>
      <c r="I34" s="4" t="s">
        <v>117</v>
      </c>
      <c r="J34">
        <v>86</v>
      </c>
      <c r="K34" s="4" t="s">
        <v>158</v>
      </c>
      <c r="L34">
        <v>65.94</v>
      </c>
      <c r="M34">
        <v>5671.96</v>
      </c>
      <c r="N34" s="4" t="s">
        <v>30</v>
      </c>
    </row>
    <row r="35" spans="1:14" x14ac:dyDescent="0.2">
      <c r="A35" s="4" t="s">
        <v>218</v>
      </c>
      <c r="B35">
        <v>34</v>
      </c>
      <c r="C35" s="4" t="s">
        <v>26</v>
      </c>
      <c r="D35" s="4" t="s">
        <v>934</v>
      </c>
      <c r="E35" s="4" t="s">
        <v>32</v>
      </c>
      <c r="F35">
        <v>3</v>
      </c>
      <c r="G35" s="4" t="s">
        <v>130</v>
      </c>
      <c r="H35" s="4" t="s">
        <v>108</v>
      </c>
      <c r="I35" s="4" t="s">
        <v>113</v>
      </c>
      <c r="J35">
        <v>184</v>
      </c>
      <c r="K35" s="4" t="s">
        <v>158</v>
      </c>
      <c r="L35">
        <v>91.57</v>
      </c>
      <c r="M35">
        <v>16840.09</v>
      </c>
      <c r="N35" s="4" t="s">
        <v>30</v>
      </c>
    </row>
    <row r="36" spans="1:14" x14ac:dyDescent="0.2">
      <c r="A36" s="4" t="s">
        <v>219</v>
      </c>
      <c r="B36">
        <v>35</v>
      </c>
      <c r="C36" s="4" t="s">
        <v>26</v>
      </c>
      <c r="D36" s="4" t="s">
        <v>934</v>
      </c>
      <c r="E36" s="4" t="s">
        <v>32</v>
      </c>
      <c r="F36">
        <v>3</v>
      </c>
      <c r="G36" s="4" t="s">
        <v>130</v>
      </c>
      <c r="H36" s="4" t="s">
        <v>108</v>
      </c>
      <c r="I36" s="4" t="s">
        <v>115</v>
      </c>
      <c r="J36">
        <v>137</v>
      </c>
      <c r="K36" s="4" t="s">
        <v>158</v>
      </c>
      <c r="L36">
        <v>91.84</v>
      </c>
      <c r="M36">
        <v>12583.9</v>
      </c>
      <c r="N36" s="4" t="s">
        <v>30</v>
      </c>
    </row>
    <row r="37" spans="1:14" x14ac:dyDescent="0.2">
      <c r="A37" s="4" t="s">
        <v>220</v>
      </c>
      <c r="B37">
        <v>36</v>
      </c>
      <c r="C37" s="4" t="s">
        <v>26</v>
      </c>
      <c r="D37" s="4" t="s">
        <v>934</v>
      </c>
      <c r="E37" s="4" t="s">
        <v>32</v>
      </c>
      <c r="F37">
        <v>3</v>
      </c>
      <c r="G37" s="4" t="s">
        <v>130</v>
      </c>
      <c r="H37" s="4" t="s">
        <v>108</v>
      </c>
      <c r="I37" s="4" t="s">
        <v>117</v>
      </c>
      <c r="J37">
        <v>444</v>
      </c>
      <c r="K37" s="4" t="s">
        <v>158</v>
      </c>
      <c r="L37">
        <v>91.82</v>
      </c>
      <c r="M37">
        <v>40798.19</v>
      </c>
      <c r="N37" s="4" t="s">
        <v>30</v>
      </c>
    </row>
    <row r="38" spans="1:14" x14ac:dyDescent="0.2">
      <c r="A38" s="4" t="s">
        <v>221</v>
      </c>
      <c r="B38">
        <v>37</v>
      </c>
      <c r="C38" s="4" t="s">
        <v>26</v>
      </c>
      <c r="D38" s="4" t="s">
        <v>934</v>
      </c>
      <c r="E38" s="4" t="s">
        <v>32</v>
      </c>
      <c r="F38">
        <v>3</v>
      </c>
      <c r="G38" s="4" t="s">
        <v>126</v>
      </c>
      <c r="H38" s="4" t="s">
        <v>108</v>
      </c>
      <c r="I38" s="4" t="s">
        <v>113</v>
      </c>
      <c r="J38">
        <v>99</v>
      </c>
      <c r="K38" s="4" t="s">
        <v>158</v>
      </c>
      <c r="L38">
        <v>79.930000000000007</v>
      </c>
      <c r="M38">
        <v>7913.82</v>
      </c>
      <c r="N38" s="4" t="s">
        <v>30</v>
      </c>
    </row>
    <row r="39" spans="1:14" x14ac:dyDescent="0.2">
      <c r="A39" s="4" t="s">
        <v>222</v>
      </c>
      <c r="B39">
        <v>38</v>
      </c>
      <c r="C39" s="4" t="s">
        <v>26</v>
      </c>
      <c r="D39" s="4" t="s">
        <v>934</v>
      </c>
      <c r="E39" s="4" t="s">
        <v>32</v>
      </c>
      <c r="F39">
        <v>3</v>
      </c>
      <c r="G39" s="4" t="s">
        <v>126</v>
      </c>
      <c r="H39" s="4" t="s">
        <v>108</v>
      </c>
      <c r="I39" s="4" t="s">
        <v>115</v>
      </c>
      <c r="J39">
        <v>207</v>
      </c>
      <c r="K39" s="4" t="s">
        <v>158</v>
      </c>
      <c r="L39">
        <v>79.959999999999994</v>
      </c>
      <c r="M39">
        <v>16557.400000000001</v>
      </c>
      <c r="N39" s="4" t="s">
        <v>30</v>
      </c>
    </row>
    <row r="40" spans="1:14" x14ac:dyDescent="0.2">
      <c r="A40" s="4" t="s">
        <v>223</v>
      </c>
      <c r="B40">
        <v>39</v>
      </c>
      <c r="C40" s="4" t="s">
        <v>26</v>
      </c>
      <c r="D40" s="4" t="s">
        <v>934</v>
      </c>
      <c r="E40" s="4" t="s">
        <v>32</v>
      </c>
      <c r="F40">
        <v>3</v>
      </c>
      <c r="G40" s="4" t="s">
        <v>126</v>
      </c>
      <c r="H40" s="4" t="s">
        <v>108</v>
      </c>
      <c r="I40" s="4" t="s">
        <v>117</v>
      </c>
      <c r="J40">
        <v>66</v>
      </c>
      <c r="K40" s="4" t="s">
        <v>158</v>
      </c>
      <c r="L40">
        <v>79.900000000000006</v>
      </c>
      <c r="M40">
        <v>5272.88</v>
      </c>
      <c r="N40" s="4" t="s">
        <v>30</v>
      </c>
    </row>
    <row r="41" spans="1:14" x14ac:dyDescent="0.2">
      <c r="A41" s="4" t="s">
        <v>224</v>
      </c>
      <c r="B41">
        <v>40</v>
      </c>
      <c r="C41" s="4" t="s">
        <v>26</v>
      </c>
      <c r="D41" s="4" t="s">
        <v>934</v>
      </c>
      <c r="E41" s="4" t="s">
        <v>32</v>
      </c>
      <c r="F41">
        <v>3</v>
      </c>
      <c r="G41" s="4" t="s">
        <v>134</v>
      </c>
      <c r="H41" s="4" t="s">
        <v>108</v>
      </c>
      <c r="I41" s="4" t="s">
        <v>113</v>
      </c>
      <c r="J41">
        <v>337</v>
      </c>
      <c r="K41" s="4" t="s">
        <v>158</v>
      </c>
      <c r="L41">
        <v>49.42</v>
      </c>
      <c r="M41">
        <v>16658.77</v>
      </c>
      <c r="N41" s="4" t="s">
        <v>30</v>
      </c>
    </row>
    <row r="42" spans="1:14" x14ac:dyDescent="0.2">
      <c r="A42" s="4" t="s">
        <v>225</v>
      </c>
      <c r="B42">
        <v>41</v>
      </c>
      <c r="C42" s="4" t="s">
        <v>26</v>
      </c>
      <c r="D42" s="4" t="s">
        <v>934</v>
      </c>
      <c r="E42" s="4" t="s">
        <v>32</v>
      </c>
      <c r="F42">
        <v>3</v>
      </c>
      <c r="G42" s="4" t="s">
        <v>134</v>
      </c>
      <c r="H42" s="4" t="s">
        <v>108</v>
      </c>
      <c r="I42" s="4" t="s">
        <v>115</v>
      </c>
      <c r="J42">
        <v>77</v>
      </c>
      <c r="K42" s="4" t="s">
        <v>158</v>
      </c>
      <c r="L42">
        <v>49.53</v>
      </c>
      <c r="M42">
        <v>3813.81</v>
      </c>
      <c r="N42" s="4" t="s">
        <v>30</v>
      </c>
    </row>
    <row r="43" spans="1:14" x14ac:dyDescent="0.2">
      <c r="A43" s="4" t="s">
        <v>226</v>
      </c>
      <c r="B43">
        <v>42</v>
      </c>
      <c r="C43" s="4" t="s">
        <v>26</v>
      </c>
      <c r="D43" s="4" t="s">
        <v>934</v>
      </c>
      <c r="E43" s="4" t="s">
        <v>32</v>
      </c>
      <c r="F43">
        <v>3</v>
      </c>
      <c r="G43" s="4" t="s">
        <v>134</v>
      </c>
      <c r="H43" s="4" t="s">
        <v>108</v>
      </c>
      <c r="I43" s="4" t="s">
        <v>117</v>
      </c>
      <c r="J43">
        <v>114</v>
      </c>
      <c r="K43" s="4" t="s">
        <v>158</v>
      </c>
      <c r="L43">
        <v>49.35</v>
      </c>
      <c r="M43">
        <v>5628.4</v>
      </c>
      <c r="N43" s="4" t="s">
        <v>30</v>
      </c>
    </row>
    <row r="44" spans="1:14" x14ac:dyDescent="0.2">
      <c r="A44" s="4" t="s">
        <v>227</v>
      </c>
      <c r="B44">
        <v>43</v>
      </c>
      <c r="C44" s="4" t="s">
        <v>26</v>
      </c>
      <c r="D44" s="4" t="s">
        <v>934</v>
      </c>
      <c r="E44" s="4" t="s">
        <v>32</v>
      </c>
      <c r="F44">
        <v>3</v>
      </c>
      <c r="G44" s="4" t="s">
        <v>123</v>
      </c>
      <c r="H44" s="4" t="s">
        <v>108</v>
      </c>
      <c r="I44" s="4" t="s">
        <v>113</v>
      </c>
      <c r="J44">
        <v>1873</v>
      </c>
      <c r="K44" s="4" t="s">
        <v>158</v>
      </c>
      <c r="L44">
        <v>28.62</v>
      </c>
      <c r="M44">
        <v>53708</v>
      </c>
      <c r="N44" s="4" t="s">
        <v>30</v>
      </c>
    </row>
    <row r="45" spans="1:14" x14ac:dyDescent="0.2">
      <c r="A45" s="4" t="s">
        <v>228</v>
      </c>
      <c r="B45">
        <v>44</v>
      </c>
      <c r="C45" s="4" t="s">
        <v>26</v>
      </c>
      <c r="D45" s="4" t="s">
        <v>934</v>
      </c>
      <c r="E45" s="4" t="s">
        <v>32</v>
      </c>
      <c r="F45">
        <v>3</v>
      </c>
      <c r="G45" s="4" t="s">
        <v>123</v>
      </c>
      <c r="H45" s="4" t="s">
        <v>108</v>
      </c>
      <c r="I45" s="4" t="s">
        <v>115</v>
      </c>
      <c r="J45">
        <v>490</v>
      </c>
      <c r="K45" s="4" t="s">
        <v>158</v>
      </c>
      <c r="L45">
        <v>27.81</v>
      </c>
      <c r="M45">
        <v>13583.75</v>
      </c>
      <c r="N45" s="4" t="s">
        <v>30</v>
      </c>
    </row>
    <row r="46" spans="1:14" x14ac:dyDescent="0.2">
      <c r="A46" s="4" t="s">
        <v>229</v>
      </c>
      <c r="B46">
        <v>45</v>
      </c>
      <c r="C46" s="4" t="s">
        <v>26</v>
      </c>
      <c r="D46" s="4" t="s">
        <v>934</v>
      </c>
      <c r="E46" s="4" t="s">
        <v>32</v>
      </c>
      <c r="F46">
        <v>3</v>
      </c>
      <c r="G46" s="4" t="s">
        <v>123</v>
      </c>
      <c r="H46" s="4" t="s">
        <v>108</v>
      </c>
      <c r="I46" s="4" t="s">
        <v>117</v>
      </c>
      <c r="J46">
        <v>676</v>
      </c>
      <c r="K46" s="4" t="s">
        <v>158</v>
      </c>
      <c r="L46">
        <v>28.53</v>
      </c>
      <c r="M46">
        <v>19174.2</v>
      </c>
      <c r="N46" s="4" t="s">
        <v>30</v>
      </c>
    </row>
    <row r="47" spans="1:14" x14ac:dyDescent="0.2">
      <c r="A47" s="4" t="s">
        <v>230</v>
      </c>
      <c r="B47">
        <v>46</v>
      </c>
      <c r="C47" s="4" t="s">
        <v>26</v>
      </c>
      <c r="D47" s="4" t="s">
        <v>934</v>
      </c>
      <c r="E47" s="4" t="s">
        <v>32</v>
      </c>
      <c r="F47">
        <v>3</v>
      </c>
      <c r="G47" s="4" t="s">
        <v>128</v>
      </c>
      <c r="H47" s="4" t="s">
        <v>108</v>
      </c>
      <c r="I47" s="4" t="s">
        <v>113</v>
      </c>
      <c r="J47">
        <v>1045</v>
      </c>
      <c r="K47" s="4" t="s">
        <v>158</v>
      </c>
      <c r="L47">
        <v>30.97</v>
      </c>
      <c r="M47">
        <v>32314.959999999999</v>
      </c>
      <c r="N47" s="4" t="s">
        <v>30</v>
      </c>
    </row>
    <row r="48" spans="1:14" x14ac:dyDescent="0.2">
      <c r="A48" s="4" t="s">
        <v>231</v>
      </c>
      <c r="B48">
        <v>47</v>
      </c>
      <c r="C48" s="4" t="s">
        <v>26</v>
      </c>
      <c r="D48" s="4" t="s">
        <v>934</v>
      </c>
      <c r="E48" s="4" t="s">
        <v>32</v>
      </c>
      <c r="F48">
        <v>3</v>
      </c>
      <c r="G48" s="4" t="s">
        <v>128</v>
      </c>
      <c r="H48" s="4" t="s">
        <v>108</v>
      </c>
      <c r="I48" s="4" t="s">
        <v>115</v>
      </c>
      <c r="J48">
        <v>1619</v>
      </c>
      <c r="K48" s="4" t="s">
        <v>158</v>
      </c>
      <c r="L48">
        <v>31.06</v>
      </c>
      <c r="M48">
        <v>50284</v>
      </c>
      <c r="N48" s="4" t="s">
        <v>30</v>
      </c>
    </row>
    <row r="49" spans="1:14" x14ac:dyDescent="0.2">
      <c r="A49" s="4" t="s">
        <v>232</v>
      </c>
      <c r="B49">
        <v>48</v>
      </c>
      <c r="C49" s="4" t="s">
        <v>26</v>
      </c>
      <c r="D49" s="4" t="s">
        <v>934</v>
      </c>
      <c r="E49" s="4" t="s">
        <v>32</v>
      </c>
      <c r="F49">
        <v>3</v>
      </c>
      <c r="G49" s="4" t="s">
        <v>128</v>
      </c>
      <c r="H49" s="4" t="s">
        <v>108</v>
      </c>
      <c r="I49" s="4" t="s">
        <v>117</v>
      </c>
      <c r="J49">
        <v>68</v>
      </c>
      <c r="K49" s="4" t="s">
        <v>158</v>
      </c>
      <c r="L49">
        <v>31</v>
      </c>
      <c r="M49">
        <v>2108</v>
      </c>
      <c r="N49" s="4" t="s">
        <v>30</v>
      </c>
    </row>
    <row r="50" spans="1:14" x14ac:dyDescent="0.2">
      <c r="A50" s="4" t="s">
        <v>233</v>
      </c>
      <c r="B50">
        <v>49</v>
      </c>
      <c r="C50" s="4" t="s">
        <v>26</v>
      </c>
      <c r="D50" s="4" t="s">
        <v>934</v>
      </c>
      <c r="E50" s="4" t="s">
        <v>32</v>
      </c>
      <c r="F50">
        <v>4</v>
      </c>
      <c r="G50" s="4" t="s">
        <v>132</v>
      </c>
      <c r="H50" s="4" t="s">
        <v>108</v>
      </c>
      <c r="I50" s="4" t="s">
        <v>113</v>
      </c>
      <c r="J50">
        <v>393</v>
      </c>
      <c r="K50" s="4" t="s">
        <v>158</v>
      </c>
      <c r="L50">
        <v>66.540000000000006</v>
      </c>
      <c r="M50">
        <v>26182.22</v>
      </c>
      <c r="N50" s="4" t="s">
        <v>30</v>
      </c>
    </row>
    <row r="51" spans="1:14" x14ac:dyDescent="0.2">
      <c r="A51" s="4" t="s">
        <v>234</v>
      </c>
      <c r="B51">
        <v>50</v>
      </c>
      <c r="C51" s="4" t="s">
        <v>26</v>
      </c>
      <c r="D51" s="4" t="s">
        <v>934</v>
      </c>
      <c r="E51" s="4" t="s">
        <v>32</v>
      </c>
      <c r="F51">
        <v>4</v>
      </c>
      <c r="G51" s="4" t="s">
        <v>132</v>
      </c>
      <c r="H51" s="4" t="s">
        <v>108</v>
      </c>
      <c r="I51" s="4" t="s">
        <v>115</v>
      </c>
      <c r="J51">
        <v>351</v>
      </c>
      <c r="K51" s="4" t="s">
        <v>158</v>
      </c>
      <c r="L51">
        <v>66.66</v>
      </c>
      <c r="M51">
        <v>23412.85</v>
      </c>
      <c r="N51" s="4" t="s">
        <v>30</v>
      </c>
    </row>
    <row r="52" spans="1:14" x14ac:dyDescent="0.2">
      <c r="A52" s="4" t="s">
        <v>235</v>
      </c>
      <c r="B52">
        <v>51</v>
      </c>
      <c r="C52" s="4" t="s">
        <v>26</v>
      </c>
      <c r="D52" s="4" t="s">
        <v>934</v>
      </c>
      <c r="E52" s="4" t="s">
        <v>32</v>
      </c>
      <c r="F52">
        <v>4</v>
      </c>
      <c r="G52" s="4" t="s">
        <v>132</v>
      </c>
      <c r="H52" s="4" t="s">
        <v>108</v>
      </c>
      <c r="I52" s="4" t="s">
        <v>117</v>
      </c>
      <c r="J52">
        <v>243</v>
      </c>
      <c r="K52" s="4" t="s">
        <v>158</v>
      </c>
      <c r="L52">
        <v>66.72</v>
      </c>
      <c r="M52">
        <v>16230.04</v>
      </c>
      <c r="N52" s="4" t="s">
        <v>30</v>
      </c>
    </row>
    <row r="53" spans="1:14" x14ac:dyDescent="0.2">
      <c r="A53" s="4" t="s">
        <v>236</v>
      </c>
      <c r="B53">
        <v>52</v>
      </c>
      <c r="C53" s="4" t="s">
        <v>26</v>
      </c>
      <c r="D53" s="4" t="s">
        <v>934</v>
      </c>
      <c r="E53" s="4" t="s">
        <v>32</v>
      </c>
      <c r="F53">
        <v>4</v>
      </c>
      <c r="G53" s="4" t="s">
        <v>130</v>
      </c>
      <c r="H53" s="4" t="s">
        <v>108</v>
      </c>
      <c r="I53" s="4" t="s">
        <v>113</v>
      </c>
      <c r="J53">
        <v>112</v>
      </c>
      <c r="K53" s="4" t="s">
        <v>158</v>
      </c>
      <c r="L53">
        <v>90.58</v>
      </c>
      <c r="M53">
        <v>10147.16</v>
      </c>
      <c r="N53" s="4" t="s">
        <v>30</v>
      </c>
    </row>
    <row r="54" spans="1:14" x14ac:dyDescent="0.2">
      <c r="A54" s="4" t="s">
        <v>237</v>
      </c>
      <c r="B54">
        <v>53</v>
      </c>
      <c r="C54" s="4" t="s">
        <v>26</v>
      </c>
      <c r="D54" s="4" t="s">
        <v>934</v>
      </c>
      <c r="E54" s="4" t="s">
        <v>32</v>
      </c>
      <c r="F54">
        <v>4</v>
      </c>
      <c r="G54" s="4" t="s">
        <v>130</v>
      </c>
      <c r="H54" s="4" t="s">
        <v>108</v>
      </c>
      <c r="I54" s="4" t="s">
        <v>115</v>
      </c>
      <c r="J54">
        <v>156</v>
      </c>
      <c r="K54" s="4" t="s">
        <v>158</v>
      </c>
      <c r="L54">
        <v>90.82</v>
      </c>
      <c r="M54">
        <v>14166.48</v>
      </c>
      <c r="N54" s="4" t="s">
        <v>30</v>
      </c>
    </row>
    <row r="55" spans="1:14" x14ac:dyDescent="0.2">
      <c r="A55" s="4" t="s">
        <v>238</v>
      </c>
      <c r="B55">
        <v>54</v>
      </c>
      <c r="C55" s="4" t="s">
        <v>26</v>
      </c>
      <c r="D55" s="4" t="s">
        <v>934</v>
      </c>
      <c r="E55" s="4" t="s">
        <v>32</v>
      </c>
      <c r="F55">
        <v>4</v>
      </c>
      <c r="G55" s="4" t="s">
        <v>130</v>
      </c>
      <c r="H55" s="4" t="s">
        <v>108</v>
      </c>
      <c r="I55" s="4" t="s">
        <v>117</v>
      </c>
      <c r="J55">
        <v>353</v>
      </c>
      <c r="K55" s="4" t="s">
        <v>158</v>
      </c>
      <c r="L55">
        <v>91.7</v>
      </c>
      <c r="M55">
        <v>32470.81</v>
      </c>
      <c r="N55" s="4" t="s">
        <v>30</v>
      </c>
    </row>
    <row r="56" spans="1:14" x14ac:dyDescent="0.2">
      <c r="A56" s="4" t="s">
        <v>239</v>
      </c>
      <c r="B56">
        <v>55</v>
      </c>
      <c r="C56" s="4" t="s">
        <v>26</v>
      </c>
      <c r="D56" s="4" t="s">
        <v>934</v>
      </c>
      <c r="E56" s="4" t="s">
        <v>32</v>
      </c>
      <c r="F56">
        <v>4</v>
      </c>
      <c r="G56" s="4" t="s">
        <v>126</v>
      </c>
      <c r="H56" s="4" t="s">
        <v>108</v>
      </c>
      <c r="I56" s="4" t="s">
        <v>113</v>
      </c>
      <c r="J56">
        <v>133</v>
      </c>
      <c r="K56" s="4" t="s">
        <v>158</v>
      </c>
      <c r="L56">
        <v>78.61</v>
      </c>
      <c r="M56">
        <v>10445.27</v>
      </c>
      <c r="N56" s="4" t="s">
        <v>30</v>
      </c>
    </row>
    <row r="57" spans="1:14" x14ac:dyDescent="0.2">
      <c r="A57" s="4" t="s">
        <v>240</v>
      </c>
      <c r="B57">
        <v>56</v>
      </c>
      <c r="C57" s="4" t="s">
        <v>26</v>
      </c>
      <c r="D57" s="4" t="s">
        <v>934</v>
      </c>
      <c r="E57" s="4" t="s">
        <v>32</v>
      </c>
      <c r="F57">
        <v>4</v>
      </c>
      <c r="G57" s="4" t="s">
        <v>126</v>
      </c>
      <c r="H57" s="4" t="s">
        <v>108</v>
      </c>
      <c r="I57" s="4" t="s">
        <v>115</v>
      </c>
      <c r="J57">
        <v>163</v>
      </c>
      <c r="K57" s="4" t="s">
        <v>158</v>
      </c>
      <c r="L57">
        <v>80.09</v>
      </c>
      <c r="M57">
        <v>13054.47</v>
      </c>
      <c r="N57" s="4" t="s">
        <v>30</v>
      </c>
    </row>
    <row r="58" spans="1:14" x14ac:dyDescent="0.2">
      <c r="A58" s="4" t="s">
        <v>241</v>
      </c>
      <c r="B58">
        <v>57</v>
      </c>
      <c r="C58" s="4" t="s">
        <v>26</v>
      </c>
      <c r="D58" s="4" t="s">
        <v>934</v>
      </c>
      <c r="E58" s="4" t="s">
        <v>32</v>
      </c>
      <c r="F58">
        <v>4</v>
      </c>
      <c r="G58" s="4" t="s">
        <v>126</v>
      </c>
      <c r="H58" s="4" t="s">
        <v>108</v>
      </c>
      <c r="I58" s="4" t="s">
        <v>117</v>
      </c>
      <c r="J58">
        <v>58</v>
      </c>
      <c r="K58" s="4" t="s">
        <v>158</v>
      </c>
      <c r="L58">
        <v>79.78</v>
      </c>
      <c r="M58">
        <v>4627.24</v>
      </c>
      <c r="N58" s="4" t="s">
        <v>30</v>
      </c>
    </row>
    <row r="59" spans="1:14" x14ac:dyDescent="0.2">
      <c r="A59" s="4" t="s">
        <v>242</v>
      </c>
      <c r="B59">
        <v>58</v>
      </c>
      <c r="C59" s="4" t="s">
        <v>26</v>
      </c>
      <c r="D59" s="4" t="s">
        <v>934</v>
      </c>
      <c r="E59" s="4" t="s">
        <v>32</v>
      </c>
      <c r="F59">
        <v>4</v>
      </c>
      <c r="G59" s="4" t="s">
        <v>134</v>
      </c>
      <c r="H59" s="4" t="s">
        <v>108</v>
      </c>
      <c r="I59" s="4" t="s">
        <v>113</v>
      </c>
      <c r="J59">
        <v>562</v>
      </c>
      <c r="K59" s="4" t="s">
        <v>158</v>
      </c>
      <c r="L59">
        <v>49.45</v>
      </c>
      <c r="M59">
        <v>27805.17</v>
      </c>
      <c r="N59" s="4" t="s">
        <v>30</v>
      </c>
    </row>
    <row r="60" spans="1:14" x14ac:dyDescent="0.2">
      <c r="A60" s="4" t="s">
        <v>243</v>
      </c>
      <c r="B60">
        <v>59</v>
      </c>
      <c r="C60" s="4" t="s">
        <v>26</v>
      </c>
      <c r="D60" s="4" t="s">
        <v>934</v>
      </c>
      <c r="E60" s="4" t="s">
        <v>32</v>
      </c>
      <c r="F60">
        <v>4</v>
      </c>
      <c r="G60" s="4" t="s">
        <v>134</v>
      </c>
      <c r="H60" s="4" t="s">
        <v>108</v>
      </c>
      <c r="I60" s="4" t="s">
        <v>115</v>
      </c>
      <c r="J60">
        <v>410</v>
      </c>
      <c r="K60" s="4" t="s">
        <v>158</v>
      </c>
      <c r="L60">
        <v>49.09</v>
      </c>
      <c r="M60">
        <v>20151.71</v>
      </c>
      <c r="N60" s="4" t="s">
        <v>30</v>
      </c>
    </row>
    <row r="61" spans="1:14" x14ac:dyDescent="0.2">
      <c r="A61" s="4" t="s">
        <v>244</v>
      </c>
      <c r="B61">
        <v>60</v>
      </c>
      <c r="C61" s="4" t="s">
        <v>26</v>
      </c>
      <c r="D61" s="4" t="s">
        <v>934</v>
      </c>
      <c r="E61" s="4" t="s">
        <v>32</v>
      </c>
      <c r="F61">
        <v>4</v>
      </c>
      <c r="G61" s="4" t="s">
        <v>134</v>
      </c>
      <c r="H61" s="4" t="s">
        <v>108</v>
      </c>
      <c r="I61" s="4" t="s">
        <v>117</v>
      </c>
      <c r="J61">
        <v>204</v>
      </c>
      <c r="K61" s="4" t="s">
        <v>158</v>
      </c>
      <c r="L61">
        <v>49.34</v>
      </c>
      <c r="M61">
        <v>10055.16</v>
      </c>
      <c r="N61" s="4" t="s">
        <v>30</v>
      </c>
    </row>
    <row r="62" spans="1:14" x14ac:dyDescent="0.2">
      <c r="A62" s="4" t="s">
        <v>245</v>
      </c>
      <c r="B62">
        <v>61</v>
      </c>
      <c r="C62" s="4" t="s">
        <v>26</v>
      </c>
      <c r="D62" s="4" t="s">
        <v>934</v>
      </c>
      <c r="E62" s="4" t="s">
        <v>32</v>
      </c>
      <c r="F62">
        <v>4</v>
      </c>
      <c r="G62" s="4" t="s">
        <v>123</v>
      </c>
      <c r="H62" s="4" t="s">
        <v>108</v>
      </c>
      <c r="I62" s="4" t="s">
        <v>113</v>
      </c>
      <c r="J62">
        <v>1506</v>
      </c>
      <c r="K62" s="4" t="s">
        <v>158</v>
      </c>
      <c r="L62">
        <v>29.32</v>
      </c>
      <c r="M62">
        <v>44248.05</v>
      </c>
      <c r="N62" s="4" t="s">
        <v>30</v>
      </c>
    </row>
    <row r="63" spans="1:14" x14ac:dyDescent="0.2">
      <c r="A63" s="4" t="s">
        <v>246</v>
      </c>
      <c r="B63">
        <v>62</v>
      </c>
      <c r="C63" s="4" t="s">
        <v>26</v>
      </c>
      <c r="D63" s="4" t="s">
        <v>934</v>
      </c>
      <c r="E63" s="4" t="s">
        <v>32</v>
      </c>
      <c r="F63">
        <v>4</v>
      </c>
      <c r="G63" s="4" t="s">
        <v>123</v>
      </c>
      <c r="H63" s="4" t="s">
        <v>108</v>
      </c>
      <c r="I63" s="4" t="s">
        <v>115</v>
      </c>
      <c r="J63">
        <v>346</v>
      </c>
      <c r="K63" s="4" t="s">
        <v>158</v>
      </c>
      <c r="L63">
        <v>28.74</v>
      </c>
      <c r="M63">
        <v>9973.9500000000007</v>
      </c>
      <c r="N63" s="4" t="s">
        <v>30</v>
      </c>
    </row>
    <row r="64" spans="1:14" x14ac:dyDescent="0.2">
      <c r="A64" s="4" t="s">
        <v>247</v>
      </c>
      <c r="B64">
        <v>63</v>
      </c>
      <c r="C64" s="4" t="s">
        <v>26</v>
      </c>
      <c r="D64" s="4" t="s">
        <v>934</v>
      </c>
      <c r="E64" s="4" t="s">
        <v>32</v>
      </c>
      <c r="F64">
        <v>4</v>
      </c>
      <c r="G64" s="4" t="s">
        <v>123</v>
      </c>
      <c r="H64" s="4" t="s">
        <v>108</v>
      </c>
      <c r="I64" s="4" t="s">
        <v>117</v>
      </c>
      <c r="J64">
        <v>849</v>
      </c>
      <c r="K64" s="4" t="s">
        <v>158</v>
      </c>
      <c r="L64">
        <v>28.52</v>
      </c>
      <c r="M64">
        <v>24169.45</v>
      </c>
      <c r="N64" s="4" t="s">
        <v>30</v>
      </c>
    </row>
    <row r="65" spans="1:14" x14ac:dyDescent="0.2">
      <c r="A65" s="4" t="s">
        <v>248</v>
      </c>
      <c r="B65">
        <v>64</v>
      </c>
      <c r="C65" s="4" t="s">
        <v>26</v>
      </c>
      <c r="D65" s="4" t="s">
        <v>934</v>
      </c>
      <c r="E65" s="4" t="s">
        <v>32</v>
      </c>
      <c r="F65">
        <v>4</v>
      </c>
      <c r="G65" s="4" t="s">
        <v>128</v>
      </c>
      <c r="H65" s="4" t="s">
        <v>108</v>
      </c>
      <c r="I65" s="4" t="s">
        <v>113</v>
      </c>
      <c r="J65">
        <v>487</v>
      </c>
      <c r="K65" s="4" t="s">
        <v>158</v>
      </c>
      <c r="L65">
        <v>31.34</v>
      </c>
      <c r="M65">
        <v>15410.35</v>
      </c>
      <c r="N65" s="4" t="s">
        <v>30</v>
      </c>
    </row>
    <row r="66" spans="1:14" x14ac:dyDescent="0.2">
      <c r="A66" s="4" t="s">
        <v>249</v>
      </c>
      <c r="B66">
        <v>65</v>
      </c>
      <c r="C66" s="4" t="s">
        <v>26</v>
      </c>
      <c r="D66" s="4" t="s">
        <v>934</v>
      </c>
      <c r="E66" s="4" t="s">
        <v>32</v>
      </c>
      <c r="F66">
        <v>4</v>
      </c>
      <c r="G66" s="4" t="s">
        <v>128</v>
      </c>
      <c r="H66" s="4" t="s">
        <v>108</v>
      </c>
      <c r="I66" s="4" t="s">
        <v>115</v>
      </c>
      <c r="J66">
        <v>1102</v>
      </c>
      <c r="K66" s="4" t="s">
        <v>158</v>
      </c>
      <c r="L66">
        <v>32.119999999999997</v>
      </c>
      <c r="M66">
        <v>35307.910000000003</v>
      </c>
      <c r="N66" s="4" t="s">
        <v>30</v>
      </c>
    </row>
    <row r="67" spans="1:14" x14ac:dyDescent="0.2">
      <c r="A67" s="4" t="s">
        <v>250</v>
      </c>
      <c r="B67">
        <v>66</v>
      </c>
      <c r="C67" s="4" t="s">
        <v>26</v>
      </c>
      <c r="D67" s="4" t="s">
        <v>934</v>
      </c>
      <c r="E67" s="4" t="s">
        <v>32</v>
      </c>
      <c r="F67">
        <v>4</v>
      </c>
      <c r="G67" s="4" t="s">
        <v>128</v>
      </c>
      <c r="H67" s="4" t="s">
        <v>108</v>
      </c>
      <c r="I67" s="4" t="s">
        <v>117</v>
      </c>
      <c r="J67">
        <v>598</v>
      </c>
      <c r="K67" s="4" t="s">
        <v>158</v>
      </c>
      <c r="L67">
        <v>30</v>
      </c>
      <c r="M67">
        <v>17938.3</v>
      </c>
      <c r="N67" s="4" t="s">
        <v>30</v>
      </c>
    </row>
    <row r="68" spans="1:14" x14ac:dyDescent="0.2">
      <c r="A68" s="4" t="s">
        <v>251</v>
      </c>
      <c r="B68">
        <v>67</v>
      </c>
      <c r="C68" s="4" t="s">
        <v>26</v>
      </c>
      <c r="D68" s="4" t="s">
        <v>934</v>
      </c>
      <c r="E68" s="4" t="s">
        <v>35</v>
      </c>
      <c r="F68">
        <v>5</v>
      </c>
      <c r="G68" s="4" t="s">
        <v>132</v>
      </c>
      <c r="H68" s="4" t="s">
        <v>108</v>
      </c>
      <c r="I68" s="4" t="s">
        <v>113</v>
      </c>
      <c r="J68">
        <v>319</v>
      </c>
      <c r="K68" s="4" t="s">
        <v>158</v>
      </c>
      <c r="L68">
        <v>66.89</v>
      </c>
      <c r="M68">
        <v>21326.65</v>
      </c>
      <c r="N68" s="4" t="s">
        <v>30</v>
      </c>
    </row>
    <row r="69" spans="1:14" x14ac:dyDescent="0.2">
      <c r="A69" s="4" t="s">
        <v>252</v>
      </c>
      <c r="B69">
        <v>68</v>
      </c>
      <c r="C69" s="4" t="s">
        <v>26</v>
      </c>
      <c r="D69" s="4" t="s">
        <v>934</v>
      </c>
      <c r="E69" s="4" t="s">
        <v>35</v>
      </c>
      <c r="F69">
        <v>5</v>
      </c>
      <c r="G69" s="4" t="s">
        <v>132</v>
      </c>
      <c r="H69" s="4" t="s">
        <v>108</v>
      </c>
      <c r="I69" s="4" t="s">
        <v>115</v>
      </c>
      <c r="J69">
        <v>579</v>
      </c>
      <c r="K69" s="4" t="s">
        <v>158</v>
      </c>
      <c r="L69">
        <v>67.05</v>
      </c>
      <c r="M69">
        <v>38832.03</v>
      </c>
      <c r="N69" s="4" t="s">
        <v>30</v>
      </c>
    </row>
    <row r="70" spans="1:14" x14ac:dyDescent="0.2">
      <c r="A70" s="4" t="s">
        <v>253</v>
      </c>
      <c r="B70">
        <v>69</v>
      </c>
      <c r="C70" s="4" t="s">
        <v>26</v>
      </c>
      <c r="D70" s="4" t="s">
        <v>934</v>
      </c>
      <c r="E70" s="4" t="s">
        <v>35</v>
      </c>
      <c r="F70">
        <v>5</v>
      </c>
      <c r="G70" s="4" t="s">
        <v>132</v>
      </c>
      <c r="H70" s="4" t="s">
        <v>108</v>
      </c>
      <c r="I70" s="4" t="s">
        <v>117</v>
      </c>
      <c r="J70">
        <v>117</v>
      </c>
      <c r="K70" s="4" t="s">
        <v>158</v>
      </c>
      <c r="L70">
        <v>65.92</v>
      </c>
      <c r="M70">
        <v>7713.83</v>
      </c>
      <c r="N70" s="4" t="s">
        <v>30</v>
      </c>
    </row>
    <row r="71" spans="1:14" x14ac:dyDescent="0.2">
      <c r="A71" s="4" t="s">
        <v>254</v>
      </c>
      <c r="B71">
        <v>70</v>
      </c>
      <c r="C71" s="4" t="s">
        <v>26</v>
      </c>
      <c r="D71" s="4" t="s">
        <v>934</v>
      </c>
      <c r="E71" s="4" t="s">
        <v>35</v>
      </c>
      <c r="F71">
        <v>5</v>
      </c>
      <c r="G71" s="4" t="s">
        <v>130</v>
      </c>
      <c r="H71" s="4" t="s">
        <v>108</v>
      </c>
      <c r="I71" s="4" t="s">
        <v>113</v>
      </c>
      <c r="J71">
        <v>207</v>
      </c>
      <c r="K71" s="4" t="s">
        <v>158</v>
      </c>
      <c r="L71">
        <v>90.67</v>
      </c>
      <c r="M71">
        <v>18758.490000000002</v>
      </c>
      <c r="N71" s="4" t="s">
        <v>30</v>
      </c>
    </row>
    <row r="72" spans="1:14" x14ac:dyDescent="0.2">
      <c r="A72" s="4" t="s">
        <v>255</v>
      </c>
      <c r="B72">
        <v>71</v>
      </c>
      <c r="C72" s="4" t="s">
        <v>26</v>
      </c>
      <c r="D72" s="4" t="s">
        <v>934</v>
      </c>
      <c r="E72" s="4" t="s">
        <v>35</v>
      </c>
      <c r="F72">
        <v>5</v>
      </c>
      <c r="G72" s="4" t="s">
        <v>130</v>
      </c>
      <c r="H72" s="4" t="s">
        <v>108</v>
      </c>
      <c r="I72" s="4" t="s">
        <v>115</v>
      </c>
      <c r="J72">
        <v>43</v>
      </c>
      <c r="K72" s="4" t="s">
        <v>158</v>
      </c>
      <c r="L72">
        <v>93.67</v>
      </c>
      <c r="M72">
        <v>4030.75</v>
      </c>
      <c r="N72" s="4" t="s">
        <v>30</v>
      </c>
    </row>
    <row r="73" spans="1:14" x14ac:dyDescent="0.2">
      <c r="A73" s="4" t="s">
        <v>256</v>
      </c>
      <c r="B73">
        <v>72</v>
      </c>
      <c r="C73" s="4" t="s">
        <v>26</v>
      </c>
      <c r="D73" s="4" t="s">
        <v>934</v>
      </c>
      <c r="E73" s="4" t="s">
        <v>35</v>
      </c>
      <c r="F73">
        <v>5</v>
      </c>
      <c r="G73" s="4" t="s">
        <v>130</v>
      </c>
      <c r="H73" s="4" t="s">
        <v>108</v>
      </c>
      <c r="I73" s="4" t="s">
        <v>117</v>
      </c>
      <c r="J73">
        <v>450</v>
      </c>
      <c r="K73" s="4" t="s">
        <v>158</v>
      </c>
      <c r="L73">
        <v>91.16</v>
      </c>
      <c r="M73">
        <v>41047.39</v>
      </c>
      <c r="N73" s="4" t="s">
        <v>30</v>
      </c>
    </row>
    <row r="74" spans="1:14" x14ac:dyDescent="0.2">
      <c r="A74" s="4" t="s">
        <v>257</v>
      </c>
      <c r="B74">
        <v>73</v>
      </c>
      <c r="C74" s="4" t="s">
        <v>26</v>
      </c>
      <c r="D74" s="4" t="s">
        <v>934</v>
      </c>
      <c r="E74" s="4" t="s">
        <v>35</v>
      </c>
      <c r="F74">
        <v>5</v>
      </c>
      <c r="G74" s="4" t="s">
        <v>126</v>
      </c>
      <c r="H74" s="4" t="s">
        <v>108</v>
      </c>
      <c r="I74" s="4" t="s">
        <v>113</v>
      </c>
      <c r="J74">
        <v>76</v>
      </c>
      <c r="K74" s="4" t="s">
        <v>158</v>
      </c>
      <c r="L74">
        <v>80.27</v>
      </c>
      <c r="M74">
        <v>6103.47</v>
      </c>
      <c r="N74" s="4" t="s">
        <v>30</v>
      </c>
    </row>
    <row r="75" spans="1:14" x14ac:dyDescent="0.2">
      <c r="A75" s="4" t="s">
        <v>258</v>
      </c>
      <c r="B75">
        <v>74</v>
      </c>
      <c r="C75" s="4" t="s">
        <v>26</v>
      </c>
      <c r="D75" s="4" t="s">
        <v>934</v>
      </c>
      <c r="E75" s="4" t="s">
        <v>35</v>
      </c>
      <c r="F75">
        <v>5</v>
      </c>
      <c r="G75" s="4" t="s">
        <v>126</v>
      </c>
      <c r="H75" s="4" t="s">
        <v>108</v>
      </c>
      <c r="I75" s="4" t="s">
        <v>115</v>
      </c>
      <c r="J75">
        <v>250</v>
      </c>
      <c r="K75" s="4" t="s">
        <v>158</v>
      </c>
      <c r="L75">
        <v>80.37</v>
      </c>
      <c r="M75">
        <v>20079.400000000001</v>
      </c>
      <c r="N75" s="4" t="s">
        <v>30</v>
      </c>
    </row>
    <row r="76" spans="1:14" x14ac:dyDescent="0.2">
      <c r="A76" s="4" t="s">
        <v>259</v>
      </c>
      <c r="B76">
        <v>75</v>
      </c>
      <c r="C76" s="4" t="s">
        <v>26</v>
      </c>
      <c r="D76" s="4" t="s">
        <v>934</v>
      </c>
      <c r="E76" s="4" t="s">
        <v>35</v>
      </c>
      <c r="F76">
        <v>5</v>
      </c>
      <c r="G76" s="4" t="s">
        <v>126</v>
      </c>
      <c r="H76" s="4" t="s">
        <v>108</v>
      </c>
      <c r="I76" s="4" t="s">
        <v>117</v>
      </c>
      <c r="J76">
        <v>46</v>
      </c>
      <c r="K76" s="4" t="s">
        <v>158</v>
      </c>
      <c r="L76">
        <v>79.89</v>
      </c>
      <c r="M76">
        <v>3674.06</v>
      </c>
      <c r="N76" s="4" t="s">
        <v>30</v>
      </c>
    </row>
    <row r="77" spans="1:14" x14ac:dyDescent="0.2">
      <c r="A77" s="4" t="s">
        <v>260</v>
      </c>
      <c r="B77">
        <v>76</v>
      </c>
      <c r="C77" s="4" t="s">
        <v>26</v>
      </c>
      <c r="D77" s="4" t="s">
        <v>934</v>
      </c>
      <c r="E77" s="4" t="s">
        <v>35</v>
      </c>
      <c r="F77">
        <v>5</v>
      </c>
      <c r="G77" s="4" t="s">
        <v>134</v>
      </c>
      <c r="H77" s="4" t="s">
        <v>108</v>
      </c>
      <c r="I77" s="4" t="s">
        <v>113</v>
      </c>
      <c r="J77">
        <v>390</v>
      </c>
      <c r="K77" s="4" t="s">
        <v>158</v>
      </c>
      <c r="L77">
        <v>49.63</v>
      </c>
      <c r="M77">
        <v>19353.240000000002</v>
      </c>
      <c r="N77" s="4" t="s">
        <v>30</v>
      </c>
    </row>
    <row r="78" spans="1:14" x14ac:dyDescent="0.2">
      <c r="A78" s="4" t="s">
        <v>261</v>
      </c>
      <c r="B78">
        <v>77</v>
      </c>
      <c r="C78" s="4" t="s">
        <v>26</v>
      </c>
      <c r="D78" s="4" t="s">
        <v>934</v>
      </c>
      <c r="E78" s="4" t="s">
        <v>35</v>
      </c>
      <c r="F78">
        <v>5</v>
      </c>
      <c r="G78" s="4" t="s">
        <v>134</v>
      </c>
      <c r="H78" s="4" t="s">
        <v>108</v>
      </c>
      <c r="I78" s="4" t="s">
        <v>115</v>
      </c>
      <c r="J78">
        <v>139</v>
      </c>
      <c r="K78" s="4" t="s">
        <v>158</v>
      </c>
      <c r="L78">
        <v>49.51</v>
      </c>
      <c r="M78">
        <v>6876.5</v>
      </c>
      <c r="N78" s="4" t="s">
        <v>30</v>
      </c>
    </row>
    <row r="79" spans="1:14" x14ac:dyDescent="0.2">
      <c r="A79" s="4" t="s">
        <v>262</v>
      </c>
      <c r="B79">
        <v>78</v>
      </c>
      <c r="C79" s="4" t="s">
        <v>26</v>
      </c>
      <c r="D79" s="4" t="s">
        <v>934</v>
      </c>
      <c r="E79" s="4" t="s">
        <v>35</v>
      </c>
      <c r="F79">
        <v>5</v>
      </c>
      <c r="G79" s="4" t="s">
        <v>134</v>
      </c>
      <c r="H79" s="4" t="s">
        <v>108</v>
      </c>
      <c r="I79" s="4" t="s">
        <v>117</v>
      </c>
      <c r="J79">
        <v>343</v>
      </c>
      <c r="K79" s="4" t="s">
        <v>158</v>
      </c>
      <c r="L79">
        <v>49.4</v>
      </c>
      <c r="M79">
        <v>16942.990000000002</v>
      </c>
      <c r="N79" s="4" t="s">
        <v>30</v>
      </c>
    </row>
    <row r="80" spans="1:14" x14ac:dyDescent="0.2">
      <c r="A80" s="4" t="s">
        <v>263</v>
      </c>
      <c r="B80">
        <v>79</v>
      </c>
      <c r="C80" s="4" t="s">
        <v>26</v>
      </c>
      <c r="D80" s="4" t="s">
        <v>934</v>
      </c>
      <c r="E80" s="4" t="s">
        <v>35</v>
      </c>
      <c r="F80">
        <v>5</v>
      </c>
      <c r="G80" s="4" t="s">
        <v>123</v>
      </c>
      <c r="H80" s="4" t="s">
        <v>108</v>
      </c>
      <c r="I80" s="4" t="s">
        <v>113</v>
      </c>
      <c r="J80">
        <v>880</v>
      </c>
      <c r="K80" s="4" t="s">
        <v>158</v>
      </c>
      <c r="L80">
        <v>29.48</v>
      </c>
      <c r="M80">
        <v>25954.16</v>
      </c>
      <c r="N80" s="4" t="s">
        <v>30</v>
      </c>
    </row>
    <row r="81" spans="1:14" x14ac:dyDescent="0.2">
      <c r="A81" s="4" t="s">
        <v>264</v>
      </c>
      <c r="B81">
        <v>80</v>
      </c>
      <c r="C81" s="4" t="s">
        <v>26</v>
      </c>
      <c r="D81" s="4" t="s">
        <v>934</v>
      </c>
      <c r="E81" s="4" t="s">
        <v>35</v>
      </c>
      <c r="F81">
        <v>5</v>
      </c>
      <c r="G81" s="4" t="s">
        <v>123</v>
      </c>
      <c r="H81" s="4" t="s">
        <v>108</v>
      </c>
      <c r="I81" s="4" t="s">
        <v>115</v>
      </c>
      <c r="J81">
        <v>33</v>
      </c>
      <c r="K81" s="4" t="s">
        <v>158</v>
      </c>
      <c r="L81">
        <v>25.25</v>
      </c>
      <c r="M81">
        <v>833.25</v>
      </c>
      <c r="N81" s="4" t="s">
        <v>30</v>
      </c>
    </row>
    <row r="82" spans="1:14" x14ac:dyDescent="0.2">
      <c r="A82" s="4" t="s">
        <v>265</v>
      </c>
      <c r="B82">
        <v>81</v>
      </c>
      <c r="C82" s="4" t="s">
        <v>26</v>
      </c>
      <c r="D82" s="4" t="s">
        <v>934</v>
      </c>
      <c r="E82" s="4" t="s">
        <v>35</v>
      </c>
      <c r="F82">
        <v>5</v>
      </c>
      <c r="G82" s="4" t="s">
        <v>123</v>
      </c>
      <c r="H82" s="4" t="s">
        <v>108</v>
      </c>
      <c r="I82" s="4" t="s">
        <v>117</v>
      </c>
      <c r="J82">
        <v>558</v>
      </c>
      <c r="K82" s="4" t="s">
        <v>158</v>
      </c>
      <c r="L82">
        <v>29.33</v>
      </c>
      <c r="M82">
        <v>16364.03</v>
      </c>
      <c r="N82" s="4" t="s">
        <v>30</v>
      </c>
    </row>
    <row r="83" spans="1:14" x14ac:dyDescent="0.2">
      <c r="A83" s="4" t="s">
        <v>266</v>
      </c>
      <c r="B83">
        <v>82</v>
      </c>
      <c r="C83" s="4" t="s">
        <v>26</v>
      </c>
      <c r="D83" s="4" t="s">
        <v>934</v>
      </c>
      <c r="E83" s="4" t="s">
        <v>35</v>
      </c>
      <c r="F83">
        <v>5</v>
      </c>
      <c r="G83" s="4" t="s">
        <v>128</v>
      </c>
      <c r="H83" s="4" t="s">
        <v>108</v>
      </c>
      <c r="I83" s="4" t="s">
        <v>113</v>
      </c>
      <c r="J83">
        <v>603</v>
      </c>
      <c r="K83" s="4" t="s">
        <v>158</v>
      </c>
      <c r="L83">
        <v>31.95</v>
      </c>
      <c r="M83">
        <v>19239.73</v>
      </c>
      <c r="N83" s="4" t="s">
        <v>30</v>
      </c>
    </row>
    <row r="84" spans="1:14" x14ac:dyDescent="0.2">
      <c r="A84" s="4" t="s">
        <v>267</v>
      </c>
      <c r="B84">
        <v>83</v>
      </c>
      <c r="C84" s="4" t="s">
        <v>26</v>
      </c>
      <c r="D84" s="4" t="s">
        <v>934</v>
      </c>
      <c r="E84" s="4" t="s">
        <v>35</v>
      </c>
      <c r="F84">
        <v>5</v>
      </c>
      <c r="G84" s="4" t="s">
        <v>128</v>
      </c>
      <c r="H84" s="4" t="s">
        <v>108</v>
      </c>
      <c r="I84" s="4" t="s">
        <v>115</v>
      </c>
      <c r="J84">
        <v>850</v>
      </c>
      <c r="K84" s="4" t="s">
        <v>158</v>
      </c>
      <c r="L84">
        <v>31.68</v>
      </c>
      <c r="M84">
        <v>26859.66</v>
      </c>
      <c r="N84" s="4" t="s">
        <v>30</v>
      </c>
    </row>
    <row r="85" spans="1:14" x14ac:dyDescent="0.2">
      <c r="A85" s="4" t="s">
        <v>268</v>
      </c>
      <c r="B85">
        <v>84</v>
      </c>
      <c r="C85" s="4" t="s">
        <v>26</v>
      </c>
      <c r="D85" s="4" t="s">
        <v>934</v>
      </c>
      <c r="E85" s="4" t="s">
        <v>35</v>
      </c>
      <c r="F85">
        <v>5</v>
      </c>
      <c r="G85" s="4" t="s">
        <v>128</v>
      </c>
      <c r="H85" s="4" t="s">
        <v>108</v>
      </c>
      <c r="I85" s="4" t="s">
        <v>117</v>
      </c>
      <c r="J85">
        <v>225</v>
      </c>
      <c r="K85" s="4" t="s">
        <v>158</v>
      </c>
      <c r="L85">
        <v>31.61</v>
      </c>
      <c r="M85">
        <v>7106.75</v>
      </c>
      <c r="N85" s="4" t="s">
        <v>30</v>
      </c>
    </row>
    <row r="86" spans="1:14" x14ac:dyDescent="0.2">
      <c r="A86" s="4" t="s">
        <v>269</v>
      </c>
      <c r="B86">
        <v>85</v>
      </c>
      <c r="C86" s="4" t="s">
        <v>26</v>
      </c>
      <c r="D86" s="4" t="s">
        <v>934</v>
      </c>
      <c r="E86" s="4" t="s">
        <v>35</v>
      </c>
      <c r="F86">
        <v>6</v>
      </c>
      <c r="G86" s="4" t="s">
        <v>132</v>
      </c>
      <c r="H86" s="4" t="s">
        <v>108</v>
      </c>
      <c r="I86" s="4" t="s">
        <v>113</v>
      </c>
      <c r="J86">
        <v>276</v>
      </c>
      <c r="K86" s="4" t="s">
        <v>158</v>
      </c>
      <c r="L86">
        <v>66.739999999999995</v>
      </c>
      <c r="M86">
        <v>18432.759999999998</v>
      </c>
      <c r="N86" s="4" t="s">
        <v>30</v>
      </c>
    </row>
    <row r="87" spans="1:14" x14ac:dyDescent="0.2">
      <c r="A87" s="4" t="s">
        <v>270</v>
      </c>
      <c r="B87">
        <v>86</v>
      </c>
      <c r="C87" s="4" t="s">
        <v>26</v>
      </c>
      <c r="D87" s="4" t="s">
        <v>934</v>
      </c>
      <c r="E87" s="4" t="s">
        <v>35</v>
      </c>
      <c r="F87">
        <v>6</v>
      </c>
      <c r="G87" s="4" t="s">
        <v>132</v>
      </c>
      <c r="H87" s="4" t="s">
        <v>108</v>
      </c>
      <c r="I87" s="4" t="s">
        <v>115</v>
      </c>
      <c r="J87">
        <v>458</v>
      </c>
      <c r="K87" s="4" t="s">
        <v>158</v>
      </c>
      <c r="L87">
        <v>67.150000000000006</v>
      </c>
      <c r="M87">
        <v>30742.32</v>
      </c>
      <c r="N87" s="4" t="s">
        <v>30</v>
      </c>
    </row>
    <row r="88" spans="1:14" x14ac:dyDescent="0.2">
      <c r="A88" s="4" t="s">
        <v>271</v>
      </c>
      <c r="B88">
        <v>87</v>
      </c>
      <c r="C88" s="4" t="s">
        <v>26</v>
      </c>
      <c r="D88" s="4" t="s">
        <v>934</v>
      </c>
      <c r="E88" s="4" t="s">
        <v>35</v>
      </c>
      <c r="F88">
        <v>6</v>
      </c>
      <c r="G88" s="4" t="s">
        <v>132</v>
      </c>
      <c r="H88" s="4" t="s">
        <v>108</v>
      </c>
      <c r="I88" s="4" t="s">
        <v>117</v>
      </c>
      <c r="J88">
        <v>123</v>
      </c>
      <c r="K88" s="4" t="s">
        <v>158</v>
      </c>
      <c r="L88">
        <v>66.5</v>
      </c>
      <c r="M88">
        <v>8180</v>
      </c>
      <c r="N88" s="4" t="s">
        <v>30</v>
      </c>
    </row>
    <row r="89" spans="1:14" x14ac:dyDescent="0.2">
      <c r="A89" s="4" t="s">
        <v>272</v>
      </c>
      <c r="B89">
        <v>88</v>
      </c>
      <c r="C89" s="4" t="s">
        <v>26</v>
      </c>
      <c r="D89" s="4" t="s">
        <v>934</v>
      </c>
      <c r="E89" s="4" t="s">
        <v>35</v>
      </c>
      <c r="F89">
        <v>6</v>
      </c>
      <c r="G89" s="4" t="s">
        <v>130</v>
      </c>
      <c r="H89" s="4" t="s">
        <v>108</v>
      </c>
      <c r="I89" s="4" t="s">
        <v>113</v>
      </c>
      <c r="J89">
        <v>92</v>
      </c>
      <c r="K89" s="4" t="s">
        <v>158</v>
      </c>
      <c r="L89">
        <v>91.9</v>
      </c>
      <c r="M89">
        <v>8448</v>
      </c>
      <c r="N89" s="4" t="s">
        <v>30</v>
      </c>
    </row>
    <row r="90" spans="1:14" x14ac:dyDescent="0.2">
      <c r="A90" s="4" t="s">
        <v>273</v>
      </c>
      <c r="B90">
        <v>89</v>
      </c>
      <c r="C90" s="4" t="s">
        <v>26</v>
      </c>
      <c r="D90" s="4" t="s">
        <v>934</v>
      </c>
      <c r="E90" s="4" t="s">
        <v>35</v>
      </c>
      <c r="F90">
        <v>6</v>
      </c>
      <c r="G90" s="4" t="s">
        <v>130</v>
      </c>
      <c r="H90" s="4" t="s">
        <v>108</v>
      </c>
      <c r="I90" s="4" t="s">
        <v>115</v>
      </c>
      <c r="J90">
        <v>123</v>
      </c>
      <c r="K90" s="4" t="s">
        <v>158</v>
      </c>
      <c r="L90">
        <v>90.91</v>
      </c>
      <c r="M90">
        <v>11180.93</v>
      </c>
      <c r="N90" s="4" t="s">
        <v>30</v>
      </c>
    </row>
    <row r="91" spans="1:14" x14ac:dyDescent="0.2">
      <c r="A91" s="4" t="s">
        <v>274</v>
      </c>
      <c r="B91">
        <v>90</v>
      </c>
      <c r="C91" s="4" t="s">
        <v>26</v>
      </c>
      <c r="D91" s="4" t="s">
        <v>934</v>
      </c>
      <c r="E91" s="4" t="s">
        <v>35</v>
      </c>
      <c r="F91">
        <v>6</v>
      </c>
      <c r="G91" s="4" t="s">
        <v>130</v>
      </c>
      <c r="H91" s="4" t="s">
        <v>108</v>
      </c>
      <c r="I91" s="4" t="s">
        <v>117</v>
      </c>
      <c r="J91">
        <v>273</v>
      </c>
      <c r="K91" s="4" t="s">
        <v>158</v>
      </c>
      <c r="L91">
        <v>91.38</v>
      </c>
      <c r="M91">
        <v>25016.17</v>
      </c>
      <c r="N91" s="4" t="s">
        <v>30</v>
      </c>
    </row>
    <row r="92" spans="1:14" x14ac:dyDescent="0.2">
      <c r="A92" s="4" t="s">
        <v>275</v>
      </c>
      <c r="B92">
        <v>91</v>
      </c>
      <c r="C92" s="4" t="s">
        <v>26</v>
      </c>
      <c r="D92" s="4" t="s">
        <v>934</v>
      </c>
      <c r="E92" s="4" t="s">
        <v>35</v>
      </c>
      <c r="F92">
        <v>6</v>
      </c>
      <c r="G92" s="4" t="s">
        <v>126</v>
      </c>
      <c r="H92" s="4" t="s">
        <v>108</v>
      </c>
      <c r="I92" s="4" t="s">
        <v>113</v>
      </c>
      <c r="J92">
        <v>219</v>
      </c>
      <c r="K92" s="4" t="s">
        <v>158</v>
      </c>
      <c r="L92">
        <v>79.17</v>
      </c>
      <c r="M92">
        <v>17302.97</v>
      </c>
      <c r="N92" s="4" t="s">
        <v>30</v>
      </c>
    </row>
    <row r="93" spans="1:14" x14ac:dyDescent="0.2">
      <c r="A93" s="4" t="s">
        <v>276</v>
      </c>
      <c r="B93">
        <v>92</v>
      </c>
      <c r="C93" s="4" t="s">
        <v>26</v>
      </c>
      <c r="D93" s="4" t="s">
        <v>934</v>
      </c>
      <c r="E93" s="4" t="s">
        <v>35</v>
      </c>
      <c r="F93">
        <v>6</v>
      </c>
      <c r="G93" s="4" t="s">
        <v>126</v>
      </c>
      <c r="H93" s="4" t="s">
        <v>108</v>
      </c>
      <c r="I93" s="4" t="s">
        <v>115</v>
      </c>
      <c r="J93">
        <v>121</v>
      </c>
      <c r="K93" s="4" t="s">
        <v>158</v>
      </c>
      <c r="L93">
        <v>80.59</v>
      </c>
      <c r="M93">
        <v>9753.4699999999993</v>
      </c>
      <c r="N93" s="4" t="s">
        <v>30</v>
      </c>
    </row>
    <row r="94" spans="1:14" x14ac:dyDescent="0.2">
      <c r="A94" s="4" t="s">
        <v>277</v>
      </c>
      <c r="B94">
        <v>93</v>
      </c>
      <c r="C94" s="4" t="s">
        <v>26</v>
      </c>
      <c r="D94" s="4" t="s">
        <v>934</v>
      </c>
      <c r="E94" s="4" t="s">
        <v>35</v>
      </c>
      <c r="F94">
        <v>6</v>
      </c>
      <c r="G94" s="4" t="s">
        <v>126</v>
      </c>
      <c r="H94" s="4" t="s">
        <v>108</v>
      </c>
      <c r="I94" s="4" t="s">
        <v>117</v>
      </c>
      <c r="J94">
        <v>55</v>
      </c>
      <c r="K94" s="4" t="s">
        <v>158</v>
      </c>
      <c r="L94">
        <v>77.209999999999994</v>
      </c>
      <c r="M94">
        <v>4263.05</v>
      </c>
      <c r="N94" s="4" t="s">
        <v>30</v>
      </c>
    </row>
    <row r="95" spans="1:14" x14ac:dyDescent="0.2">
      <c r="A95" s="4" t="s">
        <v>278</v>
      </c>
      <c r="B95">
        <v>94</v>
      </c>
      <c r="C95" s="4" t="s">
        <v>26</v>
      </c>
      <c r="D95" s="4" t="s">
        <v>934</v>
      </c>
      <c r="E95" s="4" t="s">
        <v>35</v>
      </c>
      <c r="F95">
        <v>6</v>
      </c>
      <c r="G95" s="4" t="s">
        <v>134</v>
      </c>
      <c r="H95" s="4" t="s">
        <v>108</v>
      </c>
      <c r="I95" s="4" t="s">
        <v>113</v>
      </c>
      <c r="J95">
        <v>494</v>
      </c>
      <c r="K95" s="4" t="s">
        <v>158</v>
      </c>
      <c r="L95">
        <v>49.51</v>
      </c>
      <c r="M95">
        <v>24478.47</v>
      </c>
      <c r="N95" s="4" t="s">
        <v>30</v>
      </c>
    </row>
    <row r="96" spans="1:14" x14ac:dyDescent="0.2">
      <c r="A96" s="4" t="s">
        <v>279</v>
      </c>
      <c r="B96">
        <v>95</v>
      </c>
      <c r="C96" s="4" t="s">
        <v>26</v>
      </c>
      <c r="D96" s="4" t="s">
        <v>934</v>
      </c>
      <c r="E96" s="4" t="s">
        <v>35</v>
      </c>
      <c r="F96">
        <v>6</v>
      </c>
      <c r="G96" s="4" t="s">
        <v>134</v>
      </c>
      <c r="H96" s="4" t="s">
        <v>108</v>
      </c>
      <c r="I96" s="4" t="s">
        <v>115</v>
      </c>
      <c r="J96">
        <v>276</v>
      </c>
      <c r="K96" s="4" t="s">
        <v>158</v>
      </c>
      <c r="L96">
        <v>50.16</v>
      </c>
      <c r="M96">
        <v>13822.27</v>
      </c>
      <c r="N96" s="4" t="s">
        <v>30</v>
      </c>
    </row>
    <row r="97" spans="1:14" x14ac:dyDescent="0.2">
      <c r="A97" s="4" t="s">
        <v>280</v>
      </c>
      <c r="B97">
        <v>96</v>
      </c>
      <c r="C97" s="4" t="s">
        <v>26</v>
      </c>
      <c r="D97" s="4" t="s">
        <v>934</v>
      </c>
      <c r="E97" s="4" t="s">
        <v>35</v>
      </c>
      <c r="F97">
        <v>6</v>
      </c>
      <c r="G97" s="4" t="s">
        <v>134</v>
      </c>
      <c r="H97" s="4" t="s">
        <v>108</v>
      </c>
      <c r="I97" s="4" t="s">
        <v>117</v>
      </c>
      <c r="J97">
        <v>100</v>
      </c>
      <c r="K97" s="4" t="s">
        <v>158</v>
      </c>
      <c r="L97">
        <v>50.19</v>
      </c>
      <c r="M97">
        <v>5012.3999999999996</v>
      </c>
      <c r="N97" s="4" t="s">
        <v>30</v>
      </c>
    </row>
    <row r="98" spans="1:14" x14ac:dyDescent="0.2">
      <c r="A98" s="4" t="s">
        <v>281</v>
      </c>
      <c r="B98">
        <v>97</v>
      </c>
      <c r="C98" s="4" t="s">
        <v>26</v>
      </c>
      <c r="D98" s="4" t="s">
        <v>934</v>
      </c>
      <c r="E98" s="4" t="s">
        <v>35</v>
      </c>
      <c r="F98">
        <v>6</v>
      </c>
      <c r="G98" s="4" t="s">
        <v>123</v>
      </c>
      <c r="H98" s="4" t="s">
        <v>108</v>
      </c>
      <c r="I98" s="4" t="s">
        <v>113</v>
      </c>
      <c r="J98">
        <v>1812</v>
      </c>
      <c r="K98" s="4" t="s">
        <v>158</v>
      </c>
      <c r="L98">
        <v>29.62</v>
      </c>
      <c r="M98">
        <v>53686.62</v>
      </c>
      <c r="N98" s="4" t="s">
        <v>30</v>
      </c>
    </row>
    <row r="99" spans="1:14" x14ac:dyDescent="0.2">
      <c r="A99" s="4" t="s">
        <v>282</v>
      </c>
      <c r="B99">
        <v>98</v>
      </c>
      <c r="C99" s="4" t="s">
        <v>26</v>
      </c>
      <c r="D99" s="4" t="s">
        <v>934</v>
      </c>
      <c r="E99" s="4" t="s">
        <v>35</v>
      </c>
      <c r="F99">
        <v>6</v>
      </c>
      <c r="G99" s="4" t="s">
        <v>123</v>
      </c>
      <c r="H99" s="4" t="s">
        <v>108</v>
      </c>
      <c r="I99" s="4" t="s">
        <v>115</v>
      </c>
      <c r="J99">
        <v>411</v>
      </c>
      <c r="K99" s="4" t="s">
        <v>158</v>
      </c>
      <c r="L99">
        <v>29.29</v>
      </c>
      <c r="M99">
        <v>12037.53</v>
      </c>
      <c r="N99" s="4" t="s">
        <v>30</v>
      </c>
    </row>
    <row r="100" spans="1:14" x14ac:dyDescent="0.2">
      <c r="A100" s="4" t="s">
        <v>283</v>
      </c>
      <c r="B100">
        <v>99</v>
      </c>
      <c r="C100" s="4" t="s">
        <v>26</v>
      </c>
      <c r="D100" s="4" t="s">
        <v>934</v>
      </c>
      <c r="E100" s="4" t="s">
        <v>35</v>
      </c>
      <c r="F100">
        <v>6</v>
      </c>
      <c r="G100" s="4" t="s">
        <v>123</v>
      </c>
      <c r="H100" s="4" t="s">
        <v>108</v>
      </c>
      <c r="I100" s="4" t="s">
        <v>117</v>
      </c>
      <c r="J100">
        <v>941</v>
      </c>
      <c r="K100" s="4" t="s">
        <v>158</v>
      </c>
      <c r="L100">
        <v>29.56</v>
      </c>
      <c r="M100">
        <v>27834.959999999999</v>
      </c>
      <c r="N100" s="4" t="s">
        <v>30</v>
      </c>
    </row>
    <row r="101" spans="1:14" x14ac:dyDescent="0.2">
      <c r="A101" s="4" t="s">
        <v>284</v>
      </c>
      <c r="B101">
        <v>100</v>
      </c>
      <c r="C101" s="4" t="s">
        <v>26</v>
      </c>
      <c r="D101" s="4" t="s">
        <v>934</v>
      </c>
      <c r="E101" s="4" t="s">
        <v>35</v>
      </c>
      <c r="F101">
        <v>6</v>
      </c>
      <c r="G101" s="4" t="s">
        <v>128</v>
      </c>
      <c r="H101" s="4" t="s">
        <v>108</v>
      </c>
      <c r="I101" s="4" t="s">
        <v>113</v>
      </c>
      <c r="J101">
        <v>703</v>
      </c>
      <c r="K101" s="4" t="s">
        <v>158</v>
      </c>
      <c r="L101">
        <v>31.72</v>
      </c>
      <c r="M101">
        <v>22254.959999999999</v>
      </c>
      <c r="N101" s="4" t="s">
        <v>30</v>
      </c>
    </row>
    <row r="102" spans="1:14" x14ac:dyDescent="0.2">
      <c r="A102" s="4" t="s">
        <v>285</v>
      </c>
      <c r="B102">
        <v>101</v>
      </c>
      <c r="C102" s="4" t="s">
        <v>26</v>
      </c>
      <c r="D102" s="4" t="s">
        <v>934</v>
      </c>
      <c r="E102" s="4" t="s">
        <v>35</v>
      </c>
      <c r="F102">
        <v>6</v>
      </c>
      <c r="G102" s="4" t="s">
        <v>128</v>
      </c>
      <c r="H102" s="4" t="s">
        <v>108</v>
      </c>
      <c r="I102" s="4" t="s">
        <v>115</v>
      </c>
      <c r="J102">
        <v>1081</v>
      </c>
      <c r="K102" s="4" t="s">
        <v>158</v>
      </c>
      <c r="L102">
        <v>31.84</v>
      </c>
      <c r="M102">
        <v>34409.71</v>
      </c>
      <c r="N102" s="4" t="s">
        <v>30</v>
      </c>
    </row>
    <row r="103" spans="1:14" x14ac:dyDescent="0.2">
      <c r="A103" s="4" t="s">
        <v>286</v>
      </c>
      <c r="B103">
        <v>102</v>
      </c>
      <c r="C103" s="4" t="s">
        <v>26</v>
      </c>
      <c r="D103" s="4" t="s">
        <v>934</v>
      </c>
      <c r="E103" s="4" t="s">
        <v>35</v>
      </c>
      <c r="F103">
        <v>6</v>
      </c>
      <c r="G103" s="4" t="s">
        <v>128</v>
      </c>
      <c r="H103" s="4" t="s">
        <v>108</v>
      </c>
      <c r="I103" s="4" t="s">
        <v>117</v>
      </c>
      <c r="J103">
        <v>463</v>
      </c>
      <c r="K103" s="4" t="s">
        <v>158</v>
      </c>
      <c r="L103">
        <v>31.34</v>
      </c>
      <c r="M103">
        <v>14545.5</v>
      </c>
      <c r="N103" s="4" t="s">
        <v>30</v>
      </c>
    </row>
    <row r="104" spans="1:14" x14ac:dyDescent="0.2">
      <c r="A104" s="4" t="s">
        <v>287</v>
      </c>
      <c r="B104">
        <v>103</v>
      </c>
      <c r="C104" s="4" t="s">
        <v>26</v>
      </c>
      <c r="D104" s="4" t="s">
        <v>934</v>
      </c>
      <c r="E104" s="4" t="s">
        <v>38</v>
      </c>
      <c r="F104">
        <v>7</v>
      </c>
      <c r="G104" s="4" t="s">
        <v>132</v>
      </c>
      <c r="H104" s="4" t="s">
        <v>108</v>
      </c>
      <c r="I104" s="4" t="s">
        <v>113</v>
      </c>
      <c r="J104">
        <v>87</v>
      </c>
      <c r="K104" s="4" t="s">
        <v>158</v>
      </c>
      <c r="L104">
        <v>67.02</v>
      </c>
      <c r="M104">
        <v>5831.24</v>
      </c>
      <c r="N104" s="4" t="s">
        <v>30</v>
      </c>
    </row>
    <row r="105" spans="1:14" x14ac:dyDescent="0.2">
      <c r="A105" s="4" t="s">
        <v>288</v>
      </c>
      <c r="B105">
        <v>104</v>
      </c>
      <c r="C105" s="4" t="s">
        <v>26</v>
      </c>
      <c r="D105" s="4" t="s">
        <v>934</v>
      </c>
      <c r="E105" s="4" t="s">
        <v>38</v>
      </c>
      <c r="F105">
        <v>7</v>
      </c>
      <c r="G105" s="4" t="s">
        <v>132</v>
      </c>
      <c r="H105" s="4" t="s">
        <v>108</v>
      </c>
      <c r="I105" s="4" t="s">
        <v>115</v>
      </c>
      <c r="J105">
        <v>553</v>
      </c>
      <c r="K105" s="4" t="s">
        <v>158</v>
      </c>
      <c r="L105">
        <v>67.33</v>
      </c>
      <c r="M105">
        <v>37245.379999999997</v>
      </c>
      <c r="N105" s="4" t="s">
        <v>30</v>
      </c>
    </row>
    <row r="106" spans="1:14" x14ac:dyDescent="0.2">
      <c r="A106" s="4" t="s">
        <v>289</v>
      </c>
      <c r="B106">
        <v>105</v>
      </c>
      <c r="C106" s="4" t="s">
        <v>26</v>
      </c>
      <c r="D106" s="4" t="s">
        <v>934</v>
      </c>
      <c r="E106" s="4" t="s">
        <v>38</v>
      </c>
      <c r="F106">
        <v>7</v>
      </c>
      <c r="G106" s="4" t="s">
        <v>132</v>
      </c>
      <c r="H106" s="4" t="s">
        <v>108</v>
      </c>
      <c r="I106" s="4" t="s">
        <v>117</v>
      </c>
      <c r="J106">
        <v>120</v>
      </c>
      <c r="K106" s="4" t="s">
        <v>158</v>
      </c>
      <c r="L106">
        <v>67.83</v>
      </c>
      <c r="M106">
        <v>8147.34</v>
      </c>
      <c r="N106" s="4" t="s">
        <v>30</v>
      </c>
    </row>
    <row r="107" spans="1:14" x14ac:dyDescent="0.2">
      <c r="A107" s="4" t="s">
        <v>290</v>
      </c>
      <c r="B107">
        <v>106</v>
      </c>
      <c r="C107" s="4" t="s">
        <v>26</v>
      </c>
      <c r="D107" s="4" t="s">
        <v>934</v>
      </c>
      <c r="E107" s="4" t="s">
        <v>38</v>
      </c>
      <c r="F107">
        <v>7</v>
      </c>
      <c r="G107" s="4" t="s">
        <v>130</v>
      </c>
      <c r="H107" s="4" t="s">
        <v>108</v>
      </c>
      <c r="I107" s="4" t="s">
        <v>113</v>
      </c>
      <c r="J107">
        <v>152</v>
      </c>
      <c r="K107" s="4" t="s">
        <v>158</v>
      </c>
      <c r="L107">
        <v>90.59</v>
      </c>
      <c r="M107">
        <v>13762.17</v>
      </c>
      <c r="N107" s="4" t="s">
        <v>30</v>
      </c>
    </row>
    <row r="108" spans="1:14" x14ac:dyDescent="0.2">
      <c r="A108" s="4" t="s">
        <v>291</v>
      </c>
      <c r="B108">
        <v>107</v>
      </c>
      <c r="C108" s="4" t="s">
        <v>26</v>
      </c>
      <c r="D108" s="4" t="s">
        <v>934</v>
      </c>
      <c r="E108" s="4" t="s">
        <v>38</v>
      </c>
      <c r="F108">
        <v>7</v>
      </c>
      <c r="G108" s="4" t="s">
        <v>130</v>
      </c>
      <c r="H108" s="4" t="s">
        <v>108</v>
      </c>
      <c r="I108" s="4" t="s">
        <v>115</v>
      </c>
      <c r="J108">
        <v>98</v>
      </c>
      <c r="K108" s="4" t="s">
        <v>158</v>
      </c>
      <c r="L108">
        <v>92.81</v>
      </c>
      <c r="M108">
        <v>9013.24</v>
      </c>
      <c r="N108" s="4" t="s">
        <v>30</v>
      </c>
    </row>
    <row r="109" spans="1:14" x14ac:dyDescent="0.2">
      <c r="A109" s="4" t="s">
        <v>292</v>
      </c>
      <c r="B109">
        <v>108</v>
      </c>
      <c r="C109" s="4" t="s">
        <v>26</v>
      </c>
      <c r="D109" s="4" t="s">
        <v>934</v>
      </c>
      <c r="E109" s="4" t="s">
        <v>38</v>
      </c>
      <c r="F109">
        <v>7</v>
      </c>
      <c r="G109" s="4" t="s">
        <v>130</v>
      </c>
      <c r="H109" s="4" t="s">
        <v>108</v>
      </c>
      <c r="I109" s="4" t="s">
        <v>117</v>
      </c>
      <c r="J109">
        <v>365</v>
      </c>
      <c r="K109" s="4" t="s">
        <v>158</v>
      </c>
      <c r="L109">
        <v>92.73</v>
      </c>
      <c r="M109">
        <v>33863.15</v>
      </c>
      <c r="N109" s="4" t="s">
        <v>30</v>
      </c>
    </row>
    <row r="110" spans="1:14" x14ac:dyDescent="0.2">
      <c r="A110" s="4" t="s">
        <v>293</v>
      </c>
      <c r="B110">
        <v>109</v>
      </c>
      <c r="C110" s="4" t="s">
        <v>26</v>
      </c>
      <c r="D110" s="4" t="s">
        <v>934</v>
      </c>
      <c r="E110" s="4" t="s">
        <v>38</v>
      </c>
      <c r="F110">
        <v>7</v>
      </c>
      <c r="G110" s="4" t="s">
        <v>126</v>
      </c>
      <c r="H110" s="4" t="s">
        <v>108</v>
      </c>
      <c r="I110" s="4" t="s">
        <v>113</v>
      </c>
      <c r="J110">
        <v>93</v>
      </c>
      <c r="K110" s="4" t="s">
        <v>158</v>
      </c>
      <c r="L110">
        <v>82.27</v>
      </c>
      <c r="M110">
        <v>7643.25</v>
      </c>
      <c r="N110" s="4" t="s">
        <v>30</v>
      </c>
    </row>
    <row r="111" spans="1:14" x14ac:dyDescent="0.2">
      <c r="A111" s="4" t="s">
        <v>294</v>
      </c>
      <c r="B111">
        <v>110</v>
      </c>
      <c r="C111" s="4" t="s">
        <v>26</v>
      </c>
      <c r="D111" s="4" t="s">
        <v>934</v>
      </c>
      <c r="E111" s="4" t="s">
        <v>38</v>
      </c>
      <c r="F111">
        <v>7</v>
      </c>
      <c r="G111" s="4" t="s">
        <v>126</v>
      </c>
      <c r="H111" s="4" t="s">
        <v>108</v>
      </c>
      <c r="I111" s="4" t="s">
        <v>115</v>
      </c>
      <c r="J111">
        <v>144</v>
      </c>
      <c r="K111" s="4" t="s">
        <v>158</v>
      </c>
      <c r="L111">
        <v>81.400000000000006</v>
      </c>
      <c r="M111">
        <v>11773.22</v>
      </c>
      <c r="N111" s="4" t="s">
        <v>30</v>
      </c>
    </row>
    <row r="112" spans="1:14" x14ac:dyDescent="0.2">
      <c r="A112" s="4" t="s">
        <v>295</v>
      </c>
      <c r="B112">
        <v>111</v>
      </c>
      <c r="C112" s="4" t="s">
        <v>26</v>
      </c>
      <c r="D112" s="4" t="s">
        <v>934</v>
      </c>
      <c r="E112" s="4" t="s">
        <v>38</v>
      </c>
      <c r="F112">
        <v>7</v>
      </c>
      <c r="G112" s="4" t="s">
        <v>126</v>
      </c>
      <c r="H112" s="4" t="s">
        <v>108</v>
      </c>
      <c r="I112" s="4" t="s">
        <v>117</v>
      </c>
      <c r="J112">
        <v>51</v>
      </c>
      <c r="K112" s="4" t="s">
        <v>158</v>
      </c>
      <c r="L112">
        <v>81.430000000000007</v>
      </c>
      <c r="M112">
        <v>4145.3599999999997</v>
      </c>
      <c r="N112" s="4" t="s">
        <v>30</v>
      </c>
    </row>
    <row r="113" spans="1:14" x14ac:dyDescent="0.2">
      <c r="A113" s="4" t="s">
        <v>296</v>
      </c>
      <c r="B113">
        <v>112</v>
      </c>
      <c r="C113" s="4" t="s">
        <v>26</v>
      </c>
      <c r="D113" s="4" t="s">
        <v>934</v>
      </c>
      <c r="E113" s="4" t="s">
        <v>38</v>
      </c>
      <c r="F113">
        <v>7</v>
      </c>
      <c r="G113" s="4" t="s">
        <v>134</v>
      </c>
      <c r="H113" s="4" t="s">
        <v>108</v>
      </c>
      <c r="I113" s="4" t="s">
        <v>113</v>
      </c>
      <c r="J113">
        <v>228</v>
      </c>
      <c r="K113" s="4" t="s">
        <v>158</v>
      </c>
      <c r="L113">
        <v>49.76</v>
      </c>
      <c r="M113">
        <v>11370.93</v>
      </c>
      <c r="N113" s="4" t="s">
        <v>30</v>
      </c>
    </row>
    <row r="114" spans="1:14" x14ac:dyDescent="0.2">
      <c r="A114" s="4" t="s">
        <v>297</v>
      </c>
      <c r="B114">
        <v>113</v>
      </c>
      <c r="C114" s="4" t="s">
        <v>26</v>
      </c>
      <c r="D114" s="4" t="s">
        <v>934</v>
      </c>
      <c r="E114" s="4" t="s">
        <v>38</v>
      </c>
      <c r="F114">
        <v>7</v>
      </c>
      <c r="G114" s="4" t="s">
        <v>134</v>
      </c>
      <c r="H114" s="4" t="s">
        <v>108</v>
      </c>
      <c r="I114" s="4" t="s">
        <v>115</v>
      </c>
      <c r="J114">
        <v>137</v>
      </c>
      <c r="K114" s="4" t="s">
        <v>158</v>
      </c>
      <c r="L114">
        <v>49.01</v>
      </c>
      <c r="M114">
        <v>6718.44</v>
      </c>
      <c r="N114" s="4" t="s">
        <v>30</v>
      </c>
    </row>
    <row r="115" spans="1:14" x14ac:dyDescent="0.2">
      <c r="A115" s="4" t="s">
        <v>298</v>
      </c>
      <c r="B115">
        <v>114</v>
      </c>
      <c r="C115" s="4" t="s">
        <v>26</v>
      </c>
      <c r="D115" s="4" t="s">
        <v>934</v>
      </c>
      <c r="E115" s="4" t="s">
        <v>38</v>
      </c>
      <c r="F115">
        <v>7</v>
      </c>
      <c r="G115" s="4" t="s">
        <v>134</v>
      </c>
      <c r="H115" s="4" t="s">
        <v>108</v>
      </c>
      <c r="I115" s="4" t="s">
        <v>117</v>
      </c>
      <c r="J115">
        <v>196</v>
      </c>
      <c r="K115" s="4" t="s">
        <v>158</v>
      </c>
      <c r="L115">
        <v>49.35</v>
      </c>
      <c r="M115">
        <v>9659.68</v>
      </c>
      <c r="N115" s="4" t="s">
        <v>30</v>
      </c>
    </row>
    <row r="116" spans="1:14" x14ac:dyDescent="0.2">
      <c r="A116" s="4" t="s">
        <v>299</v>
      </c>
      <c r="B116">
        <v>115</v>
      </c>
      <c r="C116" s="4" t="s">
        <v>26</v>
      </c>
      <c r="D116" s="4" t="s">
        <v>934</v>
      </c>
      <c r="E116" s="4" t="s">
        <v>38</v>
      </c>
      <c r="F116">
        <v>7</v>
      </c>
      <c r="G116" s="4" t="s">
        <v>123</v>
      </c>
      <c r="H116" s="4" t="s">
        <v>108</v>
      </c>
      <c r="I116" s="4" t="s">
        <v>113</v>
      </c>
      <c r="J116">
        <v>1442</v>
      </c>
      <c r="K116" s="4" t="s">
        <v>158</v>
      </c>
      <c r="L116">
        <v>29.33</v>
      </c>
      <c r="M116">
        <v>42357.72</v>
      </c>
      <c r="N116" s="4" t="s">
        <v>30</v>
      </c>
    </row>
    <row r="117" spans="1:14" x14ac:dyDescent="0.2">
      <c r="A117" s="4" t="s">
        <v>300</v>
      </c>
      <c r="B117">
        <v>116</v>
      </c>
      <c r="C117" s="4" t="s">
        <v>26</v>
      </c>
      <c r="D117" s="4" t="s">
        <v>934</v>
      </c>
      <c r="E117" s="4" t="s">
        <v>38</v>
      </c>
      <c r="F117">
        <v>7</v>
      </c>
      <c r="G117" s="4" t="s">
        <v>123</v>
      </c>
      <c r="H117" s="4" t="s">
        <v>108</v>
      </c>
      <c r="I117" s="4" t="s">
        <v>115</v>
      </c>
      <c r="J117">
        <v>404</v>
      </c>
      <c r="K117" s="4" t="s">
        <v>158</v>
      </c>
      <c r="L117">
        <v>29.41</v>
      </c>
      <c r="M117">
        <v>11879.11</v>
      </c>
      <c r="N117" s="4" t="s">
        <v>30</v>
      </c>
    </row>
    <row r="118" spans="1:14" x14ac:dyDescent="0.2">
      <c r="A118" s="4" t="s">
        <v>301</v>
      </c>
      <c r="B118">
        <v>117</v>
      </c>
      <c r="C118" s="4" t="s">
        <v>26</v>
      </c>
      <c r="D118" s="4" t="s">
        <v>934</v>
      </c>
      <c r="E118" s="4" t="s">
        <v>38</v>
      </c>
      <c r="F118">
        <v>7</v>
      </c>
      <c r="G118" s="4" t="s">
        <v>123</v>
      </c>
      <c r="H118" s="4" t="s">
        <v>108</v>
      </c>
      <c r="I118" s="4" t="s">
        <v>117</v>
      </c>
      <c r="J118">
        <v>707</v>
      </c>
      <c r="K118" s="4" t="s">
        <v>158</v>
      </c>
      <c r="L118">
        <v>29.5</v>
      </c>
      <c r="M118">
        <v>20898.22</v>
      </c>
      <c r="N118" s="4" t="s">
        <v>30</v>
      </c>
    </row>
    <row r="119" spans="1:14" x14ac:dyDescent="0.2">
      <c r="A119" s="4" t="s">
        <v>302</v>
      </c>
      <c r="B119">
        <v>118</v>
      </c>
      <c r="C119" s="4" t="s">
        <v>26</v>
      </c>
      <c r="D119" s="4" t="s">
        <v>934</v>
      </c>
      <c r="E119" s="4" t="s">
        <v>38</v>
      </c>
      <c r="F119">
        <v>7</v>
      </c>
      <c r="G119" s="4" t="s">
        <v>128</v>
      </c>
      <c r="H119" s="4" t="s">
        <v>108</v>
      </c>
      <c r="I119" s="4" t="s">
        <v>113</v>
      </c>
      <c r="J119">
        <v>660</v>
      </c>
      <c r="K119" s="4" t="s">
        <v>158</v>
      </c>
      <c r="L119">
        <v>32.36</v>
      </c>
      <c r="M119">
        <v>21337.97</v>
      </c>
      <c r="N119" s="4" t="s">
        <v>30</v>
      </c>
    </row>
    <row r="120" spans="1:14" x14ac:dyDescent="0.2">
      <c r="A120" s="4" t="s">
        <v>303</v>
      </c>
      <c r="B120">
        <v>119</v>
      </c>
      <c r="C120" s="4" t="s">
        <v>26</v>
      </c>
      <c r="D120" s="4" t="s">
        <v>934</v>
      </c>
      <c r="E120" s="4" t="s">
        <v>38</v>
      </c>
      <c r="F120">
        <v>7</v>
      </c>
      <c r="G120" s="4" t="s">
        <v>128</v>
      </c>
      <c r="H120" s="4" t="s">
        <v>108</v>
      </c>
      <c r="I120" s="4" t="s">
        <v>115</v>
      </c>
      <c r="J120">
        <v>1089</v>
      </c>
      <c r="K120" s="4" t="s">
        <v>158</v>
      </c>
      <c r="L120">
        <v>32.19</v>
      </c>
      <c r="M120">
        <v>35077.57</v>
      </c>
      <c r="N120" s="4" t="s">
        <v>30</v>
      </c>
    </row>
    <row r="121" spans="1:14" x14ac:dyDescent="0.2">
      <c r="A121" s="4" t="s">
        <v>304</v>
      </c>
      <c r="B121">
        <v>120</v>
      </c>
      <c r="C121" s="4" t="s">
        <v>26</v>
      </c>
      <c r="D121" s="4" t="s">
        <v>934</v>
      </c>
      <c r="E121" s="4" t="s">
        <v>38</v>
      </c>
      <c r="F121">
        <v>7</v>
      </c>
      <c r="G121" s="4" t="s">
        <v>128</v>
      </c>
      <c r="H121" s="4" t="s">
        <v>108</v>
      </c>
      <c r="I121" s="4" t="s">
        <v>117</v>
      </c>
      <c r="J121">
        <v>310</v>
      </c>
      <c r="K121" s="4" t="s">
        <v>158</v>
      </c>
      <c r="L121">
        <v>31.91</v>
      </c>
      <c r="M121">
        <v>9901.75</v>
      </c>
      <c r="N121" s="4" t="s">
        <v>30</v>
      </c>
    </row>
    <row r="122" spans="1:14" x14ac:dyDescent="0.2">
      <c r="A122" s="4" t="s">
        <v>305</v>
      </c>
      <c r="B122">
        <v>121</v>
      </c>
      <c r="C122" s="4" t="s">
        <v>26</v>
      </c>
      <c r="D122" s="4" t="s">
        <v>934</v>
      </c>
      <c r="E122" s="4" t="s">
        <v>38</v>
      </c>
      <c r="F122">
        <v>8</v>
      </c>
      <c r="G122" s="4" t="s">
        <v>132</v>
      </c>
      <c r="H122" s="4" t="s">
        <v>108</v>
      </c>
      <c r="I122" s="4" t="s">
        <v>113</v>
      </c>
      <c r="J122">
        <v>183</v>
      </c>
      <c r="K122" s="4" t="s">
        <v>158</v>
      </c>
      <c r="L122">
        <v>67.599999999999994</v>
      </c>
      <c r="M122">
        <v>12389.65</v>
      </c>
      <c r="N122" s="4" t="s">
        <v>30</v>
      </c>
    </row>
    <row r="123" spans="1:14" x14ac:dyDescent="0.2">
      <c r="A123" s="4" t="s">
        <v>306</v>
      </c>
      <c r="B123">
        <v>122</v>
      </c>
      <c r="C123" s="4" t="s">
        <v>26</v>
      </c>
      <c r="D123" s="4" t="s">
        <v>934</v>
      </c>
      <c r="E123" s="4" t="s">
        <v>38</v>
      </c>
      <c r="F123">
        <v>8</v>
      </c>
      <c r="G123" s="4" t="s">
        <v>132</v>
      </c>
      <c r="H123" s="4" t="s">
        <v>108</v>
      </c>
      <c r="I123" s="4" t="s">
        <v>115</v>
      </c>
      <c r="J123">
        <v>299</v>
      </c>
      <c r="K123" s="4" t="s">
        <v>158</v>
      </c>
      <c r="L123">
        <v>68.150000000000006</v>
      </c>
      <c r="M123">
        <v>20376.11</v>
      </c>
      <c r="N123" s="4" t="s">
        <v>30</v>
      </c>
    </row>
    <row r="124" spans="1:14" x14ac:dyDescent="0.2">
      <c r="A124" s="4" t="s">
        <v>307</v>
      </c>
      <c r="B124">
        <v>123</v>
      </c>
      <c r="C124" s="4" t="s">
        <v>26</v>
      </c>
      <c r="D124" s="4" t="s">
        <v>934</v>
      </c>
      <c r="E124" s="4" t="s">
        <v>38</v>
      </c>
      <c r="F124">
        <v>8</v>
      </c>
      <c r="G124" s="4" t="s">
        <v>132</v>
      </c>
      <c r="H124" s="4" t="s">
        <v>108</v>
      </c>
      <c r="I124" s="4" t="s">
        <v>117</v>
      </c>
      <c r="J124">
        <v>35</v>
      </c>
      <c r="K124" s="4" t="s">
        <v>158</v>
      </c>
      <c r="L124">
        <v>67</v>
      </c>
      <c r="M124">
        <v>2345</v>
      </c>
      <c r="N124" s="4" t="s">
        <v>30</v>
      </c>
    </row>
    <row r="125" spans="1:14" x14ac:dyDescent="0.2">
      <c r="A125" s="4" t="s">
        <v>308</v>
      </c>
      <c r="B125">
        <v>124</v>
      </c>
      <c r="C125" s="4" t="s">
        <v>26</v>
      </c>
      <c r="D125" s="4" t="s">
        <v>934</v>
      </c>
      <c r="E125" s="4" t="s">
        <v>38</v>
      </c>
      <c r="F125">
        <v>8</v>
      </c>
      <c r="G125" s="4" t="s">
        <v>130</v>
      </c>
      <c r="H125" s="4" t="s">
        <v>108</v>
      </c>
      <c r="I125" s="4" t="s">
        <v>113</v>
      </c>
      <c r="J125">
        <v>162</v>
      </c>
      <c r="K125" s="4" t="s">
        <v>158</v>
      </c>
      <c r="L125">
        <v>92.6</v>
      </c>
      <c r="M125">
        <v>15024.11</v>
      </c>
      <c r="N125" s="4" t="s">
        <v>30</v>
      </c>
    </row>
    <row r="126" spans="1:14" x14ac:dyDescent="0.2">
      <c r="A126" s="4" t="s">
        <v>309</v>
      </c>
      <c r="B126">
        <v>125</v>
      </c>
      <c r="C126" s="4" t="s">
        <v>26</v>
      </c>
      <c r="D126" s="4" t="s">
        <v>934</v>
      </c>
      <c r="E126" s="4" t="s">
        <v>38</v>
      </c>
      <c r="F126">
        <v>8</v>
      </c>
      <c r="G126" s="4" t="s">
        <v>130</v>
      </c>
      <c r="H126" s="4" t="s">
        <v>108</v>
      </c>
      <c r="I126" s="4" t="s">
        <v>115</v>
      </c>
      <c r="J126">
        <v>124</v>
      </c>
      <c r="K126" s="4" t="s">
        <v>158</v>
      </c>
      <c r="L126">
        <v>92.37</v>
      </c>
      <c r="M126">
        <v>11474.72</v>
      </c>
      <c r="N126" s="4" t="s">
        <v>30</v>
      </c>
    </row>
    <row r="127" spans="1:14" x14ac:dyDescent="0.2">
      <c r="A127" s="4" t="s">
        <v>310</v>
      </c>
      <c r="B127">
        <v>126</v>
      </c>
      <c r="C127" s="4" t="s">
        <v>26</v>
      </c>
      <c r="D127" s="4" t="s">
        <v>934</v>
      </c>
      <c r="E127" s="4" t="s">
        <v>38</v>
      </c>
      <c r="F127">
        <v>8</v>
      </c>
      <c r="G127" s="4" t="s">
        <v>130</v>
      </c>
      <c r="H127" s="4" t="s">
        <v>108</v>
      </c>
      <c r="I127" s="4" t="s">
        <v>117</v>
      </c>
      <c r="J127">
        <v>114</v>
      </c>
      <c r="K127" s="4" t="s">
        <v>158</v>
      </c>
      <c r="L127">
        <v>92.93</v>
      </c>
      <c r="M127">
        <v>10592.12</v>
      </c>
      <c r="N127" s="4" t="s">
        <v>30</v>
      </c>
    </row>
    <row r="128" spans="1:14" x14ac:dyDescent="0.2">
      <c r="A128" s="4" t="s">
        <v>311</v>
      </c>
      <c r="B128">
        <v>127</v>
      </c>
      <c r="C128" s="4" t="s">
        <v>26</v>
      </c>
      <c r="D128" s="4" t="s">
        <v>934</v>
      </c>
      <c r="E128" s="4" t="s">
        <v>38</v>
      </c>
      <c r="F128">
        <v>8</v>
      </c>
      <c r="G128" s="4" t="s">
        <v>126</v>
      </c>
      <c r="H128" s="4" t="s">
        <v>108</v>
      </c>
      <c r="I128" s="4" t="s">
        <v>113</v>
      </c>
      <c r="J128">
        <v>122</v>
      </c>
      <c r="K128" s="4" t="s">
        <v>158</v>
      </c>
      <c r="L128">
        <v>81.27</v>
      </c>
      <c r="M128">
        <v>9900.75</v>
      </c>
      <c r="N128" s="4" t="s">
        <v>30</v>
      </c>
    </row>
    <row r="129" spans="1:14" x14ac:dyDescent="0.2">
      <c r="A129" s="4" t="s">
        <v>312</v>
      </c>
      <c r="B129">
        <v>128</v>
      </c>
      <c r="C129" s="4" t="s">
        <v>26</v>
      </c>
      <c r="D129" s="4" t="s">
        <v>934</v>
      </c>
      <c r="E129" s="4" t="s">
        <v>38</v>
      </c>
      <c r="F129">
        <v>8</v>
      </c>
      <c r="G129" s="4" t="s">
        <v>126</v>
      </c>
      <c r="H129" s="4" t="s">
        <v>108</v>
      </c>
      <c r="I129" s="4" t="s">
        <v>115</v>
      </c>
      <c r="J129">
        <v>131</v>
      </c>
      <c r="K129" s="4" t="s">
        <v>158</v>
      </c>
      <c r="L129">
        <v>80.45</v>
      </c>
      <c r="M129">
        <v>10536.13</v>
      </c>
      <c r="N129" s="4" t="s">
        <v>30</v>
      </c>
    </row>
    <row r="130" spans="1:14" x14ac:dyDescent="0.2">
      <c r="A130" s="4" t="s">
        <v>313</v>
      </c>
      <c r="B130">
        <v>129</v>
      </c>
      <c r="C130" s="4" t="s">
        <v>26</v>
      </c>
      <c r="D130" s="4" t="s">
        <v>934</v>
      </c>
      <c r="E130" s="4" t="s">
        <v>38</v>
      </c>
      <c r="F130">
        <v>8</v>
      </c>
      <c r="G130" s="4" t="s">
        <v>126</v>
      </c>
      <c r="H130" s="4" t="s">
        <v>108</v>
      </c>
      <c r="I130" s="4" t="s">
        <v>117</v>
      </c>
      <c r="J130">
        <v>53</v>
      </c>
      <c r="K130" s="4" t="s">
        <v>158</v>
      </c>
      <c r="L130">
        <v>81.96</v>
      </c>
      <c r="M130">
        <v>4345.97</v>
      </c>
      <c r="N130" s="4" t="s">
        <v>30</v>
      </c>
    </row>
    <row r="131" spans="1:14" x14ac:dyDescent="0.2">
      <c r="A131" s="4" t="s">
        <v>314</v>
      </c>
      <c r="B131">
        <v>130</v>
      </c>
      <c r="C131" s="4" t="s">
        <v>26</v>
      </c>
      <c r="D131" s="4" t="s">
        <v>934</v>
      </c>
      <c r="E131" s="4" t="s">
        <v>38</v>
      </c>
      <c r="F131">
        <v>8</v>
      </c>
      <c r="G131" s="4" t="s">
        <v>134</v>
      </c>
      <c r="H131" s="4" t="s">
        <v>108</v>
      </c>
      <c r="I131" s="4" t="s">
        <v>113</v>
      </c>
      <c r="J131">
        <v>566</v>
      </c>
      <c r="K131" s="4" t="s">
        <v>158</v>
      </c>
      <c r="L131">
        <v>49.14</v>
      </c>
      <c r="M131">
        <v>27818.89</v>
      </c>
      <c r="N131" s="4" t="s">
        <v>30</v>
      </c>
    </row>
    <row r="132" spans="1:14" x14ac:dyDescent="0.2">
      <c r="A132" s="4" t="s">
        <v>315</v>
      </c>
      <c r="B132">
        <v>131</v>
      </c>
      <c r="C132" s="4" t="s">
        <v>26</v>
      </c>
      <c r="D132" s="4" t="s">
        <v>934</v>
      </c>
      <c r="E132" s="4" t="s">
        <v>38</v>
      </c>
      <c r="F132">
        <v>8</v>
      </c>
      <c r="G132" s="4" t="s">
        <v>134</v>
      </c>
      <c r="H132" s="4" t="s">
        <v>108</v>
      </c>
      <c r="I132" s="4" t="s">
        <v>115</v>
      </c>
      <c r="J132">
        <v>254</v>
      </c>
      <c r="K132" s="4" t="s">
        <v>158</v>
      </c>
      <c r="L132">
        <v>50.22</v>
      </c>
      <c r="M132">
        <v>12758.72</v>
      </c>
      <c r="N132" s="4" t="s">
        <v>30</v>
      </c>
    </row>
    <row r="133" spans="1:14" x14ac:dyDescent="0.2">
      <c r="A133" s="4" t="s">
        <v>316</v>
      </c>
      <c r="B133">
        <v>132</v>
      </c>
      <c r="C133" s="4" t="s">
        <v>26</v>
      </c>
      <c r="D133" s="4" t="s">
        <v>934</v>
      </c>
      <c r="E133" s="4" t="s">
        <v>38</v>
      </c>
      <c r="F133">
        <v>8</v>
      </c>
      <c r="G133" s="4" t="s">
        <v>134</v>
      </c>
      <c r="H133" s="4" t="s">
        <v>108</v>
      </c>
      <c r="I133" s="4" t="s">
        <v>117</v>
      </c>
      <c r="J133">
        <v>149</v>
      </c>
      <c r="K133" s="4" t="s">
        <v>158</v>
      </c>
      <c r="L133">
        <v>49.57</v>
      </c>
      <c r="M133">
        <v>7384.03</v>
      </c>
      <c r="N133" s="4" t="s">
        <v>30</v>
      </c>
    </row>
    <row r="134" spans="1:14" x14ac:dyDescent="0.2">
      <c r="A134" s="4" t="s">
        <v>317</v>
      </c>
      <c r="B134">
        <v>133</v>
      </c>
      <c r="C134" s="4" t="s">
        <v>26</v>
      </c>
      <c r="D134" s="4" t="s">
        <v>934</v>
      </c>
      <c r="E134" s="4" t="s">
        <v>38</v>
      </c>
      <c r="F134">
        <v>8</v>
      </c>
      <c r="G134" s="4" t="s">
        <v>123</v>
      </c>
      <c r="H134" s="4" t="s">
        <v>108</v>
      </c>
      <c r="I134" s="4" t="s">
        <v>113</v>
      </c>
      <c r="J134">
        <v>1067</v>
      </c>
      <c r="K134" s="4" t="s">
        <v>158</v>
      </c>
      <c r="L134">
        <v>29.66</v>
      </c>
      <c r="M134">
        <v>31472.400000000001</v>
      </c>
      <c r="N134" s="4" t="s">
        <v>30</v>
      </c>
    </row>
    <row r="135" spans="1:14" x14ac:dyDescent="0.2">
      <c r="A135" s="4" t="s">
        <v>318</v>
      </c>
      <c r="B135">
        <v>134</v>
      </c>
      <c r="C135" s="4" t="s">
        <v>26</v>
      </c>
      <c r="D135" s="4" t="s">
        <v>934</v>
      </c>
      <c r="E135" s="4" t="s">
        <v>38</v>
      </c>
      <c r="F135">
        <v>8</v>
      </c>
      <c r="G135" s="4" t="s">
        <v>123</v>
      </c>
      <c r="H135" s="4" t="s">
        <v>108</v>
      </c>
      <c r="I135" s="4" t="s">
        <v>115</v>
      </c>
      <c r="J135">
        <v>625</v>
      </c>
      <c r="K135" s="4" t="s">
        <v>158</v>
      </c>
      <c r="L135">
        <v>29.35</v>
      </c>
      <c r="M135">
        <v>18389.07</v>
      </c>
      <c r="N135" s="4" t="s">
        <v>30</v>
      </c>
    </row>
    <row r="136" spans="1:14" x14ac:dyDescent="0.2">
      <c r="A136" s="4" t="s">
        <v>319</v>
      </c>
      <c r="B136">
        <v>135</v>
      </c>
      <c r="C136" s="4" t="s">
        <v>26</v>
      </c>
      <c r="D136" s="4" t="s">
        <v>934</v>
      </c>
      <c r="E136" s="4" t="s">
        <v>38</v>
      </c>
      <c r="F136">
        <v>8</v>
      </c>
      <c r="G136" s="4" t="s">
        <v>123</v>
      </c>
      <c r="H136" s="4" t="s">
        <v>108</v>
      </c>
      <c r="I136" s="4" t="s">
        <v>117</v>
      </c>
      <c r="J136">
        <v>498</v>
      </c>
      <c r="K136" s="4" t="s">
        <v>158</v>
      </c>
      <c r="L136">
        <v>29.97</v>
      </c>
      <c r="M136">
        <v>14936.43</v>
      </c>
      <c r="N136" s="4" t="s">
        <v>30</v>
      </c>
    </row>
    <row r="137" spans="1:14" x14ac:dyDescent="0.2">
      <c r="A137" s="4" t="s">
        <v>320</v>
      </c>
      <c r="B137">
        <v>136</v>
      </c>
      <c r="C137" s="4" t="s">
        <v>26</v>
      </c>
      <c r="D137" s="4" t="s">
        <v>934</v>
      </c>
      <c r="E137" s="4" t="s">
        <v>38</v>
      </c>
      <c r="F137">
        <v>8</v>
      </c>
      <c r="G137" s="4" t="s">
        <v>128</v>
      </c>
      <c r="H137" s="4" t="s">
        <v>108</v>
      </c>
      <c r="I137" s="4" t="s">
        <v>113</v>
      </c>
      <c r="J137">
        <v>424</v>
      </c>
      <c r="K137" s="4" t="s">
        <v>158</v>
      </c>
      <c r="L137">
        <v>32.47</v>
      </c>
      <c r="M137">
        <v>13743.36</v>
      </c>
      <c r="N137" s="4" t="s">
        <v>30</v>
      </c>
    </row>
    <row r="138" spans="1:14" x14ac:dyDescent="0.2">
      <c r="A138" s="4" t="s">
        <v>321</v>
      </c>
      <c r="B138">
        <v>137</v>
      </c>
      <c r="C138" s="4" t="s">
        <v>26</v>
      </c>
      <c r="D138" s="4" t="s">
        <v>934</v>
      </c>
      <c r="E138" s="4" t="s">
        <v>38</v>
      </c>
      <c r="F138">
        <v>8</v>
      </c>
      <c r="G138" s="4" t="s">
        <v>128</v>
      </c>
      <c r="H138" s="4" t="s">
        <v>108</v>
      </c>
      <c r="I138" s="4" t="s">
        <v>115</v>
      </c>
      <c r="J138">
        <v>512</v>
      </c>
      <c r="K138" s="4" t="s">
        <v>158</v>
      </c>
      <c r="L138">
        <v>32.520000000000003</v>
      </c>
      <c r="M138">
        <v>16660.150000000001</v>
      </c>
      <c r="N138" s="4" t="s">
        <v>30</v>
      </c>
    </row>
    <row r="139" spans="1:14" x14ac:dyDescent="0.2">
      <c r="A139" s="4" t="s">
        <v>322</v>
      </c>
      <c r="B139">
        <v>138</v>
      </c>
      <c r="C139" s="4" t="s">
        <v>26</v>
      </c>
      <c r="D139" s="4" t="s">
        <v>934</v>
      </c>
      <c r="E139" s="4" t="s">
        <v>38</v>
      </c>
      <c r="F139">
        <v>8</v>
      </c>
      <c r="G139" s="4" t="s">
        <v>128</v>
      </c>
      <c r="H139" s="4" t="s">
        <v>108</v>
      </c>
      <c r="I139" s="4" t="s">
        <v>117</v>
      </c>
      <c r="J139">
        <v>352</v>
      </c>
      <c r="K139" s="4" t="s">
        <v>158</v>
      </c>
      <c r="L139">
        <v>32.270000000000003</v>
      </c>
      <c r="M139">
        <v>11364.4</v>
      </c>
      <c r="N139" s="4" t="s">
        <v>30</v>
      </c>
    </row>
    <row r="140" spans="1:14" x14ac:dyDescent="0.2">
      <c r="A140" s="4" t="s">
        <v>323</v>
      </c>
      <c r="B140">
        <v>139</v>
      </c>
      <c r="C140" s="4" t="s">
        <v>26</v>
      </c>
      <c r="D140" s="4" t="s">
        <v>934</v>
      </c>
      <c r="E140" s="4" t="s">
        <v>41</v>
      </c>
      <c r="F140">
        <v>9</v>
      </c>
      <c r="G140" s="4" t="s">
        <v>132</v>
      </c>
      <c r="H140" s="4" t="s">
        <v>108</v>
      </c>
      <c r="I140" s="4" t="s">
        <v>113</v>
      </c>
      <c r="J140">
        <v>362</v>
      </c>
      <c r="K140" s="4" t="s">
        <v>158</v>
      </c>
      <c r="L140">
        <v>67.239999999999995</v>
      </c>
      <c r="M140">
        <v>24343.94</v>
      </c>
      <c r="N140" s="4" t="s">
        <v>30</v>
      </c>
    </row>
    <row r="141" spans="1:14" x14ac:dyDescent="0.2">
      <c r="A141" s="4" t="s">
        <v>324</v>
      </c>
      <c r="B141">
        <v>140</v>
      </c>
      <c r="C141" s="4" t="s">
        <v>26</v>
      </c>
      <c r="D141" s="4" t="s">
        <v>934</v>
      </c>
      <c r="E141" s="4" t="s">
        <v>41</v>
      </c>
      <c r="F141">
        <v>9</v>
      </c>
      <c r="G141" s="4" t="s">
        <v>132</v>
      </c>
      <c r="H141" s="4" t="s">
        <v>108</v>
      </c>
      <c r="I141" s="4" t="s">
        <v>115</v>
      </c>
      <c r="J141">
        <v>357</v>
      </c>
      <c r="K141" s="4" t="s">
        <v>158</v>
      </c>
      <c r="L141">
        <v>66.819999999999993</v>
      </c>
      <c r="M141">
        <v>23863.87</v>
      </c>
      <c r="N141" s="4" t="s">
        <v>30</v>
      </c>
    </row>
    <row r="142" spans="1:14" x14ac:dyDescent="0.2">
      <c r="A142" s="4" t="s">
        <v>325</v>
      </c>
      <c r="B142">
        <v>141</v>
      </c>
      <c r="C142" s="4" t="s">
        <v>26</v>
      </c>
      <c r="D142" s="4" t="s">
        <v>934</v>
      </c>
      <c r="E142" s="4" t="s">
        <v>41</v>
      </c>
      <c r="F142">
        <v>9</v>
      </c>
      <c r="G142" s="4" t="s">
        <v>132</v>
      </c>
      <c r="H142" s="4" t="s">
        <v>108</v>
      </c>
      <c r="I142" s="4" t="s">
        <v>117</v>
      </c>
      <c r="J142">
        <v>219</v>
      </c>
      <c r="K142" s="4" t="s">
        <v>158</v>
      </c>
      <c r="L142">
        <v>66.650000000000006</v>
      </c>
      <c r="M142">
        <v>14598.03</v>
      </c>
      <c r="N142" s="4" t="s">
        <v>30</v>
      </c>
    </row>
    <row r="143" spans="1:14" x14ac:dyDescent="0.2">
      <c r="A143" s="4" t="s">
        <v>326</v>
      </c>
      <c r="B143">
        <v>142</v>
      </c>
      <c r="C143" s="4" t="s">
        <v>26</v>
      </c>
      <c r="D143" s="4" t="s">
        <v>934</v>
      </c>
      <c r="E143" s="4" t="s">
        <v>41</v>
      </c>
      <c r="F143">
        <v>9</v>
      </c>
      <c r="G143" s="4" t="s">
        <v>130</v>
      </c>
      <c r="H143" s="4" t="s">
        <v>108</v>
      </c>
      <c r="I143" s="4" t="s">
        <v>113</v>
      </c>
      <c r="J143">
        <v>172</v>
      </c>
      <c r="K143" s="4" t="s">
        <v>158</v>
      </c>
      <c r="L143">
        <v>93.4</v>
      </c>
      <c r="M143">
        <v>16032.63</v>
      </c>
      <c r="N143" s="4" t="s">
        <v>30</v>
      </c>
    </row>
    <row r="144" spans="1:14" x14ac:dyDescent="0.2">
      <c r="A144" s="4" t="s">
        <v>327</v>
      </c>
      <c r="B144">
        <v>143</v>
      </c>
      <c r="C144" s="4" t="s">
        <v>26</v>
      </c>
      <c r="D144" s="4" t="s">
        <v>934</v>
      </c>
      <c r="E144" s="4" t="s">
        <v>41</v>
      </c>
      <c r="F144">
        <v>9</v>
      </c>
      <c r="G144" s="4" t="s">
        <v>130</v>
      </c>
      <c r="H144" s="4" t="s">
        <v>108</v>
      </c>
      <c r="I144" s="4" t="s">
        <v>115</v>
      </c>
      <c r="J144">
        <v>26</v>
      </c>
      <c r="K144" s="4" t="s">
        <v>158</v>
      </c>
      <c r="L144">
        <v>90.25</v>
      </c>
      <c r="M144">
        <v>2346.5</v>
      </c>
      <c r="N144" s="4" t="s">
        <v>30</v>
      </c>
    </row>
    <row r="145" spans="1:14" x14ac:dyDescent="0.2">
      <c r="A145" s="4" t="s">
        <v>328</v>
      </c>
      <c r="B145">
        <v>144</v>
      </c>
      <c r="C145" s="4" t="s">
        <v>26</v>
      </c>
      <c r="D145" s="4" t="s">
        <v>934</v>
      </c>
      <c r="E145" s="4" t="s">
        <v>41</v>
      </c>
      <c r="F145">
        <v>9</v>
      </c>
      <c r="G145" s="4" t="s">
        <v>130</v>
      </c>
      <c r="H145" s="4" t="s">
        <v>108</v>
      </c>
      <c r="I145" s="4" t="s">
        <v>117</v>
      </c>
      <c r="J145">
        <v>378</v>
      </c>
      <c r="K145" s="4" t="s">
        <v>158</v>
      </c>
      <c r="L145">
        <v>91.66</v>
      </c>
      <c r="M145">
        <v>34615.230000000003</v>
      </c>
      <c r="N145" s="4" t="s">
        <v>30</v>
      </c>
    </row>
    <row r="146" spans="1:14" x14ac:dyDescent="0.2">
      <c r="A146" s="4" t="s">
        <v>329</v>
      </c>
      <c r="B146">
        <v>145</v>
      </c>
      <c r="C146" s="4" t="s">
        <v>26</v>
      </c>
      <c r="D146" s="4" t="s">
        <v>934</v>
      </c>
      <c r="E146" s="4" t="s">
        <v>41</v>
      </c>
      <c r="F146">
        <v>9</v>
      </c>
      <c r="G146" s="4" t="s">
        <v>126</v>
      </c>
      <c r="H146" s="4" t="s">
        <v>108</v>
      </c>
      <c r="I146" s="4" t="s">
        <v>113</v>
      </c>
      <c r="J146">
        <v>168</v>
      </c>
      <c r="K146" s="4" t="s">
        <v>158</v>
      </c>
      <c r="L146">
        <v>80.099999999999994</v>
      </c>
      <c r="M146">
        <v>13451.5</v>
      </c>
      <c r="N146" s="4" t="s">
        <v>30</v>
      </c>
    </row>
    <row r="147" spans="1:14" x14ac:dyDescent="0.2">
      <c r="A147" s="4" t="s">
        <v>330</v>
      </c>
      <c r="B147">
        <v>146</v>
      </c>
      <c r="C147" s="4" t="s">
        <v>26</v>
      </c>
      <c r="D147" s="4" t="s">
        <v>934</v>
      </c>
      <c r="E147" s="4" t="s">
        <v>41</v>
      </c>
      <c r="F147">
        <v>9</v>
      </c>
      <c r="G147" s="4" t="s">
        <v>126</v>
      </c>
      <c r="H147" s="4" t="s">
        <v>108</v>
      </c>
      <c r="I147" s="4" t="s">
        <v>115</v>
      </c>
      <c r="J147">
        <v>182</v>
      </c>
      <c r="K147" s="4" t="s">
        <v>158</v>
      </c>
      <c r="L147">
        <v>77.97</v>
      </c>
      <c r="M147">
        <v>14186.5</v>
      </c>
      <c r="N147" s="4" t="s">
        <v>30</v>
      </c>
    </row>
    <row r="148" spans="1:14" x14ac:dyDescent="0.2">
      <c r="A148" s="4" t="s">
        <v>331</v>
      </c>
      <c r="B148">
        <v>147</v>
      </c>
      <c r="C148" s="4" t="s">
        <v>26</v>
      </c>
      <c r="D148" s="4" t="s">
        <v>934</v>
      </c>
      <c r="E148" s="4" t="s">
        <v>41</v>
      </c>
      <c r="F148">
        <v>9</v>
      </c>
      <c r="G148" s="4" t="s">
        <v>126</v>
      </c>
      <c r="H148" s="4" t="s">
        <v>108</v>
      </c>
      <c r="I148" s="4" t="s">
        <v>117</v>
      </c>
      <c r="J148">
        <v>75</v>
      </c>
      <c r="K148" s="4" t="s">
        <v>158</v>
      </c>
      <c r="L148">
        <v>77.290000000000006</v>
      </c>
      <c r="M148">
        <v>5789.01</v>
      </c>
      <c r="N148" s="4" t="s">
        <v>30</v>
      </c>
    </row>
    <row r="149" spans="1:14" x14ac:dyDescent="0.2">
      <c r="A149" s="4" t="s">
        <v>332</v>
      </c>
      <c r="B149">
        <v>148</v>
      </c>
      <c r="C149" s="4" t="s">
        <v>26</v>
      </c>
      <c r="D149" s="4" t="s">
        <v>934</v>
      </c>
      <c r="E149" s="4" t="s">
        <v>41</v>
      </c>
      <c r="F149">
        <v>9</v>
      </c>
      <c r="G149" s="4" t="s">
        <v>134</v>
      </c>
      <c r="H149" s="4" t="s">
        <v>108</v>
      </c>
      <c r="I149" s="4" t="s">
        <v>113</v>
      </c>
      <c r="J149">
        <v>410</v>
      </c>
      <c r="K149" s="4" t="s">
        <v>158</v>
      </c>
      <c r="L149">
        <v>49.26</v>
      </c>
      <c r="M149">
        <v>20207.02</v>
      </c>
      <c r="N149" s="4" t="s">
        <v>30</v>
      </c>
    </row>
    <row r="150" spans="1:14" x14ac:dyDescent="0.2">
      <c r="A150" s="4" t="s">
        <v>333</v>
      </c>
      <c r="B150">
        <v>149</v>
      </c>
      <c r="C150" s="4" t="s">
        <v>26</v>
      </c>
      <c r="D150" s="4" t="s">
        <v>934</v>
      </c>
      <c r="E150" s="4" t="s">
        <v>41</v>
      </c>
      <c r="F150">
        <v>9</v>
      </c>
      <c r="G150" s="4" t="s">
        <v>134</v>
      </c>
      <c r="H150" s="4" t="s">
        <v>108</v>
      </c>
      <c r="I150" s="4" t="s">
        <v>115</v>
      </c>
      <c r="J150">
        <v>50</v>
      </c>
      <c r="K150" s="4" t="s">
        <v>158</v>
      </c>
      <c r="L150">
        <v>49</v>
      </c>
      <c r="M150">
        <v>2450</v>
      </c>
      <c r="N150" s="4" t="s">
        <v>30</v>
      </c>
    </row>
    <row r="151" spans="1:14" x14ac:dyDescent="0.2">
      <c r="A151" s="4" t="s">
        <v>334</v>
      </c>
      <c r="B151">
        <v>150</v>
      </c>
      <c r="C151" s="4" t="s">
        <v>26</v>
      </c>
      <c r="D151" s="4" t="s">
        <v>934</v>
      </c>
      <c r="E151" s="4" t="s">
        <v>41</v>
      </c>
      <c r="F151">
        <v>9</v>
      </c>
      <c r="G151" s="4" t="s">
        <v>134</v>
      </c>
      <c r="H151" s="4" t="s">
        <v>108</v>
      </c>
      <c r="I151" s="4" t="s">
        <v>117</v>
      </c>
      <c r="J151">
        <v>69</v>
      </c>
      <c r="K151" s="4" t="s">
        <v>158</v>
      </c>
      <c r="L151">
        <v>50.4</v>
      </c>
      <c r="M151">
        <v>3459.57</v>
      </c>
      <c r="N151" s="4" t="s">
        <v>30</v>
      </c>
    </row>
    <row r="152" spans="1:14" x14ac:dyDescent="0.2">
      <c r="A152" s="4" t="s">
        <v>335</v>
      </c>
      <c r="B152">
        <v>151</v>
      </c>
      <c r="C152" s="4" t="s">
        <v>26</v>
      </c>
      <c r="D152" s="4" t="s">
        <v>934</v>
      </c>
      <c r="E152" s="4" t="s">
        <v>41</v>
      </c>
      <c r="F152">
        <v>9</v>
      </c>
      <c r="G152" s="4" t="s">
        <v>123</v>
      </c>
      <c r="H152" s="4" t="s">
        <v>108</v>
      </c>
      <c r="I152" s="4" t="s">
        <v>113</v>
      </c>
      <c r="J152">
        <v>930</v>
      </c>
      <c r="K152" s="4" t="s">
        <v>158</v>
      </c>
      <c r="L152">
        <v>29.09</v>
      </c>
      <c r="M152">
        <v>27013.52</v>
      </c>
      <c r="N152" s="4" t="s">
        <v>30</v>
      </c>
    </row>
    <row r="153" spans="1:14" x14ac:dyDescent="0.2">
      <c r="A153" s="4" t="s">
        <v>336</v>
      </c>
      <c r="B153">
        <v>152</v>
      </c>
      <c r="C153" s="4" t="s">
        <v>26</v>
      </c>
      <c r="D153" s="4" t="s">
        <v>934</v>
      </c>
      <c r="E153" s="4" t="s">
        <v>41</v>
      </c>
      <c r="F153">
        <v>9</v>
      </c>
      <c r="G153" s="4" t="s">
        <v>123</v>
      </c>
      <c r="H153" s="4" t="s">
        <v>108</v>
      </c>
      <c r="I153" s="4" t="s">
        <v>115</v>
      </c>
      <c r="J153">
        <v>196</v>
      </c>
      <c r="K153" s="4" t="s">
        <v>158</v>
      </c>
      <c r="L153">
        <v>28.51</v>
      </c>
      <c r="M153">
        <v>5594.28</v>
      </c>
      <c r="N153" s="4" t="s">
        <v>30</v>
      </c>
    </row>
    <row r="154" spans="1:14" x14ac:dyDescent="0.2">
      <c r="A154" s="4" t="s">
        <v>337</v>
      </c>
      <c r="B154">
        <v>153</v>
      </c>
      <c r="C154" s="4" t="s">
        <v>26</v>
      </c>
      <c r="D154" s="4" t="s">
        <v>934</v>
      </c>
      <c r="E154" s="4" t="s">
        <v>41</v>
      </c>
      <c r="F154">
        <v>9</v>
      </c>
      <c r="G154" s="4" t="s">
        <v>123</v>
      </c>
      <c r="H154" s="4" t="s">
        <v>108</v>
      </c>
      <c r="I154" s="4" t="s">
        <v>117</v>
      </c>
      <c r="J154">
        <v>383</v>
      </c>
      <c r="K154" s="4" t="s">
        <v>158</v>
      </c>
      <c r="L154">
        <v>29.32</v>
      </c>
      <c r="M154">
        <v>11238.72</v>
      </c>
      <c r="N154" s="4" t="s">
        <v>30</v>
      </c>
    </row>
    <row r="155" spans="1:14" x14ac:dyDescent="0.2">
      <c r="A155" s="4" t="s">
        <v>338</v>
      </c>
      <c r="B155">
        <v>154</v>
      </c>
      <c r="C155" s="4" t="s">
        <v>26</v>
      </c>
      <c r="D155" s="4" t="s">
        <v>934</v>
      </c>
      <c r="E155" s="4" t="s">
        <v>41</v>
      </c>
      <c r="F155">
        <v>9</v>
      </c>
      <c r="G155" s="4" t="s">
        <v>128</v>
      </c>
      <c r="H155" s="4" t="s">
        <v>108</v>
      </c>
      <c r="I155" s="4" t="s">
        <v>113</v>
      </c>
      <c r="J155">
        <v>637</v>
      </c>
      <c r="K155" s="4" t="s">
        <v>158</v>
      </c>
      <c r="L155">
        <v>31.9</v>
      </c>
      <c r="M155">
        <v>20339.2</v>
      </c>
      <c r="N155" s="4" t="s">
        <v>30</v>
      </c>
    </row>
    <row r="156" spans="1:14" x14ac:dyDescent="0.2">
      <c r="A156" s="4" t="s">
        <v>339</v>
      </c>
      <c r="B156">
        <v>155</v>
      </c>
      <c r="C156" s="4" t="s">
        <v>26</v>
      </c>
      <c r="D156" s="4" t="s">
        <v>934</v>
      </c>
      <c r="E156" s="4" t="s">
        <v>41</v>
      </c>
      <c r="F156">
        <v>9</v>
      </c>
      <c r="G156" s="4" t="s">
        <v>128</v>
      </c>
      <c r="H156" s="4" t="s">
        <v>108</v>
      </c>
      <c r="I156" s="4" t="s">
        <v>115</v>
      </c>
      <c r="J156">
        <v>1005</v>
      </c>
      <c r="K156" s="4" t="s">
        <v>158</v>
      </c>
      <c r="L156">
        <v>32.22</v>
      </c>
      <c r="M156">
        <v>32319.59</v>
      </c>
      <c r="N156" s="4" t="s">
        <v>30</v>
      </c>
    </row>
    <row r="157" spans="1:14" x14ac:dyDescent="0.2">
      <c r="A157" s="4" t="s">
        <v>340</v>
      </c>
      <c r="B157">
        <v>156</v>
      </c>
      <c r="C157" s="4" t="s">
        <v>26</v>
      </c>
      <c r="D157" s="4" t="s">
        <v>934</v>
      </c>
      <c r="E157" s="4" t="s">
        <v>41</v>
      </c>
      <c r="F157">
        <v>9</v>
      </c>
      <c r="G157" s="4" t="s">
        <v>128</v>
      </c>
      <c r="H157" s="4" t="s">
        <v>108</v>
      </c>
      <c r="I157" s="4" t="s">
        <v>117</v>
      </c>
      <c r="J157">
        <v>330</v>
      </c>
      <c r="K157" s="4" t="s">
        <v>158</v>
      </c>
      <c r="L157">
        <v>32.32</v>
      </c>
      <c r="M157">
        <v>10665.69</v>
      </c>
      <c r="N157" s="4" t="s">
        <v>30</v>
      </c>
    </row>
    <row r="158" spans="1:14" x14ac:dyDescent="0.2">
      <c r="A158" s="4" t="s">
        <v>341</v>
      </c>
      <c r="B158">
        <v>157</v>
      </c>
      <c r="C158" s="4" t="s">
        <v>26</v>
      </c>
      <c r="D158" s="4" t="s">
        <v>934</v>
      </c>
      <c r="E158" s="4" t="s">
        <v>41</v>
      </c>
      <c r="F158">
        <v>10</v>
      </c>
      <c r="G158" s="4" t="s">
        <v>132</v>
      </c>
      <c r="H158" s="4" t="s">
        <v>108</v>
      </c>
      <c r="I158" s="4" t="s">
        <v>113</v>
      </c>
      <c r="J158">
        <v>232</v>
      </c>
      <c r="K158" s="4" t="s">
        <v>158</v>
      </c>
      <c r="L158">
        <v>67.28</v>
      </c>
      <c r="M158">
        <v>15614.82</v>
      </c>
      <c r="N158" s="4" t="s">
        <v>30</v>
      </c>
    </row>
    <row r="159" spans="1:14" x14ac:dyDescent="0.2">
      <c r="A159" s="4" t="s">
        <v>342</v>
      </c>
      <c r="B159">
        <v>158</v>
      </c>
      <c r="C159" s="4" t="s">
        <v>26</v>
      </c>
      <c r="D159" s="4" t="s">
        <v>934</v>
      </c>
      <c r="E159" s="4" t="s">
        <v>41</v>
      </c>
      <c r="F159">
        <v>10</v>
      </c>
      <c r="G159" s="4" t="s">
        <v>132</v>
      </c>
      <c r="H159" s="4" t="s">
        <v>108</v>
      </c>
      <c r="I159" s="4" t="s">
        <v>115</v>
      </c>
      <c r="J159">
        <v>518</v>
      </c>
      <c r="K159" s="4" t="s">
        <v>158</v>
      </c>
      <c r="L159">
        <v>67.3</v>
      </c>
      <c r="M159">
        <v>34831.769999999997</v>
      </c>
      <c r="N159" s="4" t="s">
        <v>30</v>
      </c>
    </row>
    <row r="160" spans="1:14" x14ac:dyDescent="0.2">
      <c r="A160" s="4" t="s">
        <v>343</v>
      </c>
      <c r="B160">
        <v>159</v>
      </c>
      <c r="C160" s="4" t="s">
        <v>26</v>
      </c>
      <c r="D160" s="4" t="s">
        <v>934</v>
      </c>
      <c r="E160" s="4" t="s">
        <v>41</v>
      </c>
      <c r="F160">
        <v>10</v>
      </c>
      <c r="G160" s="4" t="s">
        <v>132</v>
      </c>
      <c r="H160" s="4" t="s">
        <v>108</v>
      </c>
      <c r="I160" s="4" t="s">
        <v>117</v>
      </c>
      <c r="J160">
        <v>328</v>
      </c>
      <c r="K160" s="4" t="s">
        <v>158</v>
      </c>
      <c r="L160">
        <v>66.77</v>
      </c>
      <c r="M160">
        <v>21907.279999999999</v>
      </c>
      <c r="N160" s="4" t="s">
        <v>30</v>
      </c>
    </row>
    <row r="161" spans="1:14" x14ac:dyDescent="0.2">
      <c r="A161" s="4" t="s">
        <v>344</v>
      </c>
      <c r="B161">
        <v>160</v>
      </c>
      <c r="C161" s="4" t="s">
        <v>26</v>
      </c>
      <c r="D161" s="4" t="s">
        <v>934</v>
      </c>
      <c r="E161" s="4" t="s">
        <v>41</v>
      </c>
      <c r="F161">
        <v>10</v>
      </c>
      <c r="G161" s="4" t="s">
        <v>130</v>
      </c>
      <c r="H161" s="4" t="s">
        <v>108</v>
      </c>
      <c r="I161" s="4" t="s">
        <v>113</v>
      </c>
      <c r="J161">
        <v>184</v>
      </c>
      <c r="K161" s="4" t="s">
        <v>158</v>
      </c>
      <c r="L161">
        <v>91.94</v>
      </c>
      <c r="M161">
        <v>16868.21</v>
      </c>
      <c r="N161" s="4" t="s">
        <v>30</v>
      </c>
    </row>
    <row r="162" spans="1:14" x14ac:dyDescent="0.2">
      <c r="A162" s="4" t="s">
        <v>345</v>
      </c>
      <c r="B162">
        <v>161</v>
      </c>
      <c r="C162" s="4" t="s">
        <v>26</v>
      </c>
      <c r="D162" s="4" t="s">
        <v>934</v>
      </c>
      <c r="E162" s="4" t="s">
        <v>41</v>
      </c>
      <c r="F162">
        <v>10</v>
      </c>
      <c r="G162" s="4" t="s">
        <v>130</v>
      </c>
      <c r="H162" s="4" t="s">
        <v>108</v>
      </c>
      <c r="I162" s="4" t="s">
        <v>115</v>
      </c>
      <c r="J162">
        <v>134</v>
      </c>
      <c r="K162" s="4" t="s">
        <v>158</v>
      </c>
      <c r="L162">
        <v>92.96</v>
      </c>
      <c r="M162">
        <v>12463.22</v>
      </c>
      <c r="N162" s="4" t="s">
        <v>30</v>
      </c>
    </row>
    <row r="163" spans="1:14" x14ac:dyDescent="0.2">
      <c r="A163" s="4" t="s">
        <v>346</v>
      </c>
      <c r="B163">
        <v>162</v>
      </c>
      <c r="C163" s="4" t="s">
        <v>26</v>
      </c>
      <c r="D163" s="4" t="s">
        <v>934</v>
      </c>
      <c r="E163" s="4" t="s">
        <v>41</v>
      </c>
      <c r="F163">
        <v>10</v>
      </c>
      <c r="G163" s="4" t="s">
        <v>130</v>
      </c>
      <c r="H163" s="4" t="s">
        <v>108</v>
      </c>
      <c r="I163" s="4" t="s">
        <v>117</v>
      </c>
      <c r="J163">
        <v>468</v>
      </c>
      <c r="K163" s="4" t="s">
        <v>158</v>
      </c>
      <c r="L163">
        <v>92.13</v>
      </c>
      <c r="M163">
        <v>43115.38</v>
      </c>
      <c r="N163" s="4" t="s">
        <v>30</v>
      </c>
    </row>
    <row r="164" spans="1:14" x14ac:dyDescent="0.2">
      <c r="A164" s="4" t="s">
        <v>347</v>
      </c>
      <c r="B164">
        <v>163</v>
      </c>
      <c r="C164" s="4" t="s">
        <v>26</v>
      </c>
      <c r="D164" s="4" t="s">
        <v>934</v>
      </c>
      <c r="E164" s="4" t="s">
        <v>41</v>
      </c>
      <c r="F164">
        <v>10</v>
      </c>
      <c r="G164" s="4" t="s">
        <v>126</v>
      </c>
      <c r="H164" s="4" t="s">
        <v>108</v>
      </c>
      <c r="I164" s="4" t="s">
        <v>113</v>
      </c>
      <c r="J164">
        <v>159</v>
      </c>
      <c r="K164" s="4" t="s">
        <v>158</v>
      </c>
      <c r="L164">
        <v>78.7</v>
      </c>
      <c r="M164">
        <v>12500.57</v>
      </c>
      <c r="N164" s="4" t="s">
        <v>30</v>
      </c>
    </row>
    <row r="165" spans="1:14" x14ac:dyDescent="0.2">
      <c r="A165" s="4" t="s">
        <v>348</v>
      </c>
      <c r="B165">
        <v>164</v>
      </c>
      <c r="C165" s="4" t="s">
        <v>26</v>
      </c>
      <c r="D165" s="4" t="s">
        <v>934</v>
      </c>
      <c r="E165" s="4" t="s">
        <v>41</v>
      </c>
      <c r="F165">
        <v>10</v>
      </c>
      <c r="G165" s="4" t="s">
        <v>126</v>
      </c>
      <c r="H165" s="4" t="s">
        <v>108</v>
      </c>
      <c r="I165" s="4" t="s">
        <v>115</v>
      </c>
      <c r="J165">
        <v>200</v>
      </c>
      <c r="K165" s="4" t="s">
        <v>158</v>
      </c>
      <c r="L165">
        <v>77.45</v>
      </c>
      <c r="M165">
        <v>15486.38</v>
      </c>
      <c r="N165" s="4" t="s">
        <v>30</v>
      </c>
    </row>
    <row r="166" spans="1:14" x14ac:dyDescent="0.2">
      <c r="A166" s="4" t="s">
        <v>349</v>
      </c>
      <c r="B166">
        <v>165</v>
      </c>
      <c r="C166" s="4" t="s">
        <v>26</v>
      </c>
      <c r="D166" s="4" t="s">
        <v>934</v>
      </c>
      <c r="E166" s="4" t="s">
        <v>41</v>
      </c>
      <c r="F166">
        <v>10</v>
      </c>
      <c r="G166" s="4" t="s">
        <v>126</v>
      </c>
      <c r="H166" s="4" t="s">
        <v>108</v>
      </c>
      <c r="I166" s="4" t="s">
        <v>117</v>
      </c>
      <c r="J166">
        <v>25</v>
      </c>
      <c r="K166" s="4" t="s">
        <v>158</v>
      </c>
      <c r="L166">
        <v>79.87</v>
      </c>
      <c r="M166">
        <v>1996.75</v>
      </c>
      <c r="N166" s="4" t="s">
        <v>30</v>
      </c>
    </row>
    <row r="167" spans="1:14" x14ac:dyDescent="0.2">
      <c r="A167" s="4" t="s">
        <v>350</v>
      </c>
      <c r="B167">
        <v>166</v>
      </c>
      <c r="C167" s="4" t="s">
        <v>26</v>
      </c>
      <c r="D167" s="4" t="s">
        <v>934</v>
      </c>
      <c r="E167" s="4" t="s">
        <v>41</v>
      </c>
      <c r="F167">
        <v>10</v>
      </c>
      <c r="G167" s="4" t="s">
        <v>134</v>
      </c>
      <c r="H167" s="4" t="s">
        <v>108</v>
      </c>
      <c r="I167" s="4" t="s">
        <v>113</v>
      </c>
      <c r="J167">
        <v>425</v>
      </c>
      <c r="K167" s="4" t="s">
        <v>158</v>
      </c>
      <c r="L167">
        <v>49.34</v>
      </c>
      <c r="M167">
        <v>20977.8</v>
      </c>
      <c r="N167" s="4" t="s">
        <v>30</v>
      </c>
    </row>
    <row r="168" spans="1:14" x14ac:dyDescent="0.2">
      <c r="A168" s="4" t="s">
        <v>351</v>
      </c>
      <c r="B168">
        <v>167</v>
      </c>
      <c r="C168" s="4" t="s">
        <v>26</v>
      </c>
      <c r="D168" s="4" t="s">
        <v>934</v>
      </c>
      <c r="E168" s="4" t="s">
        <v>41</v>
      </c>
      <c r="F168">
        <v>10</v>
      </c>
      <c r="G168" s="4" t="s">
        <v>134</v>
      </c>
      <c r="H168" s="4" t="s">
        <v>108</v>
      </c>
      <c r="I168" s="4" t="s">
        <v>115</v>
      </c>
      <c r="J168">
        <v>227</v>
      </c>
      <c r="K168" s="4" t="s">
        <v>158</v>
      </c>
      <c r="L168">
        <v>49.39</v>
      </c>
      <c r="M168">
        <v>11219.23</v>
      </c>
      <c r="N168" s="4" t="s">
        <v>30</v>
      </c>
    </row>
    <row r="169" spans="1:14" x14ac:dyDescent="0.2">
      <c r="A169" s="4" t="s">
        <v>352</v>
      </c>
      <c r="B169">
        <v>168</v>
      </c>
      <c r="C169" s="4" t="s">
        <v>26</v>
      </c>
      <c r="D169" s="4" t="s">
        <v>934</v>
      </c>
      <c r="E169" s="4" t="s">
        <v>41</v>
      </c>
      <c r="F169">
        <v>10</v>
      </c>
      <c r="G169" s="4" t="s">
        <v>134</v>
      </c>
      <c r="H169" s="4" t="s">
        <v>108</v>
      </c>
      <c r="I169" s="4" t="s">
        <v>117</v>
      </c>
      <c r="J169">
        <v>78</v>
      </c>
      <c r="K169" s="4" t="s">
        <v>158</v>
      </c>
      <c r="L169">
        <v>48.75</v>
      </c>
      <c r="M169">
        <v>3807</v>
      </c>
      <c r="N169" s="4" t="s">
        <v>30</v>
      </c>
    </row>
    <row r="170" spans="1:14" x14ac:dyDescent="0.2">
      <c r="A170" s="4" t="s">
        <v>353</v>
      </c>
      <c r="B170">
        <v>169</v>
      </c>
      <c r="C170" s="4" t="s">
        <v>26</v>
      </c>
      <c r="D170" s="4" t="s">
        <v>934</v>
      </c>
      <c r="E170" s="4" t="s">
        <v>41</v>
      </c>
      <c r="F170">
        <v>10</v>
      </c>
      <c r="G170" s="4" t="s">
        <v>123</v>
      </c>
      <c r="H170" s="4" t="s">
        <v>108</v>
      </c>
      <c r="I170" s="4" t="s">
        <v>113</v>
      </c>
      <c r="J170">
        <v>1385</v>
      </c>
      <c r="K170" s="4" t="s">
        <v>158</v>
      </c>
      <c r="L170">
        <v>29.31</v>
      </c>
      <c r="M170">
        <v>40407.919999999998</v>
      </c>
      <c r="N170" s="4" t="s">
        <v>30</v>
      </c>
    </row>
    <row r="171" spans="1:14" x14ac:dyDescent="0.2">
      <c r="A171" s="4" t="s">
        <v>354</v>
      </c>
      <c r="B171">
        <v>170</v>
      </c>
      <c r="C171" s="4" t="s">
        <v>26</v>
      </c>
      <c r="D171" s="4" t="s">
        <v>934</v>
      </c>
      <c r="E171" s="4" t="s">
        <v>41</v>
      </c>
      <c r="F171">
        <v>10</v>
      </c>
      <c r="G171" s="4" t="s">
        <v>123</v>
      </c>
      <c r="H171" s="4" t="s">
        <v>108</v>
      </c>
      <c r="I171" s="4" t="s">
        <v>115</v>
      </c>
      <c r="J171">
        <v>266</v>
      </c>
      <c r="K171" s="4" t="s">
        <v>158</v>
      </c>
      <c r="L171">
        <v>29.22</v>
      </c>
      <c r="M171">
        <v>7833.52</v>
      </c>
      <c r="N171" s="4" t="s">
        <v>30</v>
      </c>
    </row>
    <row r="172" spans="1:14" x14ac:dyDescent="0.2">
      <c r="A172" s="4" t="s">
        <v>355</v>
      </c>
      <c r="B172">
        <v>171</v>
      </c>
      <c r="C172" s="4" t="s">
        <v>26</v>
      </c>
      <c r="D172" s="4" t="s">
        <v>934</v>
      </c>
      <c r="E172" s="4" t="s">
        <v>41</v>
      </c>
      <c r="F172">
        <v>10</v>
      </c>
      <c r="G172" s="4" t="s">
        <v>123</v>
      </c>
      <c r="H172" s="4" t="s">
        <v>108</v>
      </c>
      <c r="I172" s="4" t="s">
        <v>117</v>
      </c>
      <c r="J172">
        <v>966</v>
      </c>
      <c r="K172" s="4" t="s">
        <v>158</v>
      </c>
      <c r="L172">
        <v>29.7</v>
      </c>
      <c r="M172">
        <v>28656.74</v>
      </c>
      <c r="N172" s="4" t="s">
        <v>30</v>
      </c>
    </row>
    <row r="173" spans="1:14" x14ac:dyDescent="0.2">
      <c r="A173" s="4" t="s">
        <v>356</v>
      </c>
      <c r="B173">
        <v>172</v>
      </c>
      <c r="C173" s="4" t="s">
        <v>26</v>
      </c>
      <c r="D173" s="4" t="s">
        <v>934</v>
      </c>
      <c r="E173" s="4" t="s">
        <v>41</v>
      </c>
      <c r="F173">
        <v>10</v>
      </c>
      <c r="G173" s="4" t="s">
        <v>128</v>
      </c>
      <c r="H173" s="4" t="s">
        <v>108</v>
      </c>
      <c r="I173" s="4" t="s">
        <v>113</v>
      </c>
      <c r="J173">
        <v>874</v>
      </c>
      <c r="K173" s="4" t="s">
        <v>158</v>
      </c>
      <c r="L173">
        <v>32.24</v>
      </c>
      <c r="M173">
        <v>28198.799999999999</v>
      </c>
      <c r="N173" s="4" t="s">
        <v>30</v>
      </c>
    </row>
    <row r="174" spans="1:14" x14ac:dyDescent="0.2">
      <c r="A174" s="4" t="s">
        <v>357</v>
      </c>
      <c r="B174">
        <v>173</v>
      </c>
      <c r="C174" s="4" t="s">
        <v>26</v>
      </c>
      <c r="D174" s="4" t="s">
        <v>934</v>
      </c>
      <c r="E174" s="4" t="s">
        <v>41</v>
      </c>
      <c r="F174">
        <v>10</v>
      </c>
      <c r="G174" s="4" t="s">
        <v>128</v>
      </c>
      <c r="H174" s="4" t="s">
        <v>108</v>
      </c>
      <c r="I174" s="4" t="s">
        <v>115</v>
      </c>
      <c r="J174">
        <v>871</v>
      </c>
      <c r="K174" s="4" t="s">
        <v>158</v>
      </c>
      <c r="L174">
        <v>32.17</v>
      </c>
      <c r="M174">
        <v>28020.13</v>
      </c>
      <c r="N174" s="4" t="s">
        <v>30</v>
      </c>
    </row>
    <row r="175" spans="1:14" x14ac:dyDescent="0.2">
      <c r="A175" s="4" t="s">
        <v>358</v>
      </c>
      <c r="B175">
        <v>174</v>
      </c>
      <c r="C175" s="4" t="s">
        <v>26</v>
      </c>
      <c r="D175" s="4" t="s">
        <v>934</v>
      </c>
      <c r="E175" s="4" t="s">
        <v>41</v>
      </c>
      <c r="F175">
        <v>10</v>
      </c>
      <c r="G175" s="4" t="s">
        <v>128</v>
      </c>
      <c r="H175" s="4" t="s">
        <v>108</v>
      </c>
      <c r="I175" s="4" t="s">
        <v>117</v>
      </c>
      <c r="J175">
        <v>127</v>
      </c>
      <c r="K175" s="4" t="s">
        <v>158</v>
      </c>
      <c r="L175">
        <v>31.65</v>
      </c>
      <c r="M175">
        <v>4010.35</v>
      </c>
      <c r="N175" s="4" t="s">
        <v>30</v>
      </c>
    </row>
    <row r="176" spans="1:14" x14ac:dyDescent="0.2">
      <c r="A176" s="4" t="s">
        <v>359</v>
      </c>
      <c r="B176">
        <v>175</v>
      </c>
      <c r="C176" s="4" t="s">
        <v>26</v>
      </c>
      <c r="D176" s="4" t="s">
        <v>934</v>
      </c>
      <c r="E176" s="4" t="s">
        <v>44</v>
      </c>
      <c r="F176">
        <v>11</v>
      </c>
      <c r="G176" s="4" t="s">
        <v>132</v>
      </c>
      <c r="H176" s="4" t="s">
        <v>108</v>
      </c>
      <c r="I176" s="4" t="s">
        <v>113</v>
      </c>
      <c r="J176">
        <v>427</v>
      </c>
      <c r="K176" s="4" t="s">
        <v>158</v>
      </c>
      <c r="L176">
        <v>66.87</v>
      </c>
      <c r="M176">
        <v>28557.91</v>
      </c>
      <c r="N176" s="4" t="s">
        <v>30</v>
      </c>
    </row>
    <row r="177" spans="1:14" x14ac:dyDescent="0.2">
      <c r="A177" s="4" t="s">
        <v>360</v>
      </c>
      <c r="B177">
        <v>176</v>
      </c>
      <c r="C177" s="4" t="s">
        <v>26</v>
      </c>
      <c r="D177" s="4" t="s">
        <v>934</v>
      </c>
      <c r="E177" s="4" t="s">
        <v>44</v>
      </c>
      <c r="F177">
        <v>11</v>
      </c>
      <c r="G177" s="4" t="s">
        <v>132</v>
      </c>
      <c r="H177" s="4" t="s">
        <v>108</v>
      </c>
      <c r="I177" s="4" t="s">
        <v>115</v>
      </c>
      <c r="J177">
        <v>460</v>
      </c>
      <c r="K177" s="4" t="s">
        <v>158</v>
      </c>
      <c r="L177">
        <v>67.23</v>
      </c>
      <c r="M177">
        <v>30839.919999999998</v>
      </c>
      <c r="N177" s="4" t="s">
        <v>30</v>
      </c>
    </row>
    <row r="178" spans="1:14" x14ac:dyDescent="0.2">
      <c r="A178" s="4" t="s">
        <v>361</v>
      </c>
      <c r="B178">
        <v>177</v>
      </c>
      <c r="C178" s="4" t="s">
        <v>26</v>
      </c>
      <c r="D178" s="4" t="s">
        <v>934</v>
      </c>
      <c r="E178" s="4" t="s">
        <v>44</v>
      </c>
      <c r="F178">
        <v>11</v>
      </c>
      <c r="G178" s="4" t="s">
        <v>132</v>
      </c>
      <c r="H178" s="4" t="s">
        <v>108</v>
      </c>
      <c r="I178" s="4" t="s">
        <v>117</v>
      </c>
      <c r="J178">
        <v>177</v>
      </c>
      <c r="K178" s="4" t="s">
        <v>158</v>
      </c>
      <c r="L178">
        <v>67</v>
      </c>
      <c r="M178">
        <v>11859.49</v>
      </c>
      <c r="N178" s="4" t="s">
        <v>30</v>
      </c>
    </row>
    <row r="179" spans="1:14" x14ac:dyDescent="0.2">
      <c r="A179" s="4" t="s">
        <v>362</v>
      </c>
      <c r="B179">
        <v>178</v>
      </c>
      <c r="C179" s="4" t="s">
        <v>26</v>
      </c>
      <c r="D179" s="4" t="s">
        <v>934</v>
      </c>
      <c r="E179" s="4" t="s">
        <v>44</v>
      </c>
      <c r="F179">
        <v>11</v>
      </c>
      <c r="G179" s="4" t="s">
        <v>130</v>
      </c>
      <c r="H179" s="4" t="s">
        <v>108</v>
      </c>
      <c r="I179" s="4" t="s">
        <v>113</v>
      </c>
      <c r="J179">
        <v>186</v>
      </c>
      <c r="K179" s="4" t="s">
        <v>158</v>
      </c>
      <c r="L179">
        <v>92.47</v>
      </c>
      <c r="M179">
        <v>17199.37</v>
      </c>
      <c r="N179" s="4" t="s">
        <v>30</v>
      </c>
    </row>
    <row r="180" spans="1:14" x14ac:dyDescent="0.2">
      <c r="A180" s="4" t="s">
        <v>363</v>
      </c>
      <c r="B180">
        <v>179</v>
      </c>
      <c r="C180" s="4" t="s">
        <v>26</v>
      </c>
      <c r="D180" s="4" t="s">
        <v>934</v>
      </c>
      <c r="E180" s="4" t="s">
        <v>44</v>
      </c>
      <c r="F180">
        <v>11</v>
      </c>
      <c r="G180" s="4" t="s">
        <v>130</v>
      </c>
      <c r="H180" s="4" t="s">
        <v>108</v>
      </c>
      <c r="I180" s="4" t="s">
        <v>115</v>
      </c>
      <c r="J180">
        <v>17</v>
      </c>
      <c r="K180" s="4" t="s">
        <v>158</v>
      </c>
      <c r="L180">
        <v>95</v>
      </c>
      <c r="M180">
        <v>1615</v>
      </c>
      <c r="N180" s="4" t="s">
        <v>30</v>
      </c>
    </row>
    <row r="181" spans="1:14" x14ac:dyDescent="0.2">
      <c r="A181" s="4" t="s">
        <v>364</v>
      </c>
      <c r="B181">
        <v>180</v>
      </c>
      <c r="C181" s="4" t="s">
        <v>26</v>
      </c>
      <c r="D181" s="4" t="s">
        <v>934</v>
      </c>
      <c r="E181" s="4" t="s">
        <v>44</v>
      </c>
      <c r="F181">
        <v>11</v>
      </c>
      <c r="G181" s="4" t="s">
        <v>130</v>
      </c>
      <c r="H181" s="4" t="s">
        <v>108</v>
      </c>
      <c r="I181" s="4" t="s">
        <v>117</v>
      </c>
      <c r="J181">
        <v>610</v>
      </c>
      <c r="K181" s="4" t="s">
        <v>158</v>
      </c>
      <c r="L181">
        <v>92.3</v>
      </c>
      <c r="M181">
        <v>56226.95</v>
      </c>
      <c r="N181" s="4" t="s">
        <v>30</v>
      </c>
    </row>
    <row r="182" spans="1:14" x14ac:dyDescent="0.2">
      <c r="A182" s="4" t="s">
        <v>365</v>
      </c>
      <c r="B182">
        <v>181</v>
      </c>
      <c r="C182" s="4" t="s">
        <v>26</v>
      </c>
      <c r="D182" s="4" t="s">
        <v>934</v>
      </c>
      <c r="E182" s="4" t="s">
        <v>44</v>
      </c>
      <c r="F182">
        <v>11</v>
      </c>
      <c r="G182" s="4" t="s">
        <v>126</v>
      </c>
      <c r="H182" s="4" t="s">
        <v>108</v>
      </c>
      <c r="I182" s="4" t="s">
        <v>113</v>
      </c>
      <c r="J182">
        <v>63</v>
      </c>
      <c r="K182" s="4" t="s">
        <v>158</v>
      </c>
      <c r="L182">
        <v>80.7</v>
      </c>
      <c r="M182">
        <v>5133.6899999999996</v>
      </c>
      <c r="N182" s="4" t="s">
        <v>30</v>
      </c>
    </row>
    <row r="183" spans="1:14" x14ac:dyDescent="0.2">
      <c r="A183" s="4" t="s">
        <v>366</v>
      </c>
      <c r="B183">
        <v>182</v>
      </c>
      <c r="C183" s="4" t="s">
        <v>26</v>
      </c>
      <c r="D183" s="4" t="s">
        <v>934</v>
      </c>
      <c r="E183" s="4" t="s">
        <v>44</v>
      </c>
      <c r="F183">
        <v>11</v>
      </c>
      <c r="G183" s="4" t="s">
        <v>126</v>
      </c>
      <c r="H183" s="4" t="s">
        <v>108</v>
      </c>
      <c r="I183" s="4" t="s">
        <v>115</v>
      </c>
      <c r="J183">
        <v>167</v>
      </c>
      <c r="K183" s="4" t="s">
        <v>158</v>
      </c>
      <c r="L183">
        <v>76.78</v>
      </c>
      <c r="M183">
        <v>12789.76</v>
      </c>
      <c r="N183" s="4" t="s">
        <v>30</v>
      </c>
    </row>
    <row r="184" spans="1:14" x14ac:dyDescent="0.2">
      <c r="A184" s="4" t="s">
        <v>367</v>
      </c>
      <c r="B184">
        <v>183</v>
      </c>
      <c r="C184" s="4" t="s">
        <v>26</v>
      </c>
      <c r="D184" s="4" t="s">
        <v>934</v>
      </c>
      <c r="E184" s="4" t="s">
        <v>44</v>
      </c>
      <c r="F184">
        <v>11</v>
      </c>
      <c r="G184" s="4" t="s">
        <v>126</v>
      </c>
      <c r="H184" s="4" t="s">
        <v>108</v>
      </c>
      <c r="I184" s="4" t="s">
        <v>117</v>
      </c>
      <c r="J184">
        <v>19</v>
      </c>
      <c r="K184" s="4" t="s">
        <v>158</v>
      </c>
      <c r="L184">
        <v>76</v>
      </c>
      <c r="M184">
        <v>1444</v>
      </c>
      <c r="N184" s="4" t="s">
        <v>30</v>
      </c>
    </row>
    <row r="185" spans="1:14" x14ac:dyDescent="0.2">
      <c r="A185" s="4" t="s">
        <v>368</v>
      </c>
      <c r="B185">
        <v>184</v>
      </c>
      <c r="C185" s="4" t="s">
        <v>26</v>
      </c>
      <c r="D185" s="4" t="s">
        <v>934</v>
      </c>
      <c r="E185" s="4" t="s">
        <v>44</v>
      </c>
      <c r="F185">
        <v>11</v>
      </c>
      <c r="G185" s="4" t="s">
        <v>134</v>
      </c>
      <c r="H185" s="4" t="s">
        <v>108</v>
      </c>
      <c r="I185" s="4" t="s">
        <v>113</v>
      </c>
      <c r="J185">
        <v>381</v>
      </c>
      <c r="K185" s="4" t="s">
        <v>158</v>
      </c>
      <c r="L185">
        <v>48.84</v>
      </c>
      <c r="M185">
        <v>18652.919999999998</v>
      </c>
      <c r="N185" s="4" t="s">
        <v>30</v>
      </c>
    </row>
    <row r="186" spans="1:14" x14ac:dyDescent="0.2">
      <c r="A186" s="4" t="s">
        <v>369</v>
      </c>
      <c r="B186">
        <v>185</v>
      </c>
      <c r="C186" s="4" t="s">
        <v>26</v>
      </c>
      <c r="D186" s="4" t="s">
        <v>934</v>
      </c>
      <c r="E186" s="4" t="s">
        <v>44</v>
      </c>
      <c r="F186">
        <v>11</v>
      </c>
      <c r="G186" s="4" t="s">
        <v>134</v>
      </c>
      <c r="H186" s="4" t="s">
        <v>108</v>
      </c>
      <c r="I186" s="4" t="s">
        <v>115</v>
      </c>
      <c r="J186">
        <v>87</v>
      </c>
      <c r="K186" s="4" t="s">
        <v>158</v>
      </c>
      <c r="L186">
        <v>50.26</v>
      </c>
      <c r="M186">
        <v>4378.2</v>
      </c>
      <c r="N186" s="4" t="s">
        <v>30</v>
      </c>
    </row>
    <row r="187" spans="1:14" x14ac:dyDescent="0.2">
      <c r="A187" s="4" t="s">
        <v>370</v>
      </c>
      <c r="B187">
        <v>186</v>
      </c>
      <c r="C187" s="4" t="s">
        <v>26</v>
      </c>
      <c r="D187" s="4" t="s">
        <v>934</v>
      </c>
      <c r="E187" s="4" t="s">
        <v>44</v>
      </c>
      <c r="F187">
        <v>11</v>
      </c>
      <c r="G187" s="4" t="s">
        <v>134</v>
      </c>
      <c r="H187" s="4" t="s">
        <v>108</v>
      </c>
      <c r="I187" s="4" t="s">
        <v>117</v>
      </c>
      <c r="J187">
        <v>193</v>
      </c>
      <c r="K187" s="4" t="s">
        <v>158</v>
      </c>
      <c r="L187">
        <v>48.43</v>
      </c>
      <c r="M187">
        <v>9355</v>
      </c>
      <c r="N187" s="4" t="s">
        <v>30</v>
      </c>
    </row>
    <row r="188" spans="1:14" x14ac:dyDescent="0.2">
      <c r="A188" s="4" t="s">
        <v>371</v>
      </c>
      <c r="B188">
        <v>187</v>
      </c>
      <c r="C188" s="4" t="s">
        <v>26</v>
      </c>
      <c r="D188" s="4" t="s">
        <v>934</v>
      </c>
      <c r="E188" s="4" t="s">
        <v>44</v>
      </c>
      <c r="F188">
        <v>11</v>
      </c>
      <c r="G188" s="4" t="s">
        <v>123</v>
      </c>
      <c r="H188" s="4" t="s">
        <v>108</v>
      </c>
      <c r="I188" s="4" t="s">
        <v>113</v>
      </c>
      <c r="J188">
        <v>1233</v>
      </c>
      <c r="K188" s="4" t="s">
        <v>158</v>
      </c>
      <c r="L188">
        <v>29.16</v>
      </c>
      <c r="M188">
        <v>35990.699999999997</v>
      </c>
      <c r="N188" s="4" t="s">
        <v>30</v>
      </c>
    </row>
    <row r="189" spans="1:14" x14ac:dyDescent="0.2">
      <c r="A189" s="4" t="s">
        <v>372</v>
      </c>
      <c r="B189">
        <v>188</v>
      </c>
      <c r="C189" s="4" t="s">
        <v>26</v>
      </c>
      <c r="D189" s="4" t="s">
        <v>934</v>
      </c>
      <c r="E189" s="4" t="s">
        <v>44</v>
      </c>
      <c r="F189">
        <v>11</v>
      </c>
      <c r="G189" s="4" t="s">
        <v>123</v>
      </c>
      <c r="H189" s="4" t="s">
        <v>108</v>
      </c>
      <c r="I189" s="4" t="s">
        <v>115</v>
      </c>
      <c r="J189">
        <v>47</v>
      </c>
      <c r="K189" s="4" t="s">
        <v>158</v>
      </c>
      <c r="L189">
        <v>33</v>
      </c>
      <c r="M189">
        <v>1551</v>
      </c>
      <c r="N189" s="4" t="s">
        <v>30</v>
      </c>
    </row>
    <row r="190" spans="1:14" x14ac:dyDescent="0.2">
      <c r="A190" s="4" t="s">
        <v>373</v>
      </c>
      <c r="B190">
        <v>189</v>
      </c>
      <c r="C190" s="4" t="s">
        <v>26</v>
      </c>
      <c r="D190" s="4" t="s">
        <v>934</v>
      </c>
      <c r="E190" s="4" t="s">
        <v>44</v>
      </c>
      <c r="F190">
        <v>11</v>
      </c>
      <c r="G190" s="4" t="s">
        <v>123</v>
      </c>
      <c r="H190" s="4" t="s">
        <v>108</v>
      </c>
      <c r="I190" s="4" t="s">
        <v>117</v>
      </c>
      <c r="J190">
        <v>284</v>
      </c>
      <c r="K190" s="4" t="s">
        <v>158</v>
      </c>
      <c r="L190">
        <v>30.42</v>
      </c>
      <c r="M190">
        <v>8609.0400000000009</v>
      </c>
      <c r="N190" s="4" t="s">
        <v>30</v>
      </c>
    </row>
    <row r="191" spans="1:14" x14ac:dyDescent="0.2">
      <c r="A191" s="4" t="s">
        <v>374</v>
      </c>
      <c r="B191">
        <v>190</v>
      </c>
      <c r="C191" s="4" t="s">
        <v>26</v>
      </c>
      <c r="D191" s="4" t="s">
        <v>934</v>
      </c>
      <c r="E191" s="4" t="s">
        <v>44</v>
      </c>
      <c r="F191">
        <v>11</v>
      </c>
      <c r="G191" s="4" t="s">
        <v>128</v>
      </c>
      <c r="H191" s="4" t="s">
        <v>108</v>
      </c>
      <c r="I191" s="4" t="s">
        <v>113</v>
      </c>
      <c r="J191">
        <v>571</v>
      </c>
      <c r="K191" s="4" t="s">
        <v>158</v>
      </c>
      <c r="L191">
        <v>31.86</v>
      </c>
      <c r="M191">
        <v>18255.79</v>
      </c>
      <c r="N191" s="4" t="s">
        <v>30</v>
      </c>
    </row>
    <row r="192" spans="1:14" x14ac:dyDescent="0.2">
      <c r="A192" s="4" t="s">
        <v>375</v>
      </c>
      <c r="B192">
        <v>191</v>
      </c>
      <c r="C192" s="4" t="s">
        <v>26</v>
      </c>
      <c r="D192" s="4" t="s">
        <v>934</v>
      </c>
      <c r="E192" s="4" t="s">
        <v>44</v>
      </c>
      <c r="F192">
        <v>11</v>
      </c>
      <c r="G192" s="4" t="s">
        <v>128</v>
      </c>
      <c r="H192" s="4" t="s">
        <v>108</v>
      </c>
      <c r="I192" s="4" t="s">
        <v>115</v>
      </c>
      <c r="J192">
        <v>1201</v>
      </c>
      <c r="K192" s="4" t="s">
        <v>158</v>
      </c>
      <c r="L192">
        <v>31.68</v>
      </c>
      <c r="M192">
        <v>38139.339999999997</v>
      </c>
      <c r="N192" s="4" t="s">
        <v>30</v>
      </c>
    </row>
    <row r="193" spans="1:14" x14ac:dyDescent="0.2">
      <c r="A193" s="4" t="s">
        <v>376</v>
      </c>
      <c r="B193">
        <v>192</v>
      </c>
      <c r="C193" s="4" t="s">
        <v>26</v>
      </c>
      <c r="D193" s="4" t="s">
        <v>934</v>
      </c>
      <c r="E193" s="4" t="s">
        <v>44</v>
      </c>
      <c r="F193">
        <v>11</v>
      </c>
      <c r="G193" s="4" t="s">
        <v>128</v>
      </c>
      <c r="H193" s="4" t="s">
        <v>108</v>
      </c>
      <c r="I193" s="4" t="s">
        <v>117</v>
      </c>
      <c r="J193">
        <v>125</v>
      </c>
      <c r="K193" s="4" t="s">
        <v>158</v>
      </c>
      <c r="L193">
        <v>32.049999999999997</v>
      </c>
      <c r="M193">
        <v>4006.25</v>
      </c>
      <c r="N193" s="4" t="s">
        <v>30</v>
      </c>
    </row>
    <row r="194" spans="1:14" x14ac:dyDescent="0.2">
      <c r="A194" s="4" t="s">
        <v>377</v>
      </c>
      <c r="B194">
        <v>193</v>
      </c>
      <c r="C194" s="4" t="s">
        <v>26</v>
      </c>
      <c r="D194" s="4" t="s">
        <v>934</v>
      </c>
      <c r="E194" s="4" t="s">
        <v>44</v>
      </c>
      <c r="F194">
        <v>12</v>
      </c>
      <c r="G194" s="4" t="s">
        <v>132</v>
      </c>
      <c r="H194" s="4" t="s">
        <v>108</v>
      </c>
      <c r="I194" s="4" t="s">
        <v>113</v>
      </c>
      <c r="J194">
        <v>195</v>
      </c>
      <c r="K194" s="4" t="s">
        <v>158</v>
      </c>
      <c r="L194">
        <v>67.540000000000006</v>
      </c>
      <c r="M194">
        <v>13165.42</v>
      </c>
      <c r="N194" s="4" t="s">
        <v>30</v>
      </c>
    </row>
    <row r="195" spans="1:14" x14ac:dyDescent="0.2">
      <c r="A195" s="4" t="s">
        <v>378</v>
      </c>
      <c r="B195">
        <v>194</v>
      </c>
      <c r="C195" s="4" t="s">
        <v>26</v>
      </c>
      <c r="D195" s="4" t="s">
        <v>934</v>
      </c>
      <c r="E195" s="4" t="s">
        <v>44</v>
      </c>
      <c r="F195">
        <v>12</v>
      </c>
      <c r="G195" s="4" t="s">
        <v>132</v>
      </c>
      <c r="H195" s="4" t="s">
        <v>108</v>
      </c>
      <c r="I195" s="4" t="s">
        <v>115</v>
      </c>
      <c r="J195">
        <v>361</v>
      </c>
      <c r="K195" s="4" t="s">
        <v>158</v>
      </c>
      <c r="L195">
        <v>67.42</v>
      </c>
      <c r="M195">
        <v>24369.81</v>
      </c>
      <c r="N195" s="4" t="s">
        <v>30</v>
      </c>
    </row>
    <row r="196" spans="1:14" x14ac:dyDescent="0.2">
      <c r="A196" s="4" t="s">
        <v>379</v>
      </c>
      <c r="B196">
        <v>195</v>
      </c>
      <c r="C196" s="4" t="s">
        <v>26</v>
      </c>
      <c r="D196" s="4" t="s">
        <v>934</v>
      </c>
      <c r="E196" s="4" t="s">
        <v>44</v>
      </c>
      <c r="F196">
        <v>12</v>
      </c>
      <c r="G196" s="4" t="s">
        <v>132</v>
      </c>
      <c r="H196" s="4" t="s">
        <v>108</v>
      </c>
      <c r="I196" s="4" t="s">
        <v>117</v>
      </c>
      <c r="J196">
        <v>84</v>
      </c>
      <c r="K196" s="4" t="s">
        <v>158</v>
      </c>
      <c r="L196">
        <v>66.69</v>
      </c>
      <c r="M196">
        <v>5604.81</v>
      </c>
      <c r="N196" s="4" t="s">
        <v>30</v>
      </c>
    </row>
    <row r="197" spans="1:14" x14ac:dyDescent="0.2">
      <c r="A197" s="4" t="s">
        <v>380</v>
      </c>
      <c r="B197">
        <v>196</v>
      </c>
      <c r="C197" s="4" t="s">
        <v>26</v>
      </c>
      <c r="D197" s="4" t="s">
        <v>934</v>
      </c>
      <c r="E197" s="4" t="s">
        <v>44</v>
      </c>
      <c r="F197">
        <v>12</v>
      </c>
      <c r="G197" s="4" t="s">
        <v>130</v>
      </c>
      <c r="H197" s="4" t="s">
        <v>108</v>
      </c>
      <c r="I197" s="4" t="s">
        <v>113</v>
      </c>
      <c r="J197">
        <v>71</v>
      </c>
      <c r="K197" s="4" t="s">
        <v>158</v>
      </c>
      <c r="L197">
        <v>91.13</v>
      </c>
      <c r="M197">
        <v>6466.27</v>
      </c>
      <c r="N197" s="4" t="s">
        <v>30</v>
      </c>
    </row>
    <row r="198" spans="1:14" x14ac:dyDescent="0.2">
      <c r="A198" s="4" t="s">
        <v>381</v>
      </c>
      <c r="B198">
        <v>197</v>
      </c>
      <c r="C198" s="4" t="s">
        <v>26</v>
      </c>
      <c r="D198" s="4" t="s">
        <v>934</v>
      </c>
      <c r="E198" s="4" t="s">
        <v>44</v>
      </c>
      <c r="F198">
        <v>12</v>
      </c>
      <c r="G198" s="4" t="s">
        <v>130</v>
      </c>
      <c r="H198" s="4" t="s">
        <v>108</v>
      </c>
      <c r="I198" s="4" t="s">
        <v>115</v>
      </c>
      <c r="J198">
        <v>141</v>
      </c>
      <c r="K198" s="4" t="s">
        <v>158</v>
      </c>
      <c r="L198">
        <v>92.07</v>
      </c>
      <c r="M198">
        <v>12958.57</v>
      </c>
      <c r="N198" s="4" t="s">
        <v>30</v>
      </c>
    </row>
    <row r="199" spans="1:14" x14ac:dyDescent="0.2">
      <c r="A199" s="4" t="s">
        <v>382</v>
      </c>
      <c r="B199">
        <v>198</v>
      </c>
      <c r="C199" s="4" t="s">
        <v>26</v>
      </c>
      <c r="D199" s="4" t="s">
        <v>934</v>
      </c>
      <c r="E199" s="4" t="s">
        <v>44</v>
      </c>
      <c r="F199">
        <v>12</v>
      </c>
      <c r="G199" s="4" t="s">
        <v>130</v>
      </c>
      <c r="H199" s="4" t="s">
        <v>108</v>
      </c>
      <c r="I199" s="4" t="s">
        <v>117</v>
      </c>
      <c r="J199">
        <v>341</v>
      </c>
      <c r="K199" s="4" t="s">
        <v>158</v>
      </c>
      <c r="L199">
        <v>92.42</v>
      </c>
      <c r="M199">
        <v>31519.08</v>
      </c>
      <c r="N199" s="4" t="s">
        <v>30</v>
      </c>
    </row>
    <row r="200" spans="1:14" x14ac:dyDescent="0.2">
      <c r="A200" s="4" t="s">
        <v>383</v>
      </c>
      <c r="B200">
        <v>199</v>
      </c>
      <c r="C200" s="4" t="s">
        <v>26</v>
      </c>
      <c r="D200" s="4" t="s">
        <v>934</v>
      </c>
      <c r="E200" s="4" t="s">
        <v>44</v>
      </c>
      <c r="F200">
        <v>12</v>
      </c>
      <c r="G200" s="4" t="s">
        <v>126</v>
      </c>
      <c r="H200" s="4" t="s">
        <v>108</v>
      </c>
      <c r="I200" s="4" t="s">
        <v>113</v>
      </c>
      <c r="J200">
        <v>155</v>
      </c>
      <c r="K200" s="4" t="s">
        <v>158</v>
      </c>
      <c r="L200">
        <v>76.89</v>
      </c>
      <c r="M200">
        <v>11852.21</v>
      </c>
      <c r="N200" s="4" t="s">
        <v>30</v>
      </c>
    </row>
    <row r="201" spans="1:14" x14ac:dyDescent="0.2">
      <c r="A201" s="4" t="s">
        <v>384</v>
      </c>
      <c r="B201">
        <v>200</v>
      </c>
      <c r="C201" s="4" t="s">
        <v>26</v>
      </c>
      <c r="D201" s="4" t="s">
        <v>934</v>
      </c>
      <c r="E201" s="4" t="s">
        <v>44</v>
      </c>
      <c r="F201">
        <v>12</v>
      </c>
      <c r="G201" s="4" t="s">
        <v>126</v>
      </c>
      <c r="H201" s="4" t="s">
        <v>108</v>
      </c>
      <c r="I201" s="4" t="s">
        <v>115</v>
      </c>
      <c r="J201">
        <v>163</v>
      </c>
      <c r="K201" s="4" t="s">
        <v>158</v>
      </c>
      <c r="L201">
        <v>78.52</v>
      </c>
      <c r="M201">
        <v>12772.21</v>
      </c>
      <c r="N201" s="4" t="s">
        <v>30</v>
      </c>
    </row>
    <row r="202" spans="1:14" x14ac:dyDescent="0.2">
      <c r="A202" s="4" t="s">
        <v>385</v>
      </c>
      <c r="B202">
        <v>201</v>
      </c>
      <c r="C202" s="4" t="s">
        <v>26</v>
      </c>
      <c r="D202" s="4" t="s">
        <v>934</v>
      </c>
      <c r="E202" s="4" t="s">
        <v>44</v>
      </c>
      <c r="F202">
        <v>12</v>
      </c>
      <c r="G202" s="4" t="s">
        <v>126</v>
      </c>
      <c r="H202" s="4" t="s">
        <v>108</v>
      </c>
      <c r="I202" s="4" t="s">
        <v>117</v>
      </c>
      <c r="J202">
        <v>47</v>
      </c>
      <c r="K202" s="4" t="s">
        <v>158</v>
      </c>
      <c r="L202">
        <v>74.95</v>
      </c>
      <c r="M202">
        <v>3522.65</v>
      </c>
      <c r="N202" s="4" t="s">
        <v>30</v>
      </c>
    </row>
    <row r="203" spans="1:14" x14ac:dyDescent="0.2">
      <c r="A203" s="4" t="s">
        <v>386</v>
      </c>
      <c r="B203">
        <v>202</v>
      </c>
      <c r="C203" s="4" t="s">
        <v>26</v>
      </c>
      <c r="D203" s="4" t="s">
        <v>934</v>
      </c>
      <c r="E203" s="4" t="s">
        <v>44</v>
      </c>
      <c r="F203">
        <v>12</v>
      </c>
      <c r="G203" s="4" t="s">
        <v>134</v>
      </c>
      <c r="H203" s="4" t="s">
        <v>108</v>
      </c>
      <c r="I203" s="4" t="s">
        <v>113</v>
      </c>
      <c r="J203">
        <v>483</v>
      </c>
      <c r="K203" s="4" t="s">
        <v>158</v>
      </c>
      <c r="L203">
        <v>49.77</v>
      </c>
      <c r="M203">
        <v>24068.9</v>
      </c>
      <c r="N203" s="4" t="s">
        <v>30</v>
      </c>
    </row>
    <row r="204" spans="1:14" x14ac:dyDescent="0.2">
      <c r="A204" s="4" t="s">
        <v>387</v>
      </c>
      <c r="B204">
        <v>203</v>
      </c>
      <c r="C204" s="4" t="s">
        <v>26</v>
      </c>
      <c r="D204" s="4" t="s">
        <v>934</v>
      </c>
      <c r="E204" s="4" t="s">
        <v>44</v>
      </c>
      <c r="F204">
        <v>12</v>
      </c>
      <c r="G204" s="4" t="s">
        <v>134</v>
      </c>
      <c r="H204" s="4" t="s">
        <v>108</v>
      </c>
      <c r="I204" s="4" t="s">
        <v>115</v>
      </c>
      <c r="J204">
        <v>161</v>
      </c>
      <c r="K204" s="4" t="s">
        <v>158</v>
      </c>
      <c r="L204">
        <v>49.11</v>
      </c>
      <c r="M204">
        <v>7922.83</v>
      </c>
      <c r="N204" s="4" t="s">
        <v>30</v>
      </c>
    </row>
    <row r="205" spans="1:14" x14ac:dyDescent="0.2">
      <c r="A205" s="4" t="s">
        <v>388</v>
      </c>
      <c r="B205">
        <v>204</v>
      </c>
      <c r="C205" s="4" t="s">
        <v>26</v>
      </c>
      <c r="D205" s="4" t="s">
        <v>934</v>
      </c>
      <c r="E205" s="4" t="s">
        <v>44</v>
      </c>
      <c r="F205">
        <v>12</v>
      </c>
      <c r="G205" s="4" t="s">
        <v>134</v>
      </c>
      <c r="H205" s="4" t="s">
        <v>108</v>
      </c>
      <c r="I205" s="4" t="s">
        <v>117</v>
      </c>
      <c r="J205">
        <v>76</v>
      </c>
      <c r="K205" s="4" t="s">
        <v>158</v>
      </c>
      <c r="L205">
        <v>49.75</v>
      </c>
      <c r="M205">
        <v>3776</v>
      </c>
      <c r="N205" s="4" t="s">
        <v>30</v>
      </c>
    </row>
    <row r="206" spans="1:14" x14ac:dyDescent="0.2">
      <c r="A206" s="4" t="s">
        <v>389</v>
      </c>
      <c r="B206">
        <v>205</v>
      </c>
      <c r="C206" s="4" t="s">
        <v>26</v>
      </c>
      <c r="D206" s="4" t="s">
        <v>934</v>
      </c>
      <c r="E206" s="4" t="s">
        <v>44</v>
      </c>
      <c r="F206">
        <v>12</v>
      </c>
      <c r="G206" s="4" t="s">
        <v>123</v>
      </c>
      <c r="H206" s="4" t="s">
        <v>108</v>
      </c>
      <c r="I206" s="4" t="s">
        <v>113</v>
      </c>
      <c r="J206">
        <v>1065</v>
      </c>
      <c r="K206" s="4" t="s">
        <v>158</v>
      </c>
      <c r="L206">
        <v>29.39</v>
      </c>
      <c r="M206">
        <v>31367.94</v>
      </c>
      <c r="N206" s="4" t="s">
        <v>30</v>
      </c>
    </row>
    <row r="207" spans="1:14" x14ac:dyDescent="0.2">
      <c r="A207" s="4" t="s">
        <v>390</v>
      </c>
      <c r="B207">
        <v>206</v>
      </c>
      <c r="C207" s="4" t="s">
        <v>26</v>
      </c>
      <c r="D207" s="4" t="s">
        <v>934</v>
      </c>
      <c r="E207" s="4" t="s">
        <v>44</v>
      </c>
      <c r="F207">
        <v>12</v>
      </c>
      <c r="G207" s="4" t="s">
        <v>123</v>
      </c>
      <c r="H207" s="4" t="s">
        <v>108</v>
      </c>
      <c r="I207" s="4" t="s">
        <v>115</v>
      </c>
      <c r="J207">
        <v>397</v>
      </c>
      <c r="K207" s="4" t="s">
        <v>158</v>
      </c>
      <c r="L207">
        <v>30.19</v>
      </c>
      <c r="M207">
        <v>11962.18</v>
      </c>
      <c r="N207" s="4" t="s">
        <v>30</v>
      </c>
    </row>
    <row r="208" spans="1:14" x14ac:dyDescent="0.2">
      <c r="A208" s="4" t="s">
        <v>391</v>
      </c>
      <c r="B208">
        <v>207</v>
      </c>
      <c r="C208" s="4" t="s">
        <v>26</v>
      </c>
      <c r="D208" s="4" t="s">
        <v>934</v>
      </c>
      <c r="E208" s="4" t="s">
        <v>44</v>
      </c>
      <c r="F208">
        <v>12</v>
      </c>
      <c r="G208" s="4" t="s">
        <v>123</v>
      </c>
      <c r="H208" s="4" t="s">
        <v>108</v>
      </c>
      <c r="I208" s="4" t="s">
        <v>117</v>
      </c>
      <c r="J208">
        <v>550</v>
      </c>
      <c r="K208" s="4" t="s">
        <v>158</v>
      </c>
      <c r="L208">
        <v>29.83</v>
      </c>
      <c r="M208">
        <v>16477.5</v>
      </c>
      <c r="N208" s="4" t="s">
        <v>30</v>
      </c>
    </row>
    <row r="209" spans="1:14" x14ac:dyDescent="0.2">
      <c r="A209" s="4" t="s">
        <v>392</v>
      </c>
      <c r="B209">
        <v>208</v>
      </c>
      <c r="C209" s="4" t="s">
        <v>26</v>
      </c>
      <c r="D209" s="4" t="s">
        <v>934</v>
      </c>
      <c r="E209" s="4" t="s">
        <v>44</v>
      </c>
      <c r="F209">
        <v>12</v>
      </c>
      <c r="G209" s="4" t="s">
        <v>128</v>
      </c>
      <c r="H209" s="4" t="s">
        <v>108</v>
      </c>
      <c r="I209" s="4" t="s">
        <v>113</v>
      </c>
      <c r="J209">
        <v>354</v>
      </c>
      <c r="K209" s="4" t="s">
        <v>158</v>
      </c>
      <c r="L209">
        <v>31.37</v>
      </c>
      <c r="M209">
        <v>11107.62</v>
      </c>
      <c r="N209" s="4" t="s">
        <v>30</v>
      </c>
    </row>
    <row r="210" spans="1:14" x14ac:dyDescent="0.2">
      <c r="A210" s="4" t="s">
        <v>393</v>
      </c>
      <c r="B210">
        <v>209</v>
      </c>
      <c r="C210" s="4" t="s">
        <v>26</v>
      </c>
      <c r="D210" s="4" t="s">
        <v>934</v>
      </c>
      <c r="E210" s="4" t="s">
        <v>44</v>
      </c>
      <c r="F210">
        <v>12</v>
      </c>
      <c r="G210" s="4" t="s">
        <v>128</v>
      </c>
      <c r="H210" s="4" t="s">
        <v>108</v>
      </c>
      <c r="I210" s="4" t="s">
        <v>115</v>
      </c>
      <c r="J210">
        <v>435</v>
      </c>
      <c r="K210" s="4" t="s">
        <v>158</v>
      </c>
      <c r="L210">
        <v>31.82</v>
      </c>
      <c r="M210">
        <v>13858.82</v>
      </c>
      <c r="N210" s="4" t="s">
        <v>30</v>
      </c>
    </row>
    <row r="211" spans="1:14" x14ac:dyDescent="0.2">
      <c r="A211" s="4" t="s">
        <v>394</v>
      </c>
      <c r="B211">
        <v>210</v>
      </c>
      <c r="C211" s="4" t="s">
        <v>26</v>
      </c>
      <c r="D211" s="4" t="s">
        <v>934</v>
      </c>
      <c r="E211" s="4" t="s">
        <v>44</v>
      </c>
      <c r="F211">
        <v>12</v>
      </c>
      <c r="G211" s="4" t="s">
        <v>128</v>
      </c>
      <c r="H211" s="4" t="s">
        <v>108</v>
      </c>
      <c r="I211" s="4" t="s">
        <v>117</v>
      </c>
      <c r="J211">
        <v>337</v>
      </c>
      <c r="K211" s="4" t="s">
        <v>158</v>
      </c>
      <c r="L211">
        <v>32.020000000000003</v>
      </c>
      <c r="M211">
        <v>10806.46</v>
      </c>
      <c r="N211" s="4" t="s">
        <v>30</v>
      </c>
    </row>
    <row r="212" spans="1:14" x14ac:dyDescent="0.2">
      <c r="A212" s="4" t="s">
        <v>395</v>
      </c>
      <c r="B212">
        <v>211</v>
      </c>
      <c r="C212" s="4" t="s">
        <v>26</v>
      </c>
      <c r="D212" s="4" t="s">
        <v>934</v>
      </c>
      <c r="E212" s="4" t="s">
        <v>47</v>
      </c>
      <c r="F212">
        <v>13</v>
      </c>
      <c r="G212" s="4" t="s">
        <v>132</v>
      </c>
      <c r="H212" s="4" t="s">
        <v>108</v>
      </c>
      <c r="I212" s="4" t="s">
        <v>113</v>
      </c>
      <c r="J212">
        <v>558</v>
      </c>
      <c r="K212" s="4" t="s">
        <v>158</v>
      </c>
      <c r="L212">
        <v>66.180000000000007</v>
      </c>
      <c r="M212">
        <v>36871.15</v>
      </c>
      <c r="N212" s="4" t="s">
        <v>30</v>
      </c>
    </row>
    <row r="213" spans="1:14" x14ac:dyDescent="0.2">
      <c r="A213" s="4" t="s">
        <v>396</v>
      </c>
      <c r="B213">
        <v>212</v>
      </c>
      <c r="C213" s="4" t="s">
        <v>26</v>
      </c>
      <c r="D213" s="4" t="s">
        <v>934</v>
      </c>
      <c r="E213" s="4" t="s">
        <v>47</v>
      </c>
      <c r="F213">
        <v>13</v>
      </c>
      <c r="G213" s="4" t="s">
        <v>132</v>
      </c>
      <c r="H213" s="4" t="s">
        <v>108</v>
      </c>
      <c r="I213" s="4" t="s">
        <v>115</v>
      </c>
      <c r="J213">
        <v>333</v>
      </c>
      <c r="K213" s="4" t="s">
        <v>158</v>
      </c>
      <c r="L213">
        <v>67.28</v>
      </c>
      <c r="M213">
        <v>22427.07</v>
      </c>
      <c r="N213" s="4" t="s">
        <v>30</v>
      </c>
    </row>
    <row r="214" spans="1:14" x14ac:dyDescent="0.2">
      <c r="A214" s="4" t="s">
        <v>397</v>
      </c>
      <c r="B214">
        <v>213</v>
      </c>
      <c r="C214" s="4" t="s">
        <v>26</v>
      </c>
      <c r="D214" s="4" t="s">
        <v>934</v>
      </c>
      <c r="E214" s="4" t="s">
        <v>47</v>
      </c>
      <c r="F214">
        <v>13</v>
      </c>
      <c r="G214" s="4" t="s">
        <v>132</v>
      </c>
      <c r="H214" s="4" t="s">
        <v>108</v>
      </c>
      <c r="I214" s="4" t="s">
        <v>117</v>
      </c>
      <c r="J214">
        <v>236</v>
      </c>
      <c r="K214" s="4" t="s">
        <v>158</v>
      </c>
      <c r="L214">
        <v>66.16</v>
      </c>
      <c r="M214">
        <v>15598.45</v>
      </c>
      <c r="N214" s="4" t="s">
        <v>30</v>
      </c>
    </row>
    <row r="215" spans="1:14" x14ac:dyDescent="0.2">
      <c r="A215" s="4" t="s">
        <v>398</v>
      </c>
      <c r="B215">
        <v>214</v>
      </c>
      <c r="C215" s="4" t="s">
        <v>26</v>
      </c>
      <c r="D215" s="4" t="s">
        <v>934</v>
      </c>
      <c r="E215" s="4" t="s">
        <v>47</v>
      </c>
      <c r="F215">
        <v>13</v>
      </c>
      <c r="G215" s="4" t="s">
        <v>130</v>
      </c>
      <c r="H215" s="4" t="s">
        <v>108</v>
      </c>
      <c r="I215" s="4" t="s">
        <v>113</v>
      </c>
      <c r="J215">
        <v>229</v>
      </c>
      <c r="K215" s="4" t="s">
        <v>158</v>
      </c>
      <c r="L215">
        <v>90.97</v>
      </c>
      <c r="M215">
        <v>20827.669999999998</v>
      </c>
      <c r="N215" s="4" t="s">
        <v>30</v>
      </c>
    </row>
    <row r="216" spans="1:14" x14ac:dyDescent="0.2">
      <c r="A216" s="4" t="s">
        <v>399</v>
      </c>
      <c r="B216">
        <v>215</v>
      </c>
      <c r="C216" s="4" t="s">
        <v>26</v>
      </c>
      <c r="D216" s="4" t="s">
        <v>934</v>
      </c>
      <c r="E216" s="4" t="s">
        <v>47</v>
      </c>
      <c r="F216">
        <v>13</v>
      </c>
      <c r="G216" s="4" t="s">
        <v>130</v>
      </c>
      <c r="H216" s="4" t="s">
        <v>108</v>
      </c>
      <c r="I216" s="4" t="s">
        <v>115</v>
      </c>
      <c r="J216">
        <v>105</v>
      </c>
      <c r="K216" s="4" t="s">
        <v>158</v>
      </c>
      <c r="L216">
        <v>91.07</v>
      </c>
      <c r="M216">
        <v>9561.64</v>
      </c>
      <c r="N216" s="4" t="s">
        <v>30</v>
      </c>
    </row>
    <row r="217" spans="1:14" x14ac:dyDescent="0.2">
      <c r="A217" s="4" t="s">
        <v>400</v>
      </c>
      <c r="B217">
        <v>216</v>
      </c>
      <c r="C217" s="4" t="s">
        <v>26</v>
      </c>
      <c r="D217" s="4" t="s">
        <v>934</v>
      </c>
      <c r="E217" s="4" t="s">
        <v>47</v>
      </c>
      <c r="F217">
        <v>13</v>
      </c>
      <c r="G217" s="4" t="s">
        <v>130</v>
      </c>
      <c r="H217" s="4" t="s">
        <v>108</v>
      </c>
      <c r="I217" s="4" t="s">
        <v>117</v>
      </c>
      <c r="J217">
        <v>380</v>
      </c>
      <c r="K217" s="4" t="s">
        <v>158</v>
      </c>
      <c r="L217">
        <v>91.15</v>
      </c>
      <c r="M217">
        <v>34588.9</v>
      </c>
      <c r="N217" s="4" t="s">
        <v>30</v>
      </c>
    </row>
    <row r="218" spans="1:14" x14ac:dyDescent="0.2">
      <c r="A218" s="4" t="s">
        <v>401</v>
      </c>
      <c r="B218">
        <v>217</v>
      </c>
      <c r="C218" s="4" t="s">
        <v>26</v>
      </c>
      <c r="D218" s="4" t="s">
        <v>934</v>
      </c>
      <c r="E218" s="4" t="s">
        <v>47</v>
      </c>
      <c r="F218">
        <v>13</v>
      </c>
      <c r="G218" s="4" t="s">
        <v>126</v>
      </c>
      <c r="H218" s="4" t="s">
        <v>108</v>
      </c>
      <c r="I218" s="4" t="s">
        <v>113</v>
      </c>
      <c r="J218">
        <v>70</v>
      </c>
      <c r="K218" s="4" t="s">
        <v>158</v>
      </c>
      <c r="L218">
        <v>78.23</v>
      </c>
      <c r="M218">
        <v>5482.66</v>
      </c>
      <c r="N218" s="4" t="s">
        <v>30</v>
      </c>
    </row>
    <row r="219" spans="1:14" x14ac:dyDescent="0.2">
      <c r="A219" s="4" t="s">
        <v>402</v>
      </c>
      <c r="B219">
        <v>218</v>
      </c>
      <c r="C219" s="4" t="s">
        <v>26</v>
      </c>
      <c r="D219" s="4" t="s">
        <v>934</v>
      </c>
      <c r="E219" s="4" t="s">
        <v>47</v>
      </c>
      <c r="F219">
        <v>13</v>
      </c>
      <c r="G219" s="4" t="s">
        <v>126</v>
      </c>
      <c r="H219" s="4" t="s">
        <v>108</v>
      </c>
      <c r="I219" s="4" t="s">
        <v>115</v>
      </c>
      <c r="J219">
        <v>284</v>
      </c>
      <c r="K219" s="4" t="s">
        <v>158</v>
      </c>
      <c r="L219">
        <v>78.430000000000007</v>
      </c>
      <c r="M219">
        <v>22202.25</v>
      </c>
      <c r="N219" s="4" t="s">
        <v>30</v>
      </c>
    </row>
    <row r="220" spans="1:14" x14ac:dyDescent="0.2">
      <c r="A220" s="4" t="s">
        <v>403</v>
      </c>
      <c r="B220">
        <v>219</v>
      </c>
      <c r="C220" s="4" t="s">
        <v>26</v>
      </c>
      <c r="D220" s="4" t="s">
        <v>934</v>
      </c>
      <c r="E220" s="4" t="s">
        <v>47</v>
      </c>
      <c r="F220">
        <v>13</v>
      </c>
      <c r="G220" s="4" t="s">
        <v>126</v>
      </c>
      <c r="H220" s="4" t="s">
        <v>108</v>
      </c>
      <c r="I220" s="4" t="s">
        <v>117</v>
      </c>
      <c r="J220">
        <v>115</v>
      </c>
      <c r="K220" s="4" t="s">
        <v>158</v>
      </c>
      <c r="L220">
        <v>76.459999999999994</v>
      </c>
      <c r="M220">
        <v>8794.7000000000007</v>
      </c>
      <c r="N220" s="4" t="s">
        <v>30</v>
      </c>
    </row>
    <row r="221" spans="1:14" x14ac:dyDescent="0.2">
      <c r="A221" s="4" t="s">
        <v>404</v>
      </c>
      <c r="B221">
        <v>220</v>
      </c>
      <c r="C221" s="4" t="s">
        <v>26</v>
      </c>
      <c r="D221" s="4" t="s">
        <v>934</v>
      </c>
      <c r="E221" s="4" t="s">
        <v>47</v>
      </c>
      <c r="F221">
        <v>13</v>
      </c>
      <c r="G221" s="4" t="s">
        <v>134</v>
      </c>
      <c r="H221" s="4" t="s">
        <v>108</v>
      </c>
      <c r="I221" s="4" t="s">
        <v>113</v>
      </c>
      <c r="J221">
        <v>367</v>
      </c>
      <c r="K221" s="4" t="s">
        <v>158</v>
      </c>
      <c r="L221">
        <v>49.42</v>
      </c>
      <c r="M221">
        <v>18105.88</v>
      </c>
      <c r="N221" s="4" t="s">
        <v>30</v>
      </c>
    </row>
    <row r="222" spans="1:14" x14ac:dyDescent="0.2">
      <c r="A222" s="4" t="s">
        <v>405</v>
      </c>
      <c r="B222">
        <v>221</v>
      </c>
      <c r="C222" s="4" t="s">
        <v>26</v>
      </c>
      <c r="D222" s="4" t="s">
        <v>934</v>
      </c>
      <c r="E222" s="4" t="s">
        <v>47</v>
      </c>
      <c r="F222">
        <v>13</v>
      </c>
      <c r="G222" s="4" t="s">
        <v>134</v>
      </c>
      <c r="H222" s="4" t="s">
        <v>108</v>
      </c>
      <c r="I222" s="4" t="s">
        <v>117</v>
      </c>
      <c r="J222">
        <v>159</v>
      </c>
      <c r="K222" s="4" t="s">
        <v>158</v>
      </c>
      <c r="L222">
        <v>49.08</v>
      </c>
      <c r="M222">
        <v>7810.52</v>
      </c>
      <c r="N222" s="4" t="s">
        <v>30</v>
      </c>
    </row>
    <row r="223" spans="1:14" x14ac:dyDescent="0.2">
      <c r="A223" s="4" t="s">
        <v>406</v>
      </c>
      <c r="B223">
        <v>222</v>
      </c>
      <c r="C223" s="4" t="s">
        <v>26</v>
      </c>
      <c r="D223" s="4" t="s">
        <v>934</v>
      </c>
      <c r="E223" s="4" t="s">
        <v>47</v>
      </c>
      <c r="F223">
        <v>13</v>
      </c>
      <c r="G223" s="4" t="s">
        <v>123</v>
      </c>
      <c r="H223" s="4" t="s">
        <v>108</v>
      </c>
      <c r="I223" s="4" t="s">
        <v>113</v>
      </c>
      <c r="J223">
        <v>1401</v>
      </c>
      <c r="K223" s="4" t="s">
        <v>158</v>
      </c>
      <c r="L223">
        <v>29.45</v>
      </c>
      <c r="M223">
        <v>40927.480000000003</v>
      </c>
      <c r="N223" s="4" t="s">
        <v>30</v>
      </c>
    </row>
    <row r="224" spans="1:14" x14ac:dyDescent="0.2">
      <c r="A224" s="4" t="s">
        <v>407</v>
      </c>
      <c r="B224">
        <v>223</v>
      </c>
      <c r="C224" s="4" t="s">
        <v>26</v>
      </c>
      <c r="D224" s="4" t="s">
        <v>934</v>
      </c>
      <c r="E224" s="4" t="s">
        <v>47</v>
      </c>
      <c r="F224">
        <v>13</v>
      </c>
      <c r="G224" s="4" t="s">
        <v>123</v>
      </c>
      <c r="H224" s="4" t="s">
        <v>108</v>
      </c>
      <c r="I224" s="4" t="s">
        <v>115</v>
      </c>
      <c r="J224">
        <v>335</v>
      </c>
      <c r="K224" s="4" t="s">
        <v>158</v>
      </c>
      <c r="L224">
        <v>29.8</v>
      </c>
      <c r="M224">
        <v>9944.16</v>
      </c>
      <c r="N224" s="4" t="s">
        <v>30</v>
      </c>
    </row>
    <row r="225" spans="1:14" x14ac:dyDescent="0.2">
      <c r="A225" s="4" t="s">
        <v>408</v>
      </c>
      <c r="B225">
        <v>224</v>
      </c>
      <c r="C225" s="4" t="s">
        <v>26</v>
      </c>
      <c r="D225" s="4" t="s">
        <v>934</v>
      </c>
      <c r="E225" s="4" t="s">
        <v>47</v>
      </c>
      <c r="F225">
        <v>13</v>
      </c>
      <c r="G225" s="4" t="s">
        <v>123</v>
      </c>
      <c r="H225" s="4" t="s">
        <v>108</v>
      </c>
      <c r="I225" s="4" t="s">
        <v>117</v>
      </c>
      <c r="J225">
        <v>472</v>
      </c>
      <c r="K225" s="4" t="s">
        <v>158</v>
      </c>
      <c r="L225">
        <v>29.85</v>
      </c>
      <c r="M225">
        <v>14013.68</v>
      </c>
      <c r="N225" s="4" t="s">
        <v>30</v>
      </c>
    </row>
    <row r="226" spans="1:14" x14ac:dyDescent="0.2">
      <c r="A226" s="4" t="s">
        <v>409</v>
      </c>
      <c r="B226">
        <v>225</v>
      </c>
      <c r="C226" s="4" t="s">
        <v>26</v>
      </c>
      <c r="D226" s="4" t="s">
        <v>934</v>
      </c>
      <c r="E226" s="4" t="s">
        <v>47</v>
      </c>
      <c r="F226">
        <v>13</v>
      </c>
      <c r="G226" s="4" t="s">
        <v>128</v>
      </c>
      <c r="H226" s="4" t="s">
        <v>108</v>
      </c>
      <c r="I226" s="4" t="s">
        <v>113</v>
      </c>
      <c r="J226">
        <v>619</v>
      </c>
      <c r="K226" s="4" t="s">
        <v>158</v>
      </c>
      <c r="L226">
        <v>31.27</v>
      </c>
      <c r="M226">
        <v>19389.400000000001</v>
      </c>
      <c r="N226" s="4" t="s">
        <v>30</v>
      </c>
    </row>
    <row r="227" spans="1:14" x14ac:dyDescent="0.2">
      <c r="A227" s="4" t="s">
        <v>410</v>
      </c>
      <c r="B227">
        <v>226</v>
      </c>
      <c r="C227" s="4" t="s">
        <v>26</v>
      </c>
      <c r="D227" s="4" t="s">
        <v>934</v>
      </c>
      <c r="E227" s="4" t="s">
        <v>47</v>
      </c>
      <c r="F227">
        <v>13</v>
      </c>
      <c r="G227" s="4" t="s">
        <v>128</v>
      </c>
      <c r="H227" s="4" t="s">
        <v>108</v>
      </c>
      <c r="I227" s="4" t="s">
        <v>115</v>
      </c>
      <c r="J227">
        <v>814</v>
      </c>
      <c r="K227" s="4" t="s">
        <v>158</v>
      </c>
      <c r="L227">
        <v>31.27</v>
      </c>
      <c r="M227">
        <v>25321.25</v>
      </c>
      <c r="N227" s="4" t="s">
        <v>30</v>
      </c>
    </row>
    <row r="228" spans="1:14" x14ac:dyDescent="0.2">
      <c r="A228" s="4" t="s">
        <v>411</v>
      </c>
      <c r="B228">
        <v>227</v>
      </c>
      <c r="C228" s="4" t="s">
        <v>26</v>
      </c>
      <c r="D228" s="4" t="s">
        <v>934</v>
      </c>
      <c r="E228" s="4" t="s">
        <v>47</v>
      </c>
      <c r="F228">
        <v>13</v>
      </c>
      <c r="G228" s="4" t="s">
        <v>128</v>
      </c>
      <c r="H228" s="4" t="s">
        <v>108</v>
      </c>
      <c r="I228" s="4" t="s">
        <v>117</v>
      </c>
      <c r="J228">
        <v>357</v>
      </c>
      <c r="K228" s="4" t="s">
        <v>158</v>
      </c>
      <c r="L228">
        <v>31.46</v>
      </c>
      <c r="M228">
        <v>11132.75</v>
      </c>
      <c r="N228" s="4" t="s">
        <v>30</v>
      </c>
    </row>
    <row r="229" spans="1:14" x14ac:dyDescent="0.2">
      <c r="A229" s="4" t="s">
        <v>412</v>
      </c>
      <c r="B229">
        <v>228</v>
      </c>
      <c r="C229" s="4" t="s">
        <v>26</v>
      </c>
      <c r="D229" s="4" t="s">
        <v>934</v>
      </c>
      <c r="E229" s="4" t="s">
        <v>47</v>
      </c>
      <c r="F229">
        <v>14</v>
      </c>
      <c r="G229" s="4" t="s">
        <v>132</v>
      </c>
      <c r="H229" s="4" t="s">
        <v>108</v>
      </c>
      <c r="I229" s="4" t="s">
        <v>113</v>
      </c>
      <c r="J229">
        <v>203</v>
      </c>
      <c r="K229" s="4" t="s">
        <v>158</v>
      </c>
      <c r="L229">
        <v>66.42</v>
      </c>
      <c r="M229">
        <v>13488.53</v>
      </c>
      <c r="N229" s="4" t="s">
        <v>30</v>
      </c>
    </row>
    <row r="230" spans="1:14" x14ac:dyDescent="0.2">
      <c r="A230" s="4" t="s">
        <v>413</v>
      </c>
      <c r="B230">
        <v>229</v>
      </c>
      <c r="C230" s="4" t="s">
        <v>26</v>
      </c>
      <c r="D230" s="4" t="s">
        <v>934</v>
      </c>
      <c r="E230" s="4" t="s">
        <v>47</v>
      </c>
      <c r="F230">
        <v>14</v>
      </c>
      <c r="G230" s="4" t="s">
        <v>132</v>
      </c>
      <c r="H230" s="4" t="s">
        <v>108</v>
      </c>
      <c r="I230" s="4" t="s">
        <v>115</v>
      </c>
      <c r="J230">
        <v>566</v>
      </c>
      <c r="K230" s="4" t="s">
        <v>158</v>
      </c>
      <c r="L230">
        <v>66.58</v>
      </c>
      <c r="M230">
        <v>37735.67</v>
      </c>
      <c r="N230" s="4" t="s">
        <v>30</v>
      </c>
    </row>
    <row r="231" spans="1:14" x14ac:dyDescent="0.2">
      <c r="A231" s="4" t="s">
        <v>414</v>
      </c>
      <c r="B231">
        <v>230</v>
      </c>
      <c r="C231" s="4" t="s">
        <v>26</v>
      </c>
      <c r="D231" s="4" t="s">
        <v>934</v>
      </c>
      <c r="E231" s="4" t="s">
        <v>47</v>
      </c>
      <c r="F231">
        <v>14</v>
      </c>
      <c r="G231" s="4" t="s">
        <v>132</v>
      </c>
      <c r="H231" s="4" t="s">
        <v>108</v>
      </c>
      <c r="I231" s="4" t="s">
        <v>117</v>
      </c>
      <c r="J231">
        <v>193</v>
      </c>
      <c r="K231" s="4" t="s">
        <v>158</v>
      </c>
      <c r="L231">
        <v>67.040000000000006</v>
      </c>
      <c r="M231">
        <v>12950.38</v>
      </c>
      <c r="N231" s="4" t="s">
        <v>30</v>
      </c>
    </row>
    <row r="232" spans="1:14" x14ac:dyDescent="0.2">
      <c r="A232" s="4" t="s">
        <v>415</v>
      </c>
      <c r="B232">
        <v>231</v>
      </c>
      <c r="C232" s="4" t="s">
        <v>26</v>
      </c>
      <c r="D232" s="4" t="s">
        <v>934</v>
      </c>
      <c r="E232" s="4" t="s">
        <v>47</v>
      </c>
      <c r="F232">
        <v>14</v>
      </c>
      <c r="G232" s="4" t="s">
        <v>130</v>
      </c>
      <c r="H232" s="4" t="s">
        <v>108</v>
      </c>
      <c r="I232" s="4" t="s">
        <v>113</v>
      </c>
      <c r="J232">
        <v>165</v>
      </c>
      <c r="K232" s="4" t="s">
        <v>158</v>
      </c>
      <c r="L232">
        <v>91.88</v>
      </c>
      <c r="M232">
        <v>15162.36</v>
      </c>
      <c r="N232" s="4" t="s">
        <v>30</v>
      </c>
    </row>
    <row r="233" spans="1:14" x14ac:dyDescent="0.2">
      <c r="A233" s="4" t="s">
        <v>416</v>
      </c>
      <c r="B233">
        <v>232</v>
      </c>
      <c r="C233" s="4" t="s">
        <v>26</v>
      </c>
      <c r="D233" s="4" t="s">
        <v>934</v>
      </c>
      <c r="E233" s="4" t="s">
        <v>47</v>
      </c>
      <c r="F233">
        <v>14</v>
      </c>
      <c r="G233" s="4" t="s">
        <v>130</v>
      </c>
      <c r="H233" s="4" t="s">
        <v>108</v>
      </c>
      <c r="I233" s="4" t="s">
        <v>115</v>
      </c>
      <c r="J233">
        <v>146</v>
      </c>
      <c r="K233" s="4" t="s">
        <v>158</v>
      </c>
      <c r="L233">
        <v>91.32</v>
      </c>
      <c r="M233">
        <v>13332.46</v>
      </c>
      <c r="N233" s="4" t="s">
        <v>30</v>
      </c>
    </row>
    <row r="234" spans="1:14" x14ac:dyDescent="0.2">
      <c r="A234" s="4" t="s">
        <v>417</v>
      </c>
      <c r="B234">
        <v>233</v>
      </c>
      <c r="C234" s="4" t="s">
        <v>26</v>
      </c>
      <c r="D234" s="4" t="s">
        <v>934</v>
      </c>
      <c r="E234" s="4" t="s">
        <v>47</v>
      </c>
      <c r="F234">
        <v>14</v>
      </c>
      <c r="G234" s="4" t="s">
        <v>130</v>
      </c>
      <c r="H234" s="4" t="s">
        <v>108</v>
      </c>
      <c r="I234" s="4" t="s">
        <v>117</v>
      </c>
      <c r="J234">
        <v>455</v>
      </c>
      <c r="K234" s="4" t="s">
        <v>158</v>
      </c>
      <c r="L234">
        <v>91.85</v>
      </c>
      <c r="M234">
        <v>41778.07</v>
      </c>
      <c r="N234" s="4" t="s">
        <v>30</v>
      </c>
    </row>
    <row r="235" spans="1:14" x14ac:dyDescent="0.2">
      <c r="A235" s="4" t="s">
        <v>418</v>
      </c>
      <c r="B235">
        <v>234</v>
      </c>
      <c r="C235" s="4" t="s">
        <v>26</v>
      </c>
      <c r="D235" s="4" t="s">
        <v>934</v>
      </c>
      <c r="E235" s="4" t="s">
        <v>47</v>
      </c>
      <c r="F235">
        <v>14</v>
      </c>
      <c r="G235" s="4" t="s">
        <v>126</v>
      </c>
      <c r="H235" s="4" t="s">
        <v>108</v>
      </c>
      <c r="I235" s="4" t="s">
        <v>113</v>
      </c>
      <c r="J235">
        <v>294</v>
      </c>
      <c r="K235" s="4" t="s">
        <v>158</v>
      </c>
      <c r="L235">
        <v>77.31</v>
      </c>
      <c r="M235">
        <v>22681.08</v>
      </c>
      <c r="N235" s="4" t="s">
        <v>30</v>
      </c>
    </row>
    <row r="236" spans="1:14" x14ac:dyDescent="0.2">
      <c r="A236" s="4" t="s">
        <v>419</v>
      </c>
      <c r="B236">
        <v>235</v>
      </c>
      <c r="C236" s="4" t="s">
        <v>26</v>
      </c>
      <c r="D236" s="4" t="s">
        <v>934</v>
      </c>
      <c r="E236" s="4" t="s">
        <v>47</v>
      </c>
      <c r="F236">
        <v>14</v>
      </c>
      <c r="G236" s="4" t="s">
        <v>126</v>
      </c>
      <c r="H236" s="4" t="s">
        <v>108</v>
      </c>
      <c r="I236" s="4" t="s">
        <v>115</v>
      </c>
      <c r="J236">
        <v>157</v>
      </c>
      <c r="K236" s="4" t="s">
        <v>158</v>
      </c>
      <c r="L236">
        <v>78.3</v>
      </c>
      <c r="M236">
        <v>12289.58</v>
      </c>
      <c r="N236" s="4" t="s">
        <v>30</v>
      </c>
    </row>
    <row r="237" spans="1:14" x14ac:dyDescent="0.2">
      <c r="A237" s="4" t="s">
        <v>420</v>
      </c>
      <c r="B237">
        <v>236</v>
      </c>
      <c r="C237" s="4" t="s">
        <v>26</v>
      </c>
      <c r="D237" s="4" t="s">
        <v>934</v>
      </c>
      <c r="E237" s="4" t="s">
        <v>47</v>
      </c>
      <c r="F237">
        <v>14</v>
      </c>
      <c r="G237" s="4" t="s">
        <v>126</v>
      </c>
      <c r="H237" s="4" t="s">
        <v>108</v>
      </c>
      <c r="I237" s="4" t="s">
        <v>117</v>
      </c>
      <c r="J237">
        <v>90</v>
      </c>
      <c r="K237" s="4" t="s">
        <v>158</v>
      </c>
      <c r="L237">
        <v>78.92</v>
      </c>
      <c r="M237">
        <v>7089.03</v>
      </c>
      <c r="N237" s="4" t="s">
        <v>30</v>
      </c>
    </row>
    <row r="238" spans="1:14" x14ac:dyDescent="0.2">
      <c r="A238" s="4" t="s">
        <v>421</v>
      </c>
      <c r="B238">
        <v>237</v>
      </c>
      <c r="C238" s="4" t="s">
        <v>26</v>
      </c>
      <c r="D238" s="4" t="s">
        <v>934</v>
      </c>
      <c r="E238" s="4" t="s">
        <v>47</v>
      </c>
      <c r="F238">
        <v>14</v>
      </c>
      <c r="G238" s="4" t="s">
        <v>134</v>
      </c>
      <c r="H238" s="4" t="s">
        <v>108</v>
      </c>
      <c r="I238" s="4" t="s">
        <v>113</v>
      </c>
      <c r="J238">
        <v>472</v>
      </c>
      <c r="K238" s="4" t="s">
        <v>158</v>
      </c>
      <c r="L238">
        <v>49.53</v>
      </c>
      <c r="M238">
        <v>23355.06</v>
      </c>
      <c r="N238" s="4" t="s">
        <v>30</v>
      </c>
    </row>
    <row r="239" spans="1:14" x14ac:dyDescent="0.2">
      <c r="A239" s="4" t="s">
        <v>422</v>
      </c>
      <c r="B239">
        <v>238</v>
      </c>
      <c r="C239" s="4" t="s">
        <v>26</v>
      </c>
      <c r="D239" s="4" t="s">
        <v>934</v>
      </c>
      <c r="E239" s="4" t="s">
        <v>47</v>
      </c>
      <c r="F239">
        <v>14</v>
      </c>
      <c r="G239" s="4" t="s">
        <v>134</v>
      </c>
      <c r="H239" s="4" t="s">
        <v>108</v>
      </c>
      <c r="I239" s="4" t="s">
        <v>115</v>
      </c>
      <c r="J239">
        <v>282</v>
      </c>
      <c r="K239" s="4" t="s">
        <v>158</v>
      </c>
      <c r="L239">
        <v>49.49</v>
      </c>
      <c r="M239">
        <v>13983.7</v>
      </c>
      <c r="N239" s="4" t="s">
        <v>30</v>
      </c>
    </row>
    <row r="240" spans="1:14" x14ac:dyDescent="0.2">
      <c r="A240" s="4" t="s">
        <v>423</v>
      </c>
      <c r="B240">
        <v>239</v>
      </c>
      <c r="C240" s="4" t="s">
        <v>26</v>
      </c>
      <c r="D240" s="4" t="s">
        <v>934</v>
      </c>
      <c r="E240" s="4" t="s">
        <v>47</v>
      </c>
      <c r="F240">
        <v>14</v>
      </c>
      <c r="G240" s="4" t="s">
        <v>134</v>
      </c>
      <c r="H240" s="4" t="s">
        <v>108</v>
      </c>
      <c r="I240" s="4" t="s">
        <v>117</v>
      </c>
      <c r="J240">
        <v>211</v>
      </c>
      <c r="K240" s="4" t="s">
        <v>158</v>
      </c>
      <c r="L240">
        <v>49.14</v>
      </c>
      <c r="M240">
        <v>10363.799999999999</v>
      </c>
      <c r="N240" s="4" t="s">
        <v>30</v>
      </c>
    </row>
    <row r="241" spans="1:14" x14ac:dyDescent="0.2">
      <c r="A241" s="4" t="s">
        <v>424</v>
      </c>
      <c r="B241">
        <v>240</v>
      </c>
      <c r="C241" s="4" t="s">
        <v>26</v>
      </c>
      <c r="D241" s="4" t="s">
        <v>934</v>
      </c>
      <c r="E241" s="4" t="s">
        <v>47</v>
      </c>
      <c r="F241">
        <v>14</v>
      </c>
      <c r="G241" s="4" t="s">
        <v>123</v>
      </c>
      <c r="H241" s="4" t="s">
        <v>108</v>
      </c>
      <c r="I241" s="4" t="s">
        <v>113</v>
      </c>
      <c r="J241">
        <v>1241</v>
      </c>
      <c r="K241" s="4" t="s">
        <v>158</v>
      </c>
      <c r="L241">
        <v>29.28</v>
      </c>
      <c r="M241">
        <v>36220.94</v>
      </c>
      <c r="N241" s="4" t="s">
        <v>30</v>
      </c>
    </row>
    <row r="242" spans="1:14" x14ac:dyDescent="0.2">
      <c r="A242" s="4" t="s">
        <v>425</v>
      </c>
      <c r="B242">
        <v>241</v>
      </c>
      <c r="C242" s="4" t="s">
        <v>26</v>
      </c>
      <c r="D242" s="4" t="s">
        <v>934</v>
      </c>
      <c r="E242" s="4" t="s">
        <v>47</v>
      </c>
      <c r="F242">
        <v>14</v>
      </c>
      <c r="G242" s="4" t="s">
        <v>123</v>
      </c>
      <c r="H242" s="4" t="s">
        <v>108</v>
      </c>
      <c r="I242" s="4" t="s">
        <v>115</v>
      </c>
      <c r="J242">
        <v>468</v>
      </c>
      <c r="K242" s="4" t="s">
        <v>158</v>
      </c>
      <c r="L242">
        <v>29.26</v>
      </c>
      <c r="M242">
        <v>13674.86</v>
      </c>
      <c r="N242" s="4" t="s">
        <v>30</v>
      </c>
    </row>
    <row r="243" spans="1:14" x14ac:dyDescent="0.2">
      <c r="A243" s="4" t="s">
        <v>426</v>
      </c>
      <c r="B243">
        <v>242</v>
      </c>
      <c r="C243" s="4" t="s">
        <v>26</v>
      </c>
      <c r="D243" s="4" t="s">
        <v>934</v>
      </c>
      <c r="E243" s="4" t="s">
        <v>47</v>
      </c>
      <c r="F243">
        <v>14</v>
      </c>
      <c r="G243" s="4" t="s">
        <v>123</v>
      </c>
      <c r="H243" s="4" t="s">
        <v>108</v>
      </c>
      <c r="I243" s="4" t="s">
        <v>117</v>
      </c>
      <c r="J243">
        <v>622</v>
      </c>
      <c r="K243" s="4" t="s">
        <v>158</v>
      </c>
      <c r="L243">
        <v>29.08</v>
      </c>
      <c r="M243">
        <v>18111.82</v>
      </c>
      <c r="N243" s="4" t="s">
        <v>30</v>
      </c>
    </row>
    <row r="244" spans="1:14" x14ac:dyDescent="0.2">
      <c r="A244" s="4" t="s">
        <v>427</v>
      </c>
      <c r="B244">
        <v>243</v>
      </c>
      <c r="C244" s="4" t="s">
        <v>26</v>
      </c>
      <c r="D244" s="4" t="s">
        <v>934</v>
      </c>
      <c r="E244" s="4" t="s">
        <v>47</v>
      </c>
      <c r="F244">
        <v>14</v>
      </c>
      <c r="G244" s="4" t="s">
        <v>128</v>
      </c>
      <c r="H244" s="4" t="s">
        <v>108</v>
      </c>
      <c r="I244" s="4" t="s">
        <v>113</v>
      </c>
      <c r="J244">
        <v>394</v>
      </c>
      <c r="K244" s="4" t="s">
        <v>158</v>
      </c>
      <c r="L244">
        <v>31.52</v>
      </c>
      <c r="M244">
        <v>12441.65</v>
      </c>
      <c r="N244" s="4" t="s">
        <v>30</v>
      </c>
    </row>
    <row r="245" spans="1:14" x14ac:dyDescent="0.2">
      <c r="A245" s="4" t="s">
        <v>428</v>
      </c>
      <c r="B245">
        <v>244</v>
      </c>
      <c r="C245" s="4" t="s">
        <v>26</v>
      </c>
      <c r="D245" s="4" t="s">
        <v>934</v>
      </c>
      <c r="E245" s="4" t="s">
        <v>47</v>
      </c>
      <c r="F245">
        <v>14</v>
      </c>
      <c r="G245" s="4" t="s">
        <v>128</v>
      </c>
      <c r="H245" s="4" t="s">
        <v>108</v>
      </c>
      <c r="I245" s="4" t="s">
        <v>115</v>
      </c>
      <c r="J245">
        <v>1210</v>
      </c>
      <c r="K245" s="4" t="s">
        <v>158</v>
      </c>
      <c r="L245">
        <v>31.53</v>
      </c>
      <c r="M245">
        <v>38164.25</v>
      </c>
      <c r="N245" s="4" t="s">
        <v>30</v>
      </c>
    </row>
    <row r="246" spans="1:14" x14ac:dyDescent="0.2">
      <c r="A246" s="4" t="s">
        <v>429</v>
      </c>
      <c r="B246">
        <v>245</v>
      </c>
      <c r="C246" s="4" t="s">
        <v>26</v>
      </c>
      <c r="D246" s="4" t="s">
        <v>934</v>
      </c>
      <c r="E246" s="4" t="s">
        <v>47</v>
      </c>
      <c r="F246">
        <v>14</v>
      </c>
      <c r="G246" s="4" t="s">
        <v>128</v>
      </c>
      <c r="H246" s="4" t="s">
        <v>108</v>
      </c>
      <c r="I246" s="4" t="s">
        <v>117</v>
      </c>
      <c r="J246">
        <v>539</v>
      </c>
      <c r="K246" s="4" t="s">
        <v>158</v>
      </c>
      <c r="L246">
        <v>32.01</v>
      </c>
      <c r="M246">
        <v>17171.599999999999</v>
      </c>
      <c r="N246" s="4" t="s">
        <v>30</v>
      </c>
    </row>
    <row r="247" spans="1:14" x14ac:dyDescent="0.2">
      <c r="A247" s="4" t="s">
        <v>430</v>
      </c>
      <c r="B247">
        <v>246</v>
      </c>
      <c r="C247" s="4" t="s">
        <v>26</v>
      </c>
      <c r="D247" s="4" t="s">
        <v>934</v>
      </c>
      <c r="E247" s="4" t="s">
        <v>50</v>
      </c>
      <c r="F247">
        <v>15</v>
      </c>
      <c r="G247" s="4" t="s">
        <v>132</v>
      </c>
      <c r="H247" s="4" t="s">
        <v>108</v>
      </c>
      <c r="I247" s="4" t="s">
        <v>113</v>
      </c>
      <c r="J247">
        <v>310</v>
      </c>
      <c r="K247" s="4" t="s">
        <v>158</v>
      </c>
      <c r="L247">
        <v>66.69</v>
      </c>
      <c r="M247">
        <v>20685.490000000002</v>
      </c>
      <c r="N247" s="4" t="s">
        <v>30</v>
      </c>
    </row>
    <row r="248" spans="1:14" x14ac:dyDescent="0.2">
      <c r="A248" s="4" t="s">
        <v>431</v>
      </c>
      <c r="B248">
        <v>247</v>
      </c>
      <c r="C248" s="4" t="s">
        <v>26</v>
      </c>
      <c r="D248" s="4" t="s">
        <v>934</v>
      </c>
      <c r="E248" s="4" t="s">
        <v>50</v>
      </c>
      <c r="F248">
        <v>15</v>
      </c>
      <c r="G248" s="4" t="s">
        <v>132</v>
      </c>
      <c r="H248" s="4" t="s">
        <v>108</v>
      </c>
      <c r="I248" s="4" t="s">
        <v>115</v>
      </c>
      <c r="J248">
        <v>418</v>
      </c>
      <c r="K248" s="4" t="s">
        <v>158</v>
      </c>
      <c r="L248">
        <v>66.08</v>
      </c>
      <c r="M248">
        <v>27594.29</v>
      </c>
      <c r="N248" s="4" t="s">
        <v>30</v>
      </c>
    </row>
    <row r="249" spans="1:14" x14ac:dyDescent="0.2">
      <c r="A249" s="4" t="s">
        <v>432</v>
      </c>
      <c r="B249">
        <v>248</v>
      </c>
      <c r="C249" s="4" t="s">
        <v>26</v>
      </c>
      <c r="D249" s="4" t="s">
        <v>934</v>
      </c>
      <c r="E249" s="4" t="s">
        <v>50</v>
      </c>
      <c r="F249">
        <v>15</v>
      </c>
      <c r="G249" s="4" t="s">
        <v>132</v>
      </c>
      <c r="H249" s="4" t="s">
        <v>108</v>
      </c>
      <c r="I249" s="4" t="s">
        <v>117</v>
      </c>
      <c r="J249">
        <v>147</v>
      </c>
      <c r="K249" s="4" t="s">
        <v>158</v>
      </c>
      <c r="L249">
        <v>66.05</v>
      </c>
      <c r="M249">
        <v>9710.25</v>
      </c>
      <c r="N249" s="4" t="s">
        <v>30</v>
      </c>
    </row>
    <row r="250" spans="1:14" x14ac:dyDescent="0.2">
      <c r="A250" s="4" t="s">
        <v>433</v>
      </c>
      <c r="B250">
        <v>249</v>
      </c>
      <c r="C250" s="4" t="s">
        <v>26</v>
      </c>
      <c r="D250" s="4" t="s">
        <v>934</v>
      </c>
      <c r="E250" s="4" t="s">
        <v>50</v>
      </c>
      <c r="F250">
        <v>15</v>
      </c>
      <c r="G250" s="4" t="s">
        <v>130</v>
      </c>
      <c r="H250" s="4" t="s">
        <v>108</v>
      </c>
      <c r="I250" s="4" t="s">
        <v>113</v>
      </c>
      <c r="J250">
        <v>138</v>
      </c>
      <c r="K250" s="4" t="s">
        <v>158</v>
      </c>
      <c r="L250">
        <v>90.88</v>
      </c>
      <c r="M250">
        <v>12543.96</v>
      </c>
      <c r="N250" s="4" t="s">
        <v>30</v>
      </c>
    </row>
    <row r="251" spans="1:14" x14ac:dyDescent="0.2">
      <c r="A251" s="4" t="s">
        <v>434</v>
      </c>
      <c r="B251">
        <v>250</v>
      </c>
      <c r="C251" s="4" t="s">
        <v>26</v>
      </c>
      <c r="D251" s="4" t="s">
        <v>934</v>
      </c>
      <c r="E251" s="4" t="s">
        <v>50</v>
      </c>
      <c r="F251">
        <v>15</v>
      </c>
      <c r="G251" s="4" t="s">
        <v>130</v>
      </c>
      <c r="H251" s="4" t="s">
        <v>108</v>
      </c>
      <c r="I251" s="4" t="s">
        <v>115</v>
      </c>
      <c r="J251">
        <v>100</v>
      </c>
      <c r="K251" s="4" t="s">
        <v>158</v>
      </c>
      <c r="L251">
        <v>91.96</v>
      </c>
      <c r="M251">
        <v>9191.85</v>
      </c>
      <c r="N251" s="4" t="s">
        <v>30</v>
      </c>
    </row>
    <row r="252" spans="1:14" x14ac:dyDescent="0.2">
      <c r="A252" s="4" t="s">
        <v>435</v>
      </c>
      <c r="B252">
        <v>251</v>
      </c>
      <c r="C252" s="4" t="s">
        <v>26</v>
      </c>
      <c r="D252" s="4" t="s">
        <v>934</v>
      </c>
      <c r="E252" s="4" t="s">
        <v>50</v>
      </c>
      <c r="F252">
        <v>15</v>
      </c>
      <c r="G252" s="4" t="s">
        <v>130</v>
      </c>
      <c r="H252" s="4" t="s">
        <v>108</v>
      </c>
      <c r="I252" s="4" t="s">
        <v>117</v>
      </c>
      <c r="J252">
        <v>374</v>
      </c>
      <c r="K252" s="4" t="s">
        <v>158</v>
      </c>
      <c r="L252">
        <v>91.63</v>
      </c>
      <c r="M252">
        <v>34261.22</v>
      </c>
      <c r="N252" s="4" t="s">
        <v>30</v>
      </c>
    </row>
    <row r="253" spans="1:14" x14ac:dyDescent="0.2">
      <c r="A253" s="4" t="s">
        <v>436</v>
      </c>
      <c r="B253">
        <v>252</v>
      </c>
      <c r="C253" s="4" t="s">
        <v>26</v>
      </c>
      <c r="D253" s="4" t="s">
        <v>934</v>
      </c>
      <c r="E253" s="4" t="s">
        <v>50</v>
      </c>
      <c r="F253">
        <v>15</v>
      </c>
      <c r="G253" s="4" t="s">
        <v>126</v>
      </c>
      <c r="H253" s="4" t="s">
        <v>108</v>
      </c>
      <c r="I253" s="4" t="s">
        <v>113</v>
      </c>
      <c r="J253">
        <v>108</v>
      </c>
      <c r="K253" s="4" t="s">
        <v>158</v>
      </c>
      <c r="L253">
        <v>76.459999999999994</v>
      </c>
      <c r="M253">
        <v>8251.9</v>
      </c>
      <c r="N253" s="4" t="s">
        <v>30</v>
      </c>
    </row>
    <row r="254" spans="1:14" x14ac:dyDescent="0.2">
      <c r="A254" s="4" t="s">
        <v>438</v>
      </c>
      <c r="B254">
        <v>253</v>
      </c>
      <c r="C254" s="4" t="s">
        <v>26</v>
      </c>
      <c r="D254" s="4" t="s">
        <v>934</v>
      </c>
      <c r="E254" s="4" t="s">
        <v>50</v>
      </c>
      <c r="F254">
        <v>15</v>
      </c>
      <c r="G254" s="4" t="s">
        <v>126</v>
      </c>
      <c r="H254" s="4" t="s">
        <v>108</v>
      </c>
      <c r="I254" s="4" t="s">
        <v>115</v>
      </c>
      <c r="J254">
        <v>153</v>
      </c>
      <c r="K254" s="4" t="s">
        <v>158</v>
      </c>
      <c r="L254">
        <v>78.97</v>
      </c>
      <c r="M254">
        <v>12054.53</v>
      </c>
      <c r="N254" s="4" t="s">
        <v>30</v>
      </c>
    </row>
    <row r="255" spans="1:14" x14ac:dyDescent="0.2">
      <c r="A255" s="4" t="s">
        <v>439</v>
      </c>
      <c r="B255">
        <v>254</v>
      </c>
      <c r="C255" s="4" t="s">
        <v>26</v>
      </c>
      <c r="D255" s="4" t="s">
        <v>934</v>
      </c>
      <c r="E255" s="4" t="s">
        <v>50</v>
      </c>
      <c r="F255">
        <v>15</v>
      </c>
      <c r="G255" s="4" t="s">
        <v>126</v>
      </c>
      <c r="H255" s="4" t="s">
        <v>108</v>
      </c>
      <c r="I255" s="4" t="s">
        <v>117</v>
      </c>
      <c r="J255">
        <v>91</v>
      </c>
      <c r="K255" s="4" t="s">
        <v>158</v>
      </c>
      <c r="L255">
        <v>78.37</v>
      </c>
      <c r="M255">
        <v>7128.12</v>
      </c>
      <c r="N255" s="4" t="s">
        <v>30</v>
      </c>
    </row>
    <row r="256" spans="1:14" x14ac:dyDescent="0.2">
      <c r="A256" s="4" t="s">
        <v>440</v>
      </c>
      <c r="B256">
        <v>255</v>
      </c>
      <c r="C256" s="4" t="s">
        <v>26</v>
      </c>
      <c r="D256" s="4" t="s">
        <v>934</v>
      </c>
      <c r="E256" s="4" t="s">
        <v>50</v>
      </c>
      <c r="F256">
        <v>15</v>
      </c>
      <c r="G256" s="4" t="s">
        <v>134</v>
      </c>
      <c r="H256" s="4" t="s">
        <v>108</v>
      </c>
      <c r="I256" s="4" t="s">
        <v>113</v>
      </c>
      <c r="J256">
        <v>432</v>
      </c>
      <c r="K256" s="4" t="s">
        <v>158</v>
      </c>
      <c r="L256">
        <v>49.11</v>
      </c>
      <c r="M256">
        <v>21212.14</v>
      </c>
      <c r="N256" s="4" t="s">
        <v>30</v>
      </c>
    </row>
    <row r="257" spans="1:14" x14ac:dyDescent="0.2">
      <c r="A257" s="4" t="s">
        <v>441</v>
      </c>
      <c r="B257">
        <v>256</v>
      </c>
      <c r="C257" s="4" t="s">
        <v>26</v>
      </c>
      <c r="D257" s="4" t="s">
        <v>934</v>
      </c>
      <c r="E257" s="4" t="s">
        <v>50</v>
      </c>
      <c r="F257">
        <v>15</v>
      </c>
      <c r="G257" s="4" t="s">
        <v>134</v>
      </c>
      <c r="H257" s="4" t="s">
        <v>108</v>
      </c>
      <c r="I257" s="4" t="s">
        <v>115</v>
      </c>
      <c r="J257">
        <v>61</v>
      </c>
      <c r="K257" s="4" t="s">
        <v>158</v>
      </c>
      <c r="L257">
        <v>49.25</v>
      </c>
      <c r="M257">
        <v>3003.5</v>
      </c>
      <c r="N257" s="4" t="s">
        <v>30</v>
      </c>
    </row>
    <row r="258" spans="1:14" x14ac:dyDescent="0.2">
      <c r="A258" s="4" t="s">
        <v>442</v>
      </c>
      <c r="B258">
        <v>257</v>
      </c>
      <c r="C258" s="4" t="s">
        <v>26</v>
      </c>
      <c r="D258" s="4" t="s">
        <v>934</v>
      </c>
      <c r="E258" s="4" t="s">
        <v>50</v>
      </c>
      <c r="F258">
        <v>15</v>
      </c>
      <c r="G258" s="4" t="s">
        <v>134</v>
      </c>
      <c r="H258" s="4" t="s">
        <v>108</v>
      </c>
      <c r="I258" s="4" t="s">
        <v>117</v>
      </c>
      <c r="J258">
        <v>72</v>
      </c>
      <c r="K258" s="4" t="s">
        <v>158</v>
      </c>
      <c r="L258">
        <v>49.25</v>
      </c>
      <c r="M258">
        <v>3550.5</v>
      </c>
      <c r="N258" s="4" t="s">
        <v>30</v>
      </c>
    </row>
    <row r="259" spans="1:14" x14ac:dyDescent="0.2">
      <c r="A259" s="4" t="s">
        <v>443</v>
      </c>
      <c r="B259">
        <v>258</v>
      </c>
      <c r="C259" s="4" t="s">
        <v>26</v>
      </c>
      <c r="D259" s="4" t="s">
        <v>934</v>
      </c>
      <c r="E259" s="4" t="s">
        <v>50</v>
      </c>
      <c r="F259">
        <v>15</v>
      </c>
      <c r="G259" s="4" t="s">
        <v>123</v>
      </c>
      <c r="H259" s="4" t="s">
        <v>108</v>
      </c>
      <c r="I259" s="4" t="s">
        <v>113</v>
      </c>
      <c r="J259">
        <v>1501</v>
      </c>
      <c r="K259" s="4" t="s">
        <v>158</v>
      </c>
      <c r="L259">
        <v>30.1</v>
      </c>
      <c r="M259">
        <v>45006.62</v>
      </c>
      <c r="N259" s="4" t="s">
        <v>30</v>
      </c>
    </row>
    <row r="260" spans="1:14" x14ac:dyDescent="0.2">
      <c r="A260" s="4" t="s">
        <v>444</v>
      </c>
      <c r="B260">
        <v>259</v>
      </c>
      <c r="C260" s="4" t="s">
        <v>26</v>
      </c>
      <c r="D260" s="4" t="s">
        <v>934</v>
      </c>
      <c r="E260" s="4" t="s">
        <v>50</v>
      </c>
      <c r="F260">
        <v>15</v>
      </c>
      <c r="G260" s="4" t="s">
        <v>123</v>
      </c>
      <c r="H260" s="4" t="s">
        <v>108</v>
      </c>
      <c r="I260" s="4" t="s">
        <v>115</v>
      </c>
      <c r="J260">
        <v>187</v>
      </c>
      <c r="K260" s="4" t="s">
        <v>158</v>
      </c>
      <c r="L260">
        <v>29.05</v>
      </c>
      <c r="M260">
        <v>5463.16</v>
      </c>
      <c r="N260" s="4" t="s">
        <v>30</v>
      </c>
    </row>
    <row r="261" spans="1:14" x14ac:dyDescent="0.2">
      <c r="A261" s="4" t="s">
        <v>445</v>
      </c>
      <c r="B261">
        <v>260</v>
      </c>
      <c r="C261" s="4" t="s">
        <v>26</v>
      </c>
      <c r="D261" s="4" t="s">
        <v>934</v>
      </c>
      <c r="E261" s="4" t="s">
        <v>50</v>
      </c>
      <c r="F261">
        <v>15</v>
      </c>
      <c r="G261" s="4" t="s">
        <v>123</v>
      </c>
      <c r="H261" s="4" t="s">
        <v>108</v>
      </c>
      <c r="I261" s="4" t="s">
        <v>117</v>
      </c>
      <c r="J261">
        <v>140</v>
      </c>
      <c r="K261" s="4" t="s">
        <v>158</v>
      </c>
      <c r="L261">
        <v>30.09</v>
      </c>
      <c r="M261">
        <v>4208.78</v>
      </c>
      <c r="N261" s="4" t="s">
        <v>30</v>
      </c>
    </row>
    <row r="262" spans="1:14" x14ac:dyDescent="0.2">
      <c r="A262" s="4" t="s">
        <v>446</v>
      </c>
      <c r="B262">
        <v>261</v>
      </c>
      <c r="C262" s="4" t="s">
        <v>26</v>
      </c>
      <c r="D262" s="4" t="s">
        <v>934</v>
      </c>
      <c r="E262" s="4" t="s">
        <v>50</v>
      </c>
      <c r="F262">
        <v>15</v>
      </c>
      <c r="G262" s="4" t="s">
        <v>128</v>
      </c>
      <c r="H262" s="4" t="s">
        <v>108</v>
      </c>
      <c r="I262" s="4" t="s">
        <v>113</v>
      </c>
      <c r="J262">
        <v>505</v>
      </c>
      <c r="K262" s="4" t="s">
        <v>158</v>
      </c>
      <c r="L262">
        <v>31.74</v>
      </c>
      <c r="M262">
        <v>16149.45</v>
      </c>
      <c r="N262" s="4" t="s">
        <v>30</v>
      </c>
    </row>
    <row r="263" spans="1:14" x14ac:dyDescent="0.2">
      <c r="A263" s="4" t="s">
        <v>447</v>
      </c>
      <c r="B263">
        <v>262</v>
      </c>
      <c r="C263" s="4" t="s">
        <v>26</v>
      </c>
      <c r="D263" s="4" t="s">
        <v>934</v>
      </c>
      <c r="E263" s="4" t="s">
        <v>50</v>
      </c>
      <c r="F263">
        <v>15</v>
      </c>
      <c r="G263" s="4" t="s">
        <v>128</v>
      </c>
      <c r="H263" s="4" t="s">
        <v>108</v>
      </c>
      <c r="I263" s="4" t="s">
        <v>115</v>
      </c>
      <c r="J263">
        <v>901</v>
      </c>
      <c r="K263" s="4" t="s">
        <v>158</v>
      </c>
      <c r="L263">
        <v>32.26</v>
      </c>
      <c r="M263">
        <v>28995.4</v>
      </c>
      <c r="N263" s="4" t="s">
        <v>30</v>
      </c>
    </row>
    <row r="264" spans="1:14" x14ac:dyDescent="0.2">
      <c r="A264" s="4" t="s">
        <v>448</v>
      </c>
      <c r="B264">
        <v>263</v>
      </c>
      <c r="C264" s="4" t="s">
        <v>26</v>
      </c>
      <c r="D264" s="4" t="s">
        <v>934</v>
      </c>
      <c r="E264" s="4" t="s">
        <v>50</v>
      </c>
      <c r="F264">
        <v>15</v>
      </c>
      <c r="G264" s="4" t="s">
        <v>128</v>
      </c>
      <c r="H264" s="4" t="s">
        <v>108</v>
      </c>
      <c r="I264" s="4" t="s">
        <v>117</v>
      </c>
      <c r="J264">
        <v>570</v>
      </c>
      <c r="K264" s="4" t="s">
        <v>158</v>
      </c>
      <c r="L264">
        <v>30.01</v>
      </c>
      <c r="M264">
        <v>17047.349999999999</v>
      </c>
      <c r="N264" s="4" t="s">
        <v>30</v>
      </c>
    </row>
    <row r="265" spans="1:14" x14ac:dyDescent="0.2">
      <c r="A265" s="4" t="s">
        <v>449</v>
      </c>
      <c r="B265">
        <v>264</v>
      </c>
      <c r="C265" s="4" t="s">
        <v>26</v>
      </c>
      <c r="D265" s="4" t="s">
        <v>934</v>
      </c>
      <c r="E265" s="4" t="s">
        <v>50</v>
      </c>
      <c r="F265">
        <v>16</v>
      </c>
      <c r="G265" s="4" t="s">
        <v>132</v>
      </c>
      <c r="H265" s="4" t="s">
        <v>108</v>
      </c>
      <c r="I265" s="4" t="s">
        <v>113</v>
      </c>
      <c r="J265">
        <v>374</v>
      </c>
      <c r="K265" s="4" t="s">
        <v>158</v>
      </c>
      <c r="L265">
        <v>66.11</v>
      </c>
      <c r="M265">
        <v>24675.97</v>
      </c>
      <c r="N265" s="4" t="s">
        <v>30</v>
      </c>
    </row>
    <row r="266" spans="1:14" x14ac:dyDescent="0.2">
      <c r="A266" s="4" t="s">
        <v>450</v>
      </c>
      <c r="B266">
        <v>265</v>
      </c>
      <c r="C266" s="4" t="s">
        <v>26</v>
      </c>
      <c r="D266" s="4" t="s">
        <v>934</v>
      </c>
      <c r="E266" s="4" t="s">
        <v>50</v>
      </c>
      <c r="F266">
        <v>16</v>
      </c>
      <c r="G266" s="4" t="s">
        <v>132</v>
      </c>
      <c r="H266" s="4" t="s">
        <v>108</v>
      </c>
      <c r="I266" s="4" t="s">
        <v>115</v>
      </c>
      <c r="J266">
        <v>396</v>
      </c>
      <c r="K266" s="4" t="s">
        <v>158</v>
      </c>
      <c r="L266">
        <v>66.66</v>
      </c>
      <c r="M266">
        <v>26380.47</v>
      </c>
      <c r="N266" s="4" t="s">
        <v>30</v>
      </c>
    </row>
    <row r="267" spans="1:14" x14ac:dyDescent="0.2">
      <c r="A267" s="4" t="s">
        <v>451</v>
      </c>
      <c r="B267">
        <v>266</v>
      </c>
      <c r="C267" s="4" t="s">
        <v>26</v>
      </c>
      <c r="D267" s="4" t="s">
        <v>934</v>
      </c>
      <c r="E267" s="4" t="s">
        <v>50</v>
      </c>
      <c r="F267">
        <v>16</v>
      </c>
      <c r="G267" s="4" t="s">
        <v>132</v>
      </c>
      <c r="H267" s="4" t="s">
        <v>108</v>
      </c>
      <c r="I267" s="4" t="s">
        <v>117</v>
      </c>
      <c r="J267">
        <v>122</v>
      </c>
      <c r="K267" s="4" t="s">
        <v>158</v>
      </c>
      <c r="L267">
        <v>68.53</v>
      </c>
      <c r="M267">
        <v>8346.6200000000008</v>
      </c>
      <c r="N267" s="4" t="s">
        <v>30</v>
      </c>
    </row>
    <row r="268" spans="1:14" x14ac:dyDescent="0.2">
      <c r="A268" s="4" t="s">
        <v>452</v>
      </c>
      <c r="B268">
        <v>267</v>
      </c>
      <c r="C268" s="4" t="s">
        <v>26</v>
      </c>
      <c r="D268" s="4" t="s">
        <v>934</v>
      </c>
      <c r="E268" s="4" t="s">
        <v>50</v>
      </c>
      <c r="F268">
        <v>16</v>
      </c>
      <c r="G268" s="4" t="s">
        <v>130</v>
      </c>
      <c r="H268" s="4" t="s">
        <v>108</v>
      </c>
      <c r="I268" s="4" t="s">
        <v>113</v>
      </c>
      <c r="J268">
        <v>162</v>
      </c>
      <c r="K268" s="4" t="s">
        <v>158</v>
      </c>
      <c r="L268">
        <v>91.44</v>
      </c>
      <c r="M268">
        <v>14798.35</v>
      </c>
      <c r="N268" s="4" t="s">
        <v>30</v>
      </c>
    </row>
    <row r="269" spans="1:14" x14ac:dyDescent="0.2">
      <c r="A269" s="4" t="s">
        <v>453</v>
      </c>
      <c r="B269">
        <v>268</v>
      </c>
      <c r="C269" s="4" t="s">
        <v>26</v>
      </c>
      <c r="D269" s="4" t="s">
        <v>934</v>
      </c>
      <c r="E269" s="4" t="s">
        <v>50</v>
      </c>
      <c r="F269">
        <v>16</v>
      </c>
      <c r="G269" s="4" t="s">
        <v>130</v>
      </c>
      <c r="H269" s="4" t="s">
        <v>108</v>
      </c>
      <c r="I269" s="4" t="s">
        <v>115</v>
      </c>
      <c r="J269">
        <v>108</v>
      </c>
      <c r="K269" s="4" t="s">
        <v>158</v>
      </c>
      <c r="L269">
        <v>91.61</v>
      </c>
      <c r="M269">
        <v>9889.7099999999991</v>
      </c>
      <c r="N269" s="4" t="s">
        <v>30</v>
      </c>
    </row>
    <row r="270" spans="1:14" x14ac:dyDescent="0.2">
      <c r="A270" s="4" t="s">
        <v>454</v>
      </c>
      <c r="B270">
        <v>269</v>
      </c>
      <c r="C270" s="4" t="s">
        <v>26</v>
      </c>
      <c r="D270" s="4" t="s">
        <v>934</v>
      </c>
      <c r="E270" s="4" t="s">
        <v>50</v>
      </c>
      <c r="F270">
        <v>16</v>
      </c>
      <c r="G270" s="4" t="s">
        <v>130</v>
      </c>
      <c r="H270" s="4" t="s">
        <v>108</v>
      </c>
      <c r="I270" s="4" t="s">
        <v>117</v>
      </c>
      <c r="J270">
        <v>584</v>
      </c>
      <c r="K270" s="4" t="s">
        <v>158</v>
      </c>
      <c r="L270">
        <v>91.61</v>
      </c>
      <c r="M270">
        <v>53454.87</v>
      </c>
      <c r="N270" s="4" t="s">
        <v>30</v>
      </c>
    </row>
    <row r="271" spans="1:14" x14ac:dyDescent="0.2">
      <c r="A271" s="4" t="s">
        <v>455</v>
      </c>
      <c r="B271">
        <v>270</v>
      </c>
      <c r="C271" s="4" t="s">
        <v>26</v>
      </c>
      <c r="D271" s="4" t="s">
        <v>934</v>
      </c>
      <c r="E271" s="4" t="s">
        <v>50</v>
      </c>
      <c r="F271">
        <v>16</v>
      </c>
      <c r="G271" s="4" t="s">
        <v>126</v>
      </c>
      <c r="H271" s="4" t="s">
        <v>108</v>
      </c>
      <c r="I271" s="4" t="s">
        <v>113</v>
      </c>
      <c r="J271">
        <v>166</v>
      </c>
      <c r="K271" s="4" t="s">
        <v>158</v>
      </c>
      <c r="L271">
        <v>74.599999999999994</v>
      </c>
      <c r="M271">
        <v>12446.7</v>
      </c>
      <c r="N271" s="4" t="s">
        <v>30</v>
      </c>
    </row>
    <row r="272" spans="1:14" x14ac:dyDescent="0.2">
      <c r="A272" s="4" t="s">
        <v>456</v>
      </c>
      <c r="B272">
        <v>271</v>
      </c>
      <c r="C272" s="4" t="s">
        <v>26</v>
      </c>
      <c r="D272" s="4" t="s">
        <v>934</v>
      </c>
      <c r="E272" s="4" t="s">
        <v>50</v>
      </c>
      <c r="F272">
        <v>16</v>
      </c>
      <c r="G272" s="4" t="s">
        <v>126</v>
      </c>
      <c r="H272" s="4" t="s">
        <v>108</v>
      </c>
      <c r="I272" s="4" t="s">
        <v>115</v>
      </c>
      <c r="J272">
        <v>265</v>
      </c>
      <c r="K272" s="4" t="s">
        <v>158</v>
      </c>
      <c r="L272">
        <v>75.680000000000007</v>
      </c>
      <c r="M272">
        <v>20028.32</v>
      </c>
      <c r="N272" s="4" t="s">
        <v>30</v>
      </c>
    </row>
    <row r="273" spans="1:14" x14ac:dyDescent="0.2">
      <c r="A273" s="4" t="s">
        <v>457</v>
      </c>
      <c r="B273">
        <v>272</v>
      </c>
      <c r="C273" s="4" t="s">
        <v>26</v>
      </c>
      <c r="D273" s="4" t="s">
        <v>934</v>
      </c>
      <c r="E273" s="4" t="s">
        <v>50</v>
      </c>
      <c r="F273">
        <v>16</v>
      </c>
      <c r="G273" s="4" t="s">
        <v>126</v>
      </c>
      <c r="H273" s="4" t="s">
        <v>108</v>
      </c>
      <c r="I273" s="4" t="s">
        <v>117</v>
      </c>
      <c r="J273">
        <v>77</v>
      </c>
      <c r="K273" s="4" t="s">
        <v>158</v>
      </c>
      <c r="L273">
        <v>76.59</v>
      </c>
      <c r="M273">
        <v>5864.63</v>
      </c>
      <c r="N273" s="4" t="s">
        <v>30</v>
      </c>
    </row>
    <row r="274" spans="1:14" x14ac:dyDescent="0.2">
      <c r="A274" s="4" t="s">
        <v>458</v>
      </c>
      <c r="B274">
        <v>273</v>
      </c>
      <c r="C274" s="4" t="s">
        <v>26</v>
      </c>
      <c r="D274" s="4" t="s">
        <v>934</v>
      </c>
      <c r="E274" s="4" t="s">
        <v>50</v>
      </c>
      <c r="F274">
        <v>16</v>
      </c>
      <c r="G274" s="4" t="s">
        <v>134</v>
      </c>
      <c r="H274" s="4" t="s">
        <v>108</v>
      </c>
      <c r="I274" s="4" t="s">
        <v>113</v>
      </c>
      <c r="J274">
        <v>599</v>
      </c>
      <c r="K274" s="4" t="s">
        <v>158</v>
      </c>
      <c r="L274">
        <v>49.27</v>
      </c>
      <c r="M274">
        <v>29582.68</v>
      </c>
      <c r="N274" s="4" t="s">
        <v>30</v>
      </c>
    </row>
    <row r="275" spans="1:14" x14ac:dyDescent="0.2">
      <c r="A275" s="4" t="s">
        <v>459</v>
      </c>
      <c r="B275">
        <v>274</v>
      </c>
      <c r="C275" s="4" t="s">
        <v>26</v>
      </c>
      <c r="D275" s="4" t="s">
        <v>934</v>
      </c>
      <c r="E275" s="4" t="s">
        <v>50</v>
      </c>
      <c r="F275">
        <v>16</v>
      </c>
      <c r="G275" s="4" t="s">
        <v>134</v>
      </c>
      <c r="H275" s="4" t="s">
        <v>108</v>
      </c>
      <c r="I275" s="4" t="s">
        <v>115</v>
      </c>
      <c r="J275">
        <v>232</v>
      </c>
      <c r="K275" s="4" t="s">
        <v>158</v>
      </c>
      <c r="L275">
        <v>49.64</v>
      </c>
      <c r="M275">
        <v>11546.62</v>
      </c>
      <c r="N275" s="4" t="s">
        <v>30</v>
      </c>
    </row>
    <row r="276" spans="1:14" x14ac:dyDescent="0.2">
      <c r="A276" s="4" t="s">
        <v>460</v>
      </c>
      <c r="B276">
        <v>275</v>
      </c>
      <c r="C276" s="4" t="s">
        <v>26</v>
      </c>
      <c r="D276" s="4" t="s">
        <v>934</v>
      </c>
      <c r="E276" s="4" t="s">
        <v>50</v>
      </c>
      <c r="F276">
        <v>16</v>
      </c>
      <c r="G276" s="4" t="s">
        <v>134</v>
      </c>
      <c r="H276" s="4" t="s">
        <v>108</v>
      </c>
      <c r="I276" s="4" t="s">
        <v>117</v>
      </c>
      <c r="J276">
        <v>125</v>
      </c>
      <c r="K276" s="4" t="s">
        <v>158</v>
      </c>
      <c r="L276">
        <v>49.81</v>
      </c>
      <c r="M276">
        <v>6258.36</v>
      </c>
      <c r="N276" s="4" t="s">
        <v>30</v>
      </c>
    </row>
    <row r="277" spans="1:14" x14ac:dyDescent="0.2">
      <c r="A277" s="4" t="s">
        <v>461</v>
      </c>
      <c r="B277">
        <v>276</v>
      </c>
      <c r="C277" s="4" t="s">
        <v>26</v>
      </c>
      <c r="D277" s="4" t="s">
        <v>934</v>
      </c>
      <c r="E277" s="4" t="s">
        <v>50</v>
      </c>
      <c r="F277">
        <v>16</v>
      </c>
      <c r="G277" s="4" t="s">
        <v>123</v>
      </c>
      <c r="H277" s="4" t="s">
        <v>108</v>
      </c>
      <c r="I277" s="4" t="s">
        <v>113</v>
      </c>
      <c r="J277">
        <v>1641</v>
      </c>
      <c r="K277" s="4" t="s">
        <v>158</v>
      </c>
      <c r="L277">
        <v>29.43</v>
      </c>
      <c r="M277">
        <v>48210.8</v>
      </c>
      <c r="N277" s="4" t="s">
        <v>30</v>
      </c>
    </row>
    <row r="278" spans="1:14" x14ac:dyDescent="0.2">
      <c r="A278" s="4" t="s">
        <v>462</v>
      </c>
      <c r="B278">
        <v>277</v>
      </c>
      <c r="C278" s="4" t="s">
        <v>26</v>
      </c>
      <c r="D278" s="4" t="s">
        <v>934</v>
      </c>
      <c r="E278" s="4" t="s">
        <v>50</v>
      </c>
      <c r="F278">
        <v>16</v>
      </c>
      <c r="G278" s="4" t="s">
        <v>123</v>
      </c>
      <c r="H278" s="4" t="s">
        <v>108</v>
      </c>
      <c r="I278" s="4" t="s">
        <v>115</v>
      </c>
      <c r="J278">
        <v>155</v>
      </c>
      <c r="K278" s="4" t="s">
        <v>158</v>
      </c>
      <c r="L278">
        <v>29.45</v>
      </c>
      <c r="M278">
        <v>4585.6400000000003</v>
      </c>
      <c r="N278" s="4" t="s">
        <v>30</v>
      </c>
    </row>
    <row r="279" spans="1:14" x14ac:dyDescent="0.2">
      <c r="A279" s="4" t="s">
        <v>463</v>
      </c>
      <c r="B279">
        <v>278</v>
      </c>
      <c r="C279" s="4" t="s">
        <v>26</v>
      </c>
      <c r="D279" s="4" t="s">
        <v>934</v>
      </c>
      <c r="E279" s="4" t="s">
        <v>50</v>
      </c>
      <c r="F279">
        <v>16</v>
      </c>
      <c r="G279" s="4" t="s">
        <v>123</v>
      </c>
      <c r="H279" s="4" t="s">
        <v>108</v>
      </c>
      <c r="I279" s="4" t="s">
        <v>117</v>
      </c>
      <c r="J279">
        <v>632</v>
      </c>
      <c r="K279" s="4" t="s">
        <v>158</v>
      </c>
      <c r="L279">
        <v>29.82</v>
      </c>
      <c r="M279">
        <v>18889.5</v>
      </c>
      <c r="N279" s="4" t="s">
        <v>30</v>
      </c>
    </row>
    <row r="280" spans="1:14" x14ac:dyDescent="0.2">
      <c r="A280" s="4" t="s">
        <v>464</v>
      </c>
      <c r="B280">
        <v>279</v>
      </c>
      <c r="C280" s="4" t="s">
        <v>26</v>
      </c>
      <c r="D280" s="4" t="s">
        <v>934</v>
      </c>
      <c r="E280" s="4" t="s">
        <v>50</v>
      </c>
      <c r="F280">
        <v>16</v>
      </c>
      <c r="G280" s="4" t="s">
        <v>128</v>
      </c>
      <c r="H280" s="4" t="s">
        <v>108</v>
      </c>
      <c r="I280" s="4" t="s">
        <v>113</v>
      </c>
      <c r="J280">
        <v>554</v>
      </c>
      <c r="K280" s="4" t="s">
        <v>158</v>
      </c>
      <c r="L280">
        <v>30.53</v>
      </c>
      <c r="M280">
        <v>16901.2</v>
      </c>
      <c r="N280" s="4" t="s">
        <v>30</v>
      </c>
    </row>
    <row r="281" spans="1:14" x14ac:dyDescent="0.2">
      <c r="A281" s="4" t="s">
        <v>465</v>
      </c>
      <c r="B281">
        <v>280</v>
      </c>
      <c r="C281" s="4" t="s">
        <v>26</v>
      </c>
      <c r="D281" s="4" t="s">
        <v>934</v>
      </c>
      <c r="E281" s="4" t="s">
        <v>50</v>
      </c>
      <c r="F281">
        <v>16</v>
      </c>
      <c r="G281" s="4" t="s">
        <v>128</v>
      </c>
      <c r="H281" s="4" t="s">
        <v>108</v>
      </c>
      <c r="I281" s="4" t="s">
        <v>115</v>
      </c>
      <c r="J281">
        <v>1252</v>
      </c>
      <c r="K281" s="4" t="s">
        <v>158</v>
      </c>
      <c r="L281">
        <v>30.63</v>
      </c>
      <c r="M281">
        <v>38485.199999999997</v>
      </c>
      <c r="N281" s="4" t="s">
        <v>30</v>
      </c>
    </row>
    <row r="282" spans="1:14" x14ac:dyDescent="0.2">
      <c r="A282" s="4" t="s">
        <v>466</v>
      </c>
      <c r="B282">
        <v>281</v>
      </c>
      <c r="C282" s="4" t="s">
        <v>26</v>
      </c>
      <c r="D282" s="4" t="s">
        <v>934</v>
      </c>
      <c r="E282" s="4" t="s">
        <v>50</v>
      </c>
      <c r="F282">
        <v>16</v>
      </c>
      <c r="G282" s="4" t="s">
        <v>128</v>
      </c>
      <c r="H282" s="4" t="s">
        <v>108</v>
      </c>
      <c r="I282" s="4" t="s">
        <v>117</v>
      </c>
      <c r="J282">
        <v>409</v>
      </c>
      <c r="K282" s="4" t="s">
        <v>158</v>
      </c>
      <c r="L282">
        <v>30.49</v>
      </c>
      <c r="M282">
        <v>12520.85</v>
      </c>
      <c r="N282" s="4" t="s">
        <v>30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D31B-CBE0-B94A-BB58-2BF187FD5B61}">
  <dimension ref="A1:K42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0.33203125" bestFit="1" customWidth="1"/>
    <col min="10" max="10" width="11.83203125" bestFit="1" customWidth="1"/>
    <col min="11" max="11" width="7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</row>
    <row r="2" spans="1:11" x14ac:dyDescent="0.2">
      <c r="A2" s="4" t="s">
        <v>25</v>
      </c>
      <c r="B2">
        <v>1</v>
      </c>
      <c r="C2" s="4" t="s">
        <v>26</v>
      </c>
      <c r="D2" s="4" t="s">
        <v>27</v>
      </c>
      <c r="E2" s="4" t="s">
        <v>27</v>
      </c>
      <c r="F2" s="4" t="s">
        <v>28</v>
      </c>
      <c r="G2">
        <v>1</v>
      </c>
      <c r="H2">
        <v>1</v>
      </c>
      <c r="I2" s="4" t="s">
        <v>122</v>
      </c>
      <c r="J2">
        <v>1161</v>
      </c>
      <c r="K2" s="4" t="s">
        <v>158</v>
      </c>
    </row>
    <row r="3" spans="1:11" x14ac:dyDescent="0.2">
      <c r="A3" s="4" t="s">
        <v>31</v>
      </c>
      <c r="B3">
        <v>2</v>
      </c>
      <c r="C3" s="4" t="s">
        <v>26</v>
      </c>
      <c r="D3" s="4" t="s">
        <v>27</v>
      </c>
      <c r="E3" s="4" t="s">
        <v>27</v>
      </c>
      <c r="F3" s="4" t="s">
        <v>28</v>
      </c>
      <c r="G3">
        <v>1</v>
      </c>
      <c r="H3">
        <v>1</v>
      </c>
      <c r="I3" s="4" t="s">
        <v>125</v>
      </c>
      <c r="J3">
        <v>452</v>
      </c>
      <c r="K3" s="4" t="s">
        <v>158</v>
      </c>
    </row>
    <row r="4" spans="1:11" x14ac:dyDescent="0.2">
      <c r="A4" s="4" t="s">
        <v>34</v>
      </c>
      <c r="B4">
        <v>3</v>
      </c>
      <c r="C4" s="4" t="s">
        <v>26</v>
      </c>
      <c r="D4" s="4" t="s">
        <v>27</v>
      </c>
      <c r="E4" s="4" t="s">
        <v>27</v>
      </c>
      <c r="F4" s="4" t="s">
        <v>28</v>
      </c>
      <c r="G4">
        <v>1</v>
      </c>
      <c r="H4">
        <v>1</v>
      </c>
      <c r="I4" s="4" t="s">
        <v>127</v>
      </c>
      <c r="J4">
        <v>1023</v>
      </c>
      <c r="K4" s="4" t="s">
        <v>158</v>
      </c>
    </row>
    <row r="5" spans="1:11" x14ac:dyDescent="0.2">
      <c r="A5" s="4" t="s">
        <v>37</v>
      </c>
      <c r="B5">
        <v>4</v>
      </c>
      <c r="C5" s="4" t="s">
        <v>26</v>
      </c>
      <c r="D5" s="4" t="s">
        <v>27</v>
      </c>
      <c r="E5" s="4" t="s">
        <v>27</v>
      </c>
      <c r="F5" s="4" t="s">
        <v>28</v>
      </c>
      <c r="G5">
        <v>1</v>
      </c>
      <c r="H5">
        <v>1</v>
      </c>
      <c r="I5" s="4" t="s">
        <v>129</v>
      </c>
      <c r="J5">
        <v>391</v>
      </c>
      <c r="K5" s="4" t="s">
        <v>158</v>
      </c>
    </row>
    <row r="6" spans="1:11" x14ac:dyDescent="0.2">
      <c r="A6" s="4" t="s">
        <v>40</v>
      </c>
      <c r="B6">
        <v>5</v>
      </c>
      <c r="C6" s="4" t="s">
        <v>26</v>
      </c>
      <c r="D6" s="4" t="s">
        <v>27</v>
      </c>
      <c r="E6" s="4" t="s">
        <v>27</v>
      </c>
      <c r="F6" s="4" t="s">
        <v>28</v>
      </c>
      <c r="G6">
        <v>1</v>
      </c>
      <c r="H6">
        <v>1</v>
      </c>
      <c r="I6" s="4" t="s">
        <v>131</v>
      </c>
      <c r="J6">
        <v>497</v>
      </c>
      <c r="K6" s="4" t="s">
        <v>158</v>
      </c>
    </row>
    <row r="7" spans="1:11" x14ac:dyDescent="0.2">
      <c r="A7" s="4" t="s">
        <v>43</v>
      </c>
      <c r="B7">
        <v>6</v>
      </c>
      <c r="C7" s="4" t="s">
        <v>26</v>
      </c>
      <c r="D7" s="4" t="s">
        <v>27</v>
      </c>
      <c r="E7" s="4" t="s">
        <v>27</v>
      </c>
      <c r="F7" s="4" t="s">
        <v>28</v>
      </c>
      <c r="G7">
        <v>1</v>
      </c>
      <c r="H7">
        <v>1</v>
      </c>
      <c r="I7" s="4" t="s">
        <v>133</v>
      </c>
      <c r="J7">
        <v>386</v>
      </c>
      <c r="K7" s="4" t="s">
        <v>158</v>
      </c>
    </row>
    <row r="8" spans="1:11" x14ac:dyDescent="0.2">
      <c r="A8" s="4" t="s">
        <v>46</v>
      </c>
      <c r="B8">
        <v>7</v>
      </c>
      <c r="C8" s="4" t="s">
        <v>26</v>
      </c>
      <c r="D8" s="4" t="s">
        <v>27</v>
      </c>
      <c r="E8" s="4" t="s">
        <v>38</v>
      </c>
      <c r="F8" s="4" t="s">
        <v>39</v>
      </c>
      <c r="G8">
        <v>1</v>
      </c>
      <c r="H8">
        <v>4</v>
      </c>
      <c r="I8" s="4" t="s">
        <v>122</v>
      </c>
      <c r="J8">
        <v>1162</v>
      </c>
      <c r="K8" s="4" t="s">
        <v>158</v>
      </c>
    </row>
    <row r="9" spans="1:11" x14ac:dyDescent="0.2">
      <c r="A9" s="4" t="s">
        <v>49</v>
      </c>
      <c r="B9">
        <v>8</v>
      </c>
      <c r="C9" s="4" t="s">
        <v>26</v>
      </c>
      <c r="D9" s="4" t="s">
        <v>27</v>
      </c>
      <c r="E9" s="4" t="s">
        <v>38</v>
      </c>
      <c r="F9" s="4" t="s">
        <v>39</v>
      </c>
      <c r="G9">
        <v>1</v>
      </c>
      <c r="H9">
        <v>4</v>
      </c>
      <c r="I9" s="4" t="s">
        <v>125</v>
      </c>
      <c r="J9">
        <v>453</v>
      </c>
      <c r="K9" s="4" t="s">
        <v>158</v>
      </c>
    </row>
    <row r="10" spans="1:11" x14ac:dyDescent="0.2">
      <c r="A10" s="4" t="s">
        <v>52</v>
      </c>
      <c r="B10">
        <v>9</v>
      </c>
      <c r="C10" s="4" t="s">
        <v>26</v>
      </c>
      <c r="D10" s="4" t="s">
        <v>27</v>
      </c>
      <c r="E10" s="4" t="s">
        <v>38</v>
      </c>
      <c r="F10" s="4" t="s">
        <v>39</v>
      </c>
      <c r="G10">
        <v>1</v>
      </c>
      <c r="H10">
        <v>4</v>
      </c>
      <c r="I10" s="4" t="s">
        <v>127</v>
      </c>
      <c r="J10">
        <v>1024</v>
      </c>
      <c r="K10" s="4" t="s">
        <v>158</v>
      </c>
    </row>
    <row r="11" spans="1:11" x14ac:dyDescent="0.2">
      <c r="A11" s="4" t="s">
        <v>55</v>
      </c>
      <c r="B11">
        <v>10</v>
      </c>
      <c r="C11" s="4" t="s">
        <v>26</v>
      </c>
      <c r="D11" s="4" t="s">
        <v>27</v>
      </c>
      <c r="E11" s="4" t="s">
        <v>38</v>
      </c>
      <c r="F11" s="4" t="s">
        <v>39</v>
      </c>
      <c r="G11">
        <v>1</v>
      </c>
      <c r="H11">
        <v>4</v>
      </c>
      <c r="I11" s="4" t="s">
        <v>129</v>
      </c>
      <c r="J11">
        <v>392</v>
      </c>
      <c r="K11" s="4" t="s">
        <v>158</v>
      </c>
    </row>
    <row r="12" spans="1:11" x14ac:dyDescent="0.2">
      <c r="A12" s="4" t="s">
        <v>58</v>
      </c>
      <c r="B12">
        <v>11</v>
      </c>
      <c r="C12" s="4" t="s">
        <v>26</v>
      </c>
      <c r="D12" s="4" t="s">
        <v>27</v>
      </c>
      <c r="E12" s="4" t="s">
        <v>38</v>
      </c>
      <c r="F12" s="4" t="s">
        <v>39</v>
      </c>
      <c r="G12">
        <v>1</v>
      </c>
      <c r="H12">
        <v>4</v>
      </c>
      <c r="I12" s="4" t="s">
        <v>131</v>
      </c>
      <c r="J12">
        <v>498</v>
      </c>
      <c r="K12" s="4" t="s">
        <v>158</v>
      </c>
    </row>
    <row r="13" spans="1:11" x14ac:dyDescent="0.2">
      <c r="A13" s="4" t="s">
        <v>60</v>
      </c>
      <c r="B13">
        <v>12</v>
      </c>
      <c r="C13" s="4" t="s">
        <v>26</v>
      </c>
      <c r="D13" s="4" t="s">
        <v>27</v>
      </c>
      <c r="E13" s="4" t="s">
        <v>38</v>
      </c>
      <c r="F13" s="4" t="s">
        <v>39</v>
      </c>
      <c r="G13">
        <v>1</v>
      </c>
      <c r="H13">
        <v>4</v>
      </c>
      <c r="I13" s="4" t="s">
        <v>133</v>
      </c>
      <c r="J13">
        <v>387</v>
      </c>
      <c r="K13" s="4" t="s">
        <v>158</v>
      </c>
    </row>
    <row r="14" spans="1:11" x14ac:dyDescent="0.2">
      <c r="A14" s="4" t="s">
        <v>62</v>
      </c>
      <c r="B14">
        <v>13</v>
      </c>
      <c r="C14" s="4" t="s">
        <v>26</v>
      </c>
      <c r="D14" s="4" t="s">
        <v>35</v>
      </c>
      <c r="E14" s="4" t="s">
        <v>27</v>
      </c>
      <c r="F14" s="4" t="s">
        <v>79</v>
      </c>
      <c r="G14">
        <v>5</v>
      </c>
      <c r="H14">
        <v>21</v>
      </c>
      <c r="I14" s="4" t="s">
        <v>122</v>
      </c>
      <c r="J14">
        <v>1200</v>
      </c>
      <c r="K14" s="4" t="s">
        <v>158</v>
      </c>
    </row>
    <row r="15" spans="1:11" x14ac:dyDescent="0.2">
      <c r="A15" s="4" t="s">
        <v>64</v>
      </c>
      <c r="B15">
        <v>14</v>
      </c>
      <c r="C15" s="4" t="s">
        <v>26</v>
      </c>
      <c r="D15" s="4" t="s">
        <v>35</v>
      </c>
      <c r="E15" s="4" t="s">
        <v>27</v>
      </c>
      <c r="F15" s="4" t="s">
        <v>79</v>
      </c>
      <c r="G15">
        <v>5</v>
      </c>
      <c r="H15">
        <v>21</v>
      </c>
      <c r="I15" s="4" t="s">
        <v>125</v>
      </c>
      <c r="J15">
        <v>200</v>
      </c>
      <c r="K15" s="4" t="s">
        <v>158</v>
      </c>
    </row>
    <row r="16" spans="1:11" x14ac:dyDescent="0.2">
      <c r="A16" s="4" t="s">
        <v>66</v>
      </c>
      <c r="B16">
        <v>15</v>
      </c>
      <c r="C16" s="4" t="s">
        <v>26</v>
      </c>
      <c r="D16" s="4" t="s">
        <v>35</v>
      </c>
      <c r="E16" s="4" t="s">
        <v>27</v>
      </c>
      <c r="F16" s="4" t="s">
        <v>79</v>
      </c>
      <c r="G16">
        <v>5</v>
      </c>
      <c r="H16">
        <v>21</v>
      </c>
      <c r="I16" s="4" t="s">
        <v>127</v>
      </c>
      <c r="J16">
        <v>1200</v>
      </c>
      <c r="K16" s="4" t="s">
        <v>158</v>
      </c>
    </row>
    <row r="17" spans="1:11" x14ac:dyDescent="0.2">
      <c r="A17" s="4" t="s">
        <v>68</v>
      </c>
      <c r="B17">
        <v>16</v>
      </c>
      <c r="C17" s="4" t="s">
        <v>26</v>
      </c>
      <c r="D17" s="4" t="s">
        <v>35</v>
      </c>
      <c r="E17" s="4" t="s">
        <v>27</v>
      </c>
      <c r="F17" s="4" t="s">
        <v>79</v>
      </c>
      <c r="G17">
        <v>5</v>
      </c>
      <c r="H17">
        <v>21</v>
      </c>
      <c r="I17" s="4" t="s">
        <v>129</v>
      </c>
      <c r="J17">
        <v>250</v>
      </c>
      <c r="K17" s="4" t="s">
        <v>158</v>
      </c>
    </row>
    <row r="18" spans="1:11" x14ac:dyDescent="0.2">
      <c r="A18" s="4" t="s">
        <v>70</v>
      </c>
      <c r="B18">
        <v>17</v>
      </c>
      <c r="C18" s="4" t="s">
        <v>26</v>
      </c>
      <c r="D18" s="4" t="s">
        <v>35</v>
      </c>
      <c r="E18" s="4" t="s">
        <v>27</v>
      </c>
      <c r="F18" s="4" t="s">
        <v>79</v>
      </c>
      <c r="G18">
        <v>5</v>
      </c>
      <c r="H18">
        <v>21</v>
      </c>
      <c r="I18" s="4" t="s">
        <v>131</v>
      </c>
      <c r="J18">
        <v>450</v>
      </c>
      <c r="K18" s="4" t="s">
        <v>158</v>
      </c>
    </row>
    <row r="19" spans="1:11" x14ac:dyDescent="0.2">
      <c r="A19" s="4" t="s">
        <v>72</v>
      </c>
      <c r="B19">
        <v>18</v>
      </c>
      <c r="C19" s="4" t="s">
        <v>26</v>
      </c>
      <c r="D19" s="4" t="s">
        <v>35</v>
      </c>
      <c r="E19" s="4" t="s">
        <v>27</v>
      </c>
      <c r="F19" s="4" t="s">
        <v>79</v>
      </c>
      <c r="G19">
        <v>5</v>
      </c>
      <c r="H19">
        <v>21</v>
      </c>
      <c r="I19" s="4" t="s">
        <v>133</v>
      </c>
      <c r="J19">
        <v>500</v>
      </c>
      <c r="K19" s="4" t="s">
        <v>158</v>
      </c>
    </row>
    <row r="20" spans="1:11" x14ac:dyDescent="0.2">
      <c r="A20" s="4" t="s">
        <v>74</v>
      </c>
      <c r="B20">
        <v>19</v>
      </c>
      <c r="C20" s="4" t="s">
        <v>26</v>
      </c>
      <c r="D20" s="4" t="s">
        <v>38</v>
      </c>
      <c r="E20" s="4" t="s">
        <v>27</v>
      </c>
      <c r="F20" s="4" t="s">
        <v>907</v>
      </c>
      <c r="G20">
        <v>7</v>
      </c>
      <c r="H20">
        <v>31</v>
      </c>
      <c r="I20" s="4" t="s">
        <v>122</v>
      </c>
      <c r="J20">
        <v>1272</v>
      </c>
      <c r="K20" s="4" t="s">
        <v>158</v>
      </c>
    </row>
    <row r="21" spans="1:11" x14ac:dyDescent="0.2">
      <c r="A21" s="4" t="s">
        <v>76</v>
      </c>
      <c r="B21">
        <v>20</v>
      </c>
      <c r="C21" s="4" t="s">
        <v>26</v>
      </c>
      <c r="D21" s="4" t="s">
        <v>38</v>
      </c>
      <c r="E21" s="4" t="s">
        <v>27</v>
      </c>
      <c r="F21" s="4" t="s">
        <v>907</v>
      </c>
      <c r="G21">
        <v>7</v>
      </c>
      <c r="H21">
        <v>31</v>
      </c>
      <c r="I21" s="4" t="s">
        <v>125</v>
      </c>
      <c r="J21">
        <v>195</v>
      </c>
      <c r="K21" s="4" t="s">
        <v>158</v>
      </c>
    </row>
    <row r="22" spans="1:11" x14ac:dyDescent="0.2">
      <c r="A22" s="4" t="s">
        <v>78</v>
      </c>
      <c r="B22">
        <v>21</v>
      </c>
      <c r="C22" s="4" t="s">
        <v>26</v>
      </c>
      <c r="D22" s="4" t="s">
        <v>38</v>
      </c>
      <c r="E22" s="4" t="s">
        <v>27</v>
      </c>
      <c r="F22" s="4" t="s">
        <v>907</v>
      </c>
      <c r="G22">
        <v>7</v>
      </c>
      <c r="H22">
        <v>31</v>
      </c>
      <c r="I22" s="4" t="s">
        <v>129</v>
      </c>
      <c r="J22">
        <v>213</v>
      </c>
      <c r="K22" s="4" t="s">
        <v>158</v>
      </c>
    </row>
    <row r="23" spans="1:11" x14ac:dyDescent="0.2">
      <c r="A23" s="4" t="s">
        <v>80</v>
      </c>
      <c r="B23">
        <v>22</v>
      </c>
      <c r="C23" s="4" t="s">
        <v>26</v>
      </c>
      <c r="D23" s="4" t="s">
        <v>38</v>
      </c>
      <c r="E23" s="4" t="s">
        <v>27</v>
      </c>
      <c r="F23" s="4" t="s">
        <v>907</v>
      </c>
      <c r="G23">
        <v>7</v>
      </c>
      <c r="H23">
        <v>31</v>
      </c>
      <c r="I23" s="4" t="s">
        <v>133</v>
      </c>
      <c r="J23">
        <v>281</v>
      </c>
      <c r="K23" s="4" t="s">
        <v>158</v>
      </c>
    </row>
    <row r="24" spans="1:11" x14ac:dyDescent="0.2">
      <c r="A24" s="4" t="s">
        <v>82</v>
      </c>
      <c r="B24">
        <v>23</v>
      </c>
      <c r="C24" s="4" t="s">
        <v>26</v>
      </c>
      <c r="D24" s="4" t="s">
        <v>38</v>
      </c>
      <c r="E24" s="4" t="s">
        <v>44</v>
      </c>
      <c r="F24" s="4" t="s">
        <v>1210</v>
      </c>
      <c r="G24">
        <v>8</v>
      </c>
      <c r="H24">
        <v>36</v>
      </c>
      <c r="I24" s="4" t="s">
        <v>122</v>
      </c>
      <c r="J24">
        <v>1400</v>
      </c>
      <c r="K24" s="4" t="s">
        <v>158</v>
      </c>
    </row>
    <row r="25" spans="1:11" x14ac:dyDescent="0.2">
      <c r="A25" s="4" t="s">
        <v>84</v>
      </c>
      <c r="B25">
        <v>24</v>
      </c>
      <c r="C25" s="4" t="s">
        <v>26</v>
      </c>
      <c r="D25" s="4" t="s">
        <v>38</v>
      </c>
      <c r="E25" s="4" t="s">
        <v>44</v>
      </c>
      <c r="F25" s="4" t="s">
        <v>1210</v>
      </c>
      <c r="G25">
        <v>8</v>
      </c>
      <c r="H25">
        <v>36</v>
      </c>
      <c r="I25" s="4" t="s">
        <v>125</v>
      </c>
      <c r="J25">
        <v>215</v>
      </c>
      <c r="K25" s="4" t="s">
        <v>158</v>
      </c>
    </row>
    <row r="26" spans="1:11" x14ac:dyDescent="0.2">
      <c r="A26" s="4" t="s">
        <v>86</v>
      </c>
      <c r="B26">
        <v>25</v>
      </c>
      <c r="C26" s="4" t="s">
        <v>26</v>
      </c>
      <c r="D26" s="4" t="s">
        <v>38</v>
      </c>
      <c r="E26" s="4" t="s">
        <v>44</v>
      </c>
      <c r="F26" s="4" t="s">
        <v>1210</v>
      </c>
      <c r="G26">
        <v>8</v>
      </c>
      <c r="H26">
        <v>36</v>
      </c>
      <c r="I26" s="4" t="s">
        <v>127</v>
      </c>
      <c r="J26">
        <v>1200</v>
      </c>
      <c r="K26" s="4" t="s">
        <v>158</v>
      </c>
    </row>
    <row r="27" spans="1:11" x14ac:dyDescent="0.2">
      <c r="A27" s="4" t="s">
        <v>88</v>
      </c>
      <c r="B27">
        <v>26</v>
      </c>
      <c r="C27" s="4" t="s">
        <v>26</v>
      </c>
      <c r="D27" s="4" t="s">
        <v>38</v>
      </c>
      <c r="E27" s="4" t="s">
        <v>44</v>
      </c>
      <c r="F27" s="4" t="s">
        <v>1210</v>
      </c>
      <c r="G27">
        <v>8</v>
      </c>
      <c r="H27">
        <v>36</v>
      </c>
      <c r="I27" s="4" t="s">
        <v>129</v>
      </c>
      <c r="J27">
        <v>260</v>
      </c>
      <c r="K27" s="4" t="s">
        <v>158</v>
      </c>
    </row>
    <row r="28" spans="1:11" x14ac:dyDescent="0.2">
      <c r="A28" s="4" t="s">
        <v>90</v>
      </c>
      <c r="B28">
        <v>27</v>
      </c>
      <c r="C28" s="4" t="s">
        <v>26</v>
      </c>
      <c r="D28" s="4" t="s">
        <v>38</v>
      </c>
      <c r="E28" s="4" t="s">
        <v>44</v>
      </c>
      <c r="F28" s="4" t="s">
        <v>1210</v>
      </c>
      <c r="G28">
        <v>8</v>
      </c>
      <c r="H28">
        <v>36</v>
      </c>
      <c r="I28" s="4" t="s">
        <v>131</v>
      </c>
      <c r="J28">
        <v>450</v>
      </c>
      <c r="K28" s="4" t="s">
        <v>158</v>
      </c>
    </row>
    <row r="29" spans="1:11" x14ac:dyDescent="0.2">
      <c r="A29" s="4" t="s">
        <v>92</v>
      </c>
      <c r="B29">
        <v>28</v>
      </c>
      <c r="C29" s="4" t="s">
        <v>26</v>
      </c>
      <c r="D29" s="4" t="s">
        <v>38</v>
      </c>
      <c r="E29" s="4" t="s">
        <v>44</v>
      </c>
      <c r="F29" s="4" t="s">
        <v>1210</v>
      </c>
      <c r="G29">
        <v>8</v>
      </c>
      <c r="H29">
        <v>36</v>
      </c>
      <c r="I29" s="4" t="s">
        <v>133</v>
      </c>
      <c r="J29">
        <v>300</v>
      </c>
      <c r="K29" s="4" t="s">
        <v>158</v>
      </c>
    </row>
    <row r="30" spans="1:11" x14ac:dyDescent="0.2">
      <c r="A30" s="4" t="s">
        <v>94</v>
      </c>
      <c r="B30">
        <v>29</v>
      </c>
      <c r="C30" s="4" t="s">
        <v>26</v>
      </c>
      <c r="D30" s="4" t="s">
        <v>41</v>
      </c>
      <c r="E30" s="4" t="s">
        <v>27</v>
      </c>
      <c r="F30" s="4" t="s">
        <v>1353</v>
      </c>
      <c r="G30">
        <v>9</v>
      </c>
      <c r="H30">
        <v>41</v>
      </c>
      <c r="I30" s="4" t="s">
        <v>125</v>
      </c>
      <c r="J30">
        <v>100</v>
      </c>
      <c r="K30" s="4" t="s">
        <v>158</v>
      </c>
    </row>
    <row r="31" spans="1:11" x14ac:dyDescent="0.2">
      <c r="A31" s="4" t="s">
        <v>96</v>
      </c>
      <c r="B31">
        <v>30</v>
      </c>
      <c r="C31" s="4" t="s">
        <v>26</v>
      </c>
      <c r="D31" s="4" t="s">
        <v>41</v>
      </c>
      <c r="E31" s="4" t="s">
        <v>27</v>
      </c>
      <c r="F31" s="4" t="s">
        <v>1353</v>
      </c>
      <c r="G31">
        <v>9</v>
      </c>
      <c r="H31">
        <v>41</v>
      </c>
      <c r="I31" s="4" t="s">
        <v>129</v>
      </c>
      <c r="J31">
        <v>300</v>
      </c>
      <c r="K31" s="4" t="s">
        <v>158</v>
      </c>
    </row>
    <row r="32" spans="1:11" x14ac:dyDescent="0.2">
      <c r="A32" s="4" t="s">
        <v>215</v>
      </c>
      <c r="B32">
        <v>31</v>
      </c>
      <c r="C32" s="4" t="s">
        <v>26</v>
      </c>
      <c r="D32" s="4" t="s">
        <v>44</v>
      </c>
      <c r="E32" s="4" t="s">
        <v>27</v>
      </c>
      <c r="F32" s="4" t="s">
        <v>1655</v>
      </c>
      <c r="G32">
        <v>11</v>
      </c>
      <c r="H32">
        <v>51</v>
      </c>
      <c r="I32" s="4" t="s">
        <v>122</v>
      </c>
      <c r="J32">
        <v>1500</v>
      </c>
      <c r="K32" s="4" t="s">
        <v>158</v>
      </c>
    </row>
    <row r="33" spans="1:11" x14ac:dyDescent="0.2">
      <c r="A33" s="4" t="s">
        <v>216</v>
      </c>
      <c r="B33">
        <v>32</v>
      </c>
      <c r="C33" s="4" t="s">
        <v>26</v>
      </c>
      <c r="D33" s="4" t="s">
        <v>44</v>
      </c>
      <c r="E33" s="4" t="s">
        <v>27</v>
      </c>
      <c r="F33" s="4" t="s">
        <v>1655</v>
      </c>
      <c r="G33">
        <v>11</v>
      </c>
      <c r="H33">
        <v>51</v>
      </c>
      <c r="I33" s="4" t="s">
        <v>125</v>
      </c>
      <c r="J33">
        <v>250</v>
      </c>
      <c r="K33" s="4" t="s">
        <v>158</v>
      </c>
    </row>
    <row r="34" spans="1:11" x14ac:dyDescent="0.2">
      <c r="A34" s="4" t="s">
        <v>217</v>
      </c>
      <c r="B34">
        <v>33</v>
      </c>
      <c r="C34" s="4" t="s">
        <v>26</v>
      </c>
      <c r="D34" s="4" t="s">
        <v>44</v>
      </c>
      <c r="E34" s="4" t="s">
        <v>27</v>
      </c>
      <c r="F34" s="4" t="s">
        <v>1655</v>
      </c>
      <c r="G34">
        <v>11</v>
      </c>
      <c r="H34">
        <v>51</v>
      </c>
      <c r="I34" s="4" t="s">
        <v>127</v>
      </c>
      <c r="J34">
        <v>1250</v>
      </c>
      <c r="K34" s="4" t="s">
        <v>158</v>
      </c>
    </row>
    <row r="35" spans="1:11" x14ac:dyDescent="0.2">
      <c r="A35" s="4" t="s">
        <v>218</v>
      </c>
      <c r="B35">
        <v>34</v>
      </c>
      <c r="C35" s="4" t="s">
        <v>26</v>
      </c>
      <c r="D35" s="4" t="s">
        <v>44</v>
      </c>
      <c r="E35" s="4" t="s">
        <v>27</v>
      </c>
      <c r="F35" s="4" t="s">
        <v>1655</v>
      </c>
      <c r="G35">
        <v>11</v>
      </c>
      <c r="H35">
        <v>51</v>
      </c>
      <c r="I35" s="4" t="s">
        <v>131</v>
      </c>
      <c r="J35">
        <v>500</v>
      </c>
      <c r="K35" s="4" t="s">
        <v>158</v>
      </c>
    </row>
    <row r="36" spans="1:11" x14ac:dyDescent="0.2">
      <c r="A36" s="4" t="s">
        <v>219</v>
      </c>
      <c r="B36">
        <v>35</v>
      </c>
      <c r="C36" s="4" t="s">
        <v>26</v>
      </c>
      <c r="D36" s="4" t="s">
        <v>47</v>
      </c>
      <c r="E36" s="4" t="s">
        <v>27</v>
      </c>
      <c r="F36" s="4" t="s">
        <v>1953</v>
      </c>
      <c r="G36">
        <v>13</v>
      </c>
      <c r="H36">
        <v>61</v>
      </c>
      <c r="I36" s="4" t="s">
        <v>122</v>
      </c>
      <c r="J36">
        <v>1650</v>
      </c>
      <c r="K36" s="4" t="s">
        <v>158</v>
      </c>
    </row>
    <row r="37" spans="1:11" x14ac:dyDescent="0.2">
      <c r="A37" s="4" t="s">
        <v>220</v>
      </c>
      <c r="B37">
        <v>36</v>
      </c>
      <c r="C37" s="4" t="s">
        <v>26</v>
      </c>
      <c r="D37" s="4" t="s">
        <v>47</v>
      </c>
      <c r="E37" s="4" t="s">
        <v>27</v>
      </c>
      <c r="F37" s="4" t="s">
        <v>1953</v>
      </c>
      <c r="G37">
        <v>13</v>
      </c>
      <c r="H37">
        <v>61</v>
      </c>
      <c r="I37" s="4" t="s">
        <v>125</v>
      </c>
      <c r="J37">
        <v>300</v>
      </c>
      <c r="K37" s="4" t="s">
        <v>158</v>
      </c>
    </row>
    <row r="38" spans="1:11" x14ac:dyDescent="0.2">
      <c r="A38" s="4" t="s">
        <v>221</v>
      </c>
      <c r="B38">
        <v>37</v>
      </c>
      <c r="C38" s="4" t="s">
        <v>26</v>
      </c>
      <c r="D38" s="4" t="s">
        <v>47</v>
      </c>
      <c r="E38" s="4" t="s">
        <v>27</v>
      </c>
      <c r="F38" s="4" t="s">
        <v>1953</v>
      </c>
      <c r="G38">
        <v>13</v>
      </c>
      <c r="H38">
        <v>61</v>
      </c>
      <c r="I38" s="4" t="s">
        <v>127</v>
      </c>
      <c r="J38">
        <v>1450</v>
      </c>
      <c r="K38" s="4" t="s">
        <v>158</v>
      </c>
    </row>
    <row r="39" spans="1:11" x14ac:dyDescent="0.2">
      <c r="A39" s="4" t="s">
        <v>222</v>
      </c>
      <c r="B39">
        <v>38</v>
      </c>
      <c r="C39" s="4" t="s">
        <v>26</v>
      </c>
      <c r="D39" s="4" t="s">
        <v>47</v>
      </c>
      <c r="E39" s="4" t="s">
        <v>27</v>
      </c>
      <c r="F39" s="4" t="s">
        <v>1953</v>
      </c>
      <c r="G39">
        <v>13</v>
      </c>
      <c r="H39">
        <v>61</v>
      </c>
      <c r="I39" s="4" t="s">
        <v>129</v>
      </c>
      <c r="J39">
        <v>350</v>
      </c>
      <c r="K39" s="4" t="s">
        <v>158</v>
      </c>
    </row>
    <row r="40" spans="1:11" x14ac:dyDescent="0.2">
      <c r="A40" s="4" t="s">
        <v>223</v>
      </c>
      <c r="B40">
        <v>39</v>
      </c>
      <c r="C40" s="4" t="s">
        <v>26</v>
      </c>
      <c r="D40" s="4" t="s">
        <v>47</v>
      </c>
      <c r="E40" s="4" t="s">
        <v>27</v>
      </c>
      <c r="F40" s="4" t="s">
        <v>1953</v>
      </c>
      <c r="G40">
        <v>13</v>
      </c>
      <c r="H40">
        <v>61</v>
      </c>
      <c r="I40" s="4" t="s">
        <v>131</v>
      </c>
      <c r="J40">
        <v>560</v>
      </c>
      <c r="K40" s="4" t="s">
        <v>158</v>
      </c>
    </row>
    <row r="41" spans="1:11" x14ac:dyDescent="0.2">
      <c r="A41" s="4" t="s">
        <v>224</v>
      </c>
      <c r="B41">
        <v>40</v>
      </c>
      <c r="C41" s="4" t="s">
        <v>26</v>
      </c>
      <c r="D41" s="4" t="s">
        <v>47</v>
      </c>
      <c r="E41" s="4" t="s">
        <v>27</v>
      </c>
      <c r="F41" s="4" t="s">
        <v>1953</v>
      </c>
      <c r="G41">
        <v>13</v>
      </c>
      <c r="H41">
        <v>61</v>
      </c>
      <c r="I41" s="4" t="s">
        <v>133</v>
      </c>
      <c r="J41">
        <v>350</v>
      </c>
      <c r="K41" s="4" t="s">
        <v>158</v>
      </c>
    </row>
    <row r="42" spans="1:11" x14ac:dyDescent="0.2">
      <c r="A42" s="4" t="s">
        <v>225</v>
      </c>
      <c r="B42">
        <v>41</v>
      </c>
      <c r="C42" s="4" t="s">
        <v>26</v>
      </c>
      <c r="D42" s="4" t="s">
        <v>47</v>
      </c>
      <c r="E42" s="4" t="s">
        <v>50</v>
      </c>
      <c r="F42" s="4" t="s">
        <v>2157</v>
      </c>
      <c r="G42">
        <v>14</v>
      </c>
      <c r="H42">
        <v>68</v>
      </c>
      <c r="I42" s="4" t="s">
        <v>129</v>
      </c>
      <c r="J42">
        <v>400</v>
      </c>
      <c r="K42" s="4" t="s">
        <v>158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D5E2-31AF-2344-9428-2F83F2CBD224}">
  <dimension ref="A1:Q698"/>
  <sheetViews>
    <sheetView topLeftCell="E1" workbookViewId="0">
      <selection activeCell="N340" sqref="N340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3.6640625" bestFit="1" customWidth="1"/>
    <col min="10" max="10" width="45.33203125" bestFit="1" customWidth="1"/>
    <col min="11" max="11" width="16" bestFit="1" customWidth="1"/>
    <col min="12" max="12" width="24.83203125" bestFit="1" customWidth="1"/>
    <col min="13" max="13" width="15" bestFit="1" customWidth="1"/>
    <col min="14" max="14" width="17.33203125" bestFit="1" customWidth="1"/>
    <col min="15" max="15" width="26.1640625" bestFit="1" customWidth="1"/>
    <col min="16" max="16" width="11" bestFit="1" customWidth="1"/>
    <col min="17" max="17" width="13.1640625" bestFit="1" customWidth="1"/>
  </cols>
  <sheetData>
    <row r="1" spans="1:17" x14ac:dyDescent="0.2">
      <c r="A1" t="s">
        <v>0</v>
      </c>
      <c r="B1" t="s">
        <v>1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24</v>
      </c>
    </row>
    <row r="2" spans="1:17" x14ac:dyDescent="0.2">
      <c r="A2" s="4" t="s">
        <v>25</v>
      </c>
      <c r="B2">
        <v>1</v>
      </c>
      <c r="C2" s="4" t="s">
        <v>26</v>
      </c>
      <c r="D2" s="4" t="s">
        <v>27</v>
      </c>
      <c r="E2" s="4" t="s">
        <v>27</v>
      </c>
      <c r="F2" s="4" t="s">
        <v>28</v>
      </c>
      <c r="G2">
        <v>1</v>
      </c>
      <c r="H2">
        <v>1</v>
      </c>
      <c r="I2" s="4" t="s">
        <v>177</v>
      </c>
      <c r="J2" s="4" t="s">
        <v>178</v>
      </c>
      <c r="K2" s="4" t="s">
        <v>179</v>
      </c>
      <c r="L2" s="4" t="s">
        <v>180</v>
      </c>
      <c r="M2" s="4" t="s">
        <v>181</v>
      </c>
      <c r="N2" s="4" t="s">
        <v>182</v>
      </c>
      <c r="O2" s="4" t="s">
        <v>183</v>
      </c>
      <c r="P2">
        <v>250000</v>
      </c>
      <c r="Q2" s="4" t="s">
        <v>30</v>
      </c>
    </row>
    <row r="3" spans="1:17" x14ac:dyDescent="0.2">
      <c r="A3" s="4" t="s">
        <v>31</v>
      </c>
      <c r="B3">
        <v>2</v>
      </c>
      <c r="C3" s="4" t="s">
        <v>26</v>
      </c>
      <c r="D3" s="4" t="s">
        <v>27</v>
      </c>
      <c r="E3" s="4" t="s">
        <v>27</v>
      </c>
      <c r="F3" s="4" t="s">
        <v>28</v>
      </c>
      <c r="G3">
        <v>1</v>
      </c>
      <c r="H3">
        <v>1</v>
      </c>
      <c r="I3" s="4" t="s">
        <v>184</v>
      </c>
      <c r="J3" s="4" t="s">
        <v>185</v>
      </c>
      <c r="K3" s="4" t="s">
        <v>179</v>
      </c>
      <c r="L3" s="4" t="s">
        <v>186</v>
      </c>
      <c r="M3" s="4" t="s">
        <v>187</v>
      </c>
      <c r="N3" s="4" t="s">
        <v>188</v>
      </c>
      <c r="O3" s="4" t="s">
        <v>189</v>
      </c>
      <c r="P3">
        <v>-500000</v>
      </c>
      <c r="Q3" s="4" t="s">
        <v>30</v>
      </c>
    </row>
    <row r="4" spans="1:17" x14ac:dyDescent="0.2">
      <c r="A4" s="4" t="s">
        <v>34</v>
      </c>
      <c r="B4">
        <v>3</v>
      </c>
      <c r="C4" s="4" t="s">
        <v>26</v>
      </c>
      <c r="D4" s="4" t="s">
        <v>27</v>
      </c>
      <c r="E4" s="4" t="s">
        <v>27</v>
      </c>
      <c r="F4" s="4" t="s">
        <v>28</v>
      </c>
      <c r="G4">
        <v>1</v>
      </c>
      <c r="H4">
        <v>1</v>
      </c>
      <c r="I4" s="4" t="s">
        <v>190</v>
      </c>
      <c r="J4" s="4" t="s">
        <v>191</v>
      </c>
      <c r="K4" s="4" t="s">
        <v>179</v>
      </c>
      <c r="L4" s="4" t="s">
        <v>180</v>
      </c>
      <c r="M4" s="4" t="s">
        <v>192</v>
      </c>
      <c r="N4" s="4" t="s">
        <v>182</v>
      </c>
      <c r="O4" s="4" t="s">
        <v>189</v>
      </c>
      <c r="P4">
        <v>-250000</v>
      </c>
      <c r="Q4" s="4" t="s">
        <v>30</v>
      </c>
    </row>
    <row r="5" spans="1:17" x14ac:dyDescent="0.2">
      <c r="A5" s="4" t="s">
        <v>37</v>
      </c>
      <c r="B5">
        <v>4</v>
      </c>
      <c r="C5" s="4" t="s">
        <v>26</v>
      </c>
      <c r="D5" s="4" t="s">
        <v>27</v>
      </c>
      <c r="E5" s="4" t="s">
        <v>27</v>
      </c>
      <c r="F5" s="4" t="s">
        <v>28</v>
      </c>
      <c r="G5">
        <v>1</v>
      </c>
      <c r="H5">
        <v>1</v>
      </c>
      <c r="I5" s="4" t="s">
        <v>190</v>
      </c>
      <c r="J5" s="4" t="s">
        <v>191</v>
      </c>
      <c r="K5" s="4" t="s">
        <v>179</v>
      </c>
      <c r="L5" s="4" t="s">
        <v>180</v>
      </c>
      <c r="M5" s="4" t="s">
        <v>192</v>
      </c>
      <c r="N5" s="4" t="s">
        <v>182</v>
      </c>
      <c r="O5" s="4" t="s">
        <v>183</v>
      </c>
      <c r="P5">
        <v>500000</v>
      </c>
      <c r="Q5" s="4" t="s">
        <v>30</v>
      </c>
    </row>
    <row r="6" spans="1:17" x14ac:dyDescent="0.2">
      <c r="A6" s="4" t="s">
        <v>40</v>
      </c>
      <c r="B6">
        <v>5</v>
      </c>
      <c r="C6" s="4" t="s">
        <v>26</v>
      </c>
      <c r="D6" s="4" t="s">
        <v>27</v>
      </c>
      <c r="E6" s="4" t="s">
        <v>35</v>
      </c>
      <c r="F6" s="4" t="s">
        <v>36</v>
      </c>
      <c r="G6">
        <v>1</v>
      </c>
      <c r="H6">
        <v>3</v>
      </c>
      <c r="I6" s="4" t="s">
        <v>193</v>
      </c>
      <c r="J6" s="4" t="s">
        <v>194</v>
      </c>
      <c r="K6" s="4" t="s">
        <v>179</v>
      </c>
      <c r="L6" s="4" t="s">
        <v>186</v>
      </c>
      <c r="M6" s="4" t="s">
        <v>195</v>
      </c>
      <c r="N6" s="4" t="s">
        <v>196</v>
      </c>
      <c r="O6" s="4" t="s">
        <v>189</v>
      </c>
      <c r="P6">
        <v>-165409.28</v>
      </c>
      <c r="Q6" s="4" t="s">
        <v>30</v>
      </c>
    </row>
    <row r="7" spans="1:17" x14ac:dyDescent="0.2">
      <c r="A7" s="4" t="s">
        <v>43</v>
      </c>
      <c r="B7">
        <v>6</v>
      </c>
      <c r="C7" s="4" t="s">
        <v>26</v>
      </c>
      <c r="D7" s="4" t="s">
        <v>27</v>
      </c>
      <c r="E7" s="4" t="s">
        <v>35</v>
      </c>
      <c r="F7" s="4" t="s">
        <v>36</v>
      </c>
      <c r="G7">
        <v>1</v>
      </c>
      <c r="H7">
        <v>3</v>
      </c>
      <c r="I7" s="4" t="s">
        <v>197</v>
      </c>
      <c r="J7" s="4" t="s">
        <v>198</v>
      </c>
      <c r="K7" s="4" t="s">
        <v>179</v>
      </c>
      <c r="L7" s="4" t="s">
        <v>186</v>
      </c>
      <c r="M7" s="4" t="s">
        <v>195</v>
      </c>
      <c r="N7" s="4" t="s">
        <v>196</v>
      </c>
      <c r="O7" s="4" t="s">
        <v>189</v>
      </c>
      <c r="P7">
        <v>-164409.28</v>
      </c>
      <c r="Q7" s="4" t="s">
        <v>30</v>
      </c>
    </row>
    <row r="8" spans="1:17" x14ac:dyDescent="0.2">
      <c r="A8" s="4" t="s">
        <v>46</v>
      </c>
      <c r="B8">
        <v>7</v>
      </c>
      <c r="C8" s="4" t="s">
        <v>26</v>
      </c>
      <c r="D8" s="4" t="s">
        <v>27</v>
      </c>
      <c r="E8" s="4" t="s">
        <v>35</v>
      </c>
      <c r="F8" s="4" t="s">
        <v>36</v>
      </c>
      <c r="G8">
        <v>1</v>
      </c>
      <c r="H8">
        <v>3</v>
      </c>
      <c r="I8" s="4" t="s">
        <v>197</v>
      </c>
      <c r="J8" s="4" t="s">
        <v>198</v>
      </c>
      <c r="K8" s="4" t="s">
        <v>179</v>
      </c>
      <c r="L8" s="4" t="s">
        <v>186</v>
      </c>
      <c r="M8" s="4" t="s">
        <v>195</v>
      </c>
      <c r="N8" s="4" t="s">
        <v>196</v>
      </c>
      <c r="O8" s="4" t="s">
        <v>183</v>
      </c>
      <c r="P8">
        <v>164409.28</v>
      </c>
      <c r="Q8" s="4" t="s">
        <v>30</v>
      </c>
    </row>
    <row r="9" spans="1:17" x14ac:dyDescent="0.2">
      <c r="A9" s="4" t="s">
        <v>49</v>
      </c>
      <c r="B9">
        <v>8</v>
      </c>
      <c r="C9" s="4" t="s">
        <v>26</v>
      </c>
      <c r="D9" s="4" t="s">
        <v>27</v>
      </c>
      <c r="E9" s="4" t="s">
        <v>35</v>
      </c>
      <c r="F9" s="4" t="s">
        <v>36</v>
      </c>
      <c r="G9">
        <v>1</v>
      </c>
      <c r="H9">
        <v>3</v>
      </c>
      <c r="I9" s="4" t="s">
        <v>199</v>
      </c>
      <c r="J9" s="4" t="s">
        <v>200</v>
      </c>
      <c r="K9" s="4" t="s">
        <v>179</v>
      </c>
      <c r="L9" s="4" t="s">
        <v>186</v>
      </c>
      <c r="M9" s="4" t="s">
        <v>195</v>
      </c>
      <c r="N9" s="4" t="s">
        <v>196</v>
      </c>
      <c r="O9" s="4" t="s">
        <v>189</v>
      </c>
      <c r="P9">
        <v>-1000</v>
      </c>
      <c r="Q9" s="4" t="s">
        <v>30</v>
      </c>
    </row>
    <row r="10" spans="1:17" x14ac:dyDescent="0.2">
      <c r="A10" s="4" t="s">
        <v>52</v>
      </c>
      <c r="B10">
        <v>9</v>
      </c>
      <c r="C10" s="4" t="s">
        <v>26</v>
      </c>
      <c r="D10" s="4" t="s">
        <v>27</v>
      </c>
      <c r="E10" s="4" t="s">
        <v>35</v>
      </c>
      <c r="F10" s="4" t="s">
        <v>36</v>
      </c>
      <c r="G10">
        <v>1</v>
      </c>
      <c r="H10">
        <v>3</v>
      </c>
      <c r="I10" s="4" t="s">
        <v>199</v>
      </c>
      <c r="J10" s="4" t="s">
        <v>200</v>
      </c>
      <c r="K10" s="4" t="s">
        <v>179</v>
      </c>
      <c r="L10" s="4" t="s">
        <v>186</v>
      </c>
      <c r="M10" s="4" t="s">
        <v>195</v>
      </c>
      <c r="N10" s="4" t="s">
        <v>196</v>
      </c>
      <c r="O10" s="4" t="s">
        <v>183</v>
      </c>
      <c r="P10">
        <v>1000</v>
      </c>
      <c r="Q10" s="4" t="s">
        <v>30</v>
      </c>
    </row>
    <row r="11" spans="1:17" x14ac:dyDescent="0.2">
      <c r="A11" s="4" t="s">
        <v>55</v>
      </c>
      <c r="B11">
        <v>10</v>
      </c>
      <c r="C11" s="4" t="s">
        <v>26</v>
      </c>
      <c r="D11" s="4" t="s">
        <v>27</v>
      </c>
      <c r="E11" s="4" t="s">
        <v>35</v>
      </c>
      <c r="F11" s="4" t="s">
        <v>36</v>
      </c>
      <c r="G11">
        <v>1</v>
      </c>
      <c r="H11">
        <v>3</v>
      </c>
      <c r="I11" s="4" t="s">
        <v>201</v>
      </c>
      <c r="J11" s="4" t="s">
        <v>202</v>
      </c>
      <c r="K11" s="4" t="s">
        <v>179</v>
      </c>
      <c r="L11" s="4" t="s">
        <v>180</v>
      </c>
      <c r="M11" s="4" t="s">
        <v>192</v>
      </c>
      <c r="N11" s="4" t="s">
        <v>182</v>
      </c>
      <c r="O11" s="4" t="s">
        <v>183</v>
      </c>
      <c r="P11">
        <v>165409.28</v>
      </c>
      <c r="Q11" s="4" t="s">
        <v>30</v>
      </c>
    </row>
    <row r="12" spans="1:17" x14ac:dyDescent="0.2">
      <c r="A12" s="4" t="s">
        <v>58</v>
      </c>
      <c r="B12">
        <v>11</v>
      </c>
      <c r="C12" s="4" t="s">
        <v>26</v>
      </c>
      <c r="D12" s="4" t="s">
        <v>27</v>
      </c>
      <c r="E12" s="4" t="s">
        <v>38</v>
      </c>
      <c r="F12" s="4" t="s">
        <v>39</v>
      </c>
      <c r="G12">
        <v>1</v>
      </c>
      <c r="H12">
        <v>4</v>
      </c>
      <c r="I12" s="4" t="s">
        <v>190</v>
      </c>
      <c r="J12" s="4" t="s">
        <v>191</v>
      </c>
      <c r="K12" s="4" t="s">
        <v>179</v>
      </c>
      <c r="L12" s="4" t="s">
        <v>180</v>
      </c>
      <c r="M12" s="4" t="s">
        <v>192</v>
      </c>
      <c r="N12" s="4" t="s">
        <v>182</v>
      </c>
      <c r="O12" s="4" t="s">
        <v>189</v>
      </c>
      <c r="P12">
        <v>-300</v>
      </c>
      <c r="Q12" s="4" t="s">
        <v>30</v>
      </c>
    </row>
    <row r="13" spans="1:17" x14ac:dyDescent="0.2">
      <c r="A13" s="4" t="s">
        <v>60</v>
      </c>
      <c r="B13">
        <v>12</v>
      </c>
      <c r="C13" s="4" t="s">
        <v>26</v>
      </c>
      <c r="D13" s="4" t="s">
        <v>27</v>
      </c>
      <c r="E13" s="4" t="s">
        <v>38</v>
      </c>
      <c r="F13" s="4" t="s">
        <v>39</v>
      </c>
      <c r="G13">
        <v>1</v>
      </c>
      <c r="H13">
        <v>4</v>
      </c>
      <c r="I13" s="4" t="s">
        <v>203</v>
      </c>
      <c r="J13" s="4" t="s">
        <v>204</v>
      </c>
      <c r="K13" s="4" t="s">
        <v>205</v>
      </c>
      <c r="L13" s="4" t="s">
        <v>206</v>
      </c>
      <c r="M13" s="4" t="s">
        <v>182</v>
      </c>
      <c r="N13" s="4" t="s">
        <v>182</v>
      </c>
      <c r="O13" s="4" t="s">
        <v>183</v>
      </c>
      <c r="P13">
        <v>300</v>
      </c>
      <c r="Q13" s="4" t="s">
        <v>30</v>
      </c>
    </row>
    <row r="14" spans="1:17" x14ac:dyDescent="0.2">
      <c r="A14" s="4" t="s">
        <v>62</v>
      </c>
      <c r="B14">
        <v>13</v>
      </c>
      <c r="C14" s="4" t="s">
        <v>26</v>
      </c>
      <c r="D14" s="4" t="s">
        <v>27</v>
      </c>
      <c r="E14" s="4" t="s">
        <v>41</v>
      </c>
      <c r="F14" s="4" t="s">
        <v>42</v>
      </c>
      <c r="G14">
        <v>1</v>
      </c>
      <c r="H14">
        <v>5</v>
      </c>
      <c r="I14" s="4" t="s">
        <v>207</v>
      </c>
      <c r="J14" s="4" t="s">
        <v>208</v>
      </c>
      <c r="K14" s="4" t="s">
        <v>179</v>
      </c>
      <c r="L14" s="4" t="s">
        <v>180</v>
      </c>
      <c r="M14" s="4" t="s">
        <v>192</v>
      </c>
      <c r="N14" s="4" t="s">
        <v>182</v>
      </c>
      <c r="O14" s="4" t="s">
        <v>183</v>
      </c>
      <c r="P14">
        <v>7873.92</v>
      </c>
      <c r="Q14" s="4" t="s">
        <v>30</v>
      </c>
    </row>
    <row r="15" spans="1:17" x14ac:dyDescent="0.2">
      <c r="A15" s="4" t="s">
        <v>64</v>
      </c>
      <c r="B15">
        <v>14</v>
      </c>
      <c r="C15" s="4" t="s">
        <v>26</v>
      </c>
      <c r="D15" s="4" t="s">
        <v>27</v>
      </c>
      <c r="E15" s="4" t="s">
        <v>41</v>
      </c>
      <c r="F15" s="4" t="s">
        <v>42</v>
      </c>
      <c r="G15">
        <v>1</v>
      </c>
      <c r="H15">
        <v>5</v>
      </c>
      <c r="I15" s="4" t="s">
        <v>209</v>
      </c>
      <c r="J15" s="4" t="s">
        <v>210</v>
      </c>
      <c r="K15" s="4" t="s">
        <v>205</v>
      </c>
      <c r="L15" s="4" t="s">
        <v>211</v>
      </c>
      <c r="M15" s="4" t="s">
        <v>182</v>
      </c>
      <c r="N15" s="4" t="s">
        <v>182</v>
      </c>
      <c r="O15" s="4" t="s">
        <v>183</v>
      </c>
      <c r="P15">
        <v>6219.86</v>
      </c>
      <c r="Q15" s="4" t="s">
        <v>30</v>
      </c>
    </row>
    <row r="16" spans="1:17" x14ac:dyDescent="0.2">
      <c r="A16" s="4" t="s">
        <v>66</v>
      </c>
      <c r="B16">
        <v>15</v>
      </c>
      <c r="C16" s="4" t="s">
        <v>26</v>
      </c>
      <c r="D16" s="4" t="s">
        <v>27</v>
      </c>
      <c r="E16" s="4" t="s">
        <v>41</v>
      </c>
      <c r="F16" s="4" t="s">
        <v>42</v>
      </c>
      <c r="G16">
        <v>1</v>
      </c>
      <c r="H16">
        <v>5</v>
      </c>
      <c r="I16" s="4" t="s">
        <v>201</v>
      </c>
      <c r="J16" s="4" t="s">
        <v>202</v>
      </c>
      <c r="K16" s="4" t="s">
        <v>179</v>
      </c>
      <c r="L16" s="4" t="s">
        <v>180</v>
      </c>
      <c r="M16" s="4" t="s">
        <v>192</v>
      </c>
      <c r="N16" s="4" t="s">
        <v>182</v>
      </c>
      <c r="O16" s="4" t="s">
        <v>189</v>
      </c>
      <c r="P16">
        <v>-6219.86</v>
      </c>
      <c r="Q16" s="4" t="s">
        <v>30</v>
      </c>
    </row>
    <row r="17" spans="1:17" x14ac:dyDescent="0.2">
      <c r="A17" s="4" t="s">
        <v>68</v>
      </c>
      <c r="B17">
        <v>16</v>
      </c>
      <c r="C17" s="4" t="s">
        <v>26</v>
      </c>
      <c r="D17" s="4" t="s">
        <v>27</v>
      </c>
      <c r="E17" s="4" t="s">
        <v>41</v>
      </c>
      <c r="F17" s="4" t="s">
        <v>42</v>
      </c>
      <c r="G17">
        <v>1</v>
      </c>
      <c r="H17">
        <v>5</v>
      </c>
      <c r="I17" s="4" t="s">
        <v>212</v>
      </c>
      <c r="J17" s="4" t="s">
        <v>213</v>
      </c>
      <c r="K17" s="4" t="s">
        <v>205</v>
      </c>
      <c r="L17" s="4" t="s">
        <v>214</v>
      </c>
      <c r="M17" s="4" t="s">
        <v>182</v>
      </c>
      <c r="N17" s="4" t="s">
        <v>182</v>
      </c>
      <c r="O17" s="4" t="s">
        <v>189</v>
      </c>
      <c r="P17">
        <v>-7873.92</v>
      </c>
      <c r="Q17" s="4" t="s">
        <v>30</v>
      </c>
    </row>
    <row r="18" spans="1:17" x14ac:dyDescent="0.2">
      <c r="A18" s="4" t="s">
        <v>70</v>
      </c>
      <c r="B18">
        <v>17</v>
      </c>
      <c r="C18" s="4" t="s">
        <v>26</v>
      </c>
      <c r="D18" s="4" t="s">
        <v>27</v>
      </c>
      <c r="E18" s="4" t="s">
        <v>44</v>
      </c>
      <c r="F18" s="4" t="s">
        <v>45</v>
      </c>
      <c r="G18">
        <v>2</v>
      </c>
      <c r="H18">
        <v>6</v>
      </c>
      <c r="I18" s="4" t="s">
        <v>190</v>
      </c>
      <c r="J18" s="4" t="s">
        <v>191</v>
      </c>
      <c r="K18" s="4" t="s">
        <v>179</v>
      </c>
      <c r="L18" s="4" t="s">
        <v>180</v>
      </c>
      <c r="M18" s="4" t="s">
        <v>192</v>
      </c>
      <c r="N18" s="4" t="s">
        <v>182</v>
      </c>
      <c r="O18" s="4" t="s">
        <v>189</v>
      </c>
      <c r="P18">
        <v>-300</v>
      </c>
      <c r="Q18" s="4" t="s">
        <v>30</v>
      </c>
    </row>
    <row r="19" spans="1:17" x14ac:dyDescent="0.2">
      <c r="A19" s="4" t="s">
        <v>72</v>
      </c>
      <c r="B19">
        <v>18</v>
      </c>
      <c r="C19" s="4" t="s">
        <v>26</v>
      </c>
      <c r="D19" s="4" t="s">
        <v>27</v>
      </c>
      <c r="E19" s="4" t="s">
        <v>44</v>
      </c>
      <c r="F19" s="4" t="s">
        <v>45</v>
      </c>
      <c r="G19">
        <v>2</v>
      </c>
      <c r="H19">
        <v>6</v>
      </c>
      <c r="I19" s="4" t="s">
        <v>207</v>
      </c>
      <c r="J19" s="4" t="s">
        <v>208</v>
      </c>
      <c r="K19" s="4" t="s">
        <v>179</v>
      </c>
      <c r="L19" s="4" t="s">
        <v>180</v>
      </c>
      <c r="M19" s="4" t="s">
        <v>192</v>
      </c>
      <c r="N19" s="4" t="s">
        <v>182</v>
      </c>
      <c r="O19" s="4" t="s">
        <v>183</v>
      </c>
      <c r="P19">
        <v>7222.44</v>
      </c>
      <c r="Q19" s="4" t="s">
        <v>30</v>
      </c>
    </row>
    <row r="20" spans="1:17" x14ac:dyDescent="0.2">
      <c r="A20" s="4" t="s">
        <v>74</v>
      </c>
      <c r="B20">
        <v>19</v>
      </c>
      <c r="C20" s="4" t="s">
        <v>26</v>
      </c>
      <c r="D20" s="4" t="s">
        <v>27</v>
      </c>
      <c r="E20" s="4" t="s">
        <v>44</v>
      </c>
      <c r="F20" s="4" t="s">
        <v>45</v>
      </c>
      <c r="G20">
        <v>2</v>
      </c>
      <c r="H20">
        <v>6</v>
      </c>
      <c r="I20" s="4" t="s">
        <v>193</v>
      </c>
      <c r="J20" s="4" t="s">
        <v>194</v>
      </c>
      <c r="K20" s="4" t="s">
        <v>179</v>
      </c>
      <c r="L20" s="4" t="s">
        <v>186</v>
      </c>
      <c r="M20" s="4" t="s">
        <v>195</v>
      </c>
      <c r="N20" s="4" t="s">
        <v>196</v>
      </c>
      <c r="O20" s="4" t="s">
        <v>189</v>
      </c>
      <c r="P20">
        <v>-1306.58</v>
      </c>
      <c r="Q20" s="4" t="s">
        <v>30</v>
      </c>
    </row>
    <row r="21" spans="1:17" x14ac:dyDescent="0.2">
      <c r="A21" s="4" t="s">
        <v>76</v>
      </c>
      <c r="B21">
        <v>20</v>
      </c>
      <c r="C21" s="4" t="s">
        <v>26</v>
      </c>
      <c r="D21" s="4" t="s">
        <v>27</v>
      </c>
      <c r="E21" s="4" t="s">
        <v>44</v>
      </c>
      <c r="F21" s="4" t="s">
        <v>45</v>
      </c>
      <c r="G21">
        <v>2</v>
      </c>
      <c r="H21">
        <v>6</v>
      </c>
      <c r="I21" s="4" t="s">
        <v>197</v>
      </c>
      <c r="J21" s="4" t="s">
        <v>198</v>
      </c>
      <c r="K21" s="4" t="s">
        <v>179</v>
      </c>
      <c r="L21" s="4" t="s">
        <v>186</v>
      </c>
      <c r="M21" s="4" t="s">
        <v>195</v>
      </c>
      <c r="N21" s="4" t="s">
        <v>196</v>
      </c>
      <c r="O21" s="4" t="s">
        <v>189</v>
      </c>
      <c r="P21">
        <v>-306.58</v>
      </c>
      <c r="Q21" s="4" t="s">
        <v>30</v>
      </c>
    </row>
    <row r="22" spans="1:17" x14ac:dyDescent="0.2">
      <c r="A22" s="4" t="s">
        <v>78</v>
      </c>
      <c r="B22">
        <v>21</v>
      </c>
      <c r="C22" s="4" t="s">
        <v>26</v>
      </c>
      <c r="D22" s="4" t="s">
        <v>27</v>
      </c>
      <c r="E22" s="4" t="s">
        <v>44</v>
      </c>
      <c r="F22" s="4" t="s">
        <v>45</v>
      </c>
      <c r="G22">
        <v>2</v>
      </c>
      <c r="H22">
        <v>6</v>
      </c>
      <c r="I22" s="4" t="s">
        <v>197</v>
      </c>
      <c r="J22" s="4" t="s">
        <v>198</v>
      </c>
      <c r="K22" s="4" t="s">
        <v>179</v>
      </c>
      <c r="L22" s="4" t="s">
        <v>186</v>
      </c>
      <c r="M22" s="4" t="s">
        <v>195</v>
      </c>
      <c r="N22" s="4" t="s">
        <v>196</v>
      </c>
      <c r="O22" s="4" t="s">
        <v>183</v>
      </c>
      <c r="P22">
        <v>306.58</v>
      </c>
      <c r="Q22" s="4" t="s">
        <v>30</v>
      </c>
    </row>
    <row r="23" spans="1:17" x14ac:dyDescent="0.2">
      <c r="A23" s="4" t="s">
        <v>80</v>
      </c>
      <c r="B23">
        <v>22</v>
      </c>
      <c r="C23" s="4" t="s">
        <v>26</v>
      </c>
      <c r="D23" s="4" t="s">
        <v>27</v>
      </c>
      <c r="E23" s="4" t="s">
        <v>44</v>
      </c>
      <c r="F23" s="4" t="s">
        <v>45</v>
      </c>
      <c r="G23">
        <v>2</v>
      </c>
      <c r="H23">
        <v>6</v>
      </c>
      <c r="I23" s="4" t="s">
        <v>199</v>
      </c>
      <c r="J23" s="4" t="s">
        <v>200</v>
      </c>
      <c r="K23" s="4" t="s">
        <v>179</v>
      </c>
      <c r="L23" s="4" t="s">
        <v>186</v>
      </c>
      <c r="M23" s="4" t="s">
        <v>195</v>
      </c>
      <c r="N23" s="4" t="s">
        <v>196</v>
      </c>
      <c r="O23" s="4" t="s">
        <v>189</v>
      </c>
      <c r="P23">
        <v>-1000</v>
      </c>
      <c r="Q23" s="4" t="s">
        <v>30</v>
      </c>
    </row>
    <row r="24" spans="1:17" x14ac:dyDescent="0.2">
      <c r="A24" s="4" t="s">
        <v>82</v>
      </c>
      <c r="B24">
        <v>23</v>
      </c>
      <c r="C24" s="4" t="s">
        <v>26</v>
      </c>
      <c r="D24" s="4" t="s">
        <v>27</v>
      </c>
      <c r="E24" s="4" t="s">
        <v>44</v>
      </c>
      <c r="F24" s="4" t="s">
        <v>45</v>
      </c>
      <c r="G24">
        <v>2</v>
      </c>
      <c r="H24">
        <v>6</v>
      </c>
      <c r="I24" s="4" t="s">
        <v>199</v>
      </c>
      <c r="J24" s="4" t="s">
        <v>200</v>
      </c>
      <c r="K24" s="4" t="s">
        <v>179</v>
      </c>
      <c r="L24" s="4" t="s">
        <v>186</v>
      </c>
      <c r="M24" s="4" t="s">
        <v>195</v>
      </c>
      <c r="N24" s="4" t="s">
        <v>196</v>
      </c>
      <c r="O24" s="4" t="s">
        <v>183</v>
      </c>
      <c r="P24">
        <v>1000</v>
      </c>
      <c r="Q24" s="4" t="s">
        <v>30</v>
      </c>
    </row>
    <row r="25" spans="1:17" x14ac:dyDescent="0.2">
      <c r="A25" s="4" t="s">
        <v>84</v>
      </c>
      <c r="B25">
        <v>24</v>
      </c>
      <c r="C25" s="4" t="s">
        <v>26</v>
      </c>
      <c r="D25" s="4" t="s">
        <v>27</v>
      </c>
      <c r="E25" s="4" t="s">
        <v>44</v>
      </c>
      <c r="F25" s="4" t="s">
        <v>45</v>
      </c>
      <c r="G25">
        <v>2</v>
      </c>
      <c r="H25">
        <v>6</v>
      </c>
      <c r="I25" s="4" t="s">
        <v>209</v>
      </c>
      <c r="J25" s="4" t="s">
        <v>210</v>
      </c>
      <c r="K25" s="4" t="s">
        <v>205</v>
      </c>
      <c r="L25" s="4" t="s">
        <v>211</v>
      </c>
      <c r="M25" s="4" t="s">
        <v>182</v>
      </c>
      <c r="N25" s="4" t="s">
        <v>182</v>
      </c>
      <c r="O25" s="4" t="s">
        <v>183</v>
      </c>
      <c r="P25">
        <v>5749.07</v>
      </c>
      <c r="Q25" s="4" t="s">
        <v>30</v>
      </c>
    </row>
    <row r="26" spans="1:17" x14ac:dyDescent="0.2">
      <c r="A26" s="4" t="s">
        <v>86</v>
      </c>
      <c r="B26">
        <v>25</v>
      </c>
      <c r="C26" s="4" t="s">
        <v>26</v>
      </c>
      <c r="D26" s="4" t="s">
        <v>27</v>
      </c>
      <c r="E26" s="4" t="s">
        <v>44</v>
      </c>
      <c r="F26" s="4" t="s">
        <v>45</v>
      </c>
      <c r="G26">
        <v>2</v>
      </c>
      <c r="H26">
        <v>6</v>
      </c>
      <c r="I26" s="4" t="s">
        <v>203</v>
      </c>
      <c r="J26" s="4" t="s">
        <v>204</v>
      </c>
      <c r="K26" s="4" t="s">
        <v>205</v>
      </c>
      <c r="L26" s="4" t="s">
        <v>206</v>
      </c>
      <c r="M26" s="4" t="s">
        <v>182</v>
      </c>
      <c r="N26" s="4" t="s">
        <v>182</v>
      </c>
      <c r="O26" s="4" t="s">
        <v>183</v>
      </c>
      <c r="P26">
        <v>300</v>
      </c>
      <c r="Q26" s="4" t="s">
        <v>30</v>
      </c>
    </row>
    <row r="27" spans="1:17" x14ac:dyDescent="0.2">
      <c r="A27" s="4" t="s">
        <v>88</v>
      </c>
      <c r="B27">
        <v>26</v>
      </c>
      <c r="C27" s="4" t="s">
        <v>26</v>
      </c>
      <c r="D27" s="4" t="s">
        <v>27</v>
      </c>
      <c r="E27" s="4" t="s">
        <v>44</v>
      </c>
      <c r="F27" s="4" t="s">
        <v>45</v>
      </c>
      <c r="G27">
        <v>2</v>
      </c>
      <c r="H27">
        <v>6</v>
      </c>
      <c r="I27" s="4" t="s">
        <v>201</v>
      </c>
      <c r="J27" s="4" t="s">
        <v>202</v>
      </c>
      <c r="K27" s="4" t="s">
        <v>179</v>
      </c>
      <c r="L27" s="4" t="s">
        <v>180</v>
      </c>
      <c r="M27" s="4" t="s">
        <v>192</v>
      </c>
      <c r="N27" s="4" t="s">
        <v>182</v>
      </c>
      <c r="O27" s="4" t="s">
        <v>189</v>
      </c>
      <c r="P27">
        <v>-5749.08</v>
      </c>
      <c r="Q27" s="4" t="s">
        <v>30</v>
      </c>
    </row>
    <row r="28" spans="1:17" x14ac:dyDescent="0.2">
      <c r="A28" s="4" t="s">
        <v>90</v>
      </c>
      <c r="B28">
        <v>27</v>
      </c>
      <c r="C28" s="4" t="s">
        <v>26</v>
      </c>
      <c r="D28" s="4" t="s">
        <v>27</v>
      </c>
      <c r="E28" s="4" t="s">
        <v>44</v>
      </c>
      <c r="F28" s="4" t="s">
        <v>45</v>
      </c>
      <c r="G28">
        <v>2</v>
      </c>
      <c r="H28">
        <v>6</v>
      </c>
      <c r="I28" s="4" t="s">
        <v>201</v>
      </c>
      <c r="J28" s="4" t="s">
        <v>202</v>
      </c>
      <c r="K28" s="4" t="s">
        <v>179</v>
      </c>
      <c r="L28" s="4" t="s">
        <v>180</v>
      </c>
      <c r="M28" s="4" t="s">
        <v>192</v>
      </c>
      <c r="N28" s="4" t="s">
        <v>182</v>
      </c>
      <c r="O28" s="4" t="s">
        <v>183</v>
      </c>
      <c r="P28">
        <v>1306.5899999999999</v>
      </c>
      <c r="Q28" s="4" t="s">
        <v>30</v>
      </c>
    </row>
    <row r="29" spans="1:17" x14ac:dyDescent="0.2">
      <c r="A29" s="4" t="s">
        <v>92</v>
      </c>
      <c r="B29">
        <v>28</v>
      </c>
      <c r="C29" s="4" t="s">
        <v>26</v>
      </c>
      <c r="D29" s="4" t="s">
        <v>27</v>
      </c>
      <c r="E29" s="4" t="s">
        <v>44</v>
      </c>
      <c r="F29" s="4" t="s">
        <v>45</v>
      </c>
      <c r="G29">
        <v>2</v>
      </c>
      <c r="H29">
        <v>6</v>
      </c>
      <c r="I29" s="4" t="s">
        <v>212</v>
      </c>
      <c r="J29" s="4" t="s">
        <v>213</v>
      </c>
      <c r="K29" s="4" t="s">
        <v>205</v>
      </c>
      <c r="L29" s="4" t="s">
        <v>214</v>
      </c>
      <c r="M29" s="4" t="s">
        <v>182</v>
      </c>
      <c r="N29" s="4" t="s">
        <v>182</v>
      </c>
      <c r="O29" s="4" t="s">
        <v>189</v>
      </c>
      <c r="P29">
        <v>-7222.44</v>
      </c>
      <c r="Q29" s="4" t="s">
        <v>30</v>
      </c>
    </row>
    <row r="30" spans="1:17" x14ac:dyDescent="0.2">
      <c r="A30" s="4" t="s">
        <v>94</v>
      </c>
      <c r="B30">
        <v>29</v>
      </c>
      <c r="C30" s="4" t="s">
        <v>26</v>
      </c>
      <c r="D30" s="4" t="s">
        <v>27</v>
      </c>
      <c r="E30" s="4" t="s">
        <v>47</v>
      </c>
      <c r="F30" s="4" t="s">
        <v>48</v>
      </c>
      <c r="G30">
        <v>2</v>
      </c>
      <c r="H30">
        <v>7</v>
      </c>
      <c r="I30" s="4" t="s">
        <v>190</v>
      </c>
      <c r="J30" s="4" t="s">
        <v>191</v>
      </c>
      <c r="K30" s="4" t="s">
        <v>179</v>
      </c>
      <c r="L30" s="4" t="s">
        <v>180</v>
      </c>
      <c r="M30" s="4" t="s">
        <v>192</v>
      </c>
      <c r="N30" s="4" t="s">
        <v>182</v>
      </c>
      <c r="O30" s="4" t="s">
        <v>189</v>
      </c>
      <c r="P30">
        <v>-300</v>
      </c>
      <c r="Q30" s="4" t="s">
        <v>30</v>
      </c>
    </row>
    <row r="31" spans="1:17" x14ac:dyDescent="0.2">
      <c r="A31" s="4" t="s">
        <v>96</v>
      </c>
      <c r="B31">
        <v>30</v>
      </c>
      <c r="C31" s="4" t="s">
        <v>26</v>
      </c>
      <c r="D31" s="4" t="s">
        <v>27</v>
      </c>
      <c r="E31" s="4" t="s">
        <v>47</v>
      </c>
      <c r="F31" s="4" t="s">
        <v>48</v>
      </c>
      <c r="G31">
        <v>2</v>
      </c>
      <c r="H31">
        <v>7</v>
      </c>
      <c r="I31" s="4" t="s">
        <v>207</v>
      </c>
      <c r="J31" s="4" t="s">
        <v>208</v>
      </c>
      <c r="K31" s="4" t="s">
        <v>179</v>
      </c>
      <c r="L31" s="4" t="s">
        <v>180</v>
      </c>
      <c r="M31" s="4" t="s">
        <v>192</v>
      </c>
      <c r="N31" s="4" t="s">
        <v>182</v>
      </c>
      <c r="O31" s="4" t="s">
        <v>183</v>
      </c>
      <c r="P31">
        <v>9611.23</v>
      </c>
      <c r="Q31" s="4" t="s">
        <v>30</v>
      </c>
    </row>
    <row r="32" spans="1:17" x14ac:dyDescent="0.2">
      <c r="A32" s="4" t="s">
        <v>215</v>
      </c>
      <c r="B32">
        <v>31</v>
      </c>
      <c r="C32" s="4" t="s">
        <v>26</v>
      </c>
      <c r="D32" s="4" t="s">
        <v>27</v>
      </c>
      <c r="E32" s="4" t="s">
        <v>47</v>
      </c>
      <c r="F32" s="4" t="s">
        <v>48</v>
      </c>
      <c r="G32">
        <v>2</v>
      </c>
      <c r="H32">
        <v>7</v>
      </c>
      <c r="I32" s="4" t="s">
        <v>193</v>
      </c>
      <c r="J32" s="4" t="s">
        <v>194</v>
      </c>
      <c r="K32" s="4" t="s">
        <v>179</v>
      </c>
      <c r="L32" s="4" t="s">
        <v>186</v>
      </c>
      <c r="M32" s="4" t="s">
        <v>195</v>
      </c>
      <c r="N32" s="4" t="s">
        <v>196</v>
      </c>
      <c r="O32" s="4" t="s">
        <v>189</v>
      </c>
      <c r="P32">
        <v>-7182.25</v>
      </c>
      <c r="Q32" s="4" t="s">
        <v>30</v>
      </c>
    </row>
    <row r="33" spans="1:17" x14ac:dyDescent="0.2">
      <c r="A33" s="4" t="s">
        <v>216</v>
      </c>
      <c r="B33">
        <v>32</v>
      </c>
      <c r="C33" s="4" t="s">
        <v>26</v>
      </c>
      <c r="D33" s="4" t="s">
        <v>27</v>
      </c>
      <c r="E33" s="4" t="s">
        <v>47</v>
      </c>
      <c r="F33" s="4" t="s">
        <v>48</v>
      </c>
      <c r="G33">
        <v>2</v>
      </c>
      <c r="H33">
        <v>7</v>
      </c>
      <c r="I33" s="4" t="s">
        <v>197</v>
      </c>
      <c r="J33" s="4" t="s">
        <v>198</v>
      </c>
      <c r="K33" s="4" t="s">
        <v>179</v>
      </c>
      <c r="L33" s="4" t="s">
        <v>186</v>
      </c>
      <c r="M33" s="4" t="s">
        <v>195</v>
      </c>
      <c r="N33" s="4" t="s">
        <v>196</v>
      </c>
      <c r="O33" s="4" t="s">
        <v>189</v>
      </c>
      <c r="P33">
        <v>-6182.25</v>
      </c>
      <c r="Q33" s="4" t="s">
        <v>30</v>
      </c>
    </row>
    <row r="34" spans="1:17" x14ac:dyDescent="0.2">
      <c r="A34" s="4" t="s">
        <v>217</v>
      </c>
      <c r="B34">
        <v>33</v>
      </c>
      <c r="C34" s="4" t="s">
        <v>26</v>
      </c>
      <c r="D34" s="4" t="s">
        <v>27</v>
      </c>
      <c r="E34" s="4" t="s">
        <v>47</v>
      </c>
      <c r="F34" s="4" t="s">
        <v>48</v>
      </c>
      <c r="G34">
        <v>2</v>
      </c>
      <c r="H34">
        <v>7</v>
      </c>
      <c r="I34" s="4" t="s">
        <v>197</v>
      </c>
      <c r="J34" s="4" t="s">
        <v>198</v>
      </c>
      <c r="K34" s="4" t="s">
        <v>179</v>
      </c>
      <c r="L34" s="4" t="s">
        <v>186</v>
      </c>
      <c r="M34" s="4" t="s">
        <v>195</v>
      </c>
      <c r="N34" s="4" t="s">
        <v>196</v>
      </c>
      <c r="O34" s="4" t="s">
        <v>183</v>
      </c>
      <c r="P34">
        <v>6182.25</v>
      </c>
      <c r="Q34" s="4" t="s">
        <v>30</v>
      </c>
    </row>
    <row r="35" spans="1:17" x14ac:dyDescent="0.2">
      <c r="A35" s="4" t="s">
        <v>218</v>
      </c>
      <c r="B35">
        <v>34</v>
      </c>
      <c r="C35" s="4" t="s">
        <v>26</v>
      </c>
      <c r="D35" s="4" t="s">
        <v>27</v>
      </c>
      <c r="E35" s="4" t="s">
        <v>47</v>
      </c>
      <c r="F35" s="4" t="s">
        <v>48</v>
      </c>
      <c r="G35">
        <v>2</v>
      </c>
      <c r="H35">
        <v>7</v>
      </c>
      <c r="I35" s="4" t="s">
        <v>199</v>
      </c>
      <c r="J35" s="4" t="s">
        <v>200</v>
      </c>
      <c r="K35" s="4" t="s">
        <v>179</v>
      </c>
      <c r="L35" s="4" t="s">
        <v>186</v>
      </c>
      <c r="M35" s="4" t="s">
        <v>195</v>
      </c>
      <c r="N35" s="4" t="s">
        <v>196</v>
      </c>
      <c r="O35" s="4" t="s">
        <v>189</v>
      </c>
      <c r="P35">
        <v>-1000</v>
      </c>
      <c r="Q35" s="4" t="s">
        <v>30</v>
      </c>
    </row>
    <row r="36" spans="1:17" x14ac:dyDescent="0.2">
      <c r="A36" s="4" t="s">
        <v>219</v>
      </c>
      <c r="B36">
        <v>35</v>
      </c>
      <c r="C36" s="4" t="s">
        <v>26</v>
      </c>
      <c r="D36" s="4" t="s">
        <v>27</v>
      </c>
      <c r="E36" s="4" t="s">
        <v>47</v>
      </c>
      <c r="F36" s="4" t="s">
        <v>48</v>
      </c>
      <c r="G36">
        <v>2</v>
      </c>
      <c r="H36">
        <v>7</v>
      </c>
      <c r="I36" s="4" t="s">
        <v>199</v>
      </c>
      <c r="J36" s="4" t="s">
        <v>200</v>
      </c>
      <c r="K36" s="4" t="s">
        <v>179</v>
      </c>
      <c r="L36" s="4" t="s">
        <v>186</v>
      </c>
      <c r="M36" s="4" t="s">
        <v>195</v>
      </c>
      <c r="N36" s="4" t="s">
        <v>196</v>
      </c>
      <c r="O36" s="4" t="s">
        <v>183</v>
      </c>
      <c r="P36">
        <v>1000</v>
      </c>
      <c r="Q36" s="4" t="s">
        <v>30</v>
      </c>
    </row>
    <row r="37" spans="1:17" x14ac:dyDescent="0.2">
      <c r="A37" s="4" t="s">
        <v>220</v>
      </c>
      <c r="B37">
        <v>36</v>
      </c>
      <c r="C37" s="4" t="s">
        <v>26</v>
      </c>
      <c r="D37" s="4" t="s">
        <v>27</v>
      </c>
      <c r="E37" s="4" t="s">
        <v>47</v>
      </c>
      <c r="F37" s="4" t="s">
        <v>48</v>
      </c>
      <c r="G37">
        <v>2</v>
      </c>
      <c r="H37">
        <v>7</v>
      </c>
      <c r="I37" s="4" t="s">
        <v>209</v>
      </c>
      <c r="J37" s="4" t="s">
        <v>210</v>
      </c>
      <c r="K37" s="4" t="s">
        <v>205</v>
      </c>
      <c r="L37" s="4" t="s">
        <v>211</v>
      </c>
      <c r="M37" s="4" t="s">
        <v>182</v>
      </c>
      <c r="N37" s="4" t="s">
        <v>182</v>
      </c>
      <c r="O37" s="4" t="s">
        <v>183</v>
      </c>
      <c r="P37">
        <v>7757.07</v>
      </c>
      <c r="Q37" s="4" t="s">
        <v>30</v>
      </c>
    </row>
    <row r="38" spans="1:17" x14ac:dyDescent="0.2">
      <c r="A38" s="4" t="s">
        <v>221</v>
      </c>
      <c r="B38">
        <v>37</v>
      </c>
      <c r="C38" s="4" t="s">
        <v>26</v>
      </c>
      <c r="D38" s="4" t="s">
        <v>27</v>
      </c>
      <c r="E38" s="4" t="s">
        <v>47</v>
      </c>
      <c r="F38" s="4" t="s">
        <v>48</v>
      </c>
      <c r="G38">
        <v>2</v>
      </c>
      <c r="H38">
        <v>7</v>
      </c>
      <c r="I38" s="4" t="s">
        <v>203</v>
      </c>
      <c r="J38" s="4" t="s">
        <v>204</v>
      </c>
      <c r="K38" s="4" t="s">
        <v>205</v>
      </c>
      <c r="L38" s="4" t="s">
        <v>206</v>
      </c>
      <c r="M38" s="4" t="s">
        <v>182</v>
      </c>
      <c r="N38" s="4" t="s">
        <v>182</v>
      </c>
      <c r="O38" s="4" t="s">
        <v>183</v>
      </c>
      <c r="P38">
        <v>300</v>
      </c>
      <c r="Q38" s="4" t="s">
        <v>30</v>
      </c>
    </row>
    <row r="39" spans="1:17" x14ac:dyDescent="0.2">
      <c r="A39" s="4" t="s">
        <v>222</v>
      </c>
      <c r="B39">
        <v>38</v>
      </c>
      <c r="C39" s="4" t="s">
        <v>26</v>
      </c>
      <c r="D39" s="4" t="s">
        <v>27</v>
      </c>
      <c r="E39" s="4" t="s">
        <v>47</v>
      </c>
      <c r="F39" s="4" t="s">
        <v>48</v>
      </c>
      <c r="G39">
        <v>2</v>
      </c>
      <c r="H39">
        <v>7</v>
      </c>
      <c r="I39" s="4" t="s">
        <v>201</v>
      </c>
      <c r="J39" s="4" t="s">
        <v>202</v>
      </c>
      <c r="K39" s="4" t="s">
        <v>179</v>
      </c>
      <c r="L39" s="4" t="s">
        <v>180</v>
      </c>
      <c r="M39" s="4" t="s">
        <v>192</v>
      </c>
      <c r="N39" s="4" t="s">
        <v>182</v>
      </c>
      <c r="O39" s="4" t="s">
        <v>189</v>
      </c>
      <c r="P39">
        <v>-7757.08</v>
      </c>
      <c r="Q39" s="4" t="s">
        <v>30</v>
      </c>
    </row>
    <row r="40" spans="1:17" x14ac:dyDescent="0.2">
      <c r="A40" s="4" t="s">
        <v>223</v>
      </c>
      <c r="B40">
        <v>39</v>
      </c>
      <c r="C40" s="4" t="s">
        <v>26</v>
      </c>
      <c r="D40" s="4" t="s">
        <v>27</v>
      </c>
      <c r="E40" s="4" t="s">
        <v>47</v>
      </c>
      <c r="F40" s="4" t="s">
        <v>48</v>
      </c>
      <c r="G40">
        <v>2</v>
      </c>
      <c r="H40">
        <v>7</v>
      </c>
      <c r="I40" s="4" t="s">
        <v>201</v>
      </c>
      <c r="J40" s="4" t="s">
        <v>202</v>
      </c>
      <c r="K40" s="4" t="s">
        <v>179</v>
      </c>
      <c r="L40" s="4" t="s">
        <v>180</v>
      </c>
      <c r="M40" s="4" t="s">
        <v>192</v>
      </c>
      <c r="N40" s="4" t="s">
        <v>182</v>
      </c>
      <c r="O40" s="4" t="s">
        <v>183</v>
      </c>
      <c r="P40">
        <v>7182.26</v>
      </c>
      <c r="Q40" s="4" t="s">
        <v>30</v>
      </c>
    </row>
    <row r="41" spans="1:17" x14ac:dyDescent="0.2">
      <c r="A41" s="4" t="s">
        <v>224</v>
      </c>
      <c r="B41">
        <v>40</v>
      </c>
      <c r="C41" s="4" t="s">
        <v>26</v>
      </c>
      <c r="D41" s="4" t="s">
        <v>27</v>
      </c>
      <c r="E41" s="4" t="s">
        <v>47</v>
      </c>
      <c r="F41" s="4" t="s">
        <v>48</v>
      </c>
      <c r="G41">
        <v>2</v>
      </c>
      <c r="H41">
        <v>7</v>
      </c>
      <c r="I41" s="4" t="s">
        <v>212</v>
      </c>
      <c r="J41" s="4" t="s">
        <v>213</v>
      </c>
      <c r="K41" s="4" t="s">
        <v>205</v>
      </c>
      <c r="L41" s="4" t="s">
        <v>214</v>
      </c>
      <c r="M41" s="4" t="s">
        <v>182</v>
      </c>
      <c r="N41" s="4" t="s">
        <v>182</v>
      </c>
      <c r="O41" s="4" t="s">
        <v>189</v>
      </c>
      <c r="P41">
        <v>-9611.23</v>
      </c>
      <c r="Q41" s="4" t="s">
        <v>30</v>
      </c>
    </row>
    <row r="42" spans="1:17" x14ac:dyDescent="0.2">
      <c r="A42" s="4" t="s">
        <v>225</v>
      </c>
      <c r="B42">
        <v>41</v>
      </c>
      <c r="C42" s="4" t="s">
        <v>26</v>
      </c>
      <c r="D42" s="4" t="s">
        <v>27</v>
      </c>
      <c r="E42" s="4" t="s">
        <v>50</v>
      </c>
      <c r="F42" s="4" t="s">
        <v>51</v>
      </c>
      <c r="G42">
        <v>2</v>
      </c>
      <c r="H42">
        <v>8</v>
      </c>
      <c r="I42" s="4" t="s">
        <v>190</v>
      </c>
      <c r="J42" s="4" t="s">
        <v>191</v>
      </c>
      <c r="K42" s="4" t="s">
        <v>179</v>
      </c>
      <c r="L42" s="4" t="s">
        <v>180</v>
      </c>
      <c r="M42" s="4" t="s">
        <v>192</v>
      </c>
      <c r="N42" s="4" t="s">
        <v>182</v>
      </c>
      <c r="O42" s="4" t="s">
        <v>189</v>
      </c>
      <c r="P42">
        <v>-165709.28</v>
      </c>
      <c r="Q42" s="4" t="s">
        <v>30</v>
      </c>
    </row>
    <row r="43" spans="1:17" x14ac:dyDescent="0.2">
      <c r="A43" s="4" t="s">
        <v>226</v>
      </c>
      <c r="B43">
        <v>42</v>
      </c>
      <c r="C43" s="4" t="s">
        <v>26</v>
      </c>
      <c r="D43" s="4" t="s">
        <v>27</v>
      </c>
      <c r="E43" s="4" t="s">
        <v>50</v>
      </c>
      <c r="F43" s="4" t="s">
        <v>51</v>
      </c>
      <c r="G43">
        <v>2</v>
      </c>
      <c r="H43">
        <v>8</v>
      </c>
      <c r="I43" s="4" t="s">
        <v>207</v>
      </c>
      <c r="J43" s="4" t="s">
        <v>208</v>
      </c>
      <c r="K43" s="4" t="s">
        <v>179</v>
      </c>
      <c r="L43" s="4" t="s">
        <v>180</v>
      </c>
      <c r="M43" s="4" t="s">
        <v>192</v>
      </c>
      <c r="N43" s="4" t="s">
        <v>182</v>
      </c>
      <c r="O43" s="4" t="s">
        <v>183</v>
      </c>
      <c r="P43">
        <v>13493.44</v>
      </c>
      <c r="Q43" s="4" t="s">
        <v>30</v>
      </c>
    </row>
    <row r="44" spans="1:17" x14ac:dyDescent="0.2">
      <c r="A44" s="4" t="s">
        <v>227</v>
      </c>
      <c r="B44">
        <v>43</v>
      </c>
      <c r="C44" s="4" t="s">
        <v>26</v>
      </c>
      <c r="D44" s="4" t="s">
        <v>27</v>
      </c>
      <c r="E44" s="4" t="s">
        <v>50</v>
      </c>
      <c r="F44" s="4" t="s">
        <v>51</v>
      </c>
      <c r="G44">
        <v>2</v>
      </c>
      <c r="H44">
        <v>8</v>
      </c>
      <c r="I44" s="4" t="s">
        <v>193</v>
      </c>
      <c r="J44" s="4" t="s">
        <v>194</v>
      </c>
      <c r="K44" s="4" t="s">
        <v>179</v>
      </c>
      <c r="L44" s="4" t="s">
        <v>186</v>
      </c>
      <c r="M44" s="4" t="s">
        <v>195</v>
      </c>
      <c r="N44" s="4" t="s">
        <v>196</v>
      </c>
      <c r="O44" s="4" t="s">
        <v>183</v>
      </c>
      <c r="P44">
        <v>165409.28</v>
      </c>
      <c r="Q44" s="4" t="s">
        <v>30</v>
      </c>
    </row>
    <row r="45" spans="1:17" x14ac:dyDescent="0.2">
      <c r="A45" s="4" t="s">
        <v>228</v>
      </c>
      <c r="B45">
        <v>44</v>
      </c>
      <c r="C45" s="4" t="s">
        <v>26</v>
      </c>
      <c r="D45" s="4" t="s">
        <v>27</v>
      </c>
      <c r="E45" s="4" t="s">
        <v>50</v>
      </c>
      <c r="F45" s="4" t="s">
        <v>51</v>
      </c>
      <c r="G45">
        <v>2</v>
      </c>
      <c r="H45">
        <v>8</v>
      </c>
      <c r="I45" s="4" t="s">
        <v>209</v>
      </c>
      <c r="J45" s="4" t="s">
        <v>210</v>
      </c>
      <c r="K45" s="4" t="s">
        <v>205</v>
      </c>
      <c r="L45" s="4" t="s">
        <v>211</v>
      </c>
      <c r="M45" s="4" t="s">
        <v>182</v>
      </c>
      <c r="N45" s="4" t="s">
        <v>182</v>
      </c>
      <c r="O45" s="4" t="s">
        <v>183</v>
      </c>
      <c r="P45">
        <v>10932.13</v>
      </c>
      <c r="Q45" s="4" t="s">
        <v>30</v>
      </c>
    </row>
    <row r="46" spans="1:17" x14ac:dyDescent="0.2">
      <c r="A46" s="4" t="s">
        <v>229</v>
      </c>
      <c r="B46">
        <v>45</v>
      </c>
      <c r="C46" s="4" t="s">
        <v>26</v>
      </c>
      <c r="D46" s="4" t="s">
        <v>27</v>
      </c>
      <c r="E46" s="4" t="s">
        <v>50</v>
      </c>
      <c r="F46" s="4" t="s">
        <v>51</v>
      </c>
      <c r="G46">
        <v>2</v>
      </c>
      <c r="H46">
        <v>8</v>
      </c>
      <c r="I46" s="4" t="s">
        <v>203</v>
      </c>
      <c r="J46" s="4" t="s">
        <v>204</v>
      </c>
      <c r="K46" s="4" t="s">
        <v>205</v>
      </c>
      <c r="L46" s="4" t="s">
        <v>206</v>
      </c>
      <c r="M46" s="4" t="s">
        <v>182</v>
      </c>
      <c r="N46" s="4" t="s">
        <v>182</v>
      </c>
      <c r="O46" s="4" t="s">
        <v>183</v>
      </c>
      <c r="P46">
        <v>300</v>
      </c>
      <c r="Q46" s="4" t="s">
        <v>30</v>
      </c>
    </row>
    <row r="47" spans="1:17" x14ac:dyDescent="0.2">
      <c r="A47" s="4" t="s">
        <v>230</v>
      </c>
      <c r="B47">
        <v>46</v>
      </c>
      <c r="C47" s="4" t="s">
        <v>26</v>
      </c>
      <c r="D47" s="4" t="s">
        <v>27</v>
      </c>
      <c r="E47" s="4" t="s">
        <v>50</v>
      </c>
      <c r="F47" s="4" t="s">
        <v>51</v>
      </c>
      <c r="G47">
        <v>2</v>
      </c>
      <c r="H47">
        <v>8</v>
      </c>
      <c r="I47" s="4" t="s">
        <v>201</v>
      </c>
      <c r="J47" s="4" t="s">
        <v>202</v>
      </c>
      <c r="K47" s="4" t="s">
        <v>179</v>
      </c>
      <c r="L47" s="4" t="s">
        <v>180</v>
      </c>
      <c r="M47" s="4" t="s">
        <v>192</v>
      </c>
      <c r="N47" s="4" t="s">
        <v>182</v>
      </c>
      <c r="O47" s="4" t="s">
        <v>189</v>
      </c>
      <c r="P47">
        <v>-10932.13</v>
      </c>
      <c r="Q47" s="4" t="s">
        <v>30</v>
      </c>
    </row>
    <row r="48" spans="1:17" x14ac:dyDescent="0.2">
      <c r="A48" s="4" t="s">
        <v>231</v>
      </c>
      <c r="B48">
        <v>47</v>
      </c>
      <c r="C48" s="4" t="s">
        <v>26</v>
      </c>
      <c r="D48" s="4" t="s">
        <v>27</v>
      </c>
      <c r="E48" s="4" t="s">
        <v>50</v>
      </c>
      <c r="F48" s="4" t="s">
        <v>51</v>
      </c>
      <c r="G48">
        <v>2</v>
      </c>
      <c r="H48">
        <v>8</v>
      </c>
      <c r="I48" s="4" t="s">
        <v>212</v>
      </c>
      <c r="J48" s="4" t="s">
        <v>213</v>
      </c>
      <c r="K48" s="4" t="s">
        <v>205</v>
      </c>
      <c r="L48" s="4" t="s">
        <v>214</v>
      </c>
      <c r="M48" s="4" t="s">
        <v>182</v>
      </c>
      <c r="N48" s="4" t="s">
        <v>182</v>
      </c>
      <c r="O48" s="4" t="s">
        <v>189</v>
      </c>
      <c r="P48">
        <v>-13493.44</v>
      </c>
      <c r="Q48" s="4" t="s">
        <v>30</v>
      </c>
    </row>
    <row r="49" spans="1:17" x14ac:dyDescent="0.2">
      <c r="A49" s="4" t="s">
        <v>232</v>
      </c>
      <c r="B49">
        <v>48</v>
      </c>
      <c r="C49" s="4" t="s">
        <v>26</v>
      </c>
      <c r="D49" s="4" t="s">
        <v>27</v>
      </c>
      <c r="E49" s="4" t="s">
        <v>53</v>
      </c>
      <c r="F49" s="4" t="s">
        <v>54</v>
      </c>
      <c r="G49">
        <v>2</v>
      </c>
      <c r="H49">
        <v>9</v>
      </c>
      <c r="I49" s="4" t="s">
        <v>190</v>
      </c>
      <c r="J49" s="4" t="s">
        <v>191</v>
      </c>
      <c r="K49" s="4" t="s">
        <v>179</v>
      </c>
      <c r="L49" s="4" t="s">
        <v>180</v>
      </c>
      <c r="M49" s="4" t="s">
        <v>192</v>
      </c>
      <c r="N49" s="4" t="s">
        <v>182</v>
      </c>
      <c r="O49" s="4" t="s">
        <v>189</v>
      </c>
      <c r="P49">
        <v>-300</v>
      </c>
      <c r="Q49" s="4" t="s">
        <v>30</v>
      </c>
    </row>
    <row r="50" spans="1:17" x14ac:dyDescent="0.2">
      <c r="A50" s="4" t="s">
        <v>233</v>
      </c>
      <c r="B50">
        <v>49</v>
      </c>
      <c r="C50" s="4" t="s">
        <v>26</v>
      </c>
      <c r="D50" s="4" t="s">
        <v>27</v>
      </c>
      <c r="E50" s="4" t="s">
        <v>53</v>
      </c>
      <c r="F50" s="4" t="s">
        <v>54</v>
      </c>
      <c r="G50">
        <v>2</v>
      </c>
      <c r="H50">
        <v>9</v>
      </c>
      <c r="I50" s="4" t="s">
        <v>190</v>
      </c>
      <c r="J50" s="4" t="s">
        <v>191</v>
      </c>
      <c r="K50" s="4" t="s">
        <v>179</v>
      </c>
      <c r="L50" s="4" t="s">
        <v>180</v>
      </c>
      <c r="M50" s="4" t="s">
        <v>192</v>
      </c>
      <c r="N50" s="4" t="s">
        <v>182</v>
      </c>
      <c r="O50" s="4" t="s">
        <v>183</v>
      </c>
      <c r="P50">
        <v>7873.92</v>
      </c>
      <c r="Q50" s="4" t="s">
        <v>30</v>
      </c>
    </row>
    <row r="51" spans="1:17" x14ac:dyDescent="0.2">
      <c r="A51" s="4" t="s">
        <v>234</v>
      </c>
      <c r="B51">
        <v>50</v>
      </c>
      <c r="C51" s="4" t="s">
        <v>26</v>
      </c>
      <c r="D51" s="4" t="s">
        <v>27</v>
      </c>
      <c r="E51" s="4" t="s">
        <v>53</v>
      </c>
      <c r="F51" s="4" t="s">
        <v>54</v>
      </c>
      <c r="G51">
        <v>2</v>
      </c>
      <c r="H51">
        <v>9</v>
      </c>
      <c r="I51" s="4" t="s">
        <v>207</v>
      </c>
      <c r="J51" s="4" t="s">
        <v>208</v>
      </c>
      <c r="K51" s="4" t="s">
        <v>179</v>
      </c>
      <c r="L51" s="4" t="s">
        <v>180</v>
      </c>
      <c r="M51" s="4" t="s">
        <v>192</v>
      </c>
      <c r="N51" s="4" t="s">
        <v>182</v>
      </c>
      <c r="O51" s="4" t="s">
        <v>189</v>
      </c>
      <c r="P51">
        <v>-7873.92</v>
      </c>
      <c r="Q51" s="4" t="s">
        <v>30</v>
      </c>
    </row>
    <row r="52" spans="1:17" x14ac:dyDescent="0.2">
      <c r="A52" s="4" t="s">
        <v>235</v>
      </c>
      <c r="B52">
        <v>51</v>
      </c>
      <c r="C52" s="4" t="s">
        <v>26</v>
      </c>
      <c r="D52" s="4" t="s">
        <v>27</v>
      </c>
      <c r="E52" s="4" t="s">
        <v>53</v>
      </c>
      <c r="F52" s="4" t="s">
        <v>54</v>
      </c>
      <c r="G52">
        <v>2</v>
      </c>
      <c r="H52">
        <v>9</v>
      </c>
      <c r="I52" s="4" t="s">
        <v>207</v>
      </c>
      <c r="J52" s="4" t="s">
        <v>208</v>
      </c>
      <c r="K52" s="4" t="s">
        <v>179</v>
      </c>
      <c r="L52" s="4" t="s">
        <v>180</v>
      </c>
      <c r="M52" s="4" t="s">
        <v>192</v>
      </c>
      <c r="N52" s="4" t="s">
        <v>182</v>
      </c>
      <c r="O52" s="4" t="s">
        <v>183</v>
      </c>
      <c r="P52">
        <v>13593.6</v>
      </c>
      <c r="Q52" s="4" t="s">
        <v>30</v>
      </c>
    </row>
    <row r="53" spans="1:17" x14ac:dyDescent="0.2">
      <c r="A53" s="4" t="s">
        <v>236</v>
      </c>
      <c r="B53">
        <v>52</v>
      </c>
      <c r="C53" s="4" t="s">
        <v>26</v>
      </c>
      <c r="D53" s="4" t="s">
        <v>27</v>
      </c>
      <c r="E53" s="4" t="s">
        <v>53</v>
      </c>
      <c r="F53" s="4" t="s">
        <v>54</v>
      </c>
      <c r="G53">
        <v>2</v>
      </c>
      <c r="H53">
        <v>9</v>
      </c>
      <c r="I53" s="4" t="s">
        <v>209</v>
      </c>
      <c r="J53" s="4" t="s">
        <v>210</v>
      </c>
      <c r="K53" s="4" t="s">
        <v>205</v>
      </c>
      <c r="L53" s="4" t="s">
        <v>211</v>
      </c>
      <c r="M53" s="4" t="s">
        <v>182</v>
      </c>
      <c r="N53" s="4" t="s">
        <v>182</v>
      </c>
      <c r="O53" s="4" t="s">
        <v>183</v>
      </c>
      <c r="P53">
        <v>11076.66</v>
      </c>
      <c r="Q53" s="4" t="s">
        <v>30</v>
      </c>
    </row>
    <row r="54" spans="1:17" x14ac:dyDescent="0.2">
      <c r="A54" s="4" t="s">
        <v>237</v>
      </c>
      <c r="B54">
        <v>53</v>
      </c>
      <c r="C54" s="4" t="s">
        <v>26</v>
      </c>
      <c r="D54" s="4" t="s">
        <v>27</v>
      </c>
      <c r="E54" s="4" t="s">
        <v>53</v>
      </c>
      <c r="F54" s="4" t="s">
        <v>54</v>
      </c>
      <c r="G54">
        <v>2</v>
      </c>
      <c r="H54">
        <v>9</v>
      </c>
      <c r="I54" s="4" t="s">
        <v>203</v>
      </c>
      <c r="J54" s="4" t="s">
        <v>204</v>
      </c>
      <c r="K54" s="4" t="s">
        <v>205</v>
      </c>
      <c r="L54" s="4" t="s">
        <v>206</v>
      </c>
      <c r="M54" s="4" t="s">
        <v>182</v>
      </c>
      <c r="N54" s="4" t="s">
        <v>182</v>
      </c>
      <c r="O54" s="4" t="s">
        <v>183</v>
      </c>
      <c r="P54">
        <v>300</v>
      </c>
      <c r="Q54" s="4" t="s">
        <v>30</v>
      </c>
    </row>
    <row r="55" spans="1:17" x14ac:dyDescent="0.2">
      <c r="A55" s="4" t="s">
        <v>238</v>
      </c>
      <c r="B55">
        <v>54</v>
      </c>
      <c r="C55" s="4" t="s">
        <v>26</v>
      </c>
      <c r="D55" s="4" t="s">
        <v>27</v>
      </c>
      <c r="E55" s="4" t="s">
        <v>53</v>
      </c>
      <c r="F55" s="4" t="s">
        <v>54</v>
      </c>
      <c r="G55">
        <v>2</v>
      </c>
      <c r="H55">
        <v>9</v>
      </c>
      <c r="I55" s="4" t="s">
        <v>201</v>
      </c>
      <c r="J55" s="4" t="s">
        <v>202</v>
      </c>
      <c r="K55" s="4" t="s">
        <v>179</v>
      </c>
      <c r="L55" s="4" t="s">
        <v>180</v>
      </c>
      <c r="M55" s="4" t="s">
        <v>192</v>
      </c>
      <c r="N55" s="4" t="s">
        <v>182</v>
      </c>
      <c r="O55" s="4" t="s">
        <v>189</v>
      </c>
      <c r="P55">
        <v>-11076.66</v>
      </c>
      <c r="Q55" s="4" t="s">
        <v>30</v>
      </c>
    </row>
    <row r="56" spans="1:17" x14ac:dyDescent="0.2">
      <c r="A56" s="4" t="s">
        <v>239</v>
      </c>
      <c r="B56">
        <v>55</v>
      </c>
      <c r="C56" s="4" t="s">
        <v>26</v>
      </c>
      <c r="D56" s="4" t="s">
        <v>27</v>
      </c>
      <c r="E56" s="4" t="s">
        <v>53</v>
      </c>
      <c r="F56" s="4" t="s">
        <v>54</v>
      </c>
      <c r="G56">
        <v>2</v>
      </c>
      <c r="H56">
        <v>9</v>
      </c>
      <c r="I56" s="4" t="s">
        <v>212</v>
      </c>
      <c r="J56" s="4" t="s">
        <v>213</v>
      </c>
      <c r="K56" s="4" t="s">
        <v>205</v>
      </c>
      <c r="L56" s="4" t="s">
        <v>214</v>
      </c>
      <c r="M56" s="4" t="s">
        <v>182</v>
      </c>
      <c r="N56" s="4" t="s">
        <v>182</v>
      </c>
      <c r="O56" s="4" t="s">
        <v>189</v>
      </c>
      <c r="P56">
        <v>-13593.6</v>
      </c>
      <c r="Q56" s="4" t="s">
        <v>30</v>
      </c>
    </row>
    <row r="57" spans="1:17" x14ac:dyDescent="0.2">
      <c r="A57" s="4" t="s">
        <v>240</v>
      </c>
      <c r="B57">
        <v>56</v>
      </c>
      <c r="C57" s="4" t="s">
        <v>26</v>
      </c>
      <c r="D57" s="4" t="s">
        <v>27</v>
      </c>
      <c r="E57" s="4" t="s">
        <v>56</v>
      </c>
      <c r="F57" s="4" t="s">
        <v>57</v>
      </c>
      <c r="G57">
        <v>2</v>
      </c>
      <c r="H57">
        <v>10</v>
      </c>
      <c r="I57" s="4" t="s">
        <v>190</v>
      </c>
      <c r="J57" s="4" t="s">
        <v>191</v>
      </c>
      <c r="K57" s="4" t="s">
        <v>179</v>
      </c>
      <c r="L57" s="4" t="s">
        <v>180</v>
      </c>
      <c r="M57" s="4" t="s">
        <v>192</v>
      </c>
      <c r="N57" s="4" t="s">
        <v>182</v>
      </c>
      <c r="O57" s="4" t="s">
        <v>189</v>
      </c>
      <c r="P57">
        <v>-300</v>
      </c>
      <c r="Q57" s="4" t="s">
        <v>30</v>
      </c>
    </row>
    <row r="58" spans="1:17" x14ac:dyDescent="0.2">
      <c r="A58" s="4" t="s">
        <v>241</v>
      </c>
      <c r="B58">
        <v>57</v>
      </c>
      <c r="C58" s="4" t="s">
        <v>26</v>
      </c>
      <c r="D58" s="4" t="s">
        <v>27</v>
      </c>
      <c r="E58" s="4" t="s">
        <v>56</v>
      </c>
      <c r="F58" s="4" t="s">
        <v>57</v>
      </c>
      <c r="G58">
        <v>2</v>
      </c>
      <c r="H58">
        <v>10</v>
      </c>
      <c r="I58" s="4" t="s">
        <v>190</v>
      </c>
      <c r="J58" s="4" t="s">
        <v>191</v>
      </c>
      <c r="K58" s="4" t="s">
        <v>179</v>
      </c>
      <c r="L58" s="4" t="s">
        <v>180</v>
      </c>
      <c r="M58" s="4" t="s">
        <v>192</v>
      </c>
      <c r="N58" s="4" t="s">
        <v>182</v>
      </c>
      <c r="O58" s="4" t="s">
        <v>183</v>
      </c>
      <c r="P58">
        <v>7222.44</v>
      </c>
      <c r="Q58" s="4" t="s">
        <v>30</v>
      </c>
    </row>
    <row r="59" spans="1:17" x14ac:dyDescent="0.2">
      <c r="A59" s="4" t="s">
        <v>242</v>
      </c>
      <c r="B59">
        <v>58</v>
      </c>
      <c r="C59" s="4" t="s">
        <v>26</v>
      </c>
      <c r="D59" s="4" t="s">
        <v>27</v>
      </c>
      <c r="E59" s="4" t="s">
        <v>56</v>
      </c>
      <c r="F59" s="4" t="s">
        <v>57</v>
      </c>
      <c r="G59">
        <v>2</v>
      </c>
      <c r="H59">
        <v>10</v>
      </c>
      <c r="I59" s="4" t="s">
        <v>207</v>
      </c>
      <c r="J59" s="4" t="s">
        <v>208</v>
      </c>
      <c r="K59" s="4" t="s">
        <v>179</v>
      </c>
      <c r="L59" s="4" t="s">
        <v>180</v>
      </c>
      <c r="M59" s="4" t="s">
        <v>192</v>
      </c>
      <c r="N59" s="4" t="s">
        <v>182</v>
      </c>
      <c r="O59" s="4" t="s">
        <v>189</v>
      </c>
      <c r="P59">
        <v>-7222.44</v>
      </c>
      <c r="Q59" s="4" t="s">
        <v>30</v>
      </c>
    </row>
    <row r="60" spans="1:17" x14ac:dyDescent="0.2">
      <c r="A60" s="4" t="s">
        <v>243</v>
      </c>
      <c r="B60">
        <v>59</v>
      </c>
      <c r="C60" s="4" t="s">
        <v>26</v>
      </c>
      <c r="D60" s="4" t="s">
        <v>27</v>
      </c>
      <c r="E60" s="4" t="s">
        <v>56</v>
      </c>
      <c r="F60" s="4" t="s">
        <v>57</v>
      </c>
      <c r="G60">
        <v>2</v>
      </c>
      <c r="H60">
        <v>10</v>
      </c>
      <c r="I60" s="4" t="s">
        <v>207</v>
      </c>
      <c r="J60" s="4" t="s">
        <v>208</v>
      </c>
      <c r="K60" s="4" t="s">
        <v>179</v>
      </c>
      <c r="L60" s="4" t="s">
        <v>180</v>
      </c>
      <c r="M60" s="4" t="s">
        <v>192</v>
      </c>
      <c r="N60" s="4" t="s">
        <v>182</v>
      </c>
      <c r="O60" s="4" t="s">
        <v>183</v>
      </c>
      <c r="P60">
        <v>2047.38</v>
      </c>
      <c r="Q60" s="4" t="s">
        <v>30</v>
      </c>
    </row>
    <row r="61" spans="1:17" x14ac:dyDescent="0.2">
      <c r="A61" s="4" t="s">
        <v>244</v>
      </c>
      <c r="B61">
        <v>60</v>
      </c>
      <c r="C61" s="4" t="s">
        <v>26</v>
      </c>
      <c r="D61" s="4" t="s">
        <v>27</v>
      </c>
      <c r="E61" s="4" t="s">
        <v>56</v>
      </c>
      <c r="F61" s="4" t="s">
        <v>57</v>
      </c>
      <c r="G61">
        <v>2</v>
      </c>
      <c r="H61">
        <v>10</v>
      </c>
      <c r="I61" s="4" t="s">
        <v>209</v>
      </c>
      <c r="J61" s="4" t="s">
        <v>210</v>
      </c>
      <c r="K61" s="4" t="s">
        <v>205</v>
      </c>
      <c r="L61" s="4" t="s">
        <v>211</v>
      </c>
      <c r="M61" s="4" t="s">
        <v>182</v>
      </c>
      <c r="N61" s="4" t="s">
        <v>182</v>
      </c>
      <c r="O61" s="4" t="s">
        <v>183</v>
      </c>
      <c r="P61">
        <v>1751.31</v>
      </c>
      <c r="Q61" s="4" t="s">
        <v>30</v>
      </c>
    </row>
    <row r="62" spans="1:17" x14ac:dyDescent="0.2">
      <c r="A62" s="4" t="s">
        <v>245</v>
      </c>
      <c r="B62">
        <v>61</v>
      </c>
      <c r="C62" s="4" t="s">
        <v>26</v>
      </c>
      <c r="D62" s="4" t="s">
        <v>27</v>
      </c>
      <c r="E62" s="4" t="s">
        <v>56</v>
      </c>
      <c r="F62" s="4" t="s">
        <v>57</v>
      </c>
      <c r="G62">
        <v>2</v>
      </c>
      <c r="H62">
        <v>10</v>
      </c>
      <c r="I62" s="4" t="s">
        <v>203</v>
      </c>
      <c r="J62" s="4" t="s">
        <v>204</v>
      </c>
      <c r="K62" s="4" t="s">
        <v>205</v>
      </c>
      <c r="L62" s="4" t="s">
        <v>206</v>
      </c>
      <c r="M62" s="4" t="s">
        <v>182</v>
      </c>
      <c r="N62" s="4" t="s">
        <v>182</v>
      </c>
      <c r="O62" s="4" t="s">
        <v>183</v>
      </c>
      <c r="P62">
        <v>300</v>
      </c>
      <c r="Q62" s="4" t="s">
        <v>30</v>
      </c>
    </row>
    <row r="63" spans="1:17" x14ac:dyDescent="0.2">
      <c r="A63" s="4" t="s">
        <v>246</v>
      </c>
      <c r="B63">
        <v>62</v>
      </c>
      <c r="C63" s="4" t="s">
        <v>26</v>
      </c>
      <c r="D63" s="4" t="s">
        <v>27</v>
      </c>
      <c r="E63" s="4" t="s">
        <v>56</v>
      </c>
      <c r="F63" s="4" t="s">
        <v>57</v>
      </c>
      <c r="G63">
        <v>2</v>
      </c>
      <c r="H63">
        <v>10</v>
      </c>
      <c r="I63" s="4" t="s">
        <v>201</v>
      </c>
      <c r="J63" s="4" t="s">
        <v>202</v>
      </c>
      <c r="K63" s="4" t="s">
        <v>179</v>
      </c>
      <c r="L63" s="4" t="s">
        <v>180</v>
      </c>
      <c r="M63" s="4" t="s">
        <v>192</v>
      </c>
      <c r="N63" s="4" t="s">
        <v>182</v>
      </c>
      <c r="O63" s="4" t="s">
        <v>189</v>
      </c>
      <c r="P63">
        <v>-1751.31</v>
      </c>
      <c r="Q63" s="4" t="s">
        <v>30</v>
      </c>
    </row>
    <row r="64" spans="1:17" x14ac:dyDescent="0.2">
      <c r="A64" s="4" t="s">
        <v>247</v>
      </c>
      <c r="B64">
        <v>63</v>
      </c>
      <c r="C64" s="4" t="s">
        <v>26</v>
      </c>
      <c r="D64" s="4" t="s">
        <v>27</v>
      </c>
      <c r="E64" s="4" t="s">
        <v>56</v>
      </c>
      <c r="F64" s="4" t="s">
        <v>57</v>
      </c>
      <c r="G64">
        <v>2</v>
      </c>
      <c r="H64">
        <v>10</v>
      </c>
      <c r="I64" s="4" t="s">
        <v>212</v>
      </c>
      <c r="J64" s="4" t="s">
        <v>213</v>
      </c>
      <c r="K64" s="4" t="s">
        <v>205</v>
      </c>
      <c r="L64" s="4" t="s">
        <v>214</v>
      </c>
      <c r="M64" s="4" t="s">
        <v>182</v>
      </c>
      <c r="N64" s="4" t="s">
        <v>182</v>
      </c>
      <c r="O64" s="4" t="s">
        <v>189</v>
      </c>
      <c r="P64">
        <v>-2047.38</v>
      </c>
      <c r="Q64" s="4" t="s">
        <v>30</v>
      </c>
    </row>
    <row r="65" spans="1:17" x14ac:dyDescent="0.2">
      <c r="A65" s="4" t="s">
        <v>248</v>
      </c>
      <c r="B65">
        <v>64</v>
      </c>
      <c r="C65" s="4" t="s">
        <v>26</v>
      </c>
      <c r="D65" s="4" t="s">
        <v>32</v>
      </c>
      <c r="E65" s="4" t="s">
        <v>27</v>
      </c>
      <c r="F65" s="4" t="s">
        <v>59</v>
      </c>
      <c r="G65">
        <v>3</v>
      </c>
      <c r="H65">
        <v>11</v>
      </c>
      <c r="I65" s="4" t="s">
        <v>190</v>
      </c>
      <c r="J65" s="4" t="s">
        <v>191</v>
      </c>
      <c r="K65" s="4" t="s">
        <v>179</v>
      </c>
      <c r="L65" s="4" t="s">
        <v>180</v>
      </c>
      <c r="M65" s="4" t="s">
        <v>192</v>
      </c>
      <c r="N65" s="4" t="s">
        <v>182</v>
      </c>
      <c r="O65" s="4" t="s">
        <v>189</v>
      </c>
      <c r="P65">
        <v>-1606.58</v>
      </c>
      <c r="Q65" s="4" t="s">
        <v>30</v>
      </c>
    </row>
    <row r="66" spans="1:17" x14ac:dyDescent="0.2">
      <c r="A66" s="4" t="s">
        <v>249</v>
      </c>
      <c r="B66">
        <v>65</v>
      </c>
      <c r="C66" s="4" t="s">
        <v>26</v>
      </c>
      <c r="D66" s="4" t="s">
        <v>32</v>
      </c>
      <c r="E66" s="4" t="s">
        <v>27</v>
      </c>
      <c r="F66" s="4" t="s">
        <v>59</v>
      </c>
      <c r="G66">
        <v>3</v>
      </c>
      <c r="H66">
        <v>11</v>
      </c>
      <c r="I66" s="4" t="s">
        <v>190</v>
      </c>
      <c r="J66" s="4" t="s">
        <v>191</v>
      </c>
      <c r="K66" s="4" t="s">
        <v>179</v>
      </c>
      <c r="L66" s="4" t="s">
        <v>180</v>
      </c>
      <c r="M66" s="4" t="s">
        <v>192</v>
      </c>
      <c r="N66" s="4" t="s">
        <v>182</v>
      </c>
      <c r="O66" s="4" t="s">
        <v>183</v>
      </c>
      <c r="P66">
        <v>9611.23</v>
      </c>
      <c r="Q66" s="4" t="s">
        <v>30</v>
      </c>
    </row>
    <row r="67" spans="1:17" x14ac:dyDescent="0.2">
      <c r="A67" s="4" t="s">
        <v>250</v>
      </c>
      <c r="B67">
        <v>66</v>
      </c>
      <c r="C67" s="4" t="s">
        <v>26</v>
      </c>
      <c r="D67" s="4" t="s">
        <v>32</v>
      </c>
      <c r="E67" s="4" t="s">
        <v>27</v>
      </c>
      <c r="F67" s="4" t="s">
        <v>59</v>
      </c>
      <c r="G67">
        <v>3</v>
      </c>
      <c r="H67">
        <v>11</v>
      </c>
      <c r="I67" s="4" t="s">
        <v>207</v>
      </c>
      <c r="J67" s="4" t="s">
        <v>208</v>
      </c>
      <c r="K67" s="4" t="s">
        <v>179</v>
      </c>
      <c r="L67" s="4" t="s">
        <v>180</v>
      </c>
      <c r="M67" s="4" t="s">
        <v>192</v>
      </c>
      <c r="N67" s="4" t="s">
        <v>182</v>
      </c>
      <c r="O67" s="4" t="s">
        <v>189</v>
      </c>
      <c r="P67">
        <v>-9611.23</v>
      </c>
      <c r="Q67" s="4" t="s">
        <v>30</v>
      </c>
    </row>
    <row r="68" spans="1:17" x14ac:dyDescent="0.2">
      <c r="A68" s="4" t="s">
        <v>251</v>
      </c>
      <c r="B68">
        <v>67</v>
      </c>
      <c r="C68" s="4" t="s">
        <v>26</v>
      </c>
      <c r="D68" s="4" t="s">
        <v>32</v>
      </c>
      <c r="E68" s="4" t="s">
        <v>27</v>
      </c>
      <c r="F68" s="4" t="s">
        <v>59</v>
      </c>
      <c r="G68">
        <v>3</v>
      </c>
      <c r="H68">
        <v>11</v>
      </c>
      <c r="I68" s="4" t="s">
        <v>207</v>
      </c>
      <c r="J68" s="4" t="s">
        <v>208</v>
      </c>
      <c r="K68" s="4" t="s">
        <v>179</v>
      </c>
      <c r="L68" s="4" t="s">
        <v>180</v>
      </c>
      <c r="M68" s="4" t="s">
        <v>192</v>
      </c>
      <c r="N68" s="4" t="s">
        <v>182</v>
      </c>
      <c r="O68" s="4" t="s">
        <v>183</v>
      </c>
      <c r="P68">
        <v>8843.18</v>
      </c>
      <c r="Q68" s="4" t="s">
        <v>30</v>
      </c>
    </row>
    <row r="69" spans="1:17" x14ac:dyDescent="0.2">
      <c r="A69" s="4" t="s">
        <v>252</v>
      </c>
      <c r="B69">
        <v>68</v>
      </c>
      <c r="C69" s="4" t="s">
        <v>26</v>
      </c>
      <c r="D69" s="4" t="s">
        <v>32</v>
      </c>
      <c r="E69" s="4" t="s">
        <v>27</v>
      </c>
      <c r="F69" s="4" t="s">
        <v>59</v>
      </c>
      <c r="G69">
        <v>3</v>
      </c>
      <c r="H69">
        <v>11</v>
      </c>
      <c r="I69" s="4" t="s">
        <v>193</v>
      </c>
      <c r="J69" s="4" t="s">
        <v>194</v>
      </c>
      <c r="K69" s="4" t="s">
        <v>179</v>
      </c>
      <c r="L69" s="4" t="s">
        <v>186</v>
      </c>
      <c r="M69" s="4" t="s">
        <v>195</v>
      </c>
      <c r="N69" s="4" t="s">
        <v>196</v>
      </c>
      <c r="O69" s="4" t="s">
        <v>183</v>
      </c>
      <c r="P69">
        <v>1306.58</v>
      </c>
      <c r="Q69" s="4" t="s">
        <v>30</v>
      </c>
    </row>
    <row r="70" spans="1:17" x14ac:dyDescent="0.2">
      <c r="A70" s="4" t="s">
        <v>253</v>
      </c>
      <c r="B70">
        <v>69</v>
      </c>
      <c r="C70" s="4" t="s">
        <v>26</v>
      </c>
      <c r="D70" s="4" t="s">
        <v>32</v>
      </c>
      <c r="E70" s="4" t="s">
        <v>27</v>
      </c>
      <c r="F70" s="4" t="s">
        <v>59</v>
      </c>
      <c r="G70">
        <v>3</v>
      </c>
      <c r="H70">
        <v>11</v>
      </c>
      <c r="I70" s="4" t="s">
        <v>209</v>
      </c>
      <c r="J70" s="4" t="s">
        <v>210</v>
      </c>
      <c r="K70" s="4" t="s">
        <v>205</v>
      </c>
      <c r="L70" s="4" t="s">
        <v>211</v>
      </c>
      <c r="M70" s="4" t="s">
        <v>182</v>
      </c>
      <c r="N70" s="4" t="s">
        <v>182</v>
      </c>
      <c r="O70" s="4" t="s">
        <v>183</v>
      </c>
      <c r="P70">
        <v>7237.94</v>
      </c>
      <c r="Q70" s="4" t="s">
        <v>30</v>
      </c>
    </row>
    <row r="71" spans="1:17" x14ac:dyDescent="0.2">
      <c r="A71" s="4" t="s">
        <v>254</v>
      </c>
      <c r="B71">
        <v>70</v>
      </c>
      <c r="C71" s="4" t="s">
        <v>26</v>
      </c>
      <c r="D71" s="4" t="s">
        <v>32</v>
      </c>
      <c r="E71" s="4" t="s">
        <v>27</v>
      </c>
      <c r="F71" s="4" t="s">
        <v>59</v>
      </c>
      <c r="G71">
        <v>3</v>
      </c>
      <c r="H71">
        <v>11</v>
      </c>
      <c r="I71" s="4" t="s">
        <v>203</v>
      </c>
      <c r="J71" s="4" t="s">
        <v>204</v>
      </c>
      <c r="K71" s="4" t="s">
        <v>205</v>
      </c>
      <c r="L71" s="4" t="s">
        <v>206</v>
      </c>
      <c r="M71" s="4" t="s">
        <v>182</v>
      </c>
      <c r="N71" s="4" t="s">
        <v>182</v>
      </c>
      <c r="O71" s="4" t="s">
        <v>183</v>
      </c>
      <c r="P71">
        <v>300</v>
      </c>
      <c r="Q71" s="4" t="s">
        <v>30</v>
      </c>
    </row>
    <row r="72" spans="1:17" x14ac:dyDescent="0.2">
      <c r="A72" s="4" t="s">
        <v>255</v>
      </c>
      <c r="B72">
        <v>71</v>
      </c>
      <c r="C72" s="4" t="s">
        <v>26</v>
      </c>
      <c r="D72" s="4" t="s">
        <v>32</v>
      </c>
      <c r="E72" s="4" t="s">
        <v>27</v>
      </c>
      <c r="F72" s="4" t="s">
        <v>59</v>
      </c>
      <c r="G72">
        <v>3</v>
      </c>
      <c r="H72">
        <v>11</v>
      </c>
      <c r="I72" s="4" t="s">
        <v>201</v>
      </c>
      <c r="J72" s="4" t="s">
        <v>202</v>
      </c>
      <c r="K72" s="4" t="s">
        <v>179</v>
      </c>
      <c r="L72" s="4" t="s">
        <v>180</v>
      </c>
      <c r="M72" s="4" t="s">
        <v>192</v>
      </c>
      <c r="N72" s="4" t="s">
        <v>182</v>
      </c>
      <c r="O72" s="4" t="s">
        <v>189</v>
      </c>
      <c r="P72">
        <v>-7237.94</v>
      </c>
      <c r="Q72" s="4" t="s">
        <v>30</v>
      </c>
    </row>
    <row r="73" spans="1:17" x14ac:dyDescent="0.2">
      <c r="A73" s="4" t="s">
        <v>256</v>
      </c>
      <c r="B73">
        <v>72</v>
      </c>
      <c r="C73" s="4" t="s">
        <v>26</v>
      </c>
      <c r="D73" s="4" t="s">
        <v>32</v>
      </c>
      <c r="E73" s="4" t="s">
        <v>27</v>
      </c>
      <c r="F73" s="4" t="s">
        <v>59</v>
      </c>
      <c r="G73">
        <v>3</v>
      </c>
      <c r="H73">
        <v>11</v>
      </c>
      <c r="I73" s="4" t="s">
        <v>212</v>
      </c>
      <c r="J73" s="4" t="s">
        <v>213</v>
      </c>
      <c r="K73" s="4" t="s">
        <v>205</v>
      </c>
      <c r="L73" s="4" t="s">
        <v>214</v>
      </c>
      <c r="M73" s="4" t="s">
        <v>182</v>
      </c>
      <c r="N73" s="4" t="s">
        <v>182</v>
      </c>
      <c r="O73" s="4" t="s">
        <v>189</v>
      </c>
      <c r="P73">
        <v>-8843.18</v>
      </c>
      <c r="Q73" s="4" t="s">
        <v>30</v>
      </c>
    </row>
    <row r="74" spans="1:17" x14ac:dyDescent="0.2">
      <c r="A74" s="4" t="s">
        <v>257</v>
      </c>
      <c r="B74">
        <v>73</v>
      </c>
      <c r="C74" s="4" t="s">
        <v>26</v>
      </c>
      <c r="D74" s="4" t="s">
        <v>32</v>
      </c>
      <c r="E74" s="4" t="s">
        <v>32</v>
      </c>
      <c r="F74" s="4" t="s">
        <v>61</v>
      </c>
      <c r="G74">
        <v>3</v>
      </c>
      <c r="H74">
        <v>12</v>
      </c>
      <c r="I74" s="4" t="s">
        <v>190</v>
      </c>
      <c r="J74" s="4" t="s">
        <v>191</v>
      </c>
      <c r="K74" s="4" t="s">
        <v>179</v>
      </c>
      <c r="L74" s="4" t="s">
        <v>180</v>
      </c>
      <c r="M74" s="4" t="s">
        <v>192</v>
      </c>
      <c r="N74" s="4" t="s">
        <v>182</v>
      </c>
      <c r="O74" s="4" t="s">
        <v>189</v>
      </c>
      <c r="P74">
        <v>-7482.25</v>
      </c>
      <c r="Q74" s="4" t="s">
        <v>30</v>
      </c>
    </row>
    <row r="75" spans="1:17" x14ac:dyDescent="0.2">
      <c r="A75" s="4" t="s">
        <v>258</v>
      </c>
      <c r="B75">
        <v>74</v>
      </c>
      <c r="C75" s="4" t="s">
        <v>26</v>
      </c>
      <c r="D75" s="4" t="s">
        <v>32</v>
      </c>
      <c r="E75" s="4" t="s">
        <v>32</v>
      </c>
      <c r="F75" s="4" t="s">
        <v>61</v>
      </c>
      <c r="G75">
        <v>3</v>
      </c>
      <c r="H75">
        <v>12</v>
      </c>
      <c r="I75" s="4" t="s">
        <v>190</v>
      </c>
      <c r="J75" s="4" t="s">
        <v>191</v>
      </c>
      <c r="K75" s="4" t="s">
        <v>179</v>
      </c>
      <c r="L75" s="4" t="s">
        <v>180</v>
      </c>
      <c r="M75" s="4" t="s">
        <v>192</v>
      </c>
      <c r="N75" s="4" t="s">
        <v>182</v>
      </c>
      <c r="O75" s="4" t="s">
        <v>183</v>
      </c>
      <c r="P75">
        <v>13493.44</v>
      </c>
      <c r="Q75" s="4" t="s">
        <v>30</v>
      </c>
    </row>
    <row r="76" spans="1:17" x14ac:dyDescent="0.2">
      <c r="A76" s="4" t="s">
        <v>259</v>
      </c>
      <c r="B76">
        <v>75</v>
      </c>
      <c r="C76" s="4" t="s">
        <v>26</v>
      </c>
      <c r="D76" s="4" t="s">
        <v>32</v>
      </c>
      <c r="E76" s="4" t="s">
        <v>32</v>
      </c>
      <c r="F76" s="4" t="s">
        <v>61</v>
      </c>
      <c r="G76">
        <v>3</v>
      </c>
      <c r="H76">
        <v>12</v>
      </c>
      <c r="I76" s="4" t="s">
        <v>207</v>
      </c>
      <c r="J76" s="4" t="s">
        <v>208</v>
      </c>
      <c r="K76" s="4" t="s">
        <v>179</v>
      </c>
      <c r="L76" s="4" t="s">
        <v>180</v>
      </c>
      <c r="M76" s="4" t="s">
        <v>192</v>
      </c>
      <c r="N76" s="4" t="s">
        <v>182</v>
      </c>
      <c r="O76" s="4" t="s">
        <v>189</v>
      </c>
      <c r="P76">
        <v>-13493.44</v>
      </c>
      <c r="Q76" s="4" t="s">
        <v>30</v>
      </c>
    </row>
    <row r="77" spans="1:17" x14ac:dyDescent="0.2">
      <c r="A77" s="4" t="s">
        <v>260</v>
      </c>
      <c r="B77">
        <v>76</v>
      </c>
      <c r="C77" s="4" t="s">
        <v>26</v>
      </c>
      <c r="D77" s="4" t="s">
        <v>32</v>
      </c>
      <c r="E77" s="4" t="s">
        <v>32</v>
      </c>
      <c r="F77" s="4" t="s">
        <v>61</v>
      </c>
      <c r="G77">
        <v>3</v>
      </c>
      <c r="H77">
        <v>12</v>
      </c>
      <c r="I77" s="4" t="s">
        <v>207</v>
      </c>
      <c r="J77" s="4" t="s">
        <v>208</v>
      </c>
      <c r="K77" s="4" t="s">
        <v>179</v>
      </c>
      <c r="L77" s="4" t="s">
        <v>180</v>
      </c>
      <c r="M77" s="4" t="s">
        <v>192</v>
      </c>
      <c r="N77" s="4" t="s">
        <v>182</v>
      </c>
      <c r="O77" s="4" t="s">
        <v>183</v>
      </c>
      <c r="P77">
        <v>7538.67</v>
      </c>
      <c r="Q77" s="4" t="s">
        <v>30</v>
      </c>
    </row>
    <row r="78" spans="1:17" x14ac:dyDescent="0.2">
      <c r="A78" s="4" t="s">
        <v>261</v>
      </c>
      <c r="B78">
        <v>77</v>
      </c>
      <c r="C78" s="4" t="s">
        <v>26</v>
      </c>
      <c r="D78" s="4" t="s">
        <v>32</v>
      </c>
      <c r="E78" s="4" t="s">
        <v>32</v>
      </c>
      <c r="F78" s="4" t="s">
        <v>61</v>
      </c>
      <c r="G78">
        <v>3</v>
      </c>
      <c r="H78">
        <v>12</v>
      </c>
      <c r="I78" s="4" t="s">
        <v>193</v>
      </c>
      <c r="J78" s="4" t="s">
        <v>194</v>
      </c>
      <c r="K78" s="4" t="s">
        <v>179</v>
      </c>
      <c r="L78" s="4" t="s">
        <v>186</v>
      </c>
      <c r="M78" s="4" t="s">
        <v>195</v>
      </c>
      <c r="N78" s="4" t="s">
        <v>196</v>
      </c>
      <c r="O78" s="4" t="s">
        <v>189</v>
      </c>
      <c r="P78">
        <v>-37555.43</v>
      </c>
      <c r="Q78" s="4" t="s">
        <v>30</v>
      </c>
    </row>
    <row r="79" spans="1:17" x14ac:dyDescent="0.2">
      <c r="A79" s="4" t="s">
        <v>262</v>
      </c>
      <c r="B79">
        <v>78</v>
      </c>
      <c r="C79" s="4" t="s">
        <v>26</v>
      </c>
      <c r="D79" s="4" t="s">
        <v>32</v>
      </c>
      <c r="E79" s="4" t="s">
        <v>32</v>
      </c>
      <c r="F79" s="4" t="s">
        <v>61</v>
      </c>
      <c r="G79">
        <v>3</v>
      </c>
      <c r="H79">
        <v>12</v>
      </c>
      <c r="I79" s="4" t="s">
        <v>193</v>
      </c>
      <c r="J79" s="4" t="s">
        <v>194</v>
      </c>
      <c r="K79" s="4" t="s">
        <v>179</v>
      </c>
      <c r="L79" s="4" t="s">
        <v>186</v>
      </c>
      <c r="M79" s="4" t="s">
        <v>195</v>
      </c>
      <c r="N79" s="4" t="s">
        <v>196</v>
      </c>
      <c r="O79" s="4" t="s">
        <v>183</v>
      </c>
      <c r="P79">
        <v>7182.25</v>
      </c>
      <c r="Q79" s="4" t="s">
        <v>30</v>
      </c>
    </row>
    <row r="80" spans="1:17" x14ac:dyDescent="0.2">
      <c r="A80" s="4" t="s">
        <v>263</v>
      </c>
      <c r="B80">
        <v>79</v>
      </c>
      <c r="C80" s="4" t="s">
        <v>26</v>
      </c>
      <c r="D80" s="4" t="s">
        <v>32</v>
      </c>
      <c r="E80" s="4" t="s">
        <v>32</v>
      </c>
      <c r="F80" s="4" t="s">
        <v>61</v>
      </c>
      <c r="G80">
        <v>3</v>
      </c>
      <c r="H80">
        <v>12</v>
      </c>
      <c r="I80" s="4" t="s">
        <v>197</v>
      </c>
      <c r="J80" s="4" t="s">
        <v>198</v>
      </c>
      <c r="K80" s="4" t="s">
        <v>179</v>
      </c>
      <c r="L80" s="4" t="s">
        <v>186</v>
      </c>
      <c r="M80" s="4" t="s">
        <v>195</v>
      </c>
      <c r="N80" s="4" t="s">
        <v>196</v>
      </c>
      <c r="O80" s="4" t="s">
        <v>189</v>
      </c>
      <c r="P80">
        <v>-36555.43</v>
      </c>
      <c r="Q80" s="4" t="s">
        <v>30</v>
      </c>
    </row>
    <row r="81" spans="1:17" x14ac:dyDescent="0.2">
      <c r="A81" s="4" t="s">
        <v>264</v>
      </c>
      <c r="B81">
        <v>80</v>
      </c>
      <c r="C81" s="4" t="s">
        <v>26</v>
      </c>
      <c r="D81" s="4" t="s">
        <v>32</v>
      </c>
      <c r="E81" s="4" t="s">
        <v>32</v>
      </c>
      <c r="F81" s="4" t="s">
        <v>61</v>
      </c>
      <c r="G81">
        <v>3</v>
      </c>
      <c r="H81">
        <v>12</v>
      </c>
      <c r="I81" s="4" t="s">
        <v>197</v>
      </c>
      <c r="J81" s="4" t="s">
        <v>198</v>
      </c>
      <c r="K81" s="4" t="s">
        <v>179</v>
      </c>
      <c r="L81" s="4" t="s">
        <v>186</v>
      </c>
      <c r="M81" s="4" t="s">
        <v>195</v>
      </c>
      <c r="N81" s="4" t="s">
        <v>196</v>
      </c>
      <c r="O81" s="4" t="s">
        <v>183</v>
      </c>
      <c r="P81">
        <v>36555.43</v>
      </c>
      <c r="Q81" s="4" t="s">
        <v>30</v>
      </c>
    </row>
    <row r="82" spans="1:17" x14ac:dyDescent="0.2">
      <c r="A82" s="4" t="s">
        <v>265</v>
      </c>
      <c r="B82">
        <v>81</v>
      </c>
      <c r="C82" s="4" t="s">
        <v>26</v>
      </c>
      <c r="D82" s="4" t="s">
        <v>32</v>
      </c>
      <c r="E82" s="4" t="s">
        <v>32</v>
      </c>
      <c r="F82" s="4" t="s">
        <v>61</v>
      </c>
      <c r="G82">
        <v>3</v>
      </c>
      <c r="H82">
        <v>12</v>
      </c>
      <c r="I82" s="4" t="s">
        <v>199</v>
      </c>
      <c r="J82" s="4" t="s">
        <v>200</v>
      </c>
      <c r="K82" s="4" t="s">
        <v>179</v>
      </c>
      <c r="L82" s="4" t="s">
        <v>186</v>
      </c>
      <c r="M82" s="4" t="s">
        <v>195</v>
      </c>
      <c r="N82" s="4" t="s">
        <v>196</v>
      </c>
      <c r="O82" s="4" t="s">
        <v>189</v>
      </c>
      <c r="P82">
        <v>-1000</v>
      </c>
      <c r="Q82" s="4" t="s">
        <v>30</v>
      </c>
    </row>
    <row r="83" spans="1:17" x14ac:dyDescent="0.2">
      <c r="A83" s="4" t="s">
        <v>266</v>
      </c>
      <c r="B83">
        <v>82</v>
      </c>
      <c r="C83" s="4" t="s">
        <v>26</v>
      </c>
      <c r="D83" s="4" t="s">
        <v>32</v>
      </c>
      <c r="E83" s="4" t="s">
        <v>32</v>
      </c>
      <c r="F83" s="4" t="s">
        <v>61</v>
      </c>
      <c r="G83">
        <v>3</v>
      </c>
      <c r="H83">
        <v>12</v>
      </c>
      <c r="I83" s="4" t="s">
        <v>199</v>
      </c>
      <c r="J83" s="4" t="s">
        <v>200</v>
      </c>
      <c r="K83" s="4" t="s">
        <v>179</v>
      </c>
      <c r="L83" s="4" t="s">
        <v>186</v>
      </c>
      <c r="M83" s="4" t="s">
        <v>195</v>
      </c>
      <c r="N83" s="4" t="s">
        <v>196</v>
      </c>
      <c r="O83" s="4" t="s">
        <v>183</v>
      </c>
      <c r="P83">
        <v>1000</v>
      </c>
      <c r="Q83" s="4" t="s">
        <v>30</v>
      </c>
    </row>
    <row r="84" spans="1:17" x14ac:dyDescent="0.2">
      <c r="A84" s="4" t="s">
        <v>267</v>
      </c>
      <c r="B84">
        <v>83</v>
      </c>
      <c r="C84" s="4" t="s">
        <v>26</v>
      </c>
      <c r="D84" s="4" t="s">
        <v>32</v>
      </c>
      <c r="E84" s="4" t="s">
        <v>32</v>
      </c>
      <c r="F84" s="4" t="s">
        <v>61</v>
      </c>
      <c r="G84">
        <v>3</v>
      </c>
      <c r="H84">
        <v>12</v>
      </c>
      <c r="I84" s="4" t="s">
        <v>209</v>
      </c>
      <c r="J84" s="4" t="s">
        <v>210</v>
      </c>
      <c r="K84" s="4" t="s">
        <v>205</v>
      </c>
      <c r="L84" s="4" t="s">
        <v>211</v>
      </c>
      <c r="M84" s="4" t="s">
        <v>182</v>
      </c>
      <c r="N84" s="4" t="s">
        <v>182</v>
      </c>
      <c r="O84" s="4" t="s">
        <v>183</v>
      </c>
      <c r="P84">
        <v>6452.52</v>
      </c>
      <c r="Q84" s="4" t="s">
        <v>30</v>
      </c>
    </row>
    <row r="85" spans="1:17" x14ac:dyDescent="0.2">
      <c r="A85" s="4" t="s">
        <v>268</v>
      </c>
      <c r="B85">
        <v>84</v>
      </c>
      <c r="C85" s="4" t="s">
        <v>26</v>
      </c>
      <c r="D85" s="4" t="s">
        <v>32</v>
      </c>
      <c r="E85" s="4" t="s">
        <v>32</v>
      </c>
      <c r="F85" s="4" t="s">
        <v>61</v>
      </c>
      <c r="G85">
        <v>3</v>
      </c>
      <c r="H85">
        <v>12</v>
      </c>
      <c r="I85" s="4" t="s">
        <v>203</v>
      </c>
      <c r="J85" s="4" t="s">
        <v>204</v>
      </c>
      <c r="K85" s="4" t="s">
        <v>205</v>
      </c>
      <c r="L85" s="4" t="s">
        <v>206</v>
      </c>
      <c r="M85" s="4" t="s">
        <v>182</v>
      </c>
      <c r="N85" s="4" t="s">
        <v>182</v>
      </c>
      <c r="O85" s="4" t="s">
        <v>183</v>
      </c>
      <c r="P85">
        <v>300</v>
      </c>
      <c r="Q85" s="4" t="s">
        <v>30</v>
      </c>
    </row>
    <row r="86" spans="1:17" x14ac:dyDescent="0.2">
      <c r="A86" s="4" t="s">
        <v>269</v>
      </c>
      <c r="B86">
        <v>85</v>
      </c>
      <c r="C86" s="4" t="s">
        <v>26</v>
      </c>
      <c r="D86" s="4" t="s">
        <v>32</v>
      </c>
      <c r="E86" s="4" t="s">
        <v>32</v>
      </c>
      <c r="F86" s="4" t="s">
        <v>61</v>
      </c>
      <c r="G86">
        <v>3</v>
      </c>
      <c r="H86">
        <v>12</v>
      </c>
      <c r="I86" s="4" t="s">
        <v>201</v>
      </c>
      <c r="J86" s="4" t="s">
        <v>202</v>
      </c>
      <c r="K86" s="4" t="s">
        <v>179</v>
      </c>
      <c r="L86" s="4" t="s">
        <v>180</v>
      </c>
      <c r="M86" s="4" t="s">
        <v>192</v>
      </c>
      <c r="N86" s="4" t="s">
        <v>182</v>
      </c>
      <c r="O86" s="4" t="s">
        <v>189</v>
      </c>
      <c r="P86">
        <v>-6452.52</v>
      </c>
      <c r="Q86" s="4" t="s">
        <v>30</v>
      </c>
    </row>
    <row r="87" spans="1:17" x14ac:dyDescent="0.2">
      <c r="A87" s="4" t="s">
        <v>270</v>
      </c>
      <c r="B87">
        <v>86</v>
      </c>
      <c r="C87" s="4" t="s">
        <v>26</v>
      </c>
      <c r="D87" s="4" t="s">
        <v>32</v>
      </c>
      <c r="E87" s="4" t="s">
        <v>32</v>
      </c>
      <c r="F87" s="4" t="s">
        <v>61</v>
      </c>
      <c r="G87">
        <v>3</v>
      </c>
      <c r="H87">
        <v>12</v>
      </c>
      <c r="I87" s="4" t="s">
        <v>201</v>
      </c>
      <c r="J87" s="4" t="s">
        <v>202</v>
      </c>
      <c r="K87" s="4" t="s">
        <v>179</v>
      </c>
      <c r="L87" s="4" t="s">
        <v>180</v>
      </c>
      <c r="M87" s="4" t="s">
        <v>192</v>
      </c>
      <c r="N87" s="4" t="s">
        <v>182</v>
      </c>
      <c r="O87" s="4" t="s">
        <v>183</v>
      </c>
      <c r="P87">
        <v>37555.43</v>
      </c>
      <c r="Q87" s="4" t="s">
        <v>30</v>
      </c>
    </row>
    <row r="88" spans="1:17" x14ac:dyDescent="0.2">
      <c r="A88" s="4" t="s">
        <v>271</v>
      </c>
      <c r="B88">
        <v>87</v>
      </c>
      <c r="C88" s="4" t="s">
        <v>26</v>
      </c>
      <c r="D88" s="4" t="s">
        <v>32</v>
      </c>
      <c r="E88" s="4" t="s">
        <v>32</v>
      </c>
      <c r="F88" s="4" t="s">
        <v>61</v>
      </c>
      <c r="G88">
        <v>3</v>
      </c>
      <c r="H88">
        <v>12</v>
      </c>
      <c r="I88" s="4" t="s">
        <v>212</v>
      </c>
      <c r="J88" s="4" t="s">
        <v>213</v>
      </c>
      <c r="K88" s="4" t="s">
        <v>205</v>
      </c>
      <c r="L88" s="4" t="s">
        <v>214</v>
      </c>
      <c r="M88" s="4" t="s">
        <v>182</v>
      </c>
      <c r="N88" s="4" t="s">
        <v>182</v>
      </c>
      <c r="O88" s="4" t="s">
        <v>189</v>
      </c>
      <c r="P88">
        <v>-7538.67</v>
      </c>
      <c r="Q88" s="4" t="s">
        <v>30</v>
      </c>
    </row>
    <row r="89" spans="1:17" x14ac:dyDescent="0.2">
      <c r="A89" s="4" t="s">
        <v>272</v>
      </c>
      <c r="B89">
        <v>88</v>
      </c>
      <c r="C89" s="4" t="s">
        <v>26</v>
      </c>
      <c r="D89" s="4" t="s">
        <v>32</v>
      </c>
      <c r="E89" s="4" t="s">
        <v>35</v>
      </c>
      <c r="F89" s="4" t="s">
        <v>63</v>
      </c>
      <c r="G89">
        <v>3</v>
      </c>
      <c r="H89">
        <v>13</v>
      </c>
      <c r="I89" s="4" t="s">
        <v>190</v>
      </c>
      <c r="J89" s="4" t="s">
        <v>191</v>
      </c>
      <c r="K89" s="4" t="s">
        <v>179</v>
      </c>
      <c r="L89" s="4" t="s">
        <v>180</v>
      </c>
      <c r="M89" s="4" t="s">
        <v>192</v>
      </c>
      <c r="N89" s="4" t="s">
        <v>182</v>
      </c>
      <c r="O89" s="4" t="s">
        <v>189</v>
      </c>
      <c r="P89">
        <v>-200</v>
      </c>
      <c r="Q89" s="4" t="s">
        <v>30</v>
      </c>
    </row>
    <row r="90" spans="1:17" x14ac:dyDescent="0.2">
      <c r="A90" s="4" t="s">
        <v>273</v>
      </c>
      <c r="B90">
        <v>89</v>
      </c>
      <c r="C90" s="4" t="s">
        <v>26</v>
      </c>
      <c r="D90" s="4" t="s">
        <v>32</v>
      </c>
      <c r="E90" s="4" t="s">
        <v>35</v>
      </c>
      <c r="F90" s="4" t="s">
        <v>63</v>
      </c>
      <c r="G90">
        <v>3</v>
      </c>
      <c r="H90">
        <v>13</v>
      </c>
      <c r="I90" s="4" t="s">
        <v>190</v>
      </c>
      <c r="J90" s="4" t="s">
        <v>191</v>
      </c>
      <c r="K90" s="4" t="s">
        <v>179</v>
      </c>
      <c r="L90" s="4" t="s">
        <v>180</v>
      </c>
      <c r="M90" s="4" t="s">
        <v>192</v>
      </c>
      <c r="N90" s="4" t="s">
        <v>182</v>
      </c>
      <c r="O90" s="4" t="s">
        <v>183</v>
      </c>
      <c r="P90">
        <v>13593.6</v>
      </c>
      <c r="Q90" s="4" t="s">
        <v>30</v>
      </c>
    </row>
    <row r="91" spans="1:17" x14ac:dyDescent="0.2">
      <c r="A91" s="4" t="s">
        <v>274</v>
      </c>
      <c r="B91">
        <v>90</v>
      </c>
      <c r="C91" s="4" t="s">
        <v>26</v>
      </c>
      <c r="D91" s="4" t="s">
        <v>32</v>
      </c>
      <c r="E91" s="4" t="s">
        <v>35</v>
      </c>
      <c r="F91" s="4" t="s">
        <v>63</v>
      </c>
      <c r="G91">
        <v>3</v>
      </c>
      <c r="H91">
        <v>13</v>
      </c>
      <c r="I91" s="4" t="s">
        <v>207</v>
      </c>
      <c r="J91" s="4" t="s">
        <v>208</v>
      </c>
      <c r="K91" s="4" t="s">
        <v>179</v>
      </c>
      <c r="L91" s="4" t="s">
        <v>180</v>
      </c>
      <c r="M91" s="4" t="s">
        <v>192</v>
      </c>
      <c r="N91" s="4" t="s">
        <v>182</v>
      </c>
      <c r="O91" s="4" t="s">
        <v>189</v>
      </c>
      <c r="P91">
        <v>-13593.6</v>
      </c>
      <c r="Q91" s="4" t="s">
        <v>30</v>
      </c>
    </row>
    <row r="92" spans="1:17" x14ac:dyDescent="0.2">
      <c r="A92" s="4" t="s">
        <v>275</v>
      </c>
      <c r="B92">
        <v>91</v>
      </c>
      <c r="C92" s="4" t="s">
        <v>26</v>
      </c>
      <c r="D92" s="4" t="s">
        <v>32</v>
      </c>
      <c r="E92" s="4" t="s">
        <v>35</v>
      </c>
      <c r="F92" s="4" t="s">
        <v>63</v>
      </c>
      <c r="G92">
        <v>3</v>
      </c>
      <c r="H92">
        <v>13</v>
      </c>
      <c r="I92" s="4" t="s">
        <v>207</v>
      </c>
      <c r="J92" s="4" t="s">
        <v>208</v>
      </c>
      <c r="K92" s="4" t="s">
        <v>179</v>
      </c>
      <c r="L92" s="4" t="s">
        <v>180</v>
      </c>
      <c r="M92" s="4" t="s">
        <v>192</v>
      </c>
      <c r="N92" s="4" t="s">
        <v>182</v>
      </c>
      <c r="O92" s="4" t="s">
        <v>183</v>
      </c>
      <c r="P92">
        <v>17756.849999999999</v>
      </c>
      <c r="Q92" s="4" t="s">
        <v>30</v>
      </c>
    </row>
    <row r="93" spans="1:17" x14ac:dyDescent="0.2">
      <c r="A93" s="4" t="s">
        <v>276</v>
      </c>
      <c r="B93">
        <v>92</v>
      </c>
      <c r="C93" s="4" t="s">
        <v>26</v>
      </c>
      <c r="D93" s="4" t="s">
        <v>32</v>
      </c>
      <c r="E93" s="4" t="s">
        <v>35</v>
      </c>
      <c r="F93" s="4" t="s">
        <v>63</v>
      </c>
      <c r="G93">
        <v>3</v>
      </c>
      <c r="H93">
        <v>13</v>
      </c>
      <c r="I93" s="4" t="s">
        <v>209</v>
      </c>
      <c r="J93" s="4" t="s">
        <v>210</v>
      </c>
      <c r="K93" s="4" t="s">
        <v>205</v>
      </c>
      <c r="L93" s="4" t="s">
        <v>211</v>
      </c>
      <c r="M93" s="4" t="s">
        <v>182</v>
      </c>
      <c r="N93" s="4" t="s">
        <v>182</v>
      </c>
      <c r="O93" s="4" t="s">
        <v>183</v>
      </c>
      <c r="P93">
        <v>14496.18</v>
      </c>
      <c r="Q93" s="4" t="s">
        <v>30</v>
      </c>
    </row>
    <row r="94" spans="1:17" x14ac:dyDescent="0.2">
      <c r="A94" s="4" t="s">
        <v>277</v>
      </c>
      <c r="B94">
        <v>93</v>
      </c>
      <c r="C94" s="4" t="s">
        <v>26</v>
      </c>
      <c r="D94" s="4" t="s">
        <v>32</v>
      </c>
      <c r="E94" s="4" t="s">
        <v>35</v>
      </c>
      <c r="F94" s="4" t="s">
        <v>63</v>
      </c>
      <c r="G94">
        <v>3</v>
      </c>
      <c r="H94">
        <v>13</v>
      </c>
      <c r="I94" s="4" t="s">
        <v>203</v>
      </c>
      <c r="J94" s="4" t="s">
        <v>204</v>
      </c>
      <c r="K94" s="4" t="s">
        <v>205</v>
      </c>
      <c r="L94" s="4" t="s">
        <v>206</v>
      </c>
      <c r="M94" s="4" t="s">
        <v>182</v>
      </c>
      <c r="N94" s="4" t="s">
        <v>182</v>
      </c>
      <c r="O94" s="4" t="s">
        <v>183</v>
      </c>
      <c r="P94">
        <v>200</v>
      </c>
      <c r="Q94" s="4" t="s">
        <v>30</v>
      </c>
    </row>
    <row r="95" spans="1:17" x14ac:dyDescent="0.2">
      <c r="A95" s="4" t="s">
        <v>278</v>
      </c>
      <c r="B95">
        <v>94</v>
      </c>
      <c r="C95" s="4" t="s">
        <v>26</v>
      </c>
      <c r="D95" s="4" t="s">
        <v>32</v>
      </c>
      <c r="E95" s="4" t="s">
        <v>35</v>
      </c>
      <c r="F95" s="4" t="s">
        <v>63</v>
      </c>
      <c r="G95">
        <v>3</v>
      </c>
      <c r="H95">
        <v>13</v>
      </c>
      <c r="I95" s="4" t="s">
        <v>201</v>
      </c>
      <c r="J95" s="4" t="s">
        <v>202</v>
      </c>
      <c r="K95" s="4" t="s">
        <v>179</v>
      </c>
      <c r="L95" s="4" t="s">
        <v>180</v>
      </c>
      <c r="M95" s="4" t="s">
        <v>192</v>
      </c>
      <c r="N95" s="4" t="s">
        <v>182</v>
      </c>
      <c r="O95" s="4" t="s">
        <v>189</v>
      </c>
      <c r="P95">
        <v>-14496.18</v>
      </c>
      <c r="Q95" s="4" t="s">
        <v>30</v>
      </c>
    </row>
    <row r="96" spans="1:17" x14ac:dyDescent="0.2">
      <c r="A96" s="4" t="s">
        <v>279</v>
      </c>
      <c r="B96">
        <v>95</v>
      </c>
      <c r="C96" s="4" t="s">
        <v>26</v>
      </c>
      <c r="D96" s="4" t="s">
        <v>32</v>
      </c>
      <c r="E96" s="4" t="s">
        <v>35</v>
      </c>
      <c r="F96" s="4" t="s">
        <v>63</v>
      </c>
      <c r="G96">
        <v>3</v>
      </c>
      <c r="H96">
        <v>13</v>
      </c>
      <c r="I96" s="4" t="s">
        <v>212</v>
      </c>
      <c r="J96" s="4" t="s">
        <v>213</v>
      </c>
      <c r="K96" s="4" t="s">
        <v>205</v>
      </c>
      <c r="L96" s="4" t="s">
        <v>214</v>
      </c>
      <c r="M96" s="4" t="s">
        <v>182</v>
      </c>
      <c r="N96" s="4" t="s">
        <v>182</v>
      </c>
      <c r="O96" s="4" t="s">
        <v>189</v>
      </c>
      <c r="P96">
        <v>-17756.849999999999</v>
      </c>
      <c r="Q96" s="4" t="s">
        <v>30</v>
      </c>
    </row>
    <row r="97" spans="1:17" x14ac:dyDescent="0.2">
      <c r="A97" s="4" t="s">
        <v>280</v>
      </c>
      <c r="B97">
        <v>96</v>
      </c>
      <c r="C97" s="4" t="s">
        <v>26</v>
      </c>
      <c r="D97" s="4" t="s">
        <v>32</v>
      </c>
      <c r="E97" s="4" t="s">
        <v>38</v>
      </c>
      <c r="F97" s="4" t="s">
        <v>65</v>
      </c>
      <c r="G97">
        <v>3</v>
      </c>
      <c r="H97">
        <v>14</v>
      </c>
      <c r="I97" s="4" t="s">
        <v>190</v>
      </c>
      <c r="J97" s="4" t="s">
        <v>191</v>
      </c>
      <c r="K97" s="4" t="s">
        <v>179</v>
      </c>
      <c r="L97" s="4" t="s">
        <v>180</v>
      </c>
      <c r="M97" s="4" t="s">
        <v>192</v>
      </c>
      <c r="N97" s="4" t="s">
        <v>182</v>
      </c>
      <c r="O97" s="4" t="s">
        <v>189</v>
      </c>
      <c r="P97">
        <v>-300</v>
      </c>
      <c r="Q97" s="4" t="s">
        <v>30</v>
      </c>
    </row>
    <row r="98" spans="1:17" x14ac:dyDescent="0.2">
      <c r="A98" s="4" t="s">
        <v>281</v>
      </c>
      <c r="B98">
        <v>97</v>
      </c>
      <c r="C98" s="4" t="s">
        <v>26</v>
      </c>
      <c r="D98" s="4" t="s">
        <v>32</v>
      </c>
      <c r="E98" s="4" t="s">
        <v>38</v>
      </c>
      <c r="F98" s="4" t="s">
        <v>65</v>
      </c>
      <c r="G98">
        <v>3</v>
      </c>
      <c r="H98">
        <v>14</v>
      </c>
      <c r="I98" s="4" t="s">
        <v>190</v>
      </c>
      <c r="J98" s="4" t="s">
        <v>191</v>
      </c>
      <c r="K98" s="4" t="s">
        <v>179</v>
      </c>
      <c r="L98" s="4" t="s">
        <v>180</v>
      </c>
      <c r="M98" s="4" t="s">
        <v>192</v>
      </c>
      <c r="N98" s="4" t="s">
        <v>182</v>
      </c>
      <c r="O98" s="4" t="s">
        <v>183</v>
      </c>
      <c r="P98">
        <v>2047.38</v>
      </c>
      <c r="Q98" s="4" t="s">
        <v>30</v>
      </c>
    </row>
    <row r="99" spans="1:17" x14ac:dyDescent="0.2">
      <c r="A99" s="4" t="s">
        <v>282</v>
      </c>
      <c r="B99">
        <v>98</v>
      </c>
      <c r="C99" s="4" t="s">
        <v>26</v>
      </c>
      <c r="D99" s="4" t="s">
        <v>32</v>
      </c>
      <c r="E99" s="4" t="s">
        <v>38</v>
      </c>
      <c r="F99" s="4" t="s">
        <v>65</v>
      </c>
      <c r="G99">
        <v>3</v>
      </c>
      <c r="H99">
        <v>14</v>
      </c>
      <c r="I99" s="4" t="s">
        <v>207</v>
      </c>
      <c r="J99" s="4" t="s">
        <v>208</v>
      </c>
      <c r="K99" s="4" t="s">
        <v>179</v>
      </c>
      <c r="L99" s="4" t="s">
        <v>180</v>
      </c>
      <c r="M99" s="4" t="s">
        <v>192</v>
      </c>
      <c r="N99" s="4" t="s">
        <v>182</v>
      </c>
      <c r="O99" s="4" t="s">
        <v>189</v>
      </c>
      <c r="P99">
        <v>-2047.38</v>
      </c>
      <c r="Q99" s="4" t="s">
        <v>30</v>
      </c>
    </row>
    <row r="100" spans="1:17" x14ac:dyDescent="0.2">
      <c r="A100" s="4" t="s">
        <v>283</v>
      </c>
      <c r="B100">
        <v>99</v>
      </c>
      <c r="C100" s="4" t="s">
        <v>26</v>
      </c>
      <c r="D100" s="4" t="s">
        <v>32</v>
      </c>
      <c r="E100" s="4" t="s">
        <v>38</v>
      </c>
      <c r="F100" s="4" t="s">
        <v>65</v>
      </c>
      <c r="G100">
        <v>3</v>
      </c>
      <c r="H100">
        <v>14</v>
      </c>
      <c r="I100" s="4" t="s">
        <v>207</v>
      </c>
      <c r="J100" s="4" t="s">
        <v>208</v>
      </c>
      <c r="K100" s="4" t="s">
        <v>179</v>
      </c>
      <c r="L100" s="4" t="s">
        <v>180</v>
      </c>
      <c r="M100" s="4" t="s">
        <v>192</v>
      </c>
      <c r="N100" s="4" t="s">
        <v>182</v>
      </c>
      <c r="O100" s="4" t="s">
        <v>183</v>
      </c>
      <c r="P100">
        <v>14854.77</v>
      </c>
      <c r="Q100" s="4" t="s">
        <v>30</v>
      </c>
    </row>
    <row r="101" spans="1:17" x14ac:dyDescent="0.2">
      <c r="A101" s="4" t="s">
        <v>284</v>
      </c>
      <c r="B101">
        <v>100</v>
      </c>
      <c r="C101" s="4" t="s">
        <v>26</v>
      </c>
      <c r="D101" s="4" t="s">
        <v>32</v>
      </c>
      <c r="E101" s="4" t="s">
        <v>38</v>
      </c>
      <c r="F101" s="4" t="s">
        <v>65</v>
      </c>
      <c r="G101">
        <v>3</v>
      </c>
      <c r="H101">
        <v>14</v>
      </c>
      <c r="I101" s="4" t="s">
        <v>209</v>
      </c>
      <c r="J101" s="4" t="s">
        <v>210</v>
      </c>
      <c r="K101" s="4" t="s">
        <v>205</v>
      </c>
      <c r="L101" s="4" t="s">
        <v>211</v>
      </c>
      <c r="M101" s="4" t="s">
        <v>182</v>
      </c>
      <c r="N101" s="4" t="s">
        <v>182</v>
      </c>
      <c r="O101" s="4" t="s">
        <v>183</v>
      </c>
      <c r="P101">
        <v>12722.21</v>
      </c>
      <c r="Q101" s="4" t="s">
        <v>30</v>
      </c>
    </row>
    <row r="102" spans="1:17" x14ac:dyDescent="0.2">
      <c r="A102" s="4" t="s">
        <v>285</v>
      </c>
      <c r="B102">
        <v>101</v>
      </c>
      <c r="C102" s="4" t="s">
        <v>26</v>
      </c>
      <c r="D102" s="4" t="s">
        <v>32</v>
      </c>
      <c r="E102" s="4" t="s">
        <v>38</v>
      </c>
      <c r="F102" s="4" t="s">
        <v>65</v>
      </c>
      <c r="G102">
        <v>3</v>
      </c>
      <c r="H102">
        <v>14</v>
      </c>
      <c r="I102" s="4" t="s">
        <v>203</v>
      </c>
      <c r="J102" s="4" t="s">
        <v>204</v>
      </c>
      <c r="K102" s="4" t="s">
        <v>205</v>
      </c>
      <c r="L102" s="4" t="s">
        <v>206</v>
      </c>
      <c r="M102" s="4" t="s">
        <v>182</v>
      </c>
      <c r="N102" s="4" t="s">
        <v>182</v>
      </c>
      <c r="O102" s="4" t="s">
        <v>183</v>
      </c>
      <c r="P102">
        <v>300</v>
      </c>
      <c r="Q102" s="4" t="s">
        <v>30</v>
      </c>
    </row>
    <row r="103" spans="1:17" x14ac:dyDescent="0.2">
      <c r="A103" s="4" t="s">
        <v>286</v>
      </c>
      <c r="B103">
        <v>102</v>
      </c>
      <c r="C103" s="4" t="s">
        <v>26</v>
      </c>
      <c r="D103" s="4" t="s">
        <v>32</v>
      </c>
      <c r="E103" s="4" t="s">
        <v>38</v>
      </c>
      <c r="F103" s="4" t="s">
        <v>65</v>
      </c>
      <c r="G103">
        <v>3</v>
      </c>
      <c r="H103">
        <v>14</v>
      </c>
      <c r="I103" s="4" t="s">
        <v>201</v>
      </c>
      <c r="J103" s="4" t="s">
        <v>202</v>
      </c>
      <c r="K103" s="4" t="s">
        <v>179</v>
      </c>
      <c r="L103" s="4" t="s">
        <v>180</v>
      </c>
      <c r="M103" s="4" t="s">
        <v>192</v>
      </c>
      <c r="N103" s="4" t="s">
        <v>182</v>
      </c>
      <c r="O103" s="4" t="s">
        <v>189</v>
      </c>
      <c r="P103">
        <v>-12722.21</v>
      </c>
      <c r="Q103" s="4" t="s">
        <v>30</v>
      </c>
    </row>
    <row r="104" spans="1:17" x14ac:dyDescent="0.2">
      <c r="A104" s="4" t="s">
        <v>287</v>
      </c>
      <c r="B104">
        <v>103</v>
      </c>
      <c r="C104" s="4" t="s">
        <v>26</v>
      </c>
      <c r="D104" s="4" t="s">
        <v>32</v>
      </c>
      <c r="E104" s="4" t="s">
        <v>38</v>
      </c>
      <c r="F104" s="4" t="s">
        <v>65</v>
      </c>
      <c r="G104">
        <v>3</v>
      </c>
      <c r="H104">
        <v>14</v>
      </c>
      <c r="I104" s="4" t="s">
        <v>212</v>
      </c>
      <c r="J104" s="4" t="s">
        <v>213</v>
      </c>
      <c r="K104" s="4" t="s">
        <v>205</v>
      </c>
      <c r="L104" s="4" t="s">
        <v>214</v>
      </c>
      <c r="M104" s="4" t="s">
        <v>182</v>
      </c>
      <c r="N104" s="4" t="s">
        <v>182</v>
      </c>
      <c r="O104" s="4" t="s">
        <v>189</v>
      </c>
      <c r="P104">
        <v>-14854.77</v>
      </c>
      <c r="Q104" s="4" t="s">
        <v>30</v>
      </c>
    </row>
    <row r="105" spans="1:17" x14ac:dyDescent="0.2">
      <c r="A105" s="4" t="s">
        <v>288</v>
      </c>
      <c r="B105">
        <v>104</v>
      </c>
      <c r="C105" s="4" t="s">
        <v>26</v>
      </c>
      <c r="D105" s="4" t="s">
        <v>32</v>
      </c>
      <c r="E105" s="4" t="s">
        <v>41</v>
      </c>
      <c r="F105" s="4" t="s">
        <v>67</v>
      </c>
      <c r="G105">
        <v>3</v>
      </c>
      <c r="H105">
        <v>15</v>
      </c>
      <c r="I105" s="4" t="s">
        <v>190</v>
      </c>
      <c r="J105" s="4" t="s">
        <v>191</v>
      </c>
      <c r="K105" s="4" t="s">
        <v>179</v>
      </c>
      <c r="L105" s="4" t="s">
        <v>180</v>
      </c>
      <c r="M105" s="4" t="s">
        <v>192</v>
      </c>
      <c r="N105" s="4" t="s">
        <v>182</v>
      </c>
      <c r="O105" s="4" t="s">
        <v>189</v>
      </c>
      <c r="P105">
        <v>-300</v>
      </c>
      <c r="Q105" s="4" t="s">
        <v>30</v>
      </c>
    </row>
    <row r="106" spans="1:17" x14ac:dyDescent="0.2">
      <c r="A106" s="4" t="s">
        <v>289</v>
      </c>
      <c r="B106">
        <v>105</v>
      </c>
      <c r="C106" s="4" t="s">
        <v>26</v>
      </c>
      <c r="D106" s="4" t="s">
        <v>32</v>
      </c>
      <c r="E106" s="4" t="s">
        <v>41</v>
      </c>
      <c r="F106" s="4" t="s">
        <v>67</v>
      </c>
      <c r="G106">
        <v>3</v>
      </c>
      <c r="H106">
        <v>15</v>
      </c>
      <c r="I106" s="4" t="s">
        <v>190</v>
      </c>
      <c r="J106" s="4" t="s">
        <v>191</v>
      </c>
      <c r="K106" s="4" t="s">
        <v>179</v>
      </c>
      <c r="L106" s="4" t="s">
        <v>180</v>
      </c>
      <c r="M106" s="4" t="s">
        <v>192</v>
      </c>
      <c r="N106" s="4" t="s">
        <v>182</v>
      </c>
      <c r="O106" s="4" t="s">
        <v>183</v>
      </c>
      <c r="P106">
        <v>8843.18</v>
      </c>
      <c r="Q106" s="4" t="s">
        <v>30</v>
      </c>
    </row>
    <row r="107" spans="1:17" x14ac:dyDescent="0.2">
      <c r="A107" s="4" t="s">
        <v>290</v>
      </c>
      <c r="B107">
        <v>106</v>
      </c>
      <c r="C107" s="4" t="s">
        <v>26</v>
      </c>
      <c r="D107" s="4" t="s">
        <v>32</v>
      </c>
      <c r="E107" s="4" t="s">
        <v>41</v>
      </c>
      <c r="F107" s="4" t="s">
        <v>67</v>
      </c>
      <c r="G107">
        <v>3</v>
      </c>
      <c r="H107">
        <v>15</v>
      </c>
      <c r="I107" s="4" t="s">
        <v>207</v>
      </c>
      <c r="J107" s="4" t="s">
        <v>208</v>
      </c>
      <c r="K107" s="4" t="s">
        <v>179</v>
      </c>
      <c r="L107" s="4" t="s">
        <v>180</v>
      </c>
      <c r="M107" s="4" t="s">
        <v>192</v>
      </c>
      <c r="N107" s="4" t="s">
        <v>182</v>
      </c>
      <c r="O107" s="4" t="s">
        <v>189</v>
      </c>
      <c r="P107">
        <v>-8843.18</v>
      </c>
      <c r="Q107" s="4" t="s">
        <v>30</v>
      </c>
    </row>
    <row r="108" spans="1:17" x14ac:dyDescent="0.2">
      <c r="A108" s="4" t="s">
        <v>291</v>
      </c>
      <c r="B108">
        <v>107</v>
      </c>
      <c r="C108" s="4" t="s">
        <v>26</v>
      </c>
      <c r="D108" s="4" t="s">
        <v>32</v>
      </c>
      <c r="E108" s="4" t="s">
        <v>41</v>
      </c>
      <c r="F108" s="4" t="s">
        <v>67</v>
      </c>
      <c r="G108">
        <v>3</v>
      </c>
      <c r="H108">
        <v>15</v>
      </c>
      <c r="I108" s="4" t="s">
        <v>207</v>
      </c>
      <c r="J108" s="4" t="s">
        <v>208</v>
      </c>
      <c r="K108" s="4" t="s">
        <v>179</v>
      </c>
      <c r="L108" s="4" t="s">
        <v>180</v>
      </c>
      <c r="M108" s="4" t="s">
        <v>192</v>
      </c>
      <c r="N108" s="4" t="s">
        <v>182</v>
      </c>
      <c r="O108" s="4" t="s">
        <v>183</v>
      </c>
      <c r="P108">
        <v>17157.349999999999</v>
      </c>
      <c r="Q108" s="4" t="s">
        <v>30</v>
      </c>
    </row>
    <row r="109" spans="1:17" x14ac:dyDescent="0.2">
      <c r="A109" s="4" t="s">
        <v>292</v>
      </c>
      <c r="B109">
        <v>108</v>
      </c>
      <c r="C109" s="4" t="s">
        <v>26</v>
      </c>
      <c r="D109" s="4" t="s">
        <v>32</v>
      </c>
      <c r="E109" s="4" t="s">
        <v>41</v>
      </c>
      <c r="F109" s="4" t="s">
        <v>67</v>
      </c>
      <c r="G109">
        <v>3</v>
      </c>
      <c r="H109">
        <v>15</v>
      </c>
      <c r="I109" s="4" t="s">
        <v>209</v>
      </c>
      <c r="J109" s="4" t="s">
        <v>210</v>
      </c>
      <c r="K109" s="4" t="s">
        <v>205</v>
      </c>
      <c r="L109" s="4" t="s">
        <v>211</v>
      </c>
      <c r="M109" s="4" t="s">
        <v>182</v>
      </c>
      <c r="N109" s="4" t="s">
        <v>182</v>
      </c>
      <c r="O109" s="4" t="s">
        <v>183</v>
      </c>
      <c r="P109">
        <v>14548.1</v>
      </c>
      <c r="Q109" s="4" t="s">
        <v>30</v>
      </c>
    </row>
    <row r="110" spans="1:17" x14ac:dyDescent="0.2">
      <c r="A110" s="4" t="s">
        <v>293</v>
      </c>
      <c r="B110">
        <v>109</v>
      </c>
      <c r="C110" s="4" t="s">
        <v>26</v>
      </c>
      <c r="D110" s="4" t="s">
        <v>32</v>
      </c>
      <c r="E110" s="4" t="s">
        <v>41</v>
      </c>
      <c r="F110" s="4" t="s">
        <v>67</v>
      </c>
      <c r="G110">
        <v>3</v>
      </c>
      <c r="H110">
        <v>15</v>
      </c>
      <c r="I110" s="4" t="s">
        <v>203</v>
      </c>
      <c r="J110" s="4" t="s">
        <v>204</v>
      </c>
      <c r="K110" s="4" t="s">
        <v>205</v>
      </c>
      <c r="L110" s="4" t="s">
        <v>206</v>
      </c>
      <c r="M110" s="4" t="s">
        <v>182</v>
      </c>
      <c r="N110" s="4" t="s">
        <v>182</v>
      </c>
      <c r="O110" s="4" t="s">
        <v>183</v>
      </c>
      <c r="P110">
        <v>300</v>
      </c>
      <c r="Q110" s="4" t="s">
        <v>30</v>
      </c>
    </row>
    <row r="111" spans="1:17" x14ac:dyDescent="0.2">
      <c r="A111" s="4" t="s">
        <v>294</v>
      </c>
      <c r="B111">
        <v>110</v>
      </c>
      <c r="C111" s="4" t="s">
        <v>26</v>
      </c>
      <c r="D111" s="4" t="s">
        <v>32</v>
      </c>
      <c r="E111" s="4" t="s">
        <v>41</v>
      </c>
      <c r="F111" s="4" t="s">
        <v>67</v>
      </c>
      <c r="G111">
        <v>3</v>
      </c>
      <c r="H111">
        <v>15</v>
      </c>
      <c r="I111" s="4" t="s">
        <v>201</v>
      </c>
      <c r="J111" s="4" t="s">
        <v>202</v>
      </c>
      <c r="K111" s="4" t="s">
        <v>179</v>
      </c>
      <c r="L111" s="4" t="s">
        <v>180</v>
      </c>
      <c r="M111" s="4" t="s">
        <v>192</v>
      </c>
      <c r="N111" s="4" t="s">
        <v>182</v>
      </c>
      <c r="O111" s="4" t="s">
        <v>189</v>
      </c>
      <c r="P111">
        <v>-14548.1</v>
      </c>
      <c r="Q111" s="4" t="s">
        <v>30</v>
      </c>
    </row>
    <row r="112" spans="1:17" x14ac:dyDescent="0.2">
      <c r="A112" s="4" t="s">
        <v>295</v>
      </c>
      <c r="B112">
        <v>111</v>
      </c>
      <c r="C112" s="4" t="s">
        <v>26</v>
      </c>
      <c r="D112" s="4" t="s">
        <v>32</v>
      </c>
      <c r="E112" s="4" t="s">
        <v>41</v>
      </c>
      <c r="F112" s="4" t="s">
        <v>67</v>
      </c>
      <c r="G112">
        <v>3</v>
      </c>
      <c r="H112">
        <v>15</v>
      </c>
      <c r="I112" s="4" t="s">
        <v>212</v>
      </c>
      <c r="J112" s="4" t="s">
        <v>213</v>
      </c>
      <c r="K112" s="4" t="s">
        <v>205</v>
      </c>
      <c r="L112" s="4" t="s">
        <v>214</v>
      </c>
      <c r="M112" s="4" t="s">
        <v>182</v>
      </c>
      <c r="N112" s="4" t="s">
        <v>182</v>
      </c>
      <c r="O112" s="4" t="s">
        <v>189</v>
      </c>
      <c r="P112">
        <v>-17157.349999999999</v>
      </c>
      <c r="Q112" s="4" t="s">
        <v>30</v>
      </c>
    </row>
    <row r="113" spans="1:17" x14ac:dyDescent="0.2">
      <c r="A113" s="4" t="s">
        <v>296</v>
      </c>
      <c r="B113">
        <v>112</v>
      </c>
      <c r="C113" s="4" t="s">
        <v>26</v>
      </c>
      <c r="D113" s="4" t="s">
        <v>32</v>
      </c>
      <c r="E113" s="4" t="s">
        <v>44</v>
      </c>
      <c r="F113" s="4" t="s">
        <v>69</v>
      </c>
      <c r="G113">
        <v>4</v>
      </c>
      <c r="H113">
        <v>16</v>
      </c>
      <c r="I113" s="4" t="s">
        <v>190</v>
      </c>
      <c r="J113" s="4" t="s">
        <v>191</v>
      </c>
      <c r="K113" s="4" t="s">
        <v>179</v>
      </c>
      <c r="L113" s="4" t="s">
        <v>180</v>
      </c>
      <c r="M113" s="4" t="s">
        <v>192</v>
      </c>
      <c r="N113" s="4" t="s">
        <v>182</v>
      </c>
      <c r="O113" s="4" t="s">
        <v>189</v>
      </c>
      <c r="P113">
        <v>-300</v>
      </c>
      <c r="Q113" s="4" t="s">
        <v>30</v>
      </c>
    </row>
    <row r="114" spans="1:17" x14ac:dyDescent="0.2">
      <c r="A114" s="4" t="s">
        <v>297</v>
      </c>
      <c r="B114">
        <v>113</v>
      </c>
      <c r="C114" s="4" t="s">
        <v>26</v>
      </c>
      <c r="D114" s="4" t="s">
        <v>32</v>
      </c>
      <c r="E114" s="4" t="s">
        <v>44</v>
      </c>
      <c r="F114" s="4" t="s">
        <v>69</v>
      </c>
      <c r="G114">
        <v>4</v>
      </c>
      <c r="H114">
        <v>16</v>
      </c>
      <c r="I114" s="4" t="s">
        <v>190</v>
      </c>
      <c r="J114" s="4" t="s">
        <v>191</v>
      </c>
      <c r="K114" s="4" t="s">
        <v>179</v>
      </c>
      <c r="L114" s="4" t="s">
        <v>180</v>
      </c>
      <c r="M114" s="4" t="s">
        <v>192</v>
      </c>
      <c r="N114" s="4" t="s">
        <v>182</v>
      </c>
      <c r="O114" s="4" t="s">
        <v>183</v>
      </c>
      <c r="P114">
        <v>7538.67</v>
      </c>
      <c r="Q114" s="4" t="s">
        <v>30</v>
      </c>
    </row>
    <row r="115" spans="1:17" x14ac:dyDescent="0.2">
      <c r="A115" s="4" t="s">
        <v>298</v>
      </c>
      <c r="B115">
        <v>114</v>
      </c>
      <c r="C115" s="4" t="s">
        <v>26</v>
      </c>
      <c r="D115" s="4" t="s">
        <v>32</v>
      </c>
      <c r="E115" s="4" t="s">
        <v>44</v>
      </c>
      <c r="F115" s="4" t="s">
        <v>69</v>
      </c>
      <c r="G115">
        <v>4</v>
      </c>
      <c r="H115">
        <v>16</v>
      </c>
      <c r="I115" s="4" t="s">
        <v>207</v>
      </c>
      <c r="J115" s="4" t="s">
        <v>208</v>
      </c>
      <c r="K115" s="4" t="s">
        <v>179</v>
      </c>
      <c r="L115" s="4" t="s">
        <v>180</v>
      </c>
      <c r="M115" s="4" t="s">
        <v>192</v>
      </c>
      <c r="N115" s="4" t="s">
        <v>182</v>
      </c>
      <c r="O115" s="4" t="s">
        <v>189</v>
      </c>
      <c r="P115">
        <v>-7538.67</v>
      </c>
      <c r="Q115" s="4" t="s">
        <v>30</v>
      </c>
    </row>
    <row r="116" spans="1:17" x14ac:dyDescent="0.2">
      <c r="A116" s="4" t="s">
        <v>299</v>
      </c>
      <c r="B116">
        <v>115</v>
      </c>
      <c r="C116" s="4" t="s">
        <v>26</v>
      </c>
      <c r="D116" s="4" t="s">
        <v>32</v>
      </c>
      <c r="E116" s="4" t="s">
        <v>44</v>
      </c>
      <c r="F116" s="4" t="s">
        <v>69</v>
      </c>
      <c r="G116">
        <v>4</v>
      </c>
      <c r="H116">
        <v>16</v>
      </c>
      <c r="I116" s="4" t="s">
        <v>207</v>
      </c>
      <c r="J116" s="4" t="s">
        <v>208</v>
      </c>
      <c r="K116" s="4" t="s">
        <v>179</v>
      </c>
      <c r="L116" s="4" t="s">
        <v>180</v>
      </c>
      <c r="M116" s="4" t="s">
        <v>192</v>
      </c>
      <c r="N116" s="4" t="s">
        <v>182</v>
      </c>
      <c r="O116" s="4" t="s">
        <v>183</v>
      </c>
      <c r="P116">
        <v>17162.72</v>
      </c>
      <c r="Q116" s="4" t="s">
        <v>30</v>
      </c>
    </row>
    <row r="117" spans="1:17" x14ac:dyDescent="0.2">
      <c r="A117" s="4" t="s">
        <v>300</v>
      </c>
      <c r="B117">
        <v>116</v>
      </c>
      <c r="C117" s="4" t="s">
        <v>26</v>
      </c>
      <c r="D117" s="4" t="s">
        <v>32</v>
      </c>
      <c r="E117" s="4" t="s">
        <v>44</v>
      </c>
      <c r="F117" s="4" t="s">
        <v>69</v>
      </c>
      <c r="G117">
        <v>4</v>
      </c>
      <c r="H117">
        <v>16</v>
      </c>
      <c r="I117" s="4" t="s">
        <v>193</v>
      </c>
      <c r="J117" s="4" t="s">
        <v>194</v>
      </c>
      <c r="K117" s="4" t="s">
        <v>179</v>
      </c>
      <c r="L117" s="4" t="s">
        <v>186</v>
      </c>
      <c r="M117" s="4" t="s">
        <v>195</v>
      </c>
      <c r="N117" s="4" t="s">
        <v>196</v>
      </c>
      <c r="O117" s="4" t="s">
        <v>189</v>
      </c>
      <c r="P117">
        <v>-41042.25</v>
      </c>
      <c r="Q117" s="4" t="s">
        <v>30</v>
      </c>
    </row>
    <row r="118" spans="1:17" x14ac:dyDescent="0.2">
      <c r="A118" s="4" t="s">
        <v>301</v>
      </c>
      <c r="B118">
        <v>117</v>
      </c>
      <c r="C118" s="4" t="s">
        <v>26</v>
      </c>
      <c r="D118" s="4" t="s">
        <v>32</v>
      </c>
      <c r="E118" s="4" t="s">
        <v>44</v>
      </c>
      <c r="F118" s="4" t="s">
        <v>69</v>
      </c>
      <c r="G118">
        <v>4</v>
      </c>
      <c r="H118">
        <v>16</v>
      </c>
      <c r="I118" s="4" t="s">
        <v>197</v>
      </c>
      <c r="J118" s="4" t="s">
        <v>198</v>
      </c>
      <c r="K118" s="4" t="s">
        <v>179</v>
      </c>
      <c r="L118" s="4" t="s">
        <v>186</v>
      </c>
      <c r="M118" s="4" t="s">
        <v>195</v>
      </c>
      <c r="N118" s="4" t="s">
        <v>196</v>
      </c>
      <c r="O118" s="4" t="s">
        <v>189</v>
      </c>
      <c r="P118">
        <v>-40042.25</v>
      </c>
      <c r="Q118" s="4" t="s">
        <v>30</v>
      </c>
    </row>
    <row r="119" spans="1:17" x14ac:dyDescent="0.2">
      <c r="A119" s="4" t="s">
        <v>302</v>
      </c>
      <c r="B119">
        <v>118</v>
      </c>
      <c r="C119" s="4" t="s">
        <v>26</v>
      </c>
      <c r="D119" s="4" t="s">
        <v>32</v>
      </c>
      <c r="E119" s="4" t="s">
        <v>44</v>
      </c>
      <c r="F119" s="4" t="s">
        <v>69</v>
      </c>
      <c r="G119">
        <v>4</v>
      </c>
      <c r="H119">
        <v>16</v>
      </c>
      <c r="I119" s="4" t="s">
        <v>197</v>
      </c>
      <c r="J119" s="4" t="s">
        <v>198</v>
      </c>
      <c r="K119" s="4" t="s">
        <v>179</v>
      </c>
      <c r="L119" s="4" t="s">
        <v>186</v>
      </c>
      <c r="M119" s="4" t="s">
        <v>195</v>
      </c>
      <c r="N119" s="4" t="s">
        <v>196</v>
      </c>
      <c r="O119" s="4" t="s">
        <v>183</v>
      </c>
      <c r="P119">
        <v>40042.25</v>
      </c>
      <c r="Q119" s="4" t="s">
        <v>30</v>
      </c>
    </row>
    <row r="120" spans="1:17" x14ac:dyDescent="0.2">
      <c r="A120" s="4" t="s">
        <v>303</v>
      </c>
      <c r="B120">
        <v>119</v>
      </c>
      <c r="C120" s="4" t="s">
        <v>26</v>
      </c>
      <c r="D120" s="4" t="s">
        <v>32</v>
      </c>
      <c r="E120" s="4" t="s">
        <v>44</v>
      </c>
      <c r="F120" s="4" t="s">
        <v>69</v>
      </c>
      <c r="G120">
        <v>4</v>
      </c>
      <c r="H120">
        <v>16</v>
      </c>
      <c r="I120" s="4" t="s">
        <v>199</v>
      </c>
      <c r="J120" s="4" t="s">
        <v>200</v>
      </c>
      <c r="K120" s="4" t="s">
        <v>179</v>
      </c>
      <c r="L120" s="4" t="s">
        <v>186</v>
      </c>
      <c r="M120" s="4" t="s">
        <v>195</v>
      </c>
      <c r="N120" s="4" t="s">
        <v>196</v>
      </c>
      <c r="O120" s="4" t="s">
        <v>189</v>
      </c>
      <c r="P120">
        <v>-1000</v>
      </c>
      <c r="Q120" s="4" t="s">
        <v>30</v>
      </c>
    </row>
    <row r="121" spans="1:17" x14ac:dyDescent="0.2">
      <c r="A121" s="4" t="s">
        <v>304</v>
      </c>
      <c r="B121">
        <v>120</v>
      </c>
      <c r="C121" s="4" t="s">
        <v>26</v>
      </c>
      <c r="D121" s="4" t="s">
        <v>32</v>
      </c>
      <c r="E121" s="4" t="s">
        <v>44</v>
      </c>
      <c r="F121" s="4" t="s">
        <v>69</v>
      </c>
      <c r="G121">
        <v>4</v>
      </c>
      <c r="H121">
        <v>16</v>
      </c>
      <c r="I121" s="4" t="s">
        <v>199</v>
      </c>
      <c r="J121" s="4" t="s">
        <v>200</v>
      </c>
      <c r="K121" s="4" t="s">
        <v>179</v>
      </c>
      <c r="L121" s="4" t="s">
        <v>186</v>
      </c>
      <c r="M121" s="4" t="s">
        <v>195</v>
      </c>
      <c r="N121" s="4" t="s">
        <v>196</v>
      </c>
      <c r="O121" s="4" t="s">
        <v>183</v>
      </c>
      <c r="P121">
        <v>1000</v>
      </c>
      <c r="Q121" s="4" t="s">
        <v>30</v>
      </c>
    </row>
    <row r="122" spans="1:17" x14ac:dyDescent="0.2">
      <c r="A122" s="4" t="s">
        <v>305</v>
      </c>
      <c r="B122">
        <v>121</v>
      </c>
      <c r="C122" s="4" t="s">
        <v>26</v>
      </c>
      <c r="D122" s="4" t="s">
        <v>32</v>
      </c>
      <c r="E122" s="4" t="s">
        <v>44</v>
      </c>
      <c r="F122" s="4" t="s">
        <v>69</v>
      </c>
      <c r="G122">
        <v>4</v>
      </c>
      <c r="H122">
        <v>16</v>
      </c>
      <c r="I122" s="4" t="s">
        <v>209</v>
      </c>
      <c r="J122" s="4" t="s">
        <v>210</v>
      </c>
      <c r="K122" s="4" t="s">
        <v>205</v>
      </c>
      <c r="L122" s="4" t="s">
        <v>211</v>
      </c>
      <c r="M122" s="4" t="s">
        <v>182</v>
      </c>
      <c r="N122" s="4" t="s">
        <v>182</v>
      </c>
      <c r="O122" s="4" t="s">
        <v>183</v>
      </c>
      <c r="P122">
        <v>14412.12</v>
      </c>
      <c r="Q122" s="4" t="s">
        <v>30</v>
      </c>
    </row>
    <row r="123" spans="1:17" x14ac:dyDescent="0.2">
      <c r="A123" s="4" t="s">
        <v>306</v>
      </c>
      <c r="B123">
        <v>122</v>
      </c>
      <c r="C123" s="4" t="s">
        <v>26</v>
      </c>
      <c r="D123" s="4" t="s">
        <v>32</v>
      </c>
      <c r="E123" s="4" t="s">
        <v>44</v>
      </c>
      <c r="F123" s="4" t="s">
        <v>69</v>
      </c>
      <c r="G123">
        <v>4</v>
      </c>
      <c r="H123">
        <v>16</v>
      </c>
      <c r="I123" s="4" t="s">
        <v>203</v>
      </c>
      <c r="J123" s="4" t="s">
        <v>204</v>
      </c>
      <c r="K123" s="4" t="s">
        <v>205</v>
      </c>
      <c r="L123" s="4" t="s">
        <v>206</v>
      </c>
      <c r="M123" s="4" t="s">
        <v>182</v>
      </c>
      <c r="N123" s="4" t="s">
        <v>182</v>
      </c>
      <c r="O123" s="4" t="s">
        <v>183</v>
      </c>
      <c r="P123">
        <v>300</v>
      </c>
      <c r="Q123" s="4" t="s">
        <v>30</v>
      </c>
    </row>
    <row r="124" spans="1:17" x14ac:dyDescent="0.2">
      <c r="A124" s="4" t="s">
        <v>307</v>
      </c>
      <c r="B124">
        <v>123</v>
      </c>
      <c r="C124" s="4" t="s">
        <v>26</v>
      </c>
      <c r="D124" s="4" t="s">
        <v>32</v>
      </c>
      <c r="E124" s="4" t="s">
        <v>44</v>
      </c>
      <c r="F124" s="4" t="s">
        <v>69</v>
      </c>
      <c r="G124">
        <v>4</v>
      </c>
      <c r="H124">
        <v>16</v>
      </c>
      <c r="I124" s="4" t="s">
        <v>201</v>
      </c>
      <c r="J124" s="4" t="s">
        <v>202</v>
      </c>
      <c r="K124" s="4" t="s">
        <v>179</v>
      </c>
      <c r="L124" s="4" t="s">
        <v>180</v>
      </c>
      <c r="M124" s="4" t="s">
        <v>192</v>
      </c>
      <c r="N124" s="4" t="s">
        <v>182</v>
      </c>
      <c r="O124" s="4" t="s">
        <v>189</v>
      </c>
      <c r="P124">
        <v>-14412.12</v>
      </c>
      <c r="Q124" s="4" t="s">
        <v>30</v>
      </c>
    </row>
    <row r="125" spans="1:17" x14ac:dyDescent="0.2">
      <c r="A125" s="4" t="s">
        <v>308</v>
      </c>
      <c r="B125">
        <v>124</v>
      </c>
      <c r="C125" s="4" t="s">
        <v>26</v>
      </c>
      <c r="D125" s="4" t="s">
        <v>32</v>
      </c>
      <c r="E125" s="4" t="s">
        <v>44</v>
      </c>
      <c r="F125" s="4" t="s">
        <v>69</v>
      </c>
      <c r="G125">
        <v>4</v>
      </c>
      <c r="H125">
        <v>16</v>
      </c>
      <c r="I125" s="4" t="s">
        <v>201</v>
      </c>
      <c r="J125" s="4" t="s">
        <v>202</v>
      </c>
      <c r="K125" s="4" t="s">
        <v>179</v>
      </c>
      <c r="L125" s="4" t="s">
        <v>180</v>
      </c>
      <c r="M125" s="4" t="s">
        <v>192</v>
      </c>
      <c r="N125" s="4" t="s">
        <v>182</v>
      </c>
      <c r="O125" s="4" t="s">
        <v>183</v>
      </c>
      <c r="P125">
        <v>41042.25</v>
      </c>
      <c r="Q125" s="4" t="s">
        <v>30</v>
      </c>
    </row>
    <row r="126" spans="1:17" x14ac:dyDescent="0.2">
      <c r="A126" s="4" t="s">
        <v>309</v>
      </c>
      <c r="B126">
        <v>125</v>
      </c>
      <c r="C126" s="4" t="s">
        <v>26</v>
      </c>
      <c r="D126" s="4" t="s">
        <v>32</v>
      </c>
      <c r="E126" s="4" t="s">
        <v>44</v>
      </c>
      <c r="F126" s="4" t="s">
        <v>69</v>
      </c>
      <c r="G126">
        <v>4</v>
      </c>
      <c r="H126">
        <v>16</v>
      </c>
      <c r="I126" s="4" t="s">
        <v>212</v>
      </c>
      <c r="J126" s="4" t="s">
        <v>213</v>
      </c>
      <c r="K126" s="4" t="s">
        <v>205</v>
      </c>
      <c r="L126" s="4" t="s">
        <v>214</v>
      </c>
      <c r="M126" s="4" t="s">
        <v>182</v>
      </c>
      <c r="N126" s="4" t="s">
        <v>182</v>
      </c>
      <c r="O126" s="4" t="s">
        <v>189</v>
      </c>
      <c r="P126">
        <v>-17162.72</v>
      </c>
      <c r="Q126" s="4" t="s">
        <v>30</v>
      </c>
    </row>
    <row r="127" spans="1:17" x14ac:dyDescent="0.2">
      <c r="A127" s="4" t="s">
        <v>310</v>
      </c>
      <c r="B127">
        <v>126</v>
      </c>
      <c r="C127" s="4" t="s">
        <v>26</v>
      </c>
      <c r="D127" s="4" t="s">
        <v>32</v>
      </c>
      <c r="E127" s="4" t="s">
        <v>47</v>
      </c>
      <c r="F127" s="4" t="s">
        <v>71</v>
      </c>
      <c r="G127">
        <v>4</v>
      </c>
      <c r="H127">
        <v>17</v>
      </c>
      <c r="I127" s="4" t="s">
        <v>190</v>
      </c>
      <c r="J127" s="4" t="s">
        <v>191</v>
      </c>
      <c r="K127" s="4" t="s">
        <v>179</v>
      </c>
      <c r="L127" s="4" t="s">
        <v>180</v>
      </c>
      <c r="M127" s="4" t="s">
        <v>192</v>
      </c>
      <c r="N127" s="4" t="s">
        <v>182</v>
      </c>
      <c r="O127" s="4" t="s">
        <v>189</v>
      </c>
      <c r="P127">
        <v>-37755.43</v>
      </c>
      <c r="Q127" s="4" t="s">
        <v>30</v>
      </c>
    </row>
    <row r="128" spans="1:17" x14ac:dyDescent="0.2">
      <c r="A128" s="4" t="s">
        <v>311</v>
      </c>
      <c r="B128">
        <v>127</v>
      </c>
      <c r="C128" s="4" t="s">
        <v>26</v>
      </c>
      <c r="D128" s="4" t="s">
        <v>32</v>
      </c>
      <c r="E128" s="4" t="s">
        <v>47</v>
      </c>
      <c r="F128" s="4" t="s">
        <v>71</v>
      </c>
      <c r="G128">
        <v>4</v>
      </c>
      <c r="H128">
        <v>17</v>
      </c>
      <c r="I128" s="4" t="s">
        <v>190</v>
      </c>
      <c r="J128" s="4" t="s">
        <v>191</v>
      </c>
      <c r="K128" s="4" t="s">
        <v>179</v>
      </c>
      <c r="L128" s="4" t="s">
        <v>180</v>
      </c>
      <c r="M128" s="4" t="s">
        <v>192</v>
      </c>
      <c r="N128" s="4" t="s">
        <v>182</v>
      </c>
      <c r="O128" s="4" t="s">
        <v>183</v>
      </c>
      <c r="P128">
        <v>17756.849999999999</v>
      </c>
      <c r="Q128" s="4" t="s">
        <v>30</v>
      </c>
    </row>
    <row r="129" spans="1:17" x14ac:dyDescent="0.2">
      <c r="A129" s="4" t="s">
        <v>312</v>
      </c>
      <c r="B129">
        <v>128</v>
      </c>
      <c r="C129" s="4" t="s">
        <v>26</v>
      </c>
      <c r="D129" s="4" t="s">
        <v>32</v>
      </c>
      <c r="E129" s="4" t="s">
        <v>47</v>
      </c>
      <c r="F129" s="4" t="s">
        <v>71</v>
      </c>
      <c r="G129">
        <v>4</v>
      </c>
      <c r="H129">
        <v>17</v>
      </c>
      <c r="I129" s="4" t="s">
        <v>207</v>
      </c>
      <c r="J129" s="4" t="s">
        <v>208</v>
      </c>
      <c r="K129" s="4" t="s">
        <v>179</v>
      </c>
      <c r="L129" s="4" t="s">
        <v>180</v>
      </c>
      <c r="M129" s="4" t="s">
        <v>192</v>
      </c>
      <c r="N129" s="4" t="s">
        <v>182</v>
      </c>
      <c r="O129" s="4" t="s">
        <v>189</v>
      </c>
      <c r="P129">
        <v>-17756.849999999999</v>
      </c>
      <c r="Q129" s="4" t="s">
        <v>30</v>
      </c>
    </row>
    <row r="130" spans="1:17" x14ac:dyDescent="0.2">
      <c r="A130" s="4" t="s">
        <v>313</v>
      </c>
      <c r="B130">
        <v>129</v>
      </c>
      <c r="C130" s="4" t="s">
        <v>26</v>
      </c>
      <c r="D130" s="4" t="s">
        <v>32</v>
      </c>
      <c r="E130" s="4" t="s">
        <v>47</v>
      </c>
      <c r="F130" s="4" t="s">
        <v>71</v>
      </c>
      <c r="G130">
        <v>4</v>
      </c>
      <c r="H130">
        <v>17</v>
      </c>
      <c r="I130" s="4" t="s">
        <v>207</v>
      </c>
      <c r="J130" s="4" t="s">
        <v>208</v>
      </c>
      <c r="K130" s="4" t="s">
        <v>179</v>
      </c>
      <c r="L130" s="4" t="s">
        <v>180</v>
      </c>
      <c r="M130" s="4" t="s">
        <v>192</v>
      </c>
      <c r="N130" s="4" t="s">
        <v>182</v>
      </c>
      <c r="O130" s="4" t="s">
        <v>183</v>
      </c>
      <c r="P130">
        <v>8100.28</v>
      </c>
      <c r="Q130" s="4" t="s">
        <v>30</v>
      </c>
    </row>
    <row r="131" spans="1:17" x14ac:dyDescent="0.2">
      <c r="A131" s="4" t="s">
        <v>314</v>
      </c>
      <c r="B131">
        <v>130</v>
      </c>
      <c r="C131" s="4" t="s">
        <v>26</v>
      </c>
      <c r="D131" s="4" t="s">
        <v>32</v>
      </c>
      <c r="E131" s="4" t="s">
        <v>47</v>
      </c>
      <c r="F131" s="4" t="s">
        <v>71</v>
      </c>
      <c r="G131">
        <v>4</v>
      </c>
      <c r="H131">
        <v>17</v>
      </c>
      <c r="I131" s="4" t="s">
        <v>193</v>
      </c>
      <c r="J131" s="4" t="s">
        <v>194</v>
      </c>
      <c r="K131" s="4" t="s">
        <v>179</v>
      </c>
      <c r="L131" s="4" t="s">
        <v>186</v>
      </c>
      <c r="M131" s="4" t="s">
        <v>195</v>
      </c>
      <c r="N131" s="4" t="s">
        <v>196</v>
      </c>
      <c r="O131" s="4" t="s">
        <v>183</v>
      </c>
      <c r="P131">
        <v>37555.43</v>
      </c>
      <c r="Q131" s="4" t="s">
        <v>30</v>
      </c>
    </row>
    <row r="132" spans="1:17" x14ac:dyDescent="0.2">
      <c r="A132" s="4" t="s">
        <v>315</v>
      </c>
      <c r="B132">
        <v>131</v>
      </c>
      <c r="C132" s="4" t="s">
        <v>26</v>
      </c>
      <c r="D132" s="4" t="s">
        <v>32</v>
      </c>
      <c r="E132" s="4" t="s">
        <v>47</v>
      </c>
      <c r="F132" s="4" t="s">
        <v>71</v>
      </c>
      <c r="G132">
        <v>4</v>
      </c>
      <c r="H132">
        <v>17</v>
      </c>
      <c r="I132" s="4" t="s">
        <v>209</v>
      </c>
      <c r="J132" s="4" t="s">
        <v>210</v>
      </c>
      <c r="K132" s="4" t="s">
        <v>205</v>
      </c>
      <c r="L132" s="4" t="s">
        <v>211</v>
      </c>
      <c r="M132" s="4" t="s">
        <v>182</v>
      </c>
      <c r="N132" s="4" t="s">
        <v>182</v>
      </c>
      <c r="O132" s="4" t="s">
        <v>183</v>
      </c>
      <c r="P132">
        <v>6896.27</v>
      </c>
      <c r="Q132" s="4" t="s">
        <v>30</v>
      </c>
    </row>
    <row r="133" spans="1:17" x14ac:dyDescent="0.2">
      <c r="A133" s="4" t="s">
        <v>316</v>
      </c>
      <c r="B133">
        <v>132</v>
      </c>
      <c r="C133" s="4" t="s">
        <v>26</v>
      </c>
      <c r="D133" s="4" t="s">
        <v>32</v>
      </c>
      <c r="E133" s="4" t="s">
        <v>47</v>
      </c>
      <c r="F133" s="4" t="s">
        <v>71</v>
      </c>
      <c r="G133">
        <v>4</v>
      </c>
      <c r="H133">
        <v>17</v>
      </c>
      <c r="I133" s="4" t="s">
        <v>203</v>
      </c>
      <c r="J133" s="4" t="s">
        <v>204</v>
      </c>
      <c r="K133" s="4" t="s">
        <v>205</v>
      </c>
      <c r="L133" s="4" t="s">
        <v>206</v>
      </c>
      <c r="M133" s="4" t="s">
        <v>182</v>
      </c>
      <c r="N133" s="4" t="s">
        <v>182</v>
      </c>
      <c r="O133" s="4" t="s">
        <v>183</v>
      </c>
      <c r="P133">
        <v>200</v>
      </c>
      <c r="Q133" s="4" t="s">
        <v>30</v>
      </c>
    </row>
    <row r="134" spans="1:17" x14ac:dyDescent="0.2">
      <c r="A134" s="4" t="s">
        <v>317</v>
      </c>
      <c r="B134">
        <v>133</v>
      </c>
      <c r="C134" s="4" t="s">
        <v>26</v>
      </c>
      <c r="D134" s="4" t="s">
        <v>32</v>
      </c>
      <c r="E134" s="4" t="s">
        <v>47</v>
      </c>
      <c r="F134" s="4" t="s">
        <v>71</v>
      </c>
      <c r="G134">
        <v>4</v>
      </c>
      <c r="H134">
        <v>17</v>
      </c>
      <c r="I134" s="4" t="s">
        <v>201</v>
      </c>
      <c r="J134" s="4" t="s">
        <v>202</v>
      </c>
      <c r="K134" s="4" t="s">
        <v>179</v>
      </c>
      <c r="L134" s="4" t="s">
        <v>180</v>
      </c>
      <c r="M134" s="4" t="s">
        <v>192</v>
      </c>
      <c r="N134" s="4" t="s">
        <v>182</v>
      </c>
      <c r="O134" s="4" t="s">
        <v>189</v>
      </c>
      <c r="P134">
        <v>-6896.27</v>
      </c>
      <c r="Q134" s="4" t="s">
        <v>30</v>
      </c>
    </row>
    <row r="135" spans="1:17" x14ac:dyDescent="0.2">
      <c r="A135" s="4" t="s">
        <v>318</v>
      </c>
      <c r="B135">
        <v>134</v>
      </c>
      <c r="C135" s="4" t="s">
        <v>26</v>
      </c>
      <c r="D135" s="4" t="s">
        <v>32</v>
      </c>
      <c r="E135" s="4" t="s">
        <v>47</v>
      </c>
      <c r="F135" s="4" t="s">
        <v>71</v>
      </c>
      <c r="G135">
        <v>4</v>
      </c>
      <c r="H135">
        <v>17</v>
      </c>
      <c r="I135" s="4" t="s">
        <v>212</v>
      </c>
      <c r="J135" s="4" t="s">
        <v>213</v>
      </c>
      <c r="K135" s="4" t="s">
        <v>205</v>
      </c>
      <c r="L135" s="4" t="s">
        <v>214</v>
      </c>
      <c r="M135" s="4" t="s">
        <v>182</v>
      </c>
      <c r="N135" s="4" t="s">
        <v>182</v>
      </c>
      <c r="O135" s="4" t="s">
        <v>189</v>
      </c>
      <c r="P135">
        <v>-8100.28</v>
      </c>
      <c r="Q135" s="4" t="s">
        <v>30</v>
      </c>
    </row>
    <row r="136" spans="1:17" x14ac:dyDescent="0.2">
      <c r="A136" s="4" t="s">
        <v>319</v>
      </c>
      <c r="B136">
        <v>135</v>
      </c>
      <c r="C136" s="4" t="s">
        <v>26</v>
      </c>
      <c r="D136" s="4" t="s">
        <v>32</v>
      </c>
      <c r="E136" s="4" t="s">
        <v>50</v>
      </c>
      <c r="F136" s="4" t="s">
        <v>73</v>
      </c>
      <c r="G136">
        <v>4</v>
      </c>
      <c r="H136">
        <v>18</v>
      </c>
      <c r="I136" s="4" t="s">
        <v>190</v>
      </c>
      <c r="J136" s="4" t="s">
        <v>191</v>
      </c>
      <c r="K136" s="4" t="s">
        <v>179</v>
      </c>
      <c r="L136" s="4" t="s">
        <v>180</v>
      </c>
      <c r="M136" s="4" t="s">
        <v>192</v>
      </c>
      <c r="N136" s="4" t="s">
        <v>182</v>
      </c>
      <c r="O136" s="4" t="s">
        <v>189</v>
      </c>
      <c r="P136">
        <v>-200</v>
      </c>
      <c r="Q136" s="4" t="s">
        <v>30</v>
      </c>
    </row>
    <row r="137" spans="1:17" x14ac:dyDescent="0.2">
      <c r="A137" s="4" t="s">
        <v>320</v>
      </c>
      <c r="B137">
        <v>136</v>
      </c>
      <c r="C137" s="4" t="s">
        <v>26</v>
      </c>
      <c r="D137" s="4" t="s">
        <v>32</v>
      </c>
      <c r="E137" s="4" t="s">
        <v>50</v>
      </c>
      <c r="F137" s="4" t="s">
        <v>73</v>
      </c>
      <c r="G137">
        <v>4</v>
      </c>
      <c r="H137">
        <v>18</v>
      </c>
      <c r="I137" s="4" t="s">
        <v>190</v>
      </c>
      <c r="J137" s="4" t="s">
        <v>191</v>
      </c>
      <c r="K137" s="4" t="s">
        <v>179</v>
      </c>
      <c r="L137" s="4" t="s">
        <v>180</v>
      </c>
      <c r="M137" s="4" t="s">
        <v>192</v>
      </c>
      <c r="N137" s="4" t="s">
        <v>182</v>
      </c>
      <c r="O137" s="4" t="s">
        <v>183</v>
      </c>
      <c r="P137">
        <v>14854.77</v>
      </c>
      <c r="Q137" s="4" t="s">
        <v>30</v>
      </c>
    </row>
    <row r="138" spans="1:17" x14ac:dyDescent="0.2">
      <c r="A138" s="4" t="s">
        <v>321</v>
      </c>
      <c r="B138">
        <v>137</v>
      </c>
      <c r="C138" s="4" t="s">
        <v>26</v>
      </c>
      <c r="D138" s="4" t="s">
        <v>32</v>
      </c>
      <c r="E138" s="4" t="s">
        <v>50</v>
      </c>
      <c r="F138" s="4" t="s">
        <v>73</v>
      </c>
      <c r="G138">
        <v>4</v>
      </c>
      <c r="H138">
        <v>18</v>
      </c>
      <c r="I138" s="4" t="s">
        <v>207</v>
      </c>
      <c r="J138" s="4" t="s">
        <v>208</v>
      </c>
      <c r="K138" s="4" t="s">
        <v>179</v>
      </c>
      <c r="L138" s="4" t="s">
        <v>180</v>
      </c>
      <c r="M138" s="4" t="s">
        <v>192</v>
      </c>
      <c r="N138" s="4" t="s">
        <v>182</v>
      </c>
      <c r="O138" s="4" t="s">
        <v>189</v>
      </c>
      <c r="P138">
        <v>-14854.77</v>
      </c>
      <c r="Q138" s="4" t="s">
        <v>30</v>
      </c>
    </row>
    <row r="139" spans="1:17" x14ac:dyDescent="0.2">
      <c r="A139" s="4" t="s">
        <v>322</v>
      </c>
      <c r="B139">
        <v>138</v>
      </c>
      <c r="C139" s="4" t="s">
        <v>26</v>
      </c>
      <c r="D139" s="4" t="s">
        <v>32</v>
      </c>
      <c r="E139" s="4" t="s">
        <v>50</v>
      </c>
      <c r="F139" s="4" t="s">
        <v>73</v>
      </c>
      <c r="G139">
        <v>4</v>
      </c>
      <c r="H139">
        <v>18</v>
      </c>
      <c r="I139" s="4" t="s">
        <v>207</v>
      </c>
      <c r="J139" s="4" t="s">
        <v>208</v>
      </c>
      <c r="K139" s="4" t="s">
        <v>179</v>
      </c>
      <c r="L139" s="4" t="s">
        <v>180</v>
      </c>
      <c r="M139" s="4" t="s">
        <v>192</v>
      </c>
      <c r="N139" s="4" t="s">
        <v>182</v>
      </c>
      <c r="O139" s="4" t="s">
        <v>183</v>
      </c>
      <c r="P139">
        <v>18111.5</v>
      </c>
      <c r="Q139" s="4" t="s">
        <v>30</v>
      </c>
    </row>
    <row r="140" spans="1:17" x14ac:dyDescent="0.2">
      <c r="A140" s="4" t="s">
        <v>323</v>
      </c>
      <c r="B140">
        <v>139</v>
      </c>
      <c r="C140" s="4" t="s">
        <v>26</v>
      </c>
      <c r="D140" s="4" t="s">
        <v>32</v>
      </c>
      <c r="E140" s="4" t="s">
        <v>50</v>
      </c>
      <c r="F140" s="4" t="s">
        <v>73</v>
      </c>
      <c r="G140">
        <v>4</v>
      </c>
      <c r="H140">
        <v>18</v>
      </c>
      <c r="I140" s="4" t="s">
        <v>209</v>
      </c>
      <c r="J140" s="4" t="s">
        <v>210</v>
      </c>
      <c r="K140" s="4" t="s">
        <v>205</v>
      </c>
      <c r="L140" s="4" t="s">
        <v>211</v>
      </c>
      <c r="M140" s="4" t="s">
        <v>182</v>
      </c>
      <c r="N140" s="4" t="s">
        <v>182</v>
      </c>
      <c r="O140" s="4" t="s">
        <v>183</v>
      </c>
      <c r="P140">
        <v>15052.02</v>
      </c>
      <c r="Q140" s="4" t="s">
        <v>30</v>
      </c>
    </row>
    <row r="141" spans="1:17" x14ac:dyDescent="0.2">
      <c r="A141" s="4" t="s">
        <v>324</v>
      </c>
      <c r="B141">
        <v>140</v>
      </c>
      <c r="C141" s="4" t="s">
        <v>26</v>
      </c>
      <c r="D141" s="4" t="s">
        <v>32</v>
      </c>
      <c r="E141" s="4" t="s">
        <v>50</v>
      </c>
      <c r="F141" s="4" t="s">
        <v>73</v>
      </c>
      <c r="G141">
        <v>4</v>
      </c>
      <c r="H141">
        <v>18</v>
      </c>
      <c r="I141" s="4" t="s">
        <v>203</v>
      </c>
      <c r="J141" s="4" t="s">
        <v>204</v>
      </c>
      <c r="K141" s="4" t="s">
        <v>205</v>
      </c>
      <c r="L141" s="4" t="s">
        <v>206</v>
      </c>
      <c r="M141" s="4" t="s">
        <v>182</v>
      </c>
      <c r="N141" s="4" t="s">
        <v>182</v>
      </c>
      <c r="O141" s="4" t="s">
        <v>183</v>
      </c>
      <c r="P141">
        <v>200</v>
      </c>
      <c r="Q141" s="4" t="s">
        <v>30</v>
      </c>
    </row>
    <row r="142" spans="1:17" x14ac:dyDescent="0.2">
      <c r="A142" s="4" t="s">
        <v>325</v>
      </c>
      <c r="B142">
        <v>141</v>
      </c>
      <c r="C142" s="4" t="s">
        <v>26</v>
      </c>
      <c r="D142" s="4" t="s">
        <v>32</v>
      </c>
      <c r="E142" s="4" t="s">
        <v>50</v>
      </c>
      <c r="F142" s="4" t="s">
        <v>73</v>
      </c>
      <c r="G142">
        <v>4</v>
      </c>
      <c r="H142">
        <v>18</v>
      </c>
      <c r="I142" s="4" t="s">
        <v>201</v>
      </c>
      <c r="J142" s="4" t="s">
        <v>202</v>
      </c>
      <c r="K142" s="4" t="s">
        <v>179</v>
      </c>
      <c r="L142" s="4" t="s">
        <v>180</v>
      </c>
      <c r="M142" s="4" t="s">
        <v>192</v>
      </c>
      <c r="N142" s="4" t="s">
        <v>182</v>
      </c>
      <c r="O142" s="4" t="s">
        <v>189</v>
      </c>
      <c r="P142">
        <v>-15052.02</v>
      </c>
      <c r="Q142" s="4" t="s">
        <v>30</v>
      </c>
    </row>
    <row r="143" spans="1:17" x14ac:dyDescent="0.2">
      <c r="A143" s="4" t="s">
        <v>326</v>
      </c>
      <c r="B143">
        <v>142</v>
      </c>
      <c r="C143" s="4" t="s">
        <v>26</v>
      </c>
      <c r="D143" s="4" t="s">
        <v>32</v>
      </c>
      <c r="E143" s="4" t="s">
        <v>50</v>
      </c>
      <c r="F143" s="4" t="s">
        <v>73</v>
      </c>
      <c r="G143">
        <v>4</v>
      </c>
      <c r="H143">
        <v>18</v>
      </c>
      <c r="I143" s="4" t="s">
        <v>212</v>
      </c>
      <c r="J143" s="4" t="s">
        <v>213</v>
      </c>
      <c r="K143" s="4" t="s">
        <v>205</v>
      </c>
      <c r="L143" s="4" t="s">
        <v>214</v>
      </c>
      <c r="M143" s="4" t="s">
        <v>182</v>
      </c>
      <c r="N143" s="4" t="s">
        <v>182</v>
      </c>
      <c r="O143" s="4" t="s">
        <v>189</v>
      </c>
      <c r="P143">
        <v>-18111.5</v>
      </c>
      <c r="Q143" s="4" t="s">
        <v>30</v>
      </c>
    </row>
    <row r="144" spans="1:17" x14ac:dyDescent="0.2">
      <c r="A144" s="4" t="s">
        <v>327</v>
      </c>
      <c r="B144">
        <v>143</v>
      </c>
      <c r="C144" s="4" t="s">
        <v>26</v>
      </c>
      <c r="D144" s="4" t="s">
        <v>32</v>
      </c>
      <c r="E144" s="4" t="s">
        <v>53</v>
      </c>
      <c r="F144" s="4" t="s">
        <v>75</v>
      </c>
      <c r="G144">
        <v>4</v>
      </c>
      <c r="H144">
        <v>19</v>
      </c>
      <c r="I144" s="4" t="s">
        <v>190</v>
      </c>
      <c r="J144" s="4" t="s">
        <v>191</v>
      </c>
      <c r="K144" s="4" t="s">
        <v>179</v>
      </c>
      <c r="L144" s="4" t="s">
        <v>180</v>
      </c>
      <c r="M144" s="4" t="s">
        <v>192</v>
      </c>
      <c r="N144" s="4" t="s">
        <v>182</v>
      </c>
      <c r="O144" s="4" t="s">
        <v>189</v>
      </c>
      <c r="P144">
        <v>-300</v>
      </c>
      <c r="Q144" s="4" t="s">
        <v>30</v>
      </c>
    </row>
    <row r="145" spans="1:17" x14ac:dyDescent="0.2">
      <c r="A145" s="4" t="s">
        <v>328</v>
      </c>
      <c r="B145">
        <v>144</v>
      </c>
      <c r="C145" s="4" t="s">
        <v>26</v>
      </c>
      <c r="D145" s="4" t="s">
        <v>32</v>
      </c>
      <c r="E145" s="4" t="s">
        <v>53</v>
      </c>
      <c r="F145" s="4" t="s">
        <v>75</v>
      </c>
      <c r="G145">
        <v>4</v>
      </c>
      <c r="H145">
        <v>19</v>
      </c>
      <c r="I145" s="4" t="s">
        <v>190</v>
      </c>
      <c r="J145" s="4" t="s">
        <v>191</v>
      </c>
      <c r="K145" s="4" t="s">
        <v>179</v>
      </c>
      <c r="L145" s="4" t="s">
        <v>180</v>
      </c>
      <c r="M145" s="4" t="s">
        <v>192</v>
      </c>
      <c r="N145" s="4" t="s">
        <v>182</v>
      </c>
      <c r="O145" s="4" t="s">
        <v>183</v>
      </c>
      <c r="P145">
        <v>17157.349999999999</v>
      </c>
      <c r="Q145" s="4" t="s">
        <v>30</v>
      </c>
    </row>
    <row r="146" spans="1:17" x14ac:dyDescent="0.2">
      <c r="A146" s="4" t="s">
        <v>329</v>
      </c>
      <c r="B146">
        <v>145</v>
      </c>
      <c r="C146" s="4" t="s">
        <v>26</v>
      </c>
      <c r="D146" s="4" t="s">
        <v>32</v>
      </c>
      <c r="E146" s="4" t="s">
        <v>53</v>
      </c>
      <c r="F146" s="4" t="s">
        <v>75</v>
      </c>
      <c r="G146">
        <v>4</v>
      </c>
      <c r="H146">
        <v>19</v>
      </c>
      <c r="I146" s="4" t="s">
        <v>207</v>
      </c>
      <c r="J146" s="4" t="s">
        <v>208</v>
      </c>
      <c r="K146" s="4" t="s">
        <v>179</v>
      </c>
      <c r="L146" s="4" t="s">
        <v>180</v>
      </c>
      <c r="M146" s="4" t="s">
        <v>192</v>
      </c>
      <c r="N146" s="4" t="s">
        <v>182</v>
      </c>
      <c r="O146" s="4" t="s">
        <v>189</v>
      </c>
      <c r="P146">
        <v>-17157.349999999999</v>
      </c>
      <c r="Q146" s="4" t="s">
        <v>30</v>
      </c>
    </row>
    <row r="147" spans="1:17" x14ac:dyDescent="0.2">
      <c r="A147" s="4" t="s">
        <v>330</v>
      </c>
      <c r="B147">
        <v>146</v>
      </c>
      <c r="C147" s="4" t="s">
        <v>26</v>
      </c>
      <c r="D147" s="4" t="s">
        <v>32</v>
      </c>
      <c r="E147" s="4" t="s">
        <v>53</v>
      </c>
      <c r="F147" s="4" t="s">
        <v>75</v>
      </c>
      <c r="G147">
        <v>4</v>
      </c>
      <c r="H147">
        <v>19</v>
      </c>
      <c r="I147" s="4" t="s">
        <v>207</v>
      </c>
      <c r="J147" s="4" t="s">
        <v>208</v>
      </c>
      <c r="K147" s="4" t="s">
        <v>179</v>
      </c>
      <c r="L147" s="4" t="s">
        <v>180</v>
      </c>
      <c r="M147" s="4" t="s">
        <v>192</v>
      </c>
      <c r="N147" s="4" t="s">
        <v>182</v>
      </c>
      <c r="O147" s="4" t="s">
        <v>183</v>
      </c>
      <c r="P147">
        <v>12344.56</v>
      </c>
      <c r="Q147" s="4" t="s">
        <v>30</v>
      </c>
    </row>
    <row r="148" spans="1:17" x14ac:dyDescent="0.2">
      <c r="A148" s="4" t="s">
        <v>331</v>
      </c>
      <c r="B148">
        <v>147</v>
      </c>
      <c r="C148" s="4" t="s">
        <v>26</v>
      </c>
      <c r="D148" s="4" t="s">
        <v>32</v>
      </c>
      <c r="E148" s="4" t="s">
        <v>53</v>
      </c>
      <c r="F148" s="4" t="s">
        <v>75</v>
      </c>
      <c r="G148">
        <v>4</v>
      </c>
      <c r="H148">
        <v>19</v>
      </c>
      <c r="I148" s="4" t="s">
        <v>209</v>
      </c>
      <c r="J148" s="4" t="s">
        <v>210</v>
      </c>
      <c r="K148" s="4" t="s">
        <v>205</v>
      </c>
      <c r="L148" s="4" t="s">
        <v>211</v>
      </c>
      <c r="M148" s="4" t="s">
        <v>182</v>
      </c>
      <c r="N148" s="4" t="s">
        <v>182</v>
      </c>
      <c r="O148" s="4" t="s">
        <v>183</v>
      </c>
      <c r="P148">
        <v>10472.81</v>
      </c>
      <c r="Q148" s="4" t="s">
        <v>30</v>
      </c>
    </row>
    <row r="149" spans="1:17" x14ac:dyDescent="0.2">
      <c r="A149" s="4" t="s">
        <v>332</v>
      </c>
      <c r="B149">
        <v>148</v>
      </c>
      <c r="C149" s="4" t="s">
        <v>26</v>
      </c>
      <c r="D149" s="4" t="s">
        <v>32</v>
      </c>
      <c r="E149" s="4" t="s">
        <v>53</v>
      </c>
      <c r="F149" s="4" t="s">
        <v>75</v>
      </c>
      <c r="G149">
        <v>4</v>
      </c>
      <c r="H149">
        <v>19</v>
      </c>
      <c r="I149" s="4" t="s">
        <v>203</v>
      </c>
      <c r="J149" s="4" t="s">
        <v>204</v>
      </c>
      <c r="K149" s="4" t="s">
        <v>205</v>
      </c>
      <c r="L149" s="4" t="s">
        <v>206</v>
      </c>
      <c r="M149" s="4" t="s">
        <v>182</v>
      </c>
      <c r="N149" s="4" t="s">
        <v>182</v>
      </c>
      <c r="O149" s="4" t="s">
        <v>183</v>
      </c>
      <c r="P149">
        <v>300</v>
      </c>
      <c r="Q149" s="4" t="s">
        <v>30</v>
      </c>
    </row>
    <row r="150" spans="1:17" x14ac:dyDescent="0.2">
      <c r="A150" s="4" t="s">
        <v>333</v>
      </c>
      <c r="B150">
        <v>149</v>
      </c>
      <c r="C150" s="4" t="s">
        <v>26</v>
      </c>
      <c r="D150" s="4" t="s">
        <v>32</v>
      </c>
      <c r="E150" s="4" t="s">
        <v>53</v>
      </c>
      <c r="F150" s="4" t="s">
        <v>75</v>
      </c>
      <c r="G150">
        <v>4</v>
      </c>
      <c r="H150">
        <v>19</v>
      </c>
      <c r="I150" s="4" t="s">
        <v>201</v>
      </c>
      <c r="J150" s="4" t="s">
        <v>202</v>
      </c>
      <c r="K150" s="4" t="s">
        <v>179</v>
      </c>
      <c r="L150" s="4" t="s">
        <v>180</v>
      </c>
      <c r="M150" s="4" t="s">
        <v>192</v>
      </c>
      <c r="N150" s="4" t="s">
        <v>182</v>
      </c>
      <c r="O150" s="4" t="s">
        <v>189</v>
      </c>
      <c r="P150">
        <v>-10472.81</v>
      </c>
      <c r="Q150" s="4" t="s">
        <v>30</v>
      </c>
    </row>
    <row r="151" spans="1:17" x14ac:dyDescent="0.2">
      <c r="A151" s="4" t="s">
        <v>334</v>
      </c>
      <c r="B151">
        <v>150</v>
      </c>
      <c r="C151" s="4" t="s">
        <v>26</v>
      </c>
      <c r="D151" s="4" t="s">
        <v>32</v>
      </c>
      <c r="E151" s="4" t="s">
        <v>53</v>
      </c>
      <c r="F151" s="4" t="s">
        <v>75</v>
      </c>
      <c r="G151">
        <v>4</v>
      </c>
      <c r="H151">
        <v>19</v>
      </c>
      <c r="I151" s="4" t="s">
        <v>212</v>
      </c>
      <c r="J151" s="4" t="s">
        <v>213</v>
      </c>
      <c r="K151" s="4" t="s">
        <v>205</v>
      </c>
      <c r="L151" s="4" t="s">
        <v>214</v>
      </c>
      <c r="M151" s="4" t="s">
        <v>182</v>
      </c>
      <c r="N151" s="4" t="s">
        <v>182</v>
      </c>
      <c r="O151" s="4" t="s">
        <v>189</v>
      </c>
      <c r="P151">
        <v>-12344.56</v>
      </c>
      <c r="Q151" s="4" t="s">
        <v>30</v>
      </c>
    </row>
    <row r="152" spans="1:17" x14ac:dyDescent="0.2">
      <c r="A152" s="4" t="s">
        <v>335</v>
      </c>
      <c r="B152">
        <v>151</v>
      </c>
      <c r="C152" s="4" t="s">
        <v>26</v>
      </c>
      <c r="D152" s="4" t="s">
        <v>32</v>
      </c>
      <c r="E152" s="4" t="s">
        <v>56</v>
      </c>
      <c r="F152" s="4" t="s">
        <v>77</v>
      </c>
      <c r="G152">
        <v>4</v>
      </c>
      <c r="H152">
        <v>20</v>
      </c>
      <c r="I152" s="4" t="s">
        <v>190</v>
      </c>
      <c r="J152" s="4" t="s">
        <v>191</v>
      </c>
      <c r="K152" s="4" t="s">
        <v>179</v>
      </c>
      <c r="L152" s="4" t="s">
        <v>180</v>
      </c>
      <c r="M152" s="4" t="s">
        <v>192</v>
      </c>
      <c r="N152" s="4" t="s">
        <v>182</v>
      </c>
      <c r="O152" s="4" t="s">
        <v>189</v>
      </c>
      <c r="P152">
        <v>-300</v>
      </c>
      <c r="Q152" s="4" t="s">
        <v>30</v>
      </c>
    </row>
    <row r="153" spans="1:17" x14ac:dyDescent="0.2">
      <c r="A153" s="4" t="s">
        <v>336</v>
      </c>
      <c r="B153">
        <v>152</v>
      </c>
      <c r="C153" s="4" t="s">
        <v>26</v>
      </c>
      <c r="D153" s="4" t="s">
        <v>32</v>
      </c>
      <c r="E153" s="4" t="s">
        <v>56</v>
      </c>
      <c r="F153" s="4" t="s">
        <v>77</v>
      </c>
      <c r="G153">
        <v>4</v>
      </c>
      <c r="H153">
        <v>20</v>
      </c>
      <c r="I153" s="4" t="s">
        <v>190</v>
      </c>
      <c r="J153" s="4" t="s">
        <v>191</v>
      </c>
      <c r="K153" s="4" t="s">
        <v>179</v>
      </c>
      <c r="L153" s="4" t="s">
        <v>180</v>
      </c>
      <c r="M153" s="4" t="s">
        <v>192</v>
      </c>
      <c r="N153" s="4" t="s">
        <v>182</v>
      </c>
      <c r="O153" s="4" t="s">
        <v>183</v>
      </c>
      <c r="P153">
        <v>17162.72</v>
      </c>
      <c r="Q153" s="4" t="s">
        <v>30</v>
      </c>
    </row>
    <row r="154" spans="1:17" x14ac:dyDescent="0.2">
      <c r="A154" s="4" t="s">
        <v>337</v>
      </c>
      <c r="B154">
        <v>153</v>
      </c>
      <c r="C154" s="4" t="s">
        <v>26</v>
      </c>
      <c r="D154" s="4" t="s">
        <v>32</v>
      </c>
      <c r="E154" s="4" t="s">
        <v>56</v>
      </c>
      <c r="F154" s="4" t="s">
        <v>77</v>
      </c>
      <c r="G154">
        <v>4</v>
      </c>
      <c r="H154">
        <v>20</v>
      </c>
      <c r="I154" s="4" t="s">
        <v>207</v>
      </c>
      <c r="J154" s="4" t="s">
        <v>208</v>
      </c>
      <c r="K154" s="4" t="s">
        <v>179</v>
      </c>
      <c r="L154" s="4" t="s">
        <v>180</v>
      </c>
      <c r="M154" s="4" t="s">
        <v>192</v>
      </c>
      <c r="N154" s="4" t="s">
        <v>182</v>
      </c>
      <c r="O154" s="4" t="s">
        <v>189</v>
      </c>
      <c r="P154">
        <v>-17162.72</v>
      </c>
      <c r="Q154" s="4" t="s">
        <v>30</v>
      </c>
    </row>
    <row r="155" spans="1:17" x14ac:dyDescent="0.2">
      <c r="A155" s="4" t="s">
        <v>338</v>
      </c>
      <c r="B155">
        <v>154</v>
      </c>
      <c r="C155" s="4" t="s">
        <v>26</v>
      </c>
      <c r="D155" s="4" t="s">
        <v>32</v>
      </c>
      <c r="E155" s="4" t="s">
        <v>56</v>
      </c>
      <c r="F155" s="4" t="s">
        <v>77</v>
      </c>
      <c r="G155">
        <v>4</v>
      </c>
      <c r="H155">
        <v>20</v>
      </c>
      <c r="I155" s="4" t="s">
        <v>207</v>
      </c>
      <c r="J155" s="4" t="s">
        <v>208</v>
      </c>
      <c r="K155" s="4" t="s">
        <v>179</v>
      </c>
      <c r="L155" s="4" t="s">
        <v>180</v>
      </c>
      <c r="M155" s="4" t="s">
        <v>192</v>
      </c>
      <c r="N155" s="4" t="s">
        <v>182</v>
      </c>
      <c r="O155" s="4" t="s">
        <v>183</v>
      </c>
      <c r="P155">
        <v>2387.39</v>
      </c>
      <c r="Q155" s="4" t="s">
        <v>30</v>
      </c>
    </row>
    <row r="156" spans="1:17" x14ac:dyDescent="0.2">
      <c r="A156" s="4" t="s">
        <v>339</v>
      </c>
      <c r="B156">
        <v>155</v>
      </c>
      <c r="C156" s="4" t="s">
        <v>26</v>
      </c>
      <c r="D156" s="4" t="s">
        <v>32</v>
      </c>
      <c r="E156" s="4" t="s">
        <v>56</v>
      </c>
      <c r="F156" s="4" t="s">
        <v>77</v>
      </c>
      <c r="G156">
        <v>4</v>
      </c>
      <c r="H156">
        <v>20</v>
      </c>
      <c r="I156" s="4" t="s">
        <v>209</v>
      </c>
      <c r="J156" s="4" t="s">
        <v>210</v>
      </c>
      <c r="K156" s="4" t="s">
        <v>205</v>
      </c>
      <c r="L156" s="4" t="s">
        <v>211</v>
      </c>
      <c r="M156" s="4" t="s">
        <v>182</v>
      </c>
      <c r="N156" s="4" t="s">
        <v>182</v>
      </c>
      <c r="O156" s="4" t="s">
        <v>183</v>
      </c>
      <c r="P156">
        <v>1892.65</v>
      </c>
      <c r="Q156" s="4" t="s">
        <v>30</v>
      </c>
    </row>
    <row r="157" spans="1:17" x14ac:dyDescent="0.2">
      <c r="A157" s="4" t="s">
        <v>340</v>
      </c>
      <c r="B157">
        <v>156</v>
      </c>
      <c r="C157" s="4" t="s">
        <v>26</v>
      </c>
      <c r="D157" s="4" t="s">
        <v>32</v>
      </c>
      <c r="E157" s="4" t="s">
        <v>56</v>
      </c>
      <c r="F157" s="4" t="s">
        <v>77</v>
      </c>
      <c r="G157">
        <v>4</v>
      </c>
      <c r="H157">
        <v>20</v>
      </c>
      <c r="I157" s="4" t="s">
        <v>203</v>
      </c>
      <c r="J157" s="4" t="s">
        <v>204</v>
      </c>
      <c r="K157" s="4" t="s">
        <v>205</v>
      </c>
      <c r="L157" s="4" t="s">
        <v>206</v>
      </c>
      <c r="M157" s="4" t="s">
        <v>182</v>
      </c>
      <c r="N157" s="4" t="s">
        <v>182</v>
      </c>
      <c r="O157" s="4" t="s">
        <v>183</v>
      </c>
      <c r="P157">
        <v>300</v>
      </c>
      <c r="Q157" s="4" t="s">
        <v>30</v>
      </c>
    </row>
    <row r="158" spans="1:17" x14ac:dyDescent="0.2">
      <c r="A158" s="4" t="s">
        <v>341</v>
      </c>
      <c r="B158">
        <v>157</v>
      </c>
      <c r="C158" s="4" t="s">
        <v>26</v>
      </c>
      <c r="D158" s="4" t="s">
        <v>32</v>
      </c>
      <c r="E158" s="4" t="s">
        <v>56</v>
      </c>
      <c r="F158" s="4" t="s">
        <v>77</v>
      </c>
      <c r="G158">
        <v>4</v>
      </c>
      <c r="H158">
        <v>20</v>
      </c>
      <c r="I158" s="4" t="s">
        <v>201</v>
      </c>
      <c r="J158" s="4" t="s">
        <v>202</v>
      </c>
      <c r="K158" s="4" t="s">
        <v>179</v>
      </c>
      <c r="L158" s="4" t="s">
        <v>180</v>
      </c>
      <c r="M158" s="4" t="s">
        <v>192</v>
      </c>
      <c r="N158" s="4" t="s">
        <v>182</v>
      </c>
      <c r="O158" s="4" t="s">
        <v>189</v>
      </c>
      <c r="P158">
        <v>-1892.65</v>
      </c>
      <c r="Q158" s="4" t="s">
        <v>30</v>
      </c>
    </row>
    <row r="159" spans="1:17" x14ac:dyDescent="0.2">
      <c r="A159" s="4" t="s">
        <v>342</v>
      </c>
      <c r="B159">
        <v>158</v>
      </c>
      <c r="C159" s="4" t="s">
        <v>26</v>
      </c>
      <c r="D159" s="4" t="s">
        <v>32</v>
      </c>
      <c r="E159" s="4" t="s">
        <v>56</v>
      </c>
      <c r="F159" s="4" t="s">
        <v>77</v>
      </c>
      <c r="G159">
        <v>4</v>
      </c>
      <c r="H159">
        <v>20</v>
      </c>
      <c r="I159" s="4" t="s">
        <v>212</v>
      </c>
      <c r="J159" s="4" t="s">
        <v>213</v>
      </c>
      <c r="K159" s="4" t="s">
        <v>205</v>
      </c>
      <c r="L159" s="4" t="s">
        <v>214</v>
      </c>
      <c r="M159" s="4" t="s">
        <v>182</v>
      </c>
      <c r="N159" s="4" t="s">
        <v>182</v>
      </c>
      <c r="O159" s="4" t="s">
        <v>189</v>
      </c>
      <c r="P159">
        <v>-2387.39</v>
      </c>
      <c r="Q159" s="4" t="s">
        <v>30</v>
      </c>
    </row>
    <row r="160" spans="1:17" x14ac:dyDescent="0.2">
      <c r="A160" s="4" t="s">
        <v>343</v>
      </c>
      <c r="B160">
        <v>159</v>
      </c>
      <c r="C160" s="4" t="s">
        <v>26</v>
      </c>
      <c r="D160" s="4" t="s">
        <v>35</v>
      </c>
      <c r="E160" s="4" t="s">
        <v>27</v>
      </c>
      <c r="F160" s="4" t="s">
        <v>79</v>
      </c>
      <c r="G160">
        <v>5</v>
      </c>
      <c r="H160">
        <v>21</v>
      </c>
      <c r="I160" s="4" t="s">
        <v>190</v>
      </c>
      <c r="J160" s="4" t="s">
        <v>191</v>
      </c>
      <c r="K160" s="4" t="s">
        <v>179</v>
      </c>
      <c r="L160" s="4" t="s">
        <v>180</v>
      </c>
      <c r="M160" s="4" t="s">
        <v>192</v>
      </c>
      <c r="N160" s="4" t="s">
        <v>182</v>
      </c>
      <c r="O160" s="4" t="s">
        <v>189</v>
      </c>
      <c r="P160">
        <v>-41342.25</v>
      </c>
      <c r="Q160" s="4" t="s">
        <v>30</v>
      </c>
    </row>
    <row r="161" spans="1:17" x14ac:dyDescent="0.2">
      <c r="A161" s="4" t="s">
        <v>344</v>
      </c>
      <c r="B161">
        <v>160</v>
      </c>
      <c r="C161" s="4" t="s">
        <v>26</v>
      </c>
      <c r="D161" s="4" t="s">
        <v>35</v>
      </c>
      <c r="E161" s="4" t="s">
        <v>27</v>
      </c>
      <c r="F161" s="4" t="s">
        <v>79</v>
      </c>
      <c r="G161">
        <v>5</v>
      </c>
      <c r="H161">
        <v>21</v>
      </c>
      <c r="I161" s="4" t="s">
        <v>190</v>
      </c>
      <c r="J161" s="4" t="s">
        <v>191</v>
      </c>
      <c r="K161" s="4" t="s">
        <v>179</v>
      </c>
      <c r="L161" s="4" t="s">
        <v>180</v>
      </c>
      <c r="M161" s="4" t="s">
        <v>192</v>
      </c>
      <c r="N161" s="4" t="s">
        <v>182</v>
      </c>
      <c r="O161" s="4" t="s">
        <v>183</v>
      </c>
      <c r="P161">
        <v>8100.28</v>
      </c>
      <c r="Q161" s="4" t="s">
        <v>30</v>
      </c>
    </row>
    <row r="162" spans="1:17" x14ac:dyDescent="0.2">
      <c r="A162" s="4" t="s">
        <v>345</v>
      </c>
      <c r="B162">
        <v>161</v>
      </c>
      <c r="C162" s="4" t="s">
        <v>26</v>
      </c>
      <c r="D162" s="4" t="s">
        <v>35</v>
      </c>
      <c r="E162" s="4" t="s">
        <v>27</v>
      </c>
      <c r="F162" s="4" t="s">
        <v>79</v>
      </c>
      <c r="G162">
        <v>5</v>
      </c>
      <c r="H162">
        <v>21</v>
      </c>
      <c r="I162" s="4" t="s">
        <v>207</v>
      </c>
      <c r="J162" s="4" t="s">
        <v>208</v>
      </c>
      <c r="K162" s="4" t="s">
        <v>179</v>
      </c>
      <c r="L162" s="4" t="s">
        <v>180</v>
      </c>
      <c r="M162" s="4" t="s">
        <v>192</v>
      </c>
      <c r="N162" s="4" t="s">
        <v>182</v>
      </c>
      <c r="O162" s="4" t="s">
        <v>189</v>
      </c>
      <c r="P162">
        <v>-8100.28</v>
      </c>
      <c r="Q162" s="4" t="s">
        <v>30</v>
      </c>
    </row>
    <row r="163" spans="1:17" x14ac:dyDescent="0.2">
      <c r="A163" s="4" t="s">
        <v>346</v>
      </c>
      <c r="B163">
        <v>162</v>
      </c>
      <c r="C163" s="4" t="s">
        <v>26</v>
      </c>
      <c r="D163" s="4" t="s">
        <v>35</v>
      </c>
      <c r="E163" s="4" t="s">
        <v>27</v>
      </c>
      <c r="F163" s="4" t="s">
        <v>79</v>
      </c>
      <c r="G163">
        <v>5</v>
      </c>
      <c r="H163">
        <v>21</v>
      </c>
      <c r="I163" s="4" t="s">
        <v>207</v>
      </c>
      <c r="J163" s="4" t="s">
        <v>208</v>
      </c>
      <c r="K163" s="4" t="s">
        <v>179</v>
      </c>
      <c r="L163" s="4" t="s">
        <v>180</v>
      </c>
      <c r="M163" s="4" t="s">
        <v>192</v>
      </c>
      <c r="N163" s="4" t="s">
        <v>182</v>
      </c>
      <c r="O163" s="4" t="s">
        <v>183</v>
      </c>
      <c r="P163">
        <v>4475.72</v>
      </c>
      <c r="Q163" s="4" t="s">
        <v>30</v>
      </c>
    </row>
    <row r="164" spans="1:17" x14ac:dyDescent="0.2">
      <c r="A164" s="4" t="s">
        <v>347</v>
      </c>
      <c r="B164">
        <v>163</v>
      </c>
      <c r="C164" s="4" t="s">
        <v>26</v>
      </c>
      <c r="D164" s="4" t="s">
        <v>35</v>
      </c>
      <c r="E164" s="4" t="s">
        <v>27</v>
      </c>
      <c r="F164" s="4" t="s">
        <v>79</v>
      </c>
      <c r="G164">
        <v>5</v>
      </c>
      <c r="H164">
        <v>21</v>
      </c>
      <c r="I164" s="4" t="s">
        <v>193</v>
      </c>
      <c r="J164" s="4" t="s">
        <v>194</v>
      </c>
      <c r="K164" s="4" t="s">
        <v>179</v>
      </c>
      <c r="L164" s="4" t="s">
        <v>186</v>
      </c>
      <c r="M164" s="4" t="s">
        <v>195</v>
      </c>
      <c r="N164" s="4" t="s">
        <v>196</v>
      </c>
      <c r="O164" s="4" t="s">
        <v>183</v>
      </c>
      <c r="P164">
        <v>41042.25</v>
      </c>
      <c r="Q164" s="4" t="s">
        <v>30</v>
      </c>
    </row>
    <row r="165" spans="1:17" x14ac:dyDescent="0.2">
      <c r="A165" s="4" t="s">
        <v>348</v>
      </c>
      <c r="B165">
        <v>164</v>
      </c>
      <c r="C165" s="4" t="s">
        <v>26</v>
      </c>
      <c r="D165" s="4" t="s">
        <v>35</v>
      </c>
      <c r="E165" s="4" t="s">
        <v>27</v>
      </c>
      <c r="F165" s="4" t="s">
        <v>79</v>
      </c>
      <c r="G165">
        <v>5</v>
      </c>
      <c r="H165">
        <v>21</v>
      </c>
      <c r="I165" s="4" t="s">
        <v>209</v>
      </c>
      <c r="J165" s="4" t="s">
        <v>210</v>
      </c>
      <c r="K165" s="4" t="s">
        <v>205</v>
      </c>
      <c r="L165" s="4" t="s">
        <v>211</v>
      </c>
      <c r="M165" s="4" t="s">
        <v>182</v>
      </c>
      <c r="N165" s="4" t="s">
        <v>182</v>
      </c>
      <c r="O165" s="4" t="s">
        <v>183</v>
      </c>
      <c r="P165">
        <v>3956.39</v>
      </c>
      <c r="Q165" s="4" t="s">
        <v>30</v>
      </c>
    </row>
    <row r="166" spans="1:17" x14ac:dyDescent="0.2">
      <c r="A166" s="4" t="s">
        <v>349</v>
      </c>
      <c r="B166">
        <v>165</v>
      </c>
      <c r="C166" s="4" t="s">
        <v>26</v>
      </c>
      <c r="D166" s="4" t="s">
        <v>35</v>
      </c>
      <c r="E166" s="4" t="s">
        <v>27</v>
      </c>
      <c r="F166" s="4" t="s">
        <v>79</v>
      </c>
      <c r="G166">
        <v>5</v>
      </c>
      <c r="H166">
        <v>21</v>
      </c>
      <c r="I166" s="4" t="s">
        <v>203</v>
      </c>
      <c r="J166" s="4" t="s">
        <v>204</v>
      </c>
      <c r="K166" s="4" t="s">
        <v>205</v>
      </c>
      <c r="L166" s="4" t="s">
        <v>206</v>
      </c>
      <c r="M166" s="4" t="s">
        <v>182</v>
      </c>
      <c r="N166" s="4" t="s">
        <v>182</v>
      </c>
      <c r="O166" s="4" t="s">
        <v>183</v>
      </c>
      <c r="P166">
        <v>300</v>
      </c>
      <c r="Q166" s="4" t="s">
        <v>30</v>
      </c>
    </row>
    <row r="167" spans="1:17" x14ac:dyDescent="0.2">
      <c r="A167" s="4" t="s">
        <v>350</v>
      </c>
      <c r="B167">
        <v>166</v>
      </c>
      <c r="C167" s="4" t="s">
        <v>26</v>
      </c>
      <c r="D167" s="4" t="s">
        <v>35</v>
      </c>
      <c r="E167" s="4" t="s">
        <v>27</v>
      </c>
      <c r="F167" s="4" t="s">
        <v>79</v>
      </c>
      <c r="G167">
        <v>5</v>
      </c>
      <c r="H167">
        <v>21</v>
      </c>
      <c r="I167" s="4" t="s">
        <v>201</v>
      </c>
      <c r="J167" s="4" t="s">
        <v>202</v>
      </c>
      <c r="K167" s="4" t="s">
        <v>179</v>
      </c>
      <c r="L167" s="4" t="s">
        <v>180</v>
      </c>
      <c r="M167" s="4" t="s">
        <v>192</v>
      </c>
      <c r="N167" s="4" t="s">
        <v>182</v>
      </c>
      <c r="O167" s="4" t="s">
        <v>189</v>
      </c>
      <c r="P167">
        <v>-3956.39</v>
      </c>
      <c r="Q167" s="4" t="s">
        <v>30</v>
      </c>
    </row>
    <row r="168" spans="1:17" x14ac:dyDescent="0.2">
      <c r="A168" s="4" t="s">
        <v>351</v>
      </c>
      <c r="B168">
        <v>167</v>
      </c>
      <c r="C168" s="4" t="s">
        <v>26</v>
      </c>
      <c r="D168" s="4" t="s">
        <v>35</v>
      </c>
      <c r="E168" s="4" t="s">
        <v>27</v>
      </c>
      <c r="F168" s="4" t="s">
        <v>79</v>
      </c>
      <c r="G168">
        <v>5</v>
      </c>
      <c r="H168">
        <v>21</v>
      </c>
      <c r="I168" s="4" t="s">
        <v>212</v>
      </c>
      <c r="J168" s="4" t="s">
        <v>213</v>
      </c>
      <c r="K168" s="4" t="s">
        <v>205</v>
      </c>
      <c r="L168" s="4" t="s">
        <v>214</v>
      </c>
      <c r="M168" s="4" t="s">
        <v>182</v>
      </c>
      <c r="N168" s="4" t="s">
        <v>182</v>
      </c>
      <c r="O168" s="4" t="s">
        <v>189</v>
      </c>
      <c r="P168">
        <v>-4475.72</v>
      </c>
      <c r="Q168" s="4" t="s">
        <v>30</v>
      </c>
    </row>
    <row r="169" spans="1:17" x14ac:dyDescent="0.2">
      <c r="A169" s="4" t="s">
        <v>352</v>
      </c>
      <c r="B169">
        <v>168</v>
      </c>
      <c r="C169" s="4" t="s">
        <v>26</v>
      </c>
      <c r="D169" s="4" t="s">
        <v>35</v>
      </c>
      <c r="E169" s="4" t="s">
        <v>32</v>
      </c>
      <c r="F169" s="4" t="s">
        <v>81</v>
      </c>
      <c r="G169">
        <v>5</v>
      </c>
      <c r="H169">
        <v>22</v>
      </c>
      <c r="I169" s="4" t="s">
        <v>190</v>
      </c>
      <c r="J169" s="4" t="s">
        <v>191</v>
      </c>
      <c r="K169" s="4" t="s">
        <v>179</v>
      </c>
      <c r="L169" s="4" t="s">
        <v>180</v>
      </c>
      <c r="M169" s="4" t="s">
        <v>192</v>
      </c>
      <c r="N169" s="4" t="s">
        <v>182</v>
      </c>
      <c r="O169" s="4" t="s">
        <v>189</v>
      </c>
      <c r="P169">
        <v>-200</v>
      </c>
      <c r="Q169" s="4" t="s">
        <v>30</v>
      </c>
    </row>
    <row r="170" spans="1:17" x14ac:dyDescent="0.2">
      <c r="A170" s="4" t="s">
        <v>353</v>
      </c>
      <c r="B170">
        <v>169</v>
      </c>
      <c r="C170" s="4" t="s">
        <v>26</v>
      </c>
      <c r="D170" s="4" t="s">
        <v>35</v>
      </c>
      <c r="E170" s="4" t="s">
        <v>32</v>
      </c>
      <c r="F170" s="4" t="s">
        <v>81</v>
      </c>
      <c r="G170">
        <v>5</v>
      </c>
      <c r="H170">
        <v>22</v>
      </c>
      <c r="I170" s="4" t="s">
        <v>190</v>
      </c>
      <c r="J170" s="4" t="s">
        <v>191</v>
      </c>
      <c r="K170" s="4" t="s">
        <v>179</v>
      </c>
      <c r="L170" s="4" t="s">
        <v>180</v>
      </c>
      <c r="M170" s="4" t="s">
        <v>192</v>
      </c>
      <c r="N170" s="4" t="s">
        <v>182</v>
      </c>
      <c r="O170" s="4" t="s">
        <v>183</v>
      </c>
      <c r="P170">
        <v>18111.5</v>
      </c>
      <c r="Q170" s="4" t="s">
        <v>30</v>
      </c>
    </row>
    <row r="171" spans="1:17" x14ac:dyDescent="0.2">
      <c r="A171" s="4" t="s">
        <v>354</v>
      </c>
      <c r="B171">
        <v>170</v>
      </c>
      <c r="C171" s="4" t="s">
        <v>26</v>
      </c>
      <c r="D171" s="4" t="s">
        <v>35</v>
      </c>
      <c r="E171" s="4" t="s">
        <v>32</v>
      </c>
      <c r="F171" s="4" t="s">
        <v>81</v>
      </c>
      <c r="G171">
        <v>5</v>
      </c>
      <c r="H171">
        <v>22</v>
      </c>
      <c r="I171" s="4" t="s">
        <v>207</v>
      </c>
      <c r="J171" s="4" t="s">
        <v>208</v>
      </c>
      <c r="K171" s="4" t="s">
        <v>179</v>
      </c>
      <c r="L171" s="4" t="s">
        <v>180</v>
      </c>
      <c r="M171" s="4" t="s">
        <v>192</v>
      </c>
      <c r="N171" s="4" t="s">
        <v>182</v>
      </c>
      <c r="O171" s="4" t="s">
        <v>189</v>
      </c>
      <c r="P171">
        <v>-18111.5</v>
      </c>
      <c r="Q171" s="4" t="s">
        <v>30</v>
      </c>
    </row>
    <row r="172" spans="1:17" x14ac:dyDescent="0.2">
      <c r="A172" s="4" t="s">
        <v>355</v>
      </c>
      <c r="B172">
        <v>171</v>
      </c>
      <c r="C172" s="4" t="s">
        <v>26</v>
      </c>
      <c r="D172" s="4" t="s">
        <v>35</v>
      </c>
      <c r="E172" s="4" t="s">
        <v>32</v>
      </c>
      <c r="F172" s="4" t="s">
        <v>81</v>
      </c>
      <c r="G172">
        <v>5</v>
      </c>
      <c r="H172">
        <v>22</v>
      </c>
      <c r="I172" s="4" t="s">
        <v>207</v>
      </c>
      <c r="J172" s="4" t="s">
        <v>208</v>
      </c>
      <c r="K172" s="4" t="s">
        <v>179</v>
      </c>
      <c r="L172" s="4" t="s">
        <v>180</v>
      </c>
      <c r="M172" s="4" t="s">
        <v>192</v>
      </c>
      <c r="N172" s="4" t="s">
        <v>182</v>
      </c>
      <c r="O172" s="4" t="s">
        <v>183</v>
      </c>
      <c r="P172">
        <v>5611.39</v>
      </c>
      <c r="Q172" s="4" t="s">
        <v>30</v>
      </c>
    </row>
    <row r="173" spans="1:17" x14ac:dyDescent="0.2">
      <c r="A173" s="4" t="s">
        <v>356</v>
      </c>
      <c r="B173">
        <v>172</v>
      </c>
      <c r="C173" s="4" t="s">
        <v>26</v>
      </c>
      <c r="D173" s="4" t="s">
        <v>35</v>
      </c>
      <c r="E173" s="4" t="s">
        <v>32</v>
      </c>
      <c r="F173" s="4" t="s">
        <v>81</v>
      </c>
      <c r="G173">
        <v>5</v>
      </c>
      <c r="H173">
        <v>22</v>
      </c>
      <c r="I173" s="4" t="s">
        <v>193</v>
      </c>
      <c r="J173" s="4" t="s">
        <v>194</v>
      </c>
      <c r="K173" s="4" t="s">
        <v>179</v>
      </c>
      <c r="L173" s="4" t="s">
        <v>186</v>
      </c>
      <c r="M173" s="4" t="s">
        <v>195</v>
      </c>
      <c r="N173" s="4" t="s">
        <v>196</v>
      </c>
      <c r="O173" s="4" t="s">
        <v>189</v>
      </c>
      <c r="P173">
        <v>-61112.63</v>
      </c>
      <c r="Q173" s="4" t="s">
        <v>30</v>
      </c>
    </row>
    <row r="174" spans="1:17" x14ac:dyDescent="0.2">
      <c r="A174" s="4" t="s">
        <v>357</v>
      </c>
      <c r="B174">
        <v>173</v>
      </c>
      <c r="C174" s="4" t="s">
        <v>26</v>
      </c>
      <c r="D174" s="4" t="s">
        <v>35</v>
      </c>
      <c r="E174" s="4" t="s">
        <v>32</v>
      </c>
      <c r="F174" s="4" t="s">
        <v>81</v>
      </c>
      <c r="G174">
        <v>5</v>
      </c>
      <c r="H174">
        <v>22</v>
      </c>
      <c r="I174" s="4" t="s">
        <v>197</v>
      </c>
      <c r="J174" s="4" t="s">
        <v>198</v>
      </c>
      <c r="K174" s="4" t="s">
        <v>179</v>
      </c>
      <c r="L174" s="4" t="s">
        <v>186</v>
      </c>
      <c r="M174" s="4" t="s">
        <v>195</v>
      </c>
      <c r="N174" s="4" t="s">
        <v>196</v>
      </c>
      <c r="O174" s="4" t="s">
        <v>189</v>
      </c>
      <c r="P174">
        <v>-60112.63</v>
      </c>
      <c r="Q174" s="4" t="s">
        <v>30</v>
      </c>
    </row>
    <row r="175" spans="1:17" x14ac:dyDescent="0.2">
      <c r="A175" s="4" t="s">
        <v>358</v>
      </c>
      <c r="B175">
        <v>174</v>
      </c>
      <c r="C175" s="4" t="s">
        <v>26</v>
      </c>
      <c r="D175" s="4" t="s">
        <v>35</v>
      </c>
      <c r="E175" s="4" t="s">
        <v>32</v>
      </c>
      <c r="F175" s="4" t="s">
        <v>81</v>
      </c>
      <c r="G175">
        <v>5</v>
      </c>
      <c r="H175">
        <v>22</v>
      </c>
      <c r="I175" s="4" t="s">
        <v>197</v>
      </c>
      <c r="J175" s="4" t="s">
        <v>198</v>
      </c>
      <c r="K175" s="4" t="s">
        <v>179</v>
      </c>
      <c r="L175" s="4" t="s">
        <v>186</v>
      </c>
      <c r="M175" s="4" t="s">
        <v>195</v>
      </c>
      <c r="N175" s="4" t="s">
        <v>196</v>
      </c>
      <c r="O175" s="4" t="s">
        <v>183</v>
      </c>
      <c r="P175">
        <v>60112.63</v>
      </c>
      <c r="Q175" s="4" t="s">
        <v>30</v>
      </c>
    </row>
    <row r="176" spans="1:17" x14ac:dyDescent="0.2">
      <c r="A176" s="4" t="s">
        <v>359</v>
      </c>
      <c r="B176">
        <v>175</v>
      </c>
      <c r="C176" s="4" t="s">
        <v>26</v>
      </c>
      <c r="D176" s="4" t="s">
        <v>35</v>
      </c>
      <c r="E176" s="4" t="s">
        <v>32</v>
      </c>
      <c r="F176" s="4" t="s">
        <v>81</v>
      </c>
      <c r="G176">
        <v>5</v>
      </c>
      <c r="H176">
        <v>22</v>
      </c>
      <c r="I176" s="4" t="s">
        <v>199</v>
      </c>
      <c r="J176" s="4" t="s">
        <v>200</v>
      </c>
      <c r="K176" s="4" t="s">
        <v>179</v>
      </c>
      <c r="L176" s="4" t="s">
        <v>186</v>
      </c>
      <c r="M176" s="4" t="s">
        <v>195</v>
      </c>
      <c r="N176" s="4" t="s">
        <v>196</v>
      </c>
      <c r="O176" s="4" t="s">
        <v>189</v>
      </c>
      <c r="P176">
        <v>-1000</v>
      </c>
      <c r="Q176" s="4" t="s">
        <v>30</v>
      </c>
    </row>
    <row r="177" spans="1:17" x14ac:dyDescent="0.2">
      <c r="A177" s="4" t="s">
        <v>360</v>
      </c>
      <c r="B177">
        <v>176</v>
      </c>
      <c r="C177" s="4" t="s">
        <v>26</v>
      </c>
      <c r="D177" s="4" t="s">
        <v>35</v>
      </c>
      <c r="E177" s="4" t="s">
        <v>32</v>
      </c>
      <c r="F177" s="4" t="s">
        <v>81</v>
      </c>
      <c r="G177">
        <v>5</v>
      </c>
      <c r="H177">
        <v>22</v>
      </c>
      <c r="I177" s="4" t="s">
        <v>199</v>
      </c>
      <c r="J177" s="4" t="s">
        <v>200</v>
      </c>
      <c r="K177" s="4" t="s">
        <v>179</v>
      </c>
      <c r="L177" s="4" t="s">
        <v>186</v>
      </c>
      <c r="M177" s="4" t="s">
        <v>195</v>
      </c>
      <c r="N177" s="4" t="s">
        <v>196</v>
      </c>
      <c r="O177" s="4" t="s">
        <v>183</v>
      </c>
      <c r="P177">
        <v>1000</v>
      </c>
      <c r="Q177" s="4" t="s">
        <v>30</v>
      </c>
    </row>
    <row r="178" spans="1:17" x14ac:dyDescent="0.2">
      <c r="A178" s="4" t="s">
        <v>361</v>
      </c>
      <c r="B178">
        <v>177</v>
      </c>
      <c r="C178" s="4" t="s">
        <v>26</v>
      </c>
      <c r="D178" s="4" t="s">
        <v>35</v>
      </c>
      <c r="E178" s="4" t="s">
        <v>32</v>
      </c>
      <c r="F178" s="4" t="s">
        <v>81</v>
      </c>
      <c r="G178">
        <v>5</v>
      </c>
      <c r="H178">
        <v>22</v>
      </c>
      <c r="I178" s="4" t="s">
        <v>209</v>
      </c>
      <c r="J178" s="4" t="s">
        <v>210</v>
      </c>
      <c r="K178" s="4" t="s">
        <v>205</v>
      </c>
      <c r="L178" s="4" t="s">
        <v>211</v>
      </c>
      <c r="M178" s="4" t="s">
        <v>182</v>
      </c>
      <c r="N178" s="4" t="s">
        <v>182</v>
      </c>
      <c r="O178" s="4" t="s">
        <v>183</v>
      </c>
      <c r="P178">
        <v>4866.21</v>
      </c>
      <c r="Q178" s="4" t="s">
        <v>30</v>
      </c>
    </row>
    <row r="179" spans="1:17" x14ac:dyDescent="0.2">
      <c r="A179" s="4" t="s">
        <v>362</v>
      </c>
      <c r="B179">
        <v>178</v>
      </c>
      <c r="C179" s="4" t="s">
        <v>26</v>
      </c>
      <c r="D179" s="4" t="s">
        <v>35</v>
      </c>
      <c r="E179" s="4" t="s">
        <v>32</v>
      </c>
      <c r="F179" s="4" t="s">
        <v>81</v>
      </c>
      <c r="G179">
        <v>5</v>
      </c>
      <c r="H179">
        <v>22</v>
      </c>
      <c r="I179" s="4" t="s">
        <v>203</v>
      </c>
      <c r="J179" s="4" t="s">
        <v>204</v>
      </c>
      <c r="K179" s="4" t="s">
        <v>205</v>
      </c>
      <c r="L179" s="4" t="s">
        <v>206</v>
      </c>
      <c r="M179" s="4" t="s">
        <v>182</v>
      </c>
      <c r="N179" s="4" t="s">
        <v>182</v>
      </c>
      <c r="O179" s="4" t="s">
        <v>183</v>
      </c>
      <c r="P179">
        <v>200</v>
      </c>
      <c r="Q179" s="4" t="s">
        <v>30</v>
      </c>
    </row>
    <row r="180" spans="1:17" x14ac:dyDescent="0.2">
      <c r="A180" s="4" t="s">
        <v>363</v>
      </c>
      <c r="B180">
        <v>179</v>
      </c>
      <c r="C180" s="4" t="s">
        <v>26</v>
      </c>
      <c r="D180" s="4" t="s">
        <v>35</v>
      </c>
      <c r="E180" s="4" t="s">
        <v>32</v>
      </c>
      <c r="F180" s="4" t="s">
        <v>81</v>
      </c>
      <c r="G180">
        <v>5</v>
      </c>
      <c r="H180">
        <v>22</v>
      </c>
      <c r="I180" s="4" t="s">
        <v>201</v>
      </c>
      <c r="J180" s="4" t="s">
        <v>202</v>
      </c>
      <c r="K180" s="4" t="s">
        <v>179</v>
      </c>
      <c r="L180" s="4" t="s">
        <v>180</v>
      </c>
      <c r="M180" s="4" t="s">
        <v>192</v>
      </c>
      <c r="N180" s="4" t="s">
        <v>182</v>
      </c>
      <c r="O180" s="4" t="s">
        <v>189</v>
      </c>
      <c r="P180">
        <v>-4866.22</v>
      </c>
      <c r="Q180" s="4" t="s">
        <v>30</v>
      </c>
    </row>
    <row r="181" spans="1:17" x14ac:dyDescent="0.2">
      <c r="A181" s="4" t="s">
        <v>364</v>
      </c>
      <c r="B181">
        <v>180</v>
      </c>
      <c r="C181" s="4" t="s">
        <v>26</v>
      </c>
      <c r="D181" s="4" t="s">
        <v>35</v>
      </c>
      <c r="E181" s="4" t="s">
        <v>32</v>
      </c>
      <c r="F181" s="4" t="s">
        <v>81</v>
      </c>
      <c r="G181">
        <v>5</v>
      </c>
      <c r="H181">
        <v>22</v>
      </c>
      <c r="I181" s="4" t="s">
        <v>201</v>
      </c>
      <c r="J181" s="4" t="s">
        <v>202</v>
      </c>
      <c r="K181" s="4" t="s">
        <v>179</v>
      </c>
      <c r="L181" s="4" t="s">
        <v>180</v>
      </c>
      <c r="M181" s="4" t="s">
        <v>192</v>
      </c>
      <c r="N181" s="4" t="s">
        <v>182</v>
      </c>
      <c r="O181" s="4" t="s">
        <v>183</v>
      </c>
      <c r="P181">
        <v>61112.639999999999</v>
      </c>
      <c r="Q181" s="4" t="s">
        <v>30</v>
      </c>
    </row>
    <row r="182" spans="1:17" x14ac:dyDescent="0.2">
      <c r="A182" s="4" t="s">
        <v>365</v>
      </c>
      <c r="B182">
        <v>181</v>
      </c>
      <c r="C182" s="4" t="s">
        <v>26</v>
      </c>
      <c r="D182" s="4" t="s">
        <v>35</v>
      </c>
      <c r="E182" s="4" t="s">
        <v>32</v>
      </c>
      <c r="F182" s="4" t="s">
        <v>81</v>
      </c>
      <c r="G182">
        <v>5</v>
      </c>
      <c r="H182">
        <v>22</v>
      </c>
      <c r="I182" s="4" t="s">
        <v>212</v>
      </c>
      <c r="J182" s="4" t="s">
        <v>213</v>
      </c>
      <c r="K182" s="4" t="s">
        <v>205</v>
      </c>
      <c r="L182" s="4" t="s">
        <v>214</v>
      </c>
      <c r="M182" s="4" t="s">
        <v>182</v>
      </c>
      <c r="N182" s="4" t="s">
        <v>182</v>
      </c>
      <c r="O182" s="4" t="s">
        <v>189</v>
      </c>
      <c r="P182">
        <v>-5611.39</v>
      </c>
      <c r="Q182" s="4" t="s">
        <v>30</v>
      </c>
    </row>
    <row r="183" spans="1:17" x14ac:dyDescent="0.2">
      <c r="A183" s="4" t="s">
        <v>366</v>
      </c>
      <c r="B183">
        <v>182</v>
      </c>
      <c r="C183" s="4" t="s">
        <v>26</v>
      </c>
      <c r="D183" s="4" t="s">
        <v>35</v>
      </c>
      <c r="E183" s="4" t="s">
        <v>35</v>
      </c>
      <c r="F183" s="4" t="s">
        <v>83</v>
      </c>
      <c r="G183">
        <v>5</v>
      </c>
      <c r="H183">
        <v>23</v>
      </c>
      <c r="I183" s="4" t="s">
        <v>190</v>
      </c>
      <c r="J183" s="4" t="s">
        <v>191</v>
      </c>
      <c r="K183" s="4" t="s">
        <v>179</v>
      </c>
      <c r="L183" s="4" t="s">
        <v>180</v>
      </c>
      <c r="M183" s="4" t="s">
        <v>192</v>
      </c>
      <c r="N183" s="4" t="s">
        <v>182</v>
      </c>
      <c r="O183" s="4" t="s">
        <v>189</v>
      </c>
      <c r="P183">
        <v>-200</v>
      </c>
      <c r="Q183" s="4" t="s">
        <v>30</v>
      </c>
    </row>
    <row r="184" spans="1:17" x14ac:dyDescent="0.2">
      <c r="A184" s="4" t="s">
        <v>367</v>
      </c>
      <c r="B184">
        <v>183</v>
      </c>
      <c r="C184" s="4" t="s">
        <v>26</v>
      </c>
      <c r="D184" s="4" t="s">
        <v>35</v>
      </c>
      <c r="E184" s="4" t="s">
        <v>35</v>
      </c>
      <c r="F184" s="4" t="s">
        <v>83</v>
      </c>
      <c r="G184">
        <v>5</v>
      </c>
      <c r="H184">
        <v>23</v>
      </c>
      <c r="I184" s="4" t="s">
        <v>190</v>
      </c>
      <c r="J184" s="4" t="s">
        <v>191</v>
      </c>
      <c r="K184" s="4" t="s">
        <v>179</v>
      </c>
      <c r="L184" s="4" t="s">
        <v>180</v>
      </c>
      <c r="M184" s="4" t="s">
        <v>192</v>
      </c>
      <c r="N184" s="4" t="s">
        <v>182</v>
      </c>
      <c r="O184" s="4" t="s">
        <v>183</v>
      </c>
      <c r="P184">
        <v>12344.56</v>
      </c>
      <c r="Q184" s="4" t="s">
        <v>30</v>
      </c>
    </row>
    <row r="185" spans="1:17" x14ac:dyDescent="0.2">
      <c r="A185" s="4" t="s">
        <v>368</v>
      </c>
      <c r="B185">
        <v>184</v>
      </c>
      <c r="C185" s="4" t="s">
        <v>26</v>
      </c>
      <c r="D185" s="4" t="s">
        <v>35</v>
      </c>
      <c r="E185" s="4" t="s">
        <v>35</v>
      </c>
      <c r="F185" s="4" t="s">
        <v>83</v>
      </c>
      <c r="G185">
        <v>5</v>
      </c>
      <c r="H185">
        <v>23</v>
      </c>
      <c r="I185" s="4" t="s">
        <v>207</v>
      </c>
      <c r="J185" s="4" t="s">
        <v>208</v>
      </c>
      <c r="K185" s="4" t="s">
        <v>179</v>
      </c>
      <c r="L185" s="4" t="s">
        <v>180</v>
      </c>
      <c r="M185" s="4" t="s">
        <v>192</v>
      </c>
      <c r="N185" s="4" t="s">
        <v>182</v>
      </c>
      <c r="O185" s="4" t="s">
        <v>189</v>
      </c>
      <c r="P185">
        <v>-12344.56</v>
      </c>
      <c r="Q185" s="4" t="s">
        <v>30</v>
      </c>
    </row>
    <row r="186" spans="1:17" x14ac:dyDescent="0.2">
      <c r="A186" s="4" t="s">
        <v>369</v>
      </c>
      <c r="B186">
        <v>185</v>
      </c>
      <c r="C186" s="4" t="s">
        <v>26</v>
      </c>
      <c r="D186" s="4" t="s">
        <v>35</v>
      </c>
      <c r="E186" s="4" t="s">
        <v>35</v>
      </c>
      <c r="F186" s="4" t="s">
        <v>83</v>
      </c>
      <c r="G186">
        <v>5</v>
      </c>
      <c r="H186">
        <v>23</v>
      </c>
      <c r="I186" s="4" t="s">
        <v>207</v>
      </c>
      <c r="J186" s="4" t="s">
        <v>208</v>
      </c>
      <c r="K186" s="4" t="s">
        <v>179</v>
      </c>
      <c r="L186" s="4" t="s">
        <v>180</v>
      </c>
      <c r="M186" s="4" t="s">
        <v>192</v>
      </c>
      <c r="N186" s="4" t="s">
        <v>182</v>
      </c>
      <c r="O186" s="4" t="s">
        <v>183</v>
      </c>
      <c r="P186">
        <v>11242.24</v>
      </c>
      <c r="Q186" s="4" t="s">
        <v>30</v>
      </c>
    </row>
    <row r="187" spans="1:17" x14ac:dyDescent="0.2">
      <c r="A187" s="4" t="s">
        <v>370</v>
      </c>
      <c r="B187">
        <v>186</v>
      </c>
      <c r="C187" s="4" t="s">
        <v>26</v>
      </c>
      <c r="D187" s="4" t="s">
        <v>35</v>
      </c>
      <c r="E187" s="4" t="s">
        <v>35</v>
      </c>
      <c r="F187" s="4" t="s">
        <v>83</v>
      </c>
      <c r="G187">
        <v>5</v>
      </c>
      <c r="H187">
        <v>23</v>
      </c>
      <c r="I187" s="4" t="s">
        <v>209</v>
      </c>
      <c r="J187" s="4" t="s">
        <v>210</v>
      </c>
      <c r="K187" s="4" t="s">
        <v>205</v>
      </c>
      <c r="L187" s="4" t="s">
        <v>211</v>
      </c>
      <c r="M187" s="4" t="s">
        <v>182</v>
      </c>
      <c r="N187" s="4" t="s">
        <v>182</v>
      </c>
      <c r="O187" s="4" t="s">
        <v>183</v>
      </c>
      <c r="P187">
        <v>9240.7999999999993</v>
      </c>
      <c r="Q187" s="4" t="s">
        <v>30</v>
      </c>
    </row>
    <row r="188" spans="1:17" x14ac:dyDescent="0.2">
      <c r="A188" s="4" t="s">
        <v>371</v>
      </c>
      <c r="B188">
        <v>187</v>
      </c>
      <c r="C188" s="4" t="s">
        <v>26</v>
      </c>
      <c r="D188" s="4" t="s">
        <v>35</v>
      </c>
      <c r="E188" s="4" t="s">
        <v>35</v>
      </c>
      <c r="F188" s="4" t="s">
        <v>83</v>
      </c>
      <c r="G188">
        <v>5</v>
      </c>
      <c r="H188">
        <v>23</v>
      </c>
      <c r="I188" s="4" t="s">
        <v>203</v>
      </c>
      <c r="J188" s="4" t="s">
        <v>204</v>
      </c>
      <c r="K188" s="4" t="s">
        <v>205</v>
      </c>
      <c r="L188" s="4" t="s">
        <v>206</v>
      </c>
      <c r="M188" s="4" t="s">
        <v>182</v>
      </c>
      <c r="N188" s="4" t="s">
        <v>182</v>
      </c>
      <c r="O188" s="4" t="s">
        <v>183</v>
      </c>
      <c r="P188">
        <v>200</v>
      </c>
      <c r="Q188" s="4" t="s">
        <v>30</v>
      </c>
    </row>
    <row r="189" spans="1:17" x14ac:dyDescent="0.2">
      <c r="A189" s="4" t="s">
        <v>372</v>
      </c>
      <c r="B189">
        <v>188</v>
      </c>
      <c r="C189" s="4" t="s">
        <v>26</v>
      </c>
      <c r="D189" s="4" t="s">
        <v>35</v>
      </c>
      <c r="E189" s="4" t="s">
        <v>35</v>
      </c>
      <c r="F189" s="4" t="s">
        <v>83</v>
      </c>
      <c r="G189">
        <v>5</v>
      </c>
      <c r="H189">
        <v>23</v>
      </c>
      <c r="I189" s="4" t="s">
        <v>201</v>
      </c>
      <c r="J189" s="4" t="s">
        <v>202</v>
      </c>
      <c r="K189" s="4" t="s">
        <v>179</v>
      </c>
      <c r="L189" s="4" t="s">
        <v>180</v>
      </c>
      <c r="M189" s="4" t="s">
        <v>192</v>
      </c>
      <c r="N189" s="4" t="s">
        <v>182</v>
      </c>
      <c r="O189" s="4" t="s">
        <v>189</v>
      </c>
      <c r="P189">
        <v>-9240.7999999999993</v>
      </c>
      <c r="Q189" s="4" t="s">
        <v>30</v>
      </c>
    </row>
    <row r="190" spans="1:17" x14ac:dyDescent="0.2">
      <c r="A190" s="4" t="s">
        <v>373</v>
      </c>
      <c r="B190">
        <v>189</v>
      </c>
      <c r="C190" s="4" t="s">
        <v>26</v>
      </c>
      <c r="D190" s="4" t="s">
        <v>35</v>
      </c>
      <c r="E190" s="4" t="s">
        <v>35</v>
      </c>
      <c r="F190" s="4" t="s">
        <v>83</v>
      </c>
      <c r="G190">
        <v>5</v>
      </c>
      <c r="H190">
        <v>23</v>
      </c>
      <c r="I190" s="4" t="s">
        <v>212</v>
      </c>
      <c r="J190" s="4" t="s">
        <v>213</v>
      </c>
      <c r="K190" s="4" t="s">
        <v>205</v>
      </c>
      <c r="L190" s="4" t="s">
        <v>214</v>
      </c>
      <c r="M190" s="4" t="s">
        <v>182</v>
      </c>
      <c r="N190" s="4" t="s">
        <v>182</v>
      </c>
      <c r="O190" s="4" t="s">
        <v>189</v>
      </c>
      <c r="P190">
        <v>-11242.24</v>
      </c>
      <c r="Q190" s="4" t="s">
        <v>30</v>
      </c>
    </row>
    <row r="191" spans="1:17" x14ac:dyDescent="0.2">
      <c r="A191" s="4" t="s">
        <v>374</v>
      </c>
      <c r="B191">
        <v>190</v>
      </c>
      <c r="C191" s="4" t="s">
        <v>26</v>
      </c>
      <c r="D191" s="4" t="s">
        <v>35</v>
      </c>
      <c r="E191" s="4" t="s">
        <v>38</v>
      </c>
      <c r="F191" s="4" t="s">
        <v>85</v>
      </c>
      <c r="G191">
        <v>5</v>
      </c>
      <c r="H191">
        <v>24</v>
      </c>
      <c r="I191" s="4" t="s">
        <v>190</v>
      </c>
      <c r="J191" s="4" t="s">
        <v>191</v>
      </c>
      <c r="K191" s="4" t="s">
        <v>179</v>
      </c>
      <c r="L191" s="4" t="s">
        <v>180</v>
      </c>
      <c r="M191" s="4" t="s">
        <v>192</v>
      </c>
      <c r="N191" s="4" t="s">
        <v>182</v>
      </c>
      <c r="O191" s="4" t="s">
        <v>189</v>
      </c>
      <c r="P191">
        <v>-200</v>
      </c>
      <c r="Q191" s="4" t="s">
        <v>30</v>
      </c>
    </row>
    <row r="192" spans="1:17" x14ac:dyDescent="0.2">
      <c r="A192" s="4" t="s">
        <v>375</v>
      </c>
      <c r="B192">
        <v>191</v>
      </c>
      <c r="C192" s="4" t="s">
        <v>26</v>
      </c>
      <c r="D192" s="4" t="s">
        <v>35</v>
      </c>
      <c r="E192" s="4" t="s">
        <v>38</v>
      </c>
      <c r="F192" s="4" t="s">
        <v>85</v>
      </c>
      <c r="G192">
        <v>5</v>
      </c>
      <c r="H192">
        <v>24</v>
      </c>
      <c r="I192" s="4" t="s">
        <v>190</v>
      </c>
      <c r="J192" s="4" t="s">
        <v>191</v>
      </c>
      <c r="K192" s="4" t="s">
        <v>179</v>
      </c>
      <c r="L192" s="4" t="s">
        <v>180</v>
      </c>
      <c r="M192" s="4" t="s">
        <v>192</v>
      </c>
      <c r="N192" s="4" t="s">
        <v>182</v>
      </c>
      <c r="O192" s="4" t="s">
        <v>183</v>
      </c>
      <c r="P192">
        <v>2387.39</v>
      </c>
      <c r="Q192" s="4" t="s">
        <v>30</v>
      </c>
    </row>
    <row r="193" spans="1:17" x14ac:dyDescent="0.2">
      <c r="A193" s="4" t="s">
        <v>376</v>
      </c>
      <c r="B193">
        <v>192</v>
      </c>
      <c r="C193" s="4" t="s">
        <v>26</v>
      </c>
      <c r="D193" s="4" t="s">
        <v>35</v>
      </c>
      <c r="E193" s="4" t="s">
        <v>38</v>
      </c>
      <c r="F193" s="4" t="s">
        <v>85</v>
      </c>
      <c r="G193">
        <v>5</v>
      </c>
      <c r="H193">
        <v>24</v>
      </c>
      <c r="I193" s="4" t="s">
        <v>207</v>
      </c>
      <c r="J193" s="4" t="s">
        <v>208</v>
      </c>
      <c r="K193" s="4" t="s">
        <v>179</v>
      </c>
      <c r="L193" s="4" t="s">
        <v>180</v>
      </c>
      <c r="M193" s="4" t="s">
        <v>192</v>
      </c>
      <c r="N193" s="4" t="s">
        <v>182</v>
      </c>
      <c r="O193" s="4" t="s">
        <v>189</v>
      </c>
      <c r="P193">
        <v>-2387.39</v>
      </c>
      <c r="Q193" s="4" t="s">
        <v>30</v>
      </c>
    </row>
    <row r="194" spans="1:17" x14ac:dyDescent="0.2">
      <c r="A194" s="4" t="s">
        <v>377</v>
      </c>
      <c r="B194">
        <v>193</v>
      </c>
      <c r="C194" s="4" t="s">
        <v>26</v>
      </c>
      <c r="D194" s="4" t="s">
        <v>35</v>
      </c>
      <c r="E194" s="4" t="s">
        <v>38</v>
      </c>
      <c r="F194" s="4" t="s">
        <v>85</v>
      </c>
      <c r="G194">
        <v>5</v>
      </c>
      <c r="H194">
        <v>24</v>
      </c>
      <c r="I194" s="4" t="s">
        <v>207</v>
      </c>
      <c r="J194" s="4" t="s">
        <v>208</v>
      </c>
      <c r="K194" s="4" t="s">
        <v>179</v>
      </c>
      <c r="L194" s="4" t="s">
        <v>180</v>
      </c>
      <c r="M194" s="4" t="s">
        <v>192</v>
      </c>
      <c r="N194" s="4" t="s">
        <v>182</v>
      </c>
      <c r="O194" s="4" t="s">
        <v>183</v>
      </c>
      <c r="P194">
        <v>18572.330000000002</v>
      </c>
      <c r="Q194" s="4" t="s">
        <v>30</v>
      </c>
    </row>
    <row r="195" spans="1:17" x14ac:dyDescent="0.2">
      <c r="A195" s="4" t="s">
        <v>378</v>
      </c>
      <c r="B195">
        <v>194</v>
      </c>
      <c r="C195" s="4" t="s">
        <v>26</v>
      </c>
      <c r="D195" s="4" t="s">
        <v>35</v>
      </c>
      <c r="E195" s="4" t="s">
        <v>38</v>
      </c>
      <c r="F195" s="4" t="s">
        <v>85</v>
      </c>
      <c r="G195">
        <v>5</v>
      </c>
      <c r="H195">
        <v>24</v>
      </c>
      <c r="I195" s="4" t="s">
        <v>209</v>
      </c>
      <c r="J195" s="4" t="s">
        <v>210</v>
      </c>
      <c r="K195" s="4" t="s">
        <v>205</v>
      </c>
      <c r="L195" s="4" t="s">
        <v>211</v>
      </c>
      <c r="M195" s="4" t="s">
        <v>182</v>
      </c>
      <c r="N195" s="4" t="s">
        <v>182</v>
      </c>
      <c r="O195" s="4" t="s">
        <v>183</v>
      </c>
      <c r="P195">
        <v>15762.98</v>
      </c>
      <c r="Q195" s="4" t="s">
        <v>30</v>
      </c>
    </row>
    <row r="196" spans="1:17" x14ac:dyDescent="0.2">
      <c r="A196" s="4" t="s">
        <v>379</v>
      </c>
      <c r="B196">
        <v>195</v>
      </c>
      <c r="C196" s="4" t="s">
        <v>26</v>
      </c>
      <c r="D196" s="4" t="s">
        <v>35</v>
      </c>
      <c r="E196" s="4" t="s">
        <v>38</v>
      </c>
      <c r="F196" s="4" t="s">
        <v>85</v>
      </c>
      <c r="G196">
        <v>5</v>
      </c>
      <c r="H196">
        <v>24</v>
      </c>
      <c r="I196" s="4" t="s">
        <v>203</v>
      </c>
      <c r="J196" s="4" t="s">
        <v>204</v>
      </c>
      <c r="K196" s="4" t="s">
        <v>205</v>
      </c>
      <c r="L196" s="4" t="s">
        <v>206</v>
      </c>
      <c r="M196" s="4" t="s">
        <v>182</v>
      </c>
      <c r="N196" s="4" t="s">
        <v>182</v>
      </c>
      <c r="O196" s="4" t="s">
        <v>183</v>
      </c>
      <c r="P196">
        <v>200</v>
      </c>
      <c r="Q196" s="4" t="s">
        <v>30</v>
      </c>
    </row>
    <row r="197" spans="1:17" x14ac:dyDescent="0.2">
      <c r="A197" s="4" t="s">
        <v>380</v>
      </c>
      <c r="B197">
        <v>196</v>
      </c>
      <c r="C197" s="4" t="s">
        <v>26</v>
      </c>
      <c r="D197" s="4" t="s">
        <v>35</v>
      </c>
      <c r="E197" s="4" t="s">
        <v>38</v>
      </c>
      <c r="F197" s="4" t="s">
        <v>85</v>
      </c>
      <c r="G197">
        <v>5</v>
      </c>
      <c r="H197">
        <v>24</v>
      </c>
      <c r="I197" s="4" t="s">
        <v>201</v>
      </c>
      <c r="J197" s="4" t="s">
        <v>202</v>
      </c>
      <c r="K197" s="4" t="s">
        <v>179</v>
      </c>
      <c r="L197" s="4" t="s">
        <v>180</v>
      </c>
      <c r="M197" s="4" t="s">
        <v>192</v>
      </c>
      <c r="N197" s="4" t="s">
        <v>182</v>
      </c>
      <c r="O197" s="4" t="s">
        <v>189</v>
      </c>
      <c r="P197">
        <v>-15762.98</v>
      </c>
      <c r="Q197" s="4" t="s">
        <v>30</v>
      </c>
    </row>
    <row r="198" spans="1:17" x14ac:dyDescent="0.2">
      <c r="A198" s="4" t="s">
        <v>381</v>
      </c>
      <c r="B198">
        <v>197</v>
      </c>
      <c r="C198" s="4" t="s">
        <v>26</v>
      </c>
      <c r="D198" s="4" t="s">
        <v>35</v>
      </c>
      <c r="E198" s="4" t="s">
        <v>38</v>
      </c>
      <c r="F198" s="4" t="s">
        <v>85</v>
      </c>
      <c r="G198">
        <v>5</v>
      </c>
      <c r="H198">
        <v>24</v>
      </c>
      <c r="I198" s="4" t="s">
        <v>212</v>
      </c>
      <c r="J198" s="4" t="s">
        <v>213</v>
      </c>
      <c r="K198" s="4" t="s">
        <v>205</v>
      </c>
      <c r="L198" s="4" t="s">
        <v>214</v>
      </c>
      <c r="M198" s="4" t="s">
        <v>182</v>
      </c>
      <c r="N198" s="4" t="s">
        <v>182</v>
      </c>
      <c r="O198" s="4" t="s">
        <v>189</v>
      </c>
      <c r="P198">
        <v>-18572.330000000002</v>
      </c>
      <c r="Q198" s="4" t="s">
        <v>30</v>
      </c>
    </row>
    <row r="199" spans="1:17" x14ac:dyDescent="0.2">
      <c r="A199" s="4" t="s">
        <v>382</v>
      </c>
      <c r="B199">
        <v>198</v>
      </c>
      <c r="C199" s="4" t="s">
        <v>26</v>
      </c>
      <c r="D199" s="4" t="s">
        <v>35</v>
      </c>
      <c r="E199" s="4" t="s">
        <v>41</v>
      </c>
      <c r="F199" s="4" t="s">
        <v>87</v>
      </c>
      <c r="G199">
        <v>5</v>
      </c>
      <c r="H199">
        <v>25</v>
      </c>
      <c r="I199" s="4" t="s">
        <v>190</v>
      </c>
      <c r="J199" s="4" t="s">
        <v>191</v>
      </c>
      <c r="K199" s="4" t="s">
        <v>179</v>
      </c>
      <c r="L199" s="4" t="s">
        <v>180</v>
      </c>
      <c r="M199" s="4" t="s">
        <v>192</v>
      </c>
      <c r="N199" s="4" t="s">
        <v>182</v>
      </c>
      <c r="O199" s="4" t="s">
        <v>189</v>
      </c>
      <c r="P199">
        <v>-300</v>
      </c>
      <c r="Q199" s="4" t="s">
        <v>30</v>
      </c>
    </row>
    <row r="200" spans="1:17" x14ac:dyDescent="0.2">
      <c r="A200" s="4" t="s">
        <v>383</v>
      </c>
      <c r="B200">
        <v>199</v>
      </c>
      <c r="C200" s="4" t="s">
        <v>26</v>
      </c>
      <c r="D200" s="4" t="s">
        <v>35</v>
      </c>
      <c r="E200" s="4" t="s">
        <v>41</v>
      </c>
      <c r="F200" s="4" t="s">
        <v>87</v>
      </c>
      <c r="G200">
        <v>5</v>
      </c>
      <c r="H200">
        <v>25</v>
      </c>
      <c r="I200" s="4" t="s">
        <v>190</v>
      </c>
      <c r="J200" s="4" t="s">
        <v>191</v>
      </c>
      <c r="K200" s="4" t="s">
        <v>179</v>
      </c>
      <c r="L200" s="4" t="s">
        <v>180</v>
      </c>
      <c r="M200" s="4" t="s">
        <v>192</v>
      </c>
      <c r="N200" s="4" t="s">
        <v>182</v>
      </c>
      <c r="O200" s="4" t="s">
        <v>183</v>
      </c>
      <c r="P200">
        <v>4475.72</v>
      </c>
      <c r="Q200" s="4" t="s">
        <v>30</v>
      </c>
    </row>
    <row r="201" spans="1:17" x14ac:dyDescent="0.2">
      <c r="A201" s="4" t="s">
        <v>384</v>
      </c>
      <c r="B201">
        <v>200</v>
      </c>
      <c r="C201" s="4" t="s">
        <v>26</v>
      </c>
      <c r="D201" s="4" t="s">
        <v>35</v>
      </c>
      <c r="E201" s="4" t="s">
        <v>41</v>
      </c>
      <c r="F201" s="4" t="s">
        <v>87</v>
      </c>
      <c r="G201">
        <v>5</v>
      </c>
      <c r="H201">
        <v>25</v>
      </c>
      <c r="I201" s="4" t="s">
        <v>207</v>
      </c>
      <c r="J201" s="4" t="s">
        <v>208</v>
      </c>
      <c r="K201" s="4" t="s">
        <v>179</v>
      </c>
      <c r="L201" s="4" t="s">
        <v>180</v>
      </c>
      <c r="M201" s="4" t="s">
        <v>192</v>
      </c>
      <c r="N201" s="4" t="s">
        <v>182</v>
      </c>
      <c r="O201" s="4" t="s">
        <v>189</v>
      </c>
      <c r="P201">
        <v>-4475.72</v>
      </c>
      <c r="Q201" s="4" t="s">
        <v>30</v>
      </c>
    </row>
    <row r="202" spans="1:17" x14ac:dyDescent="0.2">
      <c r="A202" s="4" t="s">
        <v>385</v>
      </c>
      <c r="B202">
        <v>201</v>
      </c>
      <c r="C202" s="4" t="s">
        <v>26</v>
      </c>
      <c r="D202" s="4" t="s">
        <v>35</v>
      </c>
      <c r="E202" s="4" t="s">
        <v>41</v>
      </c>
      <c r="F202" s="4" t="s">
        <v>87</v>
      </c>
      <c r="G202">
        <v>5</v>
      </c>
      <c r="H202">
        <v>25</v>
      </c>
      <c r="I202" s="4" t="s">
        <v>207</v>
      </c>
      <c r="J202" s="4" t="s">
        <v>208</v>
      </c>
      <c r="K202" s="4" t="s">
        <v>179</v>
      </c>
      <c r="L202" s="4" t="s">
        <v>180</v>
      </c>
      <c r="M202" s="4" t="s">
        <v>192</v>
      </c>
      <c r="N202" s="4" t="s">
        <v>182</v>
      </c>
      <c r="O202" s="4" t="s">
        <v>183</v>
      </c>
      <c r="P202">
        <v>8900.5300000000007</v>
      </c>
      <c r="Q202" s="4" t="s">
        <v>30</v>
      </c>
    </row>
    <row r="203" spans="1:17" x14ac:dyDescent="0.2">
      <c r="A203" s="4" t="s">
        <v>386</v>
      </c>
      <c r="B203">
        <v>202</v>
      </c>
      <c r="C203" s="4" t="s">
        <v>26</v>
      </c>
      <c r="D203" s="4" t="s">
        <v>35</v>
      </c>
      <c r="E203" s="4" t="s">
        <v>41</v>
      </c>
      <c r="F203" s="4" t="s">
        <v>87</v>
      </c>
      <c r="G203">
        <v>5</v>
      </c>
      <c r="H203">
        <v>25</v>
      </c>
      <c r="I203" s="4" t="s">
        <v>209</v>
      </c>
      <c r="J203" s="4" t="s">
        <v>210</v>
      </c>
      <c r="K203" s="4" t="s">
        <v>205</v>
      </c>
      <c r="L203" s="4" t="s">
        <v>211</v>
      </c>
      <c r="M203" s="4" t="s">
        <v>182</v>
      </c>
      <c r="N203" s="4" t="s">
        <v>182</v>
      </c>
      <c r="O203" s="4" t="s">
        <v>183</v>
      </c>
      <c r="P203">
        <v>7905.84</v>
      </c>
      <c r="Q203" s="4" t="s">
        <v>30</v>
      </c>
    </row>
    <row r="204" spans="1:17" x14ac:dyDescent="0.2">
      <c r="A204" s="4" t="s">
        <v>387</v>
      </c>
      <c r="B204">
        <v>203</v>
      </c>
      <c r="C204" s="4" t="s">
        <v>26</v>
      </c>
      <c r="D204" s="4" t="s">
        <v>35</v>
      </c>
      <c r="E204" s="4" t="s">
        <v>41</v>
      </c>
      <c r="F204" s="4" t="s">
        <v>87</v>
      </c>
      <c r="G204">
        <v>5</v>
      </c>
      <c r="H204">
        <v>25</v>
      </c>
      <c r="I204" s="4" t="s">
        <v>203</v>
      </c>
      <c r="J204" s="4" t="s">
        <v>204</v>
      </c>
      <c r="K204" s="4" t="s">
        <v>205</v>
      </c>
      <c r="L204" s="4" t="s">
        <v>206</v>
      </c>
      <c r="M204" s="4" t="s">
        <v>182</v>
      </c>
      <c r="N204" s="4" t="s">
        <v>182</v>
      </c>
      <c r="O204" s="4" t="s">
        <v>183</v>
      </c>
      <c r="P204">
        <v>300</v>
      </c>
      <c r="Q204" s="4" t="s">
        <v>30</v>
      </c>
    </row>
    <row r="205" spans="1:17" x14ac:dyDescent="0.2">
      <c r="A205" s="4" t="s">
        <v>388</v>
      </c>
      <c r="B205">
        <v>204</v>
      </c>
      <c r="C205" s="4" t="s">
        <v>26</v>
      </c>
      <c r="D205" s="4" t="s">
        <v>35</v>
      </c>
      <c r="E205" s="4" t="s">
        <v>41</v>
      </c>
      <c r="F205" s="4" t="s">
        <v>87</v>
      </c>
      <c r="G205">
        <v>5</v>
      </c>
      <c r="H205">
        <v>25</v>
      </c>
      <c r="I205" s="4" t="s">
        <v>201</v>
      </c>
      <c r="J205" s="4" t="s">
        <v>202</v>
      </c>
      <c r="K205" s="4" t="s">
        <v>179</v>
      </c>
      <c r="L205" s="4" t="s">
        <v>180</v>
      </c>
      <c r="M205" s="4" t="s">
        <v>192</v>
      </c>
      <c r="N205" s="4" t="s">
        <v>182</v>
      </c>
      <c r="O205" s="4" t="s">
        <v>189</v>
      </c>
      <c r="P205">
        <v>-7905.84</v>
      </c>
      <c r="Q205" s="4" t="s">
        <v>30</v>
      </c>
    </row>
    <row r="206" spans="1:17" x14ac:dyDescent="0.2">
      <c r="A206" s="4" t="s">
        <v>389</v>
      </c>
      <c r="B206">
        <v>205</v>
      </c>
      <c r="C206" s="4" t="s">
        <v>26</v>
      </c>
      <c r="D206" s="4" t="s">
        <v>35</v>
      </c>
      <c r="E206" s="4" t="s">
        <v>41</v>
      </c>
      <c r="F206" s="4" t="s">
        <v>87</v>
      </c>
      <c r="G206">
        <v>5</v>
      </c>
      <c r="H206">
        <v>25</v>
      </c>
      <c r="I206" s="4" t="s">
        <v>212</v>
      </c>
      <c r="J206" s="4" t="s">
        <v>213</v>
      </c>
      <c r="K206" s="4" t="s">
        <v>205</v>
      </c>
      <c r="L206" s="4" t="s">
        <v>214</v>
      </c>
      <c r="M206" s="4" t="s">
        <v>182</v>
      </c>
      <c r="N206" s="4" t="s">
        <v>182</v>
      </c>
      <c r="O206" s="4" t="s">
        <v>189</v>
      </c>
      <c r="P206">
        <v>-8900.5300000000007</v>
      </c>
      <c r="Q206" s="4" t="s">
        <v>30</v>
      </c>
    </row>
    <row r="207" spans="1:17" x14ac:dyDescent="0.2">
      <c r="A207" s="4" t="s">
        <v>390</v>
      </c>
      <c r="B207">
        <v>206</v>
      </c>
      <c r="C207" s="4" t="s">
        <v>26</v>
      </c>
      <c r="D207" s="4" t="s">
        <v>35</v>
      </c>
      <c r="E207" s="4" t="s">
        <v>44</v>
      </c>
      <c r="F207" s="4" t="s">
        <v>89</v>
      </c>
      <c r="G207">
        <v>6</v>
      </c>
      <c r="H207">
        <v>26</v>
      </c>
      <c r="I207" s="4" t="s">
        <v>190</v>
      </c>
      <c r="J207" s="4" t="s">
        <v>191</v>
      </c>
      <c r="K207" s="4" t="s">
        <v>179</v>
      </c>
      <c r="L207" s="4" t="s">
        <v>180</v>
      </c>
      <c r="M207" s="4" t="s">
        <v>192</v>
      </c>
      <c r="N207" s="4" t="s">
        <v>182</v>
      </c>
      <c r="O207" s="4" t="s">
        <v>189</v>
      </c>
      <c r="P207">
        <v>-300</v>
      </c>
      <c r="Q207" s="4" t="s">
        <v>30</v>
      </c>
    </row>
    <row r="208" spans="1:17" x14ac:dyDescent="0.2">
      <c r="A208" s="4" t="s">
        <v>391</v>
      </c>
      <c r="B208">
        <v>207</v>
      </c>
      <c r="C208" s="4" t="s">
        <v>26</v>
      </c>
      <c r="D208" s="4" t="s">
        <v>35</v>
      </c>
      <c r="E208" s="4" t="s">
        <v>44</v>
      </c>
      <c r="F208" s="4" t="s">
        <v>89</v>
      </c>
      <c r="G208">
        <v>6</v>
      </c>
      <c r="H208">
        <v>26</v>
      </c>
      <c r="I208" s="4" t="s">
        <v>190</v>
      </c>
      <c r="J208" s="4" t="s">
        <v>191</v>
      </c>
      <c r="K208" s="4" t="s">
        <v>179</v>
      </c>
      <c r="L208" s="4" t="s">
        <v>180</v>
      </c>
      <c r="M208" s="4" t="s">
        <v>192</v>
      </c>
      <c r="N208" s="4" t="s">
        <v>182</v>
      </c>
      <c r="O208" s="4" t="s">
        <v>183</v>
      </c>
      <c r="P208">
        <v>5611.39</v>
      </c>
      <c r="Q208" s="4" t="s">
        <v>30</v>
      </c>
    </row>
    <row r="209" spans="1:17" x14ac:dyDescent="0.2">
      <c r="A209" s="4" t="s">
        <v>392</v>
      </c>
      <c r="B209">
        <v>208</v>
      </c>
      <c r="C209" s="4" t="s">
        <v>26</v>
      </c>
      <c r="D209" s="4" t="s">
        <v>35</v>
      </c>
      <c r="E209" s="4" t="s">
        <v>44</v>
      </c>
      <c r="F209" s="4" t="s">
        <v>89</v>
      </c>
      <c r="G209">
        <v>6</v>
      </c>
      <c r="H209">
        <v>26</v>
      </c>
      <c r="I209" s="4" t="s">
        <v>207</v>
      </c>
      <c r="J209" s="4" t="s">
        <v>208</v>
      </c>
      <c r="K209" s="4" t="s">
        <v>179</v>
      </c>
      <c r="L209" s="4" t="s">
        <v>180</v>
      </c>
      <c r="M209" s="4" t="s">
        <v>192</v>
      </c>
      <c r="N209" s="4" t="s">
        <v>182</v>
      </c>
      <c r="O209" s="4" t="s">
        <v>189</v>
      </c>
      <c r="P209">
        <v>-5611.39</v>
      </c>
      <c r="Q209" s="4" t="s">
        <v>30</v>
      </c>
    </row>
    <row r="210" spans="1:17" x14ac:dyDescent="0.2">
      <c r="A210" s="4" t="s">
        <v>393</v>
      </c>
      <c r="B210">
        <v>209</v>
      </c>
      <c r="C210" s="4" t="s">
        <v>26</v>
      </c>
      <c r="D210" s="4" t="s">
        <v>35</v>
      </c>
      <c r="E210" s="4" t="s">
        <v>44</v>
      </c>
      <c r="F210" s="4" t="s">
        <v>89</v>
      </c>
      <c r="G210">
        <v>6</v>
      </c>
      <c r="H210">
        <v>26</v>
      </c>
      <c r="I210" s="4" t="s">
        <v>207</v>
      </c>
      <c r="J210" s="4" t="s">
        <v>208</v>
      </c>
      <c r="K210" s="4" t="s">
        <v>179</v>
      </c>
      <c r="L210" s="4" t="s">
        <v>180</v>
      </c>
      <c r="M210" s="4" t="s">
        <v>192</v>
      </c>
      <c r="N210" s="4" t="s">
        <v>182</v>
      </c>
      <c r="O210" s="4" t="s">
        <v>183</v>
      </c>
      <c r="P210">
        <v>6850.47</v>
      </c>
      <c r="Q210" s="4" t="s">
        <v>30</v>
      </c>
    </row>
    <row r="211" spans="1:17" x14ac:dyDescent="0.2">
      <c r="A211" s="4" t="s">
        <v>394</v>
      </c>
      <c r="B211">
        <v>210</v>
      </c>
      <c r="C211" s="4" t="s">
        <v>26</v>
      </c>
      <c r="D211" s="4" t="s">
        <v>35</v>
      </c>
      <c r="E211" s="4" t="s">
        <v>44</v>
      </c>
      <c r="F211" s="4" t="s">
        <v>89</v>
      </c>
      <c r="G211">
        <v>6</v>
      </c>
      <c r="H211">
        <v>26</v>
      </c>
      <c r="I211" s="4" t="s">
        <v>209</v>
      </c>
      <c r="J211" s="4" t="s">
        <v>210</v>
      </c>
      <c r="K211" s="4" t="s">
        <v>205</v>
      </c>
      <c r="L211" s="4" t="s">
        <v>211</v>
      </c>
      <c r="M211" s="4" t="s">
        <v>182</v>
      </c>
      <c r="N211" s="4" t="s">
        <v>182</v>
      </c>
      <c r="O211" s="4" t="s">
        <v>183</v>
      </c>
      <c r="P211">
        <v>5663.71</v>
      </c>
      <c r="Q211" s="4" t="s">
        <v>30</v>
      </c>
    </row>
    <row r="212" spans="1:17" x14ac:dyDescent="0.2">
      <c r="A212" s="4" t="s">
        <v>395</v>
      </c>
      <c r="B212">
        <v>211</v>
      </c>
      <c r="C212" s="4" t="s">
        <v>26</v>
      </c>
      <c r="D212" s="4" t="s">
        <v>35</v>
      </c>
      <c r="E212" s="4" t="s">
        <v>44</v>
      </c>
      <c r="F212" s="4" t="s">
        <v>89</v>
      </c>
      <c r="G212">
        <v>6</v>
      </c>
      <c r="H212">
        <v>26</v>
      </c>
      <c r="I212" s="4" t="s">
        <v>203</v>
      </c>
      <c r="J212" s="4" t="s">
        <v>204</v>
      </c>
      <c r="K212" s="4" t="s">
        <v>205</v>
      </c>
      <c r="L212" s="4" t="s">
        <v>206</v>
      </c>
      <c r="M212" s="4" t="s">
        <v>182</v>
      </c>
      <c r="N212" s="4" t="s">
        <v>182</v>
      </c>
      <c r="O212" s="4" t="s">
        <v>183</v>
      </c>
      <c r="P212">
        <v>300</v>
      </c>
      <c r="Q212" s="4" t="s">
        <v>30</v>
      </c>
    </row>
    <row r="213" spans="1:17" x14ac:dyDescent="0.2">
      <c r="A213" s="4" t="s">
        <v>396</v>
      </c>
      <c r="B213">
        <v>212</v>
      </c>
      <c r="C213" s="4" t="s">
        <v>26</v>
      </c>
      <c r="D213" s="4" t="s">
        <v>35</v>
      </c>
      <c r="E213" s="4" t="s">
        <v>44</v>
      </c>
      <c r="F213" s="4" t="s">
        <v>89</v>
      </c>
      <c r="G213">
        <v>6</v>
      </c>
      <c r="H213">
        <v>26</v>
      </c>
      <c r="I213" s="4" t="s">
        <v>201</v>
      </c>
      <c r="J213" s="4" t="s">
        <v>202</v>
      </c>
      <c r="K213" s="4" t="s">
        <v>179</v>
      </c>
      <c r="L213" s="4" t="s">
        <v>180</v>
      </c>
      <c r="M213" s="4" t="s">
        <v>192</v>
      </c>
      <c r="N213" s="4" t="s">
        <v>182</v>
      </c>
      <c r="O213" s="4" t="s">
        <v>189</v>
      </c>
      <c r="P213">
        <v>-5663.71</v>
      </c>
      <c r="Q213" s="4" t="s">
        <v>30</v>
      </c>
    </row>
    <row r="214" spans="1:17" x14ac:dyDescent="0.2">
      <c r="A214" s="4" t="s">
        <v>397</v>
      </c>
      <c r="B214">
        <v>213</v>
      </c>
      <c r="C214" s="4" t="s">
        <v>26</v>
      </c>
      <c r="D214" s="4" t="s">
        <v>35</v>
      </c>
      <c r="E214" s="4" t="s">
        <v>44</v>
      </c>
      <c r="F214" s="4" t="s">
        <v>89</v>
      </c>
      <c r="G214">
        <v>6</v>
      </c>
      <c r="H214">
        <v>26</v>
      </c>
      <c r="I214" s="4" t="s">
        <v>212</v>
      </c>
      <c r="J214" s="4" t="s">
        <v>213</v>
      </c>
      <c r="K214" s="4" t="s">
        <v>205</v>
      </c>
      <c r="L214" s="4" t="s">
        <v>214</v>
      </c>
      <c r="M214" s="4" t="s">
        <v>182</v>
      </c>
      <c r="N214" s="4" t="s">
        <v>182</v>
      </c>
      <c r="O214" s="4" t="s">
        <v>189</v>
      </c>
      <c r="P214">
        <v>-6850.47</v>
      </c>
      <c r="Q214" s="4" t="s">
        <v>30</v>
      </c>
    </row>
    <row r="215" spans="1:17" x14ac:dyDescent="0.2">
      <c r="A215" s="4" t="s">
        <v>398</v>
      </c>
      <c r="B215">
        <v>214</v>
      </c>
      <c r="C215" s="4" t="s">
        <v>26</v>
      </c>
      <c r="D215" s="4" t="s">
        <v>35</v>
      </c>
      <c r="E215" s="4" t="s">
        <v>47</v>
      </c>
      <c r="F215" s="4" t="s">
        <v>91</v>
      </c>
      <c r="G215">
        <v>6</v>
      </c>
      <c r="H215">
        <v>27</v>
      </c>
      <c r="I215" s="4" t="s">
        <v>190</v>
      </c>
      <c r="J215" s="4" t="s">
        <v>191</v>
      </c>
      <c r="K215" s="4" t="s">
        <v>179</v>
      </c>
      <c r="L215" s="4" t="s">
        <v>180</v>
      </c>
      <c r="M215" s="4" t="s">
        <v>192</v>
      </c>
      <c r="N215" s="4" t="s">
        <v>182</v>
      </c>
      <c r="O215" s="4" t="s">
        <v>189</v>
      </c>
      <c r="P215">
        <v>-61312.63</v>
      </c>
      <c r="Q215" s="4" t="s">
        <v>30</v>
      </c>
    </row>
    <row r="216" spans="1:17" x14ac:dyDescent="0.2">
      <c r="A216" s="4" t="s">
        <v>399</v>
      </c>
      <c r="B216">
        <v>215</v>
      </c>
      <c r="C216" s="4" t="s">
        <v>26</v>
      </c>
      <c r="D216" s="4" t="s">
        <v>35</v>
      </c>
      <c r="E216" s="4" t="s">
        <v>47</v>
      </c>
      <c r="F216" s="4" t="s">
        <v>91</v>
      </c>
      <c r="G216">
        <v>6</v>
      </c>
      <c r="H216">
        <v>27</v>
      </c>
      <c r="I216" s="4" t="s">
        <v>190</v>
      </c>
      <c r="J216" s="4" t="s">
        <v>191</v>
      </c>
      <c r="K216" s="4" t="s">
        <v>179</v>
      </c>
      <c r="L216" s="4" t="s">
        <v>180</v>
      </c>
      <c r="M216" s="4" t="s">
        <v>192</v>
      </c>
      <c r="N216" s="4" t="s">
        <v>182</v>
      </c>
      <c r="O216" s="4" t="s">
        <v>183</v>
      </c>
      <c r="P216">
        <v>11242.24</v>
      </c>
      <c r="Q216" s="4" t="s">
        <v>30</v>
      </c>
    </row>
    <row r="217" spans="1:17" x14ac:dyDescent="0.2">
      <c r="A217" s="4" t="s">
        <v>400</v>
      </c>
      <c r="B217">
        <v>216</v>
      </c>
      <c r="C217" s="4" t="s">
        <v>26</v>
      </c>
      <c r="D217" s="4" t="s">
        <v>35</v>
      </c>
      <c r="E217" s="4" t="s">
        <v>47</v>
      </c>
      <c r="F217" s="4" t="s">
        <v>91</v>
      </c>
      <c r="G217">
        <v>6</v>
      </c>
      <c r="H217">
        <v>27</v>
      </c>
      <c r="I217" s="4" t="s">
        <v>207</v>
      </c>
      <c r="J217" s="4" t="s">
        <v>208</v>
      </c>
      <c r="K217" s="4" t="s">
        <v>179</v>
      </c>
      <c r="L217" s="4" t="s">
        <v>180</v>
      </c>
      <c r="M217" s="4" t="s">
        <v>192</v>
      </c>
      <c r="N217" s="4" t="s">
        <v>182</v>
      </c>
      <c r="O217" s="4" t="s">
        <v>189</v>
      </c>
      <c r="P217">
        <v>-11242.24</v>
      </c>
      <c r="Q217" s="4" t="s">
        <v>30</v>
      </c>
    </row>
    <row r="218" spans="1:17" x14ac:dyDescent="0.2">
      <c r="A218" s="4" t="s">
        <v>401</v>
      </c>
      <c r="B218">
        <v>217</v>
      </c>
      <c r="C218" s="4" t="s">
        <v>26</v>
      </c>
      <c r="D218" s="4" t="s">
        <v>35</v>
      </c>
      <c r="E218" s="4" t="s">
        <v>47</v>
      </c>
      <c r="F218" s="4" t="s">
        <v>91</v>
      </c>
      <c r="G218">
        <v>6</v>
      </c>
      <c r="H218">
        <v>27</v>
      </c>
      <c r="I218" s="4" t="s">
        <v>207</v>
      </c>
      <c r="J218" s="4" t="s">
        <v>208</v>
      </c>
      <c r="K218" s="4" t="s">
        <v>179</v>
      </c>
      <c r="L218" s="4" t="s">
        <v>180</v>
      </c>
      <c r="M218" s="4" t="s">
        <v>192</v>
      </c>
      <c r="N218" s="4" t="s">
        <v>182</v>
      </c>
      <c r="O218" s="4" t="s">
        <v>183</v>
      </c>
      <c r="P218">
        <v>15005.15</v>
      </c>
      <c r="Q218" s="4" t="s">
        <v>30</v>
      </c>
    </row>
    <row r="219" spans="1:17" x14ac:dyDescent="0.2">
      <c r="A219" s="4" t="s">
        <v>402</v>
      </c>
      <c r="B219">
        <v>218</v>
      </c>
      <c r="C219" s="4" t="s">
        <v>26</v>
      </c>
      <c r="D219" s="4" t="s">
        <v>35</v>
      </c>
      <c r="E219" s="4" t="s">
        <v>47</v>
      </c>
      <c r="F219" s="4" t="s">
        <v>91</v>
      </c>
      <c r="G219">
        <v>6</v>
      </c>
      <c r="H219">
        <v>27</v>
      </c>
      <c r="I219" s="4" t="s">
        <v>193</v>
      </c>
      <c r="J219" s="4" t="s">
        <v>194</v>
      </c>
      <c r="K219" s="4" t="s">
        <v>179</v>
      </c>
      <c r="L219" s="4" t="s">
        <v>186</v>
      </c>
      <c r="M219" s="4" t="s">
        <v>195</v>
      </c>
      <c r="N219" s="4" t="s">
        <v>196</v>
      </c>
      <c r="O219" s="4" t="s">
        <v>189</v>
      </c>
      <c r="P219">
        <v>-42081.35</v>
      </c>
      <c r="Q219" s="4" t="s">
        <v>30</v>
      </c>
    </row>
    <row r="220" spans="1:17" x14ac:dyDescent="0.2">
      <c r="A220" s="4" t="s">
        <v>403</v>
      </c>
      <c r="B220">
        <v>219</v>
      </c>
      <c r="C220" s="4" t="s">
        <v>26</v>
      </c>
      <c r="D220" s="4" t="s">
        <v>35</v>
      </c>
      <c r="E220" s="4" t="s">
        <v>47</v>
      </c>
      <c r="F220" s="4" t="s">
        <v>91</v>
      </c>
      <c r="G220">
        <v>6</v>
      </c>
      <c r="H220">
        <v>27</v>
      </c>
      <c r="I220" s="4" t="s">
        <v>193</v>
      </c>
      <c r="J220" s="4" t="s">
        <v>194</v>
      </c>
      <c r="K220" s="4" t="s">
        <v>179</v>
      </c>
      <c r="L220" s="4" t="s">
        <v>186</v>
      </c>
      <c r="M220" s="4" t="s">
        <v>195</v>
      </c>
      <c r="N220" s="4" t="s">
        <v>196</v>
      </c>
      <c r="O220" s="4" t="s">
        <v>183</v>
      </c>
      <c r="P220">
        <v>61112.63</v>
      </c>
      <c r="Q220" s="4" t="s">
        <v>30</v>
      </c>
    </row>
    <row r="221" spans="1:17" x14ac:dyDescent="0.2">
      <c r="A221" s="4" t="s">
        <v>404</v>
      </c>
      <c r="B221">
        <v>220</v>
      </c>
      <c r="C221" s="4" t="s">
        <v>26</v>
      </c>
      <c r="D221" s="4" t="s">
        <v>35</v>
      </c>
      <c r="E221" s="4" t="s">
        <v>47</v>
      </c>
      <c r="F221" s="4" t="s">
        <v>91</v>
      </c>
      <c r="G221">
        <v>6</v>
      </c>
      <c r="H221">
        <v>27</v>
      </c>
      <c r="I221" s="4" t="s">
        <v>197</v>
      </c>
      <c r="J221" s="4" t="s">
        <v>198</v>
      </c>
      <c r="K221" s="4" t="s">
        <v>179</v>
      </c>
      <c r="L221" s="4" t="s">
        <v>186</v>
      </c>
      <c r="M221" s="4" t="s">
        <v>195</v>
      </c>
      <c r="N221" s="4" t="s">
        <v>196</v>
      </c>
      <c r="O221" s="4" t="s">
        <v>189</v>
      </c>
      <c r="P221">
        <v>-41081.35</v>
      </c>
      <c r="Q221" s="4" t="s">
        <v>30</v>
      </c>
    </row>
    <row r="222" spans="1:17" x14ac:dyDescent="0.2">
      <c r="A222" s="4" t="s">
        <v>405</v>
      </c>
      <c r="B222">
        <v>221</v>
      </c>
      <c r="C222" s="4" t="s">
        <v>26</v>
      </c>
      <c r="D222" s="4" t="s">
        <v>35</v>
      </c>
      <c r="E222" s="4" t="s">
        <v>47</v>
      </c>
      <c r="F222" s="4" t="s">
        <v>91</v>
      </c>
      <c r="G222">
        <v>6</v>
      </c>
      <c r="H222">
        <v>27</v>
      </c>
      <c r="I222" s="4" t="s">
        <v>197</v>
      </c>
      <c r="J222" s="4" t="s">
        <v>198</v>
      </c>
      <c r="K222" s="4" t="s">
        <v>179</v>
      </c>
      <c r="L222" s="4" t="s">
        <v>186</v>
      </c>
      <c r="M222" s="4" t="s">
        <v>195</v>
      </c>
      <c r="N222" s="4" t="s">
        <v>196</v>
      </c>
      <c r="O222" s="4" t="s">
        <v>183</v>
      </c>
      <c r="P222">
        <v>41081.35</v>
      </c>
      <c r="Q222" s="4" t="s">
        <v>30</v>
      </c>
    </row>
    <row r="223" spans="1:17" x14ac:dyDescent="0.2">
      <c r="A223" s="4" t="s">
        <v>406</v>
      </c>
      <c r="B223">
        <v>222</v>
      </c>
      <c r="C223" s="4" t="s">
        <v>26</v>
      </c>
      <c r="D223" s="4" t="s">
        <v>35</v>
      </c>
      <c r="E223" s="4" t="s">
        <v>47</v>
      </c>
      <c r="F223" s="4" t="s">
        <v>91</v>
      </c>
      <c r="G223">
        <v>6</v>
      </c>
      <c r="H223">
        <v>27</v>
      </c>
      <c r="I223" s="4" t="s">
        <v>199</v>
      </c>
      <c r="J223" s="4" t="s">
        <v>200</v>
      </c>
      <c r="K223" s="4" t="s">
        <v>179</v>
      </c>
      <c r="L223" s="4" t="s">
        <v>186</v>
      </c>
      <c r="M223" s="4" t="s">
        <v>195</v>
      </c>
      <c r="N223" s="4" t="s">
        <v>196</v>
      </c>
      <c r="O223" s="4" t="s">
        <v>189</v>
      </c>
      <c r="P223">
        <v>-1000</v>
      </c>
      <c r="Q223" s="4" t="s">
        <v>30</v>
      </c>
    </row>
    <row r="224" spans="1:17" x14ac:dyDescent="0.2">
      <c r="A224" s="4" t="s">
        <v>407</v>
      </c>
      <c r="B224">
        <v>223</v>
      </c>
      <c r="C224" s="4" t="s">
        <v>26</v>
      </c>
      <c r="D224" s="4" t="s">
        <v>35</v>
      </c>
      <c r="E224" s="4" t="s">
        <v>47</v>
      </c>
      <c r="F224" s="4" t="s">
        <v>91</v>
      </c>
      <c r="G224">
        <v>6</v>
      </c>
      <c r="H224">
        <v>27</v>
      </c>
      <c r="I224" s="4" t="s">
        <v>199</v>
      </c>
      <c r="J224" s="4" t="s">
        <v>200</v>
      </c>
      <c r="K224" s="4" t="s">
        <v>179</v>
      </c>
      <c r="L224" s="4" t="s">
        <v>186</v>
      </c>
      <c r="M224" s="4" t="s">
        <v>195</v>
      </c>
      <c r="N224" s="4" t="s">
        <v>196</v>
      </c>
      <c r="O224" s="4" t="s">
        <v>183</v>
      </c>
      <c r="P224">
        <v>1000</v>
      </c>
      <c r="Q224" s="4" t="s">
        <v>30</v>
      </c>
    </row>
    <row r="225" spans="1:17" x14ac:dyDescent="0.2">
      <c r="A225" s="4" t="s">
        <v>408</v>
      </c>
      <c r="B225">
        <v>224</v>
      </c>
      <c r="C225" s="4" t="s">
        <v>26</v>
      </c>
      <c r="D225" s="4" t="s">
        <v>35</v>
      </c>
      <c r="E225" s="4" t="s">
        <v>47</v>
      </c>
      <c r="F225" s="4" t="s">
        <v>91</v>
      </c>
      <c r="G225">
        <v>6</v>
      </c>
      <c r="H225">
        <v>27</v>
      </c>
      <c r="I225" s="4" t="s">
        <v>209</v>
      </c>
      <c r="J225" s="4" t="s">
        <v>210</v>
      </c>
      <c r="K225" s="4" t="s">
        <v>205</v>
      </c>
      <c r="L225" s="4" t="s">
        <v>211</v>
      </c>
      <c r="M225" s="4" t="s">
        <v>182</v>
      </c>
      <c r="N225" s="4" t="s">
        <v>182</v>
      </c>
      <c r="O225" s="4" t="s">
        <v>183</v>
      </c>
      <c r="P225">
        <v>12574.69</v>
      </c>
      <c r="Q225" s="4" t="s">
        <v>30</v>
      </c>
    </row>
    <row r="226" spans="1:17" x14ac:dyDescent="0.2">
      <c r="A226" s="4" t="s">
        <v>409</v>
      </c>
      <c r="B226">
        <v>225</v>
      </c>
      <c r="C226" s="4" t="s">
        <v>26</v>
      </c>
      <c r="D226" s="4" t="s">
        <v>35</v>
      </c>
      <c r="E226" s="4" t="s">
        <v>47</v>
      </c>
      <c r="F226" s="4" t="s">
        <v>91</v>
      </c>
      <c r="G226">
        <v>6</v>
      </c>
      <c r="H226">
        <v>27</v>
      </c>
      <c r="I226" s="4" t="s">
        <v>203</v>
      </c>
      <c r="J226" s="4" t="s">
        <v>204</v>
      </c>
      <c r="K226" s="4" t="s">
        <v>205</v>
      </c>
      <c r="L226" s="4" t="s">
        <v>206</v>
      </c>
      <c r="M226" s="4" t="s">
        <v>182</v>
      </c>
      <c r="N226" s="4" t="s">
        <v>182</v>
      </c>
      <c r="O226" s="4" t="s">
        <v>183</v>
      </c>
      <c r="P226">
        <v>200</v>
      </c>
      <c r="Q226" s="4" t="s">
        <v>30</v>
      </c>
    </row>
    <row r="227" spans="1:17" x14ac:dyDescent="0.2">
      <c r="A227" s="4" t="s">
        <v>410</v>
      </c>
      <c r="B227">
        <v>226</v>
      </c>
      <c r="C227" s="4" t="s">
        <v>26</v>
      </c>
      <c r="D227" s="4" t="s">
        <v>35</v>
      </c>
      <c r="E227" s="4" t="s">
        <v>47</v>
      </c>
      <c r="F227" s="4" t="s">
        <v>91</v>
      </c>
      <c r="G227">
        <v>6</v>
      </c>
      <c r="H227">
        <v>27</v>
      </c>
      <c r="I227" s="4" t="s">
        <v>201</v>
      </c>
      <c r="J227" s="4" t="s">
        <v>202</v>
      </c>
      <c r="K227" s="4" t="s">
        <v>179</v>
      </c>
      <c r="L227" s="4" t="s">
        <v>180</v>
      </c>
      <c r="M227" s="4" t="s">
        <v>192</v>
      </c>
      <c r="N227" s="4" t="s">
        <v>182</v>
      </c>
      <c r="O227" s="4" t="s">
        <v>189</v>
      </c>
      <c r="P227">
        <v>-12574.69</v>
      </c>
      <c r="Q227" s="4" t="s">
        <v>30</v>
      </c>
    </row>
    <row r="228" spans="1:17" x14ac:dyDescent="0.2">
      <c r="A228" s="4" t="s">
        <v>411</v>
      </c>
      <c r="B228">
        <v>227</v>
      </c>
      <c r="C228" s="4" t="s">
        <v>26</v>
      </c>
      <c r="D228" s="4" t="s">
        <v>35</v>
      </c>
      <c r="E228" s="4" t="s">
        <v>47</v>
      </c>
      <c r="F228" s="4" t="s">
        <v>91</v>
      </c>
      <c r="G228">
        <v>6</v>
      </c>
      <c r="H228">
        <v>27</v>
      </c>
      <c r="I228" s="4" t="s">
        <v>201</v>
      </c>
      <c r="J228" s="4" t="s">
        <v>202</v>
      </c>
      <c r="K228" s="4" t="s">
        <v>179</v>
      </c>
      <c r="L228" s="4" t="s">
        <v>180</v>
      </c>
      <c r="M228" s="4" t="s">
        <v>192</v>
      </c>
      <c r="N228" s="4" t="s">
        <v>182</v>
      </c>
      <c r="O228" s="4" t="s">
        <v>183</v>
      </c>
      <c r="P228">
        <v>42081.35</v>
      </c>
      <c r="Q228" s="4" t="s">
        <v>30</v>
      </c>
    </row>
    <row r="229" spans="1:17" x14ac:dyDescent="0.2">
      <c r="A229" s="4" t="s">
        <v>412</v>
      </c>
      <c r="B229">
        <v>228</v>
      </c>
      <c r="C229" s="4" t="s">
        <v>26</v>
      </c>
      <c r="D229" s="4" t="s">
        <v>35</v>
      </c>
      <c r="E229" s="4" t="s">
        <v>47</v>
      </c>
      <c r="F229" s="4" t="s">
        <v>91</v>
      </c>
      <c r="G229">
        <v>6</v>
      </c>
      <c r="H229">
        <v>27</v>
      </c>
      <c r="I229" s="4" t="s">
        <v>212</v>
      </c>
      <c r="J229" s="4" t="s">
        <v>213</v>
      </c>
      <c r="K229" s="4" t="s">
        <v>205</v>
      </c>
      <c r="L229" s="4" t="s">
        <v>214</v>
      </c>
      <c r="M229" s="4" t="s">
        <v>182</v>
      </c>
      <c r="N229" s="4" t="s">
        <v>182</v>
      </c>
      <c r="O229" s="4" t="s">
        <v>189</v>
      </c>
      <c r="P229">
        <v>-15005.15</v>
      </c>
      <c r="Q229" s="4" t="s">
        <v>30</v>
      </c>
    </row>
    <row r="230" spans="1:17" x14ac:dyDescent="0.2">
      <c r="A230" s="4" t="s">
        <v>413</v>
      </c>
      <c r="B230">
        <v>229</v>
      </c>
      <c r="C230" s="4" t="s">
        <v>26</v>
      </c>
      <c r="D230" s="4" t="s">
        <v>35</v>
      </c>
      <c r="E230" s="4" t="s">
        <v>50</v>
      </c>
      <c r="F230" s="4" t="s">
        <v>93</v>
      </c>
      <c r="G230">
        <v>6</v>
      </c>
      <c r="H230">
        <v>28</v>
      </c>
      <c r="I230" s="4" t="s">
        <v>190</v>
      </c>
      <c r="J230" s="4" t="s">
        <v>191</v>
      </c>
      <c r="K230" s="4" t="s">
        <v>179</v>
      </c>
      <c r="L230" s="4" t="s">
        <v>180</v>
      </c>
      <c r="M230" s="4" t="s">
        <v>192</v>
      </c>
      <c r="N230" s="4" t="s">
        <v>182</v>
      </c>
      <c r="O230" s="4" t="s">
        <v>189</v>
      </c>
      <c r="P230">
        <v>-200</v>
      </c>
      <c r="Q230" s="4" t="s">
        <v>30</v>
      </c>
    </row>
    <row r="231" spans="1:17" x14ac:dyDescent="0.2">
      <c r="A231" s="4" t="s">
        <v>414</v>
      </c>
      <c r="B231">
        <v>230</v>
      </c>
      <c r="C231" s="4" t="s">
        <v>26</v>
      </c>
      <c r="D231" s="4" t="s">
        <v>35</v>
      </c>
      <c r="E231" s="4" t="s">
        <v>50</v>
      </c>
      <c r="F231" s="4" t="s">
        <v>93</v>
      </c>
      <c r="G231">
        <v>6</v>
      </c>
      <c r="H231">
        <v>28</v>
      </c>
      <c r="I231" s="4" t="s">
        <v>190</v>
      </c>
      <c r="J231" s="4" t="s">
        <v>191</v>
      </c>
      <c r="K231" s="4" t="s">
        <v>179</v>
      </c>
      <c r="L231" s="4" t="s">
        <v>180</v>
      </c>
      <c r="M231" s="4" t="s">
        <v>192</v>
      </c>
      <c r="N231" s="4" t="s">
        <v>182</v>
      </c>
      <c r="O231" s="4" t="s">
        <v>183</v>
      </c>
      <c r="P231">
        <v>18572.330000000002</v>
      </c>
      <c r="Q231" s="4" t="s">
        <v>30</v>
      </c>
    </row>
    <row r="232" spans="1:17" x14ac:dyDescent="0.2">
      <c r="A232" s="4" t="s">
        <v>415</v>
      </c>
      <c r="B232">
        <v>231</v>
      </c>
      <c r="C232" s="4" t="s">
        <v>26</v>
      </c>
      <c r="D232" s="4" t="s">
        <v>35</v>
      </c>
      <c r="E232" s="4" t="s">
        <v>50</v>
      </c>
      <c r="F232" s="4" t="s">
        <v>93</v>
      </c>
      <c r="G232">
        <v>6</v>
      </c>
      <c r="H232">
        <v>28</v>
      </c>
      <c r="I232" s="4" t="s">
        <v>207</v>
      </c>
      <c r="J232" s="4" t="s">
        <v>208</v>
      </c>
      <c r="K232" s="4" t="s">
        <v>179</v>
      </c>
      <c r="L232" s="4" t="s">
        <v>180</v>
      </c>
      <c r="M232" s="4" t="s">
        <v>192</v>
      </c>
      <c r="N232" s="4" t="s">
        <v>182</v>
      </c>
      <c r="O232" s="4" t="s">
        <v>189</v>
      </c>
      <c r="P232">
        <v>-18572.330000000002</v>
      </c>
      <c r="Q232" s="4" t="s">
        <v>30</v>
      </c>
    </row>
    <row r="233" spans="1:17" x14ac:dyDescent="0.2">
      <c r="A233" s="4" t="s">
        <v>416</v>
      </c>
      <c r="B233">
        <v>232</v>
      </c>
      <c r="C233" s="4" t="s">
        <v>26</v>
      </c>
      <c r="D233" s="4" t="s">
        <v>35</v>
      </c>
      <c r="E233" s="4" t="s">
        <v>50</v>
      </c>
      <c r="F233" s="4" t="s">
        <v>93</v>
      </c>
      <c r="G233">
        <v>6</v>
      </c>
      <c r="H233">
        <v>28</v>
      </c>
      <c r="I233" s="4" t="s">
        <v>207</v>
      </c>
      <c r="J233" s="4" t="s">
        <v>208</v>
      </c>
      <c r="K233" s="4" t="s">
        <v>179</v>
      </c>
      <c r="L233" s="4" t="s">
        <v>180</v>
      </c>
      <c r="M233" s="4" t="s">
        <v>192</v>
      </c>
      <c r="N233" s="4" t="s">
        <v>182</v>
      </c>
      <c r="O233" s="4" t="s">
        <v>183</v>
      </c>
      <c r="P233">
        <v>12977.84</v>
      </c>
      <c r="Q233" s="4" t="s">
        <v>30</v>
      </c>
    </row>
    <row r="234" spans="1:17" x14ac:dyDescent="0.2">
      <c r="A234" s="4" t="s">
        <v>417</v>
      </c>
      <c r="B234">
        <v>233</v>
      </c>
      <c r="C234" s="4" t="s">
        <v>26</v>
      </c>
      <c r="D234" s="4" t="s">
        <v>35</v>
      </c>
      <c r="E234" s="4" t="s">
        <v>50</v>
      </c>
      <c r="F234" s="4" t="s">
        <v>93</v>
      </c>
      <c r="G234">
        <v>6</v>
      </c>
      <c r="H234">
        <v>28</v>
      </c>
      <c r="I234" s="4" t="s">
        <v>209</v>
      </c>
      <c r="J234" s="4" t="s">
        <v>210</v>
      </c>
      <c r="K234" s="4" t="s">
        <v>205</v>
      </c>
      <c r="L234" s="4" t="s">
        <v>211</v>
      </c>
      <c r="M234" s="4" t="s">
        <v>182</v>
      </c>
      <c r="N234" s="4" t="s">
        <v>182</v>
      </c>
      <c r="O234" s="4" t="s">
        <v>183</v>
      </c>
      <c r="P234">
        <v>10899.2</v>
      </c>
      <c r="Q234" s="4" t="s">
        <v>30</v>
      </c>
    </row>
    <row r="235" spans="1:17" x14ac:dyDescent="0.2">
      <c r="A235" s="4" t="s">
        <v>418</v>
      </c>
      <c r="B235">
        <v>234</v>
      </c>
      <c r="C235" s="4" t="s">
        <v>26</v>
      </c>
      <c r="D235" s="4" t="s">
        <v>35</v>
      </c>
      <c r="E235" s="4" t="s">
        <v>50</v>
      </c>
      <c r="F235" s="4" t="s">
        <v>93</v>
      </c>
      <c r="G235">
        <v>6</v>
      </c>
      <c r="H235">
        <v>28</v>
      </c>
      <c r="I235" s="4" t="s">
        <v>203</v>
      </c>
      <c r="J235" s="4" t="s">
        <v>204</v>
      </c>
      <c r="K235" s="4" t="s">
        <v>205</v>
      </c>
      <c r="L235" s="4" t="s">
        <v>206</v>
      </c>
      <c r="M235" s="4" t="s">
        <v>182</v>
      </c>
      <c r="N235" s="4" t="s">
        <v>182</v>
      </c>
      <c r="O235" s="4" t="s">
        <v>183</v>
      </c>
      <c r="P235">
        <v>200</v>
      </c>
      <c r="Q235" s="4" t="s">
        <v>30</v>
      </c>
    </row>
    <row r="236" spans="1:17" x14ac:dyDescent="0.2">
      <c r="A236" s="4" t="s">
        <v>419</v>
      </c>
      <c r="B236">
        <v>235</v>
      </c>
      <c r="C236" s="4" t="s">
        <v>26</v>
      </c>
      <c r="D236" s="4" t="s">
        <v>35</v>
      </c>
      <c r="E236" s="4" t="s">
        <v>50</v>
      </c>
      <c r="F236" s="4" t="s">
        <v>93</v>
      </c>
      <c r="G236">
        <v>6</v>
      </c>
      <c r="H236">
        <v>28</v>
      </c>
      <c r="I236" s="4" t="s">
        <v>201</v>
      </c>
      <c r="J236" s="4" t="s">
        <v>202</v>
      </c>
      <c r="K236" s="4" t="s">
        <v>179</v>
      </c>
      <c r="L236" s="4" t="s">
        <v>180</v>
      </c>
      <c r="M236" s="4" t="s">
        <v>192</v>
      </c>
      <c r="N236" s="4" t="s">
        <v>182</v>
      </c>
      <c r="O236" s="4" t="s">
        <v>189</v>
      </c>
      <c r="P236">
        <v>-10899.2</v>
      </c>
      <c r="Q236" s="4" t="s">
        <v>30</v>
      </c>
    </row>
    <row r="237" spans="1:17" x14ac:dyDescent="0.2">
      <c r="A237" s="4" t="s">
        <v>420</v>
      </c>
      <c r="B237">
        <v>236</v>
      </c>
      <c r="C237" s="4" t="s">
        <v>26</v>
      </c>
      <c r="D237" s="4" t="s">
        <v>35</v>
      </c>
      <c r="E237" s="4" t="s">
        <v>50</v>
      </c>
      <c r="F237" s="4" t="s">
        <v>93</v>
      </c>
      <c r="G237">
        <v>6</v>
      </c>
      <c r="H237">
        <v>28</v>
      </c>
      <c r="I237" s="4" t="s">
        <v>212</v>
      </c>
      <c r="J237" s="4" t="s">
        <v>213</v>
      </c>
      <c r="K237" s="4" t="s">
        <v>205</v>
      </c>
      <c r="L237" s="4" t="s">
        <v>214</v>
      </c>
      <c r="M237" s="4" t="s">
        <v>182</v>
      </c>
      <c r="N237" s="4" t="s">
        <v>182</v>
      </c>
      <c r="O237" s="4" t="s">
        <v>189</v>
      </c>
      <c r="P237">
        <v>-12977.84</v>
      </c>
      <c r="Q237" s="4" t="s">
        <v>30</v>
      </c>
    </row>
    <row r="238" spans="1:17" x14ac:dyDescent="0.2">
      <c r="A238" s="4" t="s">
        <v>421</v>
      </c>
      <c r="B238">
        <v>237</v>
      </c>
      <c r="C238" s="4" t="s">
        <v>26</v>
      </c>
      <c r="D238" s="4" t="s">
        <v>35</v>
      </c>
      <c r="E238" s="4" t="s">
        <v>53</v>
      </c>
      <c r="F238" s="4" t="s">
        <v>95</v>
      </c>
      <c r="G238">
        <v>6</v>
      </c>
      <c r="H238">
        <v>29</v>
      </c>
      <c r="I238" s="4" t="s">
        <v>190</v>
      </c>
      <c r="J238" s="4" t="s">
        <v>191</v>
      </c>
      <c r="K238" s="4" t="s">
        <v>179</v>
      </c>
      <c r="L238" s="4" t="s">
        <v>180</v>
      </c>
      <c r="M238" s="4" t="s">
        <v>192</v>
      </c>
      <c r="N238" s="4" t="s">
        <v>182</v>
      </c>
      <c r="O238" s="4" t="s">
        <v>189</v>
      </c>
      <c r="P238">
        <v>-300</v>
      </c>
      <c r="Q238" s="4" t="s">
        <v>30</v>
      </c>
    </row>
    <row r="239" spans="1:17" x14ac:dyDescent="0.2">
      <c r="A239" s="4" t="s">
        <v>422</v>
      </c>
      <c r="B239">
        <v>238</v>
      </c>
      <c r="C239" s="4" t="s">
        <v>26</v>
      </c>
      <c r="D239" s="4" t="s">
        <v>35</v>
      </c>
      <c r="E239" s="4" t="s">
        <v>53</v>
      </c>
      <c r="F239" s="4" t="s">
        <v>95</v>
      </c>
      <c r="G239">
        <v>6</v>
      </c>
      <c r="H239">
        <v>29</v>
      </c>
      <c r="I239" s="4" t="s">
        <v>190</v>
      </c>
      <c r="J239" s="4" t="s">
        <v>191</v>
      </c>
      <c r="K239" s="4" t="s">
        <v>179</v>
      </c>
      <c r="L239" s="4" t="s">
        <v>180</v>
      </c>
      <c r="M239" s="4" t="s">
        <v>192</v>
      </c>
      <c r="N239" s="4" t="s">
        <v>182</v>
      </c>
      <c r="O239" s="4" t="s">
        <v>183</v>
      </c>
      <c r="P239">
        <v>8900.5300000000007</v>
      </c>
      <c r="Q239" s="4" t="s">
        <v>30</v>
      </c>
    </row>
    <row r="240" spans="1:17" x14ac:dyDescent="0.2">
      <c r="A240" s="4" t="s">
        <v>423</v>
      </c>
      <c r="B240">
        <v>239</v>
      </c>
      <c r="C240" s="4" t="s">
        <v>26</v>
      </c>
      <c r="D240" s="4" t="s">
        <v>35</v>
      </c>
      <c r="E240" s="4" t="s">
        <v>53</v>
      </c>
      <c r="F240" s="4" t="s">
        <v>95</v>
      </c>
      <c r="G240">
        <v>6</v>
      </c>
      <c r="H240">
        <v>29</v>
      </c>
      <c r="I240" s="4" t="s">
        <v>207</v>
      </c>
      <c r="J240" s="4" t="s">
        <v>208</v>
      </c>
      <c r="K240" s="4" t="s">
        <v>179</v>
      </c>
      <c r="L240" s="4" t="s">
        <v>180</v>
      </c>
      <c r="M240" s="4" t="s">
        <v>192</v>
      </c>
      <c r="N240" s="4" t="s">
        <v>182</v>
      </c>
      <c r="O240" s="4" t="s">
        <v>189</v>
      </c>
      <c r="P240">
        <v>-8900.5300000000007</v>
      </c>
      <c r="Q240" s="4" t="s">
        <v>30</v>
      </c>
    </row>
    <row r="241" spans="1:17" x14ac:dyDescent="0.2">
      <c r="A241" s="4" t="s">
        <v>424</v>
      </c>
      <c r="B241">
        <v>240</v>
      </c>
      <c r="C241" s="4" t="s">
        <v>26</v>
      </c>
      <c r="D241" s="4" t="s">
        <v>35</v>
      </c>
      <c r="E241" s="4" t="s">
        <v>53</v>
      </c>
      <c r="F241" s="4" t="s">
        <v>95</v>
      </c>
      <c r="G241">
        <v>6</v>
      </c>
      <c r="H241">
        <v>29</v>
      </c>
      <c r="I241" s="4" t="s">
        <v>207</v>
      </c>
      <c r="J241" s="4" t="s">
        <v>208</v>
      </c>
      <c r="K241" s="4" t="s">
        <v>179</v>
      </c>
      <c r="L241" s="4" t="s">
        <v>180</v>
      </c>
      <c r="M241" s="4" t="s">
        <v>192</v>
      </c>
      <c r="N241" s="4" t="s">
        <v>182</v>
      </c>
      <c r="O241" s="4" t="s">
        <v>183</v>
      </c>
      <c r="P241">
        <v>18228.14</v>
      </c>
      <c r="Q241" s="4" t="s">
        <v>30</v>
      </c>
    </row>
    <row r="242" spans="1:17" x14ac:dyDescent="0.2">
      <c r="A242" s="4" t="s">
        <v>425</v>
      </c>
      <c r="B242">
        <v>241</v>
      </c>
      <c r="C242" s="4" t="s">
        <v>26</v>
      </c>
      <c r="D242" s="4" t="s">
        <v>35</v>
      </c>
      <c r="E242" s="4" t="s">
        <v>53</v>
      </c>
      <c r="F242" s="4" t="s">
        <v>95</v>
      </c>
      <c r="G242">
        <v>6</v>
      </c>
      <c r="H242">
        <v>29</v>
      </c>
      <c r="I242" s="4" t="s">
        <v>209</v>
      </c>
      <c r="J242" s="4" t="s">
        <v>210</v>
      </c>
      <c r="K242" s="4" t="s">
        <v>205</v>
      </c>
      <c r="L242" s="4" t="s">
        <v>211</v>
      </c>
      <c r="M242" s="4" t="s">
        <v>182</v>
      </c>
      <c r="N242" s="4" t="s">
        <v>182</v>
      </c>
      <c r="O242" s="4" t="s">
        <v>183</v>
      </c>
      <c r="P242">
        <v>15440.53</v>
      </c>
      <c r="Q242" s="4" t="s">
        <v>30</v>
      </c>
    </row>
    <row r="243" spans="1:17" x14ac:dyDescent="0.2">
      <c r="A243" s="4" t="s">
        <v>426</v>
      </c>
      <c r="B243">
        <v>242</v>
      </c>
      <c r="C243" s="4" t="s">
        <v>26</v>
      </c>
      <c r="D243" s="4" t="s">
        <v>35</v>
      </c>
      <c r="E243" s="4" t="s">
        <v>53</v>
      </c>
      <c r="F243" s="4" t="s">
        <v>95</v>
      </c>
      <c r="G243">
        <v>6</v>
      </c>
      <c r="H243">
        <v>29</v>
      </c>
      <c r="I243" s="4" t="s">
        <v>203</v>
      </c>
      <c r="J243" s="4" t="s">
        <v>204</v>
      </c>
      <c r="K243" s="4" t="s">
        <v>205</v>
      </c>
      <c r="L243" s="4" t="s">
        <v>206</v>
      </c>
      <c r="M243" s="4" t="s">
        <v>182</v>
      </c>
      <c r="N243" s="4" t="s">
        <v>182</v>
      </c>
      <c r="O243" s="4" t="s">
        <v>183</v>
      </c>
      <c r="P243">
        <v>300</v>
      </c>
      <c r="Q243" s="4" t="s">
        <v>30</v>
      </c>
    </row>
    <row r="244" spans="1:17" x14ac:dyDescent="0.2">
      <c r="A244" s="4" t="s">
        <v>427</v>
      </c>
      <c r="B244">
        <v>243</v>
      </c>
      <c r="C244" s="4" t="s">
        <v>26</v>
      </c>
      <c r="D244" s="4" t="s">
        <v>35</v>
      </c>
      <c r="E244" s="4" t="s">
        <v>53</v>
      </c>
      <c r="F244" s="4" t="s">
        <v>95</v>
      </c>
      <c r="G244">
        <v>6</v>
      </c>
      <c r="H244">
        <v>29</v>
      </c>
      <c r="I244" s="4" t="s">
        <v>201</v>
      </c>
      <c r="J244" s="4" t="s">
        <v>202</v>
      </c>
      <c r="K244" s="4" t="s">
        <v>179</v>
      </c>
      <c r="L244" s="4" t="s">
        <v>180</v>
      </c>
      <c r="M244" s="4" t="s">
        <v>192</v>
      </c>
      <c r="N244" s="4" t="s">
        <v>182</v>
      </c>
      <c r="O244" s="4" t="s">
        <v>189</v>
      </c>
      <c r="P244">
        <v>-15440.53</v>
      </c>
      <c r="Q244" s="4" t="s">
        <v>30</v>
      </c>
    </row>
    <row r="245" spans="1:17" x14ac:dyDescent="0.2">
      <c r="A245" s="4" t="s">
        <v>428</v>
      </c>
      <c r="B245">
        <v>244</v>
      </c>
      <c r="C245" s="4" t="s">
        <v>26</v>
      </c>
      <c r="D245" s="4" t="s">
        <v>35</v>
      </c>
      <c r="E245" s="4" t="s">
        <v>53</v>
      </c>
      <c r="F245" s="4" t="s">
        <v>95</v>
      </c>
      <c r="G245">
        <v>6</v>
      </c>
      <c r="H245">
        <v>29</v>
      </c>
      <c r="I245" s="4" t="s">
        <v>212</v>
      </c>
      <c r="J245" s="4" t="s">
        <v>213</v>
      </c>
      <c r="K245" s="4" t="s">
        <v>205</v>
      </c>
      <c r="L245" s="4" t="s">
        <v>214</v>
      </c>
      <c r="M245" s="4" t="s">
        <v>182</v>
      </c>
      <c r="N245" s="4" t="s">
        <v>182</v>
      </c>
      <c r="O245" s="4" t="s">
        <v>189</v>
      </c>
      <c r="P245">
        <v>-18228.14</v>
      </c>
      <c r="Q245" s="4" t="s">
        <v>30</v>
      </c>
    </row>
    <row r="246" spans="1:17" x14ac:dyDescent="0.2">
      <c r="A246" s="4" t="s">
        <v>429</v>
      </c>
      <c r="B246">
        <v>245</v>
      </c>
      <c r="C246" s="4" t="s">
        <v>26</v>
      </c>
      <c r="D246" s="4" t="s">
        <v>35</v>
      </c>
      <c r="E246" s="4" t="s">
        <v>56</v>
      </c>
      <c r="F246" s="4" t="s">
        <v>97</v>
      </c>
      <c r="G246">
        <v>6</v>
      </c>
      <c r="H246">
        <v>30</v>
      </c>
      <c r="I246" s="4" t="s">
        <v>190</v>
      </c>
      <c r="J246" s="4" t="s">
        <v>191</v>
      </c>
      <c r="K246" s="4" t="s">
        <v>179</v>
      </c>
      <c r="L246" s="4" t="s">
        <v>180</v>
      </c>
      <c r="M246" s="4" t="s">
        <v>192</v>
      </c>
      <c r="N246" s="4" t="s">
        <v>182</v>
      </c>
      <c r="O246" s="4" t="s">
        <v>189</v>
      </c>
      <c r="P246">
        <v>-300</v>
      </c>
      <c r="Q246" s="4" t="s">
        <v>30</v>
      </c>
    </row>
    <row r="247" spans="1:17" x14ac:dyDescent="0.2">
      <c r="A247" s="4" t="s">
        <v>430</v>
      </c>
      <c r="B247">
        <v>246</v>
      </c>
      <c r="C247" s="4" t="s">
        <v>26</v>
      </c>
      <c r="D247" s="4" t="s">
        <v>35</v>
      </c>
      <c r="E247" s="4" t="s">
        <v>56</v>
      </c>
      <c r="F247" s="4" t="s">
        <v>97</v>
      </c>
      <c r="G247">
        <v>6</v>
      </c>
      <c r="H247">
        <v>30</v>
      </c>
      <c r="I247" s="4" t="s">
        <v>190</v>
      </c>
      <c r="J247" s="4" t="s">
        <v>191</v>
      </c>
      <c r="K247" s="4" t="s">
        <v>179</v>
      </c>
      <c r="L247" s="4" t="s">
        <v>180</v>
      </c>
      <c r="M247" s="4" t="s">
        <v>192</v>
      </c>
      <c r="N247" s="4" t="s">
        <v>182</v>
      </c>
      <c r="O247" s="4" t="s">
        <v>183</v>
      </c>
      <c r="P247">
        <v>6850.47</v>
      </c>
      <c r="Q247" s="4" t="s">
        <v>30</v>
      </c>
    </row>
    <row r="248" spans="1:17" x14ac:dyDescent="0.2">
      <c r="A248" s="4" t="s">
        <v>431</v>
      </c>
      <c r="B248">
        <v>247</v>
      </c>
      <c r="C248" s="4" t="s">
        <v>26</v>
      </c>
      <c r="D248" s="4" t="s">
        <v>35</v>
      </c>
      <c r="E248" s="4" t="s">
        <v>56</v>
      </c>
      <c r="F248" s="4" t="s">
        <v>97</v>
      </c>
      <c r="G248">
        <v>6</v>
      </c>
      <c r="H248">
        <v>30</v>
      </c>
      <c r="I248" s="4" t="s">
        <v>207</v>
      </c>
      <c r="J248" s="4" t="s">
        <v>208</v>
      </c>
      <c r="K248" s="4" t="s">
        <v>179</v>
      </c>
      <c r="L248" s="4" t="s">
        <v>180</v>
      </c>
      <c r="M248" s="4" t="s">
        <v>192</v>
      </c>
      <c r="N248" s="4" t="s">
        <v>182</v>
      </c>
      <c r="O248" s="4" t="s">
        <v>189</v>
      </c>
      <c r="P248">
        <v>-6850.47</v>
      </c>
      <c r="Q248" s="4" t="s">
        <v>30</v>
      </c>
    </row>
    <row r="249" spans="1:17" x14ac:dyDescent="0.2">
      <c r="A249" s="4" t="s">
        <v>432</v>
      </c>
      <c r="B249">
        <v>248</v>
      </c>
      <c r="C249" s="4" t="s">
        <v>26</v>
      </c>
      <c r="D249" s="4" t="s">
        <v>35</v>
      </c>
      <c r="E249" s="4" t="s">
        <v>56</v>
      </c>
      <c r="F249" s="4" t="s">
        <v>97</v>
      </c>
      <c r="G249">
        <v>6</v>
      </c>
      <c r="H249">
        <v>30</v>
      </c>
      <c r="I249" s="4" t="s">
        <v>207</v>
      </c>
      <c r="J249" s="4" t="s">
        <v>208</v>
      </c>
      <c r="K249" s="4" t="s">
        <v>179</v>
      </c>
      <c r="L249" s="4" t="s">
        <v>180</v>
      </c>
      <c r="M249" s="4" t="s">
        <v>192</v>
      </c>
      <c r="N249" s="4" t="s">
        <v>182</v>
      </c>
      <c r="O249" s="4" t="s">
        <v>183</v>
      </c>
      <c r="P249">
        <v>13940.87</v>
      </c>
      <c r="Q249" s="4" t="s">
        <v>30</v>
      </c>
    </row>
    <row r="250" spans="1:17" x14ac:dyDescent="0.2">
      <c r="A250" s="4" t="s">
        <v>433</v>
      </c>
      <c r="B250">
        <v>249</v>
      </c>
      <c r="C250" s="4" t="s">
        <v>26</v>
      </c>
      <c r="D250" s="4" t="s">
        <v>35</v>
      </c>
      <c r="E250" s="4" t="s">
        <v>56</v>
      </c>
      <c r="F250" s="4" t="s">
        <v>97</v>
      </c>
      <c r="G250">
        <v>6</v>
      </c>
      <c r="H250">
        <v>30</v>
      </c>
      <c r="I250" s="4" t="s">
        <v>209</v>
      </c>
      <c r="J250" s="4" t="s">
        <v>210</v>
      </c>
      <c r="K250" s="4" t="s">
        <v>205</v>
      </c>
      <c r="L250" s="4" t="s">
        <v>211</v>
      </c>
      <c r="M250" s="4" t="s">
        <v>182</v>
      </c>
      <c r="N250" s="4" t="s">
        <v>182</v>
      </c>
      <c r="O250" s="4" t="s">
        <v>183</v>
      </c>
      <c r="P250">
        <v>11868.98</v>
      </c>
      <c r="Q250" s="4" t="s">
        <v>30</v>
      </c>
    </row>
    <row r="251" spans="1:17" x14ac:dyDescent="0.2">
      <c r="A251" s="4" t="s">
        <v>434</v>
      </c>
      <c r="B251">
        <v>250</v>
      </c>
      <c r="C251" s="4" t="s">
        <v>26</v>
      </c>
      <c r="D251" s="4" t="s">
        <v>35</v>
      </c>
      <c r="E251" s="4" t="s">
        <v>56</v>
      </c>
      <c r="F251" s="4" t="s">
        <v>97</v>
      </c>
      <c r="G251">
        <v>6</v>
      </c>
      <c r="H251">
        <v>30</v>
      </c>
      <c r="I251" s="4" t="s">
        <v>203</v>
      </c>
      <c r="J251" s="4" t="s">
        <v>204</v>
      </c>
      <c r="K251" s="4" t="s">
        <v>205</v>
      </c>
      <c r="L251" s="4" t="s">
        <v>206</v>
      </c>
      <c r="M251" s="4" t="s">
        <v>182</v>
      </c>
      <c r="N251" s="4" t="s">
        <v>182</v>
      </c>
      <c r="O251" s="4" t="s">
        <v>183</v>
      </c>
      <c r="P251">
        <v>300</v>
      </c>
      <c r="Q251" s="4" t="s">
        <v>30</v>
      </c>
    </row>
    <row r="252" spans="1:17" x14ac:dyDescent="0.2">
      <c r="A252" s="4" t="s">
        <v>435</v>
      </c>
      <c r="B252">
        <v>251</v>
      </c>
      <c r="C252" s="4" t="s">
        <v>26</v>
      </c>
      <c r="D252" s="4" t="s">
        <v>35</v>
      </c>
      <c r="E252" s="4" t="s">
        <v>56</v>
      </c>
      <c r="F252" s="4" t="s">
        <v>97</v>
      </c>
      <c r="G252">
        <v>6</v>
      </c>
      <c r="H252">
        <v>30</v>
      </c>
      <c r="I252" s="4" t="s">
        <v>201</v>
      </c>
      <c r="J252" s="4" t="s">
        <v>202</v>
      </c>
      <c r="K252" s="4" t="s">
        <v>179</v>
      </c>
      <c r="L252" s="4" t="s">
        <v>180</v>
      </c>
      <c r="M252" s="4" t="s">
        <v>192</v>
      </c>
      <c r="N252" s="4" t="s">
        <v>182</v>
      </c>
      <c r="O252" s="4" t="s">
        <v>189</v>
      </c>
      <c r="P252">
        <v>-11868.98</v>
      </c>
      <c r="Q252" s="4" t="s">
        <v>30</v>
      </c>
    </row>
    <row r="253" spans="1:17" x14ac:dyDescent="0.2">
      <c r="A253" s="4" t="s">
        <v>436</v>
      </c>
      <c r="B253">
        <v>252</v>
      </c>
      <c r="C253" s="4" t="s">
        <v>26</v>
      </c>
      <c r="D253" s="4" t="s">
        <v>35</v>
      </c>
      <c r="E253" s="4" t="s">
        <v>56</v>
      </c>
      <c r="F253" s="4" t="s">
        <v>97</v>
      </c>
      <c r="G253">
        <v>6</v>
      </c>
      <c r="H253">
        <v>30</v>
      </c>
      <c r="I253" s="4" t="s">
        <v>212</v>
      </c>
      <c r="J253" s="4" t="s">
        <v>213</v>
      </c>
      <c r="K253" s="4" t="s">
        <v>205</v>
      </c>
      <c r="L253" s="4" t="s">
        <v>214</v>
      </c>
      <c r="M253" s="4" t="s">
        <v>182</v>
      </c>
      <c r="N253" s="4" t="s">
        <v>182</v>
      </c>
      <c r="O253" s="4" t="s">
        <v>189</v>
      </c>
      <c r="P253">
        <v>-13940.87</v>
      </c>
      <c r="Q253" s="4" t="s">
        <v>30</v>
      </c>
    </row>
    <row r="254" spans="1:17" x14ac:dyDescent="0.2">
      <c r="A254" s="4" t="s">
        <v>438</v>
      </c>
      <c r="B254">
        <v>253</v>
      </c>
      <c r="C254" s="4" t="s">
        <v>26</v>
      </c>
      <c r="D254" s="4" t="s">
        <v>38</v>
      </c>
      <c r="E254" s="4" t="s">
        <v>27</v>
      </c>
      <c r="F254" s="4" t="s">
        <v>907</v>
      </c>
      <c r="G254">
        <v>7</v>
      </c>
      <c r="H254">
        <v>31</v>
      </c>
      <c r="I254" s="4" t="s">
        <v>190</v>
      </c>
      <c r="J254" s="4" t="s">
        <v>191</v>
      </c>
      <c r="K254" s="4" t="s">
        <v>179</v>
      </c>
      <c r="L254" s="4" t="s">
        <v>180</v>
      </c>
      <c r="M254" s="4" t="s">
        <v>192</v>
      </c>
      <c r="N254" s="4" t="s">
        <v>182</v>
      </c>
      <c r="O254" s="4" t="s">
        <v>189</v>
      </c>
      <c r="P254">
        <v>-300</v>
      </c>
      <c r="Q254" s="4" t="s">
        <v>30</v>
      </c>
    </row>
    <row r="255" spans="1:17" x14ac:dyDescent="0.2">
      <c r="A255" s="4" t="s">
        <v>439</v>
      </c>
      <c r="B255">
        <v>254</v>
      </c>
      <c r="C255" s="4" t="s">
        <v>26</v>
      </c>
      <c r="D255" s="4" t="s">
        <v>38</v>
      </c>
      <c r="E255" s="4" t="s">
        <v>27</v>
      </c>
      <c r="F255" s="4" t="s">
        <v>907</v>
      </c>
      <c r="G255">
        <v>7</v>
      </c>
      <c r="H255">
        <v>31</v>
      </c>
      <c r="I255" s="4" t="s">
        <v>190</v>
      </c>
      <c r="J255" s="4" t="s">
        <v>191</v>
      </c>
      <c r="K255" s="4" t="s">
        <v>179</v>
      </c>
      <c r="L255" s="4" t="s">
        <v>180</v>
      </c>
      <c r="M255" s="4" t="s">
        <v>192</v>
      </c>
      <c r="N255" s="4" t="s">
        <v>182</v>
      </c>
      <c r="O255" s="4" t="s">
        <v>183</v>
      </c>
      <c r="P255">
        <v>15005.15</v>
      </c>
      <c r="Q255" s="4" t="s">
        <v>30</v>
      </c>
    </row>
    <row r="256" spans="1:17" x14ac:dyDescent="0.2">
      <c r="A256" s="4" t="s">
        <v>440</v>
      </c>
      <c r="B256">
        <v>255</v>
      </c>
      <c r="C256" s="4" t="s">
        <v>26</v>
      </c>
      <c r="D256" s="4" t="s">
        <v>38</v>
      </c>
      <c r="E256" s="4" t="s">
        <v>27</v>
      </c>
      <c r="F256" s="4" t="s">
        <v>907</v>
      </c>
      <c r="G256">
        <v>7</v>
      </c>
      <c r="H256">
        <v>31</v>
      </c>
      <c r="I256" s="4" t="s">
        <v>207</v>
      </c>
      <c r="J256" s="4" t="s">
        <v>208</v>
      </c>
      <c r="K256" s="4" t="s">
        <v>179</v>
      </c>
      <c r="L256" s="4" t="s">
        <v>180</v>
      </c>
      <c r="M256" s="4" t="s">
        <v>192</v>
      </c>
      <c r="N256" s="4" t="s">
        <v>182</v>
      </c>
      <c r="O256" s="4" t="s">
        <v>189</v>
      </c>
      <c r="P256">
        <v>-15005.15</v>
      </c>
      <c r="Q256" s="4" t="s">
        <v>30</v>
      </c>
    </row>
    <row r="257" spans="1:17" x14ac:dyDescent="0.2">
      <c r="A257" s="4" t="s">
        <v>441</v>
      </c>
      <c r="B257">
        <v>256</v>
      </c>
      <c r="C257" s="4" t="s">
        <v>26</v>
      </c>
      <c r="D257" s="4" t="s">
        <v>38</v>
      </c>
      <c r="E257" s="4" t="s">
        <v>27</v>
      </c>
      <c r="F257" s="4" t="s">
        <v>907</v>
      </c>
      <c r="G257">
        <v>7</v>
      </c>
      <c r="H257">
        <v>31</v>
      </c>
      <c r="I257" s="4" t="s">
        <v>207</v>
      </c>
      <c r="J257" s="4" t="s">
        <v>208</v>
      </c>
      <c r="K257" s="4" t="s">
        <v>179</v>
      </c>
      <c r="L257" s="4" t="s">
        <v>180</v>
      </c>
      <c r="M257" s="4" t="s">
        <v>192</v>
      </c>
      <c r="N257" s="4" t="s">
        <v>182</v>
      </c>
      <c r="O257" s="4" t="s">
        <v>183</v>
      </c>
      <c r="P257">
        <v>27329.88</v>
      </c>
      <c r="Q257" s="4" t="s">
        <v>30</v>
      </c>
    </row>
    <row r="258" spans="1:17" x14ac:dyDescent="0.2">
      <c r="A258" s="4" t="s">
        <v>442</v>
      </c>
      <c r="B258">
        <v>257</v>
      </c>
      <c r="C258" s="4" t="s">
        <v>26</v>
      </c>
      <c r="D258" s="4" t="s">
        <v>38</v>
      </c>
      <c r="E258" s="4" t="s">
        <v>27</v>
      </c>
      <c r="F258" s="4" t="s">
        <v>907</v>
      </c>
      <c r="G258">
        <v>7</v>
      </c>
      <c r="H258">
        <v>31</v>
      </c>
      <c r="I258" s="4" t="s">
        <v>209</v>
      </c>
      <c r="J258" s="4" t="s">
        <v>210</v>
      </c>
      <c r="K258" s="4" t="s">
        <v>205</v>
      </c>
      <c r="L258" s="4" t="s">
        <v>211</v>
      </c>
      <c r="M258" s="4" t="s">
        <v>182</v>
      </c>
      <c r="N258" s="4" t="s">
        <v>182</v>
      </c>
      <c r="O258" s="4" t="s">
        <v>183</v>
      </c>
      <c r="P258">
        <v>23796.799999999999</v>
      </c>
      <c r="Q258" s="4" t="s">
        <v>30</v>
      </c>
    </row>
    <row r="259" spans="1:17" x14ac:dyDescent="0.2">
      <c r="A259" s="4" t="s">
        <v>443</v>
      </c>
      <c r="B259">
        <v>258</v>
      </c>
      <c r="C259" s="4" t="s">
        <v>26</v>
      </c>
      <c r="D259" s="4" t="s">
        <v>38</v>
      </c>
      <c r="E259" s="4" t="s">
        <v>27</v>
      </c>
      <c r="F259" s="4" t="s">
        <v>907</v>
      </c>
      <c r="G259">
        <v>7</v>
      </c>
      <c r="H259">
        <v>31</v>
      </c>
      <c r="I259" s="4" t="s">
        <v>203</v>
      </c>
      <c r="J259" s="4" t="s">
        <v>204</v>
      </c>
      <c r="K259" s="4" t="s">
        <v>205</v>
      </c>
      <c r="L259" s="4" t="s">
        <v>206</v>
      </c>
      <c r="M259" s="4" t="s">
        <v>182</v>
      </c>
      <c r="N259" s="4" t="s">
        <v>182</v>
      </c>
      <c r="O259" s="4" t="s">
        <v>183</v>
      </c>
      <c r="P259">
        <v>300</v>
      </c>
      <c r="Q259" s="4" t="s">
        <v>30</v>
      </c>
    </row>
    <row r="260" spans="1:17" x14ac:dyDescent="0.2">
      <c r="A260" s="4" t="s">
        <v>444</v>
      </c>
      <c r="B260">
        <v>259</v>
      </c>
      <c r="C260" s="4" t="s">
        <v>26</v>
      </c>
      <c r="D260" s="4" t="s">
        <v>38</v>
      </c>
      <c r="E260" s="4" t="s">
        <v>27</v>
      </c>
      <c r="F260" s="4" t="s">
        <v>907</v>
      </c>
      <c r="G260">
        <v>7</v>
      </c>
      <c r="H260">
        <v>31</v>
      </c>
      <c r="I260" s="4" t="s">
        <v>201</v>
      </c>
      <c r="J260" s="4" t="s">
        <v>202</v>
      </c>
      <c r="K260" s="4" t="s">
        <v>179</v>
      </c>
      <c r="L260" s="4" t="s">
        <v>180</v>
      </c>
      <c r="M260" s="4" t="s">
        <v>192</v>
      </c>
      <c r="N260" s="4" t="s">
        <v>182</v>
      </c>
      <c r="O260" s="4" t="s">
        <v>189</v>
      </c>
      <c r="P260">
        <v>-23796.799999999999</v>
      </c>
      <c r="Q260" s="4" t="s">
        <v>30</v>
      </c>
    </row>
    <row r="261" spans="1:17" x14ac:dyDescent="0.2">
      <c r="A261" s="4" t="s">
        <v>445</v>
      </c>
      <c r="B261">
        <v>260</v>
      </c>
      <c r="C261" s="4" t="s">
        <v>26</v>
      </c>
      <c r="D261" s="4" t="s">
        <v>38</v>
      </c>
      <c r="E261" s="4" t="s">
        <v>27</v>
      </c>
      <c r="F261" s="4" t="s">
        <v>907</v>
      </c>
      <c r="G261">
        <v>7</v>
      </c>
      <c r="H261">
        <v>31</v>
      </c>
      <c r="I261" s="4" t="s">
        <v>212</v>
      </c>
      <c r="J261" s="4" t="s">
        <v>213</v>
      </c>
      <c r="K261" s="4" t="s">
        <v>205</v>
      </c>
      <c r="L261" s="4" t="s">
        <v>214</v>
      </c>
      <c r="M261" s="4" t="s">
        <v>182</v>
      </c>
      <c r="N261" s="4" t="s">
        <v>182</v>
      </c>
      <c r="O261" s="4" t="s">
        <v>189</v>
      </c>
      <c r="P261">
        <v>-27329.88</v>
      </c>
      <c r="Q261" s="4" t="s">
        <v>30</v>
      </c>
    </row>
    <row r="262" spans="1:17" x14ac:dyDescent="0.2">
      <c r="A262" s="4" t="s">
        <v>446</v>
      </c>
      <c r="B262">
        <v>261</v>
      </c>
      <c r="C262" s="4" t="s">
        <v>26</v>
      </c>
      <c r="D262" s="4" t="s">
        <v>38</v>
      </c>
      <c r="E262" s="4" t="s">
        <v>32</v>
      </c>
      <c r="F262" s="4" t="s">
        <v>1093</v>
      </c>
      <c r="G262">
        <v>7</v>
      </c>
      <c r="H262">
        <v>32</v>
      </c>
      <c r="I262" s="4" t="s">
        <v>190</v>
      </c>
      <c r="J262" s="4" t="s">
        <v>191</v>
      </c>
      <c r="K262" s="4" t="s">
        <v>179</v>
      </c>
      <c r="L262" s="4" t="s">
        <v>180</v>
      </c>
      <c r="M262" s="4" t="s">
        <v>192</v>
      </c>
      <c r="N262" s="4" t="s">
        <v>182</v>
      </c>
      <c r="O262" s="4" t="s">
        <v>189</v>
      </c>
      <c r="P262">
        <v>-42381.35</v>
      </c>
      <c r="Q262" s="4" t="s">
        <v>30</v>
      </c>
    </row>
    <row r="263" spans="1:17" x14ac:dyDescent="0.2">
      <c r="A263" s="4" t="s">
        <v>447</v>
      </c>
      <c r="B263">
        <v>262</v>
      </c>
      <c r="C263" s="4" t="s">
        <v>26</v>
      </c>
      <c r="D263" s="4" t="s">
        <v>38</v>
      </c>
      <c r="E263" s="4" t="s">
        <v>32</v>
      </c>
      <c r="F263" s="4" t="s">
        <v>1093</v>
      </c>
      <c r="G263">
        <v>7</v>
      </c>
      <c r="H263">
        <v>32</v>
      </c>
      <c r="I263" s="4" t="s">
        <v>190</v>
      </c>
      <c r="J263" s="4" t="s">
        <v>191</v>
      </c>
      <c r="K263" s="4" t="s">
        <v>179</v>
      </c>
      <c r="L263" s="4" t="s">
        <v>180</v>
      </c>
      <c r="M263" s="4" t="s">
        <v>192</v>
      </c>
      <c r="N263" s="4" t="s">
        <v>182</v>
      </c>
      <c r="O263" s="4" t="s">
        <v>183</v>
      </c>
      <c r="P263">
        <v>12977.84</v>
      </c>
      <c r="Q263" s="4" t="s">
        <v>30</v>
      </c>
    </row>
    <row r="264" spans="1:17" x14ac:dyDescent="0.2">
      <c r="A264" s="4" t="s">
        <v>448</v>
      </c>
      <c r="B264">
        <v>263</v>
      </c>
      <c r="C264" s="4" t="s">
        <v>26</v>
      </c>
      <c r="D264" s="4" t="s">
        <v>38</v>
      </c>
      <c r="E264" s="4" t="s">
        <v>32</v>
      </c>
      <c r="F264" s="4" t="s">
        <v>1093</v>
      </c>
      <c r="G264">
        <v>7</v>
      </c>
      <c r="H264">
        <v>32</v>
      </c>
      <c r="I264" s="4" t="s">
        <v>207</v>
      </c>
      <c r="J264" s="4" t="s">
        <v>208</v>
      </c>
      <c r="K264" s="4" t="s">
        <v>179</v>
      </c>
      <c r="L264" s="4" t="s">
        <v>180</v>
      </c>
      <c r="M264" s="4" t="s">
        <v>192</v>
      </c>
      <c r="N264" s="4" t="s">
        <v>182</v>
      </c>
      <c r="O264" s="4" t="s">
        <v>189</v>
      </c>
      <c r="P264">
        <v>-12977.84</v>
      </c>
      <c r="Q264" s="4" t="s">
        <v>30</v>
      </c>
    </row>
    <row r="265" spans="1:17" x14ac:dyDescent="0.2">
      <c r="A265" s="4" t="s">
        <v>449</v>
      </c>
      <c r="B265">
        <v>264</v>
      </c>
      <c r="C265" s="4" t="s">
        <v>26</v>
      </c>
      <c r="D265" s="4" t="s">
        <v>38</v>
      </c>
      <c r="E265" s="4" t="s">
        <v>32</v>
      </c>
      <c r="F265" s="4" t="s">
        <v>1093</v>
      </c>
      <c r="G265">
        <v>7</v>
      </c>
      <c r="H265">
        <v>32</v>
      </c>
      <c r="I265" s="4" t="s">
        <v>207</v>
      </c>
      <c r="J265" s="4" t="s">
        <v>208</v>
      </c>
      <c r="K265" s="4" t="s">
        <v>179</v>
      </c>
      <c r="L265" s="4" t="s">
        <v>180</v>
      </c>
      <c r="M265" s="4" t="s">
        <v>192</v>
      </c>
      <c r="N265" s="4" t="s">
        <v>182</v>
      </c>
      <c r="O265" s="4" t="s">
        <v>183</v>
      </c>
      <c r="P265">
        <v>12453.65</v>
      </c>
      <c r="Q265" s="4" t="s">
        <v>30</v>
      </c>
    </row>
    <row r="266" spans="1:17" x14ac:dyDescent="0.2">
      <c r="A266" s="4" t="s">
        <v>450</v>
      </c>
      <c r="B266">
        <v>265</v>
      </c>
      <c r="C266" s="4" t="s">
        <v>26</v>
      </c>
      <c r="D266" s="4" t="s">
        <v>38</v>
      </c>
      <c r="E266" s="4" t="s">
        <v>32</v>
      </c>
      <c r="F266" s="4" t="s">
        <v>1093</v>
      </c>
      <c r="G266">
        <v>7</v>
      </c>
      <c r="H266">
        <v>32</v>
      </c>
      <c r="I266" s="4" t="s">
        <v>193</v>
      </c>
      <c r="J266" s="4" t="s">
        <v>194</v>
      </c>
      <c r="K266" s="4" t="s">
        <v>179</v>
      </c>
      <c r="L266" s="4" t="s">
        <v>186</v>
      </c>
      <c r="M266" s="4" t="s">
        <v>195</v>
      </c>
      <c r="N266" s="4" t="s">
        <v>196</v>
      </c>
      <c r="O266" s="4" t="s">
        <v>183</v>
      </c>
      <c r="P266">
        <v>42081.35</v>
      </c>
      <c r="Q266" s="4" t="s">
        <v>30</v>
      </c>
    </row>
    <row r="267" spans="1:17" x14ac:dyDescent="0.2">
      <c r="A267" s="4" t="s">
        <v>451</v>
      </c>
      <c r="B267">
        <v>266</v>
      </c>
      <c r="C267" s="4" t="s">
        <v>26</v>
      </c>
      <c r="D267" s="4" t="s">
        <v>38</v>
      </c>
      <c r="E267" s="4" t="s">
        <v>32</v>
      </c>
      <c r="F267" s="4" t="s">
        <v>1093</v>
      </c>
      <c r="G267">
        <v>7</v>
      </c>
      <c r="H267">
        <v>32</v>
      </c>
      <c r="I267" s="4" t="s">
        <v>209</v>
      </c>
      <c r="J267" s="4" t="s">
        <v>210</v>
      </c>
      <c r="K267" s="4" t="s">
        <v>205</v>
      </c>
      <c r="L267" s="4" t="s">
        <v>211</v>
      </c>
      <c r="M267" s="4" t="s">
        <v>182</v>
      </c>
      <c r="N267" s="4" t="s">
        <v>182</v>
      </c>
      <c r="O267" s="4" t="s">
        <v>183</v>
      </c>
      <c r="P267">
        <v>10819.73</v>
      </c>
      <c r="Q267" s="4" t="s">
        <v>30</v>
      </c>
    </row>
    <row r="268" spans="1:17" x14ac:dyDescent="0.2">
      <c r="A268" s="4" t="s">
        <v>452</v>
      </c>
      <c r="B268">
        <v>267</v>
      </c>
      <c r="C268" s="4" t="s">
        <v>26</v>
      </c>
      <c r="D268" s="4" t="s">
        <v>38</v>
      </c>
      <c r="E268" s="4" t="s">
        <v>32</v>
      </c>
      <c r="F268" s="4" t="s">
        <v>1093</v>
      </c>
      <c r="G268">
        <v>7</v>
      </c>
      <c r="H268">
        <v>32</v>
      </c>
      <c r="I268" s="4" t="s">
        <v>203</v>
      </c>
      <c r="J268" s="4" t="s">
        <v>204</v>
      </c>
      <c r="K268" s="4" t="s">
        <v>205</v>
      </c>
      <c r="L268" s="4" t="s">
        <v>206</v>
      </c>
      <c r="M268" s="4" t="s">
        <v>182</v>
      </c>
      <c r="N268" s="4" t="s">
        <v>182</v>
      </c>
      <c r="O268" s="4" t="s">
        <v>183</v>
      </c>
      <c r="P268">
        <v>300</v>
      </c>
      <c r="Q268" s="4" t="s">
        <v>30</v>
      </c>
    </row>
    <row r="269" spans="1:17" x14ac:dyDescent="0.2">
      <c r="A269" s="4" t="s">
        <v>453</v>
      </c>
      <c r="B269">
        <v>268</v>
      </c>
      <c r="C269" s="4" t="s">
        <v>26</v>
      </c>
      <c r="D269" s="4" t="s">
        <v>38</v>
      </c>
      <c r="E269" s="4" t="s">
        <v>32</v>
      </c>
      <c r="F269" s="4" t="s">
        <v>1093</v>
      </c>
      <c r="G269">
        <v>7</v>
      </c>
      <c r="H269">
        <v>32</v>
      </c>
      <c r="I269" s="4" t="s">
        <v>201</v>
      </c>
      <c r="J269" s="4" t="s">
        <v>202</v>
      </c>
      <c r="K269" s="4" t="s">
        <v>179</v>
      </c>
      <c r="L269" s="4" t="s">
        <v>180</v>
      </c>
      <c r="M269" s="4" t="s">
        <v>192</v>
      </c>
      <c r="N269" s="4" t="s">
        <v>182</v>
      </c>
      <c r="O269" s="4" t="s">
        <v>189</v>
      </c>
      <c r="P269">
        <v>-10819.73</v>
      </c>
      <c r="Q269" s="4" t="s">
        <v>30</v>
      </c>
    </row>
    <row r="270" spans="1:17" x14ac:dyDescent="0.2">
      <c r="A270" s="4" t="s">
        <v>454</v>
      </c>
      <c r="B270">
        <v>269</v>
      </c>
      <c r="C270" s="4" t="s">
        <v>26</v>
      </c>
      <c r="D270" s="4" t="s">
        <v>38</v>
      </c>
      <c r="E270" s="4" t="s">
        <v>32</v>
      </c>
      <c r="F270" s="4" t="s">
        <v>1093</v>
      </c>
      <c r="G270">
        <v>7</v>
      </c>
      <c r="H270">
        <v>32</v>
      </c>
      <c r="I270" s="4" t="s">
        <v>212</v>
      </c>
      <c r="J270" s="4" t="s">
        <v>213</v>
      </c>
      <c r="K270" s="4" t="s">
        <v>205</v>
      </c>
      <c r="L270" s="4" t="s">
        <v>214</v>
      </c>
      <c r="M270" s="4" t="s">
        <v>182</v>
      </c>
      <c r="N270" s="4" t="s">
        <v>182</v>
      </c>
      <c r="O270" s="4" t="s">
        <v>189</v>
      </c>
      <c r="P270">
        <v>-12453.65</v>
      </c>
      <c r="Q270" s="4" t="s">
        <v>30</v>
      </c>
    </row>
    <row r="271" spans="1:17" x14ac:dyDescent="0.2">
      <c r="A271" s="4" t="s">
        <v>455</v>
      </c>
      <c r="B271">
        <v>270</v>
      </c>
      <c r="C271" s="4" t="s">
        <v>26</v>
      </c>
      <c r="D271" s="4" t="s">
        <v>38</v>
      </c>
      <c r="E271" s="4" t="s">
        <v>35</v>
      </c>
      <c r="F271" s="4" t="s">
        <v>1122</v>
      </c>
      <c r="G271">
        <v>7</v>
      </c>
      <c r="H271">
        <v>33</v>
      </c>
      <c r="I271" s="4" t="s">
        <v>190</v>
      </c>
      <c r="J271" s="4" t="s">
        <v>191</v>
      </c>
      <c r="K271" s="4" t="s">
        <v>179</v>
      </c>
      <c r="L271" s="4" t="s">
        <v>180</v>
      </c>
      <c r="M271" s="4" t="s">
        <v>192</v>
      </c>
      <c r="N271" s="4" t="s">
        <v>182</v>
      </c>
      <c r="O271" s="4" t="s">
        <v>189</v>
      </c>
      <c r="P271">
        <v>-300</v>
      </c>
      <c r="Q271" s="4" t="s">
        <v>30</v>
      </c>
    </row>
    <row r="272" spans="1:17" x14ac:dyDescent="0.2">
      <c r="A272" s="4" t="s">
        <v>456</v>
      </c>
      <c r="B272">
        <v>271</v>
      </c>
      <c r="C272" s="4" t="s">
        <v>26</v>
      </c>
      <c r="D272" s="4" t="s">
        <v>38</v>
      </c>
      <c r="E272" s="4" t="s">
        <v>35</v>
      </c>
      <c r="F272" s="4" t="s">
        <v>1122</v>
      </c>
      <c r="G272">
        <v>7</v>
      </c>
      <c r="H272">
        <v>33</v>
      </c>
      <c r="I272" s="4" t="s">
        <v>190</v>
      </c>
      <c r="J272" s="4" t="s">
        <v>191</v>
      </c>
      <c r="K272" s="4" t="s">
        <v>179</v>
      </c>
      <c r="L272" s="4" t="s">
        <v>180</v>
      </c>
      <c r="M272" s="4" t="s">
        <v>192</v>
      </c>
      <c r="N272" s="4" t="s">
        <v>182</v>
      </c>
      <c r="O272" s="4" t="s">
        <v>183</v>
      </c>
      <c r="P272">
        <v>18228.14</v>
      </c>
      <c r="Q272" s="4" t="s">
        <v>30</v>
      </c>
    </row>
    <row r="273" spans="1:17" x14ac:dyDescent="0.2">
      <c r="A273" s="4" t="s">
        <v>457</v>
      </c>
      <c r="B273">
        <v>272</v>
      </c>
      <c r="C273" s="4" t="s">
        <v>26</v>
      </c>
      <c r="D273" s="4" t="s">
        <v>38</v>
      </c>
      <c r="E273" s="4" t="s">
        <v>35</v>
      </c>
      <c r="F273" s="4" t="s">
        <v>1122</v>
      </c>
      <c r="G273">
        <v>7</v>
      </c>
      <c r="H273">
        <v>33</v>
      </c>
      <c r="I273" s="4" t="s">
        <v>207</v>
      </c>
      <c r="J273" s="4" t="s">
        <v>208</v>
      </c>
      <c r="K273" s="4" t="s">
        <v>179</v>
      </c>
      <c r="L273" s="4" t="s">
        <v>180</v>
      </c>
      <c r="M273" s="4" t="s">
        <v>192</v>
      </c>
      <c r="N273" s="4" t="s">
        <v>182</v>
      </c>
      <c r="O273" s="4" t="s">
        <v>189</v>
      </c>
      <c r="P273">
        <v>-18228.14</v>
      </c>
      <c r="Q273" s="4" t="s">
        <v>30</v>
      </c>
    </row>
    <row r="274" spans="1:17" x14ac:dyDescent="0.2">
      <c r="A274" s="4" t="s">
        <v>458</v>
      </c>
      <c r="B274">
        <v>273</v>
      </c>
      <c r="C274" s="4" t="s">
        <v>26</v>
      </c>
      <c r="D274" s="4" t="s">
        <v>38</v>
      </c>
      <c r="E274" s="4" t="s">
        <v>35</v>
      </c>
      <c r="F274" s="4" t="s">
        <v>1122</v>
      </c>
      <c r="G274">
        <v>7</v>
      </c>
      <c r="H274">
        <v>33</v>
      </c>
      <c r="I274" s="4" t="s">
        <v>207</v>
      </c>
      <c r="J274" s="4" t="s">
        <v>208</v>
      </c>
      <c r="K274" s="4" t="s">
        <v>179</v>
      </c>
      <c r="L274" s="4" t="s">
        <v>180</v>
      </c>
      <c r="M274" s="4" t="s">
        <v>192</v>
      </c>
      <c r="N274" s="4" t="s">
        <v>182</v>
      </c>
      <c r="O274" s="4" t="s">
        <v>183</v>
      </c>
      <c r="P274">
        <v>17810.27</v>
      </c>
      <c r="Q274" s="4" t="s">
        <v>30</v>
      </c>
    </row>
    <row r="275" spans="1:17" x14ac:dyDescent="0.2">
      <c r="A275" s="4" t="s">
        <v>459</v>
      </c>
      <c r="B275">
        <v>274</v>
      </c>
      <c r="C275" s="4" t="s">
        <v>26</v>
      </c>
      <c r="D275" s="4" t="s">
        <v>38</v>
      </c>
      <c r="E275" s="4" t="s">
        <v>35</v>
      </c>
      <c r="F275" s="4" t="s">
        <v>1122</v>
      </c>
      <c r="G275">
        <v>7</v>
      </c>
      <c r="H275">
        <v>33</v>
      </c>
      <c r="I275" s="4" t="s">
        <v>193</v>
      </c>
      <c r="J275" s="4" t="s">
        <v>194</v>
      </c>
      <c r="K275" s="4" t="s">
        <v>179</v>
      </c>
      <c r="L275" s="4" t="s">
        <v>186</v>
      </c>
      <c r="M275" s="4" t="s">
        <v>195</v>
      </c>
      <c r="N275" s="4" t="s">
        <v>196</v>
      </c>
      <c r="O275" s="4" t="s">
        <v>189</v>
      </c>
      <c r="P275">
        <v>-44056.87</v>
      </c>
      <c r="Q275" s="4" t="s">
        <v>30</v>
      </c>
    </row>
    <row r="276" spans="1:17" x14ac:dyDescent="0.2">
      <c r="A276" s="4" t="s">
        <v>460</v>
      </c>
      <c r="B276">
        <v>275</v>
      </c>
      <c r="C276" s="4" t="s">
        <v>26</v>
      </c>
      <c r="D276" s="4" t="s">
        <v>38</v>
      </c>
      <c r="E276" s="4" t="s">
        <v>35</v>
      </c>
      <c r="F276" s="4" t="s">
        <v>1122</v>
      </c>
      <c r="G276">
        <v>7</v>
      </c>
      <c r="H276">
        <v>33</v>
      </c>
      <c r="I276" s="4" t="s">
        <v>197</v>
      </c>
      <c r="J276" s="4" t="s">
        <v>198</v>
      </c>
      <c r="K276" s="4" t="s">
        <v>179</v>
      </c>
      <c r="L276" s="4" t="s">
        <v>186</v>
      </c>
      <c r="M276" s="4" t="s">
        <v>195</v>
      </c>
      <c r="N276" s="4" t="s">
        <v>196</v>
      </c>
      <c r="O276" s="4" t="s">
        <v>189</v>
      </c>
      <c r="P276">
        <v>-43056.87</v>
      </c>
      <c r="Q276" s="4" t="s">
        <v>30</v>
      </c>
    </row>
    <row r="277" spans="1:17" x14ac:dyDescent="0.2">
      <c r="A277" s="4" t="s">
        <v>461</v>
      </c>
      <c r="B277">
        <v>276</v>
      </c>
      <c r="C277" s="4" t="s">
        <v>26</v>
      </c>
      <c r="D277" s="4" t="s">
        <v>38</v>
      </c>
      <c r="E277" s="4" t="s">
        <v>35</v>
      </c>
      <c r="F277" s="4" t="s">
        <v>1122</v>
      </c>
      <c r="G277">
        <v>7</v>
      </c>
      <c r="H277">
        <v>33</v>
      </c>
      <c r="I277" s="4" t="s">
        <v>197</v>
      </c>
      <c r="J277" s="4" t="s">
        <v>198</v>
      </c>
      <c r="K277" s="4" t="s">
        <v>179</v>
      </c>
      <c r="L277" s="4" t="s">
        <v>186</v>
      </c>
      <c r="M277" s="4" t="s">
        <v>195</v>
      </c>
      <c r="N277" s="4" t="s">
        <v>196</v>
      </c>
      <c r="O277" s="4" t="s">
        <v>183</v>
      </c>
      <c r="P277">
        <v>43056.87</v>
      </c>
      <c r="Q277" s="4" t="s">
        <v>30</v>
      </c>
    </row>
    <row r="278" spans="1:17" x14ac:dyDescent="0.2">
      <c r="A278" s="4" t="s">
        <v>462</v>
      </c>
      <c r="B278">
        <v>277</v>
      </c>
      <c r="C278" s="4" t="s">
        <v>26</v>
      </c>
      <c r="D278" s="4" t="s">
        <v>38</v>
      </c>
      <c r="E278" s="4" t="s">
        <v>35</v>
      </c>
      <c r="F278" s="4" t="s">
        <v>1122</v>
      </c>
      <c r="G278">
        <v>7</v>
      </c>
      <c r="H278">
        <v>33</v>
      </c>
      <c r="I278" s="4" t="s">
        <v>199</v>
      </c>
      <c r="J278" s="4" t="s">
        <v>200</v>
      </c>
      <c r="K278" s="4" t="s">
        <v>179</v>
      </c>
      <c r="L278" s="4" t="s">
        <v>186</v>
      </c>
      <c r="M278" s="4" t="s">
        <v>195</v>
      </c>
      <c r="N278" s="4" t="s">
        <v>196</v>
      </c>
      <c r="O278" s="4" t="s">
        <v>189</v>
      </c>
      <c r="P278">
        <v>-1000</v>
      </c>
      <c r="Q278" s="4" t="s">
        <v>30</v>
      </c>
    </row>
    <row r="279" spans="1:17" x14ac:dyDescent="0.2">
      <c r="A279" s="4" t="s">
        <v>463</v>
      </c>
      <c r="B279">
        <v>278</v>
      </c>
      <c r="C279" s="4" t="s">
        <v>26</v>
      </c>
      <c r="D279" s="4" t="s">
        <v>38</v>
      </c>
      <c r="E279" s="4" t="s">
        <v>35</v>
      </c>
      <c r="F279" s="4" t="s">
        <v>1122</v>
      </c>
      <c r="G279">
        <v>7</v>
      </c>
      <c r="H279">
        <v>33</v>
      </c>
      <c r="I279" s="4" t="s">
        <v>199</v>
      </c>
      <c r="J279" s="4" t="s">
        <v>200</v>
      </c>
      <c r="K279" s="4" t="s">
        <v>179</v>
      </c>
      <c r="L279" s="4" t="s">
        <v>186</v>
      </c>
      <c r="M279" s="4" t="s">
        <v>195</v>
      </c>
      <c r="N279" s="4" t="s">
        <v>196</v>
      </c>
      <c r="O279" s="4" t="s">
        <v>183</v>
      </c>
      <c r="P279">
        <v>1000</v>
      </c>
      <c r="Q279" s="4" t="s">
        <v>30</v>
      </c>
    </row>
    <row r="280" spans="1:17" x14ac:dyDescent="0.2">
      <c r="A280" s="4" t="s">
        <v>464</v>
      </c>
      <c r="B280">
        <v>279</v>
      </c>
      <c r="C280" s="4" t="s">
        <v>26</v>
      </c>
      <c r="D280" s="4" t="s">
        <v>38</v>
      </c>
      <c r="E280" s="4" t="s">
        <v>35</v>
      </c>
      <c r="F280" s="4" t="s">
        <v>1122</v>
      </c>
      <c r="G280">
        <v>7</v>
      </c>
      <c r="H280">
        <v>33</v>
      </c>
      <c r="I280" s="4" t="s">
        <v>209</v>
      </c>
      <c r="J280" s="4" t="s">
        <v>210</v>
      </c>
      <c r="K280" s="4" t="s">
        <v>205</v>
      </c>
      <c r="L280" s="4" t="s">
        <v>211</v>
      </c>
      <c r="M280" s="4" t="s">
        <v>182</v>
      </c>
      <c r="N280" s="4" t="s">
        <v>182</v>
      </c>
      <c r="O280" s="4" t="s">
        <v>183</v>
      </c>
      <c r="P280">
        <v>15407.71</v>
      </c>
      <c r="Q280" s="4" t="s">
        <v>30</v>
      </c>
    </row>
    <row r="281" spans="1:17" x14ac:dyDescent="0.2">
      <c r="A281" s="4" t="s">
        <v>465</v>
      </c>
      <c r="B281">
        <v>280</v>
      </c>
      <c r="C281" s="4" t="s">
        <v>26</v>
      </c>
      <c r="D281" s="4" t="s">
        <v>38</v>
      </c>
      <c r="E281" s="4" t="s">
        <v>35</v>
      </c>
      <c r="F281" s="4" t="s">
        <v>1122</v>
      </c>
      <c r="G281">
        <v>7</v>
      </c>
      <c r="H281">
        <v>33</v>
      </c>
      <c r="I281" s="4" t="s">
        <v>203</v>
      </c>
      <c r="J281" s="4" t="s">
        <v>204</v>
      </c>
      <c r="K281" s="4" t="s">
        <v>205</v>
      </c>
      <c r="L281" s="4" t="s">
        <v>206</v>
      </c>
      <c r="M281" s="4" t="s">
        <v>182</v>
      </c>
      <c r="N281" s="4" t="s">
        <v>182</v>
      </c>
      <c r="O281" s="4" t="s">
        <v>183</v>
      </c>
      <c r="P281">
        <v>300</v>
      </c>
      <c r="Q281" s="4" t="s">
        <v>30</v>
      </c>
    </row>
    <row r="282" spans="1:17" x14ac:dyDescent="0.2">
      <c r="A282" s="4" t="s">
        <v>466</v>
      </c>
      <c r="B282">
        <v>281</v>
      </c>
      <c r="C282" s="4" t="s">
        <v>26</v>
      </c>
      <c r="D282" s="4" t="s">
        <v>38</v>
      </c>
      <c r="E282" s="4" t="s">
        <v>35</v>
      </c>
      <c r="F282" s="4" t="s">
        <v>1122</v>
      </c>
      <c r="G282">
        <v>7</v>
      </c>
      <c r="H282">
        <v>33</v>
      </c>
      <c r="I282" s="4" t="s">
        <v>201</v>
      </c>
      <c r="J282" s="4" t="s">
        <v>202</v>
      </c>
      <c r="K282" s="4" t="s">
        <v>179</v>
      </c>
      <c r="L282" s="4" t="s">
        <v>180</v>
      </c>
      <c r="M282" s="4" t="s">
        <v>192</v>
      </c>
      <c r="N282" s="4" t="s">
        <v>182</v>
      </c>
      <c r="O282" s="4" t="s">
        <v>189</v>
      </c>
      <c r="P282">
        <v>-15407.71</v>
      </c>
      <c r="Q282" s="4" t="s">
        <v>30</v>
      </c>
    </row>
    <row r="283" spans="1:17" x14ac:dyDescent="0.2">
      <c r="A283" s="4" t="s">
        <v>467</v>
      </c>
      <c r="B283">
        <v>282</v>
      </c>
      <c r="C283" s="4" t="s">
        <v>26</v>
      </c>
      <c r="D283" s="4" t="s">
        <v>38</v>
      </c>
      <c r="E283" s="4" t="s">
        <v>35</v>
      </c>
      <c r="F283" s="4" t="s">
        <v>1122</v>
      </c>
      <c r="G283">
        <v>7</v>
      </c>
      <c r="H283">
        <v>33</v>
      </c>
      <c r="I283" s="4" t="s">
        <v>201</v>
      </c>
      <c r="J283" s="4" t="s">
        <v>202</v>
      </c>
      <c r="K283" s="4" t="s">
        <v>179</v>
      </c>
      <c r="L283" s="4" t="s">
        <v>180</v>
      </c>
      <c r="M283" s="4" t="s">
        <v>192</v>
      </c>
      <c r="N283" s="4" t="s">
        <v>182</v>
      </c>
      <c r="O283" s="4" t="s">
        <v>183</v>
      </c>
      <c r="P283">
        <v>44056.87</v>
      </c>
      <c r="Q283" s="4" t="s">
        <v>30</v>
      </c>
    </row>
    <row r="284" spans="1:17" x14ac:dyDescent="0.2">
      <c r="A284" s="4" t="s">
        <v>468</v>
      </c>
      <c r="B284">
        <v>283</v>
      </c>
      <c r="C284" s="4" t="s">
        <v>26</v>
      </c>
      <c r="D284" s="4" t="s">
        <v>38</v>
      </c>
      <c r="E284" s="4" t="s">
        <v>35</v>
      </c>
      <c r="F284" s="4" t="s">
        <v>1122</v>
      </c>
      <c r="G284">
        <v>7</v>
      </c>
      <c r="H284">
        <v>33</v>
      </c>
      <c r="I284" s="4" t="s">
        <v>212</v>
      </c>
      <c r="J284" s="4" t="s">
        <v>213</v>
      </c>
      <c r="K284" s="4" t="s">
        <v>205</v>
      </c>
      <c r="L284" s="4" t="s">
        <v>214</v>
      </c>
      <c r="M284" s="4" t="s">
        <v>182</v>
      </c>
      <c r="N284" s="4" t="s">
        <v>182</v>
      </c>
      <c r="O284" s="4" t="s">
        <v>189</v>
      </c>
      <c r="P284">
        <v>-17810.27</v>
      </c>
      <c r="Q284" s="4" t="s">
        <v>30</v>
      </c>
    </row>
    <row r="285" spans="1:17" x14ac:dyDescent="0.2">
      <c r="A285" s="4" t="s">
        <v>469</v>
      </c>
      <c r="B285">
        <v>284</v>
      </c>
      <c r="C285" s="4" t="s">
        <v>26</v>
      </c>
      <c r="D285" s="4" t="s">
        <v>38</v>
      </c>
      <c r="E285" s="4" t="s">
        <v>38</v>
      </c>
      <c r="F285" s="4" t="s">
        <v>1151</v>
      </c>
      <c r="G285">
        <v>7</v>
      </c>
      <c r="H285">
        <v>34</v>
      </c>
      <c r="I285" s="4" t="s">
        <v>190</v>
      </c>
      <c r="J285" s="4" t="s">
        <v>191</v>
      </c>
      <c r="K285" s="4" t="s">
        <v>179</v>
      </c>
      <c r="L285" s="4" t="s">
        <v>180</v>
      </c>
      <c r="M285" s="4" t="s">
        <v>192</v>
      </c>
      <c r="N285" s="4" t="s">
        <v>182</v>
      </c>
      <c r="O285" s="4" t="s">
        <v>189</v>
      </c>
      <c r="P285">
        <v>-300</v>
      </c>
      <c r="Q285" s="4" t="s">
        <v>30</v>
      </c>
    </row>
    <row r="286" spans="1:17" x14ac:dyDescent="0.2">
      <c r="A286" s="4" t="s">
        <v>470</v>
      </c>
      <c r="B286">
        <v>285</v>
      </c>
      <c r="C286" s="4" t="s">
        <v>26</v>
      </c>
      <c r="D286" s="4" t="s">
        <v>38</v>
      </c>
      <c r="E286" s="4" t="s">
        <v>38</v>
      </c>
      <c r="F286" s="4" t="s">
        <v>1151</v>
      </c>
      <c r="G286">
        <v>7</v>
      </c>
      <c r="H286">
        <v>34</v>
      </c>
      <c r="I286" s="4" t="s">
        <v>190</v>
      </c>
      <c r="J286" s="4" t="s">
        <v>191</v>
      </c>
      <c r="K286" s="4" t="s">
        <v>179</v>
      </c>
      <c r="L286" s="4" t="s">
        <v>180</v>
      </c>
      <c r="M286" s="4" t="s">
        <v>192</v>
      </c>
      <c r="N286" s="4" t="s">
        <v>182</v>
      </c>
      <c r="O286" s="4" t="s">
        <v>183</v>
      </c>
      <c r="P286">
        <v>13940.87</v>
      </c>
      <c r="Q286" s="4" t="s">
        <v>30</v>
      </c>
    </row>
    <row r="287" spans="1:17" x14ac:dyDescent="0.2">
      <c r="A287" s="4" t="s">
        <v>471</v>
      </c>
      <c r="B287">
        <v>286</v>
      </c>
      <c r="C287" s="4" t="s">
        <v>26</v>
      </c>
      <c r="D287" s="4" t="s">
        <v>38</v>
      </c>
      <c r="E287" s="4" t="s">
        <v>38</v>
      </c>
      <c r="F287" s="4" t="s">
        <v>1151</v>
      </c>
      <c r="G287">
        <v>7</v>
      </c>
      <c r="H287">
        <v>34</v>
      </c>
      <c r="I287" s="4" t="s">
        <v>207</v>
      </c>
      <c r="J287" s="4" t="s">
        <v>208</v>
      </c>
      <c r="K287" s="4" t="s">
        <v>179</v>
      </c>
      <c r="L287" s="4" t="s">
        <v>180</v>
      </c>
      <c r="M287" s="4" t="s">
        <v>192</v>
      </c>
      <c r="N287" s="4" t="s">
        <v>182</v>
      </c>
      <c r="O287" s="4" t="s">
        <v>189</v>
      </c>
      <c r="P287">
        <v>-13940.87</v>
      </c>
      <c r="Q287" s="4" t="s">
        <v>30</v>
      </c>
    </row>
    <row r="288" spans="1:17" x14ac:dyDescent="0.2">
      <c r="A288" s="4" t="s">
        <v>472</v>
      </c>
      <c r="B288">
        <v>287</v>
      </c>
      <c r="C288" s="4" t="s">
        <v>26</v>
      </c>
      <c r="D288" s="4" t="s">
        <v>38</v>
      </c>
      <c r="E288" s="4" t="s">
        <v>38</v>
      </c>
      <c r="F288" s="4" t="s">
        <v>1151</v>
      </c>
      <c r="G288">
        <v>7</v>
      </c>
      <c r="H288">
        <v>34</v>
      </c>
      <c r="I288" s="4" t="s">
        <v>207</v>
      </c>
      <c r="J288" s="4" t="s">
        <v>208</v>
      </c>
      <c r="K288" s="4" t="s">
        <v>179</v>
      </c>
      <c r="L288" s="4" t="s">
        <v>180</v>
      </c>
      <c r="M288" s="4" t="s">
        <v>192</v>
      </c>
      <c r="N288" s="4" t="s">
        <v>182</v>
      </c>
      <c r="O288" s="4" t="s">
        <v>183</v>
      </c>
      <c r="P288">
        <v>13452.29</v>
      </c>
      <c r="Q288" s="4" t="s">
        <v>30</v>
      </c>
    </row>
    <row r="289" spans="1:17" x14ac:dyDescent="0.2">
      <c r="A289" s="4" t="s">
        <v>473</v>
      </c>
      <c r="B289">
        <v>288</v>
      </c>
      <c r="C289" s="4" t="s">
        <v>26</v>
      </c>
      <c r="D289" s="4" t="s">
        <v>38</v>
      </c>
      <c r="E289" s="4" t="s">
        <v>38</v>
      </c>
      <c r="F289" s="4" t="s">
        <v>1151</v>
      </c>
      <c r="G289">
        <v>7</v>
      </c>
      <c r="H289">
        <v>34</v>
      </c>
      <c r="I289" s="4" t="s">
        <v>209</v>
      </c>
      <c r="J289" s="4" t="s">
        <v>210</v>
      </c>
      <c r="K289" s="4" t="s">
        <v>205</v>
      </c>
      <c r="L289" s="4" t="s">
        <v>211</v>
      </c>
      <c r="M289" s="4" t="s">
        <v>182</v>
      </c>
      <c r="N289" s="4" t="s">
        <v>182</v>
      </c>
      <c r="O289" s="4" t="s">
        <v>183</v>
      </c>
      <c r="P289">
        <v>12166.24</v>
      </c>
      <c r="Q289" s="4" t="s">
        <v>30</v>
      </c>
    </row>
    <row r="290" spans="1:17" x14ac:dyDescent="0.2">
      <c r="A290" s="4" t="s">
        <v>474</v>
      </c>
      <c r="B290">
        <v>289</v>
      </c>
      <c r="C290" s="4" t="s">
        <v>26</v>
      </c>
      <c r="D290" s="4" t="s">
        <v>38</v>
      </c>
      <c r="E290" s="4" t="s">
        <v>38</v>
      </c>
      <c r="F290" s="4" t="s">
        <v>1151</v>
      </c>
      <c r="G290">
        <v>7</v>
      </c>
      <c r="H290">
        <v>34</v>
      </c>
      <c r="I290" s="4" t="s">
        <v>203</v>
      </c>
      <c r="J290" s="4" t="s">
        <v>204</v>
      </c>
      <c r="K290" s="4" t="s">
        <v>205</v>
      </c>
      <c r="L290" s="4" t="s">
        <v>206</v>
      </c>
      <c r="M290" s="4" t="s">
        <v>182</v>
      </c>
      <c r="N290" s="4" t="s">
        <v>182</v>
      </c>
      <c r="O290" s="4" t="s">
        <v>183</v>
      </c>
      <c r="P290">
        <v>300</v>
      </c>
      <c r="Q290" s="4" t="s">
        <v>30</v>
      </c>
    </row>
    <row r="291" spans="1:17" x14ac:dyDescent="0.2">
      <c r="A291" s="4" t="s">
        <v>475</v>
      </c>
      <c r="B291">
        <v>290</v>
      </c>
      <c r="C291" s="4" t="s">
        <v>26</v>
      </c>
      <c r="D291" s="4" t="s">
        <v>38</v>
      </c>
      <c r="E291" s="4" t="s">
        <v>38</v>
      </c>
      <c r="F291" s="4" t="s">
        <v>1151</v>
      </c>
      <c r="G291">
        <v>7</v>
      </c>
      <c r="H291">
        <v>34</v>
      </c>
      <c r="I291" s="4" t="s">
        <v>201</v>
      </c>
      <c r="J291" s="4" t="s">
        <v>202</v>
      </c>
      <c r="K291" s="4" t="s">
        <v>179</v>
      </c>
      <c r="L291" s="4" t="s">
        <v>180</v>
      </c>
      <c r="M291" s="4" t="s">
        <v>192</v>
      </c>
      <c r="N291" s="4" t="s">
        <v>182</v>
      </c>
      <c r="O291" s="4" t="s">
        <v>189</v>
      </c>
      <c r="P291">
        <v>-12166.24</v>
      </c>
      <c r="Q291" s="4" t="s">
        <v>30</v>
      </c>
    </row>
    <row r="292" spans="1:17" x14ac:dyDescent="0.2">
      <c r="A292" s="4" t="s">
        <v>476</v>
      </c>
      <c r="B292">
        <v>291</v>
      </c>
      <c r="C292" s="4" t="s">
        <v>26</v>
      </c>
      <c r="D292" s="4" t="s">
        <v>38</v>
      </c>
      <c r="E292" s="4" t="s">
        <v>38</v>
      </c>
      <c r="F292" s="4" t="s">
        <v>1151</v>
      </c>
      <c r="G292">
        <v>7</v>
      </c>
      <c r="H292">
        <v>34</v>
      </c>
      <c r="I292" s="4" t="s">
        <v>212</v>
      </c>
      <c r="J292" s="4" t="s">
        <v>213</v>
      </c>
      <c r="K292" s="4" t="s">
        <v>205</v>
      </c>
      <c r="L292" s="4" t="s">
        <v>214</v>
      </c>
      <c r="M292" s="4" t="s">
        <v>182</v>
      </c>
      <c r="N292" s="4" t="s">
        <v>182</v>
      </c>
      <c r="O292" s="4" t="s">
        <v>189</v>
      </c>
      <c r="P292">
        <v>-13452.29</v>
      </c>
      <c r="Q292" s="4" t="s">
        <v>30</v>
      </c>
    </row>
    <row r="293" spans="1:17" x14ac:dyDescent="0.2">
      <c r="A293" s="4" t="s">
        <v>477</v>
      </c>
      <c r="B293">
        <v>292</v>
      </c>
      <c r="C293" s="4" t="s">
        <v>26</v>
      </c>
      <c r="D293" s="4" t="s">
        <v>38</v>
      </c>
      <c r="E293" s="4" t="s">
        <v>41</v>
      </c>
      <c r="F293" s="4" t="s">
        <v>1180</v>
      </c>
      <c r="G293">
        <v>7</v>
      </c>
      <c r="H293">
        <v>35</v>
      </c>
      <c r="I293" s="4" t="s">
        <v>190</v>
      </c>
      <c r="J293" s="4" t="s">
        <v>191</v>
      </c>
      <c r="K293" s="4" t="s">
        <v>179</v>
      </c>
      <c r="L293" s="4" t="s">
        <v>180</v>
      </c>
      <c r="M293" s="4" t="s">
        <v>192</v>
      </c>
      <c r="N293" s="4" t="s">
        <v>182</v>
      </c>
      <c r="O293" s="4" t="s">
        <v>189</v>
      </c>
      <c r="P293">
        <v>-300</v>
      </c>
      <c r="Q293" s="4" t="s">
        <v>30</v>
      </c>
    </row>
    <row r="294" spans="1:17" x14ac:dyDescent="0.2">
      <c r="A294" s="4" t="s">
        <v>478</v>
      </c>
      <c r="B294">
        <v>293</v>
      </c>
      <c r="C294" s="4" t="s">
        <v>26</v>
      </c>
      <c r="D294" s="4" t="s">
        <v>38</v>
      </c>
      <c r="E294" s="4" t="s">
        <v>41</v>
      </c>
      <c r="F294" s="4" t="s">
        <v>1180</v>
      </c>
      <c r="G294">
        <v>7</v>
      </c>
      <c r="H294">
        <v>35</v>
      </c>
      <c r="I294" s="4" t="s">
        <v>190</v>
      </c>
      <c r="J294" s="4" t="s">
        <v>191</v>
      </c>
      <c r="K294" s="4" t="s">
        <v>179</v>
      </c>
      <c r="L294" s="4" t="s">
        <v>180</v>
      </c>
      <c r="M294" s="4" t="s">
        <v>192</v>
      </c>
      <c r="N294" s="4" t="s">
        <v>182</v>
      </c>
      <c r="O294" s="4" t="s">
        <v>183</v>
      </c>
      <c r="P294">
        <v>27329.88</v>
      </c>
      <c r="Q294" s="4" t="s">
        <v>30</v>
      </c>
    </row>
    <row r="295" spans="1:17" x14ac:dyDescent="0.2">
      <c r="A295" s="4" t="s">
        <v>479</v>
      </c>
      <c r="B295">
        <v>294</v>
      </c>
      <c r="C295" s="4" t="s">
        <v>26</v>
      </c>
      <c r="D295" s="4" t="s">
        <v>38</v>
      </c>
      <c r="E295" s="4" t="s">
        <v>41</v>
      </c>
      <c r="F295" s="4" t="s">
        <v>1180</v>
      </c>
      <c r="G295">
        <v>7</v>
      </c>
      <c r="H295">
        <v>35</v>
      </c>
      <c r="I295" s="4" t="s">
        <v>207</v>
      </c>
      <c r="J295" s="4" t="s">
        <v>208</v>
      </c>
      <c r="K295" s="4" t="s">
        <v>179</v>
      </c>
      <c r="L295" s="4" t="s">
        <v>180</v>
      </c>
      <c r="M295" s="4" t="s">
        <v>192</v>
      </c>
      <c r="N295" s="4" t="s">
        <v>182</v>
      </c>
      <c r="O295" s="4" t="s">
        <v>189</v>
      </c>
      <c r="P295">
        <v>-27329.88</v>
      </c>
      <c r="Q295" s="4" t="s">
        <v>30</v>
      </c>
    </row>
    <row r="296" spans="1:17" x14ac:dyDescent="0.2">
      <c r="A296" s="4" t="s">
        <v>480</v>
      </c>
      <c r="B296">
        <v>295</v>
      </c>
      <c r="C296" s="4" t="s">
        <v>26</v>
      </c>
      <c r="D296" s="4" t="s">
        <v>38</v>
      </c>
      <c r="E296" s="4" t="s">
        <v>41</v>
      </c>
      <c r="F296" s="4" t="s">
        <v>1180</v>
      </c>
      <c r="G296">
        <v>7</v>
      </c>
      <c r="H296">
        <v>35</v>
      </c>
      <c r="I296" s="4" t="s">
        <v>207</v>
      </c>
      <c r="J296" s="4" t="s">
        <v>208</v>
      </c>
      <c r="K296" s="4" t="s">
        <v>179</v>
      </c>
      <c r="L296" s="4" t="s">
        <v>180</v>
      </c>
      <c r="M296" s="4" t="s">
        <v>192</v>
      </c>
      <c r="N296" s="4" t="s">
        <v>182</v>
      </c>
      <c r="O296" s="4" t="s">
        <v>183</v>
      </c>
      <c r="P296">
        <v>15015.23</v>
      </c>
      <c r="Q296" s="4" t="s">
        <v>30</v>
      </c>
    </row>
    <row r="297" spans="1:17" x14ac:dyDescent="0.2">
      <c r="A297" s="4" t="s">
        <v>481</v>
      </c>
      <c r="B297">
        <v>296</v>
      </c>
      <c r="C297" s="4" t="s">
        <v>26</v>
      </c>
      <c r="D297" s="4" t="s">
        <v>38</v>
      </c>
      <c r="E297" s="4" t="s">
        <v>41</v>
      </c>
      <c r="F297" s="4" t="s">
        <v>1180</v>
      </c>
      <c r="G297">
        <v>7</v>
      </c>
      <c r="H297">
        <v>35</v>
      </c>
      <c r="I297" s="4" t="s">
        <v>209</v>
      </c>
      <c r="J297" s="4" t="s">
        <v>210</v>
      </c>
      <c r="K297" s="4" t="s">
        <v>205</v>
      </c>
      <c r="L297" s="4" t="s">
        <v>211</v>
      </c>
      <c r="M297" s="4" t="s">
        <v>182</v>
      </c>
      <c r="N297" s="4" t="s">
        <v>182</v>
      </c>
      <c r="O297" s="4" t="s">
        <v>183</v>
      </c>
      <c r="P297">
        <v>12739.36</v>
      </c>
      <c r="Q297" s="4" t="s">
        <v>30</v>
      </c>
    </row>
    <row r="298" spans="1:17" x14ac:dyDescent="0.2">
      <c r="A298" s="4" t="s">
        <v>482</v>
      </c>
      <c r="B298">
        <v>297</v>
      </c>
      <c r="C298" s="4" t="s">
        <v>26</v>
      </c>
      <c r="D298" s="4" t="s">
        <v>38</v>
      </c>
      <c r="E298" s="4" t="s">
        <v>41</v>
      </c>
      <c r="F298" s="4" t="s">
        <v>1180</v>
      </c>
      <c r="G298">
        <v>7</v>
      </c>
      <c r="H298">
        <v>35</v>
      </c>
      <c r="I298" s="4" t="s">
        <v>203</v>
      </c>
      <c r="J298" s="4" t="s">
        <v>204</v>
      </c>
      <c r="K298" s="4" t="s">
        <v>205</v>
      </c>
      <c r="L298" s="4" t="s">
        <v>206</v>
      </c>
      <c r="M298" s="4" t="s">
        <v>182</v>
      </c>
      <c r="N298" s="4" t="s">
        <v>182</v>
      </c>
      <c r="O298" s="4" t="s">
        <v>183</v>
      </c>
      <c r="P298">
        <v>300</v>
      </c>
      <c r="Q298" s="4" t="s">
        <v>30</v>
      </c>
    </row>
    <row r="299" spans="1:17" x14ac:dyDescent="0.2">
      <c r="A299" s="4" t="s">
        <v>483</v>
      </c>
      <c r="B299">
        <v>298</v>
      </c>
      <c r="C299" s="4" t="s">
        <v>26</v>
      </c>
      <c r="D299" s="4" t="s">
        <v>38</v>
      </c>
      <c r="E299" s="4" t="s">
        <v>41</v>
      </c>
      <c r="F299" s="4" t="s">
        <v>1180</v>
      </c>
      <c r="G299">
        <v>7</v>
      </c>
      <c r="H299">
        <v>35</v>
      </c>
      <c r="I299" s="4" t="s">
        <v>201</v>
      </c>
      <c r="J299" s="4" t="s">
        <v>202</v>
      </c>
      <c r="K299" s="4" t="s">
        <v>179</v>
      </c>
      <c r="L299" s="4" t="s">
        <v>180</v>
      </c>
      <c r="M299" s="4" t="s">
        <v>192</v>
      </c>
      <c r="N299" s="4" t="s">
        <v>182</v>
      </c>
      <c r="O299" s="4" t="s">
        <v>189</v>
      </c>
      <c r="P299">
        <v>-12739.36</v>
      </c>
      <c r="Q299" s="4" t="s">
        <v>30</v>
      </c>
    </row>
    <row r="300" spans="1:17" x14ac:dyDescent="0.2">
      <c r="A300" s="4" t="s">
        <v>484</v>
      </c>
      <c r="B300">
        <v>299</v>
      </c>
      <c r="C300" s="4" t="s">
        <v>26</v>
      </c>
      <c r="D300" s="4" t="s">
        <v>38</v>
      </c>
      <c r="E300" s="4" t="s">
        <v>41</v>
      </c>
      <c r="F300" s="4" t="s">
        <v>1180</v>
      </c>
      <c r="G300">
        <v>7</v>
      </c>
      <c r="H300">
        <v>35</v>
      </c>
      <c r="I300" s="4" t="s">
        <v>212</v>
      </c>
      <c r="J300" s="4" t="s">
        <v>213</v>
      </c>
      <c r="K300" s="4" t="s">
        <v>205</v>
      </c>
      <c r="L300" s="4" t="s">
        <v>214</v>
      </c>
      <c r="M300" s="4" t="s">
        <v>182</v>
      </c>
      <c r="N300" s="4" t="s">
        <v>182</v>
      </c>
      <c r="O300" s="4" t="s">
        <v>189</v>
      </c>
      <c r="P300">
        <v>-15015.23</v>
      </c>
      <c r="Q300" s="4" t="s">
        <v>30</v>
      </c>
    </row>
    <row r="301" spans="1:17" x14ac:dyDescent="0.2">
      <c r="A301" s="4" t="s">
        <v>485</v>
      </c>
      <c r="B301">
        <v>300</v>
      </c>
      <c r="C301" s="4" t="s">
        <v>26</v>
      </c>
      <c r="D301" s="4" t="s">
        <v>38</v>
      </c>
      <c r="E301" s="4" t="s">
        <v>44</v>
      </c>
      <c r="F301" s="4" t="s">
        <v>1210</v>
      </c>
      <c r="G301">
        <v>8</v>
      </c>
      <c r="H301">
        <v>36</v>
      </c>
      <c r="I301" s="4" t="s">
        <v>190</v>
      </c>
      <c r="J301" s="4" t="s">
        <v>191</v>
      </c>
      <c r="K301" s="4" t="s">
        <v>179</v>
      </c>
      <c r="L301" s="4" t="s">
        <v>180</v>
      </c>
      <c r="M301" s="4" t="s">
        <v>192</v>
      </c>
      <c r="N301" s="4" t="s">
        <v>182</v>
      </c>
      <c r="O301" s="4" t="s">
        <v>189</v>
      </c>
      <c r="P301">
        <v>-300</v>
      </c>
      <c r="Q301" s="4" t="s">
        <v>30</v>
      </c>
    </row>
    <row r="302" spans="1:17" x14ac:dyDescent="0.2">
      <c r="A302" s="4" t="s">
        <v>486</v>
      </c>
      <c r="B302">
        <v>301</v>
      </c>
      <c r="C302" s="4" t="s">
        <v>26</v>
      </c>
      <c r="D302" s="4" t="s">
        <v>38</v>
      </c>
      <c r="E302" s="4" t="s">
        <v>44</v>
      </c>
      <c r="F302" s="4" t="s">
        <v>1210</v>
      </c>
      <c r="G302">
        <v>8</v>
      </c>
      <c r="H302">
        <v>36</v>
      </c>
      <c r="I302" s="4" t="s">
        <v>190</v>
      </c>
      <c r="J302" s="4" t="s">
        <v>191</v>
      </c>
      <c r="K302" s="4" t="s">
        <v>179</v>
      </c>
      <c r="L302" s="4" t="s">
        <v>180</v>
      </c>
      <c r="M302" s="4" t="s">
        <v>192</v>
      </c>
      <c r="N302" s="4" t="s">
        <v>182</v>
      </c>
      <c r="O302" s="4" t="s">
        <v>183</v>
      </c>
      <c r="P302">
        <v>12453.65</v>
      </c>
      <c r="Q302" s="4" t="s">
        <v>30</v>
      </c>
    </row>
    <row r="303" spans="1:17" x14ac:dyDescent="0.2">
      <c r="A303" s="4" t="s">
        <v>487</v>
      </c>
      <c r="B303">
        <v>302</v>
      </c>
      <c r="C303" s="4" t="s">
        <v>26</v>
      </c>
      <c r="D303" s="4" t="s">
        <v>38</v>
      </c>
      <c r="E303" s="4" t="s">
        <v>44</v>
      </c>
      <c r="F303" s="4" t="s">
        <v>1210</v>
      </c>
      <c r="G303">
        <v>8</v>
      </c>
      <c r="H303">
        <v>36</v>
      </c>
      <c r="I303" s="4" t="s">
        <v>207</v>
      </c>
      <c r="J303" s="4" t="s">
        <v>208</v>
      </c>
      <c r="K303" s="4" t="s">
        <v>179</v>
      </c>
      <c r="L303" s="4" t="s">
        <v>180</v>
      </c>
      <c r="M303" s="4" t="s">
        <v>192</v>
      </c>
      <c r="N303" s="4" t="s">
        <v>182</v>
      </c>
      <c r="O303" s="4" t="s">
        <v>189</v>
      </c>
      <c r="P303">
        <v>-12453.65</v>
      </c>
      <c r="Q303" s="4" t="s">
        <v>30</v>
      </c>
    </row>
    <row r="304" spans="1:17" x14ac:dyDescent="0.2">
      <c r="A304" s="4" t="s">
        <v>488</v>
      </c>
      <c r="B304">
        <v>303</v>
      </c>
      <c r="C304" s="4" t="s">
        <v>26</v>
      </c>
      <c r="D304" s="4" t="s">
        <v>38</v>
      </c>
      <c r="E304" s="4" t="s">
        <v>44</v>
      </c>
      <c r="F304" s="4" t="s">
        <v>1210</v>
      </c>
      <c r="G304">
        <v>8</v>
      </c>
      <c r="H304">
        <v>36</v>
      </c>
      <c r="I304" s="4" t="s">
        <v>207</v>
      </c>
      <c r="J304" s="4" t="s">
        <v>208</v>
      </c>
      <c r="K304" s="4" t="s">
        <v>179</v>
      </c>
      <c r="L304" s="4" t="s">
        <v>180</v>
      </c>
      <c r="M304" s="4" t="s">
        <v>192</v>
      </c>
      <c r="N304" s="4" t="s">
        <v>182</v>
      </c>
      <c r="O304" s="4" t="s">
        <v>183</v>
      </c>
      <c r="P304">
        <v>17738.169999999998</v>
      </c>
      <c r="Q304" s="4" t="s">
        <v>30</v>
      </c>
    </row>
    <row r="305" spans="1:17" x14ac:dyDescent="0.2">
      <c r="A305" s="4" t="s">
        <v>489</v>
      </c>
      <c r="B305">
        <v>304</v>
      </c>
      <c r="C305" s="4" t="s">
        <v>26</v>
      </c>
      <c r="D305" s="4" t="s">
        <v>38</v>
      </c>
      <c r="E305" s="4" t="s">
        <v>44</v>
      </c>
      <c r="F305" s="4" t="s">
        <v>1210</v>
      </c>
      <c r="G305">
        <v>8</v>
      </c>
      <c r="H305">
        <v>36</v>
      </c>
      <c r="I305" s="4" t="s">
        <v>209</v>
      </c>
      <c r="J305" s="4" t="s">
        <v>210</v>
      </c>
      <c r="K305" s="4" t="s">
        <v>205</v>
      </c>
      <c r="L305" s="4" t="s">
        <v>211</v>
      </c>
      <c r="M305" s="4" t="s">
        <v>182</v>
      </c>
      <c r="N305" s="4" t="s">
        <v>182</v>
      </c>
      <c r="O305" s="4" t="s">
        <v>183</v>
      </c>
      <c r="P305">
        <v>15807.68</v>
      </c>
      <c r="Q305" s="4" t="s">
        <v>30</v>
      </c>
    </row>
    <row r="306" spans="1:17" x14ac:dyDescent="0.2">
      <c r="A306" s="4" t="s">
        <v>490</v>
      </c>
      <c r="B306">
        <v>305</v>
      </c>
      <c r="C306" s="4" t="s">
        <v>26</v>
      </c>
      <c r="D306" s="4" t="s">
        <v>38</v>
      </c>
      <c r="E306" s="4" t="s">
        <v>44</v>
      </c>
      <c r="F306" s="4" t="s">
        <v>1210</v>
      </c>
      <c r="G306">
        <v>8</v>
      </c>
      <c r="H306">
        <v>36</v>
      </c>
      <c r="I306" s="4" t="s">
        <v>203</v>
      </c>
      <c r="J306" s="4" t="s">
        <v>204</v>
      </c>
      <c r="K306" s="4" t="s">
        <v>205</v>
      </c>
      <c r="L306" s="4" t="s">
        <v>206</v>
      </c>
      <c r="M306" s="4" t="s">
        <v>182</v>
      </c>
      <c r="N306" s="4" t="s">
        <v>182</v>
      </c>
      <c r="O306" s="4" t="s">
        <v>183</v>
      </c>
      <c r="P306">
        <v>300</v>
      </c>
      <c r="Q306" s="4" t="s">
        <v>30</v>
      </c>
    </row>
    <row r="307" spans="1:17" x14ac:dyDescent="0.2">
      <c r="A307" s="4" t="s">
        <v>491</v>
      </c>
      <c r="B307">
        <v>306</v>
      </c>
      <c r="C307" s="4" t="s">
        <v>26</v>
      </c>
      <c r="D307" s="4" t="s">
        <v>38</v>
      </c>
      <c r="E307" s="4" t="s">
        <v>44</v>
      </c>
      <c r="F307" s="4" t="s">
        <v>1210</v>
      </c>
      <c r="G307">
        <v>8</v>
      </c>
      <c r="H307">
        <v>36</v>
      </c>
      <c r="I307" s="4" t="s">
        <v>201</v>
      </c>
      <c r="J307" s="4" t="s">
        <v>202</v>
      </c>
      <c r="K307" s="4" t="s">
        <v>179</v>
      </c>
      <c r="L307" s="4" t="s">
        <v>180</v>
      </c>
      <c r="M307" s="4" t="s">
        <v>192</v>
      </c>
      <c r="N307" s="4" t="s">
        <v>182</v>
      </c>
      <c r="O307" s="4" t="s">
        <v>189</v>
      </c>
      <c r="P307">
        <v>-15807.68</v>
      </c>
      <c r="Q307" s="4" t="s">
        <v>30</v>
      </c>
    </row>
    <row r="308" spans="1:17" x14ac:dyDescent="0.2">
      <c r="A308" s="4" t="s">
        <v>492</v>
      </c>
      <c r="B308">
        <v>307</v>
      </c>
      <c r="C308" s="4" t="s">
        <v>26</v>
      </c>
      <c r="D308" s="4" t="s">
        <v>38</v>
      </c>
      <c r="E308" s="4" t="s">
        <v>44</v>
      </c>
      <c r="F308" s="4" t="s">
        <v>1210</v>
      </c>
      <c r="G308">
        <v>8</v>
      </c>
      <c r="H308">
        <v>36</v>
      </c>
      <c r="I308" s="4" t="s">
        <v>212</v>
      </c>
      <c r="J308" s="4" t="s">
        <v>213</v>
      </c>
      <c r="K308" s="4" t="s">
        <v>205</v>
      </c>
      <c r="L308" s="4" t="s">
        <v>214</v>
      </c>
      <c r="M308" s="4" t="s">
        <v>182</v>
      </c>
      <c r="N308" s="4" t="s">
        <v>182</v>
      </c>
      <c r="O308" s="4" t="s">
        <v>189</v>
      </c>
      <c r="P308">
        <v>-17738.169999999998</v>
      </c>
      <c r="Q308" s="4" t="s">
        <v>30</v>
      </c>
    </row>
    <row r="309" spans="1:17" x14ac:dyDescent="0.2">
      <c r="A309" s="4" t="s">
        <v>493</v>
      </c>
      <c r="B309">
        <v>308</v>
      </c>
      <c r="C309" s="4" t="s">
        <v>26</v>
      </c>
      <c r="D309" s="4" t="s">
        <v>38</v>
      </c>
      <c r="E309" s="4" t="s">
        <v>47</v>
      </c>
      <c r="F309" s="4" t="s">
        <v>1240</v>
      </c>
      <c r="G309">
        <v>8</v>
      </c>
      <c r="H309">
        <v>37</v>
      </c>
      <c r="I309" s="4" t="s">
        <v>190</v>
      </c>
      <c r="J309" s="4" t="s">
        <v>191</v>
      </c>
      <c r="K309" s="4" t="s">
        <v>179</v>
      </c>
      <c r="L309" s="4" t="s">
        <v>180</v>
      </c>
      <c r="M309" s="4" t="s">
        <v>192</v>
      </c>
      <c r="N309" s="4" t="s">
        <v>182</v>
      </c>
      <c r="O309" s="4" t="s">
        <v>189</v>
      </c>
      <c r="P309">
        <v>-200</v>
      </c>
      <c r="Q309" s="4" t="s">
        <v>30</v>
      </c>
    </row>
    <row r="310" spans="1:17" x14ac:dyDescent="0.2">
      <c r="A310" s="4" t="s">
        <v>494</v>
      </c>
      <c r="B310">
        <v>309</v>
      </c>
      <c r="C310" s="4" t="s">
        <v>26</v>
      </c>
      <c r="D310" s="4" t="s">
        <v>38</v>
      </c>
      <c r="E310" s="4" t="s">
        <v>47</v>
      </c>
      <c r="F310" s="4" t="s">
        <v>1240</v>
      </c>
      <c r="G310">
        <v>8</v>
      </c>
      <c r="H310">
        <v>37</v>
      </c>
      <c r="I310" s="4" t="s">
        <v>190</v>
      </c>
      <c r="J310" s="4" t="s">
        <v>191</v>
      </c>
      <c r="K310" s="4" t="s">
        <v>179</v>
      </c>
      <c r="L310" s="4" t="s">
        <v>180</v>
      </c>
      <c r="M310" s="4" t="s">
        <v>192</v>
      </c>
      <c r="N310" s="4" t="s">
        <v>182</v>
      </c>
      <c r="O310" s="4" t="s">
        <v>183</v>
      </c>
      <c r="P310">
        <v>17810.27</v>
      </c>
      <c r="Q310" s="4" t="s">
        <v>30</v>
      </c>
    </row>
    <row r="311" spans="1:17" x14ac:dyDescent="0.2">
      <c r="A311" s="4" t="s">
        <v>495</v>
      </c>
      <c r="B311">
        <v>310</v>
      </c>
      <c r="C311" s="4" t="s">
        <v>26</v>
      </c>
      <c r="D311" s="4" t="s">
        <v>38</v>
      </c>
      <c r="E311" s="4" t="s">
        <v>47</v>
      </c>
      <c r="F311" s="4" t="s">
        <v>1240</v>
      </c>
      <c r="G311">
        <v>8</v>
      </c>
      <c r="H311">
        <v>37</v>
      </c>
      <c r="I311" s="4" t="s">
        <v>207</v>
      </c>
      <c r="J311" s="4" t="s">
        <v>208</v>
      </c>
      <c r="K311" s="4" t="s">
        <v>179</v>
      </c>
      <c r="L311" s="4" t="s">
        <v>180</v>
      </c>
      <c r="M311" s="4" t="s">
        <v>192</v>
      </c>
      <c r="N311" s="4" t="s">
        <v>182</v>
      </c>
      <c r="O311" s="4" t="s">
        <v>189</v>
      </c>
      <c r="P311">
        <v>-17810.27</v>
      </c>
      <c r="Q311" s="4" t="s">
        <v>30</v>
      </c>
    </row>
    <row r="312" spans="1:17" x14ac:dyDescent="0.2">
      <c r="A312" s="4" t="s">
        <v>496</v>
      </c>
      <c r="B312">
        <v>311</v>
      </c>
      <c r="C312" s="4" t="s">
        <v>26</v>
      </c>
      <c r="D312" s="4" t="s">
        <v>38</v>
      </c>
      <c r="E312" s="4" t="s">
        <v>47</v>
      </c>
      <c r="F312" s="4" t="s">
        <v>1240</v>
      </c>
      <c r="G312">
        <v>8</v>
      </c>
      <c r="H312">
        <v>37</v>
      </c>
      <c r="I312" s="4" t="s">
        <v>207</v>
      </c>
      <c r="J312" s="4" t="s">
        <v>208</v>
      </c>
      <c r="K312" s="4" t="s">
        <v>179</v>
      </c>
      <c r="L312" s="4" t="s">
        <v>180</v>
      </c>
      <c r="M312" s="4" t="s">
        <v>192</v>
      </c>
      <c r="N312" s="4" t="s">
        <v>182</v>
      </c>
      <c r="O312" s="4" t="s">
        <v>183</v>
      </c>
      <c r="P312">
        <v>17790.63</v>
      </c>
      <c r="Q312" s="4" t="s">
        <v>30</v>
      </c>
    </row>
    <row r="313" spans="1:17" x14ac:dyDescent="0.2">
      <c r="A313" s="4" t="s">
        <v>497</v>
      </c>
      <c r="B313">
        <v>312</v>
      </c>
      <c r="C313" s="4" t="s">
        <v>26</v>
      </c>
      <c r="D313" s="4" t="s">
        <v>38</v>
      </c>
      <c r="E313" s="4" t="s">
        <v>47</v>
      </c>
      <c r="F313" s="4" t="s">
        <v>1240</v>
      </c>
      <c r="G313">
        <v>8</v>
      </c>
      <c r="H313">
        <v>37</v>
      </c>
      <c r="I313" s="4" t="s">
        <v>209</v>
      </c>
      <c r="J313" s="4" t="s">
        <v>210</v>
      </c>
      <c r="K313" s="4" t="s">
        <v>205</v>
      </c>
      <c r="L313" s="4" t="s">
        <v>211</v>
      </c>
      <c r="M313" s="4" t="s">
        <v>182</v>
      </c>
      <c r="N313" s="4" t="s">
        <v>182</v>
      </c>
      <c r="O313" s="4" t="s">
        <v>183</v>
      </c>
      <c r="P313">
        <v>15251.07</v>
      </c>
      <c r="Q313" s="4" t="s">
        <v>30</v>
      </c>
    </row>
    <row r="314" spans="1:17" x14ac:dyDescent="0.2">
      <c r="A314" s="4" t="s">
        <v>498</v>
      </c>
      <c r="B314">
        <v>313</v>
      </c>
      <c r="C314" s="4" t="s">
        <v>26</v>
      </c>
      <c r="D314" s="4" t="s">
        <v>38</v>
      </c>
      <c r="E314" s="4" t="s">
        <v>47</v>
      </c>
      <c r="F314" s="4" t="s">
        <v>1240</v>
      </c>
      <c r="G314">
        <v>8</v>
      </c>
      <c r="H314">
        <v>37</v>
      </c>
      <c r="I314" s="4" t="s">
        <v>203</v>
      </c>
      <c r="J314" s="4" t="s">
        <v>204</v>
      </c>
      <c r="K314" s="4" t="s">
        <v>205</v>
      </c>
      <c r="L314" s="4" t="s">
        <v>206</v>
      </c>
      <c r="M314" s="4" t="s">
        <v>182</v>
      </c>
      <c r="N314" s="4" t="s">
        <v>182</v>
      </c>
      <c r="O314" s="4" t="s">
        <v>183</v>
      </c>
      <c r="P314">
        <v>200</v>
      </c>
      <c r="Q314" s="4" t="s">
        <v>30</v>
      </c>
    </row>
    <row r="315" spans="1:17" x14ac:dyDescent="0.2">
      <c r="A315" s="4" t="s">
        <v>499</v>
      </c>
      <c r="B315">
        <v>314</v>
      </c>
      <c r="C315" s="4" t="s">
        <v>26</v>
      </c>
      <c r="D315" s="4" t="s">
        <v>38</v>
      </c>
      <c r="E315" s="4" t="s">
        <v>47</v>
      </c>
      <c r="F315" s="4" t="s">
        <v>1240</v>
      </c>
      <c r="G315">
        <v>8</v>
      </c>
      <c r="H315">
        <v>37</v>
      </c>
      <c r="I315" s="4" t="s">
        <v>201</v>
      </c>
      <c r="J315" s="4" t="s">
        <v>202</v>
      </c>
      <c r="K315" s="4" t="s">
        <v>179</v>
      </c>
      <c r="L315" s="4" t="s">
        <v>180</v>
      </c>
      <c r="M315" s="4" t="s">
        <v>192</v>
      </c>
      <c r="N315" s="4" t="s">
        <v>182</v>
      </c>
      <c r="O315" s="4" t="s">
        <v>189</v>
      </c>
      <c r="P315">
        <v>-15251.07</v>
      </c>
      <c r="Q315" s="4" t="s">
        <v>30</v>
      </c>
    </row>
    <row r="316" spans="1:17" x14ac:dyDescent="0.2">
      <c r="A316" s="4" t="s">
        <v>500</v>
      </c>
      <c r="B316">
        <v>315</v>
      </c>
      <c r="C316" s="4" t="s">
        <v>26</v>
      </c>
      <c r="D316" s="4" t="s">
        <v>38</v>
      </c>
      <c r="E316" s="4" t="s">
        <v>47</v>
      </c>
      <c r="F316" s="4" t="s">
        <v>1240</v>
      </c>
      <c r="G316">
        <v>8</v>
      </c>
      <c r="H316">
        <v>37</v>
      </c>
      <c r="I316" s="4" t="s">
        <v>212</v>
      </c>
      <c r="J316" s="4" t="s">
        <v>213</v>
      </c>
      <c r="K316" s="4" t="s">
        <v>205</v>
      </c>
      <c r="L316" s="4" t="s">
        <v>214</v>
      </c>
      <c r="M316" s="4" t="s">
        <v>182</v>
      </c>
      <c r="N316" s="4" t="s">
        <v>182</v>
      </c>
      <c r="O316" s="4" t="s">
        <v>189</v>
      </c>
      <c r="P316">
        <v>-17790.63</v>
      </c>
      <c r="Q316" s="4" t="s">
        <v>30</v>
      </c>
    </row>
    <row r="317" spans="1:17" x14ac:dyDescent="0.2">
      <c r="A317" s="4" t="s">
        <v>501</v>
      </c>
      <c r="B317">
        <v>316</v>
      </c>
      <c r="C317" s="4" t="s">
        <v>26</v>
      </c>
      <c r="D317" s="4" t="s">
        <v>38</v>
      </c>
      <c r="E317" s="4" t="s">
        <v>50</v>
      </c>
      <c r="F317" s="4" t="s">
        <v>1270</v>
      </c>
      <c r="G317">
        <v>8</v>
      </c>
      <c r="H317">
        <v>38</v>
      </c>
      <c r="I317" s="4" t="s">
        <v>190</v>
      </c>
      <c r="J317" s="4" t="s">
        <v>191</v>
      </c>
      <c r="K317" s="4" t="s">
        <v>179</v>
      </c>
      <c r="L317" s="4" t="s">
        <v>180</v>
      </c>
      <c r="M317" s="4" t="s">
        <v>192</v>
      </c>
      <c r="N317" s="4" t="s">
        <v>182</v>
      </c>
      <c r="O317" s="4" t="s">
        <v>189</v>
      </c>
      <c r="P317">
        <v>-44356.87</v>
      </c>
      <c r="Q317" s="4" t="s">
        <v>30</v>
      </c>
    </row>
    <row r="318" spans="1:17" x14ac:dyDescent="0.2">
      <c r="A318" s="4" t="s">
        <v>502</v>
      </c>
      <c r="B318">
        <v>317</v>
      </c>
      <c r="C318" s="4" t="s">
        <v>26</v>
      </c>
      <c r="D318" s="4" t="s">
        <v>38</v>
      </c>
      <c r="E318" s="4" t="s">
        <v>50</v>
      </c>
      <c r="F318" s="4" t="s">
        <v>1270</v>
      </c>
      <c r="G318">
        <v>8</v>
      </c>
      <c r="H318">
        <v>38</v>
      </c>
      <c r="I318" s="4" t="s">
        <v>190</v>
      </c>
      <c r="J318" s="4" t="s">
        <v>191</v>
      </c>
      <c r="K318" s="4" t="s">
        <v>179</v>
      </c>
      <c r="L318" s="4" t="s">
        <v>180</v>
      </c>
      <c r="M318" s="4" t="s">
        <v>192</v>
      </c>
      <c r="N318" s="4" t="s">
        <v>182</v>
      </c>
      <c r="O318" s="4" t="s">
        <v>183</v>
      </c>
      <c r="P318">
        <v>13452.29</v>
      </c>
      <c r="Q318" s="4" t="s">
        <v>30</v>
      </c>
    </row>
    <row r="319" spans="1:17" x14ac:dyDescent="0.2">
      <c r="A319" s="4" t="s">
        <v>503</v>
      </c>
      <c r="B319">
        <v>318</v>
      </c>
      <c r="C319" s="4" t="s">
        <v>26</v>
      </c>
      <c r="D319" s="4" t="s">
        <v>38</v>
      </c>
      <c r="E319" s="4" t="s">
        <v>50</v>
      </c>
      <c r="F319" s="4" t="s">
        <v>1270</v>
      </c>
      <c r="G319">
        <v>8</v>
      </c>
      <c r="H319">
        <v>38</v>
      </c>
      <c r="I319" s="4" t="s">
        <v>207</v>
      </c>
      <c r="J319" s="4" t="s">
        <v>208</v>
      </c>
      <c r="K319" s="4" t="s">
        <v>179</v>
      </c>
      <c r="L319" s="4" t="s">
        <v>180</v>
      </c>
      <c r="M319" s="4" t="s">
        <v>192</v>
      </c>
      <c r="N319" s="4" t="s">
        <v>182</v>
      </c>
      <c r="O319" s="4" t="s">
        <v>189</v>
      </c>
      <c r="P319">
        <v>-13452.29</v>
      </c>
      <c r="Q319" s="4" t="s">
        <v>30</v>
      </c>
    </row>
    <row r="320" spans="1:17" x14ac:dyDescent="0.2">
      <c r="A320" s="4" t="s">
        <v>504</v>
      </c>
      <c r="B320">
        <v>319</v>
      </c>
      <c r="C320" s="4" t="s">
        <v>26</v>
      </c>
      <c r="D320" s="4" t="s">
        <v>38</v>
      </c>
      <c r="E320" s="4" t="s">
        <v>50</v>
      </c>
      <c r="F320" s="4" t="s">
        <v>1270</v>
      </c>
      <c r="G320">
        <v>8</v>
      </c>
      <c r="H320">
        <v>38</v>
      </c>
      <c r="I320" s="4" t="s">
        <v>207</v>
      </c>
      <c r="J320" s="4" t="s">
        <v>208</v>
      </c>
      <c r="K320" s="4" t="s">
        <v>179</v>
      </c>
      <c r="L320" s="4" t="s">
        <v>180</v>
      </c>
      <c r="M320" s="4" t="s">
        <v>192</v>
      </c>
      <c r="N320" s="4" t="s">
        <v>182</v>
      </c>
      <c r="O320" s="4" t="s">
        <v>183</v>
      </c>
      <c r="P320">
        <v>16246.6</v>
      </c>
      <c r="Q320" s="4" t="s">
        <v>30</v>
      </c>
    </row>
    <row r="321" spans="1:17" x14ac:dyDescent="0.2">
      <c r="A321" s="4" t="s">
        <v>505</v>
      </c>
      <c r="B321">
        <v>320</v>
      </c>
      <c r="C321" s="4" t="s">
        <v>26</v>
      </c>
      <c r="D321" s="4" t="s">
        <v>38</v>
      </c>
      <c r="E321" s="4" t="s">
        <v>50</v>
      </c>
      <c r="F321" s="4" t="s">
        <v>1270</v>
      </c>
      <c r="G321">
        <v>8</v>
      </c>
      <c r="H321">
        <v>38</v>
      </c>
      <c r="I321" s="4" t="s">
        <v>193</v>
      </c>
      <c r="J321" s="4" t="s">
        <v>194</v>
      </c>
      <c r="K321" s="4" t="s">
        <v>179</v>
      </c>
      <c r="L321" s="4" t="s">
        <v>186</v>
      </c>
      <c r="M321" s="4" t="s">
        <v>195</v>
      </c>
      <c r="N321" s="4" t="s">
        <v>196</v>
      </c>
      <c r="O321" s="4" t="s">
        <v>183</v>
      </c>
      <c r="P321">
        <v>44056.87</v>
      </c>
      <c r="Q321" s="4" t="s">
        <v>30</v>
      </c>
    </row>
    <row r="322" spans="1:17" x14ac:dyDescent="0.2">
      <c r="A322" s="4" t="s">
        <v>506</v>
      </c>
      <c r="B322">
        <v>321</v>
      </c>
      <c r="C322" s="4" t="s">
        <v>26</v>
      </c>
      <c r="D322" s="4" t="s">
        <v>38</v>
      </c>
      <c r="E322" s="4" t="s">
        <v>50</v>
      </c>
      <c r="F322" s="4" t="s">
        <v>1270</v>
      </c>
      <c r="G322">
        <v>8</v>
      </c>
      <c r="H322">
        <v>38</v>
      </c>
      <c r="I322" s="4" t="s">
        <v>209</v>
      </c>
      <c r="J322" s="4" t="s">
        <v>210</v>
      </c>
      <c r="K322" s="4" t="s">
        <v>205</v>
      </c>
      <c r="L322" s="4" t="s">
        <v>211</v>
      </c>
      <c r="M322" s="4" t="s">
        <v>182</v>
      </c>
      <c r="N322" s="4" t="s">
        <v>182</v>
      </c>
      <c r="O322" s="4" t="s">
        <v>183</v>
      </c>
      <c r="P322">
        <v>14026.11</v>
      </c>
      <c r="Q322" s="4" t="s">
        <v>30</v>
      </c>
    </row>
    <row r="323" spans="1:17" x14ac:dyDescent="0.2">
      <c r="A323" s="4" t="s">
        <v>507</v>
      </c>
      <c r="B323">
        <v>322</v>
      </c>
      <c r="C323" s="4" t="s">
        <v>26</v>
      </c>
      <c r="D323" s="4" t="s">
        <v>38</v>
      </c>
      <c r="E323" s="4" t="s">
        <v>50</v>
      </c>
      <c r="F323" s="4" t="s">
        <v>1270</v>
      </c>
      <c r="G323">
        <v>8</v>
      </c>
      <c r="H323">
        <v>38</v>
      </c>
      <c r="I323" s="4" t="s">
        <v>203</v>
      </c>
      <c r="J323" s="4" t="s">
        <v>204</v>
      </c>
      <c r="K323" s="4" t="s">
        <v>205</v>
      </c>
      <c r="L323" s="4" t="s">
        <v>206</v>
      </c>
      <c r="M323" s="4" t="s">
        <v>182</v>
      </c>
      <c r="N323" s="4" t="s">
        <v>182</v>
      </c>
      <c r="O323" s="4" t="s">
        <v>183</v>
      </c>
      <c r="P323">
        <v>300</v>
      </c>
      <c r="Q323" s="4" t="s">
        <v>30</v>
      </c>
    </row>
    <row r="324" spans="1:17" x14ac:dyDescent="0.2">
      <c r="A324" s="4" t="s">
        <v>508</v>
      </c>
      <c r="B324">
        <v>323</v>
      </c>
      <c r="C324" s="4" t="s">
        <v>26</v>
      </c>
      <c r="D324" s="4" t="s">
        <v>38</v>
      </c>
      <c r="E324" s="4" t="s">
        <v>50</v>
      </c>
      <c r="F324" s="4" t="s">
        <v>1270</v>
      </c>
      <c r="G324">
        <v>8</v>
      </c>
      <c r="H324">
        <v>38</v>
      </c>
      <c r="I324" s="4" t="s">
        <v>201</v>
      </c>
      <c r="J324" s="4" t="s">
        <v>202</v>
      </c>
      <c r="K324" s="4" t="s">
        <v>179</v>
      </c>
      <c r="L324" s="4" t="s">
        <v>180</v>
      </c>
      <c r="M324" s="4" t="s">
        <v>192</v>
      </c>
      <c r="N324" s="4" t="s">
        <v>182</v>
      </c>
      <c r="O324" s="4" t="s">
        <v>189</v>
      </c>
      <c r="P324">
        <v>-14026.11</v>
      </c>
      <c r="Q324" s="4" t="s">
        <v>30</v>
      </c>
    </row>
    <row r="325" spans="1:17" x14ac:dyDescent="0.2">
      <c r="A325" s="4" t="s">
        <v>509</v>
      </c>
      <c r="B325">
        <v>324</v>
      </c>
      <c r="C325" s="4" t="s">
        <v>26</v>
      </c>
      <c r="D325" s="4" t="s">
        <v>38</v>
      </c>
      <c r="E325" s="4" t="s">
        <v>50</v>
      </c>
      <c r="F325" s="4" t="s">
        <v>1270</v>
      </c>
      <c r="G325">
        <v>8</v>
      </c>
      <c r="H325">
        <v>38</v>
      </c>
      <c r="I325" s="4" t="s">
        <v>212</v>
      </c>
      <c r="J325" s="4" t="s">
        <v>213</v>
      </c>
      <c r="K325" s="4" t="s">
        <v>205</v>
      </c>
      <c r="L325" s="4" t="s">
        <v>214</v>
      </c>
      <c r="M325" s="4" t="s">
        <v>182</v>
      </c>
      <c r="N325" s="4" t="s">
        <v>182</v>
      </c>
      <c r="O325" s="4" t="s">
        <v>189</v>
      </c>
      <c r="P325">
        <v>-16246.6</v>
      </c>
      <c r="Q325" s="4" t="s">
        <v>30</v>
      </c>
    </row>
    <row r="326" spans="1:17" x14ac:dyDescent="0.2">
      <c r="A326" s="4" t="s">
        <v>510</v>
      </c>
      <c r="B326">
        <v>325</v>
      </c>
      <c r="C326" s="4" t="s">
        <v>26</v>
      </c>
      <c r="D326" s="4" t="s">
        <v>38</v>
      </c>
      <c r="E326" s="4" t="s">
        <v>53</v>
      </c>
      <c r="F326" s="4" t="s">
        <v>1295</v>
      </c>
      <c r="G326">
        <v>8</v>
      </c>
      <c r="H326">
        <v>39</v>
      </c>
      <c r="I326" s="4" t="s">
        <v>190</v>
      </c>
      <c r="J326" s="4" t="s">
        <v>191</v>
      </c>
      <c r="K326" s="4" t="s">
        <v>179</v>
      </c>
      <c r="L326" s="4" t="s">
        <v>180</v>
      </c>
      <c r="M326" s="4" t="s">
        <v>192</v>
      </c>
      <c r="N326" s="4" t="s">
        <v>182</v>
      </c>
      <c r="O326" s="4" t="s">
        <v>189</v>
      </c>
      <c r="P326">
        <v>-200</v>
      </c>
      <c r="Q326" s="4" t="s">
        <v>30</v>
      </c>
    </row>
    <row r="327" spans="1:17" x14ac:dyDescent="0.2">
      <c r="A327" s="4" t="s">
        <v>511</v>
      </c>
      <c r="B327">
        <v>326</v>
      </c>
      <c r="C327" s="4" t="s">
        <v>26</v>
      </c>
      <c r="D327" s="4" t="s">
        <v>38</v>
      </c>
      <c r="E327" s="4" t="s">
        <v>53</v>
      </c>
      <c r="F327" s="4" t="s">
        <v>1295</v>
      </c>
      <c r="G327">
        <v>8</v>
      </c>
      <c r="H327">
        <v>39</v>
      </c>
      <c r="I327" s="4" t="s">
        <v>190</v>
      </c>
      <c r="J327" s="4" t="s">
        <v>191</v>
      </c>
      <c r="K327" s="4" t="s">
        <v>179</v>
      </c>
      <c r="L327" s="4" t="s">
        <v>180</v>
      </c>
      <c r="M327" s="4" t="s">
        <v>192</v>
      </c>
      <c r="N327" s="4" t="s">
        <v>182</v>
      </c>
      <c r="O327" s="4" t="s">
        <v>183</v>
      </c>
      <c r="P327">
        <v>15015.23</v>
      </c>
      <c r="Q327" s="4" t="s">
        <v>30</v>
      </c>
    </row>
    <row r="328" spans="1:17" x14ac:dyDescent="0.2">
      <c r="A328" s="4" t="s">
        <v>512</v>
      </c>
      <c r="B328">
        <v>327</v>
      </c>
      <c r="C328" s="4" t="s">
        <v>26</v>
      </c>
      <c r="D328" s="4" t="s">
        <v>38</v>
      </c>
      <c r="E328" s="4" t="s">
        <v>53</v>
      </c>
      <c r="F328" s="4" t="s">
        <v>1295</v>
      </c>
      <c r="G328">
        <v>8</v>
      </c>
      <c r="H328">
        <v>39</v>
      </c>
      <c r="I328" s="4" t="s">
        <v>207</v>
      </c>
      <c r="J328" s="4" t="s">
        <v>208</v>
      </c>
      <c r="K328" s="4" t="s">
        <v>179</v>
      </c>
      <c r="L328" s="4" t="s">
        <v>180</v>
      </c>
      <c r="M328" s="4" t="s">
        <v>192</v>
      </c>
      <c r="N328" s="4" t="s">
        <v>182</v>
      </c>
      <c r="O328" s="4" t="s">
        <v>189</v>
      </c>
      <c r="P328">
        <v>-15015.23</v>
      </c>
      <c r="Q328" s="4" t="s">
        <v>30</v>
      </c>
    </row>
    <row r="329" spans="1:17" x14ac:dyDescent="0.2">
      <c r="A329" s="4" t="s">
        <v>513</v>
      </c>
      <c r="B329">
        <v>328</v>
      </c>
      <c r="C329" s="4" t="s">
        <v>26</v>
      </c>
      <c r="D329" s="4" t="s">
        <v>38</v>
      </c>
      <c r="E329" s="4" t="s">
        <v>53</v>
      </c>
      <c r="F329" s="4" t="s">
        <v>1295</v>
      </c>
      <c r="G329">
        <v>8</v>
      </c>
      <c r="H329">
        <v>39</v>
      </c>
      <c r="I329" s="4" t="s">
        <v>207</v>
      </c>
      <c r="J329" s="4" t="s">
        <v>208</v>
      </c>
      <c r="K329" s="4" t="s">
        <v>179</v>
      </c>
      <c r="L329" s="4" t="s">
        <v>180</v>
      </c>
      <c r="M329" s="4" t="s">
        <v>192</v>
      </c>
      <c r="N329" s="4" t="s">
        <v>182</v>
      </c>
      <c r="O329" s="4" t="s">
        <v>183</v>
      </c>
      <c r="P329">
        <v>7013.48</v>
      </c>
      <c r="Q329" s="4" t="s">
        <v>30</v>
      </c>
    </row>
    <row r="330" spans="1:17" x14ac:dyDescent="0.2">
      <c r="A330" s="4" t="s">
        <v>514</v>
      </c>
      <c r="B330">
        <v>329</v>
      </c>
      <c r="C330" s="4" t="s">
        <v>26</v>
      </c>
      <c r="D330" s="4" t="s">
        <v>38</v>
      </c>
      <c r="E330" s="4" t="s">
        <v>53</v>
      </c>
      <c r="F330" s="4" t="s">
        <v>1295</v>
      </c>
      <c r="G330">
        <v>8</v>
      </c>
      <c r="H330">
        <v>39</v>
      </c>
      <c r="I330" s="4" t="s">
        <v>193</v>
      </c>
      <c r="J330" s="4" t="s">
        <v>194</v>
      </c>
      <c r="K330" s="4" t="s">
        <v>179</v>
      </c>
      <c r="L330" s="4" t="s">
        <v>186</v>
      </c>
      <c r="M330" s="4" t="s">
        <v>195</v>
      </c>
      <c r="N330" s="4" t="s">
        <v>196</v>
      </c>
      <c r="O330" s="4" t="s">
        <v>189</v>
      </c>
      <c r="P330">
        <v>-130310.59</v>
      </c>
      <c r="Q330" s="4" t="s">
        <v>30</v>
      </c>
    </row>
    <row r="331" spans="1:17" x14ac:dyDescent="0.2">
      <c r="A331" s="4" t="s">
        <v>515</v>
      </c>
      <c r="B331">
        <v>330</v>
      </c>
      <c r="C331" s="4" t="s">
        <v>26</v>
      </c>
      <c r="D331" s="4" t="s">
        <v>38</v>
      </c>
      <c r="E331" s="4" t="s">
        <v>53</v>
      </c>
      <c r="F331" s="4" t="s">
        <v>1295</v>
      </c>
      <c r="G331">
        <v>8</v>
      </c>
      <c r="H331">
        <v>39</v>
      </c>
      <c r="I331" s="4" t="s">
        <v>197</v>
      </c>
      <c r="J331" s="4" t="s">
        <v>198</v>
      </c>
      <c r="K331" s="4" t="s">
        <v>179</v>
      </c>
      <c r="L331" s="4" t="s">
        <v>186</v>
      </c>
      <c r="M331" s="4" t="s">
        <v>195</v>
      </c>
      <c r="N331" s="4" t="s">
        <v>196</v>
      </c>
      <c r="O331" s="4" t="s">
        <v>189</v>
      </c>
      <c r="P331">
        <v>-129310.59</v>
      </c>
      <c r="Q331" s="4" t="s">
        <v>30</v>
      </c>
    </row>
    <row r="332" spans="1:17" x14ac:dyDescent="0.2">
      <c r="A332" s="4" t="s">
        <v>516</v>
      </c>
      <c r="B332">
        <v>331</v>
      </c>
      <c r="C332" s="4" t="s">
        <v>26</v>
      </c>
      <c r="D332" s="4" t="s">
        <v>38</v>
      </c>
      <c r="E332" s="4" t="s">
        <v>53</v>
      </c>
      <c r="F332" s="4" t="s">
        <v>1295</v>
      </c>
      <c r="G332">
        <v>8</v>
      </c>
      <c r="H332">
        <v>39</v>
      </c>
      <c r="I332" s="4" t="s">
        <v>197</v>
      </c>
      <c r="J332" s="4" t="s">
        <v>198</v>
      </c>
      <c r="K332" s="4" t="s">
        <v>179</v>
      </c>
      <c r="L332" s="4" t="s">
        <v>186</v>
      </c>
      <c r="M332" s="4" t="s">
        <v>195</v>
      </c>
      <c r="N332" s="4" t="s">
        <v>196</v>
      </c>
      <c r="O332" s="4" t="s">
        <v>183</v>
      </c>
      <c r="P332">
        <v>129310.59</v>
      </c>
      <c r="Q332" s="4" t="s">
        <v>30</v>
      </c>
    </row>
    <row r="333" spans="1:17" x14ac:dyDescent="0.2">
      <c r="A333" s="4" t="s">
        <v>517</v>
      </c>
      <c r="B333">
        <v>332</v>
      </c>
      <c r="C333" s="4" t="s">
        <v>26</v>
      </c>
      <c r="D333" s="4" t="s">
        <v>38</v>
      </c>
      <c r="E333" s="4" t="s">
        <v>53</v>
      </c>
      <c r="F333" s="4" t="s">
        <v>1295</v>
      </c>
      <c r="G333">
        <v>8</v>
      </c>
      <c r="H333">
        <v>39</v>
      </c>
      <c r="I333" s="4" t="s">
        <v>199</v>
      </c>
      <c r="J333" s="4" t="s">
        <v>200</v>
      </c>
      <c r="K333" s="4" t="s">
        <v>179</v>
      </c>
      <c r="L333" s="4" t="s">
        <v>186</v>
      </c>
      <c r="M333" s="4" t="s">
        <v>195</v>
      </c>
      <c r="N333" s="4" t="s">
        <v>196</v>
      </c>
      <c r="O333" s="4" t="s">
        <v>189</v>
      </c>
      <c r="P333">
        <v>-1000</v>
      </c>
      <c r="Q333" s="4" t="s">
        <v>30</v>
      </c>
    </row>
    <row r="334" spans="1:17" x14ac:dyDescent="0.2">
      <c r="A334" s="4" t="s">
        <v>518</v>
      </c>
      <c r="B334">
        <v>333</v>
      </c>
      <c r="C334" s="4" t="s">
        <v>26</v>
      </c>
      <c r="D334" s="4" t="s">
        <v>38</v>
      </c>
      <c r="E334" s="4" t="s">
        <v>53</v>
      </c>
      <c r="F334" s="4" t="s">
        <v>1295</v>
      </c>
      <c r="G334">
        <v>8</v>
      </c>
      <c r="H334">
        <v>39</v>
      </c>
      <c r="I334" s="4" t="s">
        <v>199</v>
      </c>
      <c r="J334" s="4" t="s">
        <v>200</v>
      </c>
      <c r="K334" s="4" t="s">
        <v>179</v>
      </c>
      <c r="L334" s="4" t="s">
        <v>186</v>
      </c>
      <c r="M334" s="4" t="s">
        <v>195</v>
      </c>
      <c r="N334" s="4" t="s">
        <v>196</v>
      </c>
      <c r="O334" s="4" t="s">
        <v>183</v>
      </c>
      <c r="P334">
        <v>1000</v>
      </c>
      <c r="Q334" s="4" t="s">
        <v>30</v>
      </c>
    </row>
    <row r="335" spans="1:17" x14ac:dyDescent="0.2">
      <c r="A335" s="4" t="s">
        <v>519</v>
      </c>
      <c r="B335">
        <v>334</v>
      </c>
      <c r="C335" s="4" t="s">
        <v>26</v>
      </c>
      <c r="D335" s="4" t="s">
        <v>38</v>
      </c>
      <c r="E335" s="4" t="s">
        <v>53</v>
      </c>
      <c r="F335" s="4" t="s">
        <v>1295</v>
      </c>
      <c r="G335">
        <v>8</v>
      </c>
      <c r="H335">
        <v>39</v>
      </c>
      <c r="I335" s="4" t="s">
        <v>209</v>
      </c>
      <c r="J335" s="4" t="s">
        <v>210</v>
      </c>
      <c r="K335" s="4" t="s">
        <v>205</v>
      </c>
      <c r="L335" s="4" t="s">
        <v>211</v>
      </c>
      <c r="M335" s="4" t="s">
        <v>182</v>
      </c>
      <c r="N335" s="4" t="s">
        <v>182</v>
      </c>
      <c r="O335" s="4" t="s">
        <v>183</v>
      </c>
      <c r="P335">
        <v>5943.82</v>
      </c>
      <c r="Q335" s="4" t="s">
        <v>30</v>
      </c>
    </row>
    <row r="336" spans="1:17" x14ac:dyDescent="0.2">
      <c r="A336" s="4" t="s">
        <v>520</v>
      </c>
      <c r="B336">
        <v>335</v>
      </c>
      <c r="C336" s="4" t="s">
        <v>26</v>
      </c>
      <c r="D336" s="4" t="s">
        <v>38</v>
      </c>
      <c r="E336" s="4" t="s">
        <v>53</v>
      </c>
      <c r="F336" s="4" t="s">
        <v>1295</v>
      </c>
      <c r="G336">
        <v>8</v>
      </c>
      <c r="H336">
        <v>39</v>
      </c>
      <c r="I336" s="4" t="s">
        <v>203</v>
      </c>
      <c r="J336" s="4" t="s">
        <v>204</v>
      </c>
      <c r="K336" s="4" t="s">
        <v>205</v>
      </c>
      <c r="L336" s="4" t="s">
        <v>206</v>
      </c>
      <c r="M336" s="4" t="s">
        <v>182</v>
      </c>
      <c r="N336" s="4" t="s">
        <v>182</v>
      </c>
      <c r="O336" s="4" t="s">
        <v>183</v>
      </c>
      <c r="P336">
        <v>200</v>
      </c>
      <c r="Q336" s="4" t="s">
        <v>30</v>
      </c>
    </row>
    <row r="337" spans="1:17" x14ac:dyDescent="0.2">
      <c r="A337" s="4" t="s">
        <v>521</v>
      </c>
      <c r="B337">
        <v>336</v>
      </c>
      <c r="C337" s="4" t="s">
        <v>26</v>
      </c>
      <c r="D337" s="4" t="s">
        <v>38</v>
      </c>
      <c r="E337" s="4" t="s">
        <v>53</v>
      </c>
      <c r="F337" s="4" t="s">
        <v>1295</v>
      </c>
      <c r="G337">
        <v>8</v>
      </c>
      <c r="H337">
        <v>39</v>
      </c>
      <c r="I337" s="4" t="s">
        <v>201</v>
      </c>
      <c r="J337" s="4" t="s">
        <v>202</v>
      </c>
      <c r="K337" s="4" t="s">
        <v>179</v>
      </c>
      <c r="L337" s="4" t="s">
        <v>180</v>
      </c>
      <c r="M337" s="4" t="s">
        <v>192</v>
      </c>
      <c r="N337" s="4" t="s">
        <v>182</v>
      </c>
      <c r="O337" s="4" t="s">
        <v>189</v>
      </c>
      <c r="P337">
        <v>-5943.82</v>
      </c>
      <c r="Q337" s="4" t="s">
        <v>30</v>
      </c>
    </row>
    <row r="338" spans="1:17" x14ac:dyDescent="0.2">
      <c r="A338" s="4" t="s">
        <v>522</v>
      </c>
      <c r="B338">
        <v>337</v>
      </c>
      <c r="C338" s="4" t="s">
        <v>26</v>
      </c>
      <c r="D338" s="4" t="s">
        <v>38</v>
      </c>
      <c r="E338" s="4" t="s">
        <v>53</v>
      </c>
      <c r="F338" s="4" t="s">
        <v>1295</v>
      </c>
      <c r="G338">
        <v>8</v>
      </c>
      <c r="H338">
        <v>39</v>
      </c>
      <c r="I338" s="4" t="s">
        <v>201</v>
      </c>
      <c r="J338" s="4" t="s">
        <v>202</v>
      </c>
      <c r="K338" s="4" t="s">
        <v>179</v>
      </c>
      <c r="L338" s="4" t="s">
        <v>180</v>
      </c>
      <c r="M338" s="4" t="s">
        <v>192</v>
      </c>
      <c r="N338" s="4" t="s">
        <v>182</v>
      </c>
      <c r="O338" s="4" t="s">
        <v>183</v>
      </c>
      <c r="P338">
        <v>130310.59</v>
      </c>
      <c r="Q338" s="4" t="s">
        <v>30</v>
      </c>
    </row>
    <row r="339" spans="1:17" x14ac:dyDescent="0.2">
      <c r="A339" s="4" t="s">
        <v>523</v>
      </c>
      <c r="B339">
        <v>338</v>
      </c>
      <c r="C339" s="4" t="s">
        <v>26</v>
      </c>
      <c r="D339" s="4" t="s">
        <v>38</v>
      </c>
      <c r="E339" s="4" t="s">
        <v>53</v>
      </c>
      <c r="F339" s="4" t="s">
        <v>1295</v>
      </c>
      <c r="G339">
        <v>8</v>
      </c>
      <c r="H339">
        <v>39</v>
      </c>
      <c r="I339" s="4" t="s">
        <v>212</v>
      </c>
      <c r="J339" s="4" t="s">
        <v>213</v>
      </c>
      <c r="K339" s="4" t="s">
        <v>205</v>
      </c>
      <c r="L339" s="4" t="s">
        <v>214</v>
      </c>
      <c r="M339" s="4" t="s">
        <v>182</v>
      </c>
      <c r="N339" s="4" t="s">
        <v>182</v>
      </c>
      <c r="O339" s="4" t="s">
        <v>189</v>
      </c>
      <c r="P339">
        <v>-7013.48</v>
      </c>
      <c r="Q339" s="4" t="s">
        <v>30</v>
      </c>
    </row>
    <row r="340" spans="1:17" x14ac:dyDescent="0.2">
      <c r="A340" s="4" t="s">
        <v>524</v>
      </c>
      <c r="B340">
        <v>339</v>
      </c>
      <c r="C340" s="4" t="s">
        <v>26</v>
      </c>
      <c r="D340" s="4" t="s">
        <v>38</v>
      </c>
      <c r="E340" s="4" t="s">
        <v>56</v>
      </c>
      <c r="F340" s="4" t="s">
        <v>1329</v>
      </c>
      <c r="G340">
        <v>8</v>
      </c>
      <c r="H340">
        <v>40</v>
      </c>
      <c r="I340" s="4" t="s">
        <v>190</v>
      </c>
      <c r="J340" s="4" t="s">
        <v>191</v>
      </c>
      <c r="K340" s="4" t="s">
        <v>179</v>
      </c>
      <c r="L340" s="4" t="s">
        <v>180</v>
      </c>
      <c r="M340" s="4" t="s">
        <v>192</v>
      </c>
      <c r="N340" s="4" t="s">
        <v>182</v>
      </c>
      <c r="O340" s="4" t="s">
        <v>189</v>
      </c>
      <c r="P340">
        <v>-300</v>
      </c>
      <c r="Q340" s="4" t="s">
        <v>30</v>
      </c>
    </row>
    <row r="341" spans="1:17" x14ac:dyDescent="0.2">
      <c r="A341" s="4" t="s">
        <v>525</v>
      </c>
      <c r="B341">
        <v>340</v>
      </c>
      <c r="C341" s="4" t="s">
        <v>26</v>
      </c>
      <c r="D341" s="4" t="s">
        <v>38</v>
      </c>
      <c r="E341" s="4" t="s">
        <v>56</v>
      </c>
      <c r="F341" s="4" t="s">
        <v>1329</v>
      </c>
      <c r="G341">
        <v>8</v>
      </c>
      <c r="H341">
        <v>40</v>
      </c>
      <c r="I341" s="4" t="s">
        <v>190</v>
      </c>
      <c r="J341" s="4" t="s">
        <v>191</v>
      </c>
      <c r="K341" s="4" t="s">
        <v>179</v>
      </c>
      <c r="L341" s="4" t="s">
        <v>180</v>
      </c>
      <c r="M341" s="4" t="s">
        <v>192</v>
      </c>
      <c r="N341" s="4" t="s">
        <v>182</v>
      </c>
      <c r="O341" s="4" t="s">
        <v>183</v>
      </c>
      <c r="P341">
        <v>17738.169999999998</v>
      </c>
      <c r="Q341" s="4" t="s">
        <v>30</v>
      </c>
    </row>
    <row r="342" spans="1:17" x14ac:dyDescent="0.2">
      <c r="A342" s="4" t="s">
        <v>526</v>
      </c>
      <c r="B342">
        <v>341</v>
      </c>
      <c r="C342" s="4" t="s">
        <v>26</v>
      </c>
      <c r="D342" s="4" t="s">
        <v>38</v>
      </c>
      <c r="E342" s="4" t="s">
        <v>56</v>
      </c>
      <c r="F342" s="4" t="s">
        <v>1329</v>
      </c>
      <c r="G342">
        <v>8</v>
      </c>
      <c r="H342">
        <v>40</v>
      </c>
      <c r="I342" s="4" t="s">
        <v>207</v>
      </c>
      <c r="J342" s="4" t="s">
        <v>208</v>
      </c>
      <c r="K342" s="4" t="s">
        <v>179</v>
      </c>
      <c r="L342" s="4" t="s">
        <v>180</v>
      </c>
      <c r="M342" s="4" t="s">
        <v>192</v>
      </c>
      <c r="N342" s="4" t="s">
        <v>182</v>
      </c>
      <c r="O342" s="4" t="s">
        <v>189</v>
      </c>
      <c r="P342">
        <v>-17738.169999999998</v>
      </c>
      <c r="Q342" s="4" t="s">
        <v>30</v>
      </c>
    </row>
    <row r="343" spans="1:17" x14ac:dyDescent="0.2">
      <c r="A343" s="4" t="s">
        <v>527</v>
      </c>
      <c r="B343">
        <v>342</v>
      </c>
      <c r="C343" s="4" t="s">
        <v>26</v>
      </c>
      <c r="D343" s="4" t="s">
        <v>38</v>
      </c>
      <c r="E343" s="4" t="s">
        <v>56</v>
      </c>
      <c r="F343" s="4" t="s">
        <v>1329</v>
      </c>
      <c r="G343">
        <v>8</v>
      </c>
      <c r="H343">
        <v>40</v>
      </c>
      <c r="I343" s="4" t="s">
        <v>207</v>
      </c>
      <c r="J343" s="4" t="s">
        <v>208</v>
      </c>
      <c r="K343" s="4" t="s">
        <v>179</v>
      </c>
      <c r="L343" s="4" t="s">
        <v>180</v>
      </c>
      <c r="M343" s="4" t="s">
        <v>192</v>
      </c>
      <c r="N343" s="4" t="s">
        <v>182</v>
      </c>
      <c r="O343" s="4" t="s">
        <v>183</v>
      </c>
      <c r="P343">
        <v>8112.89</v>
      </c>
      <c r="Q343" s="4" t="s">
        <v>30</v>
      </c>
    </row>
    <row r="344" spans="1:17" x14ac:dyDescent="0.2">
      <c r="A344" s="4" t="s">
        <v>528</v>
      </c>
      <c r="B344">
        <v>343</v>
      </c>
      <c r="C344" s="4" t="s">
        <v>26</v>
      </c>
      <c r="D344" s="4" t="s">
        <v>38</v>
      </c>
      <c r="E344" s="4" t="s">
        <v>56</v>
      </c>
      <c r="F344" s="4" t="s">
        <v>1329</v>
      </c>
      <c r="G344">
        <v>8</v>
      </c>
      <c r="H344">
        <v>40</v>
      </c>
      <c r="I344" s="4" t="s">
        <v>209</v>
      </c>
      <c r="J344" s="4" t="s">
        <v>210</v>
      </c>
      <c r="K344" s="4" t="s">
        <v>205</v>
      </c>
      <c r="L344" s="4" t="s">
        <v>211</v>
      </c>
      <c r="M344" s="4" t="s">
        <v>182</v>
      </c>
      <c r="N344" s="4" t="s">
        <v>182</v>
      </c>
      <c r="O344" s="4" t="s">
        <v>183</v>
      </c>
      <c r="P344">
        <v>7311.64</v>
      </c>
      <c r="Q344" s="4" t="s">
        <v>30</v>
      </c>
    </row>
    <row r="345" spans="1:17" x14ac:dyDescent="0.2">
      <c r="A345" s="4" t="s">
        <v>529</v>
      </c>
      <c r="B345">
        <v>344</v>
      </c>
      <c r="C345" s="4" t="s">
        <v>26</v>
      </c>
      <c r="D345" s="4" t="s">
        <v>38</v>
      </c>
      <c r="E345" s="4" t="s">
        <v>56</v>
      </c>
      <c r="F345" s="4" t="s">
        <v>1329</v>
      </c>
      <c r="G345">
        <v>8</v>
      </c>
      <c r="H345">
        <v>40</v>
      </c>
      <c r="I345" s="4" t="s">
        <v>203</v>
      </c>
      <c r="J345" s="4" t="s">
        <v>204</v>
      </c>
      <c r="K345" s="4" t="s">
        <v>205</v>
      </c>
      <c r="L345" s="4" t="s">
        <v>206</v>
      </c>
      <c r="M345" s="4" t="s">
        <v>182</v>
      </c>
      <c r="N345" s="4" t="s">
        <v>182</v>
      </c>
      <c r="O345" s="4" t="s">
        <v>183</v>
      </c>
      <c r="P345">
        <v>300</v>
      </c>
      <c r="Q345" s="4" t="s">
        <v>30</v>
      </c>
    </row>
    <row r="346" spans="1:17" x14ac:dyDescent="0.2">
      <c r="A346" s="4" t="s">
        <v>530</v>
      </c>
      <c r="B346">
        <v>345</v>
      </c>
      <c r="C346" s="4" t="s">
        <v>26</v>
      </c>
      <c r="D346" s="4" t="s">
        <v>38</v>
      </c>
      <c r="E346" s="4" t="s">
        <v>56</v>
      </c>
      <c r="F346" s="4" t="s">
        <v>1329</v>
      </c>
      <c r="G346">
        <v>8</v>
      </c>
      <c r="H346">
        <v>40</v>
      </c>
      <c r="I346" s="4" t="s">
        <v>201</v>
      </c>
      <c r="J346" s="4" t="s">
        <v>202</v>
      </c>
      <c r="K346" s="4" t="s">
        <v>179</v>
      </c>
      <c r="L346" s="4" t="s">
        <v>180</v>
      </c>
      <c r="M346" s="4" t="s">
        <v>192</v>
      </c>
      <c r="N346" s="4" t="s">
        <v>182</v>
      </c>
      <c r="O346" s="4" t="s">
        <v>189</v>
      </c>
      <c r="P346">
        <v>-7311.64</v>
      </c>
      <c r="Q346" s="4" t="s">
        <v>30</v>
      </c>
    </row>
    <row r="347" spans="1:17" x14ac:dyDescent="0.2">
      <c r="A347" s="4" t="s">
        <v>531</v>
      </c>
      <c r="B347">
        <v>346</v>
      </c>
      <c r="C347" s="4" t="s">
        <v>26</v>
      </c>
      <c r="D347" s="4" t="s">
        <v>38</v>
      </c>
      <c r="E347" s="4" t="s">
        <v>56</v>
      </c>
      <c r="F347" s="4" t="s">
        <v>1329</v>
      </c>
      <c r="G347">
        <v>8</v>
      </c>
      <c r="H347">
        <v>40</v>
      </c>
      <c r="I347" s="4" t="s">
        <v>212</v>
      </c>
      <c r="J347" s="4" t="s">
        <v>213</v>
      </c>
      <c r="K347" s="4" t="s">
        <v>205</v>
      </c>
      <c r="L347" s="4" t="s">
        <v>214</v>
      </c>
      <c r="M347" s="4" t="s">
        <v>182</v>
      </c>
      <c r="N347" s="4" t="s">
        <v>182</v>
      </c>
      <c r="O347" s="4" t="s">
        <v>189</v>
      </c>
      <c r="P347">
        <v>-8112.89</v>
      </c>
      <c r="Q347" s="4" t="s">
        <v>30</v>
      </c>
    </row>
    <row r="348" spans="1:17" x14ac:dyDescent="0.2">
      <c r="A348" s="4" t="s">
        <v>532</v>
      </c>
      <c r="B348">
        <v>347</v>
      </c>
      <c r="C348" s="4" t="s">
        <v>26</v>
      </c>
      <c r="D348" s="4" t="s">
        <v>41</v>
      </c>
      <c r="E348" s="4" t="s">
        <v>27</v>
      </c>
      <c r="F348" s="4" t="s">
        <v>1353</v>
      </c>
      <c r="G348">
        <v>9</v>
      </c>
      <c r="H348">
        <v>41</v>
      </c>
      <c r="I348" s="4" t="s">
        <v>190</v>
      </c>
      <c r="J348" s="4" t="s">
        <v>191</v>
      </c>
      <c r="K348" s="4" t="s">
        <v>179</v>
      </c>
      <c r="L348" s="4" t="s">
        <v>180</v>
      </c>
      <c r="M348" s="4" t="s">
        <v>192</v>
      </c>
      <c r="N348" s="4" t="s">
        <v>182</v>
      </c>
      <c r="O348" s="4" t="s">
        <v>189</v>
      </c>
      <c r="P348">
        <v>-200</v>
      </c>
      <c r="Q348" s="4" t="s">
        <v>30</v>
      </c>
    </row>
    <row r="349" spans="1:17" x14ac:dyDescent="0.2">
      <c r="A349" s="4" t="s">
        <v>533</v>
      </c>
      <c r="B349">
        <v>348</v>
      </c>
      <c r="C349" s="4" t="s">
        <v>26</v>
      </c>
      <c r="D349" s="4" t="s">
        <v>41</v>
      </c>
      <c r="E349" s="4" t="s">
        <v>27</v>
      </c>
      <c r="F349" s="4" t="s">
        <v>1353</v>
      </c>
      <c r="G349">
        <v>9</v>
      </c>
      <c r="H349">
        <v>41</v>
      </c>
      <c r="I349" s="4" t="s">
        <v>190</v>
      </c>
      <c r="J349" s="4" t="s">
        <v>191</v>
      </c>
      <c r="K349" s="4" t="s">
        <v>179</v>
      </c>
      <c r="L349" s="4" t="s">
        <v>180</v>
      </c>
      <c r="M349" s="4" t="s">
        <v>192</v>
      </c>
      <c r="N349" s="4" t="s">
        <v>182</v>
      </c>
      <c r="O349" s="4" t="s">
        <v>183</v>
      </c>
      <c r="P349">
        <v>17790.63</v>
      </c>
      <c r="Q349" s="4" t="s">
        <v>30</v>
      </c>
    </row>
    <row r="350" spans="1:17" x14ac:dyDescent="0.2">
      <c r="A350" s="4" t="s">
        <v>534</v>
      </c>
      <c r="B350">
        <v>349</v>
      </c>
      <c r="C350" s="4" t="s">
        <v>26</v>
      </c>
      <c r="D350" s="4" t="s">
        <v>41</v>
      </c>
      <c r="E350" s="4" t="s">
        <v>27</v>
      </c>
      <c r="F350" s="4" t="s">
        <v>1353</v>
      </c>
      <c r="G350">
        <v>9</v>
      </c>
      <c r="H350">
        <v>41</v>
      </c>
      <c r="I350" s="4" t="s">
        <v>207</v>
      </c>
      <c r="J350" s="4" t="s">
        <v>208</v>
      </c>
      <c r="K350" s="4" t="s">
        <v>179</v>
      </c>
      <c r="L350" s="4" t="s">
        <v>180</v>
      </c>
      <c r="M350" s="4" t="s">
        <v>192</v>
      </c>
      <c r="N350" s="4" t="s">
        <v>182</v>
      </c>
      <c r="O350" s="4" t="s">
        <v>189</v>
      </c>
      <c r="P350">
        <v>-17790.63</v>
      </c>
      <c r="Q350" s="4" t="s">
        <v>30</v>
      </c>
    </row>
    <row r="351" spans="1:17" x14ac:dyDescent="0.2">
      <c r="A351" s="4" t="s">
        <v>535</v>
      </c>
      <c r="B351">
        <v>350</v>
      </c>
      <c r="C351" s="4" t="s">
        <v>26</v>
      </c>
      <c r="D351" s="4" t="s">
        <v>41</v>
      </c>
      <c r="E351" s="4" t="s">
        <v>27</v>
      </c>
      <c r="F351" s="4" t="s">
        <v>1353</v>
      </c>
      <c r="G351">
        <v>9</v>
      </c>
      <c r="H351">
        <v>41</v>
      </c>
      <c r="I351" s="4" t="s">
        <v>207</v>
      </c>
      <c r="J351" s="4" t="s">
        <v>208</v>
      </c>
      <c r="K351" s="4" t="s">
        <v>179</v>
      </c>
      <c r="L351" s="4" t="s">
        <v>180</v>
      </c>
      <c r="M351" s="4" t="s">
        <v>192</v>
      </c>
      <c r="N351" s="4" t="s">
        <v>182</v>
      </c>
      <c r="O351" s="4" t="s">
        <v>183</v>
      </c>
      <c r="P351">
        <v>14911.01</v>
      </c>
      <c r="Q351" s="4" t="s">
        <v>30</v>
      </c>
    </row>
    <row r="352" spans="1:17" x14ac:dyDescent="0.2">
      <c r="A352" s="4" t="s">
        <v>536</v>
      </c>
      <c r="B352">
        <v>351</v>
      </c>
      <c r="C352" s="4" t="s">
        <v>26</v>
      </c>
      <c r="D352" s="4" t="s">
        <v>41</v>
      </c>
      <c r="E352" s="4" t="s">
        <v>27</v>
      </c>
      <c r="F352" s="4" t="s">
        <v>1353</v>
      </c>
      <c r="G352">
        <v>9</v>
      </c>
      <c r="H352">
        <v>41</v>
      </c>
      <c r="I352" s="4" t="s">
        <v>209</v>
      </c>
      <c r="J352" s="4" t="s">
        <v>210</v>
      </c>
      <c r="K352" s="4" t="s">
        <v>205</v>
      </c>
      <c r="L352" s="4" t="s">
        <v>211</v>
      </c>
      <c r="M352" s="4" t="s">
        <v>182</v>
      </c>
      <c r="N352" s="4" t="s">
        <v>182</v>
      </c>
      <c r="O352" s="4" t="s">
        <v>183</v>
      </c>
      <c r="P352">
        <v>12690.96</v>
      </c>
      <c r="Q352" s="4" t="s">
        <v>30</v>
      </c>
    </row>
    <row r="353" spans="1:17" x14ac:dyDescent="0.2">
      <c r="A353" s="4" t="s">
        <v>537</v>
      </c>
      <c r="B353">
        <v>352</v>
      </c>
      <c r="C353" s="4" t="s">
        <v>26</v>
      </c>
      <c r="D353" s="4" t="s">
        <v>41</v>
      </c>
      <c r="E353" s="4" t="s">
        <v>27</v>
      </c>
      <c r="F353" s="4" t="s">
        <v>1353</v>
      </c>
      <c r="G353">
        <v>9</v>
      </c>
      <c r="H353">
        <v>41</v>
      </c>
      <c r="I353" s="4" t="s">
        <v>203</v>
      </c>
      <c r="J353" s="4" t="s">
        <v>204</v>
      </c>
      <c r="K353" s="4" t="s">
        <v>205</v>
      </c>
      <c r="L353" s="4" t="s">
        <v>206</v>
      </c>
      <c r="M353" s="4" t="s">
        <v>182</v>
      </c>
      <c r="N353" s="4" t="s">
        <v>182</v>
      </c>
      <c r="O353" s="4" t="s">
        <v>183</v>
      </c>
      <c r="P353">
        <v>200</v>
      </c>
      <c r="Q353" s="4" t="s">
        <v>30</v>
      </c>
    </row>
    <row r="354" spans="1:17" x14ac:dyDescent="0.2">
      <c r="A354" s="4" t="s">
        <v>538</v>
      </c>
      <c r="B354">
        <v>353</v>
      </c>
      <c r="C354" s="4" t="s">
        <v>26</v>
      </c>
      <c r="D354" s="4" t="s">
        <v>41</v>
      </c>
      <c r="E354" s="4" t="s">
        <v>27</v>
      </c>
      <c r="F354" s="4" t="s">
        <v>1353</v>
      </c>
      <c r="G354">
        <v>9</v>
      </c>
      <c r="H354">
        <v>41</v>
      </c>
      <c r="I354" s="4" t="s">
        <v>201</v>
      </c>
      <c r="J354" s="4" t="s">
        <v>202</v>
      </c>
      <c r="K354" s="4" t="s">
        <v>179</v>
      </c>
      <c r="L354" s="4" t="s">
        <v>180</v>
      </c>
      <c r="M354" s="4" t="s">
        <v>192</v>
      </c>
      <c r="N354" s="4" t="s">
        <v>182</v>
      </c>
      <c r="O354" s="4" t="s">
        <v>189</v>
      </c>
      <c r="P354">
        <v>-12690.96</v>
      </c>
      <c r="Q354" s="4" t="s">
        <v>30</v>
      </c>
    </row>
    <row r="355" spans="1:17" x14ac:dyDescent="0.2">
      <c r="A355" s="4" t="s">
        <v>539</v>
      </c>
      <c r="B355">
        <v>354</v>
      </c>
      <c r="C355" s="4" t="s">
        <v>26</v>
      </c>
      <c r="D355" s="4" t="s">
        <v>41</v>
      </c>
      <c r="E355" s="4" t="s">
        <v>27</v>
      </c>
      <c r="F355" s="4" t="s">
        <v>1353</v>
      </c>
      <c r="G355">
        <v>9</v>
      </c>
      <c r="H355">
        <v>41</v>
      </c>
      <c r="I355" s="4" t="s">
        <v>212</v>
      </c>
      <c r="J355" s="4" t="s">
        <v>213</v>
      </c>
      <c r="K355" s="4" t="s">
        <v>205</v>
      </c>
      <c r="L355" s="4" t="s">
        <v>214</v>
      </c>
      <c r="M355" s="4" t="s">
        <v>182</v>
      </c>
      <c r="N355" s="4" t="s">
        <v>182</v>
      </c>
      <c r="O355" s="4" t="s">
        <v>189</v>
      </c>
      <c r="P355">
        <v>-14911.01</v>
      </c>
      <c r="Q355" s="4" t="s">
        <v>30</v>
      </c>
    </row>
    <row r="356" spans="1:17" x14ac:dyDescent="0.2">
      <c r="A356" s="4" t="s">
        <v>540</v>
      </c>
      <c r="B356">
        <v>355</v>
      </c>
      <c r="C356" s="4" t="s">
        <v>26</v>
      </c>
      <c r="D356" s="4" t="s">
        <v>41</v>
      </c>
      <c r="E356" s="4" t="s">
        <v>32</v>
      </c>
      <c r="F356" s="4" t="s">
        <v>1354</v>
      </c>
      <c r="G356">
        <v>9</v>
      </c>
      <c r="H356">
        <v>42</v>
      </c>
      <c r="I356" s="4" t="s">
        <v>190</v>
      </c>
      <c r="J356" s="4" t="s">
        <v>191</v>
      </c>
      <c r="K356" s="4" t="s">
        <v>179</v>
      </c>
      <c r="L356" s="4" t="s">
        <v>180</v>
      </c>
      <c r="M356" s="4" t="s">
        <v>192</v>
      </c>
      <c r="N356" s="4" t="s">
        <v>182</v>
      </c>
      <c r="O356" s="4" t="s">
        <v>189</v>
      </c>
      <c r="P356">
        <v>-300</v>
      </c>
      <c r="Q356" s="4" t="s">
        <v>30</v>
      </c>
    </row>
    <row r="357" spans="1:17" x14ac:dyDescent="0.2">
      <c r="A357" s="4" t="s">
        <v>541</v>
      </c>
      <c r="B357">
        <v>356</v>
      </c>
      <c r="C357" s="4" t="s">
        <v>26</v>
      </c>
      <c r="D357" s="4" t="s">
        <v>41</v>
      </c>
      <c r="E357" s="4" t="s">
        <v>32</v>
      </c>
      <c r="F357" s="4" t="s">
        <v>1354</v>
      </c>
      <c r="G357">
        <v>9</v>
      </c>
      <c r="H357">
        <v>42</v>
      </c>
      <c r="I357" s="4" t="s">
        <v>190</v>
      </c>
      <c r="J357" s="4" t="s">
        <v>191</v>
      </c>
      <c r="K357" s="4" t="s">
        <v>179</v>
      </c>
      <c r="L357" s="4" t="s">
        <v>180</v>
      </c>
      <c r="M357" s="4" t="s">
        <v>192</v>
      </c>
      <c r="N357" s="4" t="s">
        <v>182</v>
      </c>
      <c r="O357" s="4" t="s">
        <v>183</v>
      </c>
      <c r="P357">
        <v>16246.6</v>
      </c>
      <c r="Q357" s="4" t="s">
        <v>30</v>
      </c>
    </row>
    <row r="358" spans="1:17" x14ac:dyDescent="0.2">
      <c r="A358" s="4" t="s">
        <v>542</v>
      </c>
      <c r="B358">
        <v>357</v>
      </c>
      <c r="C358" s="4" t="s">
        <v>26</v>
      </c>
      <c r="D358" s="4" t="s">
        <v>41</v>
      </c>
      <c r="E358" s="4" t="s">
        <v>32</v>
      </c>
      <c r="F358" s="4" t="s">
        <v>1354</v>
      </c>
      <c r="G358">
        <v>9</v>
      </c>
      <c r="H358">
        <v>42</v>
      </c>
      <c r="I358" s="4" t="s">
        <v>207</v>
      </c>
      <c r="J358" s="4" t="s">
        <v>208</v>
      </c>
      <c r="K358" s="4" t="s">
        <v>179</v>
      </c>
      <c r="L358" s="4" t="s">
        <v>180</v>
      </c>
      <c r="M358" s="4" t="s">
        <v>192</v>
      </c>
      <c r="N358" s="4" t="s">
        <v>182</v>
      </c>
      <c r="O358" s="4" t="s">
        <v>189</v>
      </c>
      <c r="P358">
        <v>-16246.6</v>
      </c>
      <c r="Q358" s="4" t="s">
        <v>30</v>
      </c>
    </row>
    <row r="359" spans="1:17" x14ac:dyDescent="0.2">
      <c r="A359" s="4" t="s">
        <v>543</v>
      </c>
      <c r="B359">
        <v>358</v>
      </c>
      <c r="C359" s="4" t="s">
        <v>26</v>
      </c>
      <c r="D359" s="4" t="s">
        <v>41</v>
      </c>
      <c r="E359" s="4" t="s">
        <v>32</v>
      </c>
      <c r="F359" s="4" t="s">
        <v>1354</v>
      </c>
      <c r="G359">
        <v>9</v>
      </c>
      <c r="H359">
        <v>42</v>
      </c>
      <c r="I359" s="4" t="s">
        <v>207</v>
      </c>
      <c r="J359" s="4" t="s">
        <v>208</v>
      </c>
      <c r="K359" s="4" t="s">
        <v>179</v>
      </c>
      <c r="L359" s="4" t="s">
        <v>180</v>
      </c>
      <c r="M359" s="4" t="s">
        <v>192</v>
      </c>
      <c r="N359" s="4" t="s">
        <v>182</v>
      </c>
      <c r="O359" s="4" t="s">
        <v>183</v>
      </c>
      <c r="P359">
        <v>17199.87</v>
      </c>
      <c r="Q359" s="4" t="s">
        <v>30</v>
      </c>
    </row>
    <row r="360" spans="1:17" x14ac:dyDescent="0.2">
      <c r="A360" s="4" t="s">
        <v>544</v>
      </c>
      <c r="B360">
        <v>359</v>
      </c>
      <c r="C360" s="4" t="s">
        <v>26</v>
      </c>
      <c r="D360" s="4" t="s">
        <v>41</v>
      </c>
      <c r="E360" s="4" t="s">
        <v>32</v>
      </c>
      <c r="F360" s="4" t="s">
        <v>1354</v>
      </c>
      <c r="G360">
        <v>9</v>
      </c>
      <c r="H360">
        <v>42</v>
      </c>
      <c r="I360" s="4" t="s">
        <v>209</v>
      </c>
      <c r="J360" s="4" t="s">
        <v>210</v>
      </c>
      <c r="K360" s="4" t="s">
        <v>205</v>
      </c>
      <c r="L360" s="4" t="s">
        <v>211</v>
      </c>
      <c r="M360" s="4" t="s">
        <v>182</v>
      </c>
      <c r="N360" s="4" t="s">
        <v>182</v>
      </c>
      <c r="O360" s="4" t="s">
        <v>183</v>
      </c>
      <c r="P360">
        <v>14866.03</v>
      </c>
      <c r="Q360" s="4" t="s">
        <v>30</v>
      </c>
    </row>
    <row r="361" spans="1:17" x14ac:dyDescent="0.2">
      <c r="A361" s="4" t="s">
        <v>545</v>
      </c>
      <c r="B361">
        <v>360</v>
      </c>
      <c r="C361" s="4" t="s">
        <v>26</v>
      </c>
      <c r="D361" s="4" t="s">
        <v>41</v>
      </c>
      <c r="E361" s="4" t="s">
        <v>32</v>
      </c>
      <c r="F361" s="4" t="s">
        <v>1354</v>
      </c>
      <c r="G361">
        <v>9</v>
      </c>
      <c r="H361">
        <v>42</v>
      </c>
      <c r="I361" s="4" t="s">
        <v>203</v>
      </c>
      <c r="J361" s="4" t="s">
        <v>204</v>
      </c>
      <c r="K361" s="4" t="s">
        <v>205</v>
      </c>
      <c r="L361" s="4" t="s">
        <v>206</v>
      </c>
      <c r="M361" s="4" t="s">
        <v>182</v>
      </c>
      <c r="N361" s="4" t="s">
        <v>182</v>
      </c>
      <c r="O361" s="4" t="s">
        <v>183</v>
      </c>
      <c r="P361">
        <v>300</v>
      </c>
      <c r="Q361" s="4" t="s">
        <v>30</v>
      </c>
    </row>
    <row r="362" spans="1:17" x14ac:dyDescent="0.2">
      <c r="A362" s="4" t="s">
        <v>546</v>
      </c>
      <c r="B362">
        <v>361</v>
      </c>
      <c r="C362" s="4" t="s">
        <v>26</v>
      </c>
      <c r="D362" s="4" t="s">
        <v>41</v>
      </c>
      <c r="E362" s="4" t="s">
        <v>32</v>
      </c>
      <c r="F362" s="4" t="s">
        <v>1354</v>
      </c>
      <c r="G362">
        <v>9</v>
      </c>
      <c r="H362">
        <v>42</v>
      </c>
      <c r="I362" s="4" t="s">
        <v>201</v>
      </c>
      <c r="J362" s="4" t="s">
        <v>202</v>
      </c>
      <c r="K362" s="4" t="s">
        <v>179</v>
      </c>
      <c r="L362" s="4" t="s">
        <v>180</v>
      </c>
      <c r="M362" s="4" t="s">
        <v>192</v>
      </c>
      <c r="N362" s="4" t="s">
        <v>182</v>
      </c>
      <c r="O362" s="4" t="s">
        <v>189</v>
      </c>
      <c r="P362">
        <v>-14866.03</v>
      </c>
      <c r="Q362" s="4" t="s">
        <v>30</v>
      </c>
    </row>
    <row r="363" spans="1:17" x14ac:dyDescent="0.2">
      <c r="A363" s="4" t="s">
        <v>547</v>
      </c>
      <c r="B363">
        <v>362</v>
      </c>
      <c r="C363" s="4" t="s">
        <v>26</v>
      </c>
      <c r="D363" s="4" t="s">
        <v>41</v>
      </c>
      <c r="E363" s="4" t="s">
        <v>32</v>
      </c>
      <c r="F363" s="4" t="s">
        <v>1354</v>
      </c>
      <c r="G363">
        <v>9</v>
      </c>
      <c r="H363">
        <v>42</v>
      </c>
      <c r="I363" s="4" t="s">
        <v>212</v>
      </c>
      <c r="J363" s="4" t="s">
        <v>213</v>
      </c>
      <c r="K363" s="4" t="s">
        <v>205</v>
      </c>
      <c r="L363" s="4" t="s">
        <v>214</v>
      </c>
      <c r="M363" s="4" t="s">
        <v>182</v>
      </c>
      <c r="N363" s="4" t="s">
        <v>182</v>
      </c>
      <c r="O363" s="4" t="s">
        <v>189</v>
      </c>
      <c r="P363">
        <v>-17199.87</v>
      </c>
      <c r="Q363" s="4" t="s">
        <v>30</v>
      </c>
    </row>
    <row r="364" spans="1:17" x14ac:dyDescent="0.2">
      <c r="A364" s="4" t="s">
        <v>548</v>
      </c>
      <c r="B364">
        <v>363</v>
      </c>
      <c r="C364" s="4" t="s">
        <v>26</v>
      </c>
      <c r="D364" s="4" t="s">
        <v>41</v>
      </c>
      <c r="E364" s="4" t="s">
        <v>35</v>
      </c>
      <c r="F364" s="4" t="s">
        <v>1415</v>
      </c>
      <c r="G364">
        <v>9</v>
      </c>
      <c r="H364">
        <v>43</v>
      </c>
      <c r="I364" s="4" t="s">
        <v>190</v>
      </c>
      <c r="J364" s="4" t="s">
        <v>191</v>
      </c>
      <c r="K364" s="4" t="s">
        <v>179</v>
      </c>
      <c r="L364" s="4" t="s">
        <v>180</v>
      </c>
      <c r="M364" s="4" t="s">
        <v>192</v>
      </c>
      <c r="N364" s="4" t="s">
        <v>182</v>
      </c>
      <c r="O364" s="4" t="s">
        <v>189</v>
      </c>
      <c r="P364">
        <v>-300</v>
      </c>
      <c r="Q364" s="4" t="s">
        <v>30</v>
      </c>
    </row>
    <row r="365" spans="1:17" x14ac:dyDescent="0.2">
      <c r="A365" s="4" t="s">
        <v>549</v>
      </c>
      <c r="B365">
        <v>364</v>
      </c>
      <c r="C365" s="4" t="s">
        <v>26</v>
      </c>
      <c r="D365" s="4" t="s">
        <v>41</v>
      </c>
      <c r="E365" s="4" t="s">
        <v>35</v>
      </c>
      <c r="F365" s="4" t="s">
        <v>1415</v>
      </c>
      <c r="G365">
        <v>9</v>
      </c>
      <c r="H365">
        <v>43</v>
      </c>
      <c r="I365" s="4" t="s">
        <v>190</v>
      </c>
      <c r="J365" s="4" t="s">
        <v>191</v>
      </c>
      <c r="K365" s="4" t="s">
        <v>179</v>
      </c>
      <c r="L365" s="4" t="s">
        <v>180</v>
      </c>
      <c r="M365" s="4" t="s">
        <v>192</v>
      </c>
      <c r="N365" s="4" t="s">
        <v>182</v>
      </c>
      <c r="O365" s="4" t="s">
        <v>183</v>
      </c>
      <c r="P365">
        <v>7013.48</v>
      </c>
      <c r="Q365" s="4" t="s">
        <v>30</v>
      </c>
    </row>
    <row r="366" spans="1:17" x14ac:dyDescent="0.2">
      <c r="A366" s="4" t="s">
        <v>550</v>
      </c>
      <c r="B366">
        <v>365</v>
      </c>
      <c r="C366" s="4" t="s">
        <v>26</v>
      </c>
      <c r="D366" s="4" t="s">
        <v>41</v>
      </c>
      <c r="E366" s="4" t="s">
        <v>35</v>
      </c>
      <c r="F366" s="4" t="s">
        <v>1415</v>
      </c>
      <c r="G366">
        <v>9</v>
      </c>
      <c r="H366">
        <v>43</v>
      </c>
      <c r="I366" s="4" t="s">
        <v>207</v>
      </c>
      <c r="J366" s="4" t="s">
        <v>208</v>
      </c>
      <c r="K366" s="4" t="s">
        <v>179</v>
      </c>
      <c r="L366" s="4" t="s">
        <v>180</v>
      </c>
      <c r="M366" s="4" t="s">
        <v>192</v>
      </c>
      <c r="N366" s="4" t="s">
        <v>182</v>
      </c>
      <c r="O366" s="4" t="s">
        <v>189</v>
      </c>
      <c r="P366">
        <v>-7013.48</v>
      </c>
      <c r="Q366" s="4" t="s">
        <v>30</v>
      </c>
    </row>
    <row r="367" spans="1:17" x14ac:dyDescent="0.2">
      <c r="A367" s="4" t="s">
        <v>551</v>
      </c>
      <c r="B367">
        <v>366</v>
      </c>
      <c r="C367" s="4" t="s">
        <v>26</v>
      </c>
      <c r="D367" s="4" t="s">
        <v>41</v>
      </c>
      <c r="E367" s="4" t="s">
        <v>35</v>
      </c>
      <c r="F367" s="4" t="s">
        <v>1415</v>
      </c>
      <c r="G367">
        <v>9</v>
      </c>
      <c r="H367">
        <v>43</v>
      </c>
      <c r="I367" s="4" t="s">
        <v>207</v>
      </c>
      <c r="J367" s="4" t="s">
        <v>208</v>
      </c>
      <c r="K367" s="4" t="s">
        <v>179</v>
      </c>
      <c r="L367" s="4" t="s">
        <v>180</v>
      </c>
      <c r="M367" s="4" t="s">
        <v>192</v>
      </c>
      <c r="N367" s="4" t="s">
        <v>182</v>
      </c>
      <c r="O367" s="4" t="s">
        <v>183</v>
      </c>
      <c r="P367">
        <v>15150.73</v>
      </c>
      <c r="Q367" s="4" t="s">
        <v>30</v>
      </c>
    </row>
    <row r="368" spans="1:17" x14ac:dyDescent="0.2">
      <c r="A368" s="4" t="s">
        <v>552</v>
      </c>
      <c r="B368">
        <v>367</v>
      </c>
      <c r="C368" s="4" t="s">
        <v>26</v>
      </c>
      <c r="D368" s="4" t="s">
        <v>41</v>
      </c>
      <c r="E368" s="4" t="s">
        <v>35</v>
      </c>
      <c r="F368" s="4" t="s">
        <v>1415</v>
      </c>
      <c r="G368">
        <v>9</v>
      </c>
      <c r="H368">
        <v>43</v>
      </c>
      <c r="I368" s="4" t="s">
        <v>209</v>
      </c>
      <c r="J368" s="4" t="s">
        <v>210</v>
      </c>
      <c r="K368" s="4" t="s">
        <v>205</v>
      </c>
      <c r="L368" s="4" t="s">
        <v>211</v>
      </c>
      <c r="M368" s="4" t="s">
        <v>182</v>
      </c>
      <c r="N368" s="4" t="s">
        <v>182</v>
      </c>
      <c r="O368" s="4" t="s">
        <v>183</v>
      </c>
      <c r="P368">
        <v>13188.99</v>
      </c>
      <c r="Q368" s="4" t="s">
        <v>30</v>
      </c>
    </row>
    <row r="369" spans="1:17" x14ac:dyDescent="0.2">
      <c r="A369" s="4" t="s">
        <v>553</v>
      </c>
      <c r="B369">
        <v>368</v>
      </c>
      <c r="C369" s="4" t="s">
        <v>26</v>
      </c>
      <c r="D369" s="4" t="s">
        <v>41</v>
      </c>
      <c r="E369" s="4" t="s">
        <v>35</v>
      </c>
      <c r="F369" s="4" t="s">
        <v>1415</v>
      </c>
      <c r="G369">
        <v>9</v>
      </c>
      <c r="H369">
        <v>43</v>
      </c>
      <c r="I369" s="4" t="s">
        <v>203</v>
      </c>
      <c r="J369" s="4" t="s">
        <v>204</v>
      </c>
      <c r="K369" s="4" t="s">
        <v>205</v>
      </c>
      <c r="L369" s="4" t="s">
        <v>206</v>
      </c>
      <c r="M369" s="4" t="s">
        <v>182</v>
      </c>
      <c r="N369" s="4" t="s">
        <v>182</v>
      </c>
      <c r="O369" s="4" t="s">
        <v>183</v>
      </c>
      <c r="P369">
        <v>300</v>
      </c>
      <c r="Q369" s="4" t="s">
        <v>30</v>
      </c>
    </row>
    <row r="370" spans="1:17" x14ac:dyDescent="0.2">
      <c r="A370" s="4" t="s">
        <v>554</v>
      </c>
      <c r="B370">
        <v>369</v>
      </c>
      <c r="C370" s="4" t="s">
        <v>26</v>
      </c>
      <c r="D370" s="4" t="s">
        <v>41</v>
      </c>
      <c r="E370" s="4" t="s">
        <v>35</v>
      </c>
      <c r="F370" s="4" t="s">
        <v>1415</v>
      </c>
      <c r="G370">
        <v>9</v>
      </c>
      <c r="H370">
        <v>43</v>
      </c>
      <c r="I370" s="4" t="s">
        <v>201</v>
      </c>
      <c r="J370" s="4" t="s">
        <v>202</v>
      </c>
      <c r="K370" s="4" t="s">
        <v>179</v>
      </c>
      <c r="L370" s="4" t="s">
        <v>180</v>
      </c>
      <c r="M370" s="4" t="s">
        <v>192</v>
      </c>
      <c r="N370" s="4" t="s">
        <v>182</v>
      </c>
      <c r="O370" s="4" t="s">
        <v>189</v>
      </c>
      <c r="P370">
        <v>-13188.99</v>
      </c>
      <c r="Q370" s="4" t="s">
        <v>30</v>
      </c>
    </row>
    <row r="371" spans="1:17" x14ac:dyDescent="0.2">
      <c r="A371" s="4" t="s">
        <v>555</v>
      </c>
      <c r="B371">
        <v>370</v>
      </c>
      <c r="C371" s="4" t="s">
        <v>26</v>
      </c>
      <c r="D371" s="4" t="s">
        <v>41</v>
      </c>
      <c r="E371" s="4" t="s">
        <v>35</v>
      </c>
      <c r="F371" s="4" t="s">
        <v>1415</v>
      </c>
      <c r="G371">
        <v>9</v>
      </c>
      <c r="H371">
        <v>43</v>
      </c>
      <c r="I371" s="4" t="s">
        <v>212</v>
      </c>
      <c r="J371" s="4" t="s">
        <v>213</v>
      </c>
      <c r="K371" s="4" t="s">
        <v>205</v>
      </c>
      <c r="L371" s="4" t="s">
        <v>214</v>
      </c>
      <c r="M371" s="4" t="s">
        <v>182</v>
      </c>
      <c r="N371" s="4" t="s">
        <v>182</v>
      </c>
      <c r="O371" s="4" t="s">
        <v>189</v>
      </c>
      <c r="P371">
        <v>-15150.73</v>
      </c>
      <c r="Q371" s="4" t="s">
        <v>30</v>
      </c>
    </row>
    <row r="372" spans="1:17" x14ac:dyDescent="0.2">
      <c r="A372" s="4" t="s">
        <v>556</v>
      </c>
      <c r="B372">
        <v>371</v>
      </c>
      <c r="C372" s="4" t="s">
        <v>26</v>
      </c>
      <c r="D372" s="4" t="s">
        <v>41</v>
      </c>
      <c r="E372" s="4" t="s">
        <v>38</v>
      </c>
      <c r="F372" s="4" t="s">
        <v>1446</v>
      </c>
      <c r="G372">
        <v>9</v>
      </c>
      <c r="H372">
        <v>44</v>
      </c>
      <c r="I372" s="4" t="s">
        <v>190</v>
      </c>
      <c r="J372" s="4" t="s">
        <v>191</v>
      </c>
      <c r="K372" s="4" t="s">
        <v>179</v>
      </c>
      <c r="L372" s="4" t="s">
        <v>180</v>
      </c>
      <c r="M372" s="4" t="s">
        <v>192</v>
      </c>
      <c r="N372" s="4" t="s">
        <v>182</v>
      </c>
      <c r="O372" s="4" t="s">
        <v>189</v>
      </c>
      <c r="P372">
        <v>-130610.59</v>
      </c>
      <c r="Q372" s="4" t="s">
        <v>30</v>
      </c>
    </row>
    <row r="373" spans="1:17" x14ac:dyDescent="0.2">
      <c r="A373" s="4" t="s">
        <v>557</v>
      </c>
      <c r="B373">
        <v>372</v>
      </c>
      <c r="C373" s="4" t="s">
        <v>26</v>
      </c>
      <c r="D373" s="4" t="s">
        <v>41</v>
      </c>
      <c r="E373" s="4" t="s">
        <v>38</v>
      </c>
      <c r="F373" s="4" t="s">
        <v>1446</v>
      </c>
      <c r="G373">
        <v>9</v>
      </c>
      <c r="H373">
        <v>44</v>
      </c>
      <c r="I373" s="4" t="s">
        <v>190</v>
      </c>
      <c r="J373" s="4" t="s">
        <v>191</v>
      </c>
      <c r="K373" s="4" t="s">
        <v>179</v>
      </c>
      <c r="L373" s="4" t="s">
        <v>180</v>
      </c>
      <c r="M373" s="4" t="s">
        <v>192</v>
      </c>
      <c r="N373" s="4" t="s">
        <v>182</v>
      </c>
      <c r="O373" s="4" t="s">
        <v>183</v>
      </c>
      <c r="P373">
        <v>8112.89</v>
      </c>
      <c r="Q373" s="4" t="s">
        <v>30</v>
      </c>
    </row>
    <row r="374" spans="1:17" x14ac:dyDescent="0.2">
      <c r="A374" s="4" t="s">
        <v>558</v>
      </c>
      <c r="B374">
        <v>373</v>
      </c>
      <c r="C374" s="4" t="s">
        <v>26</v>
      </c>
      <c r="D374" s="4" t="s">
        <v>41</v>
      </c>
      <c r="E374" s="4" t="s">
        <v>38</v>
      </c>
      <c r="F374" s="4" t="s">
        <v>1446</v>
      </c>
      <c r="G374">
        <v>9</v>
      </c>
      <c r="H374">
        <v>44</v>
      </c>
      <c r="I374" s="4" t="s">
        <v>207</v>
      </c>
      <c r="J374" s="4" t="s">
        <v>208</v>
      </c>
      <c r="K374" s="4" t="s">
        <v>179</v>
      </c>
      <c r="L374" s="4" t="s">
        <v>180</v>
      </c>
      <c r="M374" s="4" t="s">
        <v>192</v>
      </c>
      <c r="N374" s="4" t="s">
        <v>182</v>
      </c>
      <c r="O374" s="4" t="s">
        <v>189</v>
      </c>
      <c r="P374">
        <v>-8112.89</v>
      </c>
      <c r="Q374" s="4" t="s">
        <v>30</v>
      </c>
    </row>
    <row r="375" spans="1:17" x14ac:dyDescent="0.2">
      <c r="A375" s="4" t="s">
        <v>559</v>
      </c>
      <c r="B375">
        <v>374</v>
      </c>
      <c r="C375" s="4" t="s">
        <v>26</v>
      </c>
      <c r="D375" s="4" t="s">
        <v>41</v>
      </c>
      <c r="E375" s="4" t="s">
        <v>38</v>
      </c>
      <c r="F375" s="4" t="s">
        <v>1446</v>
      </c>
      <c r="G375">
        <v>9</v>
      </c>
      <c r="H375">
        <v>44</v>
      </c>
      <c r="I375" s="4" t="s">
        <v>207</v>
      </c>
      <c r="J375" s="4" t="s">
        <v>208</v>
      </c>
      <c r="K375" s="4" t="s">
        <v>179</v>
      </c>
      <c r="L375" s="4" t="s">
        <v>180</v>
      </c>
      <c r="M375" s="4" t="s">
        <v>192</v>
      </c>
      <c r="N375" s="4" t="s">
        <v>182</v>
      </c>
      <c r="O375" s="4" t="s">
        <v>183</v>
      </c>
      <c r="P375">
        <v>15053.34</v>
      </c>
      <c r="Q375" s="4" t="s">
        <v>30</v>
      </c>
    </row>
    <row r="376" spans="1:17" x14ac:dyDescent="0.2">
      <c r="A376" s="4" t="s">
        <v>560</v>
      </c>
      <c r="B376">
        <v>375</v>
      </c>
      <c r="C376" s="4" t="s">
        <v>26</v>
      </c>
      <c r="D376" s="4" t="s">
        <v>41</v>
      </c>
      <c r="E376" s="4" t="s">
        <v>38</v>
      </c>
      <c r="F376" s="4" t="s">
        <v>1446</v>
      </c>
      <c r="G376">
        <v>9</v>
      </c>
      <c r="H376">
        <v>44</v>
      </c>
      <c r="I376" s="4" t="s">
        <v>193</v>
      </c>
      <c r="J376" s="4" t="s">
        <v>194</v>
      </c>
      <c r="K376" s="4" t="s">
        <v>179</v>
      </c>
      <c r="L376" s="4" t="s">
        <v>186</v>
      </c>
      <c r="M376" s="4" t="s">
        <v>195</v>
      </c>
      <c r="N376" s="4" t="s">
        <v>196</v>
      </c>
      <c r="O376" s="4" t="s">
        <v>183</v>
      </c>
      <c r="P376">
        <v>130310.59</v>
      </c>
      <c r="Q376" s="4" t="s">
        <v>30</v>
      </c>
    </row>
    <row r="377" spans="1:17" x14ac:dyDescent="0.2">
      <c r="A377" s="4" t="s">
        <v>561</v>
      </c>
      <c r="B377">
        <v>376</v>
      </c>
      <c r="C377" s="4" t="s">
        <v>26</v>
      </c>
      <c r="D377" s="4" t="s">
        <v>41</v>
      </c>
      <c r="E377" s="4" t="s">
        <v>38</v>
      </c>
      <c r="F377" s="4" t="s">
        <v>1446</v>
      </c>
      <c r="G377">
        <v>9</v>
      </c>
      <c r="H377">
        <v>44</v>
      </c>
      <c r="I377" s="4" t="s">
        <v>209</v>
      </c>
      <c r="J377" s="4" t="s">
        <v>210</v>
      </c>
      <c r="K377" s="4" t="s">
        <v>205</v>
      </c>
      <c r="L377" s="4" t="s">
        <v>211</v>
      </c>
      <c r="M377" s="4" t="s">
        <v>182</v>
      </c>
      <c r="N377" s="4" t="s">
        <v>182</v>
      </c>
      <c r="O377" s="4" t="s">
        <v>183</v>
      </c>
      <c r="P377">
        <v>13285.22</v>
      </c>
      <c r="Q377" s="4" t="s">
        <v>30</v>
      </c>
    </row>
    <row r="378" spans="1:17" x14ac:dyDescent="0.2">
      <c r="A378" s="4" t="s">
        <v>562</v>
      </c>
      <c r="B378">
        <v>377</v>
      </c>
      <c r="C378" s="4" t="s">
        <v>26</v>
      </c>
      <c r="D378" s="4" t="s">
        <v>41</v>
      </c>
      <c r="E378" s="4" t="s">
        <v>38</v>
      </c>
      <c r="F378" s="4" t="s">
        <v>1446</v>
      </c>
      <c r="G378">
        <v>9</v>
      </c>
      <c r="H378">
        <v>44</v>
      </c>
      <c r="I378" s="4" t="s">
        <v>203</v>
      </c>
      <c r="J378" s="4" t="s">
        <v>204</v>
      </c>
      <c r="K378" s="4" t="s">
        <v>205</v>
      </c>
      <c r="L378" s="4" t="s">
        <v>206</v>
      </c>
      <c r="M378" s="4" t="s">
        <v>182</v>
      </c>
      <c r="N378" s="4" t="s">
        <v>182</v>
      </c>
      <c r="O378" s="4" t="s">
        <v>183</v>
      </c>
      <c r="P378">
        <v>300</v>
      </c>
      <c r="Q378" s="4" t="s">
        <v>30</v>
      </c>
    </row>
    <row r="379" spans="1:17" x14ac:dyDescent="0.2">
      <c r="A379" s="4" t="s">
        <v>563</v>
      </c>
      <c r="B379">
        <v>378</v>
      </c>
      <c r="C379" s="4" t="s">
        <v>26</v>
      </c>
      <c r="D379" s="4" t="s">
        <v>41</v>
      </c>
      <c r="E379" s="4" t="s">
        <v>38</v>
      </c>
      <c r="F379" s="4" t="s">
        <v>1446</v>
      </c>
      <c r="G379">
        <v>9</v>
      </c>
      <c r="H379">
        <v>44</v>
      </c>
      <c r="I379" s="4" t="s">
        <v>201</v>
      </c>
      <c r="J379" s="4" t="s">
        <v>202</v>
      </c>
      <c r="K379" s="4" t="s">
        <v>179</v>
      </c>
      <c r="L379" s="4" t="s">
        <v>180</v>
      </c>
      <c r="M379" s="4" t="s">
        <v>192</v>
      </c>
      <c r="N379" s="4" t="s">
        <v>182</v>
      </c>
      <c r="O379" s="4" t="s">
        <v>189</v>
      </c>
      <c r="P379">
        <v>-13285.22</v>
      </c>
      <c r="Q379" s="4" t="s">
        <v>30</v>
      </c>
    </row>
    <row r="380" spans="1:17" x14ac:dyDescent="0.2">
      <c r="A380" s="4" t="s">
        <v>564</v>
      </c>
      <c r="B380">
        <v>379</v>
      </c>
      <c r="C380" s="4" t="s">
        <v>26</v>
      </c>
      <c r="D380" s="4" t="s">
        <v>41</v>
      </c>
      <c r="E380" s="4" t="s">
        <v>38</v>
      </c>
      <c r="F380" s="4" t="s">
        <v>1446</v>
      </c>
      <c r="G380">
        <v>9</v>
      </c>
      <c r="H380">
        <v>44</v>
      </c>
      <c r="I380" s="4" t="s">
        <v>212</v>
      </c>
      <c r="J380" s="4" t="s">
        <v>213</v>
      </c>
      <c r="K380" s="4" t="s">
        <v>205</v>
      </c>
      <c r="L380" s="4" t="s">
        <v>214</v>
      </c>
      <c r="M380" s="4" t="s">
        <v>182</v>
      </c>
      <c r="N380" s="4" t="s">
        <v>182</v>
      </c>
      <c r="O380" s="4" t="s">
        <v>189</v>
      </c>
      <c r="P380">
        <v>-15053.34</v>
      </c>
      <c r="Q380" s="4" t="s">
        <v>30</v>
      </c>
    </row>
    <row r="381" spans="1:17" x14ac:dyDescent="0.2">
      <c r="A381" s="4" t="s">
        <v>565</v>
      </c>
      <c r="B381">
        <v>380</v>
      </c>
      <c r="C381" s="4" t="s">
        <v>26</v>
      </c>
      <c r="D381" s="4" t="s">
        <v>41</v>
      </c>
      <c r="E381" s="4" t="s">
        <v>41</v>
      </c>
      <c r="F381" s="4" t="s">
        <v>1474</v>
      </c>
      <c r="G381">
        <v>9</v>
      </c>
      <c r="H381">
        <v>45</v>
      </c>
      <c r="I381" s="4" t="s">
        <v>190</v>
      </c>
      <c r="J381" s="4" t="s">
        <v>191</v>
      </c>
      <c r="K381" s="4" t="s">
        <v>179</v>
      </c>
      <c r="L381" s="4" t="s">
        <v>180</v>
      </c>
      <c r="M381" s="4" t="s">
        <v>192</v>
      </c>
      <c r="N381" s="4" t="s">
        <v>182</v>
      </c>
      <c r="O381" s="4" t="s">
        <v>189</v>
      </c>
      <c r="P381">
        <v>-200</v>
      </c>
      <c r="Q381" s="4" t="s">
        <v>30</v>
      </c>
    </row>
    <row r="382" spans="1:17" x14ac:dyDescent="0.2">
      <c r="A382" s="4" t="s">
        <v>566</v>
      </c>
      <c r="B382">
        <v>381</v>
      </c>
      <c r="C382" s="4" t="s">
        <v>26</v>
      </c>
      <c r="D382" s="4" t="s">
        <v>41</v>
      </c>
      <c r="E382" s="4" t="s">
        <v>41</v>
      </c>
      <c r="F382" s="4" t="s">
        <v>1474</v>
      </c>
      <c r="G382">
        <v>9</v>
      </c>
      <c r="H382">
        <v>45</v>
      </c>
      <c r="I382" s="4" t="s">
        <v>190</v>
      </c>
      <c r="J382" s="4" t="s">
        <v>191</v>
      </c>
      <c r="K382" s="4" t="s">
        <v>179</v>
      </c>
      <c r="L382" s="4" t="s">
        <v>180</v>
      </c>
      <c r="M382" s="4" t="s">
        <v>192</v>
      </c>
      <c r="N382" s="4" t="s">
        <v>182</v>
      </c>
      <c r="O382" s="4" t="s">
        <v>183</v>
      </c>
      <c r="P382">
        <v>14911.01</v>
      </c>
      <c r="Q382" s="4" t="s">
        <v>30</v>
      </c>
    </row>
    <row r="383" spans="1:17" x14ac:dyDescent="0.2">
      <c r="A383" s="4" t="s">
        <v>567</v>
      </c>
      <c r="B383">
        <v>382</v>
      </c>
      <c r="C383" s="4" t="s">
        <v>26</v>
      </c>
      <c r="D383" s="4" t="s">
        <v>41</v>
      </c>
      <c r="E383" s="4" t="s">
        <v>41</v>
      </c>
      <c r="F383" s="4" t="s">
        <v>1474</v>
      </c>
      <c r="G383">
        <v>9</v>
      </c>
      <c r="H383">
        <v>45</v>
      </c>
      <c r="I383" s="4" t="s">
        <v>207</v>
      </c>
      <c r="J383" s="4" t="s">
        <v>208</v>
      </c>
      <c r="K383" s="4" t="s">
        <v>179</v>
      </c>
      <c r="L383" s="4" t="s">
        <v>180</v>
      </c>
      <c r="M383" s="4" t="s">
        <v>192</v>
      </c>
      <c r="N383" s="4" t="s">
        <v>182</v>
      </c>
      <c r="O383" s="4" t="s">
        <v>189</v>
      </c>
      <c r="P383">
        <v>-14911.01</v>
      </c>
      <c r="Q383" s="4" t="s">
        <v>30</v>
      </c>
    </row>
    <row r="384" spans="1:17" x14ac:dyDescent="0.2">
      <c r="A384" s="4" t="s">
        <v>568</v>
      </c>
      <c r="B384">
        <v>383</v>
      </c>
      <c r="C384" s="4" t="s">
        <v>26</v>
      </c>
      <c r="D384" s="4" t="s">
        <v>41</v>
      </c>
      <c r="E384" s="4" t="s">
        <v>41</v>
      </c>
      <c r="F384" s="4" t="s">
        <v>1474</v>
      </c>
      <c r="G384">
        <v>9</v>
      </c>
      <c r="H384">
        <v>45</v>
      </c>
      <c r="I384" s="4" t="s">
        <v>207</v>
      </c>
      <c r="J384" s="4" t="s">
        <v>208</v>
      </c>
      <c r="K384" s="4" t="s">
        <v>179</v>
      </c>
      <c r="L384" s="4" t="s">
        <v>180</v>
      </c>
      <c r="M384" s="4" t="s">
        <v>192</v>
      </c>
      <c r="N384" s="4" t="s">
        <v>182</v>
      </c>
      <c r="O384" s="4" t="s">
        <v>183</v>
      </c>
      <c r="P384">
        <v>14585.55</v>
      </c>
      <c r="Q384" s="4" t="s">
        <v>30</v>
      </c>
    </row>
    <row r="385" spans="1:17" x14ac:dyDescent="0.2">
      <c r="A385" s="4" t="s">
        <v>569</v>
      </c>
      <c r="B385">
        <v>384</v>
      </c>
      <c r="C385" s="4" t="s">
        <v>26</v>
      </c>
      <c r="D385" s="4" t="s">
        <v>41</v>
      </c>
      <c r="E385" s="4" t="s">
        <v>41</v>
      </c>
      <c r="F385" s="4" t="s">
        <v>1474</v>
      </c>
      <c r="G385">
        <v>9</v>
      </c>
      <c r="H385">
        <v>45</v>
      </c>
      <c r="I385" s="4" t="s">
        <v>209</v>
      </c>
      <c r="J385" s="4" t="s">
        <v>210</v>
      </c>
      <c r="K385" s="4" t="s">
        <v>205</v>
      </c>
      <c r="L385" s="4" t="s">
        <v>211</v>
      </c>
      <c r="M385" s="4" t="s">
        <v>182</v>
      </c>
      <c r="N385" s="4" t="s">
        <v>182</v>
      </c>
      <c r="O385" s="4" t="s">
        <v>183</v>
      </c>
      <c r="P385">
        <v>12399.31</v>
      </c>
      <c r="Q385" s="4" t="s">
        <v>30</v>
      </c>
    </row>
    <row r="386" spans="1:17" x14ac:dyDescent="0.2">
      <c r="A386" s="4" t="s">
        <v>570</v>
      </c>
      <c r="B386">
        <v>385</v>
      </c>
      <c r="C386" s="4" t="s">
        <v>26</v>
      </c>
      <c r="D386" s="4" t="s">
        <v>41</v>
      </c>
      <c r="E386" s="4" t="s">
        <v>41</v>
      </c>
      <c r="F386" s="4" t="s">
        <v>1474</v>
      </c>
      <c r="G386">
        <v>9</v>
      </c>
      <c r="H386">
        <v>45</v>
      </c>
      <c r="I386" s="4" t="s">
        <v>203</v>
      </c>
      <c r="J386" s="4" t="s">
        <v>204</v>
      </c>
      <c r="K386" s="4" t="s">
        <v>205</v>
      </c>
      <c r="L386" s="4" t="s">
        <v>206</v>
      </c>
      <c r="M386" s="4" t="s">
        <v>182</v>
      </c>
      <c r="N386" s="4" t="s">
        <v>182</v>
      </c>
      <c r="O386" s="4" t="s">
        <v>183</v>
      </c>
      <c r="P386">
        <v>200</v>
      </c>
      <c r="Q386" s="4" t="s">
        <v>30</v>
      </c>
    </row>
    <row r="387" spans="1:17" x14ac:dyDescent="0.2">
      <c r="A387" s="4" t="s">
        <v>571</v>
      </c>
      <c r="B387">
        <v>386</v>
      </c>
      <c r="C387" s="4" t="s">
        <v>26</v>
      </c>
      <c r="D387" s="4" t="s">
        <v>41</v>
      </c>
      <c r="E387" s="4" t="s">
        <v>41</v>
      </c>
      <c r="F387" s="4" t="s">
        <v>1474</v>
      </c>
      <c r="G387">
        <v>9</v>
      </c>
      <c r="H387">
        <v>45</v>
      </c>
      <c r="I387" s="4" t="s">
        <v>201</v>
      </c>
      <c r="J387" s="4" t="s">
        <v>202</v>
      </c>
      <c r="K387" s="4" t="s">
        <v>179</v>
      </c>
      <c r="L387" s="4" t="s">
        <v>180</v>
      </c>
      <c r="M387" s="4" t="s">
        <v>192</v>
      </c>
      <c r="N387" s="4" t="s">
        <v>182</v>
      </c>
      <c r="O387" s="4" t="s">
        <v>189</v>
      </c>
      <c r="P387">
        <v>-12399.31</v>
      </c>
      <c r="Q387" s="4" t="s">
        <v>30</v>
      </c>
    </row>
    <row r="388" spans="1:17" x14ac:dyDescent="0.2">
      <c r="A388" s="4" t="s">
        <v>572</v>
      </c>
      <c r="B388">
        <v>387</v>
      </c>
      <c r="C388" s="4" t="s">
        <v>26</v>
      </c>
      <c r="D388" s="4" t="s">
        <v>41</v>
      </c>
      <c r="E388" s="4" t="s">
        <v>41</v>
      </c>
      <c r="F388" s="4" t="s">
        <v>1474</v>
      </c>
      <c r="G388">
        <v>9</v>
      </c>
      <c r="H388">
        <v>45</v>
      </c>
      <c r="I388" s="4" t="s">
        <v>212</v>
      </c>
      <c r="J388" s="4" t="s">
        <v>213</v>
      </c>
      <c r="K388" s="4" t="s">
        <v>205</v>
      </c>
      <c r="L388" s="4" t="s">
        <v>214</v>
      </c>
      <c r="M388" s="4" t="s">
        <v>182</v>
      </c>
      <c r="N388" s="4" t="s">
        <v>182</v>
      </c>
      <c r="O388" s="4" t="s">
        <v>189</v>
      </c>
      <c r="P388">
        <v>-14585.55</v>
      </c>
      <c r="Q388" s="4" t="s">
        <v>30</v>
      </c>
    </row>
    <row r="389" spans="1:17" x14ac:dyDescent="0.2">
      <c r="A389" s="4" t="s">
        <v>573</v>
      </c>
      <c r="B389">
        <v>388</v>
      </c>
      <c r="C389" s="4" t="s">
        <v>26</v>
      </c>
      <c r="D389" s="4" t="s">
        <v>41</v>
      </c>
      <c r="E389" s="4" t="s">
        <v>44</v>
      </c>
      <c r="F389" s="4" t="s">
        <v>1475</v>
      </c>
      <c r="G389">
        <v>10</v>
      </c>
      <c r="H389">
        <v>46</v>
      </c>
      <c r="I389" s="4" t="s">
        <v>190</v>
      </c>
      <c r="J389" s="4" t="s">
        <v>191</v>
      </c>
      <c r="K389" s="4" t="s">
        <v>179</v>
      </c>
      <c r="L389" s="4" t="s">
        <v>180</v>
      </c>
      <c r="M389" s="4" t="s">
        <v>192</v>
      </c>
      <c r="N389" s="4" t="s">
        <v>182</v>
      </c>
      <c r="O389" s="4" t="s">
        <v>189</v>
      </c>
      <c r="P389">
        <v>-300</v>
      </c>
      <c r="Q389" s="4" t="s">
        <v>30</v>
      </c>
    </row>
    <row r="390" spans="1:17" x14ac:dyDescent="0.2">
      <c r="A390" s="4" t="s">
        <v>574</v>
      </c>
      <c r="B390">
        <v>389</v>
      </c>
      <c r="C390" s="4" t="s">
        <v>26</v>
      </c>
      <c r="D390" s="4" t="s">
        <v>41</v>
      </c>
      <c r="E390" s="4" t="s">
        <v>44</v>
      </c>
      <c r="F390" s="4" t="s">
        <v>1475</v>
      </c>
      <c r="G390">
        <v>10</v>
      </c>
      <c r="H390">
        <v>46</v>
      </c>
      <c r="I390" s="4" t="s">
        <v>190</v>
      </c>
      <c r="J390" s="4" t="s">
        <v>191</v>
      </c>
      <c r="K390" s="4" t="s">
        <v>179</v>
      </c>
      <c r="L390" s="4" t="s">
        <v>180</v>
      </c>
      <c r="M390" s="4" t="s">
        <v>192</v>
      </c>
      <c r="N390" s="4" t="s">
        <v>182</v>
      </c>
      <c r="O390" s="4" t="s">
        <v>183</v>
      </c>
      <c r="P390">
        <v>17199.87</v>
      </c>
      <c r="Q390" s="4" t="s">
        <v>30</v>
      </c>
    </row>
    <row r="391" spans="1:17" x14ac:dyDescent="0.2">
      <c r="A391" s="4" t="s">
        <v>575</v>
      </c>
      <c r="B391">
        <v>390</v>
      </c>
      <c r="C391" s="4" t="s">
        <v>26</v>
      </c>
      <c r="D391" s="4" t="s">
        <v>41</v>
      </c>
      <c r="E391" s="4" t="s">
        <v>44</v>
      </c>
      <c r="F391" s="4" t="s">
        <v>1475</v>
      </c>
      <c r="G391">
        <v>10</v>
      </c>
      <c r="H391">
        <v>46</v>
      </c>
      <c r="I391" s="4" t="s">
        <v>207</v>
      </c>
      <c r="J391" s="4" t="s">
        <v>208</v>
      </c>
      <c r="K391" s="4" t="s">
        <v>179</v>
      </c>
      <c r="L391" s="4" t="s">
        <v>180</v>
      </c>
      <c r="M391" s="4" t="s">
        <v>192</v>
      </c>
      <c r="N391" s="4" t="s">
        <v>182</v>
      </c>
      <c r="O391" s="4" t="s">
        <v>189</v>
      </c>
      <c r="P391">
        <v>-17199.87</v>
      </c>
      <c r="Q391" s="4" t="s">
        <v>30</v>
      </c>
    </row>
    <row r="392" spans="1:17" x14ac:dyDescent="0.2">
      <c r="A392" s="4" t="s">
        <v>576</v>
      </c>
      <c r="B392">
        <v>391</v>
      </c>
      <c r="C392" s="4" t="s">
        <v>26</v>
      </c>
      <c r="D392" s="4" t="s">
        <v>41</v>
      </c>
      <c r="E392" s="4" t="s">
        <v>44</v>
      </c>
      <c r="F392" s="4" t="s">
        <v>1475</v>
      </c>
      <c r="G392">
        <v>10</v>
      </c>
      <c r="H392">
        <v>46</v>
      </c>
      <c r="I392" s="4" t="s">
        <v>207</v>
      </c>
      <c r="J392" s="4" t="s">
        <v>208</v>
      </c>
      <c r="K392" s="4" t="s">
        <v>179</v>
      </c>
      <c r="L392" s="4" t="s">
        <v>180</v>
      </c>
      <c r="M392" s="4" t="s">
        <v>192</v>
      </c>
      <c r="N392" s="4" t="s">
        <v>182</v>
      </c>
      <c r="O392" s="4" t="s">
        <v>183</v>
      </c>
      <c r="P392">
        <v>13893.17</v>
      </c>
      <c r="Q392" s="4" t="s">
        <v>30</v>
      </c>
    </row>
    <row r="393" spans="1:17" x14ac:dyDescent="0.2">
      <c r="A393" s="4" t="s">
        <v>577</v>
      </c>
      <c r="B393">
        <v>392</v>
      </c>
      <c r="C393" s="4" t="s">
        <v>26</v>
      </c>
      <c r="D393" s="4" t="s">
        <v>41</v>
      </c>
      <c r="E393" s="4" t="s">
        <v>44</v>
      </c>
      <c r="F393" s="4" t="s">
        <v>1475</v>
      </c>
      <c r="G393">
        <v>10</v>
      </c>
      <c r="H393">
        <v>46</v>
      </c>
      <c r="I393" s="4" t="s">
        <v>209</v>
      </c>
      <c r="J393" s="4" t="s">
        <v>210</v>
      </c>
      <c r="K393" s="4" t="s">
        <v>205</v>
      </c>
      <c r="L393" s="4" t="s">
        <v>211</v>
      </c>
      <c r="M393" s="4" t="s">
        <v>182</v>
      </c>
      <c r="N393" s="4" t="s">
        <v>182</v>
      </c>
      <c r="O393" s="4" t="s">
        <v>183</v>
      </c>
      <c r="P393">
        <v>11911.57</v>
      </c>
      <c r="Q393" s="4" t="s">
        <v>30</v>
      </c>
    </row>
    <row r="394" spans="1:17" x14ac:dyDescent="0.2">
      <c r="A394" s="4" t="s">
        <v>578</v>
      </c>
      <c r="B394">
        <v>393</v>
      </c>
      <c r="C394" s="4" t="s">
        <v>26</v>
      </c>
      <c r="D394" s="4" t="s">
        <v>41</v>
      </c>
      <c r="E394" s="4" t="s">
        <v>44</v>
      </c>
      <c r="F394" s="4" t="s">
        <v>1475</v>
      </c>
      <c r="G394">
        <v>10</v>
      </c>
      <c r="H394">
        <v>46</v>
      </c>
      <c r="I394" s="4" t="s">
        <v>203</v>
      </c>
      <c r="J394" s="4" t="s">
        <v>204</v>
      </c>
      <c r="K394" s="4" t="s">
        <v>205</v>
      </c>
      <c r="L394" s="4" t="s">
        <v>206</v>
      </c>
      <c r="M394" s="4" t="s">
        <v>182</v>
      </c>
      <c r="N394" s="4" t="s">
        <v>182</v>
      </c>
      <c r="O394" s="4" t="s">
        <v>183</v>
      </c>
      <c r="P394">
        <v>300</v>
      </c>
      <c r="Q394" s="4" t="s">
        <v>30</v>
      </c>
    </row>
    <row r="395" spans="1:17" x14ac:dyDescent="0.2">
      <c r="A395" s="4" t="s">
        <v>579</v>
      </c>
      <c r="B395">
        <v>394</v>
      </c>
      <c r="C395" s="4" t="s">
        <v>26</v>
      </c>
      <c r="D395" s="4" t="s">
        <v>41</v>
      </c>
      <c r="E395" s="4" t="s">
        <v>44</v>
      </c>
      <c r="F395" s="4" t="s">
        <v>1475</v>
      </c>
      <c r="G395">
        <v>10</v>
      </c>
      <c r="H395">
        <v>46</v>
      </c>
      <c r="I395" s="4" t="s">
        <v>201</v>
      </c>
      <c r="J395" s="4" t="s">
        <v>202</v>
      </c>
      <c r="K395" s="4" t="s">
        <v>179</v>
      </c>
      <c r="L395" s="4" t="s">
        <v>180</v>
      </c>
      <c r="M395" s="4" t="s">
        <v>192</v>
      </c>
      <c r="N395" s="4" t="s">
        <v>182</v>
      </c>
      <c r="O395" s="4" t="s">
        <v>189</v>
      </c>
      <c r="P395">
        <v>-11911.57</v>
      </c>
      <c r="Q395" s="4" t="s">
        <v>30</v>
      </c>
    </row>
    <row r="396" spans="1:17" x14ac:dyDescent="0.2">
      <c r="A396" s="4" t="s">
        <v>580</v>
      </c>
      <c r="B396">
        <v>395</v>
      </c>
      <c r="C396" s="4" t="s">
        <v>26</v>
      </c>
      <c r="D396" s="4" t="s">
        <v>41</v>
      </c>
      <c r="E396" s="4" t="s">
        <v>44</v>
      </c>
      <c r="F396" s="4" t="s">
        <v>1475</v>
      </c>
      <c r="G396">
        <v>10</v>
      </c>
      <c r="H396">
        <v>46</v>
      </c>
      <c r="I396" s="4" t="s">
        <v>212</v>
      </c>
      <c r="J396" s="4" t="s">
        <v>213</v>
      </c>
      <c r="K396" s="4" t="s">
        <v>205</v>
      </c>
      <c r="L396" s="4" t="s">
        <v>214</v>
      </c>
      <c r="M396" s="4" t="s">
        <v>182</v>
      </c>
      <c r="N396" s="4" t="s">
        <v>182</v>
      </c>
      <c r="O396" s="4" t="s">
        <v>189</v>
      </c>
      <c r="P396">
        <v>-13893.17</v>
      </c>
      <c r="Q396" s="4" t="s">
        <v>30</v>
      </c>
    </row>
    <row r="397" spans="1:17" x14ac:dyDescent="0.2">
      <c r="A397" s="4" t="s">
        <v>581</v>
      </c>
      <c r="B397">
        <v>396</v>
      </c>
      <c r="C397" s="4" t="s">
        <v>26</v>
      </c>
      <c r="D397" s="4" t="s">
        <v>41</v>
      </c>
      <c r="E397" s="4" t="s">
        <v>47</v>
      </c>
      <c r="F397" s="4" t="s">
        <v>1476</v>
      </c>
      <c r="G397">
        <v>10</v>
      </c>
      <c r="H397">
        <v>47</v>
      </c>
      <c r="I397" s="4" t="s">
        <v>190</v>
      </c>
      <c r="J397" s="4" t="s">
        <v>191</v>
      </c>
      <c r="K397" s="4" t="s">
        <v>179</v>
      </c>
      <c r="L397" s="4" t="s">
        <v>180</v>
      </c>
      <c r="M397" s="4" t="s">
        <v>192</v>
      </c>
      <c r="N397" s="4" t="s">
        <v>182</v>
      </c>
      <c r="O397" s="4" t="s">
        <v>189</v>
      </c>
      <c r="P397">
        <v>-300</v>
      </c>
      <c r="Q397" s="4" t="s">
        <v>30</v>
      </c>
    </row>
    <row r="398" spans="1:17" x14ac:dyDescent="0.2">
      <c r="A398" s="4" t="s">
        <v>582</v>
      </c>
      <c r="B398">
        <v>397</v>
      </c>
      <c r="C398" s="4" t="s">
        <v>26</v>
      </c>
      <c r="D398" s="4" t="s">
        <v>41</v>
      </c>
      <c r="E398" s="4" t="s">
        <v>47</v>
      </c>
      <c r="F398" s="4" t="s">
        <v>1476</v>
      </c>
      <c r="G398">
        <v>10</v>
      </c>
      <c r="H398">
        <v>47</v>
      </c>
      <c r="I398" s="4" t="s">
        <v>190</v>
      </c>
      <c r="J398" s="4" t="s">
        <v>191</v>
      </c>
      <c r="K398" s="4" t="s">
        <v>179</v>
      </c>
      <c r="L398" s="4" t="s">
        <v>180</v>
      </c>
      <c r="M398" s="4" t="s">
        <v>192</v>
      </c>
      <c r="N398" s="4" t="s">
        <v>182</v>
      </c>
      <c r="O398" s="4" t="s">
        <v>183</v>
      </c>
      <c r="P398">
        <v>15150.73</v>
      </c>
      <c r="Q398" s="4" t="s">
        <v>30</v>
      </c>
    </row>
    <row r="399" spans="1:17" x14ac:dyDescent="0.2">
      <c r="A399" s="4" t="s">
        <v>583</v>
      </c>
      <c r="B399">
        <v>398</v>
      </c>
      <c r="C399" s="4" t="s">
        <v>26</v>
      </c>
      <c r="D399" s="4" t="s">
        <v>41</v>
      </c>
      <c r="E399" s="4" t="s">
        <v>47</v>
      </c>
      <c r="F399" s="4" t="s">
        <v>1476</v>
      </c>
      <c r="G399">
        <v>10</v>
      </c>
      <c r="H399">
        <v>47</v>
      </c>
      <c r="I399" s="4" t="s">
        <v>207</v>
      </c>
      <c r="J399" s="4" t="s">
        <v>208</v>
      </c>
      <c r="K399" s="4" t="s">
        <v>179</v>
      </c>
      <c r="L399" s="4" t="s">
        <v>180</v>
      </c>
      <c r="M399" s="4" t="s">
        <v>192</v>
      </c>
      <c r="N399" s="4" t="s">
        <v>182</v>
      </c>
      <c r="O399" s="4" t="s">
        <v>189</v>
      </c>
      <c r="P399">
        <v>-15150.73</v>
      </c>
      <c r="Q399" s="4" t="s">
        <v>30</v>
      </c>
    </row>
    <row r="400" spans="1:17" x14ac:dyDescent="0.2">
      <c r="A400" s="4" t="s">
        <v>584</v>
      </c>
      <c r="B400">
        <v>399</v>
      </c>
      <c r="C400" s="4" t="s">
        <v>26</v>
      </c>
      <c r="D400" s="4" t="s">
        <v>41</v>
      </c>
      <c r="E400" s="4" t="s">
        <v>47</v>
      </c>
      <c r="F400" s="4" t="s">
        <v>1476</v>
      </c>
      <c r="G400">
        <v>10</v>
      </c>
      <c r="H400">
        <v>47</v>
      </c>
      <c r="I400" s="4" t="s">
        <v>207</v>
      </c>
      <c r="J400" s="4" t="s">
        <v>208</v>
      </c>
      <c r="K400" s="4" t="s">
        <v>179</v>
      </c>
      <c r="L400" s="4" t="s">
        <v>180</v>
      </c>
      <c r="M400" s="4" t="s">
        <v>192</v>
      </c>
      <c r="N400" s="4" t="s">
        <v>182</v>
      </c>
      <c r="O400" s="4" t="s">
        <v>183</v>
      </c>
      <c r="P400">
        <v>5862.25</v>
      </c>
      <c r="Q400" s="4" t="s">
        <v>30</v>
      </c>
    </row>
    <row r="401" spans="1:17" x14ac:dyDescent="0.2">
      <c r="A401" s="4" t="s">
        <v>585</v>
      </c>
      <c r="B401">
        <v>400</v>
      </c>
      <c r="C401" s="4" t="s">
        <v>26</v>
      </c>
      <c r="D401" s="4" t="s">
        <v>41</v>
      </c>
      <c r="E401" s="4" t="s">
        <v>47</v>
      </c>
      <c r="F401" s="4" t="s">
        <v>1476</v>
      </c>
      <c r="G401">
        <v>10</v>
      </c>
      <c r="H401">
        <v>47</v>
      </c>
      <c r="I401" s="4" t="s">
        <v>193</v>
      </c>
      <c r="J401" s="4" t="s">
        <v>194</v>
      </c>
      <c r="K401" s="4" t="s">
        <v>179</v>
      </c>
      <c r="L401" s="4" t="s">
        <v>186</v>
      </c>
      <c r="M401" s="4" t="s">
        <v>195</v>
      </c>
      <c r="N401" s="4" t="s">
        <v>196</v>
      </c>
      <c r="O401" s="4" t="s">
        <v>189</v>
      </c>
      <c r="P401">
        <v>-45884.33</v>
      </c>
      <c r="Q401" s="4" t="s">
        <v>30</v>
      </c>
    </row>
    <row r="402" spans="1:17" x14ac:dyDescent="0.2">
      <c r="A402" s="4" t="s">
        <v>586</v>
      </c>
      <c r="B402">
        <v>401</v>
      </c>
      <c r="C402" s="4" t="s">
        <v>26</v>
      </c>
      <c r="D402" s="4" t="s">
        <v>41</v>
      </c>
      <c r="E402" s="4" t="s">
        <v>47</v>
      </c>
      <c r="F402" s="4" t="s">
        <v>1476</v>
      </c>
      <c r="G402">
        <v>10</v>
      </c>
      <c r="H402">
        <v>47</v>
      </c>
      <c r="I402" s="4" t="s">
        <v>197</v>
      </c>
      <c r="J402" s="4" t="s">
        <v>198</v>
      </c>
      <c r="K402" s="4" t="s">
        <v>179</v>
      </c>
      <c r="L402" s="4" t="s">
        <v>186</v>
      </c>
      <c r="M402" s="4" t="s">
        <v>195</v>
      </c>
      <c r="N402" s="4" t="s">
        <v>196</v>
      </c>
      <c r="O402" s="4" t="s">
        <v>189</v>
      </c>
      <c r="P402">
        <v>-44884.33</v>
      </c>
      <c r="Q402" s="4" t="s">
        <v>30</v>
      </c>
    </row>
    <row r="403" spans="1:17" x14ac:dyDescent="0.2">
      <c r="A403" s="4" t="s">
        <v>587</v>
      </c>
      <c r="B403">
        <v>402</v>
      </c>
      <c r="C403" s="4" t="s">
        <v>26</v>
      </c>
      <c r="D403" s="4" t="s">
        <v>41</v>
      </c>
      <c r="E403" s="4" t="s">
        <v>47</v>
      </c>
      <c r="F403" s="4" t="s">
        <v>1476</v>
      </c>
      <c r="G403">
        <v>10</v>
      </c>
      <c r="H403">
        <v>47</v>
      </c>
      <c r="I403" s="4" t="s">
        <v>197</v>
      </c>
      <c r="J403" s="4" t="s">
        <v>198</v>
      </c>
      <c r="K403" s="4" t="s">
        <v>179</v>
      </c>
      <c r="L403" s="4" t="s">
        <v>186</v>
      </c>
      <c r="M403" s="4" t="s">
        <v>195</v>
      </c>
      <c r="N403" s="4" t="s">
        <v>196</v>
      </c>
      <c r="O403" s="4" t="s">
        <v>183</v>
      </c>
      <c r="P403">
        <v>44884.33</v>
      </c>
      <c r="Q403" s="4" t="s">
        <v>30</v>
      </c>
    </row>
    <row r="404" spans="1:17" x14ac:dyDescent="0.2">
      <c r="A404" s="4" t="s">
        <v>588</v>
      </c>
      <c r="B404">
        <v>403</v>
      </c>
      <c r="C404" s="4" t="s">
        <v>26</v>
      </c>
      <c r="D404" s="4" t="s">
        <v>41</v>
      </c>
      <c r="E404" s="4" t="s">
        <v>47</v>
      </c>
      <c r="F404" s="4" t="s">
        <v>1476</v>
      </c>
      <c r="G404">
        <v>10</v>
      </c>
      <c r="H404">
        <v>47</v>
      </c>
      <c r="I404" s="4" t="s">
        <v>199</v>
      </c>
      <c r="J404" s="4" t="s">
        <v>200</v>
      </c>
      <c r="K404" s="4" t="s">
        <v>179</v>
      </c>
      <c r="L404" s="4" t="s">
        <v>186</v>
      </c>
      <c r="M404" s="4" t="s">
        <v>195</v>
      </c>
      <c r="N404" s="4" t="s">
        <v>196</v>
      </c>
      <c r="O404" s="4" t="s">
        <v>189</v>
      </c>
      <c r="P404">
        <v>-1000</v>
      </c>
      <c r="Q404" s="4" t="s">
        <v>30</v>
      </c>
    </row>
    <row r="405" spans="1:17" x14ac:dyDescent="0.2">
      <c r="A405" s="4" t="s">
        <v>589</v>
      </c>
      <c r="B405">
        <v>404</v>
      </c>
      <c r="C405" s="4" t="s">
        <v>26</v>
      </c>
      <c r="D405" s="4" t="s">
        <v>41</v>
      </c>
      <c r="E405" s="4" t="s">
        <v>47</v>
      </c>
      <c r="F405" s="4" t="s">
        <v>1476</v>
      </c>
      <c r="G405">
        <v>10</v>
      </c>
      <c r="H405">
        <v>47</v>
      </c>
      <c r="I405" s="4" t="s">
        <v>199</v>
      </c>
      <c r="J405" s="4" t="s">
        <v>200</v>
      </c>
      <c r="K405" s="4" t="s">
        <v>179</v>
      </c>
      <c r="L405" s="4" t="s">
        <v>186</v>
      </c>
      <c r="M405" s="4" t="s">
        <v>195</v>
      </c>
      <c r="N405" s="4" t="s">
        <v>196</v>
      </c>
      <c r="O405" s="4" t="s">
        <v>183</v>
      </c>
      <c r="P405">
        <v>1000</v>
      </c>
      <c r="Q405" s="4" t="s">
        <v>30</v>
      </c>
    </row>
    <row r="406" spans="1:17" x14ac:dyDescent="0.2">
      <c r="A406" s="4" t="s">
        <v>590</v>
      </c>
      <c r="B406">
        <v>405</v>
      </c>
      <c r="C406" s="4" t="s">
        <v>26</v>
      </c>
      <c r="D406" s="4" t="s">
        <v>41</v>
      </c>
      <c r="E406" s="4" t="s">
        <v>47</v>
      </c>
      <c r="F406" s="4" t="s">
        <v>1476</v>
      </c>
      <c r="G406">
        <v>10</v>
      </c>
      <c r="H406">
        <v>47</v>
      </c>
      <c r="I406" s="4" t="s">
        <v>209</v>
      </c>
      <c r="J406" s="4" t="s">
        <v>210</v>
      </c>
      <c r="K406" s="4" t="s">
        <v>205</v>
      </c>
      <c r="L406" s="4" t="s">
        <v>211</v>
      </c>
      <c r="M406" s="4" t="s">
        <v>182</v>
      </c>
      <c r="N406" s="4" t="s">
        <v>182</v>
      </c>
      <c r="O406" s="4" t="s">
        <v>183</v>
      </c>
      <c r="P406">
        <v>5151.97</v>
      </c>
      <c r="Q406" s="4" t="s">
        <v>30</v>
      </c>
    </row>
    <row r="407" spans="1:17" x14ac:dyDescent="0.2">
      <c r="A407" s="4" t="s">
        <v>591</v>
      </c>
      <c r="B407">
        <v>406</v>
      </c>
      <c r="C407" s="4" t="s">
        <v>26</v>
      </c>
      <c r="D407" s="4" t="s">
        <v>41</v>
      </c>
      <c r="E407" s="4" t="s">
        <v>47</v>
      </c>
      <c r="F407" s="4" t="s">
        <v>1476</v>
      </c>
      <c r="G407">
        <v>10</v>
      </c>
      <c r="H407">
        <v>47</v>
      </c>
      <c r="I407" s="4" t="s">
        <v>203</v>
      </c>
      <c r="J407" s="4" t="s">
        <v>204</v>
      </c>
      <c r="K407" s="4" t="s">
        <v>205</v>
      </c>
      <c r="L407" s="4" t="s">
        <v>206</v>
      </c>
      <c r="M407" s="4" t="s">
        <v>182</v>
      </c>
      <c r="N407" s="4" t="s">
        <v>182</v>
      </c>
      <c r="O407" s="4" t="s">
        <v>183</v>
      </c>
      <c r="P407">
        <v>300</v>
      </c>
      <c r="Q407" s="4" t="s">
        <v>30</v>
      </c>
    </row>
    <row r="408" spans="1:17" x14ac:dyDescent="0.2">
      <c r="A408" s="4" t="s">
        <v>592</v>
      </c>
      <c r="B408">
        <v>407</v>
      </c>
      <c r="C408" s="4" t="s">
        <v>26</v>
      </c>
      <c r="D408" s="4" t="s">
        <v>41</v>
      </c>
      <c r="E408" s="4" t="s">
        <v>47</v>
      </c>
      <c r="F408" s="4" t="s">
        <v>1476</v>
      </c>
      <c r="G408">
        <v>10</v>
      </c>
      <c r="H408">
        <v>47</v>
      </c>
      <c r="I408" s="4" t="s">
        <v>201</v>
      </c>
      <c r="J408" s="4" t="s">
        <v>202</v>
      </c>
      <c r="K408" s="4" t="s">
        <v>179</v>
      </c>
      <c r="L408" s="4" t="s">
        <v>180</v>
      </c>
      <c r="M408" s="4" t="s">
        <v>192</v>
      </c>
      <c r="N408" s="4" t="s">
        <v>182</v>
      </c>
      <c r="O408" s="4" t="s">
        <v>189</v>
      </c>
      <c r="P408">
        <v>-5151.97</v>
      </c>
      <c r="Q408" s="4" t="s">
        <v>30</v>
      </c>
    </row>
    <row r="409" spans="1:17" x14ac:dyDescent="0.2">
      <c r="A409" s="4" t="s">
        <v>593</v>
      </c>
      <c r="B409">
        <v>408</v>
      </c>
      <c r="C409" s="4" t="s">
        <v>26</v>
      </c>
      <c r="D409" s="4" t="s">
        <v>41</v>
      </c>
      <c r="E409" s="4" t="s">
        <v>47</v>
      </c>
      <c r="F409" s="4" t="s">
        <v>1476</v>
      </c>
      <c r="G409">
        <v>10</v>
      </c>
      <c r="H409">
        <v>47</v>
      </c>
      <c r="I409" s="4" t="s">
        <v>201</v>
      </c>
      <c r="J409" s="4" t="s">
        <v>202</v>
      </c>
      <c r="K409" s="4" t="s">
        <v>179</v>
      </c>
      <c r="L409" s="4" t="s">
        <v>180</v>
      </c>
      <c r="M409" s="4" t="s">
        <v>192</v>
      </c>
      <c r="N409" s="4" t="s">
        <v>182</v>
      </c>
      <c r="O409" s="4" t="s">
        <v>183</v>
      </c>
      <c r="P409">
        <v>45884.33</v>
      </c>
      <c r="Q409" s="4" t="s">
        <v>30</v>
      </c>
    </row>
    <row r="410" spans="1:17" x14ac:dyDescent="0.2">
      <c r="A410" s="4" t="s">
        <v>594</v>
      </c>
      <c r="B410">
        <v>409</v>
      </c>
      <c r="C410" s="4" t="s">
        <v>26</v>
      </c>
      <c r="D410" s="4" t="s">
        <v>41</v>
      </c>
      <c r="E410" s="4" t="s">
        <v>47</v>
      </c>
      <c r="F410" s="4" t="s">
        <v>1476</v>
      </c>
      <c r="G410">
        <v>10</v>
      </c>
      <c r="H410">
        <v>47</v>
      </c>
      <c r="I410" s="4" t="s">
        <v>212</v>
      </c>
      <c r="J410" s="4" t="s">
        <v>213</v>
      </c>
      <c r="K410" s="4" t="s">
        <v>205</v>
      </c>
      <c r="L410" s="4" t="s">
        <v>214</v>
      </c>
      <c r="M410" s="4" t="s">
        <v>182</v>
      </c>
      <c r="N410" s="4" t="s">
        <v>182</v>
      </c>
      <c r="O410" s="4" t="s">
        <v>189</v>
      </c>
      <c r="P410">
        <v>-5862.25</v>
      </c>
      <c r="Q410" s="4" t="s">
        <v>30</v>
      </c>
    </row>
    <row r="411" spans="1:17" x14ac:dyDescent="0.2">
      <c r="A411" s="4" t="s">
        <v>595</v>
      </c>
      <c r="B411">
        <v>410</v>
      </c>
      <c r="C411" s="4" t="s">
        <v>26</v>
      </c>
      <c r="D411" s="4" t="s">
        <v>41</v>
      </c>
      <c r="E411" s="4" t="s">
        <v>50</v>
      </c>
      <c r="F411" s="4" t="s">
        <v>1477</v>
      </c>
      <c r="G411">
        <v>10</v>
      </c>
      <c r="H411">
        <v>48</v>
      </c>
      <c r="I411" s="4" t="s">
        <v>190</v>
      </c>
      <c r="J411" s="4" t="s">
        <v>191</v>
      </c>
      <c r="K411" s="4" t="s">
        <v>179</v>
      </c>
      <c r="L411" s="4" t="s">
        <v>180</v>
      </c>
      <c r="M411" s="4" t="s">
        <v>192</v>
      </c>
      <c r="N411" s="4" t="s">
        <v>182</v>
      </c>
      <c r="O411" s="4" t="s">
        <v>189</v>
      </c>
      <c r="P411">
        <v>-300</v>
      </c>
      <c r="Q411" s="4" t="s">
        <v>30</v>
      </c>
    </row>
    <row r="412" spans="1:17" x14ac:dyDescent="0.2">
      <c r="A412" s="4" t="s">
        <v>596</v>
      </c>
      <c r="B412">
        <v>411</v>
      </c>
      <c r="C412" s="4" t="s">
        <v>26</v>
      </c>
      <c r="D412" s="4" t="s">
        <v>41</v>
      </c>
      <c r="E412" s="4" t="s">
        <v>50</v>
      </c>
      <c r="F412" s="4" t="s">
        <v>1477</v>
      </c>
      <c r="G412">
        <v>10</v>
      </c>
      <c r="H412">
        <v>48</v>
      </c>
      <c r="I412" s="4" t="s">
        <v>190</v>
      </c>
      <c r="J412" s="4" t="s">
        <v>191</v>
      </c>
      <c r="K412" s="4" t="s">
        <v>179</v>
      </c>
      <c r="L412" s="4" t="s">
        <v>180</v>
      </c>
      <c r="M412" s="4" t="s">
        <v>192</v>
      </c>
      <c r="N412" s="4" t="s">
        <v>182</v>
      </c>
      <c r="O412" s="4" t="s">
        <v>183</v>
      </c>
      <c r="P412">
        <v>15053.34</v>
      </c>
      <c r="Q412" s="4" t="s">
        <v>30</v>
      </c>
    </row>
    <row r="413" spans="1:17" x14ac:dyDescent="0.2">
      <c r="A413" s="4" t="s">
        <v>597</v>
      </c>
      <c r="B413">
        <v>412</v>
      </c>
      <c r="C413" s="4" t="s">
        <v>26</v>
      </c>
      <c r="D413" s="4" t="s">
        <v>41</v>
      </c>
      <c r="E413" s="4" t="s">
        <v>50</v>
      </c>
      <c r="F413" s="4" t="s">
        <v>1477</v>
      </c>
      <c r="G413">
        <v>10</v>
      </c>
      <c r="H413">
        <v>48</v>
      </c>
      <c r="I413" s="4" t="s">
        <v>207</v>
      </c>
      <c r="J413" s="4" t="s">
        <v>208</v>
      </c>
      <c r="K413" s="4" t="s">
        <v>179</v>
      </c>
      <c r="L413" s="4" t="s">
        <v>180</v>
      </c>
      <c r="M413" s="4" t="s">
        <v>192</v>
      </c>
      <c r="N413" s="4" t="s">
        <v>182</v>
      </c>
      <c r="O413" s="4" t="s">
        <v>189</v>
      </c>
      <c r="P413">
        <v>-15053.34</v>
      </c>
      <c r="Q413" s="4" t="s">
        <v>30</v>
      </c>
    </row>
    <row r="414" spans="1:17" x14ac:dyDescent="0.2">
      <c r="A414" s="4" t="s">
        <v>598</v>
      </c>
      <c r="B414">
        <v>413</v>
      </c>
      <c r="C414" s="4" t="s">
        <v>26</v>
      </c>
      <c r="D414" s="4" t="s">
        <v>41</v>
      </c>
      <c r="E414" s="4" t="s">
        <v>50</v>
      </c>
      <c r="F414" s="4" t="s">
        <v>1477</v>
      </c>
      <c r="G414">
        <v>10</v>
      </c>
      <c r="H414">
        <v>48</v>
      </c>
      <c r="I414" s="4" t="s">
        <v>207</v>
      </c>
      <c r="J414" s="4" t="s">
        <v>208</v>
      </c>
      <c r="K414" s="4" t="s">
        <v>179</v>
      </c>
      <c r="L414" s="4" t="s">
        <v>180</v>
      </c>
      <c r="M414" s="4" t="s">
        <v>192</v>
      </c>
      <c r="N414" s="4" t="s">
        <v>182</v>
      </c>
      <c r="O414" s="4" t="s">
        <v>183</v>
      </c>
      <c r="P414">
        <v>27730.73</v>
      </c>
      <c r="Q414" s="4" t="s">
        <v>30</v>
      </c>
    </row>
    <row r="415" spans="1:17" x14ac:dyDescent="0.2">
      <c r="A415" s="4" t="s">
        <v>599</v>
      </c>
      <c r="B415">
        <v>414</v>
      </c>
      <c r="C415" s="4" t="s">
        <v>26</v>
      </c>
      <c r="D415" s="4" t="s">
        <v>41</v>
      </c>
      <c r="E415" s="4" t="s">
        <v>50</v>
      </c>
      <c r="F415" s="4" t="s">
        <v>1477</v>
      </c>
      <c r="G415">
        <v>10</v>
      </c>
      <c r="H415">
        <v>48</v>
      </c>
      <c r="I415" s="4" t="s">
        <v>209</v>
      </c>
      <c r="J415" s="4" t="s">
        <v>210</v>
      </c>
      <c r="K415" s="4" t="s">
        <v>205</v>
      </c>
      <c r="L415" s="4" t="s">
        <v>211</v>
      </c>
      <c r="M415" s="4" t="s">
        <v>182</v>
      </c>
      <c r="N415" s="4" t="s">
        <v>182</v>
      </c>
      <c r="O415" s="4" t="s">
        <v>183</v>
      </c>
      <c r="P415">
        <v>24216.33</v>
      </c>
      <c r="Q415" s="4" t="s">
        <v>30</v>
      </c>
    </row>
    <row r="416" spans="1:17" x14ac:dyDescent="0.2">
      <c r="A416" s="4" t="s">
        <v>600</v>
      </c>
      <c r="B416">
        <v>415</v>
      </c>
      <c r="C416" s="4" t="s">
        <v>26</v>
      </c>
      <c r="D416" s="4" t="s">
        <v>41</v>
      </c>
      <c r="E416" s="4" t="s">
        <v>50</v>
      </c>
      <c r="F416" s="4" t="s">
        <v>1477</v>
      </c>
      <c r="G416">
        <v>10</v>
      </c>
      <c r="H416">
        <v>48</v>
      </c>
      <c r="I416" s="4" t="s">
        <v>203</v>
      </c>
      <c r="J416" s="4" t="s">
        <v>204</v>
      </c>
      <c r="K416" s="4" t="s">
        <v>205</v>
      </c>
      <c r="L416" s="4" t="s">
        <v>206</v>
      </c>
      <c r="M416" s="4" t="s">
        <v>182</v>
      </c>
      <c r="N416" s="4" t="s">
        <v>182</v>
      </c>
      <c r="O416" s="4" t="s">
        <v>183</v>
      </c>
      <c r="P416">
        <v>300</v>
      </c>
      <c r="Q416" s="4" t="s">
        <v>30</v>
      </c>
    </row>
    <row r="417" spans="1:17" x14ac:dyDescent="0.2">
      <c r="A417" s="4" t="s">
        <v>601</v>
      </c>
      <c r="B417">
        <v>416</v>
      </c>
      <c r="C417" s="4" t="s">
        <v>26</v>
      </c>
      <c r="D417" s="4" t="s">
        <v>41</v>
      </c>
      <c r="E417" s="4" t="s">
        <v>50</v>
      </c>
      <c r="F417" s="4" t="s">
        <v>1477</v>
      </c>
      <c r="G417">
        <v>10</v>
      </c>
      <c r="H417">
        <v>48</v>
      </c>
      <c r="I417" s="4" t="s">
        <v>201</v>
      </c>
      <c r="J417" s="4" t="s">
        <v>202</v>
      </c>
      <c r="K417" s="4" t="s">
        <v>179</v>
      </c>
      <c r="L417" s="4" t="s">
        <v>180</v>
      </c>
      <c r="M417" s="4" t="s">
        <v>192</v>
      </c>
      <c r="N417" s="4" t="s">
        <v>182</v>
      </c>
      <c r="O417" s="4" t="s">
        <v>189</v>
      </c>
      <c r="P417">
        <v>-24216.33</v>
      </c>
      <c r="Q417" s="4" t="s">
        <v>30</v>
      </c>
    </row>
    <row r="418" spans="1:17" x14ac:dyDescent="0.2">
      <c r="A418" s="4" t="s">
        <v>602</v>
      </c>
      <c r="B418">
        <v>417</v>
      </c>
      <c r="C418" s="4" t="s">
        <v>26</v>
      </c>
      <c r="D418" s="4" t="s">
        <v>41</v>
      </c>
      <c r="E418" s="4" t="s">
        <v>50</v>
      </c>
      <c r="F418" s="4" t="s">
        <v>1477</v>
      </c>
      <c r="G418">
        <v>10</v>
      </c>
      <c r="H418">
        <v>48</v>
      </c>
      <c r="I418" s="4" t="s">
        <v>212</v>
      </c>
      <c r="J418" s="4" t="s">
        <v>213</v>
      </c>
      <c r="K418" s="4" t="s">
        <v>205</v>
      </c>
      <c r="L418" s="4" t="s">
        <v>214</v>
      </c>
      <c r="M418" s="4" t="s">
        <v>182</v>
      </c>
      <c r="N418" s="4" t="s">
        <v>182</v>
      </c>
      <c r="O418" s="4" t="s">
        <v>189</v>
      </c>
      <c r="P418">
        <v>-27730.73</v>
      </c>
      <c r="Q418" s="4" t="s">
        <v>30</v>
      </c>
    </row>
    <row r="419" spans="1:17" x14ac:dyDescent="0.2">
      <c r="A419" s="4" t="s">
        <v>603</v>
      </c>
      <c r="B419">
        <v>418</v>
      </c>
      <c r="C419" s="4" t="s">
        <v>26</v>
      </c>
      <c r="D419" s="4" t="s">
        <v>41</v>
      </c>
      <c r="E419" s="4" t="s">
        <v>53</v>
      </c>
      <c r="F419" s="4" t="s">
        <v>1596</v>
      </c>
      <c r="G419">
        <v>10</v>
      </c>
      <c r="H419">
        <v>49</v>
      </c>
      <c r="I419" s="4" t="s">
        <v>190</v>
      </c>
      <c r="J419" s="4" t="s">
        <v>191</v>
      </c>
      <c r="K419" s="4" t="s">
        <v>179</v>
      </c>
      <c r="L419" s="4" t="s">
        <v>180</v>
      </c>
      <c r="M419" s="4" t="s">
        <v>192</v>
      </c>
      <c r="N419" s="4" t="s">
        <v>182</v>
      </c>
      <c r="O419" s="4" t="s">
        <v>189</v>
      </c>
      <c r="P419">
        <v>-300</v>
      </c>
      <c r="Q419" s="4" t="s">
        <v>30</v>
      </c>
    </row>
    <row r="420" spans="1:17" x14ac:dyDescent="0.2">
      <c r="A420" s="4" t="s">
        <v>604</v>
      </c>
      <c r="B420">
        <v>419</v>
      </c>
      <c r="C420" s="4" t="s">
        <v>26</v>
      </c>
      <c r="D420" s="4" t="s">
        <v>41</v>
      </c>
      <c r="E420" s="4" t="s">
        <v>53</v>
      </c>
      <c r="F420" s="4" t="s">
        <v>1596</v>
      </c>
      <c r="G420">
        <v>10</v>
      </c>
      <c r="H420">
        <v>49</v>
      </c>
      <c r="I420" s="4" t="s">
        <v>190</v>
      </c>
      <c r="J420" s="4" t="s">
        <v>191</v>
      </c>
      <c r="K420" s="4" t="s">
        <v>179</v>
      </c>
      <c r="L420" s="4" t="s">
        <v>180</v>
      </c>
      <c r="M420" s="4" t="s">
        <v>192</v>
      </c>
      <c r="N420" s="4" t="s">
        <v>182</v>
      </c>
      <c r="O420" s="4" t="s">
        <v>183</v>
      </c>
      <c r="P420">
        <v>14585.55</v>
      </c>
      <c r="Q420" s="4" t="s">
        <v>30</v>
      </c>
    </row>
    <row r="421" spans="1:17" x14ac:dyDescent="0.2">
      <c r="A421" s="4" t="s">
        <v>605</v>
      </c>
      <c r="B421">
        <v>420</v>
      </c>
      <c r="C421" s="4" t="s">
        <v>26</v>
      </c>
      <c r="D421" s="4" t="s">
        <v>41</v>
      </c>
      <c r="E421" s="4" t="s">
        <v>53</v>
      </c>
      <c r="F421" s="4" t="s">
        <v>1596</v>
      </c>
      <c r="G421">
        <v>10</v>
      </c>
      <c r="H421">
        <v>49</v>
      </c>
      <c r="I421" s="4" t="s">
        <v>207</v>
      </c>
      <c r="J421" s="4" t="s">
        <v>208</v>
      </c>
      <c r="K421" s="4" t="s">
        <v>179</v>
      </c>
      <c r="L421" s="4" t="s">
        <v>180</v>
      </c>
      <c r="M421" s="4" t="s">
        <v>192</v>
      </c>
      <c r="N421" s="4" t="s">
        <v>182</v>
      </c>
      <c r="O421" s="4" t="s">
        <v>189</v>
      </c>
      <c r="P421">
        <v>-14585.55</v>
      </c>
      <c r="Q421" s="4" t="s">
        <v>30</v>
      </c>
    </row>
    <row r="422" spans="1:17" x14ac:dyDescent="0.2">
      <c r="A422" s="4" t="s">
        <v>606</v>
      </c>
      <c r="B422">
        <v>421</v>
      </c>
      <c r="C422" s="4" t="s">
        <v>26</v>
      </c>
      <c r="D422" s="4" t="s">
        <v>41</v>
      </c>
      <c r="E422" s="4" t="s">
        <v>53</v>
      </c>
      <c r="F422" s="4" t="s">
        <v>1596</v>
      </c>
      <c r="G422">
        <v>10</v>
      </c>
      <c r="H422">
        <v>49</v>
      </c>
      <c r="I422" s="4" t="s">
        <v>207</v>
      </c>
      <c r="J422" s="4" t="s">
        <v>208</v>
      </c>
      <c r="K422" s="4" t="s">
        <v>179</v>
      </c>
      <c r="L422" s="4" t="s">
        <v>180</v>
      </c>
      <c r="M422" s="4" t="s">
        <v>192</v>
      </c>
      <c r="N422" s="4" t="s">
        <v>182</v>
      </c>
      <c r="O422" s="4" t="s">
        <v>183</v>
      </c>
      <c r="P422">
        <v>15778.87</v>
      </c>
      <c r="Q422" s="4" t="s">
        <v>30</v>
      </c>
    </row>
    <row r="423" spans="1:17" x14ac:dyDescent="0.2">
      <c r="A423" s="4" t="s">
        <v>607</v>
      </c>
      <c r="B423">
        <v>422</v>
      </c>
      <c r="C423" s="4" t="s">
        <v>26</v>
      </c>
      <c r="D423" s="4" t="s">
        <v>41</v>
      </c>
      <c r="E423" s="4" t="s">
        <v>53</v>
      </c>
      <c r="F423" s="4" t="s">
        <v>1596</v>
      </c>
      <c r="G423">
        <v>10</v>
      </c>
      <c r="H423">
        <v>49</v>
      </c>
      <c r="I423" s="4" t="s">
        <v>209</v>
      </c>
      <c r="J423" s="4" t="s">
        <v>210</v>
      </c>
      <c r="K423" s="4" t="s">
        <v>205</v>
      </c>
      <c r="L423" s="4" t="s">
        <v>211</v>
      </c>
      <c r="M423" s="4" t="s">
        <v>182</v>
      </c>
      <c r="N423" s="4" t="s">
        <v>182</v>
      </c>
      <c r="O423" s="4" t="s">
        <v>183</v>
      </c>
      <c r="P423">
        <v>13713.44</v>
      </c>
      <c r="Q423" s="4" t="s">
        <v>30</v>
      </c>
    </row>
    <row r="424" spans="1:17" x14ac:dyDescent="0.2">
      <c r="A424" s="4" t="s">
        <v>608</v>
      </c>
      <c r="B424">
        <v>423</v>
      </c>
      <c r="C424" s="4" t="s">
        <v>26</v>
      </c>
      <c r="D424" s="4" t="s">
        <v>41</v>
      </c>
      <c r="E424" s="4" t="s">
        <v>53</v>
      </c>
      <c r="F424" s="4" t="s">
        <v>1596</v>
      </c>
      <c r="G424">
        <v>10</v>
      </c>
      <c r="H424">
        <v>49</v>
      </c>
      <c r="I424" s="4" t="s">
        <v>203</v>
      </c>
      <c r="J424" s="4" t="s">
        <v>204</v>
      </c>
      <c r="K424" s="4" t="s">
        <v>205</v>
      </c>
      <c r="L424" s="4" t="s">
        <v>206</v>
      </c>
      <c r="M424" s="4" t="s">
        <v>182</v>
      </c>
      <c r="N424" s="4" t="s">
        <v>182</v>
      </c>
      <c r="O424" s="4" t="s">
        <v>183</v>
      </c>
      <c r="P424">
        <v>300</v>
      </c>
      <c r="Q424" s="4" t="s">
        <v>30</v>
      </c>
    </row>
    <row r="425" spans="1:17" x14ac:dyDescent="0.2">
      <c r="A425" s="4" t="s">
        <v>609</v>
      </c>
      <c r="B425">
        <v>424</v>
      </c>
      <c r="C425" s="4" t="s">
        <v>26</v>
      </c>
      <c r="D425" s="4" t="s">
        <v>41</v>
      </c>
      <c r="E425" s="4" t="s">
        <v>53</v>
      </c>
      <c r="F425" s="4" t="s">
        <v>1596</v>
      </c>
      <c r="G425">
        <v>10</v>
      </c>
      <c r="H425">
        <v>49</v>
      </c>
      <c r="I425" s="4" t="s">
        <v>201</v>
      </c>
      <c r="J425" s="4" t="s">
        <v>202</v>
      </c>
      <c r="K425" s="4" t="s">
        <v>179</v>
      </c>
      <c r="L425" s="4" t="s">
        <v>180</v>
      </c>
      <c r="M425" s="4" t="s">
        <v>192</v>
      </c>
      <c r="N425" s="4" t="s">
        <v>182</v>
      </c>
      <c r="O425" s="4" t="s">
        <v>189</v>
      </c>
      <c r="P425">
        <v>-13713.44</v>
      </c>
      <c r="Q425" s="4" t="s">
        <v>30</v>
      </c>
    </row>
    <row r="426" spans="1:17" x14ac:dyDescent="0.2">
      <c r="A426" s="4" t="s">
        <v>610</v>
      </c>
      <c r="B426">
        <v>425</v>
      </c>
      <c r="C426" s="4" t="s">
        <v>26</v>
      </c>
      <c r="D426" s="4" t="s">
        <v>41</v>
      </c>
      <c r="E426" s="4" t="s">
        <v>53</v>
      </c>
      <c r="F426" s="4" t="s">
        <v>1596</v>
      </c>
      <c r="G426">
        <v>10</v>
      </c>
      <c r="H426">
        <v>49</v>
      </c>
      <c r="I426" s="4" t="s">
        <v>212</v>
      </c>
      <c r="J426" s="4" t="s">
        <v>213</v>
      </c>
      <c r="K426" s="4" t="s">
        <v>205</v>
      </c>
      <c r="L426" s="4" t="s">
        <v>214</v>
      </c>
      <c r="M426" s="4" t="s">
        <v>182</v>
      </c>
      <c r="N426" s="4" t="s">
        <v>182</v>
      </c>
      <c r="O426" s="4" t="s">
        <v>189</v>
      </c>
      <c r="P426">
        <v>-15778.87</v>
      </c>
      <c r="Q426" s="4" t="s">
        <v>30</v>
      </c>
    </row>
    <row r="427" spans="1:17" x14ac:dyDescent="0.2">
      <c r="A427" s="4" t="s">
        <v>611</v>
      </c>
      <c r="B427">
        <v>426</v>
      </c>
      <c r="C427" s="4" t="s">
        <v>26</v>
      </c>
      <c r="D427" s="4" t="s">
        <v>41</v>
      </c>
      <c r="E427" s="4" t="s">
        <v>56</v>
      </c>
      <c r="F427" s="4" t="s">
        <v>1626</v>
      </c>
      <c r="G427">
        <v>10</v>
      </c>
      <c r="H427">
        <v>50</v>
      </c>
      <c r="I427" s="4" t="s">
        <v>190</v>
      </c>
      <c r="J427" s="4" t="s">
        <v>191</v>
      </c>
      <c r="K427" s="4" t="s">
        <v>179</v>
      </c>
      <c r="L427" s="4" t="s">
        <v>180</v>
      </c>
      <c r="M427" s="4" t="s">
        <v>192</v>
      </c>
      <c r="N427" s="4" t="s">
        <v>182</v>
      </c>
      <c r="O427" s="4" t="s">
        <v>189</v>
      </c>
      <c r="P427">
        <v>-300</v>
      </c>
      <c r="Q427" s="4" t="s">
        <v>30</v>
      </c>
    </row>
    <row r="428" spans="1:17" x14ac:dyDescent="0.2">
      <c r="A428" s="4" t="s">
        <v>612</v>
      </c>
      <c r="B428">
        <v>427</v>
      </c>
      <c r="C428" s="4" t="s">
        <v>26</v>
      </c>
      <c r="D428" s="4" t="s">
        <v>41</v>
      </c>
      <c r="E428" s="4" t="s">
        <v>56</v>
      </c>
      <c r="F428" s="4" t="s">
        <v>1626</v>
      </c>
      <c r="G428">
        <v>10</v>
      </c>
      <c r="H428">
        <v>50</v>
      </c>
      <c r="I428" s="4" t="s">
        <v>190</v>
      </c>
      <c r="J428" s="4" t="s">
        <v>191</v>
      </c>
      <c r="K428" s="4" t="s">
        <v>179</v>
      </c>
      <c r="L428" s="4" t="s">
        <v>180</v>
      </c>
      <c r="M428" s="4" t="s">
        <v>192</v>
      </c>
      <c r="N428" s="4" t="s">
        <v>182</v>
      </c>
      <c r="O428" s="4" t="s">
        <v>183</v>
      </c>
      <c r="P428">
        <v>13893.17</v>
      </c>
      <c r="Q428" s="4" t="s">
        <v>30</v>
      </c>
    </row>
    <row r="429" spans="1:17" x14ac:dyDescent="0.2">
      <c r="A429" s="4" t="s">
        <v>613</v>
      </c>
      <c r="B429">
        <v>428</v>
      </c>
      <c r="C429" s="4" t="s">
        <v>26</v>
      </c>
      <c r="D429" s="4" t="s">
        <v>41</v>
      </c>
      <c r="E429" s="4" t="s">
        <v>56</v>
      </c>
      <c r="F429" s="4" t="s">
        <v>1626</v>
      </c>
      <c r="G429">
        <v>10</v>
      </c>
      <c r="H429">
        <v>50</v>
      </c>
      <c r="I429" s="4" t="s">
        <v>207</v>
      </c>
      <c r="J429" s="4" t="s">
        <v>208</v>
      </c>
      <c r="K429" s="4" t="s">
        <v>179</v>
      </c>
      <c r="L429" s="4" t="s">
        <v>180</v>
      </c>
      <c r="M429" s="4" t="s">
        <v>192</v>
      </c>
      <c r="N429" s="4" t="s">
        <v>182</v>
      </c>
      <c r="O429" s="4" t="s">
        <v>189</v>
      </c>
      <c r="P429">
        <v>-13893.17</v>
      </c>
      <c r="Q429" s="4" t="s">
        <v>30</v>
      </c>
    </row>
    <row r="430" spans="1:17" x14ac:dyDescent="0.2">
      <c r="A430" s="4" t="s">
        <v>614</v>
      </c>
      <c r="B430">
        <v>429</v>
      </c>
      <c r="C430" s="4" t="s">
        <v>26</v>
      </c>
      <c r="D430" s="4" t="s">
        <v>41</v>
      </c>
      <c r="E430" s="4" t="s">
        <v>56</v>
      </c>
      <c r="F430" s="4" t="s">
        <v>1626</v>
      </c>
      <c r="G430">
        <v>10</v>
      </c>
      <c r="H430">
        <v>50</v>
      </c>
      <c r="I430" s="4" t="s">
        <v>207</v>
      </c>
      <c r="J430" s="4" t="s">
        <v>208</v>
      </c>
      <c r="K430" s="4" t="s">
        <v>179</v>
      </c>
      <c r="L430" s="4" t="s">
        <v>180</v>
      </c>
      <c r="M430" s="4" t="s">
        <v>192</v>
      </c>
      <c r="N430" s="4" t="s">
        <v>182</v>
      </c>
      <c r="O430" s="4" t="s">
        <v>183</v>
      </c>
      <c r="P430">
        <v>24905.82</v>
      </c>
      <c r="Q430" s="4" t="s">
        <v>30</v>
      </c>
    </row>
    <row r="431" spans="1:17" x14ac:dyDescent="0.2">
      <c r="A431" s="4" t="s">
        <v>615</v>
      </c>
      <c r="B431">
        <v>430</v>
      </c>
      <c r="C431" s="4" t="s">
        <v>26</v>
      </c>
      <c r="D431" s="4" t="s">
        <v>41</v>
      </c>
      <c r="E431" s="4" t="s">
        <v>56</v>
      </c>
      <c r="F431" s="4" t="s">
        <v>1626</v>
      </c>
      <c r="G431">
        <v>10</v>
      </c>
      <c r="H431">
        <v>50</v>
      </c>
      <c r="I431" s="4" t="s">
        <v>209</v>
      </c>
      <c r="J431" s="4" t="s">
        <v>210</v>
      </c>
      <c r="K431" s="4" t="s">
        <v>205</v>
      </c>
      <c r="L431" s="4" t="s">
        <v>211</v>
      </c>
      <c r="M431" s="4" t="s">
        <v>182</v>
      </c>
      <c r="N431" s="4" t="s">
        <v>182</v>
      </c>
      <c r="O431" s="4" t="s">
        <v>183</v>
      </c>
      <c r="P431">
        <v>22177.32</v>
      </c>
      <c r="Q431" s="4" t="s">
        <v>30</v>
      </c>
    </row>
    <row r="432" spans="1:17" x14ac:dyDescent="0.2">
      <c r="A432" s="4" t="s">
        <v>616</v>
      </c>
      <c r="B432">
        <v>431</v>
      </c>
      <c r="C432" s="4" t="s">
        <v>26</v>
      </c>
      <c r="D432" s="4" t="s">
        <v>41</v>
      </c>
      <c r="E432" s="4" t="s">
        <v>56</v>
      </c>
      <c r="F432" s="4" t="s">
        <v>1626</v>
      </c>
      <c r="G432">
        <v>10</v>
      </c>
      <c r="H432">
        <v>50</v>
      </c>
      <c r="I432" s="4" t="s">
        <v>203</v>
      </c>
      <c r="J432" s="4" t="s">
        <v>204</v>
      </c>
      <c r="K432" s="4" t="s">
        <v>205</v>
      </c>
      <c r="L432" s="4" t="s">
        <v>206</v>
      </c>
      <c r="M432" s="4" t="s">
        <v>182</v>
      </c>
      <c r="N432" s="4" t="s">
        <v>182</v>
      </c>
      <c r="O432" s="4" t="s">
        <v>183</v>
      </c>
      <c r="P432">
        <v>300</v>
      </c>
      <c r="Q432" s="4" t="s">
        <v>30</v>
      </c>
    </row>
    <row r="433" spans="1:17" x14ac:dyDescent="0.2">
      <c r="A433" s="4" t="s">
        <v>617</v>
      </c>
      <c r="B433">
        <v>432</v>
      </c>
      <c r="C433" s="4" t="s">
        <v>26</v>
      </c>
      <c r="D433" s="4" t="s">
        <v>41</v>
      </c>
      <c r="E433" s="4" t="s">
        <v>56</v>
      </c>
      <c r="F433" s="4" t="s">
        <v>1626</v>
      </c>
      <c r="G433">
        <v>10</v>
      </c>
      <c r="H433">
        <v>50</v>
      </c>
      <c r="I433" s="4" t="s">
        <v>201</v>
      </c>
      <c r="J433" s="4" t="s">
        <v>202</v>
      </c>
      <c r="K433" s="4" t="s">
        <v>179</v>
      </c>
      <c r="L433" s="4" t="s">
        <v>180</v>
      </c>
      <c r="M433" s="4" t="s">
        <v>192</v>
      </c>
      <c r="N433" s="4" t="s">
        <v>182</v>
      </c>
      <c r="O433" s="4" t="s">
        <v>189</v>
      </c>
      <c r="P433">
        <v>-22177.32</v>
      </c>
      <c r="Q433" s="4" t="s">
        <v>30</v>
      </c>
    </row>
    <row r="434" spans="1:17" x14ac:dyDescent="0.2">
      <c r="A434" s="4" t="s">
        <v>618</v>
      </c>
      <c r="B434">
        <v>433</v>
      </c>
      <c r="C434" s="4" t="s">
        <v>26</v>
      </c>
      <c r="D434" s="4" t="s">
        <v>41</v>
      </c>
      <c r="E434" s="4" t="s">
        <v>56</v>
      </c>
      <c r="F434" s="4" t="s">
        <v>1626</v>
      </c>
      <c r="G434">
        <v>10</v>
      </c>
      <c r="H434">
        <v>50</v>
      </c>
      <c r="I434" s="4" t="s">
        <v>212</v>
      </c>
      <c r="J434" s="4" t="s">
        <v>213</v>
      </c>
      <c r="K434" s="4" t="s">
        <v>205</v>
      </c>
      <c r="L434" s="4" t="s">
        <v>214</v>
      </c>
      <c r="M434" s="4" t="s">
        <v>182</v>
      </c>
      <c r="N434" s="4" t="s">
        <v>182</v>
      </c>
      <c r="O434" s="4" t="s">
        <v>189</v>
      </c>
      <c r="P434">
        <v>-24905.82</v>
      </c>
      <c r="Q434" s="4" t="s">
        <v>30</v>
      </c>
    </row>
    <row r="435" spans="1:17" x14ac:dyDescent="0.2">
      <c r="A435" s="4" t="s">
        <v>619</v>
      </c>
      <c r="B435">
        <v>434</v>
      </c>
      <c r="C435" s="4" t="s">
        <v>26</v>
      </c>
      <c r="D435" s="4" t="s">
        <v>44</v>
      </c>
      <c r="E435" s="4" t="s">
        <v>27</v>
      </c>
      <c r="F435" s="4" t="s">
        <v>1655</v>
      </c>
      <c r="G435">
        <v>11</v>
      </c>
      <c r="H435">
        <v>51</v>
      </c>
      <c r="I435" s="4" t="s">
        <v>190</v>
      </c>
      <c r="J435" s="4" t="s">
        <v>191</v>
      </c>
      <c r="K435" s="4" t="s">
        <v>179</v>
      </c>
      <c r="L435" s="4" t="s">
        <v>180</v>
      </c>
      <c r="M435" s="4" t="s">
        <v>192</v>
      </c>
      <c r="N435" s="4" t="s">
        <v>182</v>
      </c>
      <c r="O435" s="4" t="s">
        <v>189</v>
      </c>
      <c r="P435">
        <v>-300</v>
      </c>
      <c r="Q435" s="4" t="s">
        <v>30</v>
      </c>
    </row>
    <row r="436" spans="1:17" x14ac:dyDescent="0.2">
      <c r="A436" s="4" t="s">
        <v>620</v>
      </c>
      <c r="B436">
        <v>435</v>
      </c>
      <c r="C436" s="4" t="s">
        <v>26</v>
      </c>
      <c r="D436" s="4" t="s">
        <v>44</v>
      </c>
      <c r="E436" s="4" t="s">
        <v>27</v>
      </c>
      <c r="F436" s="4" t="s">
        <v>1655</v>
      </c>
      <c r="G436">
        <v>11</v>
      </c>
      <c r="H436">
        <v>51</v>
      </c>
      <c r="I436" s="4" t="s">
        <v>190</v>
      </c>
      <c r="J436" s="4" t="s">
        <v>191</v>
      </c>
      <c r="K436" s="4" t="s">
        <v>179</v>
      </c>
      <c r="L436" s="4" t="s">
        <v>180</v>
      </c>
      <c r="M436" s="4" t="s">
        <v>192</v>
      </c>
      <c r="N436" s="4" t="s">
        <v>182</v>
      </c>
      <c r="O436" s="4" t="s">
        <v>183</v>
      </c>
      <c r="P436">
        <v>5862.25</v>
      </c>
      <c r="Q436" s="4" t="s">
        <v>30</v>
      </c>
    </row>
    <row r="437" spans="1:17" x14ac:dyDescent="0.2">
      <c r="A437" s="4" t="s">
        <v>621</v>
      </c>
      <c r="B437">
        <v>436</v>
      </c>
      <c r="C437" s="4" t="s">
        <v>26</v>
      </c>
      <c r="D437" s="4" t="s">
        <v>44</v>
      </c>
      <c r="E437" s="4" t="s">
        <v>27</v>
      </c>
      <c r="F437" s="4" t="s">
        <v>1655</v>
      </c>
      <c r="G437">
        <v>11</v>
      </c>
      <c r="H437">
        <v>51</v>
      </c>
      <c r="I437" s="4" t="s">
        <v>207</v>
      </c>
      <c r="J437" s="4" t="s">
        <v>208</v>
      </c>
      <c r="K437" s="4" t="s">
        <v>179</v>
      </c>
      <c r="L437" s="4" t="s">
        <v>180</v>
      </c>
      <c r="M437" s="4" t="s">
        <v>192</v>
      </c>
      <c r="N437" s="4" t="s">
        <v>182</v>
      </c>
      <c r="O437" s="4" t="s">
        <v>189</v>
      </c>
      <c r="P437">
        <v>-5862.25</v>
      </c>
      <c r="Q437" s="4" t="s">
        <v>30</v>
      </c>
    </row>
    <row r="438" spans="1:17" x14ac:dyDescent="0.2">
      <c r="A438" s="4" t="s">
        <v>622</v>
      </c>
      <c r="B438">
        <v>437</v>
      </c>
      <c r="C438" s="4" t="s">
        <v>26</v>
      </c>
      <c r="D438" s="4" t="s">
        <v>44</v>
      </c>
      <c r="E438" s="4" t="s">
        <v>27</v>
      </c>
      <c r="F438" s="4" t="s">
        <v>1655</v>
      </c>
      <c r="G438">
        <v>11</v>
      </c>
      <c r="H438">
        <v>51</v>
      </c>
      <c r="I438" s="4" t="s">
        <v>207</v>
      </c>
      <c r="J438" s="4" t="s">
        <v>208</v>
      </c>
      <c r="K438" s="4" t="s">
        <v>179</v>
      </c>
      <c r="L438" s="4" t="s">
        <v>180</v>
      </c>
      <c r="M438" s="4" t="s">
        <v>192</v>
      </c>
      <c r="N438" s="4" t="s">
        <v>182</v>
      </c>
      <c r="O438" s="4" t="s">
        <v>183</v>
      </c>
      <c r="P438">
        <v>15151.25</v>
      </c>
      <c r="Q438" s="4" t="s">
        <v>30</v>
      </c>
    </row>
    <row r="439" spans="1:17" x14ac:dyDescent="0.2">
      <c r="A439" s="4" t="s">
        <v>623</v>
      </c>
      <c r="B439">
        <v>438</v>
      </c>
      <c r="C439" s="4" t="s">
        <v>26</v>
      </c>
      <c r="D439" s="4" t="s">
        <v>44</v>
      </c>
      <c r="E439" s="4" t="s">
        <v>27</v>
      </c>
      <c r="F439" s="4" t="s">
        <v>1655</v>
      </c>
      <c r="G439">
        <v>11</v>
      </c>
      <c r="H439">
        <v>51</v>
      </c>
      <c r="I439" s="4" t="s">
        <v>209</v>
      </c>
      <c r="J439" s="4" t="s">
        <v>210</v>
      </c>
      <c r="K439" s="4" t="s">
        <v>205</v>
      </c>
      <c r="L439" s="4" t="s">
        <v>211</v>
      </c>
      <c r="M439" s="4" t="s">
        <v>182</v>
      </c>
      <c r="N439" s="4" t="s">
        <v>182</v>
      </c>
      <c r="O439" s="4" t="s">
        <v>183</v>
      </c>
      <c r="P439">
        <v>12834.73</v>
      </c>
      <c r="Q439" s="4" t="s">
        <v>30</v>
      </c>
    </row>
    <row r="440" spans="1:17" x14ac:dyDescent="0.2">
      <c r="A440" s="4" t="s">
        <v>624</v>
      </c>
      <c r="B440">
        <v>439</v>
      </c>
      <c r="C440" s="4" t="s">
        <v>26</v>
      </c>
      <c r="D440" s="4" t="s">
        <v>44</v>
      </c>
      <c r="E440" s="4" t="s">
        <v>27</v>
      </c>
      <c r="F440" s="4" t="s">
        <v>1655</v>
      </c>
      <c r="G440">
        <v>11</v>
      </c>
      <c r="H440">
        <v>51</v>
      </c>
      <c r="I440" s="4" t="s">
        <v>203</v>
      </c>
      <c r="J440" s="4" t="s">
        <v>204</v>
      </c>
      <c r="K440" s="4" t="s">
        <v>205</v>
      </c>
      <c r="L440" s="4" t="s">
        <v>206</v>
      </c>
      <c r="M440" s="4" t="s">
        <v>182</v>
      </c>
      <c r="N440" s="4" t="s">
        <v>182</v>
      </c>
      <c r="O440" s="4" t="s">
        <v>183</v>
      </c>
      <c r="P440">
        <v>300</v>
      </c>
      <c r="Q440" s="4" t="s">
        <v>30</v>
      </c>
    </row>
    <row r="441" spans="1:17" x14ac:dyDescent="0.2">
      <c r="A441" s="4" t="s">
        <v>625</v>
      </c>
      <c r="B441">
        <v>440</v>
      </c>
      <c r="C441" s="4" t="s">
        <v>26</v>
      </c>
      <c r="D441" s="4" t="s">
        <v>44</v>
      </c>
      <c r="E441" s="4" t="s">
        <v>27</v>
      </c>
      <c r="F441" s="4" t="s">
        <v>1655</v>
      </c>
      <c r="G441">
        <v>11</v>
      </c>
      <c r="H441">
        <v>51</v>
      </c>
      <c r="I441" s="4" t="s">
        <v>201</v>
      </c>
      <c r="J441" s="4" t="s">
        <v>202</v>
      </c>
      <c r="K441" s="4" t="s">
        <v>179</v>
      </c>
      <c r="L441" s="4" t="s">
        <v>180</v>
      </c>
      <c r="M441" s="4" t="s">
        <v>192</v>
      </c>
      <c r="N441" s="4" t="s">
        <v>182</v>
      </c>
      <c r="O441" s="4" t="s">
        <v>189</v>
      </c>
      <c r="P441">
        <v>-12834.73</v>
      </c>
      <c r="Q441" s="4" t="s">
        <v>30</v>
      </c>
    </row>
    <row r="442" spans="1:17" x14ac:dyDescent="0.2">
      <c r="A442" s="4" t="s">
        <v>626</v>
      </c>
      <c r="B442">
        <v>441</v>
      </c>
      <c r="C442" s="4" t="s">
        <v>26</v>
      </c>
      <c r="D442" s="4" t="s">
        <v>44</v>
      </c>
      <c r="E442" s="4" t="s">
        <v>27</v>
      </c>
      <c r="F442" s="4" t="s">
        <v>1655</v>
      </c>
      <c r="G442">
        <v>11</v>
      </c>
      <c r="H442">
        <v>51</v>
      </c>
      <c r="I442" s="4" t="s">
        <v>212</v>
      </c>
      <c r="J442" s="4" t="s">
        <v>213</v>
      </c>
      <c r="K442" s="4" t="s">
        <v>205</v>
      </c>
      <c r="L442" s="4" t="s">
        <v>214</v>
      </c>
      <c r="M442" s="4" t="s">
        <v>182</v>
      </c>
      <c r="N442" s="4" t="s">
        <v>182</v>
      </c>
      <c r="O442" s="4" t="s">
        <v>189</v>
      </c>
      <c r="P442">
        <v>-15151.25</v>
      </c>
      <c r="Q442" s="4" t="s">
        <v>30</v>
      </c>
    </row>
    <row r="443" spans="1:17" x14ac:dyDescent="0.2">
      <c r="A443" s="4" t="s">
        <v>627</v>
      </c>
      <c r="B443">
        <v>442</v>
      </c>
      <c r="C443" s="4" t="s">
        <v>26</v>
      </c>
      <c r="D443" s="4" t="s">
        <v>44</v>
      </c>
      <c r="E443" s="4" t="s">
        <v>32</v>
      </c>
      <c r="F443" s="4" t="s">
        <v>1680</v>
      </c>
      <c r="G443">
        <v>11</v>
      </c>
      <c r="H443">
        <v>52</v>
      </c>
      <c r="I443" s="4" t="s">
        <v>190</v>
      </c>
      <c r="J443" s="4" t="s">
        <v>191</v>
      </c>
      <c r="K443" s="4" t="s">
        <v>179</v>
      </c>
      <c r="L443" s="4" t="s">
        <v>180</v>
      </c>
      <c r="M443" s="4" t="s">
        <v>192</v>
      </c>
      <c r="N443" s="4" t="s">
        <v>182</v>
      </c>
      <c r="O443" s="4" t="s">
        <v>189</v>
      </c>
      <c r="P443">
        <v>-45884.33</v>
      </c>
      <c r="Q443" s="4" t="s">
        <v>30</v>
      </c>
    </row>
    <row r="444" spans="1:17" x14ac:dyDescent="0.2">
      <c r="A444" s="4" t="s">
        <v>628</v>
      </c>
      <c r="B444">
        <v>443</v>
      </c>
      <c r="C444" s="4" t="s">
        <v>26</v>
      </c>
      <c r="D444" s="4" t="s">
        <v>44</v>
      </c>
      <c r="E444" s="4" t="s">
        <v>32</v>
      </c>
      <c r="F444" s="4" t="s">
        <v>1680</v>
      </c>
      <c r="G444">
        <v>11</v>
      </c>
      <c r="H444">
        <v>52</v>
      </c>
      <c r="I444" s="4" t="s">
        <v>190</v>
      </c>
      <c r="J444" s="4" t="s">
        <v>191</v>
      </c>
      <c r="K444" s="4" t="s">
        <v>179</v>
      </c>
      <c r="L444" s="4" t="s">
        <v>180</v>
      </c>
      <c r="M444" s="4" t="s">
        <v>192</v>
      </c>
      <c r="N444" s="4" t="s">
        <v>182</v>
      </c>
      <c r="O444" s="4" t="s">
        <v>183</v>
      </c>
      <c r="P444">
        <v>27730.73</v>
      </c>
      <c r="Q444" s="4" t="s">
        <v>30</v>
      </c>
    </row>
    <row r="445" spans="1:17" x14ac:dyDescent="0.2">
      <c r="A445" s="4" t="s">
        <v>629</v>
      </c>
      <c r="B445">
        <v>444</v>
      </c>
      <c r="C445" s="4" t="s">
        <v>26</v>
      </c>
      <c r="D445" s="4" t="s">
        <v>44</v>
      </c>
      <c r="E445" s="4" t="s">
        <v>32</v>
      </c>
      <c r="F445" s="4" t="s">
        <v>1680</v>
      </c>
      <c r="G445">
        <v>11</v>
      </c>
      <c r="H445">
        <v>52</v>
      </c>
      <c r="I445" s="4" t="s">
        <v>207</v>
      </c>
      <c r="J445" s="4" t="s">
        <v>208</v>
      </c>
      <c r="K445" s="4" t="s">
        <v>179</v>
      </c>
      <c r="L445" s="4" t="s">
        <v>180</v>
      </c>
      <c r="M445" s="4" t="s">
        <v>192</v>
      </c>
      <c r="N445" s="4" t="s">
        <v>182</v>
      </c>
      <c r="O445" s="4" t="s">
        <v>189</v>
      </c>
      <c r="P445">
        <v>-27730.73</v>
      </c>
      <c r="Q445" s="4" t="s">
        <v>30</v>
      </c>
    </row>
    <row r="446" spans="1:17" x14ac:dyDescent="0.2">
      <c r="A446" s="4" t="s">
        <v>630</v>
      </c>
      <c r="B446">
        <v>445</v>
      </c>
      <c r="C446" s="4" t="s">
        <v>26</v>
      </c>
      <c r="D446" s="4" t="s">
        <v>44</v>
      </c>
      <c r="E446" s="4" t="s">
        <v>32</v>
      </c>
      <c r="F446" s="4" t="s">
        <v>1680</v>
      </c>
      <c r="G446">
        <v>11</v>
      </c>
      <c r="H446">
        <v>52</v>
      </c>
      <c r="I446" s="4" t="s">
        <v>207</v>
      </c>
      <c r="J446" s="4" t="s">
        <v>208</v>
      </c>
      <c r="K446" s="4" t="s">
        <v>179</v>
      </c>
      <c r="L446" s="4" t="s">
        <v>180</v>
      </c>
      <c r="M446" s="4" t="s">
        <v>192</v>
      </c>
      <c r="N446" s="4" t="s">
        <v>182</v>
      </c>
      <c r="O446" s="4" t="s">
        <v>183</v>
      </c>
      <c r="P446">
        <v>16808.13</v>
      </c>
      <c r="Q446" s="4" t="s">
        <v>30</v>
      </c>
    </row>
    <row r="447" spans="1:17" x14ac:dyDescent="0.2">
      <c r="A447" s="4" t="s">
        <v>631</v>
      </c>
      <c r="B447">
        <v>446</v>
      </c>
      <c r="C447" s="4" t="s">
        <v>26</v>
      </c>
      <c r="D447" s="4" t="s">
        <v>44</v>
      </c>
      <c r="E447" s="4" t="s">
        <v>32</v>
      </c>
      <c r="F447" s="4" t="s">
        <v>1680</v>
      </c>
      <c r="G447">
        <v>11</v>
      </c>
      <c r="H447">
        <v>52</v>
      </c>
      <c r="I447" s="4" t="s">
        <v>193</v>
      </c>
      <c r="J447" s="4" t="s">
        <v>194</v>
      </c>
      <c r="K447" s="4" t="s">
        <v>179</v>
      </c>
      <c r="L447" s="4" t="s">
        <v>186</v>
      </c>
      <c r="M447" s="4" t="s">
        <v>195</v>
      </c>
      <c r="N447" s="4" t="s">
        <v>196</v>
      </c>
      <c r="O447" s="4" t="s">
        <v>189</v>
      </c>
      <c r="P447">
        <v>-61760.73</v>
      </c>
      <c r="Q447" s="4" t="s">
        <v>30</v>
      </c>
    </row>
    <row r="448" spans="1:17" x14ac:dyDescent="0.2">
      <c r="A448" s="4" t="s">
        <v>632</v>
      </c>
      <c r="B448">
        <v>447</v>
      </c>
      <c r="C448" s="4" t="s">
        <v>26</v>
      </c>
      <c r="D448" s="4" t="s">
        <v>44</v>
      </c>
      <c r="E448" s="4" t="s">
        <v>32</v>
      </c>
      <c r="F448" s="4" t="s">
        <v>1680</v>
      </c>
      <c r="G448">
        <v>11</v>
      </c>
      <c r="H448">
        <v>52</v>
      </c>
      <c r="I448" s="4" t="s">
        <v>193</v>
      </c>
      <c r="J448" s="4" t="s">
        <v>194</v>
      </c>
      <c r="K448" s="4" t="s">
        <v>179</v>
      </c>
      <c r="L448" s="4" t="s">
        <v>186</v>
      </c>
      <c r="M448" s="4" t="s">
        <v>195</v>
      </c>
      <c r="N448" s="4" t="s">
        <v>196</v>
      </c>
      <c r="O448" s="4" t="s">
        <v>183</v>
      </c>
      <c r="P448">
        <v>45884.33</v>
      </c>
      <c r="Q448" s="4" t="s">
        <v>30</v>
      </c>
    </row>
    <row r="449" spans="1:17" x14ac:dyDescent="0.2">
      <c r="A449" s="4" t="s">
        <v>633</v>
      </c>
      <c r="B449">
        <v>448</v>
      </c>
      <c r="C449" s="4" t="s">
        <v>26</v>
      </c>
      <c r="D449" s="4" t="s">
        <v>44</v>
      </c>
      <c r="E449" s="4" t="s">
        <v>32</v>
      </c>
      <c r="F449" s="4" t="s">
        <v>1680</v>
      </c>
      <c r="G449">
        <v>11</v>
      </c>
      <c r="H449">
        <v>52</v>
      </c>
      <c r="I449" s="4" t="s">
        <v>197</v>
      </c>
      <c r="J449" s="4" t="s">
        <v>198</v>
      </c>
      <c r="K449" s="4" t="s">
        <v>179</v>
      </c>
      <c r="L449" s="4" t="s">
        <v>186</v>
      </c>
      <c r="M449" s="4" t="s">
        <v>195</v>
      </c>
      <c r="N449" s="4" t="s">
        <v>196</v>
      </c>
      <c r="O449" s="4" t="s">
        <v>189</v>
      </c>
      <c r="P449">
        <v>-60760.73</v>
      </c>
      <c r="Q449" s="4" t="s">
        <v>30</v>
      </c>
    </row>
    <row r="450" spans="1:17" x14ac:dyDescent="0.2">
      <c r="A450" s="4" t="s">
        <v>634</v>
      </c>
      <c r="B450">
        <v>449</v>
      </c>
      <c r="C450" s="4" t="s">
        <v>26</v>
      </c>
      <c r="D450" s="4" t="s">
        <v>44</v>
      </c>
      <c r="E450" s="4" t="s">
        <v>32</v>
      </c>
      <c r="F450" s="4" t="s">
        <v>1680</v>
      </c>
      <c r="G450">
        <v>11</v>
      </c>
      <c r="H450">
        <v>52</v>
      </c>
      <c r="I450" s="4" t="s">
        <v>197</v>
      </c>
      <c r="J450" s="4" t="s">
        <v>198</v>
      </c>
      <c r="K450" s="4" t="s">
        <v>179</v>
      </c>
      <c r="L450" s="4" t="s">
        <v>186</v>
      </c>
      <c r="M450" s="4" t="s">
        <v>195</v>
      </c>
      <c r="N450" s="4" t="s">
        <v>196</v>
      </c>
      <c r="O450" s="4" t="s">
        <v>183</v>
      </c>
      <c r="P450">
        <v>60760.73</v>
      </c>
      <c r="Q450" s="4" t="s">
        <v>30</v>
      </c>
    </row>
    <row r="451" spans="1:17" x14ac:dyDescent="0.2">
      <c r="A451" s="4" t="s">
        <v>635</v>
      </c>
      <c r="B451">
        <v>450</v>
      </c>
      <c r="C451" s="4" t="s">
        <v>26</v>
      </c>
      <c r="D451" s="4" t="s">
        <v>44</v>
      </c>
      <c r="E451" s="4" t="s">
        <v>32</v>
      </c>
      <c r="F451" s="4" t="s">
        <v>1680</v>
      </c>
      <c r="G451">
        <v>11</v>
      </c>
      <c r="H451">
        <v>52</v>
      </c>
      <c r="I451" s="4" t="s">
        <v>199</v>
      </c>
      <c r="J451" s="4" t="s">
        <v>200</v>
      </c>
      <c r="K451" s="4" t="s">
        <v>179</v>
      </c>
      <c r="L451" s="4" t="s">
        <v>186</v>
      </c>
      <c r="M451" s="4" t="s">
        <v>195</v>
      </c>
      <c r="N451" s="4" t="s">
        <v>196</v>
      </c>
      <c r="O451" s="4" t="s">
        <v>189</v>
      </c>
      <c r="P451">
        <v>-1000</v>
      </c>
      <c r="Q451" s="4" t="s">
        <v>30</v>
      </c>
    </row>
    <row r="452" spans="1:17" x14ac:dyDescent="0.2">
      <c r="A452" s="4" t="s">
        <v>636</v>
      </c>
      <c r="B452">
        <v>451</v>
      </c>
      <c r="C452" s="4" t="s">
        <v>26</v>
      </c>
      <c r="D452" s="4" t="s">
        <v>44</v>
      </c>
      <c r="E452" s="4" t="s">
        <v>32</v>
      </c>
      <c r="F452" s="4" t="s">
        <v>1680</v>
      </c>
      <c r="G452">
        <v>11</v>
      </c>
      <c r="H452">
        <v>52</v>
      </c>
      <c r="I452" s="4" t="s">
        <v>199</v>
      </c>
      <c r="J452" s="4" t="s">
        <v>200</v>
      </c>
      <c r="K452" s="4" t="s">
        <v>179</v>
      </c>
      <c r="L452" s="4" t="s">
        <v>186</v>
      </c>
      <c r="M452" s="4" t="s">
        <v>195</v>
      </c>
      <c r="N452" s="4" t="s">
        <v>196</v>
      </c>
      <c r="O452" s="4" t="s">
        <v>183</v>
      </c>
      <c r="P452">
        <v>1000</v>
      </c>
      <c r="Q452" s="4" t="s">
        <v>30</v>
      </c>
    </row>
    <row r="453" spans="1:17" x14ac:dyDescent="0.2">
      <c r="A453" s="4" t="s">
        <v>637</v>
      </c>
      <c r="B453">
        <v>452</v>
      </c>
      <c r="C453" s="4" t="s">
        <v>26</v>
      </c>
      <c r="D453" s="4" t="s">
        <v>44</v>
      </c>
      <c r="E453" s="4" t="s">
        <v>32</v>
      </c>
      <c r="F453" s="4" t="s">
        <v>1680</v>
      </c>
      <c r="G453">
        <v>11</v>
      </c>
      <c r="H453">
        <v>52</v>
      </c>
      <c r="I453" s="4" t="s">
        <v>209</v>
      </c>
      <c r="J453" s="4" t="s">
        <v>210</v>
      </c>
      <c r="K453" s="4" t="s">
        <v>205</v>
      </c>
      <c r="L453" s="4" t="s">
        <v>211</v>
      </c>
      <c r="M453" s="4" t="s">
        <v>182</v>
      </c>
      <c r="N453" s="4" t="s">
        <v>182</v>
      </c>
      <c r="O453" s="4" t="s">
        <v>183</v>
      </c>
      <c r="P453">
        <v>14650.82</v>
      </c>
      <c r="Q453" s="4" t="s">
        <v>30</v>
      </c>
    </row>
    <row r="454" spans="1:17" x14ac:dyDescent="0.2">
      <c r="A454" s="4" t="s">
        <v>638</v>
      </c>
      <c r="B454">
        <v>453</v>
      </c>
      <c r="C454" s="4" t="s">
        <v>26</v>
      </c>
      <c r="D454" s="4" t="s">
        <v>44</v>
      </c>
      <c r="E454" s="4" t="s">
        <v>32</v>
      </c>
      <c r="F454" s="4" t="s">
        <v>1680</v>
      </c>
      <c r="G454">
        <v>11</v>
      </c>
      <c r="H454">
        <v>52</v>
      </c>
      <c r="I454" s="4" t="s">
        <v>201</v>
      </c>
      <c r="J454" s="4" t="s">
        <v>202</v>
      </c>
      <c r="K454" s="4" t="s">
        <v>179</v>
      </c>
      <c r="L454" s="4" t="s">
        <v>180</v>
      </c>
      <c r="M454" s="4" t="s">
        <v>192</v>
      </c>
      <c r="N454" s="4" t="s">
        <v>182</v>
      </c>
      <c r="O454" s="4" t="s">
        <v>189</v>
      </c>
      <c r="P454">
        <v>-14650.83</v>
      </c>
      <c r="Q454" s="4" t="s">
        <v>30</v>
      </c>
    </row>
    <row r="455" spans="1:17" x14ac:dyDescent="0.2">
      <c r="A455" s="4" t="s">
        <v>639</v>
      </c>
      <c r="B455">
        <v>454</v>
      </c>
      <c r="C455" s="4" t="s">
        <v>26</v>
      </c>
      <c r="D455" s="4" t="s">
        <v>44</v>
      </c>
      <c r="E455" s="4" t="s">
        <v>32</v>
      </c>
      <c r="F455" s="4" t="s">
        <v>1680</v>
      </c>
      <c r="G455">
        <v>11</v>
      </c>
      <c r="H455">
        <v>52</v>
      </c>
      <c r="I455" s="4" t="s">
        <v>201</v>
      </c>
      <c r="J455" s="4" t="s">
        <v>202</v>
      </c>
      <c r="K455" s="4" t="s">
        <v>179</v>
      </c>
      <c r="L455" s="4" t="s">
        <v>180</v>
      </c>
      <c r="M455" s="4" t="s">
        <v>192</v>
      </c>
      <c r="N455" s="4" t="s">
        <v>182</v>
      </c>
      <c r="O455" s="4" t="s">
        <v>183</v>
      </c>
      <c r="P455">
        <v>61760.74</v>
      </c>
      <c r="Q455" s="4" t="s">
        <v>30</v>
      </c>
    </row>
    <row r="456" spans="1:17" x14ac:dyDescent="0.2">
      <c r="A456" s="4" t="s">
        <v>640</v>
      </c>
      <c r="B456">
        <v>455</v>
      </c>
      <c r="C456" s="4" t="s">
        <v>26</v>
      </c>
      <c r="D456" s="4" t="s">
        <v>44</v>
      </c>
      <c r="E456" s="4" t="s">
        <v>32</v>
      </c>
      <c r="F456" s="4" t="s">
        <v>1680</v>
      </c>
      <c r="G456">
        <v>11</v>
      </c>
      <c r="H456">
        <v>52</v>
      </c>
      <c r="I456" s="4" t="s">
        <v>212</v>
      </c>
      <c r="J456" s="4" t="s">
        <v>213</v>
      </c>
      <c r="K456" s="4" t="s">
        <v>205</v>
      </c>
      <c r="L456" s="4" t="s">
        <v>214</v>
      </c>
      <c r="M456" s="4" t="s">
        <v>182</v>
      </c>
      <c r="N456" s="4" t="s">
        <v>182</v>
      </c>
      <c r="O456" s="4" t="s">
        <v>189</v>
      </c>
      <c r="P456">
        <v>-16808.13</v>
      </c>
      <c r="Q456" s="4" t="s">
        <v>30</v>
      </c>
    </row>
    <row r="457" spans="1:17" x14ac:dyDescent="0.2">
      <c r="A457" s="4" t="s">
        <v>641</v>
      </c>
      <c r="B457">
        <v>456</v>
      </c>
      <c r="C457" s="4" t="s">
        <v>26</v>
      </c>
      <c r="D457" s="4" t="s">
        <v>44</v>
      </c>
      <c r="E457" s="4" t="s">
        <v>35</v>
      </c>
      <c r="F457" s="4" t="s">
        <v>1715</v>
      </c>
      <c r="G457">
        <v>11</v>
      </c>
      <c r="H457">
        <v>53</v>
      </c>
      <c r="I457" s="4" t="s">
        <v>190</v>
      </c>
      <c r="J457" s="4" t="s">
        <v>191</v>
      </c>
      <c r="K457" s="4" t="s">
        <v>179</v>
      </c>
      <c r="L457" s="4" t="s">
        <v>180</v>
      </c>
      <c r="M457" s="4" t="s">
        <v>192</v>
      </c>
      <c r="N457" s="4" t="s">
        <v>182</v>
      </c>
      <c r="O457" s="4" t="s">
        <v>189</v>
      </c>
      <c r="P457">
        <v>-300</v>
      </c>
      <c r="Q457" s="4" t="s">
        <v>30</v>
      </c>
    </row>
    <row r="458" spans="1:17" x14ac:dyDescent="0.2">
      <c r="A458" s="4" t="s">
        <v>642</v>
      </c>
      <c r="B458">
        <v>457</v>
      </c>
      <c r="C458" s="4" t="s">
        <v>26</v>
      </c>
      <c r="D458" s="4" t="s">
        <v>44</v>
      </c>
      <c r="E458" s="4" t="s">
        <v>35</v>
      </c>
      <c r="F458" s="4" t="s">
        <v>1715</v>
      </c>
      <c r="G458">
        <v>11</v>
      </c>
      <c r="H458">
        <v>53</v>
      </c>
      <c r="I458" s="4" t="s">
        <v>190</v>
      </c>
      <c r="J458" s="4" t="s">
        <v>191</v>
      </c>
      <c r="K458" s="4" t="s">
        <v>179</v>
      </c>
      <c r="L458" s="4" t="s">
        <v>180</v>
      </c>
      <c r="M458" s="4" t="s">
        <v>192</v>
      </c>
      <c r="N458" s="4" t="s">
        <v>182</v>
      </c>
      <c r="O458" s="4" t="s">
        <v>183</v>
      </c>
      <c r="P458">
        <v>15778.87</v>
      </c>
      <c r="Q458" s="4" t="s">
        <v>30</v>
      </c>
    </row>
    <row r="459" spans="1:17" x14ac:dyDescent="0.2">
      <c r="A459" s="4" t="s">
        <v>643</v>
      </c>
      <c r="B459">
        <v>458</v>
      </c>
      <c r="C459" s="4" t="s">
        <v>26</v>
      </c>
      <c r="D459" s="4" t="s">
        <v>44</v>
      </c>
      <c r="E459" s="4" t="s">
        <v>35</v>
      </c>
      <c r="F459" s="4" t="s">
        <v>1715</v>
      </c>
      <c r="G459">
        <v>11</v>
      </c>
      <c r="H459">
        <v>53</v>
      </c>
      <c r="I459" s="4" t="s">
        <v>207</v>
      </c>
      <c r="J459" s="4" t="s">
        <v>208</v>
      </c>
      <c r="K459" s="4" t="s">
        <v>179</v>
      </c>
      <c r="L459" s="4" t="s">
        <v>180</v>
      </c>
      <c r="M459" s="4" t="s">
        <v>192</v>
      </c>
      <c r="N459" s="4" t="s">
        <v>182</v>
      </c>
      <c r="O459" s="4" t="s">
        <v>189</v>
      </c>
      <c r="P459">
        <v>-15778.87</v>
      </c>
      <c r="Q459" s="4" t="s">
        <v>30</v>
      </c>
    </row>
    <row r="460" spans="1:17" x14ac:dyDescent="0.2">
      <c r="A460" s="4" t="s">
        <v>644</v>
      </c>
      <c r="B460">
        <v>459</v>
      </c>
      <c r="C460" s="4" t="s">
        <v>26</v>
      </c>
      <c r="D460" s="4" t="s">
        <v>44</v>
      </c>
      <c r="E460" s="4" t="s">
        <v>35</v>
      </c>
      <c r="F460" s="4" t="s">
        <v>1715</v>
      </c>
      <c r="G460">
        <v>11</v>
      </c>
      <c r="H460">
        <v>53</v>
      </c>
      <c r="I460" s="4" t="s">
        <v>207</v>
      </c>
      <c r="J460" s="4" t="s">
        <v>208</v>
      </c>
      <c r="K460" s="4" t="s">
        <v>179</v>
      </c>
      <c r="L460" s="4" t="s">
        <v>180</v>
      </c>
      <c r="M460" s="4" t="s">
        <v>192</v>
      </c>
      <c r="N460" s="4" t="s">
        <v>182</v>
      </c>
      <c r="O460" s="4" t="s">
        <v>183</v>
      </c>
      <c r="P460">
        <v>10183.370000000001</v>
      </c>
      <c r="Q460" s="4" t="s">
        <v>30</v>
      </c>
    </row>
    <row r="461" spans="1:17" x14ac:dyDescent="0.2">
      <c r="A461" s="4" t="s">
        <v>645</v>
      </c>
      <c r="B461">
        <v>460</v>
      </c>
      <c r="C461" s="4" t="s">
        <v>26</v>
      </c>
      <c r="D461" s="4" t="s">
        <v>44</v>
      </c>
      <c r="E461" s="4" t="s">
        <v>35</v>
      </c>
      <c r="F461" s="4" t="s">
        <v>1715</v>
      </c>
      <c r="G461">
        <v>11</v>
      </c>
      <c r="H461">
        <v>53</v>
      </c>
      <c r="I461" s="4" t="s">
        <v>209</v>
      </c>
      <c r="J461" s="4" t="s">
        <v>210</v>
      </c>
      <c r="K461" s="4" t="s">
        <v>205</v>
      </c>
      <c r="L461" s="4" t="s">
        <v>211</v>
      </c>
      <c r="M461" s="4" t="s">
        <v>182</v>
      </c>
      <c r="N461" s="4" t="s">
        <v>182</v>
      </c>
      <c r="O461" s="4" t="s">
        <v>183</v>
      </c>
      <c r="P461">
        <v>9050.56</v>
      </c>
      <c r="Q461" s="4" t="s">
        <v>30</v>
      </c>
    </row>
    <row r="462" spans="1:17" x14ac:dyDescent="0.2">
      <c r="A462" s="4" t="s">
        <v>646</v>
      </c>
      <c r="B462">
        <v>461</v>
      </c>
      <c r="C462" s="4" t="s">
        <v>26</v>
      </c>
      <c r="D462" s="4" t="s">
        <v>44</v>
      </c>
      <c r="E462" s="4" t="s">
        <v>35</v>
      </c>
      <c r="F462" s="4" t="s">
        <v>1715</v>
      </c>
      <c r="G462">
        <v>11</v>
      </c>
      <c r="H462">
        <v>53</v>
      </c>
      <c r="I462" s="4" t="s">
        <v>203</v>
      </c>
      <c r="J462" s="4" t="s">
        <v>204</v>
      </c>
      <c r="K462" s="4" t="s">
        <v>205</v>
      </c>
      <c r="L462" s="4" t="s">
        <v>206</v>
      </c>
      <c r="M462" s="4" t="s">
        <v>182</v>
      </c>
      <c r="N462" s="4" t="s">
        <v>182</v>
      </c>
      <c r="O462" s="4" t="s">
        <v>183</v>
      </c>
      <c r="P462">
        <v>300</v>
      </c>
      <c r="Q462" s="4" t="s">
        <v>30</v>
      </c>
    </row>
    <row r="463" spans="1:17" x14ac:dyDescent="0.2">
      <c r="A463" s="4" t="s">
        <v>647</v>
      </c>
      <c r="B463">
        <v>462</v>
      </c>
      <c r="C463" s="4" t="s">
        <v>26</v>
      </c>
      <c r="D463" s="4" t="s">
        <v>44</v>
      </c>
      <c r="E463" s="4" t="s">
        <v>35</v>
      </c>
      <c r="F463" s="4" t="s">
        <v>1715</v>
      </c>
      <c r="G463">
        <v>11</v>
      </c>
      <c r="H463">
        <v>53</v>
      </c>
      <c r="I463" s="4" t="s">
        <v>201</v>
      </c>
      <c r="J463" s="4" t="s">
        <v>202</v>
      </c>
      <c r="K463" s="4" t="s">
        <v>179</v>
      </c>
      <c r="L463" s="4" t="s">
        <v>180</v>
      </c>
      <c r="M463" s="4" t="s">
        <v>192</v>
      </c>
      <c r="N463" s="4" t="s">
        <v>182</v>
      </c>
      <c r="O463" s="4" t="s">
        <v>189</v>
      </c>
      <c r="P463">
        <v>-9050.56</v>
      </c>
      <c r="Q463" s="4" t="s">
        <v>30</v>
      </c>
    </row>
    <row r="464" spans="1:17" x14ac:dyDescent="0.2">
      <c r="A464" s="4" t="s">
        <v>648</v>
      </c>
      <c r="B464">
        <v>463</v>
      </c>
      <c r="C464" s="4" t="s">
        <v>26</v>
      </c>
      <c r="D464" s="4" t="s">
        <v>44</v>
      </c>
      <c r="E464" s="4" t="s">
        <v>35</v>
      </c>
      <c r="F464" s="4" t="s">
        <v>1715</v>
      </c>
      <c r="G464">
        <v>11</v>
      </c>
      <c r="H464">
        <v>53</v>
      </c>
      <c r="I464" s="4" t="s">
        <v>212</v>
      </c>
      <c r="J464" s="4" t="s">
        <v>213</v>
      </c>
      <c r="K464" s="4" t="s">
        <v>205</v>
      </c>
      <c r="L464" s="4" t="s">
        <v>214</v>
      </c>
      <c r="M464" s="4" t="s">
        <v>182</v>
      </c>
      <c r="N464" s="4" t="s">
        <v>182</v>
      </c>
      <c r="O464" s="4" t="s">
        <v>189</v>
      </c>
      <c r="P464">
        <v>-10183.370000000001</v>
      </c>
      <c r="Q464" s="4" t="s">
        <v>30</v>
      </c>
    </row>
    <row r="465" spans="1:17" x14ac:dyDescent="0.2">
      <c r="A465" s="4" t="s">
        <v>649</v>
      </c>
      <c r="B465">
        <v>464</v>
      </c>
      <c r="C465" s="4" t="s">
        <v>26</v>
      </c>
      <c r="D465" s="4" t="s">
        <v>44</v>
      </c>
      <c r="E465" s="4" t="s">
        <v>38</v>
      </c>
      <c r="F465" s="4" t="s">
        <v>1743</v>
      </c>
      <c r="G465">
        <v>11</v>
      </c>
      <c r="H465">
        <v>54</v>
      </c>
      <c r="I465" s="4" t="s">
        <v>190</v>
      </c>
      <c r="J465" s="4" t="s">
        <v>191</v>
      </c>
      <c r="K465" s="4" t="s">
        <v>179</v>
      </c>
      <c r="L465" s="4" t="s">
        <v>180</v>
      </c>
      <c r="M465" s="4" t="s">
        <v>192</v>
      </c>
      <c r="N465" s="4" t="s">
        <v>182</v>
      </c>
      <c r="O465" s="4" t="s">
        <v>183</v>
      </c>
      <c r="P465">
        <v>24905.82</v>
      </c>
      <c r="Q465" s="4" t="s">
        <v>30</v>
      </c>
    </row>
    <row r="466" spans="1:17" x14ac:dyDescent="0.2">
      <c r="A466" s="4" t="s">
        <v>650</v>
      </c>
      <c r="B466">
        <v>465</v>
      </c>
      <c r="C466" s="4" t="s">
        <v>26</v>
      </c>
      <c r="D466" s="4" t="s">
        <v>44</v>
      </c>
      <c r="E466" s="4" t="s">
        <v>38</v>
      </c>
      <c r="F466" s="4" t="s">
        <v>1743</v>
      </c>
      <c r="G466">
        <v>11</v>
      </c>
      <c r="H466">
        <v>54</v>
      </c>
      <c r="I466" s="4" t="s">
        <v>207</v>
      </c>
      <c r="J466" s="4" t="s">
        <v>208</v>
      </c>
      <c r="K466" s="4" t="s">
        <v>179</v>
      </c>
      <c r="L466" s="4" t="s">
        <v>180</v>
      </c>
      <c r="M466" s="4" t="s">
        <v>192</v>
      </c>
      <c r="N466" s="4" t="s">
        <v>182</v>
      </c>
      <c r="O466" s="4" t="s">
        <v>189</v>
      </c>
      <c r="P466">
        <v>-24905.82</v>
      </c>
      <c r="Q466" s="4" t="s">
        <v>30</v>
      </c>
    </row>
    <row r="467" spans="1:17" x14ac:dyDescent="0.2">
      <c r="A467" s="4" t="s">
        <v>651</v>
      </c>
      <c r="B467">
        <v>466</v>
      </c>
      <c r="C467" s="4" t="s">
        <v>26</v>
      </c>
      <c r="D467" s="4" t="s">
        <v>44</v>
      </c>
      <c r="E467" s="4" t="s">
        <v>38</v>
      </c>
      <c r="F467" s="4" t="s">
        <v>1743</v>
      </c>
      <c r="G467">
        <v>11</v>
      </c>
      <c r="H467">
        <v>54</v>
      </c>
      <c r="I467" s="4" t="s">
        <v>207</v>
      </c>
      <c r="J467" s="4" t="s">
        <v>208</v>
      </c>
      <c r="K467" s="4" t="s">
        <v>179</v>
      </c>
      <c r="L467" s="4" t="s">
        <v>180</v>
      </c>
      <c r="M467" s="4" t="s">
        <v>192</v>
      </c>
      <c r="N467" s="4" t="s">
        <v>182</v>
      </c>
      <c r="O467" s="4" t="s">
        <v>183</v>
      </c>
      <c r="P467">
        <v>19756.3</v>
      </c>
      <c r="Q467" s="4" t="s">
        <v>30</v>
      </c>
    </row>
    <row r="468" spans="1:17" x14ac:dyDescent="0.2">
      <c r="A468" s="4" t="s">
        <v>652</v>
      </c>
      <c r="B468">
        <v>467</v>
      </c>
      <c r="C468" s="4" t="s">
        <v>26</v>
      </c>
      <c r="D468" s="4" t="s">
        <v>44</v>
      </c>
      <c r="E468" s="4" t="s">
        <v>38</v>
      </c>
      <c r="F468" s="4" t="s">
        <v>1743</v>
      </c>
      <c r="G468">
        <v>11</v>
      </c>
      <c r="H468">
        <v>54</v>
      </c>
      <c r="I468" s="4" t="s">
        <v>209</v>
      </c>
      <c r="J468" s="4" t="s">
        <v>210</v>
      </c>
      <c r="K468" s="4" t="s">
        <v>205</v>
      </c>
      <c r="L468" s="4" t="s">
        <v>211</v>
      </c>
      <c r="M468" s="4" t="s">
        <v>182</v>
      </c>
      <c r="N468" s="4" t="s">
        <v>182</v>
      </c>
      <c r="O468" s="4" t="s">
        <v>183</v>
      </c>
      <c r="P468">
        <v>17248.099999999999</v>
      </c>
      <c r="Q468" s="4" t="s">
        <v>30</v>
      </c>
    </row>
    <row r="469" spans="1:17" x14ac:dyDescent="0.2">
      <c r="A469" s="4" t="s">
        <v>653</v>
      </c>
      <c r="B469">
        <v>468</v>
      </c>
      <c r="C469" s="4" t="s">
        <v>26</v>
      </c>
      <c r="D469" s="4" t="s">
        <v>44</v>
      </c>
      <c r="E469" s="4" t="s">
        <v>38</v>
      </c>
      <c r="F469" s="4" t="s">
        <v>1743</v>
      </c>
      <c r="G469">
        <v>11</v>
      </c>
      <c r="H469">
        <v>54</v>
      </c>
      <c r="I469" s="4" t="s">
        <v>201</v>
      </c>
      <c r="J469" s="4" t="s">
        <v>202</v>
      </c>
      <c r="K469" s="4" t="s">
        <v>179</v>
      </c>
      <c r="L469" s="4" t="s">
        <v>180</v>
      </c>
      <c r="M469" s="4" t="s">
        <v>192</v>
      </c>
      <c r="N469" s="4" t="s">
        <v>182</v>
      </c>
      <c r="O469" s="4" t="s">
        <v>189</v>
      </c>
      <c r="P469">
        <v>-17248.099999999999</v>
      </c>
      <c r="Q469" s="4" t="s">
        <v>30</v>
      </c>
    </row>
    <row r="470" spans="1:17" x14ac:dyDescent="0.2">
      <c r="A470" s="4" t="s">
        <v>654</v>
      </c>
      <c r="B470">
        <v>469</v>
      </c>
      <c r="C470" s="4" t="s">
        <v>26</v>
      </c>
      <c r="D470" s="4" t="s">
        <v>44</v>
      </c>
      <c r="E470" s="4" t="s">
        <v>38</v>
      </c>
      <c r="F470" s="4" t="s">
        <v>1743</v>
      </c>
      <c r="G470">
        <v>11</v>
      </c>
      <c r="H470">
        <v>54</v>
      </c>
      <c r="I470" s="4" t="s">
        <v>212</v>
      </c>
      <c r="J470" s="4" t="s">
        <v>213</v>
      </c>
      <c r="K470" s="4" t="s">
        <v>205</v>
      </c>
      <c r="L470" s="4" t="s">
        <v>214</v>
      </c>
      <c r="M470" s="4" t="s">
        <v>182</v>
      </c>
      <c r="N470" s="4" t="s">
        <v>182</v>
      </c>
      <c r="O470" s="4" t="s">
        <v>189</v>
      </c>
      <c r="P470">
        <v>-19756.3</v>
      </c>
      <c r="Q470" s="4" t="s">
        <v>30</v>
      </c>
    </row>
    <row r="471" spans="1:17" x14ac:dyDescent="0.2">
      <c r="A471" s="4" t="s">
        <v>655</v>
      </c>
      <c r="B471">
        <v>470</v>
      </c>
      <c r="C471" s="4" t="s">
        <v>26</v>
      </c>
      <c r="D471" s="4" t="s">
        <v>44</v>
      </c>
      <c r="E471" s="4" t="s">
        <v>41</v>
      </c>
      <c r="F471" s="4" t="s">
        <v>1773</v>
      </c>
      <c r="G471">
        <v>11</v>
      </c>
      <c r="H471">
        <v>55</v>
      </c>
      <c r="I471" s="4" t="s">
        <v>190</v>
      </c>
      <c r="J471" s="4" t="s">
        <v>191</v>
      </c>
      <c r="K471" s="4" t="s">
        <v>179</v>
      </c>
      <c r="L471" s="4" t="s">
        <v>180</v>
      </c>
      <c r="M471" s="4" t="s">
        <v>192</v>
      </c>
      <c r="N471" s="4" t="s">
        <v>182</v>
      </c>
      <c r="O471" s="4" t="s">
        <v>183</v>
      </c>
      <c r="P471">
        <v>15151.25</v>
      </c>
      <c r="Q471" s="4" t="s">
        <v>30</v>
      </c>
    </row>
    <row r="472" spans="1:17" x14ac:dyDescent="0.2">
      <c r="A472" s="4" t="s">
        <v>656</v>
      </c>
      <c r="B472">
        <v>471</v>
      </c>
      <c r="C472" s="4" t="s">
        <v>26</v>
      </c>
      <c r="D472" s="4" t="s">
        <v>44</v>
      </c>
      <c r="E472" s="4" t="s">
        <v>41</v>
      </c>
      <c r="F472" s="4" t="s">
        <v>1773</v>
      </c>
      <c r="G472">
        <v>11</v>
      </c>
      <c r="H472">
        <v>55</v>
      </c>
      <c r="I472" s="4" t="s">
        <v>207</v>
      </c>
      <c r="J472" s="4" t="s">
        <v>208</v>
      </c>
      <c r="K472" s="4" t="s">
        <v>179</v>
      </c>
      <c r="L472" s="4" t="s">
        <v>180</v>
      </c>
      <c r="M472" s="4" t="s">
        <v>192</v>
      </c>
      <c r="N472" s="4" t="s">
        <v>182</v>
      </c>
      <c r="O472" s="4" t="s">
        <v>189</v>
      </c>
      <c r="P472">
        <v>-15151.25</v>
      </c>
      <c r="Q472" s="4" t="s">
        <v>30</v>
      </c>
    </row>
    <row r="473" spans="1:17" x14ac:dyDescent="0.2">
      <c r="A473" s="4" t="s">
        <v>657</v>
      </c>
      <c r="B473">
        <v>472</v>
      </c>
      <c r="C473" s="4" t="s">
        <v>26</v>
      </c>
      <c r="D473" s="4" t="s">
        <v>44</v>
      </c>
      <c r="E473" s="4" t="s">
        <v>41</v>
      </c>
      <c r="F473" s="4" t="s">
        <v>1773</v>
      </c>
      <c r="G473">
        <v>11</v>
      </c>
      <c r="H473">
        <v>55</v>
      </c>
      <c r="I473" s="4" t="s">
        <v>207</v>
      </c>
      <c r="J473" s="4" t="s">
        <v>208</v>
      </c>
      <c r="K473" s="4" t="s">
        <v>179</v>
      </c>
      <c r="L473" s="4" t="s">
        <v>180</v>
      </c>
      <c r="M473" s="4" t="s">
        <v>192</v>
      </c>
      <c r="N473" s="4" t="s">
        <v>182</v>
      </c>
      <c r="O473" s="4" t="s">
        <v>183</v>
      </c>
      <c r="P473">
        <v>14391.71</v>
      </c>
      <c r="Q473" s="4" t="s">
        <v>30</v>
      </c>
    </row>
    <row r="474" spans="1:17" x14ac:dyDescent="0.2">
      <c r="A474" s="4" t="s">
        <v>658</v>
      </c>
      <c r="B474">
        <v>473</v>
      </c>
      <c r="C474" s="4" t="s">
        <v>26</v>
      </c>
      <c r="D474" s="4" t="s">
        <v>44</v>
      </c>
      <c r="E474" s="4" t="s">
        <v>41</v>
      </c>
      <c r="F474" s="4" t="s">
        <v>1773</v>
      </c>
      <c r="G474">
        <v>11</v>
      </c>
      <c r="H474">
        <v>55</v>
      </c>
      <c r="I474" s="4" t="s">
        <v>209</v>
      </c>
      <c r="J474" s="4" t="s">
        <v>210</v>
      </c>
      <c r="K474" s="4" t="s">
        <v>205</v>
      </c>
      <c r="L474" s="4" t="s">
        <v>211</v>
      </c>
      <c r="M474" s="4" t="s">
        <v>182</v>
      </c>
      <c r="N474" s="4" t="s">
        <v>182</v>
      </c>
      <c r="O474" s="4" t="s">
        <v>183</v>
      </c>
      <c r="P474">
        <v>12346.78</v>
      </c>
      <c r="Q474" s="4" t="s">
        <v>30</v>
      </c>
    </row>
    <row r="475" spans="1:17" x14ac:dyDescent="0.2">
      <c r="A475" s="4" t="s">
        <v>659</v>
      </c>
      <c r="B475">
        <v>474</v>
      </c>
      <c r="C475" s="4" t="s">
        <v>26</v>
      </c>
      <c r="D475" s="4" t="s">
        <v>44</v>
      </c>
      <c r="E475" s="4" t="s">
        <v>41</v>
      </c>
      <c r="F475" s="4" t="s">
        <v>1773</v>
      </c>
      <c r="G475">
        <v>11</v>
      </c>
      <c r="H475">
        <v>55</v>
      </c>
      <c r="I475" s="4" t="s">
        <v>201</v>
      </c>
      <c r="J475" s="4" t="s">
        <v>202</v>
      </c>
      <c r="K475" s="4" t="s">
        <v>179</v>
      </c>
      <c r="L475" s="4" t="s">
        <v>180</v>
      </c>
      <c r="M475" s="4" t="s">
        <v>192</v>
      </c>
      <c r="N475" s="4" t="s">
        <v>182</v>
      </c>
      <c r="O475" s="4" t="s">
        <v>189</v>
      </c>
      <c r="P475">
        <v>-12346.78</v>
      </c>
      <c r="Q475" s="4" t="s">
        <v>30</v>
      </c>
    </row>
    <row r="476" spans="1:17" x14ac:dyDescent="0.2">
      <c r="A476" s="4" t="s">
        <v>660</v>
      </c>
      <c r="B476">
        <v>475</v>
      </c>
      <c r="C476" s="4" t="s">
        <v>26</v>
      </c>
      <c r="D476" s="4" t="s">
        <v>44</v>
      </c>
      <c r="E476" s="4" t="s">
        <v>41</v>
      </c>
      <c r="F476" s="4" t="s">
        <v>1773</v>
      </c>
      <c r="G476">
        <v>11</v>
      </c>
      <c r="H476">
        <v>55</v>
      </c>
      <c r="I476" s="4" t="s">
        <v>212</v>
      </c>
      <c r="J476" s="4" t="s">
        <v>213</v>
      </c>
      <c r="K476" s="4" t="s">
        <v>205</v>
      </c>
      <c r="L476" s="4" t="s">
        <v>214</v>
      </c>
      <c r="M476" s="4" t="s">
        <v>182</v>
      </c>
      <c r="N476" s="4" t="s">
        <v>182</v>
      </c>
      <c r="O476" s="4" t="s">
        <v>189</v>
      </c>
      <c r="P476">
        <v>-14391.71</v>
      </c>
      <c r="Q476" s="4" t="s">
        <v>30</v>
      </c>
    </row>
    <row r="477" spans="1:17" x14ac:dyDescent="0.2">
      <c r="A477" s="4" t="s">
        <v>661</v>
      </c>
      <c r="B477">
        <v>476</v>
      </c>
      <c r="C477" s="4" t="s">
        <v>26</v>
      </c>
      <c r="D477" s="4" t="s">
        <v>44</v>
      </c>
      <c r="E477" s="4" t="s">
        <v>44</v>
      </c>
      <c r="F477" s="4" t="s">
        <v>1798</v>
      </c>
      <c r="G477">
        <v>12</v>
      </c>
      <c r="H477">
        <v>56</v>
      </c>
      <c r="I477" s="4" t="s">
        <v>190</v>
      </c>
      <c r="J477" s="4" t="s">
        <v>191</v>
      </c>
      <c r="K477" s="4" t="s">
        <v>179</v>
      </c>
      <c r="L477" s="4" t="s">
        <v>180</v>
      </c>
      <c r="M477" s="4" t="s">
        <v>192</v>
      </c>
      <c r="N477" s="4" t="s">
        <v>182</v>
      </c>
      <c r="O477" s="4" t="s">
        <v>189</v>
      </c>
      <c r="P477">
        <v>-300</v>
      </c>
      <c r="Q477" s="4" t="s">
        <v>30</v>
      </c>
    </row>
    <row r="478" spans="1:17" x14ac:dyDescent="0.2">
      <c r="A478" s="4" t="s">
        <v>662</v>
      </c>
      <c r="B478">
        <v>477</v>
      </c>
      <c r="C478" s="4" t="s">
        <v>26</v>
      </c>
      <c r="D478" s="4" t="s">
        <v>44</v>
      </c>
      <c r="E478" s="4" t="s">
        <v>44</v>
      </c>
      <c r="F478" s="4" t="s">
        <v>1798</v>
      </c>
      <c r="G478">
        <v>12</v>
      </c>
      <c r="H478">
        <v>56</v>
      </c>
      <c r="I478" s="4" t="s">
        <v>190</v>
      </c>
      <c r="J478" s="4" t="s">
        <v>191</v>
      </c>
      <c r="K478" s="4" t="s">
        <v>179</v>
      </c>
      <c r="L478" s="4" t="s">
        <v>180</v>
      </c>
      <c r="M478" s="4" t="s">
        <v>192</v>
      </c>
      <c r="N478" s="4" t="s">
        <v>182</v>
      </c>
      <c r="O478" s="4" t="s">
        <v>183</v>
      </c>
      <c r="P478">
        <v>16808.13</v>
      </c>
      <c r="Q478" s="4" t="s">
        <v>30</v>
      </c>
    </row>
    <row r="479" spans="1:17" x14ac:dyDescent="0.2">
      <c r="A479" s="4" t="s">
        <v>663</v>
      </c>
      <c r="B479">
        <v>478</v>
      </c>
      <c r="C479" s="4" t="s">
        <v>26</v>
      </c>
      <c r="D479" s="4" t="s">
        <v>44</v>
      </c>
      <c r="E479" s="4" t="s">
        <v>44</v>
      </c>
      <c r="F479" s="4" t="s">
        <v>1798</v>
      </c>
      <c r="G479">
        <v>12</v>
      </c>
      <c r="H479">
        <v>56</v>
      </c>
      <c r="I479" s="4" t="s">
        <v>207</v>
      </c>
      <c r="J479" s="4" t="s">
        <v>208</v>
      </c>
      <c r="K479" s="4" t="s">
        <v>179</v>
      </c>
      <c r="L479" s="4" t="s">
        <v>180</v>
      </c>
      <c r="M479" s="4" t="s">
        <v>192</v>
      </c>
      <c r="N479" s="4" t="s">
        <v>182</v>
      </c>
      <c r="O479" s="4" t="s">
        <v>189</v>
      </c>
      <c r="P479">
        <v>-16808.13</v>
      </c>
      <c r="Q479" s="4" t="s">
        <v>30</v>
      </c>
    </row>
    <row r="480" spans="1:17" x14ac:dyDescent="0.2">
      <c r="A480" s="4" t="s">
        <v>664</v>
      </c>
      <c r="B480">
        <v>479</v>
      </c>
      <c r="C480" s="4" t="s">
        <v>26</v>
      </c>
      <c r="D480" s="4" t="s">
        <v>44</v>
      </c>
      <c r="E480" s="4" t="s">
        <v>44</v>
      </c>
      <c r="F480" s="4" t="s">
        <v>1798</v>
      </c>
      <c r="G480">
        <v>12</v>
      </c>
      <c r="H480">
        <v>56</v>
      </c>
      <c r="I480" s="4" t="s">
        <v>207</v>
      </c>
      <c r="J480" s="4" t="s">
        <v>208</v>
      </c>
      <c r="K480" s="4" t="s">
        <v>179</v>
      </c>
      <c r="L480" s="4" t="s">
        <v>180</v>
      </c>
      <c r="M480" s="4" t="s">
        <v>192</v>
      </c>
      <c r="N480" s="4" t="s">
        <v>182</v>
      </c>
      <c r="O480" s="4" t="s">
        <v>183</v>
      </c>
      <c r="P480">
        <v>17992.18</v>
      </c>
      <c r="Q480" s="4" t="s">
        <v>30</v>
      </c>
    </row>
    <row r="481" spans="1:17" x14ac:dyDescent="0.2">
      <c r="A481" s="4" t="s">
        <v>665</v>
      </c>
      <c r="B481">
        <v>480</v>
      </c>
      <c r="C481" s="4" t="s">
        <v>26</v>
      </c>
      <c r="D481" s="4" t="s">
        <v>44</v>
      </c>
      <c r="E481" s="4" t="s">
        <v>44</v>
      </c>
      <c r="F481" s="4" t="s">
        <v>1798</v>
      </c>
      <c r="G481">
        <v>12</v>
      </c>
      <c r="H481">
        <v>56</v>
      </c>
      <c r="I481" s="4" t="s">
        <v>193</v>
      </c>
      <c r="J481" s="4" t="s">
        <v>194</v>
      </c>
      <c r="K481" s="4" t="s">
        <v>179</v>
      </c>
      <c r="L481" s="4" t="s">
        <v>186</v>
      </c>
      <c r="M481" s="4" t="s">
        <v>195</v>
      </c>
      <c r="N481" s="4" t="s">
        <v>196</v>
      </c>
      <c r="O481" s="4" t="s">
        <v>189</v>
      </c>
      <c r="P481">
        <v>-76221.06</v>
      </c>
      <c r="Q481" s="4" t="s">
        <v>30</v>
      </c>
    </row>
    <row r="482" spans="1:17" x14ac:dyDescent="0.2">
      <c r="A482" s="4" t="s">
        <v>666</v>
      </c>
      <c r="B482">
        <v>481</v>
      </c>
      <c r="C482" s="4" t="s">
        <v>26</v>
      </c>
      <c r="D482" s="4" t="s">
        <v>44</v>
      </c>
      <c r="E482" s="4" t="s">
        <v>44</v>
      </c>
      <c r="F482" s="4" t="s">
        <v>1798</v>
      </c>
      <c r="G482">
        <v>12</v>
      </c>
      <c r="H482">
        <v>56</v>
      </c>
      <c r="I482" s="4" t="s">
        <v>197</v>
      </c>
      <c r="J482" s="4" t="s">
        <v>198</v>
      </c>
      <c r="K482" s="4" t="s">
        <v>179</v>
      </c>
      <c r="L482" s="4" t="s">
        <v>186</v>
      </c>
      <c r="M482" s="4" t="s">
        <v>195</v>
      </c>
      <c r="N482" s="4" t="s">
        <v>196</v>
      </c>
      <c r="O482" s="4" t="s">
        <v>189</v>
      </c>
      <c r="P482">
        <v>-75221.06</v>
      </c>
      <c r="Q482" s="4" t="s">
        <v>30</v>
      </c>
    </row>
    <row r="483" spans="1:17" x14ac:dyDescent="0.2">
      <c r="A483" s="4" t="s">
        <v>667</v>
      </c>
      <c r="B483">
        <v>482</v>
      </c>
      <c r="C483" s="4" t="s">
        <v>26</v>
      </c>
      <c r="D483" s="4" t="s">
        <v>44</v>
      </c>
      <c r="E483" s="4" t="s">
        <v>44</v>
      </c>
      <c r="F483" s="4" t="s">
        <v>1798</v>
      </c>
      <c r="G483">
        <v>12</v>
      </c>
      <c r="H483">
        <v>56</v>
      </c>
      <c r="I483" s="4" t="s">
        <v>197</v>
      </c>
      <c r="J483" s="4" t="s">
        <v>198</v>
      </c>
      <c r="K483" s="4" t="s">
        <v>179</v>
      </c>
      <c r="L483" s="4" t="s">
        <v>186</v>
      </c>
      <c r="M483" s="4" t="s">
        <v>195</v>
      </c>
      <c r="N483" s="4" t="s">
        <v>196</v>
      </c>
      <c r="O483" s="4" t="s">
        <v>183</v>
      </c>
      <c r="P483">
        <v>75221.06</v>
      </c>
      <c r="Q483" s="4" t="s">
        <v>30</v>
      </c>
    </row>
    <row r="484" spans="1:17" x14ac:dyDescent="0.2">
      <c r="A484" s="4" t="s">
        <v>668</v>
      </c>
      <c r="B484">
        <v>483</v>
      </c>
      <c r="C484" s="4" t="s">
        <v>26</v>
      </c>
      <c r="D484" s="4" t="s">
        <v>44</v>
      </c>
      <c r="E484" s="4" t="s">
        <v>44</v>
      </c>
      <c r="F484" s="4" t="s">
        <v>1798</v>
      </c>
      <c r="G484">
        <v>12</v>
      </c>
      <c r="H484">
        <v>56</v>
      </c>
      <c r="I484" s="4" t="s">
        <v>199</v>
      </c>
      <c r="J484" s="4" t="s">
        <v>200</v>
      </c>
      <c r="K484" s="4" t="s">
        <v>179</v>
      </c>
      <c r="L484" s="4" t="s">
        <v>186</v>
      </c>
      <c r="M484" s="4" t="s">
        <v>195</v>
      </c>
      <c r="N484" s="4" t="s">
        <v>196</v>
      </c>
      <c r="O484" s="4" t="s">
        <v>189</v>
      </c>
      <c r="P484">
        <v>-1000</v>
      </c>
      <c r="Q484" s="4" t="s">
        <v>30</v>
      </c>
    </row>
    <row r="485" spans="1:17" x14ac:dyDescent="0.2">
      <c r="A485" s="4" t="s">
        <v>669</v>
      </c>
      <c r="B485">
        <v>484</v>
      </c>
      <c r="C485" s="4" t="s">
        <v>26</v>
      </c>
      <c r="D485" s="4" t="s">
        <v>44</v>
      </c>
      <c r="E485" s="4" t="s">
        <v>44</v>
      </c>
      <c r="F485" s="4" t="s">
        <v>1798</v>
      </c>
      <c r="G485">
        <v>12</v>
      </c>
      <c r="H485">
        <v>56</v>
      </c>
      <c r="I485" s="4" t="s">
        <v>199</v>
      </c>
      <c r="J485" s="4" t="s">
        <v>200</v>
      </c>
      <c r="K485" s="4" t="s">
        <v>179</v>
      </c>
      <c r="L485" s="4" t="s">
        <v>186</v>
      </c>
      <c r="M485" s="4" t="s">
        <v>195</v>
      </c>
      <c r="N485" s="4" t="s">
        <v>196</v>
      </c>
      <c r="O485" s="4" t="s">
        <v>183</v>
      </c>
      <c r="P485">
        <v>1000</v>
      </c>
      <c r="Q485" s="4" t="s">
        <v>30</v>
      </c>
    </row>
    <row r="486" spans="1:17" x14ac:dyDescent="0.2">
      <c r="A486" s="4" t="s">
        <v>670</v>
      </c>
      <c r="B486">
        <v>485</v>
      </c>
      <c r="C486" s="4" t="s">
        <v>26</v>
      </c>
      <c r="D486" s="4" t="s">
        <v>44</v>
      </c>
      <c r="E486" s="4" t="s">
        <v>44</v>
      </c>
      <c r="F486" s="4" t="s">
        <v>1798</v>
      </c>
      <c r="G486">
        <v>12</v>
      </c>
      <c r="H486">
        <v>56</v>
      </c>
      <c r="I486" s="4" t="s">
        <v>209</v>
      </c>
      <c r="J486" s="4" t="s">
        <v>210</v>
      </c>
      <c r="K486" s="4" t="s">
        <v>205</v>
      </c>
      <c r="L486" s="4" t="s">
        <v>211</v>
      </c>
      <c r="M486" s="4" t="s">
        <v>182</v>
      </c>
      <c r="N486" s="4" t="s">
        <v>182</v>
      </c>
      <c r="O486" s="4" t="s">
        <v>183</v>
      </c>
      <c r="P486">
        <v>15812.36</v>
      </c>
      <c r="Q486" s="4" t="s">
        <v>30</v>
      </c>
    </row>
    <row r="487" spans="1:17" x14ac:dyDescent="0.2">
      <c r="A487" s="4" t="s">
        <v>671</v>
      </c>
      <c r="B487">
        <v>486</v>
      </c>
      <c r="C487" s="4" t="s">
        <v>26</v>
      </c>
      <c r="D487" s="4" t="s">
        <v>44</v>
      </c>
      <c r="E487" s="4" t="s">
        <v>44</v>
      </c>
      <c r="F487" s="4" t="s">
        <v>1798</v>
      </c>
      <c r="G487">
        <v>12</v>
      </c>
      <c r="H487">
        <v>56</v>
      </c>
      <c r="I487" s="4" t="s">
        <v>203</v>
      </c>
      <c r="J487" s="4" t="s">
        <v>204</v>
      </c>
      <c r="K487" s="4" t="s">
        <v>205</v>
      </c>
      <c r="L487" s="4" t="s">
        <v>206</v>
      </c>
      <c r="M487" s="4" t="s">
        <v>182</v>
      </c>
      <c r="N487" s="4" t="s">
        <v>182</v>
      </c>
      <c r="O487" s="4" t="s">
        <v>183</v>
      </c>
      <c r="P487">
        <v>300</v>
      </c>
      <c r="Q487" s="4" t="s">
        <v>30</v>
      </c>
    </row>
    <row r="488" spans="1:17" x14ac:dyDescent="0.2">
      <c r="A488" s="4" t="s">
        <v>672</v>
      </c>
      <c r="B488">
        <v>487</v>
      </c>
      <c r="C488" s="4" t="s">
        <v>26</v>
      </c>
      <c r="D488" s="4" t="s">
        <v>44</v>
      </c>
      <c r="E488" s="4" t="s">
        <v>44</v>
      </c>
      <c r="F488" s="4" t="s">
        <v>1798</v>
      </c>
      <c r="G488">
        <v>12</v>
      </c>
      <c r="H488">
        <v>56</v>
      </c>
      <c r="I488" s="4" t="s">
        <v>201</v>
      </c>
      <c r="J488" s="4" t="s">
        <v>202</v>
      </c>
      <c r="K488" s="4" t="s">
        <v>179</v>
      </c>
      <c r="L488" s="4" t="s">
        <v>180</v>
      </c>
      <c r="M488" s="4" t="s">
        <v>192</v>
      </c>
      <c r="N488" s="4" t="s">
        <v>182</v>
      </c>
      <c r="O488" s="4" t="s">
        <v>189</v>
      </c>
      <c r="P488">
        <v>-15812.37</v>
      </c>
      <c r="Q488" s="4" t="s">
        <v>30</v>
      </c>
    </row>
    <row r="489" spans="1:17" x14ac:dyDescent="0.2">
      <c r="A489" s="4" t="s">
        <v>673</v>
      </c>
      <c r="B489">
        <v>488</v>
      </c>
      <c r="C489" s="4" t="s">
        <v>26</v>
      </c>
      <c r="D489" s="4" t="s">
        <v>44</v>
      </c>
      <c r="E489" s="4" t="s">
        <v>44</v>
      </c>
      <c r="F489" s="4" t="s">
        <v>1798</v>
      </c>
      <c r="G489">
        <v>12</v>
      </c>
      <c r="H489">
        <v>56</v>
      </c>
      <c r="I489" s="4" t="s">
        <v>201</v>
      </c>
      <c r="J489" s="4" t="s">
        <v>202</v>
      </c>
      <c r="K489" s="4" t="s">
        <v>179</v>
      </c>
      <c r="L489" s="4" t="s">
        <v>180</v>
      </c>
      <c r="M489" s="4" t="s">
        <v>192</v>
      </c>
      <c r="N489" s="4" t="s">
        <v>182</v>
      </c>
      <c r="O489" s="4" t="s">
        <v>183</v>
      </c>
      <c r="P489">
        <v>76221.070000000007</v>
      </c>
      <c r="Q489" s="4" t="s">
        <v>30</v>
      </c>
    </row>
    <row r="490" spans="1:17" x14ac:dyDescent="0.2">
      <c r="A490" s="4" t="s">
        <v>674</v>
      </c>
      <c r="B490">
        <v>489</v>
      </c>
      <c r="C490" s="4" t="s">
        <v>26</v>
      </c>
      <c r="D490" s="4" t="s">
        <v>44</v>
      </c>
      <c r="E490" s="4" t="s">
        <v>44</v>
      </c>
      <c r="F490" s="4" t="s">
        <v>1798</v>
      </c>
      <c r="G490">
        <v>12</v>
      </c>
      <c r="H490">
        <v>56</v>
      </c>
      <c r="I490" s="4" t="s">
        <v>212</v>
      </c>
      <c r="J490" s="4" t="s">
        <v>213</v>
      </c>
      <c r="K490" s="4" t="s">
        <v>205</v>
      </c>
      <c r="L490" s="4" t="s">
        <v>214</v>
      </c>
      <c r="M490" s="4" t="s">
        <v>182</v>
      </c>
      <c r="N490" s="4" t="s">
        <v>182</v>
      </c>
      <c r="O490" s="4" t="s">
        <v>189</v>
      </c>
      <c r="P490">
        <v>-17992.18</v>
      </c>
      <c r="Q490" s="4" t="s">
        <v>30</v>
      </c>
    </row>
    <row r="491" spans="1:17" x14ac:dyDescent="0.2">
      <c r="A491" s="4" t="s">
        <v>675</v>
      </c>
      <c r="B491">
        <v>490</v>
      </c>
      <c r="C491" s="4" t="s">
        <v>26</v>
      </c>
      <c r="D491" s="4" t="s">
        <v>44</v>
      </c>
      <c r="E491" s="4" t="s">
        <v>47</v>
      </c>
      <c r="F491" s="4" t="s">
        <v>1834</v>
      </c>
      <c r="G491">
        <v>12</v>
      </c>
      <c r="H491">
        <v>57</v>
      </c>
      <c r="I491" s="4" t="s">
        <v>190</v>
      </c>
      <c r="J491" s="4" t="s">
        <v>191</v>
      </c>
      <c r="K491" s="4" t="s">
        <v>179</v>
      </c>
      <c r="L491" s="4" t="s">
        <v>180</v>
      </c>
      <c r="M491" s="4" t="s">
        <v>192</v>
      </c>
      <c r="N491" s="4" t="s">
        <v>182</v>
      </c>
      <c r="O491" s="4" t="s">
        <v>189</v>
      </c>
      <c r="P491">
        <v>-62060.73</v>
      </c>
      <c r="Q491" s="4" t="s">
        <v>30</v>
      </c>
    </row>
    <row r="492" spans="1:17" x14ac:dyDescent="0.2">
      <c r="A492" s="4" t="s">
        <v>676</v>
      </c>
      <c r="B492">
        <v>491</v>
      </c>
      <c r="C492" s="4" t="s">
        <v>26</v>
      </c>
      <c r="D492" s="4" t="s">
        <v>44</v>
      </c>
      <c r="E492" s="4" t="s">
        <v>47</v>
      </c>
      <c r="F492" s="4" t="s">
        <v>1834</v>
      </c>
      <c r="G492">
        <v>12</v>
      </c>
      <c r="H492">
        <v>57</v>
      </c>
      <c r="I492" s="4" t="s">
        <v>190</v>
      </c>
      <c r="J492" s="4" t="s">
        <v>191</v>
      </c>
      <c r="K492" s="4" t="s">
        <v>179</v>
      </c>
      <c r="L492" s="4" t="s">
        <v>180</v>
      </c>
      <c r="M492" s="4" t="s">
        <v>192</v>
      </c>
      <c r="N492" s="4" t="s">
        <v>182</v>
      </c>
      <c r="O492" s="4" t="s">
        <v>183</v>
      </c>
      <c r="P492">
        <v>10183.370000000001</v>
      </c>
      <c r="Q492" s="4" t="s">
        <v>30</v>
      </c>
    </row>
    <row r="493" spans="1:17" x14ac:dyDescent="0.2">
      <c r="A493" s="4" t="s">
        <v>677</v>
      </c>
      <c r="B493">
        <v>492</v>
      </c>
      <c r="C493" s="4" t="s">
        <v>26</v>
      </c>
      <c r="D493" s="4" t="s">
        <v>44</v>
      </c>
      <c r="E493" s="4" t="s">
        <v>47</v>
      </c>
      <c r="F493" s="4" t="s">
        <v>1834</v>
      </c>
      <c r="G493">
        <v>12</v>
      </c>
      <c r="H493">
        <v>57</v>
      </c>
      <c r="I493" s="4" t="s">
        <v>207</v>
      </c>
      <c r="J493" s="4" t="s">
        <v>208</v>
      </c>
      <c r="K493" s="4" t="s">
        <v>179</v>
      </c>
      <c r="L493" s="4" t="s">
        <v>180</v>
      </c>
      <c r="M493" s="4" t="s">
        <v>192</v>
      </c>
      <c r="N493" s="4" t="s">
        <v>182</v>
      </c>
      <c r="O493" s="4" t="s">
        <v>189</v>
      </c>
      <c r="P493">
        <v>-10183.370000000001</v>
      </c>
      <c r="Q493" s="4" t="s">
        <v>30</v>
      </c>
    </row>
    <row r="494" spans="1:17" x14ac:dyDescent="0.2">
      <c r="A494" s="4" t="s">
        <v>678</v>
      </c>
      <c r="B494">
        <v>493</v>
      </c>
      <c r="C494" s="4" t="s">
        <v>26</v>
      </c>
      <c r="D494" s="4" t="s">
        <v>44</v>
      </c>
      <c r="E494" s="4" t="s">
        <v>47</v>
      </c>
      <c r="F494" s="4" t="s">
        <v>1834</v>
      </c>
      <c r="G494">
        <v>12</v>
      </c>
      <c r="H494">
        <v>57</v>
      </c>
      <c r="I494" s="4" t="s">
        <v>207</v>
      </c>
      <c r="J494" s="4" t="s">
        <v>208</v>
      </c>
      <c r="K494" s="4" t="s">
        <v>179</v>
      </c>
      <c r="L494" s="4" t="s">
        <v>180</v>
      </c>
      <c r="M494" s="4" t="s">
        <v>192</v>
      </c>
      <c r="N494" s="4" t="s">
        <v>182</v>
      </c>
      <c r="O494" s="4" t="s">
        <v>183</v>
      </c>
      <c r="P494">
        <v>9416.99</v>
      </c>
      <c r="Q494" s="4" t="s">
        <v>30</v>
      </c>
    </row>
    <row r="495" spans="1:17" x14ac:dyDescent="0.2">
      <c r="A495" s="4" t="s">
        <v>679</v>
      </c>
      <c r="B495">
        <v>494</v>
      </c>
      <c r="C495" s="4" t="s">
        <v>26</v>
      </c>
      <c r="D495" s="4" t="s">
        <v>44</v>
      </c>
      <c r="E495" s="4" t="s">
        <v>47</v>
      </c>
      <c r="F495" s="4" t="s">
        <v>1834</v>
      </c>
      <c r="G495">
        <v>12</v>
      </c>
      <c r="H495">
        <v>57</v>
      </c>
      <c r="I495" s="4" t="s">
        <v>193</v>
      </c>
      <c r="J495" s="4" t="s">
        <v>194</v>
      </c>
      <c r="K495" s="4" t="s">
        <v>179</v>
      </c>
      <c r="L495" s="4" t="s">
        <v>186</v>
      </c>
      <c r="M495" s="4" t="s">
        <v>195</v>
      </c>
      <c r="N495" s="4" t="s">
        <v>196</v>
      </c>
      <c r="O495" s="4" t="s">
        <v>183</v>
      </c>
      <c r="P495">
        <v>61760.73</v>
      </c>
      <c r="Q495" s="4" t="s">
        <v>30</v>
      </c>
    </row>
    <row r="496" spans="1:17" x14ac:dyDescent="0.2">
      <c r="A496" s="4" t="s">
        <v>680</v>
      </c>
      <c r="B496">
        <v>495</v>
      </c>
      <c r="C496" s="4" t="s">
        <v>26</v>
      </c>
      <c r="D496" s="4" t="s">
        <v>44</v>
      </c>
      <c r="E496" s="4" t="s">
        <v>47</v>
      </c>
      <c r="F496" s="4" t="s">
        <v>1834</v>
      </c>
      <c r="G496">
        <v>12</v>
      </c>
      <c r="H496">
        <v>57</v>
      </c>
      <c r="I496" s="4" t="s">
        <v>209</v>
      </c>
      <c r="J496" s="4" t="s">
        <v>210</v>
      </c>
      <c r="K496" s="4" t="s">
        <v>205</v>
      </c>
      <c r="L496" s="4" t="s">
        <v>211</v>
      </c>
      <c r="M496" s="4" t="s">
        <v>182</v>
      </c>
      <c r="N496" s="4" t="s">
        <v>182</v>
      </c>
      <c r="O496" s="4" t="s">
        <v>183</v>
      </c>
      <c r="P496">
        <v>8024.57</v>
      </c>
      <c r="Q496" s="4" t="s">
        <v>30</v>
      </c>
    </row>
    <row r="497" spans="1:17" x14ac:dyDescent="0.2">
      <c r="A497" s="4" t="s">
        <v>681</v>
      </c>
      <c r="B497">
        <v>496</v>
      </c>
      <c r="C497" s="4" t="s">
        <v>26</v>
      </c>
      <c r="D497" s="4" t="s">
        <v>44</v>
      </c>
      <c r="E497" s="4" t="s">
        <v>47</v>
      </c>
      <c r="F497" s="4" t="s">
        <v>1834</v>
      </c>
      <c r="G497">
        <v>12</v>
      </c>
      <c r="H497">
        <v>57</v>
      </c>
      <c r="I497" s="4" t="s">
        <v>203</v>
      </c>
      <c r="J497" s="4" t="s">
        <v>204</v>
      </c>
      <c r="K497" s="4" t="s">
        <v>205</v>
      </c>
      <c r="L497" s="4" t="s">
        <v>206</v>
      </c>
      <c r="M497" s="4" t="s">
        <v>182</v>
      </c>
      <c r="N497" s="4" t="s">
        <v>182</v>
      </c>
      <c r="O497" s="4" t="s">
        <v>183</v>
      </c>
      <c r="P497">
        <v>300</v>
      </c>
      <c r="Q497" s="4" t="s">
        <v>30</v>
      </c>
    </row>
    <row r="498" spans="1:17" x14ac:dyDescent="0.2">
      <c r="A498" s="4" t="s">
        <v>682</v>
      </c>
      <c r="B498">
        <v>497</v>
      </c>
      <c r="C498" s="4" t="s">
        <v>26</v>
      </c>
      <c r="D498" s="4" t="s">
        <v>44</v>
      </c>
      <c r="E498" s="4" t="s">
        <v>47</v>
      </c>
      <c r="F498" s="4" t="s">
        <v>1834</v>
      </c>
      <c r="G498">
        <v>12</v>
      </c>
      <c r="H498">
        <v>57</v>
      </c>
      <c r="I498" s="4" t="s">
        <v>201</v>
      </c>
      <c r="J498" s="4" t="s">
        <v>202</v>
      </c>
      <c r="K498" s="4" t="s">
        <v>179</v>
      </c>
      <c r="L498" s="4" t="s">
        <v>180</v>
      </c>
      <c r="M498" s="4" t="s">
        <v>192</v>
      </c>
      <c r="N498" s="4" t="s">
        <v>182</v>
      </c>
      <c r="O498" s="4" t="s">
        <v>189</v>
      </c>
      <c r="P498">
        <v>-8024.57</v>
      </c>
      <c r="Q498" s="4" t="s">
        <v>30</v>
      </c>
    </row>
    <row r="499" spans="1:17" x14ac:dyDescent="0.2">
      <c r="A499" s="4" t="s">
        <v>683</v>
      </c>
      <c r="B499">
        <v>498</v>
      </c>
      <c r="C499" s="4" t="s">
        <v>26</v>
      </c>
      <c r="D499" s="4" t="s">
        <v>44</v>
      </c>
      <c r="E499" s="4" t="s">
        <v>47</v>
      </c>
      <c r="F499" s="4" t="s">
        <v>1834</v>
      </c>
      <c r="G499">
        <v>12</v>
      </c>
      <c r="H499">
        <v>57</v>
      </c>
      <c r="I499" s="4" t="s">
        <v>212</v>
      </c>
      <c r="J499" s="4" t="s">
        <v>213</v>
      </c>
      <c r="K499" s="4" t="s">
        <v>205</v>
      </c>
      <c r="L499" s="4" t="s">
        <v>214</v>
      </c>
      <c r="M499" s="4" t="s">
        <v>182</v>
      </c>
      <c r="N499" s="4" t="s">
        <v>182</v>
      </c>
      <c r="O499" s="4" t="s">
        <v>189</v>
      </c>
      <c r="P499">
        <v>-9416.99</v>
      </c>
      <c r="Q499" s="4" t="s">
        <v>30</v>
      </c>
    </row>
    <row r="500" spans="1:17" x14ac:dyDescent="0.2">
      <c r="A500" s="4" t="s">
        <v>684</v>
      </c>
      <c r="B500">
        <v>499</v>
      </c>
      <c r="C500" s="4" t="s">
        <v>26</v>
      </c>
      <c r="D500" s="4" t="s">
        <v>44</v>
      </c>
      <c r="E500" s="4" t="s">
        <v>50</v>
      </c>
      <c r="F500" s="4" t="s">
        <v>1858</v>
      </c>
      <c r="G500">
        <v>12</v>
      </c>
      <c r="H500">
        <v>58</v>
      </c>
      <c r="I500" s="4" t="s">
        <v>190</v>
      </c>
      <c r="J500" s="4" t="s">
        <v>191</v>
      </c>
      <c r="K500" s="4" t="s">
        <v>179</v>
      </c>
      <c r="L500" s="4" t="s">
        <v>180</v>
      </c>
      <c r="M500" s="4" t="s">
        <v>192</v>
      </c>
      <c r="N500" s="4" t="s">
        <v>182</v>
      </c>
      <c r="O500" s="4" t="s">
        <v>183</v>
      </c>
      <c r="P500">
        <v>19756.3</v>
      </c>
      <c r="Q500" s="4" t="s">
        <v>30</v>
      </c>
    </row>
    <row r="501" spans="1:17" x14ac:dyDescent="0.2">
      <c r="A501" s="4" t="s">
        <v>685</v>
      </c>
      <c r="B501">
        <v>500</v>
      </c>
      <c r="C501" s="4" t="s">
        <v>26</v>
      </c>
      <c r="D501" s="4" t="s">
        <v>44</v>
      </c>
      <c r="E501" s="4" t="s">
        <v>50</v>
      </c>
      <c r="F501" s="4" t="s">
        <v>1858</v>
      </c>
      <c r="G501">
        <v>12</v>
      </c>
      <c r="H501">
        <v>58</v>
      </c>
      <c r="I501" s="4" t="s">
        <v>207</v>
      </c>
      <c r="J501" s="4" t="s">
        <v>208</v>
      </c>
      <c r="K501" s="4" t="s">
        <v>179</v>
      </c>
      <c r="L501" s="4" t="s">
        <v>180</v>
      </c>
      <c r="M501" s="4" t="s">
        <v>192</v>
      </c>
      <c r="N501" s="4" t="s">
        <v>182</v>
      </c>
      <c r="O501" s="4" t="s">
        <v>189</v>
      </c>
      <c r="P501">
        <v>-19756.3</v>
      </c>
      <c r="Q501" s="4" t="s">
        <v>30</v>
      </c>
    </row>
    <row r="502" spans="1:17" x14ac:dyDescent="0.2">
      <c r="A502" s="4" t="s">
        <v>686</v>
      </c>
      <c r="B502">
        <v>501</v>
      </c>
      <c r="C502" s="4" t="s">
        <v>26</v>
      </c>
      <c r="D502" s="4" t="s">
        <v>44</v>
      </c>
      <c r="E502" s="4" t="s">
        <v>50</v>
      </c>
      <c r="F502" s="4" t="s">
        <v>1858</v>
      </c>
      <c r="G502">
        <v>12</v>
      </c>
      <c r="H502">
        <v>58</v>
      </c>
      <c r="I502" s="4" t="s">
        <v>207</v>
      </c>
      <c r="J502" s="4" t="s">
        <v>208</v>
      </c>
      <c r="K502" s="4" t="s">
        <v>179</v>
      </c>
      <c r="L502" s="4" t="s">
        <v>180</v>
      </c>
      <c r="M502" s="4" t="s">
        <v>192</v>
      </c>
      <c r="N502" s="4" t="s">
        <v>182</v>
      </c>
      <c r="O502" s="4" t="s">
        <v>183</v>
      </c>
      <c r="P502">
        <v>16581.29</v>
      </c>
      <c r="Q502" s="4" t="s">
        <v>30</v>
      </c>
    </row>
    <row r="503" spans="1:17" x14ac:dyDescent="0.2">
      <c r="A503" s="4" t="s">
        <v>687</v>
      </c>
      <c r="B503">
        <v>502</v>
      </c>
      <c r="C503" s="4" t="s">
        <v>26</v>
      </c>
      <c r="D503" s="4" t="s">
        <v>44</v>
      </c>
      <c r="E503" s="4" t="s">
        <v>50</v>
      </c>
      <c r="F503" s="4" t="s">
        <v>1858</v>
      </c>
      <c r="G503">
        <v>12</v>
      </c>
      <c r="H503">
        <v>58</v>
      </c>
      <c r="I503" s="4" t="s">
        <v>209</v>
      </c>
      <c r="J503" s="4" t="s">
        <v>210</v>
      </c>
      <c r="K503" s="4" t="s">
        <v>205</v>
      </c>
      <c r="L503" s="4" t="s">
        <v>211</v>
      </c>
      <c r="M503" s="4" t="s">
        <v>182</v>
      </c>
      <c r="N503" s="4" t="s">
        <v>182</v>
      </c>
      <c r="O503" s="4" t="s">
        <v>183</v>
      </c>
      <c r="P503">
        <v>14300.33</v>
      </c>
      <c r="Q503" s="4" t="s">
        <v>30</v>
      </c>
    </row>
    <row r="504" spans="1:17" x14ac:dyDescent="0.2">
      <c r="A504" s="4" t="s">
        <v>688</v>
      </c>
      <c r="B504">
        <v>503</v>
      </c>
      <c r="C504" s="4" t="s">
        <v>26</v>
      </c>
      <c r="D504" s="4" t="s">
        <v>44</v>
      </c>
      <c r="E504" s="4" t="s">
        <v>50</v>
      </c>
      <c r="F504" s="4" t="s">
        <v>1858</v>
      </c>
      <c r="G504">
        <v>12</v>
      </c>
      <c r="H504">
        <v>58</v>
      </c>
      <c r="I504" s="4" t="s">
        <v>201</v>
      </c>
      <c r="J504" s="4" t="s">
        <v>202</v>
      </c>
      <c r="K504" s="4" t="s">
        <v>179</v>
      </c>
      <c r="L504" s="4" t="s">
        <v>180</v>
      </c>
      <c r="M504" s="4" t="s">
        <v>192</v>
      </c>
      <c r="N504" s="4" t="s">
        <v>182</v>
      </c>
      <c r="O504" s="4" t="s">
        <v>189</v>
      </c>
      <c r="P504">
        <v>-14300.33</v>
      </c>
      <c r="Q504" s="4" t="s">
        <v>30</v>
      </c>
    </row>
    <row r="505" spans="1:17" x14ac:dyDescent="0.2">
      <c r="A505" s="4" t="s">
        <v>689</v>
      </c>
      <c r="B505">
        <v>504</v>
      </c>
      <c r="C505" s="4" t="s">
        <v>26</v>
      </c>
      <c r="D505" s="4" t="s">
        <v>44</v>
      </c>
      <c r="E505" s="4" t="s">
        <v>50</v>
      </c>
      <c r="F505" s="4" t="s">
        <v>1858</v>
      </c>
      <c r="G505">
        <v>12</v>
      </c>
      <c r="H505">
        <v>58</v>
      </c>
      <c r="I505" s="4" t="s">
        <v>212</v>
      </c>
      <c r="J505" s="4" t="s">
        <v>213</v>
      </c>
      <c r="K505" s="4" t="s">
        <v>205</v>
      </c>
      <c r="L505" s="4" t="s">
        <v>214</v>
      </c>
      <c r="M505" s="4" t="s">
        <v>182</v>
      </c>
      <c r="N505" s="4" t="s">
        <v>182</v>
      </c>
      <c r="O505" s="4" t="s">
        <v>189</v>
      </c>
      <c r="P505">
        <v>-16581.29</v>
      </c>
      <c r="Q505" s="4" t="s">
        <v>30</v>
      </c>
    </row>
    <row r="506" spans="1:17" x14ac:dyDescent="0.2">
      <c r="A506" s="4" t="s">
        <v>690</v>
      </c>
      <c r="B506">
        <v>505</v>
      </c>
      <c r="C506" s="4" t="s">
        <v>26</v>
      </c>
      <c r="D506" s="4" t="s">
        <v>44</v>
      </c>
      <c r="E506" s="4" t="s">
        <v>53</v>
      </c>
      <c r="F506" s="4" t="s">
        <v>1859</v>
      </c>
      <c r="G506">
        <v>12</v>
      </c>
      <c r="H506">
        <v>59</v>
      </c>
      <c r="I506" s="4" t="s">
        <v>190</v>
      </c>
      <c r="J506" s="4" t="s">
        <v>191</v>
      </c>
      <c r="K506" s="4" t="s">
        <v>179</v>
      </c>
      <c r="L506" s="4" t="s">
        <v>180</v>
      </c>
      <c r="M506" s="4" t="s">
        <v>192</v>
      </c>
      <c r="N506" s="4" t="s">
        <v>182</v>
      </c>
      <c r="O506" s="4" t="s">
        <v>183</v>
      </c>
      <c r="P506">
        <v>14391.71</v>
      </c>
      <c r="Q506" s="4" t="s">
        <v>30</v>
      </c>
    </row>
    <row r="507" spans="1:17" x14ac:dyDescent="0.2">
      <c r="A507" s="4" t="s">
        <v>691</v>
      </c>
      <c r="B507">
        <v>506</v>
      </c>
      <c r="C507" s="4" t="s">
        <v>26</v>
      </c>
      <c r="D507" s="4" t="s">
        <v>44</v>
      </c>
      <c r="E507" s="4" t="s">
        <v>53</v>
      </c>
      <c r="F507" s="4" t="s">
        <v>1859</v>
      </c>
      <c r="G507">
        <v>12</v>
      </c>
      <c r="H507">
        <v>59</v>
      </c>
      <c r="I507" s="4" t="s">
        <v>207</v>
      </c>
      <c r="J507" s="4" t="s">
        <v>208</v>
      </c>
      <c r="K507" s="4" t="s">
        <v>179</v>
      </c>
      <c r="L507" s="4" t="s">
        <v>180</v>
      </c>
      <c r="M507" s="4" t="s">
        <v>192</v>
      </c>
      <c r="N507" s="4" t="s">
        <v>182</v>
      </c>
      <c r="O507" s="4" t="s">
        <v>189</v>
      </c>
      <c r="P507">
        <v>-14391.71</v>
      </c>
      <c r="Q507" s="4" t="s">
        <v>30</v>
      </c>
    </row>
    <row r="508" spans="1:17" x14ac:dyDescent="0.2">
      <c r="A508" s="4" t="s">
        <v>692</v>
      </c>
      <c r="B508">
        <v>507</v>
      </c>
      <c r="C508" s="4" t="s">
        <v>26</v>
      </c>
      <c r="D508" s="4" t="s">
        <v>44</v>
      </c>
      <c r="E508" s="4" t="s">
        <v>53</v>
      </c>
      <c r="F508" s="4" t="s">
        <v>1859</v>
      </c>
      <c r="G508">
        <v>12</v>
      </c>
      <c r="H508">
        <v>59</v>
      </c>
      <c r="I508" s="4" t="s">
        <v>207</v>
      </c>
      <c r="J508" s="4" t="s">
        <v>208</v>
      </c>
      <c r="K508" s="4" t="s">
        <v>179</v>
      </c>
      <c r="L508" s="4" t="s">
        <v>180</v>
      </c>
      <c r="M508" s="4" t="s">
        <v>192</v>
      </c>
      <c r="N508" s="4" t="s">
        <v>182</v>
      </c>
      <c r="O508" s="4" t="s">
        <v>183</v>
      </c>
      <c r="P508">
        <v>17578.8</v>
      </c>
      <c r="Q508" s="4" t="s">
        <v>30</v>
      </c>
    </row>
    <row r="509" spans="1:17" x14ac:dyDescent="0.2">
      <c r="A509" s="4" t="s">
        <v>693</v>
      </c>
      <c r="B509">
        <v>508</v>
      </c>
      <c r="C509" s="4" t="s">
        <v>26</v>
      </c>
      <c r="D509" s="4" t="s">
        <v>44</v>
      </c>
      <c r="E509" s="4" t="s">
        <v>53</v>
      </c>
      <c r="F509" s="4" t="s">
        <v>1859</v>
      </c>
      <c r="G509">
        <v>12</v>
      </c>
      <c r="H509">
        <v>59</v>
      </c>
      <c r="I509" s="4" t="s">
        <v>209</v>
      </c>
      <c r="J509" s="4" t="s">
        <v>210</v>
      </c>
      <c r="K509" s="4" t="s">
        <v>205</v>
      </c>
      <c r="L509" s="4" t="s">
        <v>211</v>
      </c>
      <c r="M509" s="4" t="s">
        <v>182</v>
      </c>
      <c r="N509" s="4" t="s">
        <v>182</v>
      </c>
      <c r="O509" s="4" t="s">
        <v>183</v>
      </c>
      <c r="P509">
        <v>15279.41</v>
      </c>
      <c r="Q509" s="4" t="s">
        <v>30</v>
      </c>
    </row>
    <row r="510" spans="1:17" x14ac:dyDescent="0.2">
      <c r="A510" s="4" t="s">
        <v>694</v>
      </c>
      <c r="B510">
        <v>509</v>
      </c>
      <c r="C510" s="4" t="s">
        <v>26</v>
      </c>
      <c r="D510" s="4" t="s">
        <v>44</v>
      </c>
      <c r="E510" s="4" t="s">
        <v>53</v>
      </c>
      <c r="F510" s="4" t="s">
        <v>1859</v>
      </c>
      <c r="G510">
        <v>12</v>
      </c>
      <c r="H510">
        <v>59</v>
      </c>
      <c r="I510" s="4" t="s">
        <v>201</v>
      </c>
      <c r="J510" s="4" t="s">
        <v>202</v>
      </c>
      <c r="K510" s="4" t="s">
        <v>179</v>
      </c>
      <c r="L510" s="4" t="s">
        <v>180</v>
      </c>
      <c r="M510" s="4" t="s">
        <v>192</v>
      </c>
      <c r="N510" s="4" t="s">
        <v>182</v>
      </c>
      <c r="O510" s="4" t="s">
        <v>189</v>
      </c>
      <c r="P510">
        <v>-15279.41</v>
      </c>
      <c r="Q510" s="4" t="s">
        <v>30</v>
      </c>
    </row>
    <row r="511" spans="1:17" x14ac:dyDescent="0.2">
      <c r="A511" s="4" t="s">
        <v>695</v>
      </c>
      <c r="B511">
        <v>510</v>
      </c>
      <c r="C511" s="4" t="s">
        <v>26</v>
      </c>
      <c r="D511" s="4" t="s">
        <v>44</v>
      </c>
      <c r="E511" s="4" t="s">
        <v>53</v>
      </c>
      <c r="F511" s="4" t="s">
        <v>1859</v>
      </c>
      <c r="G511">
        <v>12</v>
      </c>
      <c r="H511">
        <v>59</v>
      </c>
      <c r="I511" s="4" t="s">
        <v>212</v>
      </c>
      <c r="J511" s="4" t="s">
        <v>213</v>
      </c>
      <c r="K511" s="4" t="s">
        <v>205</v>
      </c>
      <c r="L511" s="4" t="s">
        <v>214</v>
      </c>
      <c r="M511" s="4" t="s">
        <v>182</v>
      </c>
      <c r="N511" s="4" t="s">
        <v>182</v>
      </c>
      <c r="O511" s="4" t="s">
        <v>189</v>
      </c>
      <c r="P511">
        <v>-17578.8</v>
      </c>
      <c r="Q511" s="4" t="s">
        <v>30</v>
      </c>
    </row>
    <row r="512" spans="1:17" x14ac:dyDescent="0.2">
      <c r="A512" s="4" t="s">
        <v>696</v>
      </c>
      <c r="B512">
        <v>511</v>
      </c>
      <c r="C512" s="4" t="s">
        <v>26</v>
      </c>
      <c r="D512" s="4" t="s">
        <v>44</v>
      </c>
      <c r="E512" s="4" t="s">
        <v>56</v>
      </c>
      <c r="F512" s="4" t="s">
        <v>1922</v>
      </c>
      <c r="G512">
        <v>12</v>
      </c>
      <c r="H512">
        <v>60</v>
      </c>
      <c r="I512" s="4" t="s">
        <v>190</v>
      </c>
      <c r="J512" s="4" t="s">
        <v>191</v>
      </c>
      <c r="K512" s="4" t="s">
        <v>179</v>
      </c>
      <c r="L512" s="4" t="s">
        <v>180</v>
      </c>
      <c r="M512" s="4" t="s">
        <v>192</v>
      </c>
      <c r="N512" s="4" t="s">
        <v>182</v>
      </c>
      <c r="O512" s="4" t="s">
        <v>189</v>
      </c>
      <c r="P512">
        <v>-300</v>
      </c>
      <c r="Q512" s="4" t="s">
        <v>30</v>
      </c>
    </row>
    <row r="513" spans="1:17" x14ac:dyDescent="0.2">
      <c r="A513" s="4" t="s">
        <v>697</v>
      </c>
      <c r="B513">
        <v>512</v>
      </c>
      <c r="C513" s="4" t="s">
        <v>26</v>
      </c>
      <c r="D513" s="4" t="s">
        <v>44</v>
      </c>
      <c r="E513" s="4" t="s">
        <v>56</v>
      </c>
      <c r="F513" s="4" t="s">
        <v>1922</v>
      </c>
      <c r="G513">
        <v>12</v>
      </c>
      <c r="H513">
        <v>60</v>
      </c>
      <c r="I513" s="4" t="s">
        <v>190</v>
      </c>
      <c r="J513" s="4" t="s">
        <v>191</v>
      </c>
      <c r="K513" s="4" t="s">
        <v>179</v>
      </c>
      <c r="L513" s="4" t="s">
        <v>180</v>
      </c>
      <c r="M513" s="4" t="s">
        <v>192</v>
      </c>
      <c r="N513" s="4" t="s">
        <v>182</v>
      </c>
      <c r="O513" s="4" t="s">
        <v>183</v>
      </c>
      <c r="P513">
        <v>17992.18</v>
      </c>
      <c r="Q513" s="4" t="s">
        <v>30</v>
      </c>
    </row>
    <row r="514" spans="1:17" x14ac:dyDescent="0.2">
      <c r="A514" s="4" t="s">
        <v>698</v>
      </c>
      <c r="B514">
        <v>513</v>
      </c>
      <c r="C514" s="4" t="s">
        <v>26</v>
      </c>
      <c r="D514" s="4" t="s">
        <v>44</v>
      </c>
      <c r="E514" s="4" t="s">
        <v>56</v>
      </c>
      <c r="F514" s="4" t="s">
        <v>1922</v>
      </c>
      <c r="G514">
        <v>12</v>
      </c>
      <c r="H514">
        <v>60</v>
      </c>
      <c r="I514" s="4" t="s">
        <v>207</v>
      </c>
      <c r="J514" s="4" t="s">
        <v>208</v>
      </c>
      <c r="K514" s="4" t="s">
        <v>179</v>
      </c>
      <c r="L514" s="4" t="s">
        <v>180</v>
      </c>
      <c r="M514" s="4" t="s">
        <v>192</v>
      </c>
      <c r="N514" s="4" t="s">
        <v>182</v>
      </c>
      <c r="O514" s="4" t="s">
        <v>189</v>
      </c>
      <c r="P514">
        <v>-17992.18</v>
      </c>
      <c r="Q514" s="4" t="s">
        <v>30</v>
      </c>
    </row>
    <row r="515" spans="1:17" x14ac:dyDescent="0.2">
      <c r="A515" s="4" t="s">
        <v>699</v>
      </c>
      <c r="B515">
        <v>514</v>
      </c>
      <c r="C515" s="4" t="s">
        <v>26</v>
      </c>
      <c r="D515" s="4" t="s">
        <v>44</v>
      </c>
      <c r="E515" s="4" t="s">
        <v>56</v>
      </c>
      <c r="F515" s="4" t="s">
        <v>1922</v>
      </c>
      <c r="G515">
        <v>12</v>
      </c>
      <c r="H515">
        <v>60</v>
      </c>
      <c r="I515" s="4" t="s">
        <v>207</v>
      </c>
      <c r="J515" s="4" t="s">
        <v>208</v>
      </c>
      <c r="K515" s="4" t="s">
        <v>179</v>
      </c>
      <c r="L515" s="4" t="s">
        <v>180</v>
      </c>
      <c r="M515" s="4" t="s">
        <v>192</v>
      </c>
      <c r="N515" s="4" t="s">
        <v>182</v>
      </c>
      <c r="O515" s="4" t="s">
        <v>183</v>
      </c>
      <c r="P515">
        <v>21987.54</v>
      </c>
      <c r="Q515" s="4" t="s">
        <v>30</v>
      </c>
    </row>
    <row r="516" spans="1:17" x14ac:dyDescent="0.2">
      <c r="A516" s="4" t="s">
        <v>700</v>
      </c>
      <c r="B516">
        <v>515</v>
      </c>
      <c r="C516" s="4" t="s">
        <v>26</v>
      </c>
      <c r="D516" s="4" t="s">
        <v>44</v>
      </c>
      <c r="E516" s="4" t="s">
        <v>56</v>
      </c>
      <c r="F516" s="4" t="s">
        <v>1922</v>
      </c>
      <c r="G516">
        <v>12</v>
      </c>
      <c r="H516">
        <v>60</v>
      </c>
      <c r="I516" s="4" t="s">
        <v>193</v>
      </c>
      <c r="J516" s="4" t="s">
        <v>194</v>
      </c>
      <c r="K516" s="4" t="s">
        <v>179</v>
      </c>
      <c r="L516" s="4" t="s">
        <v>186</v>
      </c>
      <c r="M516" s="4" t="s">
        <v>195</v>
      </c>
      <c r="N516" s="4" t="s">
        <v>196</v>
      </c>
      <c r="O516" s="4" t="s">
        <v>189</v>
      </c>
      <c r="P516">
        <v>-53628.12</v>
      </c>
      <c r="Q516" s="4" t="s">
        <v>30</v>
      </c>
    </row>
    <row r="517" spans="1:17" x14ac:dyDescent="0.2">
      <c r="A517" s="4" t="s">
        <v>701</v>
      </c>
      <c r="B517">
        <v>516</v>
      </c>
      <c r="C517" s="4" t="s">
        <v>26</v>
      </c>
      <c r="D517" s="4" t="s">
        <v>44</v>
      </c>
      <c r="E517" s="4" t="s">
        <v>56</v>
      </c>
      <c r="F517" s="4" t="s">
        <v>1922</v>
      </c>
      <c r="G517">
        <v>12</v>
      </c>
      <c r="H517">
        <v>60</v>
      </c>
      <c r="I517" s="4" t="s">
        <v>197</v>
      </c>
      <c r="J517" s="4" t="s">
        <v>198</v>
      </c>
      <c r="K517" s="4" t="s">
        <v>179</v>
      </c>
      <c r="L517" s="4" t="s">
        <v>186</v>
      </c>
      <c r="M517" s="4" t="s">
        <v>195</v>
      </c>
      <c r="N517" s="4" t="s">
        <v>196</v>
      </c>
      <c r="O517" s="4" t="s">
        <v>189</v>
      </c>
      <c r="P517">
        <v>-52628.12</v>
      </c>
      <c r="Q517" s="4" t="s">
        <v>30</v>
      </c>
    </row>
    <row r="518" spans="1:17" x14ac:dyDescent="0.2">
      <c r="A518" s="4" t="s">
        <v>702</v>
      </c>
      <c r="B518">
        <v>517</v>
      </c>
      <c r="C518" s="4" t="s">
        <v>26</v>
      </c>
      <c r="D518" s="4" t="s">
        <v>44</v>
      </c>
      <c r="E518" s="4" t="s">
        <v>56</v>
      </c>
      <c r="F518" s="4" t="s">
        <v>1922</v>
      </c>
      <c r="G518">
        <v>12</v>
      </c>
      <c r="H518">
        <v>60</v>
      </c>
      <c r="I518" s="4" t="s">
        <v>197</v>
      </c>
      <c r="J518" s="4" t="s">
        <v>198</v>
      </c>
      <c r="K518" s="4" t="s">
        <v>179</v>
      </c>
      <c r="L518" s="4" t="s">
        <v>186</v>
      </c>
      <c r="M518" s="4" t="s">
        <v>195</v>
      </c>
      <c r="N518" s="4" t="s">
        <v>196</v>
      </c>
      <c r="O518" s="4" t="s">
        <v>183</v>
      </c>
      <c r="P518">
        <v>52628.12</v>
      </c>
      <c r="Q518" s="4" t="s">
        <v>30</v>
      </c>
    </row>
    <row r="519" spans="1:17" x14ac:dyDescent="0.2">
      <c r="A519" s="4" t="s">
        <v>703</v>
      </c>
      <c r="B519">
        <v>518</v>
      </c>
      <c r="C519" s="4" t="s">
        <v>26</v>
      </c>
      <c r="D519" s="4" t="s">
        <v>44</v>
      </c>
      <c r="E519" s="4" t="s">
        <v>56</v>
      </c>
      <c r="F519" s="4" t="s">
        <v>1922</v>
      </c>
      <c r="G519">
        <v>12</v>
      </c>
      <c r="H519">
        <v>60</v>
      </c>
      <c r="I519" s="4" t="s">
        <v>199</v>
      </c>
      <c r="J519" s="4" t="s">
        <v>200</v>
      </c>
      <c r="K519" s="4" t="s">
        <v>179</v>
      </c>
      <c r="L519" s="4" t="s">
        <v>186</v>
      </c>
      <c r="M519" s="4" t="s">
        <v>195</v>
      </c>
      <c r="N519" s="4" t="s">
        <v>196</v>
      </c>
      <c r="O519" s="4" t="s">
        <v>189</v>
      </c>
      <c r="P519">
        <v>-1000</v>
      </c>
      <c r="Q519" s="4" t="s">
        <v>30</v>
      </c>
    </row>
    <row r="520" spans="1:17" x14ac:dyDescent="0.2">
      <c r="A520" s="4" t="s">
        <v>704</v>
      </c>
      <c r="B520">
        <v>519</v>
      </c>
      <c r="C520" s="4" t="s">
        <v>26</v>
      </c>
      <c r="D520" s="4" t="s">
        <v>44</v>
      </c>
      <c r="E520" s="4" t="s">
        <v>56</v>
      </c>
      <c r="F520" s="4" t="s">
        <v>1922</v>
      </c>
      <c r="G520">
        <v>12</v>
      </c>
      <c r="H520">
        <v>60</v>
      </c>
      <c r="I520" s="4" t="s">
        <v>199</v>
      </c>
      <c r="J520" s="4" t="s">
        <v>200</v>
      </c>
      <c r="K520" s="4" t="s">
        <v>179</v>
      </c>
      <c r="L520" s="4" t="s">
        <v>186</v>
      </c>
      <c r="M520" s="4" t="s">
        <v>195</v>
      </c>
      <c r="N520" s="4" t="s">
        <v>196</v>
      </c>
      <c r="O520" s="4" t="s">
        <v>183</v>
      </c>
      <c r="P520">
        <v>1000</v>
      </c>
      <c r="Q520" s="4" t="s">
        <v>30</v>
      </c>
    </row>
    <row r="521" spans="1:17" x14ac:dyDescent="0.2">
      <c r="A521" s="4" t="s">
        <v>705</v>
      </c>
      <c r="B521">
        <v>520</v>
      </c>
      <c r="C521" s="4" t="s">
        <v>26</v>
      </c>
      <c r="D521" s="4" t="s">
        <v>44</v>
      </c>
      <c r="E521" s="4" t="s">
        <v>56</v>
      </c>
      <c r="F521" s="4" t="s">
        <v>1922</v>
      </c>
      <c r="G521">
        <v>12</v>
      </c>
      <c r="H521">
        <v>60</v>
      </c>
      <c r="I521" s="4" t="s">
        <v>209</v>
      </c>
      <c r="J521" s="4" t="s">
        <v>210</v>
      </c>
      <c r="K521" s="4" t="s">
        <v>205</v>
      </c>
      <c r="L521" s="4" t="s">
        <v>211</v>
      </c>
      <c r="M521" s="4" t="s">
        <v>182</v>
      </c>
      <c r="N521" s="4" t="s">
        <v>182</v>
      </c>
      <c r="O521" s="4" t="s">
        <v>183</v>
      </c>
      <c r="P521">
        <v>19696.060000000001</v>
      </c>
      <c r="Q521" s="4" t="s">
        <v>30</v>
      </c>
    </row>
    <row r="522" spans="1:17" x14ac:dyDescent="0.2">
      <c r="A522" s="4" t="s">
        <v>706</v>
      </c>
      <c r="B522">
        <v>521</v>
      </c>
      <c r="C522" s="4" t="s">
        <v>26</v>
      </c>
      <c r="D522" s="4" t="s">
        <v>44</v>
      </c>
      <c r="E522" s="4" t="s">
        <v>56</v>
      </c>
      <c r="F522" s="4" t="s">
        <v>1922</v>
      </c>
      <c r="G522">
        <v>12</v>
      </c>
      <c r="H522">
        <v>60</v>
      </c>
      <c r="I522" s="4" t="s">
        <v>203</v>
      </c>
      <c r="J522" s="4" t="s">
        <v>204</v>
      </c>
      <c r="K522" s="4" t="s">
        <v>205</v>
      </c>
      <c r="L522" s="4" t="s">
        <v>206</v>
      </c>
      <c r="M522" s="4" t="s">
        <v>182</v>
      </c>
      <c r="N522" s="4" t="s">
        <v>182</v>
      </c>
      <c r="O522" s="4" t="s">
        <v>183</v>
      </c>
      <c r="P522">
        <v>300</v>
      </c>
      <c r="Q522" s="4" t="s">
        <v>30</v>
      </c>
    </row>
    <row r="523" spans="1:17" x14ac:dyDescent="0.2">
      <c r="A523" s="4" t="s">
        <v>707</v>
      </c>
      <c r="B523">
        <v>522</v>
      </c>
      <c r="C523" s="4" t="s">
        <v>26</v>
      </c>
      <c r="D523" s="4" t="s">
        <v>44</v>
      </c>
      <c r="E523" s="4" t="s">
        <v>56</v>
      </c>
      <c r="F523" s="4" t="s">
        <v>1922</v>
      </c>
      <c r="G523">
        <v>12</v>
      </c>
      <c r="H523">
        <v>60</v>
      </c>
      <c r="I523" s="4" t="s">
        <v>201</v>
      </c>
      <c r="J523" s="4" t="s">
        <v>202</v>
      </c>
      <c r="K523" s="4" t="s">
        <v>179</v>
      </c>
      <c r="L523" s="4" t="s">
        <v>180</v>
      </c>
      <c r="M523" s="4" t="s">
        <v>192</v>
      </c>
      <c r="N523" s="4" t="s">
        <v>182</v>
      </c>
      <c r="O523" s="4" t="s">
        <v>189</v>
      </c>
      <c r="P523">
        <v>-19696.07</v>
      </c>
      <c r="Q523" s="4" t="s">
        <v>30</v>
      </c>
    </row>
    <row r="524" spans="1:17" x14ac:dyDescent="0.2">
      <c r="A524" s="4" t="s">
        <v>708</v>
      </c>
      <c r="B524">
        <v>523</v>
      </c>
      <c r="C524" s="4" t="s">
        <v>26</v>
      </c>
      <c r="D524" s="4" t="s">
        <v>44</v>
      </c>
      <c r="E524" s="4" t="s">
        <v>56</v>
      </c>
      <c r="F524" s="4" t="s">
        <v>1922</v>
      </c>
      <c r="G524">
        <v>12</v>
      </c>
      <c r="H524">
        <v>60</v>
      </c>
      <c r="I524" s="4" t="s">
        <v>201</v>
      </c>
      <c r="J524" s="4" t="s">
        <v>202</v>
      </c>
      <c r="K524" s="4" t="s">
        <v>179</v>
      </c>
      <c r="L524" s="4" t="s">
        <v>180</v>
      </c>
      <c r="M524" s="4" t="s">
        <v>192</v>
      </c>
      <c r="N524" s="4" t="s">
        <v>182</v>
      </c>
      <c r="O524" s="4" t="s">
        <v>183</v>
      </c>
      <c r="P524">
        <v>53628.13</v>
      </c>
      <c r="Q524" s="4" t="s">
        <v>30</v>
      </c>
    </row>
    <row r="525" spans="1:17" x14ac:dyDescent="0.2">
      <c r="A525" s="4" t="s">
        <v>709</v>
      </c>
      <c r="B525">
        <v>524</v>
      </c>
      <c r="C525" s="4" t="s">
        <v>26</v>
      </c>
      <c r="D525" s="4" t="s">
        <v>44</v>
      </c>
      <c r="E525" s="4" t="s">
        <v>56</v>
      </c>
      <c r="F525" s="4" t="s">
        <v>1922</v>
      </c>
      <c r="G525">
        <v>12</v>
      </c>
      <c r="H525">
        <v>60</v>
      </c>
      <c r="I525" s="4" t="s">
        <v>212</v>
      </c>
      <c r="J525" s="4" t="s">
        <v>213</v>
      </c>
      <c r="K525" s="4" t="s">
        <v>205</v>
      </c>
      <c r="L525" s="4" t="s">
        <v>214</v>
      </c>
      <c r="M525" s="4" t="s">
        <v>182</v>
      </c>
      <c r="N525" s="4" t="s">
        <v>182</v>
      </c>
      <c r="O525" s="4" t="s">
        <v>189</v>
      </c>
      <c r="P525">
        <v>-21987.54</v>
      </c>
      <c r="Q525" s="4" t="s">
        <v>30</v>
      </c>
    </row>
    <row r="526" spans="1:17" x14ac:dyDescent="0.2">
      <c r="A526" s="4" t="s">
        <v>710</v>
      </c>
      <c r="B526">
        <v>525</v>
      </c>
      <c r="C526" s="4" t="s">
        <v>26</v>
      </c>
      <c r="D526" s="4" t="s">
        <v>47</v>
      </c>
      <c r="E526" s="4" t="s">
        <v>27</v>
      </c>
      <c r="F526" s="4" t="s">
        <v>1953</v>
      </c>
      <c r="G526">
        <v>13</v>
      </c>
      <c r="H526">
        <v>61</v>
      </c>
      <c r="I526" s="4" t="s">
        <v>190</v>
      </c>
      <c r="J526" s="4" t="s">
        <v>191</v>
      </c>
      <c r="K526" s="4" t="s">
        <v>179</v>
      </c>
      <c r="L526" s="4" t="s">
        <v>180</v>
      </c>
      <c r="M526" s="4" t="s">
        <v>192</v>
      </c>
      <c r="N526" s="4" t="s">
        <v>182</v>
      </c>
      <c r="O526" s="4" t="s">
        <v>189</v>
      </c>
      <c r="P526">
        <v>-76521.06</v>
      </c>
      <c r="Q526" s="4" t="s">
        <v>30</v>
      </c>
    </row>
    <row r="527" spans="1:17" x14ac:dyDescent="0.2">
      <c r="A527" s="4" t="s">
        <v>711</v>
      </c>
      <c r="B527">
        <v>526</v>
      </c>
      <c r="C527" s="4" t="s">
        <v>26</v>
      </c>
      <c r="D527" s="4" t="s">
        <v>47</v>
      </c>
      <c r="E527" s="4" t="s">
        <v>27</v>
      </c>
      <c r="F527" s="4" t="s">
        <v>1953</v>
      </c>
      <c r="G527">
        <v>13</v>
      </c>
      <c r="H527">
        <v>61</v>
      </c>
      <c r="I527" s="4" t="s">
        <v>190</v>
      </c>
      <c r="J527" s="4" t="s">
        <v>191</v>
      </c>
      <c r="K527" s="4" t="s">
        <v>179</v>
      </c>
      <c r="L527" s="4" t="s">
        <v>180</v>
      </c>
      <c r="M527" s="4" t="s">
        <v>192</v>
      </c>
      <c r="N527" s="4" t="s">
        <v>182</v>
      </c>
      <c r="O527" s="4" t="s">
        <v>183</v>
      </c>
      <c r="P527">
        <v>9416.99</v>
      </c>
      <c r="Q527" s="4" t="s">
        <v>30</v>
      </c>
    </row>
    <row r="528" spans="1:17" x14ac:dyDescent="0.2">
      <c r="A528" s="4" t="s">
        <v>712</v>
      </c>
      <c r="B528">
        <v>527</v>
      </c>
      <c r="C528" s="4" t="s">
        <v>26</v>
      </c>
      <c r="D528" s="4" t="s">
        <v>47</v>
      </c>
      <c r="E528" s="4" t="s">
        <v>27</v>
      </c>
      <c r="F528" s="4" t="s">
        <v>1953</v>
      </c>
      <c r="G528">
        <v>13</v>
      </c>
      <c r="H528">
        <v>61</v>
      </c>
      <c r="I528" s="4" t="s">
        <v>207</v>
      </c>
      <c r="J528" s="4" t="s">
        <v>208</v>
      </c>
      <c r="K528" s="4" t="s">
        <v>179</v>
      </c>
      <c r="L528" s="4" t="s">
        <v>180</v>
      </c>
      <c r="M528" s="4" t="s">
        <v>192</v>
      </c>
      <c r="N528" s="4" t="s">
        <v>182</v>
      </c>
      <c r="O528" s="4" t="s">
        <v>189</v>
      </c>
      <c r="P528">
        <v>-9416.99</v>
      </c>
      <c r="Q528" s="4" t="s">
        <v>30</v>
      </c>
    </row>
    <row r="529" spans="1:17" x14ac:dyDescent="0.2">
      <c r="A529" s="4" t="s">
        <v>713</v>
      </c>
      <c r="B529">
        <v>528</v>
      </c>
      <c r="C529" s="4" t="s">
        <v>26</v>
      </c>
      <c r="D529" s="4" t="s">
        <v>47</v>
      </c>
      <c r="E529" s="4" t="s">
        <v>27</v>
      </c>
      <c r="F529" s="4" t="s">
        <v>1953</v>
      </c>
      <c r="G529">
        <v>13</v>
      </c>
      <c r="H529">
        <v>61</v>
      </c>
      <c r="I529" s="4" t="s">
        <v>207</v>
      </c>
      <c r="J529" s="4" t="s">
        <v>208</v>
      </c>
      <c r="K529" s="4" t="s">
        <v>179</v>
      </c>
      <c r="L529" s="4" t="s">
        <v>180</v>
      </c>
      <c r="M529" s="4" t="s">
        <v>192</v>
      </c>
      <c r="N529" s="4" t="s">
        <v>182</v>
      </c>
      <c r="O529" s="4" t="s">
        <v>183</v>
      </c>
      <c r="P529">
        <v>14283.78</v>
      </c>
      <c r="Q529" s="4" t="s">
        <v>30</v>
      </c>
    </row>
    <row r="530" spans="1:17" x14ac:dyDescent="0.2">
      <c r="A530" s="4" t="s">
        <v>714</v>
      </c>
      <c r="B530">
        <v>529</v>
      </c>
      <c r="C530" s="4" t="s">
        <v>26</v>
      </c>
      <c r="D530" s="4" t="s">
        <v>47</v>
      </c>
      <c r="E530" s="4" t="s">
        <v>27</v>
      </c>
      <c r="F530" s="4" t="s">
        <v>1953</v>
      </c>
      <c r="G530">
        <v>13</v>
      </c>
      <c r="H530">
        <v>61</v>
      </c>
      <c r="I530" s="4" t="s">
        <v>193</v>
      </c>
      <c r="J530" s="4" t="s">
        <v>194</v>
      </c>
      <c r="K530" s="4" t="s">
        <v>179</v>
      </c>
      <c r="L530" s="4" t="s">
        <v>186</v>
      </c>
      <c r="M530" s="4" t="s">
        <v>195</v>
      </c>
      <c r="N530" s="4" t="s">
        <v>196</v>
      </c>
      <c r="O530" s="4" t="s">
        <v>183</v>
      </c>
      <c r="P530">
        <v>76221.06</v>
      </c>
      <c r="Q530" s="4" t="s">
        <v>30</v>
      </c>
    </row>
    <row r="531" spans="1:17" x14ac:dyDescent="0.2">
      <c r="A531" s="4" t="s">
        <v>715</v>
      </c>
      <c r="B531">
        <v>530</v>
      </c>
      <c r="C531" s="4" t="s">
        <v>26</v>
      </c>
      <c r="D531" s="4" t="s">
        <v>47</v>
      </c>
      <c r="E531" s="4" t="s">
        <v>27</v>
      </c>
      <c r="F531" s="4" t="s">
        <v>1953</v>
      </c>
      <c r="G531">
        <v>13</v>
      </c>
      <c r="H531">
        <v>61</v>
      </c>
      <c r="I531" s="4" t="s">
        <v>209</v>
      </c>
      <c r="J531" s="4" t="s">
        <v>210</v>
      </c>
      <c r="K531" s="4" t="s">
        <v>205</v>
      </c>
      <c r="L531" s="4" t="s">
        <v>211</v>
      </c>
      <c r="M531" s="4" t="s">
        <v>182</v>
      </c>
      <c r="N531" s="4" t="s">
        <v>182</v>
      </c>
      <c r="O531" s="4" t="s">
        <v>183</v>
      </c>
      <c r="P531">
        <v>12464.72</v>
      </c>
      <c r="Q531" s="4" t="s">
        <v>30</v>
      </c>
    </row>
    <row r="532" spans="1:17" x14ac:dyDescent="0.2">
      <c r="A532" s="4" t="s">
        <v>716</v>
      </c>
      <c r="B532">
        <v>531</v>
      </c>
      <c r="C532" s="4" t="s">
        <v>26</v>
      </c>
      <c r="D532" s="4" t="s">
        <v>47</v>
      </c>
      <c r="E532" s="4" t="s">
        <v>27</v>
      </c>
      <c r="F532" s="4" t="s">
        <v>1953</v>
      </c>
      <c r="G532">
        <v>13</v>
      </c>
      <c r="H532">
        <v>61</v>
      </c>
      <c r="I532" s="4" t="s">
        <v>203</v>
      </c>
      <c r="J532" s="4" t="s">
        <v>204</v>
      </c>
      <c r="K532" s="4" t="s">
        <v>205</v>
      </c>
      <c r="L532" s="4" t="s">
        <v>206</v>
      </c>
      <c r="M532" s="4" t="s">
        <v>182</v>
      </c>
      <c r="N532" s="4" t="s">
        <v>182</v>
      </c>
      <c r="O532" s="4" t="s">
        <v>183</v>
      </c>
      <c r="P532">
        <v>300</v>
      </c>
      <c r="Q532" s="4" t="s">
        <v>30</v>
      </c>
    </row>
    <row r="533" spans="1:17" x14ac:dyDescent="0.2">
      <c r="A533" s="4" t="s">
        <v>717</v>
      </c>
      <c r="B533">
        <v>532</v>
      </c>
      <c r="C533" s="4" t="s">
        <v>26</v>
      </c>
      <c r="D533" s="4" t="s">
        <v>47</v>
      </c>
      <c r="E533" s="4" t="s">
        <v>27</v>
      </c>
      <c r="F533" s="4" t="s">
        <v>1953</v>
      </c>
      <c r="G533">
        <v>13</v>
      </c>
      <c r="H533">
        <v>61</v>
      </c>
      <c r="I533" s="4" t="s">
        <v>201</v>
      </c>
      <c r="J533" s="4" t="s">
        <v>202</v>
      </c>
      <c r="K533" s="4" t="s">
        <v>179</v>
      </c>
      <c r="L533" s="4" t="s">
        <v>180</v>
      </c>
      <c r="M533" s="4" t="s">
        <v>192</v>
      </c>
      <c r="N533" s="4" t="s">
        <v>182</v>
      </c>
      <c r="O533" s="4" t="s">
        <v>189</v>
      </c>
      <c r="P533">
        <v>-12464.72</v>
      </c>
      <c r="Q533" s="4" t="s">
        <v>30</v>
      </c>
    </row>
    <row r="534" spans="1:17" x14ac:dyDescent="0.2">
      <c r="A534" s="4" t="s">
        <v>718</v>
      </c>
      <c r="B534">
        <v>533</v>
      </c>
      <c r="C534" s="4" t="s">
        <v>26</v>
      </c>
      <c r="D534" s="4" t="s">
        <v>47</v>
      </c>
      <c r="E534" s="4" t="s">
        <v>27</v>
      </c>
      <c r="F534" s="4" t="s">
        <v>1953</v>
      </c>
      <c r="G534">
        <v>13</v>
      </c>
      <c r="H534">
        <v>61</v>
      </c>
      <c r="I534" s="4" t="s">
        <v>212</v>
      </c>
      <c r="J534" s="4" t="s">
        <v>213</v>
      </c>
      <c r="K534" s="4" t="s">
        <v>205</v>
      </c>
      <c r="L534" s="4" t="s">
        <v>214</v>
      </c>
      <c r="M534" s="4" t="s">
        <v>182</v>
      </c>
      <c r="N534" s="4" t="s">
        <v>182</v>
      </c>
      <c r="O534" s="4" t="s">
        <v>189</v>
      </c>
      <c r="P534">
        <v>-14283.78</v>
      </c>
      <c r="Q534" s="4" t="s">
        <v>30</v>
      </c>
    </row>
    <row r="535" spans="1:17" x14ac:dyDescent="0.2">
      <c r="A535" s="4" t="s">
        <v>719</v>
      </c>
      <c r="B535">
        <v>534</v>
      </c>
      <c r="C535" s="4" t="s">
        <v>26</v>
      </c>
      <c r="D535" s="4" t="s">
        <v>47</v>
      </c>
      <c r="E535" s="4" t="s">
        <v>32</v>
      </c>
      <c r="F535" s="4" t="s">
        <v>1983</v>
      </c>
      <c r="G535">
        <v>13</v>
      </c>
      <c r="H535">
        <v>62</v>
      </c>
      <c r="I535" s="4" t="s">
        <v>190</v>
      </c>
      <c r="J535" s="4" t="s">
        <v>191</v>
      </c>
      <c r="K535" s="4" t="s">
        <v>179</v>
      </c>
      <c r="L535" s="4" t="s">
        <v>180</v>
      </c>
      <c r="M535" s="4" t="s">
        <v>192</v>
      </c>
      <c r="N535" s="4" t="s">
        <v>182</v>
      </c>
      <c r="O535" s="4" t="s">
        <v>183</v>
      </c>
      <c r="P535">
        <v>16581.29</v>
      </c>
      <c r="Q535" s="4" t="s">
        <v>30</v>
      </c>
    </row>
    <row r="536" spans="1:17" x14ac:dyDescent="0.2">
      <c r="A536" s="4" t="s">
        <v>720</v>
      </c>
      <c r="B536">
        <v>535</v>
      </c>
      <c r="C536" s="4" t="s">
        <v>26</v>
      </c>
      <c r="D536" s="4" t="s">
        <v>47</v>
      </c>
      <c r="E536" s="4" t="s">
        <v>32</v>
      </c>
      <c r="F536" s="4" t="s">
        <v>1983</v>
      </c>
      <c r="G536">
        <v>13</v>
      </c>
      <c r="H536">
        <v>62</v>
      </c>
      <c r="I536" s="4" t="s">
        <v>207</v>
      </c>
      <c r="J536" s="4" t="s">
        <v>208</v>
      </c>
      <c r="K536" s="4" t="s">
        <v>179</v>
      </c>
      <c r="L536" s="4" t="s">
        <v>180</v>
      </c>
      <c r="M536" s="4" t="s">
        <v>192</v>
      </c>
      <c r="N536" s="4" t="s">
        <v>182</v>
      </c>
      <c r="O536" s="4" t="s">
        <v>189</v>
      </c>
      <c r="P536">
        <v>-16581.29</v>
      </c>
      <c r="Q536" s="4" t="s">
        <v>30</v>
      </c>
    </row>
    <row r="537" spans="1:17" x14ac:dyDescent="0.2">
      <c r="A537" s="4" t="s">
        <v>721</v>
      </c>
      <c r="B537">
        <v>536</v>
      </c>
      <c r="C537" s="4" t="s">
        <v>26</v>
      </c>
      <c r="D537" s="4" t="s">
        <v>47</v>
      </c>
      <c r="E537" s="4" t="s">
        <v>32</v>
      </c>
      <c r="F537" s="4" t="s">
        <v>1983</v>
      </c>
      <c r="G537">
        <v>13</v>
      </c>
      <c r="H537">
        <v>62</v>
      </c>
      <c r="I537" s="4" t="s">
        <v>207</v>
      </c>
      <c r="J537" s="4" t="s">
        <v>208</v>
      </c>
      <c r="K537" s="4" t="s">
        <v>179</v>
      </c>
      <c r="L537" s="4" t="s">
        <v>180</v>
      </c>
      <c r="M537" s="4" t="s">
        <v>192</v>
      </c>
      <c r="N537" s="4" t="s">
        <v>182</v>
      </c>
      <c r="O537" s="4" t="s">
        <v>183</v>
      </c>
      <c r="P537">
        <v>23751.82</v>
      </c>
      <c r="Q537" s="4" t="s">
        <v>30</v>
      </c>
    </row>
    <row r="538" spans="1:17" x14ac:dyDescent="0.2">
      <c r="A538" s="4" t="s">
        <v>722</v>
      </c>
      <c r="B538">
        <v>537</v>
      </c>
      <c r="C538" s="4" t="s">
        <v>26</v>
      </c>
      <c r="D538" s="4" t="s">
        <v>47</v>
      </c>
      <c r="E538" s="4" t="s">
        <v>32</v>
      </c>
      <c r="F538" s="4" t="s">
        <v>1983</v>
      </c>
      <c r="G538">
        <v>13</v>
      </c>
      <c r="H538">
        <v>62</v>
      </c>
      <c r="I538" s="4" t="s">
        <v>209</v>
      </c>
      <c r="J538" s="4" t="s">
        <v>210</v>
      </c>
      <c r="K538" s="4" t="s">
        <v>205</v>
      </c>
      <c r="L538" s="4" t="s">
        <v>211</v>
      </c>
      <c r="M538" s="4" t="s">
        <v>182</v>
      </c>
      <c r="N538" s="4" t="s">
        <v>182</v>
      </c>
      <c r="O538" s="4" t="s">
        <v>183</v>
      </c>
      <c r="P538">
        <v>20663.37</v>
      </c>
      <c r="Q538" s="4" t="s">
        <v>30</v>
      </c>
    </row>
    <row r="539" spans="1:17" x14ac:dyDescent="0.2">
      <c r="A539" s="4" t="s">
        <v>723</v>
      </c>
      <c r="B539">
        <v>538</v>
      </c>
      <c r="C539" s="4" t="s">
        <v>26</v>
      </c>
      <c r="D539" s="4" t="s">
        <v>47</v>
      </c>
      <c r="E539" s="4" t="s">
        <v>32</v>
      </c>
      <c r="F539" s="4" t="s">
        <v>1983</v>
      </c>
      <c r="G539">
        <v>13</v>
      </c>
      <c r="H539">
        <v>62</v>
      </c>
      <c r="I539" s="4" t="s">
        <v>201</v>
      </c>
      <c r="J539" s="4" t="s">
        <v>202</v>
      </c>
      <c r="K539" s="4" t="s">
        <v>179</v>
      </c>
      <c r="L539" s="4" t="s">
        <v>180</v>
      </c>
      <c r="M539" s="4" t="s">
        <v>192</v>
      </c>
      <c r="N539" s="4" t="s">
        <v>182</v>
      </c>
      <c r="O539" s="4" t="s">
        <v>189</v>
      </c>
      <c r="P539">
        <v>-20663.37</v>
      </c>
      <c r="Q539" s="4" t="s">
        <v>30</v>
      </c>
    </row>
    <row r="540" spans="1:17" x14ac:dyDescent="0.2">
      <c r="A540" s="4" t="s">
        <v>724</v>
      </c>
      <c r="B540">
        <v>539</v>
      </c>
      <c r="C540" s="4" t="s">
        <v>26</v>
      </c>
      <c r="D540" s="4" t="s">
        <v>47</v>
      </c>
      <c r="E540" s="4" t="s">
        <v>32</v>
      </c>
      <c r="F540" s="4" t="s">
        <v>1983</v>
      </c>
      <c r="G540">
        <v>13</v>
      </c>
      <c r="H540">
        <v>62</v>
      </c>
      <c r="I540" s="4" t="s">
        <v>212</v>
      </c>
      <c r="J540" s="4" t="s">
        <v>213</v>
      </c>
      <c r="K540" s="4" t="s">
        <v>205</v>
      </c>
      <c r="L540" s="4" t="s">
        <v>214</v>
      </c>
      <c r="M540" s="4" t="s">
        <v>182</v>
      </c>
      <c r="N540" s="4" t="s">
        <v>182</v>
      </c>
      <c r="O540" s="4" t="s">
        <v>189</v>
      </c>
      <c r="P540">
        <v>-23751.82</v>
      </c>
      <c r="Q540" s="4" t="s">
        <v>30</v>
      </c>
    </row>
    <row r="541" spans="1:17" x14ac:dyDescent="0.2">
      <c r="A541" s="4" t="s">
        <v>725</v>
      </c>
      <c r="B541">
        <v>540</v>
      </c>
      <c r="C541" s="4" t="s">
        <v>26</v>
      </c>
      <c r="D541" s="4" t="s">
        <v>47</v>
      </c>
      <c r="E541" s="4" t="s">
        <v>35</v>
      </c>
      <c r="F541" s="4" t="s">
        <v>2007</v>
      </c>
      <c r="G541">
        <v>13</v>
      </c>
      <c r="H541">
        <v>63</v>
      </c>
      <c r="I541" s="4" t="s">
        <v>190</v>
      </c>
      <c r="J541" s="4" t="s">
        <v>191</v>
      </c>
      <c r="K541" s="4" t="s">
        <v>179</v>
      </c>
      <c r="L541" s="4" t="s">
        <v>180</v>
      </c>
      <c r="M541" s="4" t="s">
        <v>192</v>
      </c>
      <c r="N541" s="4" t="s">
        <v>182</v>
      </c>
      <c r="O541" s="4" t="s">
        <v>183</v>
      </c>
      <c r="P541">
        <v>17578.8</v>
      </c>
      <c r="Q541" s="4" t="s">
        <v>30</v>
      </c>
    </row>
    <row r="542" spans="1:17" x14ac:dyDescent="0.2">
      <c r="A542" s="4" t="s">
        <v>726</v>
      </c>
      <c r="B542">
        <v>541</v>
      </c>
      <c r="C542" s="4" t="s">
        <v>26</v>
      </c>
      <c r="D542" s="4" t="s">
        <v>47</v>
      </c>
      <c r="E542" s="4" t="s">
        <v>35</v>
      </c>
      <c r="F542" s="4" t="s">
        <v>2007</v>
      </c>
      <c r="G542">
        <v>13</v>
      </c>
      <c r="H542">
        <v>63</v>
      </c>
      <c r="I542" s="4" t="s">
        <v>207</v>
      </c>
      <c r="J542" s="4" t="s">
        <v>208</v>
      </c>
      <c r="K542" s="4" t="s">
        <v>179</v>
      </c>
      <c r="L542" s="4" t="s">
        <v>180</v>
      </c>
      <c r="M542" s="4" t="s">
        <v>192</v>
      </c>
      <c r="N542" s="4" t="s">
        <v>182</v>
      </c>
      <c r="O542" s="4" t="s">
        <v>189</v>
      </c>
      <c r="P542">
        <v>-17578.8</v>
      </c>
      <c r="Q542" s="4" t="s">
        <v>30</v>
      </c>
    </row>
    <row r="543" spans="1:17" x14ac:dyDescent="0.2">
      <c r="A543" s="4" t="s">
        <v>727</v>
      </c>
      <c r="B543">
        <v>542</v>
      </c>
      <c r="C543" s="4" t="s">
        <v>26</v>
      </c>
      <c r="D543" s="4" t="s">
        <v>47</v>
      </c>
      <c r="E543" s="4" t="s">
        <v>35</v>
      </c>
      <c r="F543" s="4" t="s">
        <v>2007</v>
      </c>
      <c r="G543">
        <v>13</v>
      </c>
      <c r="H543">
        <v>63</v>
      </c>
      <c r="I543" s="4" t="s">
        <v>207</v>
      </c>
      <c r="J543" s="4" t="s">
        <v>208</v>
      </c>
      <c r="K543" s="4" t="s">
        <v>179</v>
      </c>
      <c r="L543" s="4" t="s">
        <v>180</v>
      </c>
      <c r="M543" s="4" t="s">
        <v>192</v>
      </c>
      <c r="N543" s="4" t="s">
        <v>182</v>
      </c>
      <c r="O543" s="4" t="s">
        <v>183</v>
      </c>
      <c r="P543">
        <v>13150.51</v>
      </c>
      <c r="Q543" s="4" t="s">
        <v>30</v>
      </c>
    </row>
    <row r="544" spans="1:17" x14ac:dyDescent="0.2">
      <c r="A544" s="4" t="s">
        <v>728</v>
      </c>
      <c r="B544">
        <v>543</v>
      </c>
      <c r="C544" s="4" t="s">
        <v>26</v>
      </c>
      <c r="D544" s="4" t="s">
        <v>47</v>
      </c>
      <c r="E544" s="4" t="s">
        <v>35</v>
      </c>
      <c r="F544" s="4" t="s">
        <v>2007</v>
      </c>
      <c r="G544">
        <v>13</v>
      </c>
      <c r="H544">
        <v>63</v>
      </c>
      <c r="I544" s="4" t="s">
        <v>209</v>
      </c>
      <c r="J544" s="4" t="s">
        <v>210</v>
      </c>
      <c r="K544" s="4" t="s">
        <v>205</v>
      </c>
      <c r="L544" s="4" t="s">
        <v>211</v>
      </c>
      <c r="M544" s="4" t="s">
        <v>182</v>
      </c>
      <c r="N544" s="4" t="s">
        <v>182</v>
      </c>
      <c r="O544" s="4" t="s">
        <v>183</v>
      </c>
      <c r="P544">
        <v>11151.5</v>
      </c>
      <c r="Q544" s="4" t="s">
        <v>30</v>
      </c>
    </row>
    <row r="545" spans="1:17" x14ac:dyDescent="0.2">
      <c r="A545" s="4" t="s">
        <v>729</v>
      </c>
      <c r="B545">
        <v>544</v>
      </c>
      <c r="C545" s="4" t="s">
        <v>26</v>
      </c>
      <c r="D545" s="4" t="s">
        <v>47</v>
      </c>
      <c r="E545" s="4" t="s">
        <v>35</v>
      </c>
      <c r="F545" s="4" t="s">
        <v>2007</v>
      </c>
      <c r="G545">
        <v>13</v>
      </c>
      <c r="H545">
        <v>63</v>
      </c>
      <c r="I545" s="4" t="s">
        <v>201</v>
      </c>
      <c r="J545" s="4" t="s">
        <v>202</v>
      </c>
      <c r="K545" s="4" t="s">
        <v>179</v>
      </c>
      <c r="L545" s="4" t="s">
        <v>180</v>
      </c>
      <c r="M545" s="4" t="s">
        <v>192</v>
      </c>
      <c r="N545" s="4" t="s">
        <v>182</v>
      </c>
      <c r="O545" s="4" t="s">
        <v>189</v>
      </c>
      <c r="P545">
        <v>-11151.5</v>
      </c>
      <c r="Q545" s="4" t="s">
        <v>30</v>
      </c>
    </row>
    <row r="546" spans="1:17" x14ac:dyDescent="0.2">
      <c r="A546" s="4" t="s">
        <v>730</v>
      </c>
      <c r="B546">
        <v>545</v>
      </c>
      <c r="C546" s="4" t="s">
        <v>26</v>
      </c>
      <c r="D546" s="4" t="s">
        <v>47</v>
      </c>
      <c r="E546" s="4" t="s">
        <v>35</v>
      </c>
      <c r="F546" s="4" t="s">
        <v>2007</v>
      </c>
      <c r="G546">
        <v>13</v>
      </c>
      <c r="H546">
        <v>63</v>
      </c>
      <c r="I546" s="4" t="s">
        <v>212</v>
      </c>
      <c r="J546" s="4" t="s">
        <v>213</v>
      </c>
      <c r="K546" s="4" t="s">
        <v>205</v>
      </c>
      <c r="L546" s="4" t="s">
        <v>214</v>
      </c>
      <c r="M546" s="4" t="s">
        <v>182</v>
      </c>
      <c r="N546" s="4" t="s">
        <v>182</v>
      </c>
      <c r="O546" s="4" t="s">
        <v>189</v>
      </c>
      <c r="P546">
        <v>-13150.51</v>
      </c>
      <c r="Q546" s="4" t="s">
        <v>30</v>
      </c>
    </row>
    <row r="547" spans="1:17" x14ac:dyDescent="0.2">
      <c r="A547" s="4" t="s">
        <v>731</v>
      </c>
      <c r="B547">
        <v>546</v>
      </c>
      <c r="C547" s="4" t="s">
        <v>26</v>
      </c>
      <c r="D547" s="4" t="s">
        <v>47</v>
      </c>
      <c r="E547" s="4" t="s">
        <v>38</v>
      </c>
      <c r="F547" s="4" t="s">
        <v>2042</v>
      </c>
      <c r="G547">
        <v>13</v>
      </c>
      <c r="H547">
        <v>64</v>
      </c>
      <c r="I547" s="4" t="s">
        <v>190</v>
      </c>
      <c r="J547" s="4" t="s">
        <v>191</v>
      </c>
      <c r="K547" s="4" t="s">
        <v>179</v>
      </c>
      <c r="L547" s="4" t="s">
        <v>180</v>
      </c>
      <c r="M547" s="4" t="s">
        <v>192</v>
      </c>
      <c r="N547" s="4" t="s">
        <v>182</v>
      </c>
      <c r="O547" s="4" t="s">
        <v>189</v>
      </c>
      <c r="P547">
        <v>-300</v>
      </c>
      <c r="Q547" s="4" t="s">
        <v>30</v>
      </c>
    </row>
    <row r="548" spans="1:17" x14ac:dyDescent="0.2">
      <c r="A548" s="4" t="s">
        <v>732</v>
      </c>
      <c r="B548">
        <v>547</v>
      </c>
      <c r="C548" s="4" t="s">
        <v>26</v>
      </c>
      <c r="D548" s="4" t="s">
        <v>47</v>
      </c>
      <c r="E548" s="4" t="s">
        <v>38</v>
      </c>
      <c r="F548" s="4" t="s">
        <v>2042</v>
      </c>
      <c r="G548">
        <v>13</v>
      </c>
      <c r="H548">
        <v>64</v>
      </c>
      <c r="I548" s="4" t="s">
        <v>190</v>
      </c>
      <c r="J548" s="4" t="s">
        <v>191</v>
      </c>
      <c r="K548" s="4" t="s">
        <v>179</v>
      </c>
      <c r="L548" s="4" t="s">
        <v>180</v>
      </c>
      <c r="M548" s="4" t="s">
        <v>192</v>
      </c>
      <c r="N548" s="4" t="s">
        <v>182</v>
      </c>
      <c r="O548" s="4" t="s">
        <v>183</v>
      </c>
      <c r="P548">
        <v>21987.54</v>
      </c>
      <c r="Q548" s="4" t="s">
        <v>30</v>
      </c>
    </row>
    <row r="549" spans="1:17" x14ac:dyDescent="0.2">
      <c r="A549" s="4" t="s">
        <v>733</v>
      </c>
      <c r="B549">
        <v>548</v>
      </c>
      <c r="C549" s="4" t="s">
        <v>26</v>
      </c>
      <c r="D549" s="4" t="s">
        <v>47</v>
      </c>
      <c r="E549" s="4" t="s">
        <v>38</v>
      </c>
      <c r="F549" s="4" t="s">
        <v>2042</v>
      </c>
      <c r="G549">
        <v>13</v>
      </c>
      <c r="H549">
        <v>64</v>
      </c>
      <c r="I549" s="4" t="s">
        <v>207</v>
      </c>
      <c r="J549" s="4" t="s">
        <v>208</v>
      </c>
      <c r="K549" s="4" t="s">
        <v>179</v>
      </c>
      <c r="L549" s="4" t="s">
        <v>180</v>
      </c>
      <c r="M549" s="4" t="s">
        <v>192</v>
      </c>
      <c r="N549" s="4" t="s">
        <v>182</v>
      </c>
      <c r="O549" s="4" t="s">
        <v>189</v>
      </c>
      <c r="P549">
        <v>-21987.54</v>
      </c>
      <c r="Q549" s="4" t="s">
        <v>30</v>
      </c>
    </row>
    <row r="550" spans="1:17" x14ac:dyDescent="0.2">
      <c r="A550" s="4" t="s">
        <v>734</v>
      </c>
      <c r="B550">
        <v>549</v>
      </c>
      <c r="C550" s="4" t="s">
        <v>26</v>
      </c>
      <c r="D550" s="4" t="s">
        <v>47</v>
      </c>
      <c r="E550" s="4" t="s">
        <v>38</v>
      </c>
      <c r="F550" s="4" t="s">
        <v>2042</v>
      </c>
      <c r="G550">
        <v>13</v>
      </c>
      <c r="H550">
        <v>64</v>
      </c>
      <c r="I550" s="4" t="s">
        <v>207</v>
      </c>
      <c r="J550" s="4" t="s">
        <v>208</v>
      </c>
      <c r="K550" s="4" t="s">
        <v>179</v>
      </c>
      <c r="L550" s="4" t="s">
        <v>180</v>
      </c>
      <c r="M550" s="4" t="s">
        <v>192</v>
      </c>
      <c r="N550" s="4" t="s">
        <v>182</v>
      </c>
      <c r="O550" s="4" t="s">
        <v>183</v>
      </c>
      <c r="P550">
        <v>14601.77</v>
      </c>
      <c r="Q550" s="4" t="s">
        <v>30</v>
      </c>
    </row>
    <row r="551" spans="1:17" x14ac:dyDescent="0.2">
      <c r="A551" s="4" t="s">
        <v>735</v>
      </c>
      <c r="B551">
        <v>550</v>
      </c>
      <c r="C551" s="4" t="s">
        <v>26</v>
      </c>
      <c r="D551" s="4" t="s">
        <v>47</v>
      </c>
      <c r="E551" s="4" t="s">
        <v>38</v>
      </c>
      <c r="F551" s="4" t="s">
        <v>2042</v>
      </c>
      <c r="G551">
        <v>13</v>
      </c>
      <c r="H551">
        <v>64</v>
      </c>
      <c r="I551" s="4" t="s">
        <v>193</v>
      </c>
      <c r="J551" s="4" t="s">
        <v>194</v>
      </c>
      <c r="K551" s="4" t="s">
        <v>179</v>
      </c>
      <c r="L551" s="4" t="s">
        <v>186</v>
      </c>
      <c r="M551" s="4" t="s">
        <v>195</v>
      </c>
      <c r="N551" s="4" t="s">
        <v>196</v>
      </c>
      <c r="O551" s="4" t="s">
        <v>189</v>
      </c>
      <c r="P551">
        <v>-83914.3</v>
      </c>
      <c r="Q551" s="4" t="s">
        <v>30</v>
      </c>
    </row>
    <row r="552" spans="1:17" x14ac:dyDescent="0.2">
      <c r="A552" s="4" t="s">
        <v>736</v>
      </c>
      <c r="B552">
        <v>551</v>
      </c>
      <c r="C552" s="4" t="s">
        <v>26</v>
      </c>
      <c r="D552" s="4" t="s">
        <v>47</v>
      </c>
      <c r="E552" s="4" t="s">
        <v>38</v>
      </c>
      <c r="F552" s="4" t="s">
        <v>2042</v>
      </c>
      <c r="G552">
        <v>13</v>
      </c>
      <c r="H552">
        <v>64</v>
      </c>
      <c r="I552" s="4" t="s">
        <v>197</v>
      </c>
      <c r="J552" s="4" t="s">
        <v>198</v>
      </c>
      <c r="K552" s="4" t="s">
        <v>179</v>
      </c>
      <c r="L552" s="4" t="s">
        <v>186</v>
      </c>
      <c r="M552" s="4" t="s">
        <v>195</v>
      </c>
      <c r="N552" s="4" t="s">
        <v>196</v>
      </c>
      <c r="O552" s="4" t="s">
        <v>189</v>
      </c>
      <c r="P552">
        <v>-82914.3</v>
      </c>
      <c r="Q552" s="4" t="s">
        <v>30</v>
      </c>
    </row>
    <row r="553" spans="1:17" x14ac:dyDescent="0.2">
      <c r="A553" s="4" t="s">
        <v>737</v>
      </c>
      <c r="B553">
        <v>552</v>
      </c>
      <c r="C553" s="4" t="s">
        <v>26</v>
      </c>
      <c r="D553" s="4" t="s">
        <v>47</v>
      </c>
      <c r="E553" s="4" t="s">
        <v>38</v>
      </c>
      <c r="F553" s="4" t="s">
        <v>2042</v>
      </c>
      <c r="G553">
        <v>13</v>
      </c>
      <c r="H553">
        <v>64</v>
      </c>
      <c r="I553" s="4" t="s">
        <v>197</v>
      </c>
      <c r="J553" s="4" t="s">
        <v>198</v>
      </c>
      <c r="K553" s="4" t="s">
        <v>179</v>
      </c>
      <c r="L553" s="4" t="s">
        <v>186</v>
      </c>
      <c r="M553" s="4" t="s">
        <v>195</v>
      </c>
      <c r="N553" s="4" t="s">
        <v>196</v>
      </c>
      <c r="O553" s="4" t="s">
        <v>183</v>
      </c>
      <c r="P553">
        <v>82914.3</v>
      </c>
      <c r="Q553" s="4" t="s">
        <v>30</v>
      </c>
    </row>
    <row r="554" spans="1:17" x14ac:dyDescent="0.2">
      <c r="A554" s="4" t="s">
        <v>738</v>
      </c>
      <c r="B554">
        <v>553</v>
      </c>
      <c r="C554" s="4" t="s">
        <v>26</v>
      </c>
      <c r="D554" s="4" t="s">
        <v>47</v>
      </c>
      <c r="E554" s="4" t="s">
        <v>38</v>
      </c>
      <c r="F554" s="4" t="s">
        <v>2042</v>
      </c>
      <c r="G554">
        <v>13</v>
      </c>
      <c r="H554">
        <v>64</v>
      </c>
      <c r="I554" s="4" t="s">
        <v>199</v>
      </c>
      <c r="J554" s="4" t="s">
        <v>200</v>
      </c>
      <c r="K554" s="4" t="s">
        <v>179</v>
      </c>
      <c r="L554" s="4" t="s">
        <v>186</v>
      </c>
      <c r="M554" s="4" t="s">
        <v>195</v>
      </c>
      <c r="N554" s="4" t="s">
        <v>196</v>
      </c>
      <c r="O554" s="4" t="s">
        <v>189</v>
      </c>
      <c r="P554">
        <v>-1000</v>
      </c>
      <c r="Q554" s="4" t="s">
        <v>30</v>
      </c>
    </row>
    <row r="555" spans="1:17" x14ac:dyDescent="0.2">
      <c r="A555" s="4" t="s">
        <v>739</v>
      </c>
      <c r="B555">
        <v>554</v>
      </c>
      <c r="C555" s="4" t="s">
        <v>26</v>
      </c>
      <c r="D555" s="4" t="s">
        <v>47</v>
      </c>
      <c r="E555" s="4" t="s">
        <v>38</v>
      </c>
      <c r="F555" s="4" t="s">
        <v>2042</v>
      </c>
      <c r="G555">
        <v>13</v>
      </c>
      <c r="H555">
        <v>64</v>
      </c>
      <c r="I555" s="4" t="s">
        <v>199</v>
      </c>
      <c r="J555" s="4" t="s">
        <v>200</v>
      </c>
      <c r="K555" s="4" t="s">
        <v>179</v>
      </c>
      <c r="L555" s="4" t="s">
        <v>186</v>
      </c>
      <c r="M555" s="4" t="s">
        <v>195</v>
      </c>
      <c r="N555" s="4" t="s">
        <v>196</v>
      </c>
      <c r="O555" s="4" t="s">
        <v>183</v>
      </c>
      <c r="P555">
        <v>1000</v>
      </c>
      <c r="Q555" s="4" t="s">
        <v>30</v>
      </c>
    </row>
    <row r="556" spans="1:17" x14ac:dyDescent="0.2">
      <c r="A556" s="4" t="s">
        <v>740</v>
      </c>
      <c r="B556">
        <v>555</v>
      </c>
      <c r="C556" s="4" t="s">
        <v>26</v>
      </c>
      <c r="D556" s="4" t="s">
        <v>47</v>
      </c>
      <c r="E556" s="4" t="s">
        <v>38</v>
      </c>
      <c r="F556" s="4" t="s">
        <v>2042</v>
      </c>
      <c r="G556">
        <v>13</v>
      </c>
      <c r="H556">
        <v>64</v>
      </c>
      <c r="I556" s="4" t="s">
        <v>209</v>
      </c>
      <c r="J556" s="4" t="s">
        <v>210</v>
      </c>
      <c r="K556" s="4" t="s">
        <v>205</v>
      </c>
      <c r="L556" s="4" t="s">
        <v>211</v>
      </c>
      <c r="M556" s="4" t="s">
        <v>182</v>
      </c>
      <c r="N556" s="4" t="s">
        <v>182</v>
      </c>
      <c r="O556" s="4" t="s">
        <v>183</v>
      </c>
      <c r="P556">
        <v>13049.75</v>
      </c>
      <c r="Q556" s="4" t="s">
        <v>30</v>
      </c>
    </row>
    <row r="557" spans="1:17" x14ac:dyDescent="0.2">
      <c r="A557" s="4" t="s">
        <v>741</v>
      </c>
      <c r="B557">
        <v>556</v>
      </c>
      <c r="C557" s="4" t="s">
        <v>26</v>
      </c>
      <c r="D557" s="4" t="s">
        <v>47</v>
      </c>
      <c r="E557" s="4" t="s">
        <v>38</v>
      </c>
      <c r="F557" s="4" t="s">
        <v>2042</v>
      </c>
      <c r="G557">
        <v>13</v>
      </c>
      <c r="H557">
        <v>64</v>
      </c>
      <c r="I557" s="4" t="s">
        <v>203</v>
      </c>
      <c r="J557" s="4" t="s">
        <v>204</v>
      </c>
      <c r="K557" s="4" t="s">
        <v>205</v>
      </c>
      <c r="L557" s="4" t="s">
        <v>206</v>
      </c>
      <c r="M557" s="4" t="s">
        <v>182</v>
      </c>
      <c r="N557" s="4" t="s">
        <v>182</v>
      </c>
      <c r="O557" s="4" t="s">
        <v>183</v>
      </c>
      <c r="P557">
        <v>300</v>
      </c>
      <c r="Q557" s="4" t="s">
        <v>30</v>
      </c>
    </row>
    <row r="558" spans="1:17" x14ac:dyDescent="0.2">
      <c r="A558" s="4" t="s">
        <v>742</v>
      </c>
      <c r="B558">
        <v>557</v>
      </c>
      <c r="C558" s="4" t="s">
        <v>26</v>
      </c>
      <c r="D558" s="4" t="s">
        <v>47</v>
      </c>
      <c r="E558" s="4" t="s">
        <v>38</v>
      </c>
      <c r="F558" s="4" t="s">
        <v>2042</v>
      </c>
      <c r="G558">
        <v>13</v>
      </c>
      <c r="H558">
        <v>64</v>
      </c>
      <c r="I558" s="4" t="s">
        <v>201</v>
      </c>
      <c r="J558" s="4" t="s">
        <v>202</v>
      </c>
      <c r="K558" s="4" t="s">
        <v>179</v>
      </c>
      <c r="L558" s="4" t="s">
        <v>180</v>
      </c>
      <c r="M558" s="4" t="s">
        <v>192</v>
      </c>
      <c r="N558" s="4" t="s">
        <v>182</v>
      </c>
      <c r="O558" s="4" t="s">
        <v>189</v>
      </c>
      <c r="P558">
        <v>-13049.76</v>
      </c>
      <c r="Q558" s="4" t="s">
        <v>30</v>
      </c>
    </row>
    <row r="559" spans="1:17" x14ac:dyDescent="0.2">
      <c r="A559" s="4" t="s">
        <v>743</v>
      </c>
      <c r="B559">
        <v>558</v>
      </c>
      <c r="C559" s="4" t="s">
        <v>26</v>
      </c>
      <c r="D559" s="4" t="s">
        <v>47</v>
      </c>
      <c r="E559" s="4" t="s">
        <v>38</v>
      </c>
      <c r="F559" s="4" t="s">
        <v>2042</v>
      </c>
      <c r="G559">
        <v>13</v>
      </c>
      <c r="H559">
        <v>64</v>
      </c>
      <c r="I559" s="4" t="s">
        <v>201</v>
      </c>
      <c r="J559" s="4" t="s">
        <v>202</v>
      </c>
      <c r="K559" s="4" t="s">
        <v>179</v>
      </c>
      <c r="L559" s="4" t="s">
        <v>180</v>
      </c>
      <c r="M559" s="4" t="s">
        <v>192</v>
      </c>
      <c r="N559" s="4" t="s">
        <v>182</v>
      </c>
      <c r="O559" s="4" t="s">
        <v>183</v>
      </c>
      <c r="P559">
        <v>83914.31</v>
      </c>
      <c r="Q559" s="4" t="s">
        <v>30</v>
      </c>
    </row>
    <row r="560" spans="1:17" x14ac:dyDescent="0.2">
      <c r="A560" s="4" t="s">
        <v>744</v>
      </c>
      <c r="B560">
        <v>559</v>
      </c>
      <c r="C560" s="4" t="s">
        <v>26</v>
      </c>
      <c r="D560" s="4" t="s">
        <v>47</v>
      </c>
      <c r="E560" s="4" t="s">
        <v>38</v>
      </c>
      <c r="F560" s="4" t="s">
        <v>2042</v>
      </c>
      <c r="G560">
        <v>13</v>
      </c>
      <c r="H560">
        <v>64</v>
      </c>
      <c r="I560" s="4" t="s">
        <v>212</v>
      </c>
      <c r="J560" s="4" t="s">
        <v>213</v>
      </c>
      <c r="K560" s="4" t="s">
        <v>205</v>
      </c>
      <c r="L560" s="4" t="s">
        <v>214</v>
      </c>
      <c r="M560" s="4" t="s">
        <v>182</v>
      </c>
      <c r="N560" s="4" t="s">
        <v>182</v>
      </c>
      <c r="O560" s="4" t="s">
        <v>189</v>
      </c>
      <c r="P560">
        <v>-14601.77</v>
      </c>
      <c r="Q560" s="4" t="s">
        <v>30</v>
      </c>
    </row>
    <row r="561" spans="1:17" x14ac:dyDescent="0.2">
      <c r="A561" s="4" t="s">
        <v>745</v>
      </c>
      <c r="B561">
        <v>560</v>
      </c>
      <c r="C561" s="4" t="s">
        <v>26</v>
      </c>
      <c r="D561" s="4" t="s">
        <v>47</v>
      </c>
      <c r="E561" s="4" t="s">
        <v>41</v>
      </c>
      <c r="F561" s="4" t="s">
        <v>2073</v>
      </c>
      <c r="G561">
        <v>13</v>
      </c>
      <c r="H561">
        <v>65</v>
      </c>
      <c r="I561" s="4" t="s">
        <v>190</v>
      </c>
      <c r="J561" s="4" t="s">
        <v>191</v>
      </c>
      <c r="K561" s="4" t="s">
        <v>179</v>
      </c>
      <c r="L561" s="4" t="s">
        <v>180</v>
      </c>
      <c r="M561" s="4" t="s">
        <v>192</v>
      </c>
      <c r="N561" s="4" t="s">
        <v>182</v>
      </c>
      <c r="O561" s="4" t="s">
        <v>189</v>
      </c>
      <c r="P561">
        <v>-53928.12</v>
      </c>
      <c r="Q561" s="4" t="s">
        <v>30</v>
      </c>
    </row>
    <row r="562" spans="1:17" x14ac:dyDescent="0.2">
      <c r="A562" s="4" t="s">
        <v>746</v>
      </c>
      <c r="B562">
        <v>561</v>
      </c>
      <c r="C562" s="4" t="s">
        <v>26</v>
      </c>
      <c r="D562" s="4" t="s">
        <v>47</v>
      </c>
      <c r="E562" s="4" t="s">
        <v>41</v>
      </c>
      <c r="F562" s="4" t="s">
        <v>2073</v>
      </c>
      <c r="G562">
        <v>13</v>
      </c>
      <c r="H562">
        <v>65</v>
      </c>
      <c r="I562" s="4" t="s">
        <v>190</v>
      </c>
      <c r="J562" s="4" t="s">
        <v>191</v>
      </c>
      <c r="K562" s="4" t="s">
        <v>179</v>
      </c>
      <c r="L562" s="4" t="s">
        <v>180</v>
      </c>
      <c r="M562" s="4" t="s">
        <v>192</v>
      </c>
      <c r="N562" s="4" t="s">
        <v>182</v>
      </c>
      <c r="O562" s="4" t="s">
        <v>183</v>
      </c>
      <c r="P562">
        <v>14283.78</v>
      </c>
      <c r="Q562" s="4" t="s">
        <v>30</v>
      </c>
    </row>
    <row r="563" spans="1:17" x14ac:dyDescent="0.2">
      <c r="A563" s="4" t="s">
        <v>747</v>
      </c>
      <c r="B563">
        <v>562</v>
      </c>
      <c r="C563" s="4" t="s">
        <v>26</v>
      </c>
      <c r="D563" s="4" t="s">
        <v>47</v>
      </c>
      <c r="E563" s="4" t="s">
        <v>41</v>
      </c>
      <c r="F563" s="4" t="s">
        <v>2073</v>
      </c>
      <c r="G563">
        <v>13</v>
      </c>
      <c r="H563">
        <v>65</v>
      </c>
      <c r="I563" s="4" t="s">
        <v>207</v>
      </c>
      <c r="J563" s="4" t="s">
        <v>208</v>
      </c>
      <c r="K563" s="4" t="s">
        <v>179</v>
      </c>
      <c r="L563" s="4" t="s">
        <v>180</v>
      </c>
      <c r="M563" s="4" t="s">
        <v>192</v>
      </c>
      <c r="N563" s="4" t="s">
        <v>182</v>
      </c>
      <c r="O563" s="4" t="s">
        <v>189</v>
      </c>
      <c r="P563">
        <v>-14283.78</v>
      </c>
      <c r="Q563" s="4" t="s">
        <v>30</v>
      </c>
    </row>
    <row r="564" spans="1:17" x14ac:dyDescent="0.2">
      <c r="A564" s="4" t="s">
        <v>748</v>
      </c>
      <c r="B564">
        <v>563</v>
      </c>
      <c r="C564" s="4" t="s">
        <v>26</v>
      </c>
      <c r="D564" s="4" t="s">
        <v>47</v>
      </c>
      <c r="E564" s="4" t="s">
        <v>41</v>
      </c>
      <c r="F564" s="4" t="s">
        <v>2073</v>
      </c>
      <c r="G564">
        <v>13</v>
      </c>
      <c r="H564">
        <v>65</v>
      </c>
      <c r="I564" s="4" t="s">
        <v>207</v>
      </c>
      <c r="J564" s="4" t="s">
        <v>208</v>
      </c>
      <c r="K564" s="4" t="s">
        <v>179</v>
      </c>
      <c r="L564" s="4" t="s">
        <v>180</v>
      </c>
      <c r="M564" s="4" t="s">
        <v>192</v>
      </c>
      <c r="N564" s="4" t="s">
        <v>182</v>
      </c>
      <c r="O564" s="4" t="s">
        <v>183</v>
      </c>
      <c r="P564">
        <v>22912.06</v>
      </c>
      <c r="Q564" s="4" t="s">
        <v>30</v>
      </c>
    </row>
    <row r="565" spans="1:17" x14ac:dyDescent="0.2">
      <c r="A565" s="4" t="s">
        <v>749</v>
      </c>
      <c r="B565">
        <v>564</v>
      </c>
      <c r="C565" s="4" t="s">
        <v>26</v>
      </c>
      <c r="D565" s="4" t="s">
        <v>47</v>
      </c>
      <c r="E565" s="4" t="s">
        <v>41</v>
      </c>
      <c r="F565" s="4" t="s">
        <v>2073</v>
      </c>
      <c r="G565">
        <v>13</v>
      </c>
      <c r="H565">
        <v>65</v>
      </c>
      <c r="I565" s="4" t="s">
        <v>193</v>
      </c>
      <c r="J565" s="4" t="s">
        <v>194</v>
      </c>
      <c r="K565" s="4" t="s">
        <v>179</v>
      </c>
      <c r="L565" s="4" t="s">
        <v>186</v>
      </c>
      <c r="M565" s="4" t="s">
        <v>195</v>
      </c>
      <c r="N565" s="4" t="s">
        <v>196</v>
      </c>
      <c r="O565" s="4" t="s">
        <v>183</v>
      </c>
      <c r="P565">
        <v>53628.12</v>
      </c>
      <c r="Q565" s="4" t="s">
        <v>30</v>
      </c>
    </row>
    <row r="566" spans="1:17" x14ac:dyDescent="0.2">
      <c r="A566" s="4" t="s">
        <v>750</v>
      </c>
      <c r="B566">
        <v>565</v>
      </c>
      <c r="C566" s="4" t="s">
        <v>26</v>
      </c>
      <c r="D566" s="4" t="s">
        <v>47</v>
      </c>
      <c r="E566" s="4" t="s">
        <v>41</v>
      </c>
      <c r="F566" s="4" t="s">
        <v>2073</v>
      </c>
      <c r="G566">
        <v>13</v>
      </c>
      <c r="H566">
        <v>65</v>
      </c>
      <c r="I566" s="4" t="s">
        <v>209</v>
      </c>
      <c r="J566" s="4" t="s">
        <v>210</v>
      </c>
      <c r="K566" s="4" t="s">
        <v>205</v>
      </c>
      <c r="L566" s="4" t="s">
        <v>211</v>
      </c>
      <c r="M566" s="4" t="s">
        <v>182</v>
      </c>
      <c r="N566" s="4" t="s">
        <v>182</v>
      </c>
      <c r="O566" s="4" t="s">
        <v>183</v>
      </c>
      <c r="P566">
        <v>19901.52</v>
      </c>
      <c r="Q566" s="4" t="s">
        <v>30</v>
      </c>
    </row>
    <row r="567" spans="1:17" x14ac:dyDescent="0.2">
      <c r="A567" s="4" t="s">
        <v>751</v>
      </c>
      <c r="B567">
        <v>566</v>
      </c>
      <c r="C567" s="4" t="s">
        <v>26</v>
      </c>
      <c r="D567" s="4" t="s">
        <v>47</v>
      </c>
      <c r="E567" s="4" t="s">
        <v>41</v>
      </c>
      <c r="F567" s="4" t="s">
        <v>2073</v>
      </c>
      <c r="G567">
        <v>13</v>
      </c>
      <c r="H567">
        <v>65</v>
      </c>
      <c r="I567" s="4" t="s">
        <v>203</v>
      </c>
      <c r="J567" s="4" t="s">
        <v>204</v>
      </c>
      <c r="K567" s="4" t="s">
        <v>205</v>
      </c>
      <c r="L567" s="4" t="s">
        <v>206</v>
      </c>
      <c r="M567" s="4" t="s">
        <v>182</v>
      </c>
      <c r="N567" s="4" t="s">
        <v>182</v>
      </c>
      <c r="O567" s="4" t="s">
        <v>183</v>
      </c>
      <c r="P567">
        <v>300</v>
      </c>
      <c r="Q567" s="4" t="s">
        <v>30</v>
      </c>
    </row>
    <row r="568" spans="1:17" x14ac:dyDescent="0.2">
      <c r="A568" s="4" t="s">
        <v>752</v>
      </c>
      <c r="B568">
        <v>567</v>
      </c>
      <c r="C568" s="4" t="s">
        <v>26</v>
      </c>
      <c r="D568" s="4" t="s">
        <v>47</v>
      </c>
      <c r="E568" s="4" t="s">
        <v>41</v>
      </c>
      <c r="F568" s="4" t="s">
        <v>2073</v>
      </c>
      <c r="G568">
        <v>13</v>
      </c>
      <c r="H568">
        <v>65</v>
      </c>
      <c r="I568" s="4" t="s">
        <v>201</v>
      </c>
      <c r="J568" s="4" t="s">
        <v>202</v>
      </c>
      <c r="K568" s="4" t="s">
        <v>179</v>
      </c>
      <c r="L568" s="4" t="s">
        <v>180</v>
      </c>
      <c r="M568" s="4" t="s">
        <v>192</v>
      </c>
      <c r="N568" s="4" t="s">
        <v>182</v>
      </c>
      <c r="O568" s="4" t="s">
        <v>189</v>
      </c>
      <c r="P568">
        <v>-19901.52</v>
      </c>
      <c r="Q568" s="4" t="s">
        <v>30</v>
      </c>
    </row>
    <row r="569" spans="1:17" x14ac:dyDescent="0.2">
      <c r="A569" s="4" t="s">
        <v>753</v>
      </c>
      <c r="B569">
        <v>568</v>
      </c>
      <c r="C569" s="4" t="s">
        <v>26</v>
      </c>
      <c r="D569" s="4" t="s">
        <v>47</v>
      </c>
      <c r="E569" s="4" t="s">
        <v>41</v>
      </c>
      <c r="F569" s="4" t="s">
        <v>2073</v>
      </c>
      <c r="G569">
        <v>13</v>
      </c>
      <c r="H569">
        <v>65</v>
      </c>
      <c r="I569" s="4" t="s">
        <v>212</v>
      </c>
      <c r="J569" s="4" t="s">
        <v>213</v>
      </c>
      <c r="K569" s="4" t="s">
        <v>205</v>
      </c>
      <c r="L569" s="4" t="s">
        <v>214</v>
      </c>
      <c r="M569" s="4" t="s">
        <v>182</v>
      </c>
      <c r="N569" s="4" t="s">
        <v>182</v>
      </c>
      <c r="O569" s="4" t="s">
        <v>189</v>
      </c>
      <c r="P569">
        <v>-22912.06</v>
      </c>
      <c r="Q569" s="4" t="s">
        <v>30</v>
      </c>
    </row>
    <row r="570" spans="1:17" x14ac:dyDescent="0.2">
      <c r="A570" s="4" t="s">
        <v>754</v>
      </c>
      <c r="B570">
        <v>569</v>
      </c>
      <c r="C570" s="4" t="s">
        <v>26</v>
      </c>
      <c r="D570" s="4" t="s">
        <v>47</v>
      </c>
      <c r="E570" s="4" t="s">
        <v>44</v>
      </c>
      <c r="F570" s="4" t="s">
        <v>2103</v>
      </c>
      <c r="G570">
        <v>14</v>
      </c>
      <c r="H570">
        <v>66</v>
      </c>
      <c r="I570" s="4" t="s">
        <v>190</v>
      </c>
      <c r="J570" s="4" t="s">
        <v>191</v>
      </c>
      <c r="K570" s="4" t="s">
        <v>179</v>
      </c>
      <c r="L570" s="4" t="s">
        <v>180</v>
      </c>
      <c r="M570" s="4" t="s">
        <v>192</v>
      </c>
      <c r="N570" s="4" t="s">
        <v>182</v>
      </c>
      <c r="O570" s="4" t="s">
        <v>183</v>
      </c>
      <c r="P570">
        <v>23751.82</v>
      </c>
      <c r="Q570" s="4" t="s">
        <v>30</v>
      </c>
    </row>
    <row r="571" spans="1:17" x14ac:dyDescent="0.2">
      <c r="A571" s="4" t="s">
        <v>755</v>
      </c>
      <c r="B571">
        <v>570</v>
      </c>
      <c r="C571" s="4" t="s">
        <v>26</v>
      </c>
      <c r="D571" s="4" t="s">
        <v>47</v>
      </c>
      <c r="E571" s="4" t="s">
        <v>44</v>
      </c>
      <c r="F571" s="4" t="s">
        <v>2103</v>
      </c>
      <c r="G571">
        <v>14</v>
      </c>
      <c r="H571">
        <v>66</v>
      </c>
      <c r="I571" s="4" t="s">
        <v>207</v>
      </c>
      <c r="J571" s="4" t="s">
        <v>208</v>
      </c>
      <c r="K571" s="4" t="s">
        <v>179</v>
      </c>
      <c r="L571" s="4" t="s">
        <v>180</v>
      </c>
      <c r="M571" s="4" t="s">
        <v>192</v>
      </c>
      <c r="N571" s="4" t="s">
        <v>182</v>
      </c>
      <c r="O571" s="4" t="s">
        <v>189</v>
      </c>
      <c r="P571">
        <v>-23751.82</v>
      </c>
      <c r="Q571" s="4" t="s">
        <v>30</v>
      </c>
    </row>
    <row r="572" spans="1:17" x14ac:dyDescent="0.2">
      <c r="A572" s="4" t="s">
        <v>756</v>
      </c>
      <c r="B572">
        <v>571</v>
      </c>
      <c r="C572" s="4" t="s">
        <v>26</v>
      </c>
      <c r="D572" s="4" t="s">
        <v>47</v>
      </c>
      <c r="E572" s="4" t="s">
        <v>44</v>
      </c>
      <c r="F572" s="4" t="s">
        <v>2103</v>
      </c>
      <c r="G572">
        <v>14</v>
      </c>
      <c r="H572">
        <v>66</v>
      </c>
      <c r="I572" s="4" t="s">
        <v>207</v>
      </c>
      <c r="J572" s="4" t="s">
        <v>208</v>
      </c>
      <c r="K572" s="4" t="s">
        <v>179</v>
      </c>
      <c r="L572" s="4" t="s">
        <v>180</v>
      </c>
      <c r="M572" s="4" t="s">
        <v>192</v>
      </c>
      <c r="N572" s="4" t="s">
        <v>182</v>
      </c>
      <c r="O572" s="4" t="s">
        <v>183</v>
      </c>
      <c r="P572">
        <v>21479.75</v>
      </c>
      <c r="Q572" s="4" t="s">
        <v>30</v>
      </c>
    </row>
    <row r="573" spans="1:17" x14ac:dyDescent="0.2">
      <c r="A573" s="4" t="s">
        <v>757</v>
      </c>
      <c r="B573">
        <v>572</v>
      </c>
      <c r="C573" s="4" t="s">
        <v>26</v>
      </c>
      <c r="D573" s="4" t="s">
        <v>47</v>
      </c>
      <c r="E573" s="4" t="s">
        <v>44</v>
      </c>
      <c r="F573" s="4" t="s">
        <v>2103</v>
      </c>
      <c r="G573">
        <v>14</v>
      </c>
      <c r="H573">
        <v>66</v>
      </c>
      <c r="I573" s="4" t="s">
        <v>209</v>
      </c>
      <c r="J573" s="4" t="s">
        <v>210</v>
      </c>
      <c r="K573" s="4" t="s">
        <v>205</v>
      </c>
      <c r="L573" s="4" t="s">
        <v>211</v>
      </c>
      <c r="M573" s="4" t="s">
        <v>182</v>
      </c>
      <c r="N573" s="4" t="s">
        <v>182</v>
      </c>
      <c r="O573" s="4" t="s">
        <v>183</v>
      </c>
      <c r="P573">
        <v>19212.71</v>
      </c>
      <c r="Q573" s="4" t="s">
        <v>30</v>
      </c>
    </row>
    <row r="574" spans="1:17" x14ac:dyDescent="0.2">
      <c r="A574" s="4" t="s">
        <v>758</v>
      </c>
      <c r="B574">
        <v>573</v>
      </c>
      <c r="C574" s="4" t="s">
        <v>26</v>
      </c>
      <c r="D574" s="4" t="s">
        <v>47</v>
      </c>
      <c r="E574" s="4" t="s">
        <v>44</v>
      </c>
      <c r="F574" s="4" t="s">
        <v>2103</v>
      </c>
      <c r="G574">
        <v>14</v>
      </c>
      <c r="H574">
        <v>66</v>
      </c>
      <c r="I574" s="4" t="s">
        <v>201</v>
      </c>
      <c r="J574" s="4" t="s">
        <v>202</v>
      </c>
      <c r="K574" s="4" t="s">
        <v>179</v>
      </c>
      <c r="L574" s="4" t="s">
        <v>180</v>
      </c>
      <c r="M574" s="4" t="s">
        <v>192</v>
      </c>
      <c r="N574" s="4" t="s">
        <v>182</v>
      </c>
      <c r="O574" s="4" t="s">
        <v>189</v>
      </c>
      <c r="P574">
        <v>-19212.71</v>
      </c>
      <c r="Q574" s="4" t="s">
        <v>30</v>
      </c>
    </row>
    <row r="575" spans="1:17" x14ac:dyDescent="0.2">
      <c r="A575" s="4" t="s">
        <v>759</v>
      </c>
      <c r="B575">
        <v>574</v>
      </c>
      <c r="C575" s="4" t="s">
        <v>26</v>
      </c>
      <c r="D575" s="4" t="s">
        <v>47</v>
      </c>
      <c r="E575" s="4" t="s">
        <v>44</v>
      </c>
      <c r="F575" s="4" t="s">
        <v>2103</v>
      </c>
      <c r="G575">
        <v>14</v>
      </c>
      <c r="H575">
        <v>66</v>
      </c>
      <c r="I575" s="4" t="s">
        <v>212</v>
      </c>
      <c r="J575" s="4" t="s">
        <v>213</v>
      </c>
      <c r="K575" s="4" t="s">
        <v>205</v>
      </c>
      <c r="L575" s="4" t="s">
        <v>214</v>
      </c>
      <c r="M575" s="4" t="s">
        <v>182</v>
      </c>
      <c r="N575" s="4" t="s">
        <v>182</v>
      </c>
      <c r="O575" s="4" t="s">
        <v>189</v>
      </c>
      <c r="P575">
        <v>-21479.75</v>
      </c>
      <c r="Q575" s="4" t="s">
        <v>30</v>
      </c>
    </row>
    <row r="576" spans="1:17" x14ac:dyDescent="0.2">
      <c r="A576" s="4" t="s">
        <v>760</v>
      </c>
      <c r="B576">
        <v>575</v>
      </c>
      <c r="C576" s="4" t="s">
        <v>26</v>
      </c>
      <c r="D576" s="4" t="s">
        <v>47</v>
      </c>
      <c r="E576" s="4" t="s">
        <v>47</v>
      </c>
      <c r="F576" s="4" t="s">
        <v>2128</v>
      </c>
      <c r="G576">
        <v>14</v>
      </c>
      <c r="H576">
        <v>67</v>
      </c>
      <c r="I576" s="4" t="s">
        <v>190</v>
      </c>
      <c r="J576" s="4" t="s">
        <v>191</v>
      </c>
      <c r="K576" s="4" t="s">
        <v>179</v>
      </c>
      <c r="L576" s="4" t="s">
        <v>180</v>
      </c>
      <c r="M576" s="4" t="s">
        <v>192</v>
      </c>
      <c r="N576" s="4" t="s">
        <v>182</v>
      </c>
      <c r="O576" s="4" t="s">
        <v>189</v>
      </c>
      <c r="P576">
        <v>-300</v>
      </c>
      <c r="Q576" s="4" t="s">
        <v>30</v>
      </c>
    </row>
    <row r="577" spans="1:17" x14ac:dyDescent="0.2">
      <c r="A577" s="4" t="s">
        <v>761</v>
      </c>
      <c r="B577">
        <v>576</v>
      </c>
      <c r="C577" s="4" t="s">
        <v>26</v>
      </c>
      <c r="D577" s="4" t="s">
        <v>47</v>
      </c>
      <c r="E577" s="4" t="s">
        <v>47</v>
      </c>
      <c r="F577" s="4" t="s">
        <v>2128</v>
      </c>
      <c r="G577">
        <v>14</v>
      </c>
      <c r="H577">
        <v>67</v>
      </c>
      <c r="I577" s="4" t="s">
        <v>190</v>
      </c>
      <c r="J577" s="4" t="s">
        <v>191</v>
      </c>
      <c r="K577" s="4" t="s">
        <v>179</v>
      </c>
      <c r="L577" s="4" t="s">
        <v>180</v>
      </c>
      <c r="M577" s="4" t="s">
        <v>192</v>
      </c>
      <c r="N577" s="4" t="s">
        <v>182</v>
      </c>
      <c r="O577" s="4" t="s">
        <v>183</v>
      </c>
      <c r="P577">
        <v>13150.51</v>
      </c>
      <c r="Q577" s="4" t="s">
        <v>30</v>
      </c>
    </row>
    <row r="578" spans="1:17" x14ac:dyDescent="0.2">
      <c r="A578" s="4" t="s">
        <v>762</v>
      </c>
      <c r="B578">
        <v>577</v>
      </c>
      <c r="C578" s="4" t="s">
        <v>26</v>
      </c>
      <c r="D578" s="4" t="s">
        <v>47</v>
      </c>
      <c r="E578" s="4" t="s">
        <v>47</v>
      </c>
      <c r="F578" s="4" t="s">
        <v>2128</v>
      </c>
      <c r="G578">
        <v>14</v>
      </c>
      <c r="H578">
        <v>67</v>
      </c>
      <c r="I578" s="4" t="s">
        <v>207</v>
      </c>
      <c r="J578" s="4" t="s">
        <v>208</v>
      </c>
      <c r="K578" s="4" t="s">
        <v>179</v>
      </c>
      <c r="L578" s="4" t="s">
        <v>180</v>
      </c>
      <c r="M578" s="4" t="s">
        <v>192</v>
      </c>
      <c r="N578" s="4" t="s">
        <v>182</v>
      </c>
      <c r="O578" s="4" t="s">
        <v>189</v>
      </c>
      <c r="P578">
        <v>-13150.51</v>
      </c>
      <c r="Q578" s="4" t="s">
        <v>30</v>
      </c>
    </row>
    <row r="579" spans="1:17" x14ac:dyDescent="0.2">
      <c r="A579" s="4" t="s">
        <v>763</v>
      </c>
      <c r="B579">
        <v>578</v>
      </c>
      <c r="C579" s="4" t="s">
        <v>26</v>
      </c>
      <c r="D579" s="4" t="s">
        <v>47</v>
      </c>
      <c r="E579" s="4" t="s">
        <v>47</v>
      </c>
      <c r="F579" s="4" t="s">
        <v>2128</v>
      </c>
      <c r="G579">
        <v>14</v>
      </c>
      <c r="H579">
        <v>67</v>
      </c>
      <c r="I579" s="4" t="s">
        <v>207</v>
      </c>
      <c r="J579" s="4" t="s">
        <v>208</v>
      </c>
      <c r="K579" s="4" t="s">
        <v>179</v>
      </c>
      <c r="L579" s="4" t="s">
        <v>180</v>
      </c>
      <c r="M579" s="4" t="s">
        <v>192</v>
      </c>
      <c r="N579" s="4" t="s">
        <v>182</v>
      </c>
      <c r="O579" s="4" t="s">
        <v>183</v>
      </c>
      <c r="P579">
        <v>14057.08</v>
      </c>
      <c r="Q579" s="4" t="s">
        <v>30</v>
      </c>
    </row>
    <row r="580" spans="1:17" x14ac:dyDescent="0.2">
      <c r="A580" s="4" t="s">
        <v>764</v>
      </c>
      <c r="B580">
        <v>579</v>
      </c>
      <c r="C580" s="4" t="s">
        <v>26</v>
      </c>
      <c r="D580" s="4" t="s">
        <v>47</v>
      </c>
      <c r="E580" s="4" t="s">
        <v>47</v>
      </c>
      <c r="F580" s="4" t="s">
        <v>2128</v>
      </c>
      <c r="G580">
        <v>14</v>
      </c>
      <c r="H580">
        <v>67</v>
      </c>
      <c r="I580" s="4" t="s">
        <v>193</v>
      </c>
      <c r="J580" s="4" t="s">
        <v>194</v>
      </c>
      <c r="K580" s="4" t="s">
        <v>179</v>
      </c>
      <c r="L580" s="4" t="s">
        <v>186</v>
      </c>
      <c r="M580" s="4" t="s">
        <v>195</v>
      </c>
      <c r="N580" s="4" t="s">
        <v>196</v>
      </c>
      <c r="O580" s="4" t="s">
        <v>189</v>
      </c>
      <c r="P580">
        <v>-64801.41</v>
      </c>
      <c r="Q580" s="4" t="s">
        <v>30</v>
      </c>
    </row>
    <row r="581" spans="1:17" x14ac:dyDescent="0.2">
      <c r="A581" s="4" t="s">
        <v>765</v>
      </c>
      <c r="B581">
        <v>580</v>
      </c>
      <c r="C581" s="4" t="s">
        <v>26</v>
      </c>
      <c r="D581" s="4" t="s">
        <v>47</v>
      </c>
      <c r="E581" s="4" t="s">
        <v>47</v>
      </c>
      <c r="F581" s="4" t="s">
        <v>2128</v>
      </c>
      <c r="G581">
        <v>14</v>
      </c>
      <c r="H581">
        <v>67</v>
      </c>
      <c r="I581" s="4" t="s">
        <v>197</v>
      </c>
      <c r="J581" s="4" t="s">
        <v>198</v>
      </c>
      <c r="K581" s="4" t="s">
        <v>179</v>
      </c>
      <c r="L581" s="4" t="s">
        <v>186</v>
      </c>
      <c r="M581" s="4" t="s">
        <v>195</v>
      </c>
      <c r="N581" s="4" t="s">
        <v>196</v>
      </c>
      <c r="O581" s="4" t="s">
        <v>189</v>
      </c>
      <c r="P581">
        <v>-63801.41</v>
      </c>
      <c r="Q581" s="4" t="s">
        <v>30</v>
      </c>
    </row>
    <row r="582" spans="1:17" x14ac:dyDescent="0.2">
      <c r="A582" s="4" t="s">
        <v>766</v>
      </c>
      <c r="B582">
        <v>581</v>
      </c>
      <c r="C582" s="4" t="s">
        <v>26</v>
      </c>
      <c r="D582" s="4" t="s">
        <v>47</v>
      </c>
      <c r="E582" s="4" t="s">
        <v>47</v>
      </c>
      <c r="F582" s="4" t="s">
        <v>2128</v>
      </c>
      <c r="G582">
        <v>14</v>
      </c>
      <c r="H582">
        <v>67</v>
      </c>
      <c r="I582" s="4" t="s">
        <v>197</v>
      </c>
      <c r="J582" s="4" t="s">
        <v>198</v>
      </c>
      <c r="K582" s="4" t="s">
        <v>179</v>
      </c>
      <c r="L582" s="4" t="s">
        <v>186</v>
      </c>
      <c r="M582" s="4" t="s">
        <v>195</v>
      </c>
      <c r="N582" s="4" t="s">
        <v>196</v>
      </c>
      <c r="O582" s="4" t="s">
        <v>183</v>
      </c>
      <c r="P582">
        <v>63801.41</v>
      </c>
      <c r="Q582" s="4" t="s">
        <v>30</v>
      </c>
    </row>
    <row r="583" spans="1:17" x14ac:dyDescent="0.2">
      <c r="A583" s="4" t="s">
        <v>767</v>
      </c>
      <c r="B583">
        <v>582</v>
      </c>
      <c r="C583" s="4" t="s">
        <v>26</v>
      </c>
      <c r="D583" s="4" t="s">
        <v>47</v>
      </c>
      <c r="E583" s="4" t="s">
        <v>47</v>
      </c>
      <c r="F583" s="4" t="s">
        <v>2128</v>
      </c>
      <c r="G583">
        <v>14</v>
      </c>
      <c r="H583">
        <v>67</v>
      </c>
      <c r="I583" s="4" t="s">
        <v>199</v>
      </c>
      <c r="J583" s="4" t="s">
        <v>200</v>
      </c>
      <c r="K583" s="4" t="s">
        <v>179</v>
      </c>
      <c r="L583" s="4" t="s">
        <v>186</v>
      </c>
      <c r="M583" s="4" t="s">
        <v>195</v>
      </c>
      <c r="N583" s="4" t="s">
        <v>196</v>
      </c>
      <c r="O583" s="4" t="s">
        <v>189</v>
      </c>
      <c r="P583">
        <v>-1000</v>
      </c>
      <c r="Q583" s="4" t="s">
        <v>30</v>
      </c>
    </row>
    <row r="584" spans="1:17" x14ac:dyDescent="0.2">
      <c r="A584" s="4" t="s">
        <v>768</v>
      </c>
      <c r="B584">
        <v>583</v>
      </c>
      <c r="C584" s="4" t="s">
        <v>26</v>
      </c>
      <c r="D584" s="4" t="s">
        <v>47</v>
      </c>
      <c r="E584" s="4" t="s">
        <v>47</v>
      </c>
      <c r="F584" s="4" t="s">
        <v>2128</v>
      </c>
      <c r="G584">
        <v>14</v>
      </c>
      <c r="H584">
        <v>67</v>
      </c>
      <c r="I584" s="4" t="s">
        <v>199</v>
      </c>
      <c r="J584" s="4" t="s">
        <v>200</v>
      </c>
      <c r="K584" s="4" t="s">
        <v>179</v>
      </c>
      <c r="L584" s="4" t="s">
        <v>186</v>
      </c>
      <c r="M584" s="4" t="s">
        <v>195</v>
      </c>
      <c r="N584" s="4" t="s">
        <v>196</v>
      </c>
      <c r="O584" s="4" t="s">
        <v>183</v>
      </c>
      <c r="P584">
        <v>1000</v>
      </c>
      <c r="Q584" s="4" t="s">
        <v>30</v>
      </c>
    </row>
    <row r="585" spans="1:17" x14ac:dyDescent="0.2">
      <c r="A585" s="4" t="s">
        <v>769</v>
      </c>
      <c r="B585">
        <v>584</v>
      </c>
      <c r="C585" s="4" t="s">
        <v>26</v>
      </c>
      <c r="D585" s="4" t="s">
        <v>47</v>
      </c>
      <c r="E585" s="4" t="s">
        <v>47</v>
      </c>
      <c r="F585" s="4" t="s">
        <v>2128</v>
      </c>
      <c r="G585">
        <v>14</v>
      </c>
      <c r="H585">
        <v>67</v>
      </c>
      <c r="I585" s="4" t="s">
        <v>209</v>
      </c>
      <c r="J585" s="4" t="s">
        <v>210</v>
      </c>
      <c r="K585" s="4" t="s">
        <v>205</v>
      </c>
      <c r="L585" s="4" t="s">
        <v>211</v>
      </c>
      <c r="M585" s="4" t="s">
        <v>182</v>
      </c>
      <c r="N585" s="4" t="s">
        <v>182</v>
      </c>
      <c r="O585" s="4" t="s">
        <v>183</v>
      </c>
      <c r="P585">
        <v>12080.85</v>
      </c>
      <c r="Q585" s="4" t="s">
        <v>30</v>
      </c>
    </row>
    <row r="586" spans="1:17" x14ac:dyDescent="0.2">
      <c r="A586" s="4" t="s">
        <v>770</v>
      </c>
      <c r="B586">
        <v>585</v>
      </c>
      <c r="C586" s="4" t="s">
        <v>26</v>
      </c>
      <c r="D586" s="4" t="s">
        <v>47</v>
      </c>
      <c r="E586" s="4" t="s">
        <v>47</v>
      </c>
      <c r="F586" s="4" t="s">
        <v>2128</v>
      </c>
      <c r="G586">
        <v>14</v>
      </c>
      <c r="H586">
        <v>67</v>
      </c>
      <c r="I586" s="4" t="s">
        <v>203</v>
      </c>
      <c r="J586" s="4" t="s">
        <v>204</v>
      </c>
      <c r="K586" s="4" t="s">
        <v>205</v>
      </c>
      <c r="L586" s="4" t="s">
        <v>206</v>
      </c>
      <c r="M586" s="4" t="s">
        <v>182</v>
      </c>
      <c r="N586" s="4" t="s">
        <v>182</v>
      </c>
      <c r="O586" s="4" t="s">
        <v>183</v>
      </c>
      <c r="P586">
        <v>300</v>
      </c>
      <c r="Q586" s="4" t="s">
        <v>30</v>
      </c>
    </row>
    <row r="587" spans="1:17" x14ac:dyDescent="0.2">
      <c r="A587" s="4" t="s">
        <v>771</v>
      </c>
      <c r="B587">
        <v>586</v>
      </c>
      <c r="C587" s="4" t="s">
        <v>26</v>
      </c>
      <c r="D587" s="4" t="s">
        <v>47</v>
      </c>
      <c r="E587" s="4" t="s">
        <v>47</v>
      </c>
      <c r="F587" s="4" t="s">
        <v>2128</v>
      </c>
      <c r="G587">
        <v>14</v>
      </c>
      <c r="H587">
        <v>67</v>
      </c>
      <c r="I587" s="4" t="s">
        <v>201</v>
      </c>
      <c r="J587" s="4" t="s">
        <v>202</v>
      </c>
      <c r="K587" s="4" t="s">
        <v>179</v>
      </c>
      <c r="L587" s="4" t="s">
        <v>180</v>
      </c>
      <c r="M587" s="4" t="s">
        <v>192</v>
      </c>
      <c r="N587" s="4" t="s">
        <v>182</v>
      </c>
      <c r="O587" s="4" t="s">
        <v>189</v>
      </c>
      <c r="P587">
        <v>-12080.86</v>
      </c>
      <c r="Q587" s="4" t="s">
        <v>30</v>
      </c>
    </row>
    <row r="588" spans="1:17" x14ac:dyDescent="0.2">
      <c r="A588" s="4" t="s">
        <v>772</v>
      </c>
      <c r="B588">
        <v>587</v>
      </c>
      <c r="C588" s="4" t="s">
        <v>26</v>
      </c>
      <c r="D588" s="4" t="s">
        <v>47</v>
      </c>
      <c r="E588" s="4" t="s">
        <v>47</v>
      </c>
      <c r="F588" s="4" t="s">
        <v>2128</v>
      </c>
      <c r="G588">
        <v>14</v>
      </c>
      <c r="H588">
        <v>67</v>
      </c>
      <c r="I588" s="4" t="s">
        <v>201</v>
      </c>
      <c r="J588" s="4" t="s">
        <v>202</v>
      </c>
      <c r="K588" s="4" t="s">
        <v>179</v>
      </c>
      <c r="L588" s="4" t="s">
        <v>180</v>
      </c>
      <c r="M588" s="4" t="s">
        <v>192</v>
      </c>
      <c r="N588" s="4" t="s">
        <v>182</v>
      </c>
      <c r="O588" s="4" t="s">
        <v>183</v>
      </c>
      <c r="P588">
        <v>64801.42</v>
      </c>
      <c r="Q588" s="4" t="s">
        <v>30</v>
      </c>
    </row>
    <row r="589" spans="1:17" x14ac:dyDescent="0.2">
      <c r="A589" s="4" t="s">
        <v>773</v>
      </c>
      <c r="B589">
        <v>588</v>
      </c>
      <c r="C589" s="4" t="s">
        <v>26</v>
      </c>
      <c r="D589" s="4" t="s">
        <v>47</v>
      </c>
      <c r="E589" s="4" t="s">
        <v>47</v>
      </c>
      <c r="F589" s="4" t="s">
        <v>2128</v>
      </c>
      <c r="G589">
        <v>14</v>
      </c>
      <c r="H589">
        <v>67</v>
      </c>
      <c r="I589" s="4" t="s">
        <v>212</v>
      </c>
      <c r="J589" s="4" t="s">
        <v>213</v>
      </c>
      <c r="K589" s="4" t="s">
        <v>205</v>
      </c>
      <c r="L589" s="4" t="s">
        <v>214</v>
      </c>
      <c r="M589" s="4" t="s">
        <v>182</v>
      </c>
      <c r="N589" s="4" t="s">
        <v>182</v>
      </c>
      <c r="O589" s="4" t="s">
        <v>189</v>
      </c>
      <c r="P589">
        <v>-14057.08</v>
      </c>
      <c r="Q589" s="4" t="s">
        <v>30</v>
      </c>
    </row>
    <row r="590" spans="1:17" x14ac:dyDescent="0.2">
      <c r="A590" s="4" t="s">
        <v>774</v>
      </c>
      <c r="B590">
        <v>589</v>
      </c>
      <c r="C590" s="4" t="s">
        <v>26</v>
      </c>
      <c r="D590" s="4" t="s">
        <v>47</v>
      </c>
      <c r="E590" s="4" t="s">
        <v>50</v>
      </c>
      <c r="F590" s="4" t="s">
        <v>2157</v>
      </c>
      <c r="G590">
        <v>14</v>
      </c>
      <c r="H590">
        <v>68</v>
      </c>
      <c r="I590" s="4" t="s">
        <v>190</v>
      </c>
      <c r="J590" s="4" t="s">
        <v>191</v>
      </c>
      <c r="K590" s="4" t="s">
        <v>179</v>
      </c>
      <c r="L590" s="4" t="s">
        <v>180</v>
      </c>
      <c r="M590" s="4" t="s">
        <v>192</v>
      </c>
      <c r="N590" s="4" t="s">
        <v>182</v>
      </c>
      <c r="O590" s="4" t="s">
        <v>183</v>
      </c>
      <c r="P590">
        <v>14601.77</v>
      </c>
      <c r="Q590" s="4" t="s">
        <v>30</v>
      </c>
    </row>
    <row r="591" spans="1:17" x14ac:dyDescent="0.2">
      <c r="A591" s="4" t="s">
        <v>775</v>
      </c>
      <c r="B591">
        <v>590</v>
      </c>
      <c r="C591" s="4" t="s">
        <v>26</v>
      </c>
      <c r="D591" s="4" t="s">
        <v>47</v>
      </c>
      <c r="E591" s="4" t="s">
        <v>50</v>
      </c>
      <c r="F591" s="4" t="s">
        <v>2157</v>
      </c>
      <c r="G591">
        <v>14</v>
      </c>
      <c r="H591">
        <v>68</v>
      </c>
      <c r="I591" s="4" t="s">
        <v>207</v>
      </c>
      <c r="J591" s="4" t="s">
        <v>208</v>
      </c>
      <c r="K591" s="4" t="s">
        <v>179</v>
      </c>
      <c r="L591" s="4" t="s">
        <v>180</v>
      </c>
      <c r="M591" s="4" t="s">
        <v>192</v>
      </c>
      <c r="N591" s="4" t="s">
        <v>182</v>
      </c>
      <c r="O591" s="4" t="s">
        <v>189</v>
      </c>
      <c r="P591">
        <v>-14601.77</v>
      </c>
      <c r="Q591" s="4" t="s">
        <v>30</v>
      </c>
    </row>
    <row r="592" spans="1:17" x14ac:dyDescent="0.2">
      <c r="A592" s="4" t="s">
        <v>776</v>
      </c>
      <c r="B592">
        <v>591</v>
      </c>
      <c r="C592" s="4" t="s">
        <v>26</v>
      </c>
      <c r="D592" s="4" t="s">
        <v>47</v>
      </c>
      <c r="E592" s="4" t="s">
        <v>50</v>
      </c>
      <c r="F592" s="4" t="s">
        <v>2157</v>
      </c>
      <c r="G592">
        <v>14</v>
      </c>
      <c r="H592">
        <v>68</v>
      </c>
      <c r="I592" s="4" t="s">
        <v>207</v>
      </c>
      <c r="J592" s="4" t="s">
        <v>208</v>
      </c>
      <c r="K592" s="4" t="s">
        <v>179</v>
      </c>
      <c r="L592" s="4" t="s">
        <v>180</v>
      </c>
      <c r="M592" s="4" t="s">
        <v>192</v>
      </c>
      <c r="N592" s="4" t="s">
        <v>182</v>
      </c>
      <c r="O592" s="4" t="s">
        <v>183</v>
      </c>
      <c r="P592">
        <v>38387.31</v>
      </c>
      <c r="Q592" s="4" t="s">
        <v>30</v>
      </c>
    </row>
    <row r="593" spans="1:17" x14ac:dyDescent="0.2">
      <c r="A593" s="4" t="s">
        <v>777</v>
      </c>
      <c r="B593">
        <v>592</v>
      </c>
      <c r="C593" s="4" t="s">
        <v>26</v>
      </c>
      <c r="D593" s="4" t="s">
        <v>47</v>
      </c>
      <c r="E593" s="4" t="s">
        <v>50</v>
      </c>
      <c r="F593" s="4" t="s">
        <v>2157</v>
      </c>
      <c r="G593">
        <v>14</v>
      </c>
      <c r="H593">
        <v>68</v>
      </c>
      <c r="I593" s="4" t="s">
        <v>209</v>
      </c>
      <c r="J593" s="4" t="s">
        <v>210</v>
      </c>
      <c r="K593" s="4" t="s">
        <v>205</v>
      </c>
      <c r="L593" s="4" t="s">
        <v>211</v>
      </c>
      <c r="M593" s="4" t="s">
        <v>182</v>
      </c>
      <c r="N593" s="4" t="s">
        <v>182</v>
      </c>
      <c r="O593" s="4" t="s">
        <v>183</v>
      </c>
      <c r="P593">
        <v>33581.279999999999</v>
      </c>
      <c r="Q593" s="4" t="s">
        <v>30</v>
      </c>
    </row>
    <row r="594" spans="1:17" x14ac:dyDescent="0.2">
      <c r="A594" s="4" t="s">
        <v>778</v>
      </c>
      <c r="B594">
        <v>593</v>
      </c>
      <c r="C594" s="4" t="s">
        <v>26</v>
      </c>
      <c r="D594" s="4" t="s">
        <v>47</v>
      </c>
      <c r="E594" s="4" t="s">
        <v>50</v>
      </c>
      <c r="F594" s="4" t="s">
        <v>2157</v>
      </c>
      <c r="G594">
        <v>14</v>
      </c>
      <c r="H594">
        <v>68</v>
      </c>
      <c r="I594" s="4" t="s">
        <v>201</v>
      </c>
      <c r="J594" s="4" t="s">
        <v>202</v>
      </c>
      <c r="K594" s="4" t="s">
        <v>179</v>
      </c>
      <c r="L594" s="4" t="s">
        <v>180</v>
      </c>
      <c r="M594" s="4" t="s">
        <v>192</v>
      </c>
      <c r="N594" s="4" t="s">
        <v>182</v>
      </c>
      <c r="O594" s="4" t="s">
        <v>189</v>
      </c>
      <c r="P594">
        <v>-33581.279999999999</v>
      </c>
      <c r="Q594" s="4" t="s">
        <v>30</v>
      </c>
    </row>
    <row r="595" spans="1:17" x14ac:dyDescent="0.2">
      <c r="A595" s="4" t="s">
        <v>779</v>
      </c>
      <c r="B595">
        <v>594</v>
      </c>
      <c r="C595" s="4" t="s">
        <v>26</v>
      </c>
      <c r="D595" s="4" t="s">
        <v>47</v>
      </c>
      <c r="E595" s="4" t="s">
        <v>50</v>
      </c>
      <c r="F595" s="4" t="s">
        <v>2157</v>
      </c>
      <c r="G595">
        <v>14</v>
      </c>
      <c r="H595">
        <v>68</v>
      </c>
      <c r="I595" s="4" t="s">
        <v>212</v>
      </c>
      <c r="J595" s="4" t="s">
        <v>213</v>
      </c>
      <c r="K595" s="4" t="s">
        <v>205</v>
      </c>
      <c r="L595" s="4" t="s">
        <v>214</v>
      </c>
      <c r="M595" s="4" t="s">
        <v>182</v>
      </c>
      <c r="N595" s="4" t="s">
        <v>182</v>
      </c>
      <c r="O595" s="4" t="s">
        <v>189</v>
      </c>
      <c r="P595">
        <v>-38387.31</v>
      </c>
      <c r="Q595" s="4" t="s">
        <v>30</v>
      </c>
    </row>
    <row r="596" spans="1:17" x14ac:dyDescent="0.2">
      <c r="A596" s="4" t="s">
        <v>780</v>
      </c>
      <c r="B596">
        <v>595</v>
      </c>
      <c r="C596" s="4" t="s">
        <v>26</v>
      </c>
      <c r="D596" s="4" t="s">
        <v>47</v>
      </c>
      <c r="E596" s="4" t="s">
        <v>53</v>
      </c>
      <c r="F596" s="4" t="s">
        <v>2158</v>
      </c>
      <c r="G596">
        <v>14</v>
      </c>
      <c r="H596">
        <v>69</v>
      </c>
      <c r="I596" s="4" t="s">
        <v>190</v>
      </c>
      <c r="J596" s="4" t="s">
        <v>191</v>
      </c>
      <c r="K596" s="4" t="s">
        <v>179</v>
      </c>
      <c r="L596" s="4" t="s">
        <v>180</v>
      </c>
      <c r="M596" s="4" t="s">
        <v>192</v>
      </c>
      <c r="N596" s="4" t="s">
        <v>182</v>
      </c>
      <c r="O596" s="4" t="s">
        <v>189</v>
      </c>
      <c r="P596">
        <v>-84214.3</v>
      </c>
      <c r="Q596" s="4" t="s">
        <v>30</v>
      </c>
    </row>
    <row r="597" spans="1:17" x14ac:dyDescent="0.2">
      <c r="A597" s="4" t="s">
        <v>781</v>
      </c>
      <c r="B597">
        <v>596</v>
      </c>
      <c r="C597" s="4" t="s">
        <v>26</v>
      </c>
      <c r="D597" s="4" t="s">
        <v>47</v>
      </c>
      <c r="E597" s="4" t="s">
        <v>53</v>
      </c>
      <c r="F597" s="4" t="s">
        <v>2158</v>
      </c>
      <c r="G597">
        <v>14</v>
      </c>
      <c r="H597">
        <v>69</v>
      </c>
      <c r="I597" s="4" t="s">
        <v>190</v>
      </c>
      <c r="J597" s="4" t="s">
        <v>191</v>
      </c>
      <c r="K597" s="4" t="s">
        <v>179</v>
      </c>
      <c r="L597" s="4" t="s">
        <v>180</v>
      </c>
      <c r="M597" s="4" t="s">
        <v>192</v>
      </c>
      <c r="N597" s="4" t="s">
        <v>182</v>
      </c>
      <c r="O597" s="4" t="s">
        <v>183</v>
      </c>
      <c r="P597">
        <v>22912.06</v>
      </c>
      <c r="Q597" s="4" t="s">
        <v>30</v>
      </c>
    </row>
    <row r="598" spans="1:17" x14ac:dyDescent="0.2">
      <c r="A598" s="4" t="s">
        <v>782</v>
      </c>
      <c r="B598">
        <v>597</v>
      </c>
      <c r="C598" s="4" t="s">
        <v>26</v>
      </c>
      <c r="D598" s="4" t="s">
        <v>47</v>
      </c>
      <c r="E598" s="4" t="s">
        <v>53</v>
      </c>
      <c r="F598" s="4" t="s">
        <v>2158</v>
      </c>
      <c r="G598">
        <v>14</v>
      </c>
      <c r="H598">
        <v>69</v>
      </c>
      <c r="I598" s="4" t="s">
        <v>207</v>
      </c>
      <c r="J598" s="4" t="s">
        <v>208</v>
      </c>
      <c r="K598" s="4" t="s">
        <v>179</v>
      </c>
      <c r="L598" s="4" t="s">
        <v>180</v>
      </c>
      <c r="M598" s="4" t="s">
        <v>192</v>
      </c>
      <c r="N598" s="4" t="s">
        <v>182</v>
      </c>
      <c r="O598" s="4" t="s">
        <v>189</v>
      </c>
      <c r="P598">
        <v>-22912.06</v>
      </c>
      <c r="Q598" s="4" t="s">
        <v>30</v>
      </c>
    </row>
    <row r="599" spans="1:17" x14ac:dyDescent="0.2">
      <c r="A599" s="4" t="s">
        <v>783</v>
      </c>
      <c r="B599">
        <v>598</v>
      </c>
      <c r="C599" s="4" t="s">
        <v>26</v>
      </c>
      <c r="D599" s="4" t="s">
        <v>47</v>
      </c>
      <c r="E599" s="4" t="s">
        <v>53</v>
      </c>
      <c r="F599" s="4" t="s">
        <v>2158</v>
      </c>
      <c r="G599">
        <v>14</v>
      </c>
      <c r="H599">
        <v>69</v>
      </c>
      <c r="I599" s="4" t="s">
        <v>207</v>
      </c>
      <c r="J599" s="4" t="s">
        <v>208</v>
      </c>
      <c r="K599" s="4" t="s">
        <v>179</v>
      </c>
      <c r="L599" s="4" t="s">
        <v>180</v>
      </c>
      <c r="M599" s="4" t="s">
        <v>192</v>
      </c>
      <c r="N599" s="4" t="s">
        <v>182</v>
      </c>
      <c r="O599" s="4" t="s">
        <v>183</v>
      </c>
      <c r="P599">
        <v>14781.96</v>
      </c>
      <c r="Q599" s="4" t="s">
        <v>30</v>
      </c>
    </row>
    <row r="600" spans="1:17" x14ac:dyDescent="0.2">
      <c r="A600" s="4" t="s">
        <v>784</v>
      </c>
      <c r="B600">
        <v>599</v>
      </c>
      <c r="C600" s="4" t="s">
        <v>26</v>
      </c>
      <c r="D600" s="4" t="s">
        <v>47</v>
      </c>
      <c r="E600" s="4" t="s">
        <v>53</v>
      </c>
      <c r="F600" s="4" t="s">
        <v>2158</v>
      </c>
      <c r="G600">
        <v>14</v>
      </c>
      <c r="H600">
        <v>69</v>
      </c>
      <c r="I600" s="4" t="s">
        <v>193</v>
      </c>
      <c r="J600" s="4" t="s">
        <v>194</v>
      </c>
      <c r="K600" s="4" t="s">
        <v>179</v>
      </c>
      <c r="L600" s="4" t="s">
        <v>186</v>
      </c>
      <c r="M600" s="4" t="s">
        <v>195</v>
      </c>
      <c r="N600" s="4" t="s">
        <v>196</v>
      </c>
      <c r="O600" s="4" t="s">
        <v>183</v>
      </c>
      <c r="P600">
        <v>83914.3</v>
      </c>
      <c r="Q600" s="4" t="s">
        <v>30</v>
      </c>
    </row>
    <row r="601" spans="1:17" x14ac:dyDescent="0.2">
      <c r="A601" s="4" t="s">
        <v>785</v>
      </c>
      <c r="B601">
        <v>600</v>
      </c>
      <c r="C601" s="4" t="s">
        <v>26</v>
      </c>
      <c r="D601" s="4" t="s">
        <v>47</v>
      </c>
      <c r="E601" s="4" t="s">
        <v>53</v>
      </c>
      <c r="F601" s="4" t="s">
        <v>2158</v>
      </c>
      <c r="G601">
        <v>14</v>
      </c>
      <c r="H601">
        <v>69</v>
      </c>
      <c r="I601" s="4" t="s">
        <v>209</v>
      </c>
      <c r="J601" s="4" t="s">
        <v>210</v>
      </c>
      <c r="K601" s="4" t="s">
        <v>205</v>
      </c>
      <c r="L601" s="4" t="s">
        <v>211</v>
      </c>
      <c r="M601" s="4" t="s">
        <v>182</v>
      </c>
      <c r="N601" s="4" t="s">
        <v>182</v>
      </c>
      <c r="O601" s="4" t="s">
        <v>183</v>
      </c>
      <c r="P601">
        <v>13048.85</v>
      </c>
      <c r="Q601" s="4" t="s">
        <v>30</v>
      </c>
    </row>
    <row r="602" spans="1:17" x14ac:dyDescent="0.2">
      <c r="A602" s="4" t="s">
        <v>786</v>
      </c>
      <c r="B602">
        <v>601</v>
      </c>
      <c r="C602" s="4" t="s">
        <v>26</v>
      </c>
      <c r="D602" s="4" t="s">
        <v>47</v>
      </c>
      <c r="E602" s="4" t="s">
        <v>53</v>
      </c>
      <c r="F602" s="4" t="s">
        <v>2158</v>
      </c>
      <c r="G602">
        <v>14</v>
      </c>
      <c r="H602">
        <v>69</v>
      </c>
      <c r="I602" s="4" t="s">
        <v>203</v>
      </c>
      <c r="J602" s="4" t="s">
        <v>204</v>
      </c>
      <c r="K602" s="4" t="s">
        <v>205</v>
      </c>
      <c r="L602" s="4" t="s">
        <v>206</v>
      </c>
      <c r="M602" s="4" t="s">
        <v>182</v>
      </c>
      <c r="N602" s="4" t="s">
        <v>182</v>
      </c>
      <c r="O602" s="4" t="s">
        <v>183</v>
      </c>
      <c r="P602">
        <v>300</v>
      </c>
      <c r="Q602" s="4" t="s">
        <v>30</v>
      </c>
    </row>
    <row r="603" spans="1:17" x14ac:dyDescent="0.2">
      <c r="A603" s="4" t="s">
        <v>787</v>
      </c>
      <c r="B603">
        <v>602</v>
      </c>
      <c r="C603" s="4" t="s">
        <v>26</v>
      </c>
      <c r="D603" s="4" t="s">
        <v>47</v>
      </c>
      <c r="E603" s="4" t="s">
        <v>53</v>
      </c>
      <c r="F603" s="4" t="s">
        <v>2158</v>
      </c>
      <c r="G603">
        <v>14</v>
      </c>
      <c r="H603">
        <v>69</v>
      </c>
      <c r="I603" s="4" t="s">
        <v>201</v>
      </c>
      <c r="J603" s="4" t="s">
        <v>202</v>
      </c>
      <c r="K603" s="4" t="s">
        <v>179</v>
      </c>
      <c r="L603" s="4" t="s">
        <v>180</v>
      </c>
      <c r="M603" s="4" t="s">
        <v>192</v>
      </c>
      <c r="N603" s="4" t="s">
        <v>182</v>
      </c>
      <c r="O603" s="4" t="s">
        <v>189</v>
      </c>
      <c r="P603">
        <v>-13048.85</v>
      </c>
      <c r="Q603" s="4" t="s">
        <v>30</v>
      </c>
    </row>
    <row r="604" spans="1:17" x14ac:dyDescent="0.2">
      <c r="A604" s="4" t="s">
        <v>788</v>
      </c>
      <c r="B604">
        <v>603</v>
      </c>
      <c r="C604" s="4" t="s">
        <v>26</v>
      </c>
      <c r="D604" s="4" t="s">
        <v>47</v>
      </c>
      <c r="E604" s="4" t="s">
        <v>53</v>
      </c>
      <c r="F604" s="4" t="s">
        <v>2158</v>
      </c>
      <c r="G604">
        <v>14</v>
      </c>
      <c r="H604">
        <v>69</v>
      </c>
      <c r="I604" s="4" t="s">
        <v>212</v>
      </c>
      <c r="J604" s="4" t="s">
        <v>213</v>
      </c>
      <c r="K604" s="4" t="s">
        <v>205</v>
      </c>
      <c r="L604" s="4" t="s">
        <v>214</v>
      </c>
      <c r="M604" s="4" t="s">
        <v>182</v>
      </c>
      <c r="N604" s="4" t="s">
        <v>182</v>
      </c>
      <c r="O604" s="4" t="s">
        <v>189</v>
      </c>
      <c r="P604">
        <v>-14781.96</v>
      </c>
      <c r="Q604" s="4" t="s">
        <v>30</v>
      </c>
    </row>
    <row r="605" spans="1:17" x14ac:dyDescent="0.2">
      <c r="A605" s="4" t="s">
        <v>789</v>
      </c>
      <c r="B605">
        <v>604</v>
      </c>
      <c r="C605" s="4" t="s">
        <v>26</v>
      </c>
      <c r="D605" s="4" t="s">
        <v>47</v>
      </c>
      <c r="E605" s="4" t="s">
        <v>56</v>
      </c>
      <c r="F605" s="4" t="s">
        <v>2222</v>
      </c>
      <c r="G605">
        <v>14</v>
      </c>
      <c r="H605">
        <v>70</v>
      </c>
      <c r="I605" s="4" t="s">
        <v>190</v>
      </c>
      <c r="J605" s="4" t="s">
        <v>191</v>
      </c>
      <c r="K605" s="4" t="s">
        <v>179</v>
      </c>
      <c r="L605" s="4" t="s">
        <v>180</v>
      </c>
      <c r="M605" s="4" t="s">
        <v>192</v>
      </c>
      <c r="N605" s="4" t="s">
        <v>182</v>
      </c>
      <c r="O605" s="4" t="s">
        <v>183</v>
      </c>
      <c r="P605">
        <v>21479.75</v>
      </c>
      <c r="Q605" s="4" t="s">
        <v>30</v>
      </c>
    </row>
    <row r="606" spans="1:17" x14ac:dyDescent="0.2">
      <c r="A606" s="4" t="s">
        <v>790</v>
      </c>
      <c r="B606">
        <v>605</v>
      </c>
      <c r="C606" s="4" t="s">
        <v>26</v>
      </c>
      <c r="D606" s="4" t="s">
        <v>47</v>
      </c>
      <c r="E606" s="4" t="s">
        <v>56</v>
      </c>
      <c r="F606" s="4" t="s">
        <v>2222</v>
      </c>
      <c r="G606">
        <v>14</v>
      </c>
      <c r="H606">
        <v>70</v>
      </c>
      <c r="I606" s="4" t="s">
        <v>207</v>
      </c>
      <c r="J606" s="4" t="s">
        <v>208</v>
      </c>
      <c r="K606" s="4" t="s">
        <v>179</v>
      </c>
      <c r="L606" s="4" t="s">
        <v>180</v>
      </c>
      <c r="M606" s="4" t="s">
        <v>192</v>
      </c>
      <c r="N606" s="4" t="s">
        <v>182</v>
      </c>
      <c r="O606" s="4" t="s">
        <v>189</v>
      </c>
      <c r="P606">
        <v>-21479.75</v>
      </c>
      <c r="Q606" s="4" t="s">
        <v>30</v>
      </c>
    </row>
    <row r="607" spans="1:17" x14ac:dyDescent="0.2">
      <c r="A607" s="4" t="s">
        <v>791</v>
      </c>
      <c r="B607">
        <v>606</v>
      </c>
      <c r="C607" s="4" t="s">
        <v>26</v>
      </c>
      <c r="D607" s="4" t="s">
        <v>47</v>
      </c>
      <c r="E607" s="4" t="s">
        <v>56</v>
      </c>
      <c r="F607" s="4" t="s">
        <v>2222</v>
      </c>
      <c r="G607">
        <v>14</v>
      </c>
      <c r="H607">
        <v>70</v>
      </c>
      <c r="I607" s="4" t="s">
        <v>207</v>
      </c>
      <c r="J607" s="4" t="s">
        <v>208</v>
      </c>
      <c r="K607" s="4" t="s">
        <v>179</v>
      </c>
      <c r="L607" s="4" t="s">
        <v>180</v>
      </c>
      <c r="M607" s="4" t="s">
        <v>192</v>
      </c>
      <c r="N607" s="4" t="s">
        <v>182</v>
      </c>
      <c r="O607" s="4" t="s">
        <v>183</v>
      </c>
      <c r="P607">
        <v>27700.89</v>
      </c>
      <c r="Q607" s="4" t="s">
        <v>30</v>
      </c>
    </row>
    <row r="608" spans="1:17" x14ac:dyDescent="0.2">
      <c r="A608" s="4" t="s">
        <v>792</v>
      </c>
      <c r="B608">
        <v>607</v>
      </c>
      <c r="C608" s="4" t="s">
        <v>26</v>
      </c>
      <c r="D608" s="4" t="s">
        <v>47</v>
      </c>
      <c r="E608" s="4" t="s">
        <v>56</v>
      </c>
      <c r="F608" s="4" t="s">
        <v>2222</v>
      </c>
      <c r="G608">
        <v>14</v>
      </c>
      <c r="H608">
        <v>70</v>
      </c>
      <c r="I608" s="4" t="s">
        <v>209</v>
      </c>
      <c r="J608" s="4" t="s">
        <v>210</v>
      </c>
      <c r="K608" s="4" t="s">
        <v>205</v>
      </c>
      <c r="L608" s="4" t="s">
        <v>211</v>
      </c>
      <c r="M608" s="4" t="s">
        <v>182</v>
      </c>
      <c r="N608" s="4" t="s">
        <v>182</v>
      </c>
      <c r="O608" s="4" t="s">
        <v>183</v>
      </c>
      <c r="P608">
        <v>24092.66</v>
      </c>
      <c r="Q608" s="4" t="s">
        <v>30</v>
      </c>
    </row>
    <row r="609" spans="1:17" x14ac:dyDescent="0.2">
      <c r="A609" s="4" t="s">
        <v>793</v>
      </c>
      <c r="B609">
        <v>608</v>
      </c>
      <c r="C609" s="4" t="s">
        <v>26</v>
      </c>
      <c r="D609" s="4" t="s">
        <v>47</v>
      </c>
      <c r="E609" s="4" t="s">
        <v>56</v>
      </c>
      <c r="F609" s="4" t="s">
        <v>2222</v>
      </c>
      <c r="G609">
        <v>14</v>
      </c>
      <c r="H609">
        <v>70</v>
      </c>
      <c r="I609" s="4" t="s">
        <v>201</v>
      </c>
      <c r="J609" s="4" t="s">
        <v>202</v>
      </c>
      <c r="K609" s="4" t="s">
        <v>179</v>
      </c>
      <c r="L609" s="4" t="s">
        <v>180</v>
      </c>
      <c r="M609" s="4" t="s">
        <v>192</v>
      </c>
      <c r="N609" s="4" t="s">
        <v>182</v>
      </c>
      <c r="O609" s="4" t="s">
        <v>189</v>
      </c>
      <c r="P609">
        <v>-24092.66</v>
      </c>
      <c r="Q609" s="4" t="s">
        <v>30</v>
      </c>
    </row>
    <row r="610" spans="1:17" x14ac:dyDescent="0.2">
      <c r="A610" s="4" t="s">
        <v>794</v>
      </c>
      <c r="B610">
        <v>609</v>
      </c>
      <c r="C610" s="4" t="s">
        <v>26</v>
      </c>
      <c r="D610" s="4" t="s">
        <v>47</v>
      </c>
      <c r="E610" s="4" t="s">
        <v>56</v>
      </c>
      <c r="F610" s="4" t="s">
        <v>2222</v>
      </c>
      <c r="G610">
        <v>14</v>
      </c>
      <c r="H610">
        <v>70</v>
      </c>
      <c r="I610" s="4" t="s">
        <v>212</v>
      </c>
      <c r="J610" s="4" t="s">
        <v>213</v>
      </c>
      <c r="K610" s="4" t="s">
        <v>205</v>
      </c>
      <c r="L610" s="4" t="s">
        <v>214</v>
      </c>
      <c r="M610" s="4" t="s">
        <v>182</v>
      </c>
      <c r="N610" s="4" t="s">
        <v>182</v>
      </c>
      <c r="O610" s="4" t="s">
        <v>189</v>
      </c>
      <c r="P610">
        <v>-27700.89</v>
      </c>
      <c r="Q610" s="4" t="s">
        <v>30</v>
      </c>
    </row>
    <row r="611" spans="1:17" x14ac:dyDescent="0.2">
      <c r="A611" s="4" t="s">
        <v>795</v>
      </c>
      <c r="B611">
        <v>610</v>
      </c>
      <c r="C611" s="4" t="s">
        <v>26</v>
      </c>
      <c r="D611" s="4" t="s">
        <v>50</v>
      </c>
      <c r="E611" s="4" t="s">
        <v>27</v>
      </c>
      <c r="F611" s="4" t="s">
        <v>2252</v>
      </c>
      <c r="G611">
        <v>15</v>
      </c>
      <c r="H611">
        <v>71</v>
      </c>
      <c r="I611" s="4" t="s">
        <v>190</v>
      </c>
      <c r="J611" s="4" t="s">
        <v>191</v>
      </c>
      <c r="K611" s="4" t="s">
        <v>179</v>
      </c>
      <c r="L611" s="4" t="s">
        <v>180</v>
      </c>
      <c r="M611" s="4" t="s">
        <v>192</v>
      </c>
      <c r="N611" s="4" t="s">
        <v>182</v>
      </c>
      <c r="O611" s="4" t="s">
        <v>189</v>
      </c>
      <c r="P611">
        <v>-300</v>
      </c>
      <c r="Q611" s="4" t="s">
        <v>30</v>
      </c>
    </row>
    <row r="612" spans="1:17" x14ac:dyDescent="0.2">
      <c r="A612" s="4" t="s">
        <v>796</v>
      </c>
      <c r="B612">
        <v>611</v>
      </c>
      <c r="C612" s="4" t="s">
        <v>26</v>
      </c>
      <c r="D612" s="4" t="s">
        <v>50</v>
      </c>
      <c r="E612" s="4" t="s">
        <v>27</v>
      </c>
      <c r="F612" s="4" t="s">
        <v>2252</v>
      </c>
      <c r="G612">
        <v>15</v>
      </c>
      <c r="H612">
        <v>71</v>
      </c>
      <c r="I612" s="4" t="s">
        <v>190</v>
      </c>
      <c r="J612" s="4" t="s">
        <v>191</v>
      </c>
      <c r="K612" s="4" t="s">
        <v>179</v>
      </c>
      <c r="L612" s="4" t="s">
        <v>180</v>
      </c>
      <c r="M612" s="4" t="s">
        <v>192</v>
      </c>
      <c r="N612" s="4" t="s">
        <v>182</v>
      </c>
      <c r="O612" s="4" t="s">
        <v>183</v>
      </c>
      <c r="P612">
        <v>14057.08</v>
      </c>
      <c r="Q612" s="4" t="s">
        <v>30</v>
      </c>
    </row>
    <row r="613" spans="1:17" x14ac:dyDescent="0.2">
      <c r="A613" s="4" t="s">
        <v>797</v>
      </c>
      <c r="B613">
        <v>612</v>
      </c>
      <c r="C613" s="4" t="s">
        <v>26</v>
      </c>
      <c r="D613" s="4" t="s">
        <v>50</v>
      </c>
      <c r="E613" s="4" t="s">
        <v>27</v>
      </c>
      <c r="F613" s="4" t="s">
        <v>2252</v>
      </c>
      <c r="G613">
        <v>15</v>
      </c>
      <c r="H613">
        <v>71</v>
      </c>
      <c r="I613" s="4" t="s">
        <v>207</v>
      </c>
      <c r="J613" s="4" t="s">
        <v>208</v>
      </c>
      <c r="K613" s="4" t="s">
        <v>179</v>
      </c>
      <c r="L613" s="4" t="s">
        <v>180</v>
      </c>
      <c r="M613" s="4" t="s">
        <v>192</v>
      </c>
      <c r="N613" s="4" t="s">
        <v>182</v>
      </c>
      <c r="O613" s="4" t="s">
        <v>189</v>
      </c>
      <c r="P613">
        <v>-14057.08</v>
      </c>
      <c r="Q613" s="4" t="s">
        <v>30</v>
      </c>
    </row>
    <row r="614" spans="1:17" x14ac:dyDescent="0.2">
      <c r="A614" s="4" t="s">
        <v>798</v>
      </c>
      <c r="B614">
        <v>613</v>
      </c>
      <c r="C614" s="4" t="s">
        <v>26</v>
      </c>
      <c r="D614" s="4" t="s">
        <v>50</v>
      </c>
      <c r="E614" s="4" t="s">
        <v>27</v>
      </c>
      <c r="F614" s="4" t="s">
        <v>2252</v>
      </c>
      <c r="G614">
        <v>15</v>
      </c>
      <c r="H614">
        <v>71</v>
      </c>
      <c r="I614" s="4" t="s">
        <v>207</v>
      </c>
      <c r="J614" s="4" t="s">
        <v>208</v>
      </c>
      <c r="K614" s="4" t="s">
        <v>179</v>
      </c>
      <c r="L614" s="4" t="s">
        <v>180</v>
      </c>
      <c r="M614" s="4" t="s">
        <v>192</v>
      </c>
      <c r="N614" s="4" t="s">
        <v>182</v>
      </c>
      <c r="O614" s="4" t="s">
        <v>183</v>
      </c>
      <c r="P614">
        <v>12571.21</v>
      </c>
      <c r="Q614" s="4" t="s">
        <v>30</v>
      </c>
    </row>
    <row r="615" spans="1:17" x14ac:dyDescent="0.2">
      <c r="A615" s="4" t="s">
        <v>799</v>
      </c>
      <c r="B615">
        <v>614</v>
      </c>
      <c r="C615" s="4" t="s">
        <v>26</v>
      </c>
      <c r="D615" s="4" t="s">
        <v>50</v>
      </c>
      <c r="E615" s="4" t="s">
        <v>27</v>
      </c>
      <c r="F615" s="4" t="s">
        <v>2252</v>
      </c>
      <c r="G615">
        <v>15</v>
      </c>
      <c r="H615">
        <v>71</v>
      </c>
      <c r="I615" s="4" t="s">
        <v>193</v>
      </c>
      <c r="J615" s="4" t="s">
        <v>194</v>
      </c>
      <c r="K615" s="4" t="s">
        <v>179</v>
      </c>
      <c r="L615" s="4" t="s">
        <v>186</v>
      </c>
      <c r="M615" s="4" t="s">
        <v>195</v>
      </c>
      <c r="N615" s="4" t="s">
        <v>196</v>
      </c>
      <c r="O615" s="4" t="s">
        <v>189</v>
      </c>
      <c r="P615">
        <v>-81953.78</v>
      </c>
      <c r="Q615" s="4" t="s">
        <v>30</v>
      </c>
    </row>
    <row r="616" spans="1:17" x14ac:dyDescent="0.2">
      <c r="A616" s="4" t="s">
        <v>800</v>
      </c>
      <c r="B616">
        <v>615</v>
      </c>
      <c r="C616" s="4" t="s">
        <v>26</v>
      </c>
      <c r="D616" s="4" t="s">
        <v>50</v>
      </c>
      <c r="E616" s="4" t="s">
        <v>27</v>
      </c>
      <c r="F616" s="4" t="s">
        <v>2252</v>
      </c>
      <c r="G616">
        <v>15</v>
      </c>
      <c r="H616">
        <v>71</v>
      </c>
      <c r="I616" s="4" t="s">
        <v>197</v>
      </c>
      <c r="J616" s="4" t="s">
        <v>198</v>
      </c>
      <c r="K616" s="4" t="s">
        <v>179</v>
      </c>
      <c r="L616" s="4" t="s">
        <v>186</v>
      </c>
      <c r="M616" s="4" t="s">
        <v>195</v>
      </c>
      <c r="N616" s="4" t="s">
        <v>196</v>
      </c>
      <c r="O616" s="4" t="s">
        <v>189</v>
      </c>
      <c r="P616">
        <v>-80953.78</v>
      </c>
      <c r="Q616" s="4" t="s">
        <v>30</v>
      </c>
    </row>
    <row r="617" spans="1:17" x14ac:dyDescent="0.2">
      <c r="A617" s="4" t="s">
        <v>801</v>
      </c>
      <c r="B617">
        <v>616</v>
      </c>
      <c r="C617" s="4" t="s">
        <v>26</v>
      </c>
      <c r="D617" s="4" t="s">
        <v>50</v>
      </c>
      <c r="E617" s="4" t="s">
        <v>27</v>
      </c>
      <c r="F617" s="4" t="s">
        <v>2252</v>
      </c>
      <c r="G617">
        <v>15</v>
      </c>
      <c r="H617">
        <v>71</v>
      </c>
      <c r="I617" s="4" t="s">
        <v>197</v>
      </c>
      <c r="J617" s="4" t="s">
        <v>198</v>
      </c>
      <c r="K617" s="4" t="s">
        <v>179</v>
      </c>
      <c r="L617" s="4" t="s">
        <v>186</v>
      </c>
      <c r="M617" s="4" t="s">
        <v>195</v>
      </c>
      <c r="N617" s="4" t="s">
        <v>196</v>
      </c>
      <c r="O617" s="4" t="s">
        <v>183</v>
      </c>
      <c r="P617">
        <v>80953.78</v>
      </c>
      <c r="Q617" s="4" t="s">
        <v>30</v>
      </c>
    </row>
    <row r="618" spans="1:17" x14ac:dyDescent="0.2">
      <c r="A618" s="4" t="s">
        <v>802</v>
      </c>
      <c r="B618">
        <v>617</v>
      </c>
      <c r="C618" s="4" t="s">
        <v>26</v>
      </c>
      <c r="D618" s="4" t="s">
        <v>50</v>
      </c>
      <c r="E618" s="4" t="s">
        <v>27</v>
      </c>
      <c r="F618" s="4" t="s">
        <v>2252</v>
      </c>
      <c r="G618">
        <v>15</v>
      </c>
      <c r="H618">
        <v>71</v>
      </c>
      <c r="I618" s="4" t="s">
        <v>199</v>
      </c>
      <c r="J618" s="4" t="s">
        <v>200</v>
      </c>
      <c r="K618" s="4" t="s">
        <v>179</v>
      </c>
      <c r="L618" s="4" t="s">
        <v>186</v>
      </c>
      <c r="M618" s="4" t="s">
        <v>195</v>
      </c>
      <c r="N618" s="4" t="s">
        <v>196</v>
      </c>
      <c r="O618" s="4" t="s">
        <v>189</v>
      </c>
      <c r="P618">
        <v>-1000</v>
      </c>
      <c r="Q618" s="4" t="s">
        <v>30</v>
      </c>
    </row>
    <row r="619" spans="1:17" x14ac:dyDescent="0.2">
      <c r="A619" s="4" t="s">
        <v>803</v>
      </c>
      <c r="B619">
        <v>618</v>
      </c>
      <c r="C619" s="4" t="s">
        <v>26</v>
      </c>
      <c r="D619" s="4" t="s">
        <v>50</v>
      </c>
      <c r="E619" s="4" t="s">
        <v>27</v>
      </c>
      <c r="F619" s="4" t="s">
        <v>2252</v>
      </c>
      <c r="G619">
        <v>15</v>
      </c>
      <c r="H619">
        <v>71</v>
      </c>
      <c r="I619" s="4" t="s">
        <v>199</v>
      </c>
      <c r="J619" s="4" t="s">
        <v>200</v>
      </c>
      <c r="K619" s="4" t="s">
        <v>179</v>
      </c>
      <c r="L619" s="4" t="s">
        <v>186</v>
      </c>
      <c r="M619" s="4" t="s">
        <v>195</v>
      </c>
      <c r="N619" s="4" t="s">
        <v>196</v>
      </c>
      <c r="O619" s="4" t="s">
        <v>183</v>
      </c>
      <c r="P619">
        <v>1000</v>
      </c>
      <c r="Q619" s="4" t="s">
        <v>30</v>
      </c>
    </row>
    <row r="620" spans="1:17" x14ac:dyDescent="0.2">
      <c r="A620" s="4" t="s">
        <v>804</v>
      </c>
      <c r="B620">
        <v>619</v>
      </c>
      <c r="C620" s="4" t="s">
        <v>26</v>
      </c>
      <c r="D620" s="4" t="s">
        <v>50</v>
      </c>
      <c r="E620" s="4" t="s">
        <v>27</v>
      </c>
      <c r="F620" s="4" t="s">
        <v>2252</v>
      </c>
      <c r="G620">
        <v>15</v>
      </c>
      <c r="H620">
        <v>71</v>
      </c>
      <c r="I620" s="4" t="s">
        <v>209</v>
      </c>
      <c r="J620" s="4" t="s">
        <v>210</v>
      </c>
      <c r="K620" s="4" t="s">
        <v>205</v>
      </c>
      <c r="L620" s="4" t="s">
        <v>211</v>
      </c>
      <c r="M620" s="4" t="s">
        <v>182</v>
      </c>
      <c r="N620" s="4" t="s">
        <v>182</v>
      </c>
      <c r="O620" s="4" t="s">
        <v>183</v>
      </c>
      <c r="P620">
        <v>11097.47</v>
      </c>
      <c r="Q620" s="4" t="s">
        <v>30</v>
      </c>
    </row>
    <row r="621" spans="1:17" x14ac:dyDescent="0.2">
      <c r="A621" s="4" t="s">
        <v>805</v>
      </c>
      <c r="B621">
        <v>620</v>
      </c>
      <c r="C621" s="4" t="s">
        <v>26</v>
      </c>
      <c r="D621" s="4" t="s">
        <v>50</v>
      </c>
      <c r="E621" s="4" t="s">
        <v>27</v>
      </c>
      <c r="F621" s="4" t="s">
        <v>2252</v>
      </c>
      <c r="G621">
        <v>15</v>
      </c>
      <c r="H621">
        <v>71</v>
      </c>
      <c r="I621" s="4" t="s">
        <v>203</v>
      </c>
      <c r="J621" s="4" t="s">
        <v>204</v>
      </c>
      <c r="K621" s="4" t="s">
        <v>205</v>
      </c>
      <c r="L621" s="4" t="s">
        <v>206</v>
      </c>
      <c r="M621" s="4" t="s">
        <v>182</v>
      </c>
      <c r="N621" s="4" t="s">
        <v>182</v>
      </c>
      <c r="O621" s="4" t="s">
        <v>183</v>
      </c>
      <c r="P621">
        <v>300</v>
      </c>
      <c r="Q621" s="4" t="s">
        <v>30</v>
      </c>
    </row>
    <row r="622" spans="1:17" x14ac:dyDescent="0.2">
      <c r="A622" s="4" t="s">
        <v>806</v>
      </c>
      <c r="B622">
        <v>621</v>
      </c>
      <c r="C622" s="4" t="s">
        <v>26</v>
      </c>
      <c r="D622" s="4" t="s">
        <v>50</v>
      </c>
      <c r="E622" s="4" t="s">
        <v>27</v>
      </c>
      <c r="F622" s="4" t="s">
        <v>2252</v>
      </c>
      <c r="G622">
        <v>15</v>
      </c>
      <c r="H622">
        <v>71</v>
      </c>
      <c r="I622" s="4" t="s">
        <v>201</v>
      </c>
      <c r="J622" s="4" t="s">
        <v>202</v>
      </c>
      <c r="K622" s="4" t="s">
        <v>179</v>
      </c>
      <c r="L622" s="4" t="s">
        <v>180</v>
      </c>
      <c r="M622" s="4" t="s">
        <v>192</v>
      </c>
      <c r="N622" s="4" t="s">
        <v>182</v>
      </c>
      <c r="O622" s="4" t="s">
        <v>189</v>
      </c>
      <c r="P622">
        <v>-11097.48</v>
      </c>
      <c r="Q622" s="4" t="s">
        <v>30</v>
      </c>
    </row>
    <row r="623" spans="1:17" x14ac:dyDescent="0.2">
      <c r="A623" s="4" t="s">
        <v>807</v>
      </c>
      <c r="B623">
        <v>622</v>
      </c>
      <c r="C623" s="4" t="s">
        <v>26</v>
      </c>
      <c r="D623" s="4" t="s">
        <v>50</v>
      </c>
      <c r="E623" s="4" t="s">
        <v>27</v>
      </c>
      <c r="F623" s="4" t="s">
        <v>2252</v>
      </c>
      <c r="G623">
        <v>15</v>
      </c>
      <c r="H623">
        <v>71</v>
      </c>
      <c r="I623" s="4" t="s">
        <v>201</v>
      </c>
      <c r="J623" s="4" t="s">
        <v>202</v>
      </c>
      <c r="K623" s="4" t="s">
        <v>179</v>
      </c>
      <c r="L623" s="4" t="s">
        <v>180</v>
      </c>
      <c r="M623" s="4" t="s">
        <v>192</v>
      </c>
      <c r="N623" s="4" t="s">
        <v>182</v>
      </c>
      <c r="O623" s="4" t="s">
        <v>183</v>
      </c>
      <c r="P623">
        <v>81953.789999999994</v>
      </c>
      <c r="Q623" s="4" t="s">
        <v>30</v>
      </c>
    </row>
    <row r="624" spans="1:17" x14ac:dyDescent="0.2">
      <c r="A624" s="4" t="s">
        <v>808</v>
      </c>
      <c r="B624">
        <v>623</v>
      </c>
      <c r="C624" s="4" t="s">
        <v>26</v>
      </c>
      <c r="D624" s="4" t="s">
        <v>50</v>
      </c>
      <c r="E624" s="4" t="s">
        <v>27</v>
      </c>
      <c r="F624" s="4" t="s">
        <v>2252</v>
      </c>
      <c r="G624">
        <v>15</v>
      </c>
      <c r="H624">
        <v>71</v>
      </c>
      <c r="I624" s="4" t="s">
        <v>212</v>
      </c>
      <c r="J624" s="4" t="s">
        <v>213</v>
      </c>
      <c r="K624" s="4" t="s">
        <v>205</v>
      </c>
      <c r="L624" s="4" t="s">
        <v>214</v>
      </c>
      <c r="M624" s="4" t="s">
        <v>182</v>
      </c>
      <c r="N624" s="4" t="s">
        <v>182</v>
      </c>
      <c r="O624" s="4" t="s">
        <v>189</v>
      </c>
      <c r="P624">
        <v>-12571.21</v>
      </c>
      <c r="Q624" s="4" t="s">
        <v>30</v>
      </c>
    </row>
    <row r="625" spans="1:17" x14ac:dyDescent="0.2">
      <c r="A625" s="4" t="s">
        <v>809</v>
      </c>
      <c r="B625">
        <v>624</v>
      </c>
      <c r="C625" s="4" t="s">
        <v>26</v>
      </c>
      <c r="D625" s="4" t="s">
        <v>50</v>
      </c>
      <c r="E625" s="4" t="s">
        <v>32</v>
      </c>
      <c r="F625" s="4" t="s">
        <v>2277</v>
      </c>
      <c r="G625">
        <v>15</v>
      </c>
      <c r="H625">
        <v>72</v>
      </c>
      <c r="I625" s="4" t="s">
        <v>190</v>
      </c>
      <c r="J625" s="4" t="s">
        <v>191</v>
      </c>
      <c r="K625" s="4" t="s">
        <v>179</v>
      </c>
      <c r="L625" s="4" t="s">
        <v>180</v>
      </c>
      <c r="M625" s="4" t="s">
        <v>192</v>
      </c>
      <c r="N625" s="4" t="s">
        <v>182</v>
      </c>
      <c r="O625" s="4" t="s">
        <v>189</v>
      </c>
      <c r="P625">
        <v>-64801.41</v>
      </c>
      <c r="Q625" s="4" t="s">
        <v>30</v>
      </c>
    </row>
    <row r="626" spans="1:17" x14ac:dyDescent="0.2">
      <c r="A626" s="4" t="s">
        <v>810</v>
      </c>
      <c r="B626">
        <v>625</v>
      </c>
      <c r="C626" s="4" t="s">
        <v>26</v>
      </c>
      <c r="D626" s="4" t="s">
        <v>50</v>
      </c>
      <c r="E626" s="4" t="s">
        <v>32</v>
      </c>
      <c r="F626" s="4" t="s">
        <v>2277</v>
      </c>
      <c r="G626">
        <v>15</v>
      </c>
      <c r="H626">
        <v>72</v>
      </c>
      <c r="I626" s="4" t="s">
        <v>190</v>
      </c>
      <c r="J626" s="4" t="s">
        <v>191</v>
      </c>
      <c r="K626" s="4" t="s">
        <v>179</v>
      </c>
      <c r="L626" s="4" t="s">
        <v>180</v>
      </c>
      <c r="M626" s="4" t="s">
        <v>192</v>
      </c>
      <c r="N626" s="4" t="s">
        <v>182</v>
      </c>
      <c r="O626" s="4" t="s">
        <v>183</v>
      </c>
      <c r="P626">
        <v>38387.31</v>
      </c>
      <c r="Q626" s="4" t="s">
        <v>30</v>
      </c>
    </row>
    <row r="627" spans="1:17" x14ac:dyDescent="0.2">
      <c r="A627" s="4" t="s">
        <v>811</v>
      </c>
      <c r="B627">
        <v>626</v>
      </c>
      <c r="C627" s="4" t="s">
        <v>26</v>
      </c>
      <c r="D627" s="4" t="s">
        <v>50</v>
      </c>
      <c r="E627" s="4" t="s">
        <v>32</v>
      </c>
      <c r="F627" s="4" t="s">
        <v>2277</v>
      </c>
      <c r="G627">
        <v>15</v>
      </c>
      <c r="H627">
        <v>72</v>
      </c>
      <c r="I627" s="4" t="s">
        <v>207</v>
      </c>
      <c r="J627" s="4" t="s">
        <v>208</v>
      </c>
      <c r="K627" s="4" t="s">
        <v>179</v>
      </c>
      <c r="L627" s="4" t="s">
        <v>180</v>
      </c>
      <c r="M627" s="4" t="s">
        <v>192</v>
      </c>
      <c r="N627" s="4" t="s">
        <v>182</v>
      </c>
      <c r="O627" s="4" t="s">
        <v>189</v>
      </c>
      <c r="P627">
        <v>-38387.31</v>
      </c>
      <c r="Q627" s="4" t="s">
        <v>30</v>
      </c>
    </row>
    <row r="628" spans="1:17" x14ac:dyDescent="0.2">
      <c r="A628" s="4" t="s">
        <v>812</v>
      </c>
      <c r="B628">
        <v>627</v>
      </c>
      <c r="C628" s="4" t="s">
        <v>26</v>
      </c>
      <c r="D628" s="4" t="s">
        <v>50</v>
      </c>
      <c r="E628" s="4" t="s">
        <v>32</v>
      </c>
      <c r="F628" s="4" t="s">
        <v>2277</v>
      </c>
      <c r="G628">
        <v>15</v>
      </c>
      <c r="H628">
        <v>72</v>
      </c>
      <c r="I628" s="4" t="s">
        <v>207</v>
      </c>
      <c r="J628" s="4" t="s">
        <v>208</v>
      </c>
      <c r="K628" s="4" t="s">
        <v>179</v>
      </c>
      <c r="L628" s="4" t="s">
        <v>180</v>
      </c>
      <c r="M628" s="4" t="s">
        <v>192</v>
      </c>
      <c r="N628" s="4" t="s">
        <v>182</v>
      </c>
      <c r="O628" s="4" t="s">
        <v>183</v>
      </c>
      <c r="P628">
        <v>15621.22</v>
      </c>
      <c r="Q628" s="4" t="s">
        <v>30</v>
      </c>
    </row>
    <row r="629" spans="1:17" x14ac:dyDescent="0.2">
      <c r="A629" s="4" t="s">
        <v>813</v>
      </c>
      <c r="B629">
        <v>628</v>
      </c>
      <c r="C629" s="4" t="s">
        <v>26</v>
      </c>
      <c r="D629" s="4" t="s">
        <v>50</v>
      </c>
      <c r="E629" s="4" t="s">
        <v>32</v>
      </c>
      <c r="F629" s="4" t="s">
        <v>2277</v>
      </c>
      <c r="G629">
        <v>15</v>
      </c>
      <c r="H629">
        <v>72</v>
      </c>
      <c r="I629" s="4" t="s">
        <v>193</v>
      </c>
      <c r="J629" s="4" t="s">
        <v>194</v>
      </c>
      <c r="K629" s="4" t="s">
        <v>179</v>
      </c>
      <c r="L629" s="4" t="s">
        <v>186</v>
      </c>
      <c r="M629" s="4" t="s">
        <v>195</v>
      </c>
      <c r="N629" s="4" t="s">
        <v>196</v>
      </c>
      <c r="O629" s="4" t="s">
        <v>183</v>
      </c>
      <c r="P629">
        <v>64801.41</v>
      </c>
      <c r="Q629" s="4" t="s">
        <v>30</v>
      </c>
    </row>
    <row r="630" spans="1:17" x14ac:dyDescent="0.2">
      <c r="A630" s="4" t="s">
        <v>814</v>
      </c>
      <c r="B630">
        <v>629</v>
      </c>
      <c r="C630" s="4" t="s">
        <v>26</v>
      </c>
      <c r="D630" s="4" t="s">
        <v>50</v>
      </c>
      <c r="E630" s="4" t="s">
        <v>32</v>
      </c>
      <c r="F630" s="4" t="s">
        <v>2277</v>
      </c>
      <c r="G630">
        <v>15</v>
      </c>
      <c r="H630">
        <v>72</v>
      </c>
      <c r="I630" s="4" t="s">
        <v>209</v>
      </c>
      <c r="J630" s="4" t="s">
        <v>210</v>
      </c>
      <c r="K630" s="4" t="s">
        <v>205</v>
      </c>
      <c r="L630" s="4" t="s">
        <v>211</v>
      </c>
      <c r="M630" s="4" t="s">
        <v>182</v>
      </c>
      <c r="N630" s="4" t="s">
        <v>182</v>
      </c>
      <c r="O630" s="4" t="s">
        <v>183</v>
      </c>
      <c r="P630">
        <v>13505.91</v>
      </c>
      <c r="Q630" s="4" t="s">
        <v>30</v>
      </c>
    </row>
    <row r="631" spans="1:17" x14ac:dyDescent="0.2">
      <c r="A631" s="4" t="s">
        <v>815</v>
      </c>
      <c r="B631">
        <v>630</v>
      </c>
      <c r="C631" s="4" t="s">
        <v>26</v>
      </c>
      <c r="D631" s="4" t="s">
        <v>50</v>
      </c>
      <c r="E631" s="4" t="s">
        <v>32</v>
      </c>
      <c r="F631" s="4" t="s">
        <v>2277</v>
      </c>
      <c r="G631">
        <v>15</v>
      </c>
      <c r="H631">
        <v>72</v>
      </c>
      <c r="I631" s="4" t="s">
        <v>201</v>
      </c>
      <c r="J631" s="4" t="s">
        <v>202</v>
      </c>
      <c r="K631" s="4" t="s">
        <v>179</v>
      </c>
      <c r="L631" s="4" t="s">
        <v>180</v>
      </c>
      <c r="M631" s="4" t="s">
        <v>192</v>
      </c>
      <c r="N631" s="4" t="s">
        <v>182</v>
      </c>
      <c r="O631" s="4" t="s">
        <v>189</v>
      </c>
      <c r="P631">
        <v>-13505.91</v>
      </c>
      <c r="Q631" s="4" t="s">
        <v>30</v>
      </c>
    </row>
    <row r="632" spans="1:17" x14ac:dyDescent="0.2">
      <c r="A632" s="4" t="s">
        <v>816</v>
      </c>
      <c r="B632">
        <v>631</v>
      </c>
      <c r="C632" s="4" t="s">
        <v>26</v>
      </c>
      <c r="D632" s="4" t="s">
        <v>50</v>
      </c>
      <c r="E632" s="4" t="s">
        <v>32</v>
      </c>
      <c r="F632" s="4" t="s">
        <v>2277</v>
      </c>
      <c r="G632">
        <v>15</v>
      </c>
      <c r="H632">
        <v>72</v>
      </c>
      <c r="I632" s="4" t="s">
        <v>212</v>
      </c>
      <c r="J632" s="4" t="s">
        <v>213</v>
      </c>
      <c r="K632" s="4" t="s">
        <v>205</v>
      </c>
      <c r="L632" s="4" t="s">
        <v>214</v>
      </c>
      <c r="M632" s="4" t="s">
        <v>182</v>
      </c>
      <c r="N632" s="4" t="s">
        <v>182</v>
      </c>
      <c r="O632" s="4" t="s">
        <v>189</v>
      </c>
      <c r="P632">
        <v>-15621.22</v>
      </c>
      <c r="Q632" s="4" t="s">
        <v>30</v>
      </c>
    </row>
    <row r="633" spans="1:17" x14ac:dyDescent="0.2">
      <c r="A633" s="4" t="s">
        <v>817</v>
      </c>
      <c r="B633">
        <v>632</v>
      </c>
      <c r="C633" s="4" t="s">
        <v>26</v>
      </c>
      <c r="D633" s="4" t="s">
        <v>50</v>
      </c>
      <c r="E633" s="4" t="s">
        <v>35</v>
      </c>
      <c r="F633" s="4" t="s">
        <v>2278</v>
      </c>
      <c r="G633">
        <v>15</v>
      </c>
      <c r="H633">
        <v>73</v>
      </c>
      <c r="I633" s="4" t="s">
        <v>190</v>
      </c>
      <c r="J633" s="4" t="s">
        <v>191</v>
      </c>
      <c r="K633" s="4" t="s">
        <v>179</v>
      </c>
      <c r="L633" s="4" t="s">
        <v>180</v>
      </c>
      <c r="M633" s="4" t="s">
        <v>192</v>
      </c>
      <c r="N633" s="4" t="s">
        <v>182</v>
      </c>
      <c r="O633" s="4" t="s">
        <v>189</v>
      </c>
      <c r="P633">
        <v>-300</v>
      </c>
      <c r="Q633" s="4" t="s">
        <v>30</v>
      </c>
    </row>
    <row r="634" spans="1:17" x14ac:dyDescent="0.2">
      <c r="A634" s="4" t="s">
        <v>818</v>
      </c>
      <c r="B634">
        <v>633</v>
      </c>
      <c r="C634" s="4" t="s">
        <v>26</v>
      </c>
      <c r="D634" s="4" t="s">
        <v>50</v>
      </c>
      <c r="E634" s="4" t="s">
        <v>35</v>
      </c>
      <c r="F634" s="4" t="s">
        <v>2278</v>
      </c>
      <c r="G634">
        <v>15</v>
      </c>
      <c r="H634">
        <v>73</v>
      </c>
      <c r="I634" s="4" t="s">
        <v>190</v>
      </c>
      <c r="J634" s="4" t="s">
        <v>191</v>
      </c>
      <c r="K634" s="4" t="s">
        <v>179</v>
      </c>
      <c r="L634" s="4" t="s">
        <v>180</v>
      </c>
      <c r="M634" s="4" t="s">
        <v>192</v>
      </c>
      <c r="N634" s="4" t="s">
        <v>182</v>
      </c>
      <c r="O634" s="4" t="s">
        <v>183</v>
      </c>
      <c r="P634">
        <v>14781.96</v>
      </c>
      <c r="Q634" s="4" t="s">
        <v>30</v>
      </c>
    </row>
    <row r="635" spans="1:17" x14ac:dyDescent="0.2">
      <c r="A635" s="4" t="s">
        <v>819</v>
      </c>
      <c r="B635">
        <v>634</v>
      </c>
      <c r="C635" s="4" t="s">
        <v>26</v>
      </c>
      <c r="D635" s="4" t="s">
        <v>50</v>
      </c>
      <c r="E635" s="4" t="s">
        <v>35</v>
      </c>
      <c r="F635" s="4" t="s">
        <v>2278</v>
      </c>
      <c r="G635">
        <v>15</v>
      </c>
      <c r="H635">
        <v>73</v>
      </c>
      <c r="I635" s="4" t="s">
        <v>207</v>
      </c>
      <c r="J635" s="4" t="s">
        <v>208</v>
      </c>
      <c r="K635" s="4" t="s">
        <v>179</v>
      </c>
      <c r="L635" s="4" t="s">
        <v>180</v>
      </c>
      <c r="M635" s="4" t="s">
        <v>192</v>
      </c>
      <c r="N635" s="4" t="s">
        <v>182</v>
      </c>
      <c r="O635" s="4" t="s">
        <v>189</v>
      </c>
      <c r="P635">
        <v>-14781.96</v>
      </c>
      <c r="Q635" s="4" t="s">
        <v>30</v>
      </c>
    </row>
    <row r="636" spans="1:17" x14ac:dyDescent="0.2">
      <c r="A636" s="4" t="s">
        <v>820</v>
      </c>
      <c r="B636">
        <v>635</v>
      </c>
      <c r="C636" s="4" t="s">
        <v>26</v>
      </c>
      <c r="D636" s="4" t="s">
        <v>50</v>
      </c>
      <c r="E636" s="4" t="s">
        <v>35</v>
      </c>
      <c r="F636" s="4" t="s">
        <v>2278</v>
      </c>
      <c r="G636">
        <v>15</v>
      </c>
      <c r="H636">
        <v>73</v>
      </c>
      <c r="I636" s="4" t="s">
        <v>207</v>
      </c>
      <c r="J636" s="4" t="s">
        <v>208</v>
      </c>
      <c r="K636" s="4" t="s">
        <v>179</v>
      </c>
      <c r="L636" s="4" t="s">
        <v>180</v>
      </c>
      <c r="M636" s="4" t="s">
        <v>192</v>
      </c>
      <c r="N636" s="4" t="s">
        <v>182</v>
      </c>
      <c r="O636" s="4" t="s">
        <v>183</v>
      </c>
      <c r="P636">
        <v>22511.57</v>
      </c>
      <c r="Q636" s="4" t="s">
        <v>30</v>
      </c>
    </row>
    <row r="637" spans="1:17" x14ac:dyDescent="0.2">
      <c r="A637" s="4" t="s">
        <v>821</v>
      </c>
      <c r="B637">
        <v>636</v>
      </c>
      <c r="C637" s="4" t="s">
        <v>26</v>
      </c>
      <c r="D637" s="4" t="s">
        <v>50</v>
      </c>
      <c r="E637" s="4" t="s">
        <v>35</v>
      </c>
      <c r="F637" s="4" t="s">
        <v>2278</v>
      </c>
      <c r="G637">
        <v>15</v>
      </c>
      <c r="H637">
        <v>73</v>
      </c>
      <c r="I637" s="4" t="s">
        <v>209</v>
      </c>
      <c r="J637" s="4" t="s">
        <v>210</v>
      </c>
      <c r="K637" s="4" t="s">
        <v>205</v>
      </c>
      <c r="L637" s="4" t="s">
        <v>211</v>
      </c>
      <c r="M637" s="4" t="s">
        <v>182</v>
      </c>
      <c r="N637" s="4" t="s">
        <v>182</v>
      </c>
      <c r="O637" s="4" t="s">
        <v>183</v>
      </c>
      <c r="P637">
        <v>19455.54</v>
      </c>
      <c r="Q637" s="4" t="s">
        <v>30</v>
      </c>
    </row>
    <row r="638" spans="1:17" x14ac:dyDescent="0.2">
      <c r="A638" s="4" t="s">
        <v>822</v>
      </c>
      <c r="B638">
        <v>637</v>
      </c>
      <c r="C638" s="4" t="s">
        <v>26</v>
      </c>
      <c r="D638" s="4" t="s">
        <v>50</v>
      </c>
      <c r="E638" s="4" t="s">
        <v>35</v>
      </c>
      <c r="F638" s="4" t="s">
        <v>2278</v>
      </c>
      <c r="G638">
        <v>15</v>
      </c>
      <c r="H638">
        <v>73</v>
      </c>
      <c r="I638" s="4" t="s">
        <v>203</v>
      </c>
      <c r="J638" s="4" t="s">
        <v>204</v>
      </c>
      <c r="K638" s="4" t="s">
        <v>205</v>
      </c>
      <c r="L638" s="4" t="s">
        <v>206</v>
      </c>
      <c r="M638" s="4" t="s">
        <v>182</v>
      </c>
      <c r="N638" s="4" t="s">
        <v>182</v>
      </c>
      <c r="O638" s="4" t="s">
        <v>183</v>
      </c>
      <c r="P638">
        <v>300</v>
      </c>
      <c r="Q638" s="4" t="s">
        <v>30</v>
      </c>
    </row>
    <row r="639" spans="1:17" x14ac:dyDescent="0.2">
      <c r="A639" s="4" t="s">
        <v>823</v>
      </c>
      <c r="B639">
        <v>638</v>
      </c>
      <c r="C639" s="4" t="s">
        <v>26</v>
      </c>
      <c r="D639" s="4" t="s">
        <v>50</v>
      </c>
      <c r="E639" s="4" t="s">
        <v>35</v>
      </c>
      <c r="F639" s="4" t="s">
        <v>2278</v>
      </c>
      <c r="G639">
        <v>15</v>
      </c>
      <c r="H639">
        <v>73</v>
      </c>
      <c r="I639" s="4" t="s">
        <v>201</v>
      </c>
      <c r="J639" s="4" t="s">
        <v>202</v>
      </c>
      <c r="K639" s="4" t="s">
        <v>179</v>
      </c>
      <c r="L639" s="4" t="s">
        <v>180</v>
      </c>
      <c r="M639" s="4" t="s">
        <v>192</v>
      </c>
      <c r="N639" s="4" t="s">
        <v>182</v>
      </c>
      <c r="O639" s="4" t="s">
        <v>189</v>
      </c>
      <c r="P639">
        <v>-19455.54</v>
      </c>
      <c r="Q639" s="4" t="s">
        <v>30</v>
      </c>
    </row>
    <row r="640" spans="1:17" x14ac:dyDescent="0.2">
      <c r="A640" s="4" t="s">
        <v>824</v>
      </c>
      <c r="B640">
        <v>639</v>
      </c>
      <c r="C640" s="4" t="s">
        <v>26</v>
      </c>
      <c r="D640" s="4" t="s">
        <v>50</v>
      </c>
      <c r="E640" s="4" t="s">
        <v>35</v>
      </c>
      <c r="F640" s="4" t="s">
        <v>2278</v>
      </c>
      <c r="G640">
        <v>15</v>
      </c>
      <c r="H640">
        <v>73</v>
      </c>
      <c r="I640" s="4" t="s">
        <v>212</v>
      </c>
      <c r="J640" s="4" t="s">
        <v>213</v>
      </c>
      <c r="K640" s="4" t="s">
        <v>205</v>
      </c>
      <c r="L640" s="4" t="s">
        <v>214</v>
      </c>
      <c r="M640" s="4" t="s">
        <v>182</v>
      </c>
      <c r="N640" s="4" t="s">
        <v>182</v>
      </c>
      <c r="O640" s="4" t="s">
        <v>189</v>
      </c>
      <c r="P640">
        <v>-22511.57</v>
      </c>
      <c r="Q640" s="4" t="s">
        <v>30</v>
      </c>
    </row>
    <row r="641" spans="1:17" x14ac:dyDescent="0.2">
      <c r="A641" s="4" t="s">
        <v>825</v>
      </c>
      <c r="B641">
        <v>640</v>
      </c>
      <c r="C641" s="4" t="s">
        <v>26</v>
      </c>
      <c r="D641" s="4" t="s">
        <v>50</v>
      </c>
      <c r="E641" s="4" t="s">
        <v>38</v>
      </c>
      <c r="F641" s="4" t="s">
        <v>2340</v>
      </c>
      <c r="G641">
        <v>15</v>
      </c>
      <c r="H641">
        <v>74</v>
      </c>
      <c r="I641" s="4" t="s">
        <v>190</v>
      </c>
      <c r="J641" s="4" t="s">
        <v>191</v>
      </c>
      <c r="K641" s="4" t="s">
        <v>179</v>
      </c>
      <c r="L641" s="4" t="s">
        <v>180</v>
      </c>
      <c r="M641" s="4" t="s">
        <v>192</v>
      </c>
      <c r="N641" s="4" t="s">
        <v>182</v>
      </c>
      <c r="O641" s="4" t="s">
        <v>183</v>
      </c>
      <c r="P641">
        <v>27700.89</v>
      </c>
      <c r="Q641" s="4" t="s">
        <v>30</v>
      </c>
    </row>
    <row r="642" spans="1:17" x14ac:dyDescent="0.2">
      <c r="A642" s="4" t="s">
        <v>826</v>
      </c>
      <c r="B642">
        <v>641</v>
      </c>
      <c r="C642" s="4" t="s">
        <v>26</v>
      </c>
      <c r="D642" s="4" t="s">
        <v>50</v>
      </c>
      <c r="E642" s="4" t="s">
        <v>38</v>
      </c>
      <c r="F642" s="4" t="s">
        <v>2340</v>
      </c>
      <c r="G642">
        <v>15</v>
      </c>
      <c r="H642">
        <v>74</v>
      </c>
      <c r="I642" s="4" t="s">
        <v>207</v>
      </c>
      <c r="J642" s="4" t="s">
        <v>208</v>
      </c>
      <c r="K642" s="4" t="s">
        <v>179</v>
      </c>
      <c r="L642" s="4" t="s">
        <v>180</v>
      </c>
      <c r="M642" s="4" t="s">
        <v>192</v>
      </c>
      <c r="N642" s="4" t="s">
        <v>182</v>
      </c>
      <c r="O642" s="4" t="s">
        <v>189</v>
      </c>
      <c r="P642">
        <v>-27700.89</v>
      </c>
      <c r="Q642" s="4" t="s">
        <v>30</v>
      </c>
    </row>
    <row r="643" spans="1:17" x14ac:dyDescent="0.2">
      <c r="A643" s="4" t="s">
        <v>827</v>
      </c>
      <c r="B643">
        <v>642</v>
      </c>
      <c r="C643" s="4" t="s">
        <v>26</v>
      </c>
      <c r="D643" s="4" t="s">
        <v>50</v>
      </c>
      <c r="E643" s="4" t="s">
        <v>38</v>
      </c>
      <c r="F643" s="4" t="s">
        <v>2340</v>
      </c>
      <c r="G643">
        <v>15</v>
      </c>
      <c r="H643">
        <v>74</v>
      </c>
      <c r="I643" s="4" t="s">
        <v>207</v>
      </c>
      <c r="J643" s="4" t="s">
        <v>208</v>
      </c>
      <c r="K643" s="4" t="s">
        <v>179</v>
      </c>
      <c r="L643" s="4" t="s">
        <v>180</v>
      </c>
      <c r="M643" s="4" t="s">
        <v>192</v>
      </c>
      <c r="N643" s="4" t="s">
        <v>182</v>
      </c>
      <c r="O643" s="4" t="s">
        <v>183</v>
      </c>
      <c r="P643">
        <v>15972.21</v>
      </c>
      <c r="Q643" s="4" t="s">
        <v>30</v>
      </c>
    </row>
    <row r="644" spans="1:17" x14ac:dyDescent="0.2">
      <c r="A644" s="4" t="s">
        <v>828</v>
      </c>
      <c r="B644">
        <v>643</v>
      </c>
      <c r="C644" s="4" t="s">
        <v>26</v>
      </c>
      <c r="D644" s="4" t="s">
        <v>50</v>
      </c>
      <c r="E644" s="4" t="s">
        <v>38</v>
      </c>
      <c r="F644" s="4" t="s">
        <v>2340</v>
      </c>
      <c r="G644">
        <v>15</v>
      </c>
      <c r="H644">
        <v>74</v>
      </c>
      <c r="I644" s="4" t="s">
        <v>209</v>
      </c>
      <c r="J644" s="4" t="s">
        <v>210</v>
      </c>
      <c r="K644" s="4" t="s">
        <v>205</v>
      </c>
      <c r="L644" s="4" t="s">
        <v>211</v>
      </c>
      <c r="M644" s="4" t="s">
        <v>182</v>
      </c>
      <c r="N644" s="4" t="s">
        <v>182</v>
      </c>
      <c r="O644" s="4" t="s">
        <v>183</v>
      </c>
      <c r="P644">
        <v>14030.3</v>
      </c>
      <c r="Q644" s="4" t="s">
        <v>30</v>
      </c>
    </row>
    <row r="645" spans="1:17" x14ac:dyDescent="0.2">
      <c r="A645" s="4" t="s">
        <v>829</v>
      </c>
      <c r="B645">
        <v>644</v>
      </c>
      <c r="C645" s="4" t="s">
        <v>26</v>
      </c>
      <c r="D645" s="4" t="s">
        <v>50</v>
      </c>
      <c r="E645" s="4" t="s">
        <v>38</v>
      </c>
      <c r="F645" s="4" t="s">
        <v>2340</v>
      </c>
      <c r="G645">
        <v>15</v>
      </c>
      <c r="H645">
        <v>74</v>
      </c>
      <c r="I645" s="4" t="s">
        <v>201</v>
      </c>
      <c r="J645" s="4" t="s">
        <v>202</v>
      </c>
      <c r="K645" s="4" t="s">
        <v>179</v>
      </c>
      <c r="L645" s="4" t="s">
        <v>180</v>
      </c>
      <c r="M645" s="4" t="s">
        <v>192</v>
      </c>
      <c r="N645" s="4" t="s">
        <v>182</v>
      </c>
      <c r="O645" s="4" t="s">
        <v>189</v>
      </c>
      <c r="P645">
        <v>-14030.3</v>
      </c>
      <c r="Q645" s="4" t="s">
        <v>30</v>
      </c>
    </row>
    <row r="646" spans="1:17" x14ac:dyDescent="0.2">
      <c r="A646" s="4" t="s">
        <v>830</v>
      </c>
      <c r="B646">
        <v>645</v>
      </c>
      <c r="C646" s="4" t="s">
        <v>26</v>
      </c>
      <c r="D646" s="4" t="s">
        <v>50</v>
      </c>
      <c r="E646" s="4" t="s">
        <v>38</v>
      </c>
      <c r="F646" s="4" t="s">
        <v>2340</v>
      </c>
      <c r="G646">
        <v>15</v>
      </c>
      <c r="H646">
        <v>74</v>
      </c>
      <c r="I646" s="4" t="s">
        <v>212</v>
      </c>
      <c r="J646" s="4" t="s">
        <v>213</v>
      </c>
      <c r="K646" s="4" t="s">
        <v>205</v>
      </c>
      <c r="L646" s="4" t="s">
        <v>214</v>
      </c>
      <c r="M646" s="4" t="s">
        <v>182</v>
      </c>
      <c r="N646" s="4" t="s">
        <v>182</v>
      </c>
      <c r="O646" s="4" t="s">
        <v>189</v>
      </c>
      <c r="P646">
        <v>-15972.21</v>
      </c>
      <c r="Q646" s="4" t="s">
        <v>30</v>
      </c>
    </row>
    <row r="647" spans="1:17" x14ac:dyDescent="0.2">
      <c r="A647" s="4" t="s">
        <v>831</v>
      </c>
      <c r="B647">
        <v>646</v>
      </c>
      <c r="C647" s="4" t="s">
        <v>26</v>
      </c>
      <c r="D647" s="4" t="s">
        <v>50</v>
      </c>
      <c r="E647" s="4" t="s">
        <v>41</v>
      </c>
      <c r="F647" s="4" t="s">
        <v>2370</v>
      </c>
      <c r="G647">
        <v>15</v>
      </c>
      <c r="H647">
        <v>75</v>
      </c>
      <c r="I647" s="4" t="s">
        <v>190</v>
      </c>
      <c r="J647" s="4" t="s">
        <v>191</v>
      </c>
      <c r="K647" s="4" t="s">
        <v>179</v>
      </c>
      <c r="L647" s="4" t="s">
        <v>180</v>
      </c>
      <c r="M647" s="4" t="s">
        <v>192</v>
      </c>
      <c r="N647" s="4" t="s">
        <v>182</v>
      </c>
      <c r="O647" s="4" t="s">
        <v>189</v>
      </c>
      <c r="P647">
        <v>-300</v>
      </c>
      <c r="Q647" s="4" t="s">
        <v>30</v>
      </c>
    </row>
    <row r="648" spans="1:17" x14ac:dyDescent="0.2">
      <c r="A648" s="4" t="s">
        <v>832</v>
      </c>
      <c r="B648">
        <v>647</v>
      </c>
      <c r="C648" s="4" t="s">
        <v>26</v>
      </c>
      <c r="D648" s="4" t="s">
        <v>50</v>
      </c>
      <c r="E648" s="4" t="s">
        <v>41</v>
      </c>
      <c r="F648" s="4" t="s">
        <v>2370</v>
      </c>
      <c r="G648">
        <v>15</v>
      </c>
      <c r="H648">
        <v>75</v>
      </c>
      <c r="I648" s="4" t="s">
        <v>190</v>
      </c>
      <c r="J648" s="4" t="s">
        <v>191</v>
      </c>
      <c r="K648" s="4" t="s">
        <v>179</v>
      </c>
      <c r="L648" s="4" t="s">
        <v>180</v>
      </c>
      <c r="M648" s="4" t="s">
        <v>192</v>
      </c>
      <c r="N648" s="4" t="s">
        <v>182</v>
      </c>
      <c r="O648" s="4" t="s">
        <v>183</v>
      </c>
      <c r="P648">
        <v>12571.21</v>
      </c>
      <c r="Q648" s="4" t="s">
        <v>30</v>
      </c>
    </row>
    <row r="649" spans="1:17" x14ac:dyDescent="0.2">
      <c r="A649" s="4" t="s">
        <v>833</v>
      </c>
      <c r="B649">
        <v>648</v>
      </c>
      <c r="C649" s="4" t="s">
        <v>26</v>
      </c>
      <c r="D649" s="4" t="s">
        <v>50</v>
      </c>
      <c r="E649" s="4" t="s">
        <v>41</v>
      </c>
      <c r="F649" s="4" t="s">
        <v>2370</v>
      </c>
      <c r="G649">
        <v>15</v>
      </c>
      <c r="H649">
        <v>75</v>
      </c>
      <c r="I649" s="4" t="s">
        <v>207</v>
      </c>
      <c r="J649" s="4" t="s">
        <v>208</v>
      </c>
      <c r="K649" s="4" t="s">
        <v>179</v>
      </c>
      <c r="L649" s="4" t="s">
        <v>180</v>
      </c>
      <c r="M649" s="4" t="s">
        <v>192</v>
      </c>
      <c r="N649" s="4" t="s">
        <v>182</v>
      </c>
      <c r="O649" s="4" t="s">
        <v>189</v>
      </c>
      <c r="P649">
        <v>-12571.21</v>
      </c>
      <c r="Q649" s="4" t="s">
        <v>30</v>
      </c>
    </row>
    <row r="650" spans="1:17" x14ac:dyDescent="0.2">
      <c r="A650" s="4" t="s">
        <v>834</v>
      </c>
      <c r="B650">
        <v>649</v>
      </c>
      <c r="C650" s="4" t="s">
        <v>26</v>
      </c>
      <c r="D650" s="4" t="s">
        <v>50</v>
      </c>
      <c r="E650" s="4" t="s">
        <v>41</v>
      </c>
      <c r="F650" s="4" t="s">
        <v>2370</v>
      </c>
      <c r="G650">
        <v>15</v>
      </c>
      <c r="H650">
        <v>75</v>
      </c>
      <c r="I650" s="4" t="s">
        <v>207</v>
      </c>
      <c r="J650" s="4" t="s">
        <v>208</v>
      </c>
      <c r="K650" s="4" t="s">
        <v>179</v>
      </c>
      <c r="L650" s="4" t="s">
        <v>180</v>
      </c>
      <c r="M650" s="4" t="s">
        <v>192</v>
      </c>
      <c r="N650" s="4" t="s">
        <v>182</v>
      </c>
      <c r="O650" s="4" t="s">
        <v>183</v>
      </c>
      <c r="P650">
        <v>26643.7</v>
      </c>
      <c r="Q650" s="4" t="s">
        <v>30</v>
      </c>
    </row>
    <row r="651" spans="1:17" x14ac:dyDescent="0.2">
      <c r="A651" s="4" t="s">
        <v>835</v>
      </c>
      <c r="B651">
        <v>650</v>
      </c>
      <c r="C651" s="4" t="s">
        <v>26</v>
      </c>
      <c r="D651" s="4" t="s">
        <v>50</v>
      </c>
      <c r="E651" s="4" t="s">
        <v>41</v>
      </c>
      <c r="F651" s="4" t="s">
        <v>2370</v>
      </c>
      <c r="G651">
        <v>15</v>
      </c>
      <c r="H651">
        <v>75</v>
      </c>
      <c r="I651" s="4" t="s">
        <v>209</v>
      </c>
      <c r="J651" s="4" t="s">
        <v>210</v>
      </c>
      <c r="K651" s="4" t="s">
        <v>205</v>
      </c>
      <c r="L651" s="4" t="s">
        <v>211</v>
      </c>
      <c r="M651" s="4" t="s">
        <v>182</v>
      </c>
      <c r="N651" s="4" t="s">
        <v>182</v>
      </c>
      <c r="O651" s="4" t="s">
        <v>183</v>
      </c>
      <c r="P651">
        <v>23238.92</v>
      </c>
      <c r="Q651" s="4" t="s">
        <v>30</v>
      </c>
    </row>
    <row r="652" spans="1:17" x14ac:dyDescent="0.2">
      <c r="A652" s="4" t="s">
        <v>836</v>
      </c>
      <c r="B652">
        <v>651</v>
      </c>
      <c r="C652" s="4" t="s">
        <v>26</v>
      </c>
      <c r="D652" s="4" t="s">
        <v>50</v>
      </c>
      <c r="E652" s="4" t="s">
        <v>41</v>
      </c>
      <c r="F652" s="4" t="s">
        <v>2370</v>
      </c>
      <c r="G652">
        <v>15</v>
      </c>
      <c r="H652">
        <v>75</v>
      </c>
      <c r="I652" s="4" t="s">
        <v>203</v>
      </c>
      <c r="J652" s="4" t="s">
        <v>204</v>
      </c>
      <c r="K652" s="4" t="s">
        <v>205</v>
      </c>
      <c r="L652" s="4" t="s">
        <v>206</v>
      </c>
      <c r="M652" s="4" t="s">
        <v>182</v>
      </c>
      <c r="N652" s="4" t="s">
        <v>182</v>
      </c>
      <c r="O652" s="4" t="s">
        <v>183</v>
      </c>
      <c r="P652">
        <v>300</v>
      </c>
      <c r="Q652" s="4" t="s">
        <v>30</v>
      </c>
    </row>
    <row r="653" spans="1:17" x14ac:dyDescent="0.2">
      <c r="A653" s="4" t="s">
        <v>837</v>
      </c>
      <c r="B653">
        <v>652</v>
      </c>
      <c r="C653" s="4" t="s">
        <v>26</v>
      </c>
      <c r="D653" s="4" t="s">
        <v>50</v>
      </c>
      <c r="E653" s="4" t="s">
        <v>41</v>
      </c>
      <c r="F653" s="4" t="s">
        <v>2370</v>
      </c>
      <c r="G653">
        <v>15</v>
      </c>
      <c r="H653">
        <v>75</v>
      </c>
      <c r="I653" s="4" t="s">
        <v>201</v>
      </c>
      <c r="J653" s="4" t="s">
        <v>202</v>
      </c>
      <c r="K653" s="4" t="s">
        <v>179</v>
      </c>
      <c r="L653" s="4" t="s">
        <v>180</v>
      </c>
      <c r="M653" s="4" t="s">
        <v>192</v>
      </c>
      <c r="N653" s="4" t="s">
        <v>182</v>
      </c>
      <c r="O653" s="4" t="s">
        <v>189</v>
      </c>
      <c r="P653">
        <v>-23238.92</v>
      </c>
      <c r="Q653" s="4" t="s">
        <v>30</v>
      </c>
    </row>
    <row r="654" spans="1:17" x14ac:dyDescent="0.2">
      <c r="A654" s="4" t="s">
        <v>838</v>
      </c>
      <c r="B654">
        <v>653</v>
      </c>
      <c r="C654" s="4" t="s">
        <v>26</v>
      </c>
      <c r="D654" s="4" t="s">
        <v>50</v>
      </c>
      <c r="E654" s="4" t="s">
        <v>41</v>
      </c>
      <c r="F654" s="4" t="s">
        <v>2370</v>
      </c>
      <c r="G654">
        <v>15</v>
      </c>
      <c r="H654">
        <v>75</v>
      </c>
      <c r="I654" s="4" t="s">
        <v>212</v>
      </c>
      <c r="J654" s="4" t="s">
        <v>213</v>
      </c>
      <c r="K654" s="4" t="s">
        <v>205</v>
      </c>
      <c r="L654" s="4" t="s">
        <v>214</v>
      </c>
      <c r="M654" s="4" t="s">
        <v>182</v>
      </c>
      <c r="N654" s="4" t="s">
        <v>182</v>
      </c>
      <c r="O654" s="4" t="s">
        <v>189</v>
      </c>
      <c r="P654">
        <v>-26643.7</v>
      </c>
      <c r="Q654" s="4" t="s">
        <v>30</v>
      </c>
    </row>
    <row r="655" spans="1:17" x14ac:dyDescent="0.2">
      <c r="A655" s="4" t="s">
        <v>839</v>
      </c>
      <c r="B655">
        <v>654</v>
      </c>
      <c r="C655" s="4" t="s">
        <v>26</v>
      </c>
      <c r="D655" s="4" t="s">
        <v>50</v>
      </c>
      <c r="E655" s="4" t="s">
        <v>44</v>
      </c>
      <c r="F655" s="4" t="s">
        <v>2403</v>
      </c>
      <c r="G655">
        <v>16</v>
      </c>
      <c r="H655">
        <v>76</v>
      </c>
      <c r="I655" s="4" t="s">
        <v>190</v>
      </c>
      <c r="J655" s="4" t="s">
        <v>191</v>
      </c>
      <c r="K655" s="4" t="s">
        <v>179</v>
      </c>
      <c r="L655" s="4" t="s">
        <v>180</v>
      </c>
      <c r="M655" s="4" t="s">
        <v>192</v>
      </c>
      <c r="N655" s="4" t="s">
        <v>182</v>
      </c>
      <c r="O655" s="4" t="s">
        <v>189</v>
      </c>
      <c r="P655">
        <v>-81953.78</v>
      </c>
      <c r="Q655" s="4" t="s">
        <v>30</v>
      </c>
    </row>
    <row r="656" spans="1:17" x14ac:dyDescent="0.2">
      <c r="A656" s="4" t="s">
        <v>840</v>
      </c>
      <c r="B656">
        <v>655</v>
      </c>
      <c r="C656" s="4" t="s">
        <v>26</v>
      </c>
      <c r="D656" s="4" t="s">
        <v>50</v>
      </c>
      <c r="E656" s="4" t="s">
        <v>44</v>
      </c>
      <c r="F656" s="4" t="s">
        <v>2403</v>
      </c>
      <c r="G656">
        <v>16</v>
      </c>
      <c r="H656">
        <v>76</v>
      </c>
      <c r="I656" s="4" t="s">
        <v>190</v>
      </c>
      <c r="J656" s="4" t="s">
        <v>191</v>
      </c>
      <c r="K656" s="4" t="s">
        <v>179</v>
      </c>
      <c r="L656" s="4" t="s">
        <v>180</v>
      </c>
      <c r="M656" s="4" t="s">
        <v>192</v>
      </c>
      <c r="N656" s="4" t="s">
        <v>182</v>
      </c>
      <c r="O656" s="4" t="s">
        <v>183</v>
      </c>
      <c r="P656">
        <v>15621.22</v>
      </c>
      <c r="Q656" s="4" t="s">
        <v>30</v>
      </c>
    </row>
    <row r="657" spans="1:17" x14ac:dyDescent="0.2">
      <c r="A657" s="4" t="s">
        <v>841</v>
      </c>
      <c r="B657">
        <v>656</v>
      </c>
      <c r="C657" s="4" t="s">
        <v>26</v>
      </c>
      <c r="D657" s="4" t="s">
        <v>50</v>
      </c>
      <c r="E657" s="4" t="s">
        <v>44</v>
      </c>
      <c r="F657" s="4" t="s">
        <v>2403</v>
      </c>
      <c r="G657">
        <v>16</v>
      </c>
      <c r="H657">
        <v>76</v>
      </c>
      <c r="I657" s="4" t="s">
        <v>207</v>
      </c>
      <c r="J657" s="4" t="s">
        <v>208</v>
      </c>
      <c r="K657" s="4" t="s">
        <v>179</v>
      </c>
      <c r="L657" s="4" t="s">
        <v>180</v>
      </c>
      <c r="M657" s="4" t="s">
        <v>192</v>
      </c>
      <c r="N657" s="4" t="s">
        <v>182</v>
      </c>
      <c r="O657" s="4" t="s">
        <v>189</v>
      </c>
      <c r="P657">
        <v>-15621.22</v>
      </c>
      <c r="Q657" s="4" t="s">
        <v>30</v>
      </c>
    </row>
    <row r="658" spans="1:17" x14ac:dyDescent="0.2">
      <c r="A658" s="4" t="s">
        <v>842</v>
      </c>
      <c r="B658">
        <v>657</v>
      </c>
      <c r="C658" s="4" t="s">
        <v>26</v>
      </c>
      <c r="D658" s="4" t="s">
        <v>50</v>
      </c>
      <c r="E658" s="4" t="s">
        <v>44</v>
      </c>
      <c r="F658" s="4" t="s">
        <v>2403</v>
      </c>
      <c r="G658">
        <v>16</v>
      </c>
      <c r="H658">
        <v>76</v>
      </c>
      <c r="I658" s="4" t="s">
        <v>207</v>
      </c>
      <c r="J658" s="4" t="s">
        <v>208</v>
      </c>
      <c r="K658" s="4" t="s">
        <v>179</v>
      </c>
      <c r="L658" s="4" t="s">
        <v>180</v>
      </c>
      <c r="M658" s="4" t="s">
        <v>192</v>
      </c>
      <c r="N658" s="4" t="s">
        <v>182</v>
      </c>
      <c r="O658" s="4" t="s">
        <v>183</v>
      </c>
      <c r="P658">
        <v>27645.3</v>
      </c>
      <c r="Q658" s="4" t="s">
        <v>30</v>
      </c>
    </row>
    <row r="659" spans="1:17" x14ac:dyDescent="0.2">
      <c r="A659" s="4" t="s">
        <v>843</v>
      </c>
      <c r="B659">
        <v>658</v>
      </c>
      <c r="C659" s="4" t="s">
        <v>26</v>
      </c>
      <c r="D659" s="4" t="s">
        <v>50</v>
      </c>
      <c r="E659" s="4" t="s">
        <v>44</v>
      </c>
      <c r="F659" s="4" t="s">
        <v>2403</v>
      </c>
      <c r="G659">
        <v>16</v>
      </c>
      <c r="H659">
        <v>76</v>
      </c>
      <c r="I659" s="4" t="s">
        <v>193</v>
      </c>
      <c r="J659" s="4" t="s">
        <v>194</v>
      </c>
      <c r="K659" s="4" t="s">
        <v>179</v>
      </c>
      <c r="L659" s="4" t="s">
        <v>186</v>
      </c>
      <c r="M659" s="4" t="s">
        <v>195</v>
      </c>
      <c r="N659" s="4" t="s">
        <v>196</v>
      </c>
      <c r="O659" s="4" t="s">
        <v>183</v>
      </c>
      <c r="P659">
        <v>81953.78</v>
      </c>
      <c r="Q659" s="4" t="s">
        <v>30</v>
      </c>
    </row>
    <row r="660" spans="1:17" x14ac:dyDescent="0.2">
      <c r="A660" s="4" t="s">
        <v>844</v>
      </c>
      <c r="B660">
        <v>659</v>
      </c>
      <c r="C660" s="4" t="s">
        <v>26</v>
      </c>
      <c r="D660" s="4" t="s">
        <v>50</v>
      </c>
      <c r="E660" s="4" t="s">
        <v>44</v>
      </c>
      <c r="F660" s="4" t="s">
        <v>2403</v>
      </c>
      <c r="G660">
        <v>16</v>
      </c>
      <c r="H660">
        <v>76</v>
      </c>
      <c r="I660" s="4" t="s">
        <v>209</v>
      </c>
      <c r="J660" s="4" t="s">
        <v>210</v>
      </c>
      <c r="K660" s="4" t="s">
        <v>205</v>
      </c>
      <c r="L660" s="4" t="s">
        <v>211</v>
      </c>
      <c r="M660" s="4" t="s">
        <v>182</v>
      </c>
      <c r="N660" s="4" t="s">
        <v>182</v>
      </c>
      <c r="O660" s="4" t="s">
        <v>183</v>
      </c>
      <c r="P660">
        <v>24611.42</v>
      </c>
      <c r="Q660" s="4" t="s">
        <v>30</v>
      </c>
    </row>
    <row r="661" spans="1:17" x14ac:dyDescent="0.2">
      <c r="A661" s="4" t="s">
        <v>845</v>
      </c>
      <c r="B661">
        <v>660</v>
      </c>
      <c r="C661" s="4" t="s">
        <v>26</v>
      </c>
      <c r="D661" s="4" t="s">
        <v>50</v>
      </c>
      <c r="E661" s="4" t="s">
        <v>44</v>
      </c>
      <c r="F661" s="4" t="s">
        <v>2403</v>
      </c>
      <c r="G661">
        <v>16</v>
      </c>
      <c r="H661">
        <v>76</v>
      </c>
      <c r="I661" s="4" t="s">
        <v>201</v>
      </c>
      <c r="J661" s="4" t="s">
        <v>202</v>
      </c>
      <c r="K661" s="4" t="s">
        <v>179</v>
      </c>
      <c r="L661" s="4" t="s">
        <v>180</v>
      </c>
      <c r="M661" s="4" t="s">
        <v>192</v>
      </c>
      <c r="N661" s="4" t="s">
        <v>182</v>
      </c>
      <c r="O661" s="4" t="s">
        <v>189</v>
      </c>
      <c r="P661">
        <v>-24611.42</v>
      </c>
      <c r="Q661" s="4" t="s">
        <v>30</v>
      </c>
    </row>
    <row r="662" spans="1:17" x14ac:dyDescent="0.2">
      <c r="A662" s="4" t="s">
        <v>846</v>
      </c>
      <c r="B662">
        <v>661</v>
      </c>
      <c r="C662" s="4" t="s">
        <v>26</v>
      </c>
      <c r="D662" s="4" t="s">
        <v>50</v>
      </c>
      <c r="E662" s="4" t="s">
        <v>44</v>
      </c>
      <c r="F662" s="4" t="s">
        <v>2403</v>
      </c>
      <c r="G662">
        <v>16</v>
      </c>
      <c r="H662">
        <v>76</v>
      </c>
      <c r="I662" s="4" t="s">
        <v>212</v>
      </c>
      <c r="J662" s="4" t="s">
        <v>213</v>
      </c>
      <c r="K662" s="4" t="s">
        <v>205</v>
      </c>
      <c r="L662" s="4" t="s">
        <v>214</v>
      </c>
      <c r="M662" s="4" t="s">
        <v>182</v>
      </c>
      <c r="N662" s="4" t="s">
        <v>182</v>
      </c>
      <c r="O662" s="4" t="s">
        <v>189</v>
      </c>
      <c r="P662">
        <v>-27645.3</v>
      </c>
      <c r="Q662" s="4" t="s">
        <v>30</v>
      </c>
    </row>
    <row r="663" spans="1:17" x14ac:dyDescent="0.2">
      <c r="A663" s="4" t="s">
        <v>847</v>
      </c>
      <c r="B663">
        <v>662</v>
      </c>
      <c r="C663" s="4" t="s">
        <v>26</v>
      </c>
      <c r="D663" s="4" t="s">
        <v>50</v>
      </c>
      <c r="E663" s="4" t="s">
        <v>47</v>
      </c>
      <c r="F663" s="4" t="s">
        <v>2395</v>
      </c>
      <c r="G663">
        <v>16</v>
      </c>
      <c r="H663">
        <v>77</v>
      </c>
      <c r="I663" s="4" t="s">
        <v>190</v>
      </c>
      <c r="J663" s="4" t="s">
        <v>191</v>
      </c>
      <c r="K663" s="4" t="s">
        <v>179</v>
      </c>
      <c r="L663" s="4" t="s">
        <v>180</v>
      </c>
      <c r="M663" s="4" t="s">
        <v>192</v>
      </c>
      <c r="N663" s="4" t="s">
        <v>182</v>
      </c>
      <c r="O663" s="4" t="s">
        <v>189</v>
      </c>
      <c r="P663">
        <v>-300</v>
      </c>
      <c r="Q663" s="4" t="s">
        <v>30</v>
      </c>
    </row>
    <row r="664" spans="1:17" x14ac:dyDescent="0.2">
      <c r="A664" s="4" t="s">
        <v>848</v>
      </c>
      <c r="B664">
        <v>663</v>
      </c>
      <c r="C664" s="4" t="s">
        <v>26</v>
      </c>
      <c r="D664" s="4" t="s">
        <v>50</v>
      </c>
      <c r="E664" s="4" t="s">
        <v>47</v>
      </c>
      <c r="F664" s="4" t="s">
        <v>2395</v>
      </c>
      <c r="G664">
        <v>16</v>
      </c>
      <c r="H664">
        <v>77</v>
      </c>
      <c r="I664" s="4" t="s">
        <v>190</v>
      </c>
      <c r="J664" s="4" t="s">
        <v>191</v>
      </c>
      <c r="K664" s="4" t="s">
        <v>179</v>
      </c>
      <c r="L664" s="4" t="s">
        <v>180</v>
      </c>
      <c r="M664" s="4" t="s">
        <v>192</v>
      </c>
      <c r="N664" s="4" t="s">
        <v>182</v>
      </c>
      <c r="O664" s="4" t="s">
        <v>183</v>
      </c>
      <c r="P664">
        <v>22511.57</v>
      </c>
      <c r="Q664" s="4" t="s">
        <v>30</v>
      </c>
    </row>
    <row r="665" spans="1:17" x14ac:dyDescent="0.2">
      <c r="A665" s="4" t="s">
        <v>849</v>
      </c>
      <c r="B665">
        <v>664</v>
      </c>
      <c r="C665" s="4" t="s">
        <v>26</v>
      </c>
      <c r="D665" s="4" t="s">
        <v>50</v>
      </c>
      <c r="E665" s="4" t="s">
        <v>47</v>
      </c>
      <c r="F665" s="4" t="s">
        <v>2395</v>
      </c>
      <c r="G665">
        <v>16</v>
      </c>
      <c r="H665">
        <v>77</v>
      </c>
      <c r="I665" s="4" t="s">
        <v>207</v>
      </c>
      <c r="J665" s="4" t="s">
        <v>208</v>
      </c>
      <c r="K665" s="4" t="s">
        <v>179</v>
      </c>
      <c r="L665" s="4" t="s">
        <v>180</v>
      </c>
      <c r="M665" s="4" t="s">
        <v>192</v>
      </c>
      <c r="N665" s="4" t="s">
        <v>182</v>
      </c>
      <c r="O665" s="4" t="s">
        <v>189</v>
      </c>
      <c r="P665">
        <v>-22511.57</v>
      </c>
      <c r="Q665" s="4" t="s">
        <v>30</v>
      </c>
    </row>
    <row r="666" spans="1:17" x14ac:dyDescent="0.2">
      <c r="A666" s="4" t="s">
        <v>850</v>
      </c>
      <c r="B666">
        <v>665</v>
      </c>
      <c r="C666" s="4" t="s">
        <v>26</v>
      </c>
      <c r="D666" s="4" t="s">
        <v>50</v>
      </c>
      <c r="E666" s="4" t="s">
        <v>47</v>
      </c>
      <c r="F666" s="4" t="s">
        <v>2395</v>
      </c>
      <c r="G666">
        <v>16</v>
      </c>
      <c r="H666">
        <v>77</v>
      </c>
      <c r="I666" s="4" t="s">
        <v>207</v>
      </c>
      <c r="J666" s="4" t="s">
        <v>208</v>
      </c>
      <c r="K666" s="4" t="s">
        <v>179</v>
      </c>
      <c r="L666" s="4" t="s">
        <v>180</v>
      </c>
      <c r="M666" s="4" t="s">
        <v>192</v>
      </c>
      <c r="N666" s="4" t="s">
        <v>182</v>
      </c>
      <c r="O666" s="4" t="s">
        <v>183</v>
      </c>
      <c r="P666">
        <v>11671.17</v>
      </c>
      <c r="Q666" s="4" t="s">
        <v>30</v>
      </c>
    </row>
    <row r="667" spans="1:17" x14ac:dyDescent="0.2">
      <c r="A667" s="4" t="s">
        <v>851</v>
      </c>
      <c r="B667">
        <v>666</v>
      </c>
      <c r="C667" s="4" t="s">
        <v>26</v>
      </c>
      <c r="D667" s="4" t="s">
        <v>50</v>
      </c>
      <c r="E667" s="4" t="s">
        <v>47</v>
      </c>
      <c r="F667" s="4" t="s">
        <v>2395</v>
      </c>
      <c r="G667">
        <v>16</v>
      </c>
      <c r="H667">
        <v>77</v>
      </c>
      <c r="I667" s="4" t="s">
        <v>193</v>
      </c>
      <c r="J667" s="4" t="s">
        <v>194</v>
      </c>
      <c r="K667" s="4" t="s">
        <v>179</v>
      </c>
      <c r="L667" s="4" t="s">
        <v>186</v>
      </c>
      <c r="M667" s="4" t="s">
        <v>195</v>
      </c>
      <c r="N667" s="4" t="s">
        <v>196</v>
      </c>
      <c r="O667" s="4" t="s">
        <v>189</v>
      </c>
      <c r="P667">
        <v>-82064.289999999994</v>
      </c>
      <c r="Q667" s="4" t="s">
        <v>30</v>
      </c>
    </row>
    <row r="668" spans="1:17" x14ac:dyDescent="0.2">
      <c r="A668" s="4" t="s">
        <v>852</v>
      </c>
      <c r="B668">
        <v>667</v>
      </c>
      <c r="C668" s="4" t="s">
        <v>26</v>
      </c>
      <c r="D668" s="4" t="s">
        <v>50</v>
      </c>
      <c r="E668" s="4" t="s">
        <v>47</v>
      </c>
      <c r="F668" s="4" t="s">
        <v>2395</v>
      </c>
      <c r="G668">
        <v>16</v>
      </c>
      <c r="H668">
        <v>77</v>
      </c>
      <c r="I668" s="4" t="s">
        <v>197</v>
      </c>
      <c r="J668" s="4" t="s">
        <v>198</v>
      </c>
      <c r="K668" s="4" t="s">
        <v>179</v>
      </c>
      <c r="L668" s="4" t="s">
        <v>186</v>
      </c>
      <c r="M668" s="4" t="s">
        <v>195</v>
      </c>
      <c r="N668" s="4" t="s">
        <v>196</v>
      </c>
      <c r="O668" s="4" t="s">
        <v>189</v>
      </c>
      <c r="P668">
        <v>-81064.289999999994</v>
      </c>
      <c r="Q668" s="4" t="s">
        <v>30</v>
      </c>
    </row>
    <row r="669" spans="1:17" x14ac:dyDescent="0.2">
      <c r="A669" s="4" t="s">
        <v>853</v>
      </c>
      <c r="B669">
        <v>668</v>
      </c>
      <c r="C669" s="4" t="s">
        <v>26</v>
      </c>
      <c r="D669" s="4" t="s">
        <v>50</v>
      </c>
      <c r="E669" s="4" t="s">
        <v>47</v>
      </c>
      <c r="F669" s="4" t="s">
        <v>2395</v>
      </c>
      <c r="G669">
        <v>16</v>
      </c>
      <c r="H669">
        <v>77</v>
      </c>
      <c r="I669" s="4" t="s">
        <v>197</v>
      </c>
      <c r="J669" s="4" t="s">
        <v>198</v>
      </c>
      <c r="K669" s="4" t="s">
        <v>179</v>
      </c>
      <c r="L669" s="4" t="s">
        <v>186</v>
      </c>
      <c r="M669" s="4" t="s">
        <v>195</v>
      </c>
      <c r="N669" s="4" t="s">
        <v>196</v>
      </c>
      <c r="O669" s="4" t="s">
        <v>183</v>
      </c>
      <c r="P669">
        <v>81064.289999999994</v>
      </c>
      <c r="Q669" s="4" t="s">
        <v>30</v>
      </c>
    </row>
    <row r="670" spans="1:17" x14ac:dyDescent="0.2">
      <c r="A670" s="4" t="s">
        <v>854</v>
      </c>
      <c r="B670">
        <v>669</v>
      </c>
      <c r="C670" s="4" t="s">
        <v>26</v>
      </c>
      <c r="D670" s="4" t="s">
        <v>50</v>
      </c>
      <c r="E670" s="4" t="s">
        <v>47</v>
      </c>
      <c r="F670" s="4" t="s">
        <v>2395</v>
      </c>
      <c r="G670">
        <v>16</v>
      </c>
      <c r="H670">
        <v>77</v>
      </c>
      <c r="I670" s="4" t="s">
        <v>199</v>
      </c>
      <c r="J670" s="4" t="s">
        <v>200</v>
      </c>
      <c r="K670" s="4" t="s">
        <v>179</v>
      </c>
      <c r="L670" s="4" t="s">
        <v>186</v>
      </c>
      <c r="M670" s="4" t="s">
        <v>195</v>
      </c>
      <c r="N670" s="4" t="s">
        <v>196</v>
      </c>
      <c r="O670" s="4" t="s">
        <v>189</v>
      </c>
      <c r="P670">
        <v>-1000</v>
      </c>
      <c r="Q670" s="4" t="s">
        <v>30</v>
      </c>
    </row>
    <row r="671" spans="1:17" x14ac:dyDescent="0.2">
      <c r="A671" s="4" t="s">
        <v>855</v>
      </c>
      <c r="B671">
        <v>670</v>
      </c>
      <c r="C671" s="4" t="s">
        <v>26</v>
      </c>
      <c r="D671" s="4" t="s">
        <v>50</v>
      </c>
      <c r="E671" s="4" t="s">
        <v>47</v>
      </c>
      <c r="F671" s="4" t="s">
        <v>2395</v>
      </c>
      <c r="G671">
        <v>16</v>
      </c>
      <c r="H671">
        <v>77</v>
      </c>
      <c r="I671" s="4" t="s">
        <v>199</v>
      </c>
      <c r="J671" s="4" t="s">
        <v>200</v>
      </c>
      <c r="K671" s="4" t="s">
        <v>179</v>
      </c>
      <c r="L671" s="4" t="s">
        <v>186</v>
      </c>
      <c r="M671" s="4" t="s">
        <v>195</v>
      </c>
      <c r="N671" s="4" t="s">
        <v>196</v>
      </c>
      <c r="O671" s="4" t="s">
        <v>183</v>
      </c>
      <c r="P671">
        <v>1000</v>
      </c>
      <c r="Q671" s="4" t="s">
        <v>30</v>
      </c>
    </row>
    <row r="672" spans="1:17" x14ac:dyDescent="0.2">
      <c r="A672" s="4" t="s">
        <v>856</v>
      </c>
      <c r="B672">
        <v>671</v>
      </c>
      <c r="C672" s="4" t="s">
        <v>26</v>
      </c>
      <c r="D672" s="4" t="s">
        <v>50</v>
      </c>
      <c r="E672" s="4" t="s">
        <v>47</v>
      </c>
      <c r="F672" s="4" t="s">
        <v>2395</v>
      </c>
      <c r="G672">
        <v>16</v>
      </c>
      <c r="H672">
        <v>77</v>
      </c>
      <c r="I672" s="4" t="s">
        <v>209</v>
      </c>
      <c r="J672" s="4" t="s">
        <v>210</v>
      </c>
      <c r="K672" s="4" t="s">
        <v>205</v>
      </c>
      <c r="L672" s="4" t="s">
        <v>211</v>
      </c>
      <c r="M672" s="4" t="s">
        <v>182</v>
      </c>
      <c r="N672" s="4" t="s">
        <v>182</v>
      </c>
      <c r="O672" s="4" t="s">
        <v>183</v>
      </c>
      <c r="P672">
        <v>9984.2199999999993</v>
      </c>
      <c r="Q672" s="4" t="s">
        <v>30</v>
      </c>
    </row>
    <row r="673" spans="1:17" x14ac:dyDescent="0.2">
      <c r="A673" s="4" t="s">
        <v>857</v>
      </c>
      <c r="B673">
        <v>672</v>
      </c>
      <c r="C673" s="4" t="s">
        <v>26</v>
      </c>
      <c r="D673" s="4" t="s">
        <v>50</v>
      </c>
      <c r="E673" s="4" t="s">
        <v>47</v>
      </c>
      <c r="F673" s="4" t="s">
        <v>2395</v>
      </c>
      <c r="G673">
        <v>16</v>
      </c>
      <c r="H673">
        <v>77</v>
      </c>
      <c r="I673" s="4" t="s">
        <v>203</v>
      </c>
      <c r="J673" s="4" t="s">
        <v>204</v>
      </c>
      <c r="K673" s="4" t="s">
        <v>205</v>
      </c>
      <c r="L673" s="4" t="s">
        <v>206</v>
      </c>
      <c r="M673" s="4" t="s">
        <v>182</v>
      </c>
      <c r="N673" s="4" t="s">
        <v>182</v>
      </c>
      <c r="O673" s="4" t="s">
        <v>183</v>
      </c>
      <c r="P673">
        <v>300</v>
      </c>
      <c r="Q673" s="4" t="s">
        <v>30</v>
      </c>
    </row>
    <row r="674" spans="1:17" x14ac:dyDescent="0.2">
      <c r="A674" s="4" t="s">
        <v>858</v>
      </c>
      <c r="B674">
        <v>673</v>
      </c>
      <c r="C674" s="4" t="s">
        <v>26</v>
      </c>
      <c r="D674" s="4" t="s">
        <v>50</v>
      </c>
      <c r="E674" s="4" t="s">
        <v>47</v>
      </c>
      <c r="F674" s="4" t="s">
        <v>2395</v>
      </c>
      <c r="G674">
        <v>16</v>
      </c>
      <c r="H674">
        <v>77</v>
      </c>
      <c r="I674" s="4" t="s">
        <v>201</v>
      </c>
      <c r="J674" s="4" t="s">
        <v>202</v>
      </c>
      <c r="K674" s="4" t="s">
        <v>179</v>
      </c>
      <c r="L674" s="4" t="s">
        <v>180</v>
      </c>
      <c r="M674" s="4" t="s">
        <v>192</v>
      </c>
      <c r="N674" s="4" t="s">
        <v>182</v>
      </c>
      <c r="O674" s="4" t="s">
        <v>189</v>
      </c>
      <c r="P674">
        <v>-9984.2199999999993</v>
      </c>
      <c r="Q674" s="4" t="s">
        <v>30</v>
      </c>
    </row>
    <row r="675" spans="1:17" x14ac:dyDescent="0.2">
      <c r="A675" s="4" t="s">
        <v>859</v>
      </c>
      <c r="B675">
        <v>674</v>
      </c>
      <c r="C675" s="4" t="s">
        <v>26</v>
      </c>
      <c r="D675" s="4" t="s">
        <v>50</v>
      </c>
      <c r="E675" s="4" t="s">
        <v>47</v>
      </c>
      <c r="F675" s="4" t="s">
        <v>2395</v>
      </c>
      <c r="G675">
        <v>16</v>
      </c>
      <c r="H675">
        <v>77</v>
      </c>
      <c r="I675" s="4" t="s">
        <v>201</v>
      </c>
      <c r="J675" s="4" t="s">
        <v>202</v>
      </c>
      <c r="K675" s="4" t="s">
        <v>179</v>
      </c>
      <c r="L675" s="4" t="s">
        <v>180</v>
      </c>
      <c r="M675" s="4" t="s">
        <v>192</v>
      </c>
      <c r="N675" s="4" t="s">
        <v>182</v>
      </c>
      <c r="O675" s="4" t="s">
        <v>183</v>
      </c>
      <c r="P675">
        <v>82064.289999999994</v>
      </c>
      <c r="Q675" s="4" t="s">
        <v>30</v>
      </c>
    </row>
    <row r="676" spans="1:17" x14ac:dyDescent="0.2">
      <c r="A676" s="4" t="s">
        <v>860</v>
      </c>
      <c r="B676">
        <v>675</v>
      </c>
      <c r="C676" s="4" t="s">
        <v>26</v>
      </c>
      <c r="D676" s="4" t="s">
        <v>50</v>
      </c>
      <c r="E676" s="4" t="s">
        <v>47</v>
      </c>
      <c r="F676" s="4" t="s">
        <v>2395</v>
      </c>
      <c r="G676">
        <v>16</v>
      </c>
      <c r="H676">
        <v>77</v>
      </c>
      <c r="I676" s="4" t="s">
        <v>212</v>
      </c>
      <c r="J676" s="4" t="s">
        <v>213</v>
      </c>
      <c r="K676" s="4" t="s">
        <v>205</v>
      </c>
      <c r="L676" s="4" t="s">
        <v>214</v>
      </c>
      <c r="M676" s="4" t="s">
        <v>182</v>
      </c>
      <c r="N676" s="4" t="s">
        <v>182</v>
      </c>
      <c r="O676" s="4" t="s">
        <v>189</v>
      </c>
      <c r="P676">
        <v>-11671.17</v>
      </c>
      <c r="Q676" s="4" t="s">
        <v>30</v>
      </c>
    </row>
    <row r="677" spans="1:17" x14ac:dyDescent="0.2">
      <c r="A677" s="4" t="s">
        <v>861</v>
      </c>
      <c r="B677">
        <v>676</v>
      </c>
      <c r="C677" s="4" t="s">
        <v>26</v>
      </c>
      <c r="D677" s="4" t="s">
        <v>50</v>
      </c>
      <c r="E677" s="4" t="s">
        <v>50</v>
      </c>
      <c r="F677" s="4" t="s">
        <v>2458</v>
      </c>
      <c r="G677">
        <v>16</v>
      </c>
      <c r="H677">
        <v>78</v>
      </c>
      <c r="I677" s="4" t="s">
        <v>190</v>
      </c>
      <c r="J677" s="4" t="s">
        <v>191</v>
      </c>
      <c r="K677" s="4" t="s">
        <v>179</v>
      </c>
      <c r="L677" s="4" t="s">
        <v>180</v>
      </c>
      <c r="M677" s="4" t="s">
        <v>192</v>
      </c>
      <c r="N677" s="4" t="s">
        <v>182</v>
      </c>
      <c r="O677" s="4" t="s">
        <v>189</v>
      </c>
      <c r="P677">
        <v>-300</v>
      </c>
      <c r="Q677" s="4" t="s">
        <v>30</v>
      </c>
    </row>
    <row r="678" spans="1:17" x14ac:dyDescent="0.2">
      <c r="A678" s="4" t="s">
        <v>862</v>
      </c>
      <c r="B678">
        <v>677</v>
      </c>
      <c r="C678" s="4" t="s">
        <v>26</v>
      </c>
      <c r="D678" s="4" t="s">
        <v>50</v>
      </c>
      <c r="E678" s="4" t="s">
        <v>50</v>
      </c>
      <c r="F678" s="4" t="s">
        <v>2458</v>
      </c>
      <c r="G678">
        <v>16</v>
      </c>
      <c r="H678">
        <v>78</v>
      </c>
      <c r="I678" s="4" t="s">
        <v>190</v>
      </c>
      <c r="J678" s="4" t="s">
        <v>191</v>
      </c>
      <c r="K678" s="4" t="s">
        <v>179</v>
      </c>
      <c r="L678" s="4" t="s">
        <v>180</v>
      </c>
      <c r="M678" s="4" t="s">
        <v>192</v>
      </c>
      <c r="N678" s="4" t="s">
        <v>182</v>
      </c>
      <c r="O678" s="4" t="s">
        <v>183</v>
      </c>
      <c r="P678">
        <v>15972.21</v>
      </c>
      <c r="Q678" s="4" t="s">
        <v>30</v>
      </c>
    </row>
    <row r="679" spans="1:17" x14ac:dyDescent="0.2">
      <c r="A679" s="4" t="s">
        <v>863</v>
      </c>
      <c r="B679">
        <v>678</v>
      </c>
      <c r="C679" s="4" t="s">
        <v>26</v>
      </c>
      <c r="D679" s="4" t="s">
        <v>50</v>
      </c>
      <c r="E679" s="4" t="s">
        <v>50</v>
      </c>
      <c r="F679" s="4" t="s">
        <v>2458</v>
      </c>
      <c r="G679">
        <v>16</v>
      </c>
      <c r="H679">
        <v>78</v>
      </c>
      <c r="I679" s="4" t="s">
        <v>207</v>
      </c>
      <c r="J679" s="4" t="s">
        <v>208</v>
      </c>
      <c r="K679" s="4" t="s">
        <v>179</v>
      </c>
      <c r="L679" s="4" t="s">
        <v>180</v>
      </c>
      <c r="M679" s="4" t="s">
        <v>192</v>
      </c>
      <c r="N679" s="4" t="s">
        <v>182</v>
      </c>
      <c r="O679" s="4" t="s">
        <v>189</v>
      </c>
      <c r="P679">
        <v>-15972.21</v>
      </c>
      <c r="Q679" s="4" t="s">
        <v>30</v>
      </c>
    </row>
    <row r="680" spans="1:17" x14ac:dyDescent="0.2">
      <c r="A680" s="4" t="s">
        <v>864</v>
      </c>
      <c r="B680">
        <v>679</v>
      </c>
      <c r="C680" s="4" t="s">
        <v>26</v>
      </c>
      <c r="D680" s="4" t="s">
        <v>50</v>
      </c>
      <c r="E680" s="4" t="s">
        <v>50</v>
      </c>
      <c r="F680" s="4" t="s">
        <v>2458</v>
      </c>
      <c r="G680">
        <v>16</v>
      </c>
      <c r="H680">
        <v>78</v>
      </c>
      <c r="I680" s="4" t="s">
        <v>207</v>
      </c>
      <c r="J680" s="4" t="s">
        <v>208</v>
      </c>
      <c r="K680" s="4" t="s">
        <v>179</v>
      </c>
      <c r="L680" s="4" t="s">
        <v>180</v>
      </c>
      <c r="M680" s="4" t="s">
        <v>192</v>
      </c>
      <c r="N680" s="4" t="s">
        <v>182</v>
      </c>
      <c r="O680" s="4" t="s">
        <v>183</v>
      </c>
      <c r="P680">
        <v>20438.93</v>
      </c>
      <c r="Q680" s="4" t="s">
        <v>30</v>
      </c>
    </row>
    <row r="681" spans="1:17" x14ac:dyDescent="0.2">
      <c r="A681" s="4" t="s">
        <v>865</v>
      </c>
      <c r="B681">
        <v>680</v>
      </c>
      <c r="C681" s="4" t="s">
        <v>26</v>
      </c>
      <c r="D681" s="4" t="s">
        <v>50</v>
      </c>
      <c r="E681" s="4" t="s">
        <v>50</v>
      </c>
      <c r="F681" s="4" t="s">
        <v>2458</v>
      </c>
      <c r="G681">
        <v>16</v>
      </c>
      <c r="H681">
        <v>78</v>
      </c>
      <c r="I681" s="4" t="s">
        <v>209</v>
      </c>
      <c r="J681" s="4" t="s">
        <v>210</v>
      </c>
      <c r="K681" s="4" t="s">
        <v>205</v>
      </c>
      <c r="L681" s="4" t="s">
        <v>211</v>
      </c>
      <c r="M681" s="4" t="s">
        <v>182</v>
      </c>
      <c r="N681" s="4" t="s">
        <v>182</v>
      </c>
      <c r="O681" s="4" t="s">
        <v>183</v>
      </c>
      <c r="P681">
        <v>17384.86</v>
      </c>
      <c r="Q681" s="4" t="s">
        <v>30</v>
      </c>
    </row>
    <row r="682" spans="1:17" x14ac:dyDescent="0.2">
      <c r="A682" s="4" t="s">
        <v>866</v>
      </c>
      <c r="B682">
        <v>681</v>
      </c>
      <c r="C682" s="4" t="s">
        <v>26</v>
      </c>
      <c r="D682" s="4" t="s">
        <v>50</v>
      </c>
      <c r="E682" s="4" t="s">
        <v>50</v>
      </c>
      <c r="F682" s="4" t="s">
        <v>2458</v>
      </c>
      <c r="G682">
        <v>16</v>
      </c>
      <c r="H682">
        <v>78</v>
      </c>
      <c r="I682" s="4" t="s">
        <v>203</v>
      </c>
      <c r="J682" s="4" t="s">
        <v>204</v>
      </c>
      <c r="K682" s="4" t="s">
        <v>205</v>
      </c>
      <c r="L682" s="4" t="s">
        <v>206</v>
      </c>
      <c r="M682" s="4" t="s">
        <v>182</v>
      </c>
      <c r="N682" s="4" t="s">
        <v>182</v>
      </c>
      <c r="O682" s="4" t="s">
        <v>183</v>
      </c>
      <c r="P682">
        <v>300</v>
      </c>
      <c r="Q682" s="4" t="s">
        <v>30</v>
      </c>
    </row>
    <row r="683" spans="1:17" x14ac:dyDescent="0.2">
      <c r="A683" s="4" t="s">
        <v>867</v>
      </c>
      <c r="B683">
        <v>682</v>
      </c>
      <c r="C683" s="4" t="s">
        <v>26</v>
      </c>
      <c r="D683" s="4" t="s">
        <v>50</v>
      </c>
      <c r="E683" s="4" t="s">
        <v>50</v>
      </c>
      <c r="F683" s="4" t="s">
        <v>2458</v>
      </c>
      <c r="G683">
        <v>16</v>
      </c>
      <c r="H683">
        <v>78</v>
      </c>
      <c r="I683" s="4" t="s">
        <v>201</v>
      </c>
      <c r="J683" s="4" t="s">
        <v>202</v>
      </c>
      <c r="K683" s="4" t="s">
        <v>179</v>
      </c>
      <c r="L683" s="4" t="s">
        <v>180</v>
      </c>
      <c r="M683" s="4" t="s">
        <v>192</v>
      </c>
      <c r="N683" s="4" t="s">
        <v>182</v>
      </c>
      <c r="O683" s="4" t="s">
        <v>189</v>
      </c>
      <c r="P683">
        <v>-17384.86</v>
      </c>
      <c r="Q683" s="4" t="s">
        <v>30</v>
      </c>
    </row>
    <row r="684" spans="1:17" x14ac:dyDescent="0.2">
      <c r="A684" s="4" t="s">
        <v>868</v>
      </c>
      <c r="B684">
        <v>683</v>
      </c>
      <c r="C684" s="4" t="s">
        <v>26</v>
      </c>
      <c r="D684" s="4" t="s">
        <v>50</v>
      </c>
      <c r="E684" s="4" t="s">
        <v>50</v>
      </c>
      <c r="F684" s="4" t="s">
        <v>2458</v>
      </c>
      <c r="G684">
        <v>16</v>
      </c>
      <c r="H684">
        <v>78</v>
      </c>
      <c r="I684" s="4" t="s">
        <v>212</v>
      </c>
      <c r="J684" s="4" t="s">
        <v>213</v>
      </c>
      <c r="K684" s="4" t="s">
        <v>205</v>
      </c>
      <c r="L684" s="4" t="s">
        <v>214</v>
      </c>
      <c r="M684" s="4" t="s">
        <v>182</v>
      </c>
      <c r="N684" s="4" t="s">
        <v>182</v>
      </c>
      <c r="O684" s="4" t="s">
        <v>189</v>
      </c>
      <c r="P684">
        <v>-20438.93</v>
      </c>
      <c r="Q684" s="4" t="s">
        <v>30</v>
      </c>
    </row>
    <row r="685" spans="1:17" x14ac:dyDescent="0.2">
      <c r="A685" s="4" t="s">
        <v>869</v>
      </c>
      <c r="B685">
        <v>684</v>
      </c>
      <c r="C685" s="4" t="s">
        <v>26</v>
      </c>
      <c r="D685" s="4" t="s">
        <v>50</v>
      </c>
      <c r="E685" s="4" t="s">
        <v>53</v>
      </c>
      <c r="F685" s="4" t="s">
        <v>2489</v>
      </c>
      <c r="G685">
        <v>16</v>
      </c>
      <c r="H685">
        <v>79</v>
      </c>
      <c r="I685" s="4" t="s">
        <v>190</v>
      </c>
      <c r="J685" s="4" t="s">
        <v>191</v>
      </c>
      <c r="K685" s="4" t="s">
        <v>179</v>
      </c>
      <c r="L685" s="4" t="s">
        <v>180</v>
      </c>
      <c r="M685" s="4" t="s">
        <v>192</v>
      </c>
      <c r="N685" s="4" t="s">
        <v>182</v>
      </c>
      <c r="O685" s="4" t="s">
        <v>183</v>
      </c>
      <c r="P685">
        <v>26643.7</v>
      </c>
      <c r="Q685" s="4" t="s">
        <v>30</v>
      </c>
    </row>
    <row r="686" spans="1:17" x14ac:dyDescent="0.2">
      <c r="A686" s="4" t="s">
        <v>870</v>
      </c>
      <c r="B686">
        <v>685</v>
      </c>
      <c r="C686" s="4" t="s">
        <v>26</v>
      </c>
      <c r="D686" s="4" t="s">
        <v>50</v>
      </c>
      <c r="E686" s="4" t="s">
        <v>53</v>
      </c>
      <c r="F686" s="4" t="s">
        <v>2489</v>
      </c>
      <c r="G686">
        <v>16</v>
      </c>
      <c r="H686">
        <v>79</v>
      </c>
      <c r="I686" s="4" t="s">
        <v>207</v>
      </c>
      <c r="J686" s="4" t="s">
        <v>208</v>
      </c>
      <c r="K686" s="4" t="s">
        <v>179</v>
      </c>
      <c r="L686" s="4" t="s">
        <v>180</v>
      </c>
      <c r="M686" s="4" t="s">
        <v>192</v>
      </c>
      <c r="N686" s="4" t="s">
        <v>182</v>
      </c>
      <c r="O686" s="4" t="s">
        <v>189</v>
      </c>
      <c r="P686">
        <v>-26643.7</v>
      </c>
      <c r="Q686" s="4" t="s">
        <v>30</v>
      </c>
    </row>
    <row r="687" spans="1:17" x14ac:dyDescent="0.2">
      <c r="A687" s="4" t="s">
        <v>871</v>
      </c>
      <c r="B687">
        <v>686</v>
      </c>
      <c r="C687" s="4" t="s">
        <v>26</v>
      </c>
      <c r="D687" s="4" t="s">
        <v>50</v>
      </c>
      <c r="E687" s="4" t="s">
        <v>53</v>
      </c>
      <c r="F687" s="4" t="s">
        <v>2489</v>
      </c>
      <c r="G687">
        <v>16</v>
      </c>
      <c r="H687">
        <v>79</v>
      </c>
      <c r="I687" s="4" t="s">
        <v>207</v>
      </c>
      <c r="J687" s="4" t="s">
        <v>208</v>
      </c>
      <c r="K687" s="4" t="s">
        <v>179</v>
      </c>
      <c r="L687" s="4" t="s">
        <v>180</v>
      </c>
      <c r="M687" s="4" t="s">
        <v>192</v>
      </c>
      <c r="N687" s="4" t="s">
        <v>182</v>
      </c>
      <c r="O687" s="4" t="s">
        <v>183</v>
      </c>
      <c r="P687">
        <v>18565.32</v>
      </c>
      <c r="Q687" s="4" t="s">
        <v>30</v>
      </c>
    </row>
    <row r="688" spans="1:17" x14ac:dyDescent="0.2">
      <c r="A688" s="4" t="s">
        <v>872</v>
      </c>
      <c r="B688">
        <v>687</v>
      </c>
      <c r="C688" s="4" t="s">
        <v>26</v>
      </c>
      <c r="D688" s="4" t="s">
        <v>50</v>
      </c>
      <c r="E688" s="4" t="s">
        <v>53</v>
      </c>
      <c r="F688" s="4" t="s">
        <v>2489</v>
      </c>
      <c r="G688">
        <v>16</v>
      </c>
      <c r="H688">
        <v>79</v>
      </c>
      <c r="I688" s="4" t="s">
        <v>209</v>
      </c>
      <c r="J688" s="4" t="s">
        <v>210</v>
      </c>
      <c r="K688" s="4" t="s">
        <v>205</v>
      </c>
      <c r="L688" s="4" t="s">
        <v>211</v>
      </c>
      <c r="M688" s="4" t="s">
        <v>182</v>
      </c>
      <c r="N688" s="4" t="s">
        <v>182</v>
      </c>
      <c r="O688" s="4" t="s">
        <v>183</v>
      </c>
      <c r="P688">
        <v>16372.15</v>
      </c>
      <c r="Q688" s="4" t="s">
        <v>30</v>
      </c>
    </row>
    <row r="689" spans="1:17" x14ac:dyDescent="0.2">
      <c r="A689" s="4" t="s">
        <v>873</v>
      </c>
      <c r="B689">
        <v>688</v>
      </c>
      <c r="C689" s="4" t="s">
        <v>26</v>
      </c>
      <c r="D689" s="4" t="s">
        <v>50</v>
      </c>
      <c r="E689" s="4" t="s">
        <v>53</v>
      </c>
      <c r="F689" s="4" t="s">
        <v>2489</v>
      </c>
      <c r="G689">
        <v>16</v>
      </c>
      <c r="H689">
        <v>79</v>
      </c>
      <c r="I689" s="4" t="s">
        <v>201</v>
      </c>
      <c r="J689" s="4" t="s">
        <v>202</v>
      </c>
      <c r="K689" s="4" t="s">
        <v>179</v>
      </c>
      <c r="L689" s="4" t="s">
        <v>180</v>
      </c>
      <c r="M689" s="4" t="s">
        <v>192</v>
      </c>
      <c r="N689" s="4" t="s">
        <v>182</v>
      </c>
      <c r="O689" s="4" t="s">
        <v>189</v>
      </c>
      <c r="P689">
        <v>-16372.15</v>
      </c>
      <c r="Q689" s="4" t="s">
        <v>30</v>
      </c>
    </row>
    <row r="690" spans="1:17" x14ac:dyDescent="0.2">
      <c r="A690" s="4" t="s">
        <v>874</v>
      </c>
      <c r="B690">
        <v>689</v>
      </c>
      <c r="C690" s="4" t="s">
        <v>26</v>
      </c>
      <c r="D690" s="4" t="s">
        <v>50</v>
      </c>
      <c r="E690" s="4" t="s">
        <v>53</v>
      </c>
      <c r="F690" s="4" t="s">
        <v>2489</v>
      </c>
      <c r="G690">
        <v>16</v>
      </c>
      <c r="H690">
        <v>79</v>
      </c>
      <c r="I690" s="4" t="s">
        <v>212</v>
      </c>
      <c r="J690" s="4" t="s">
        <v>213</v>
      </c>
      <c r="K690" s="4" t="s">
        <v>205</v>
      </c>
      <c r="L690" s="4" t="s">
        <v>214</v>
      </c>
      <c r="M690" s="4" t="s">
        <v>182</v>
      </c>
      <c r="N690" s="4" t="s">
        <v>182</v>
      </c>
      <c r="O690" s="4" t="s">
        <v>189</v>
      </c>
      <c r="P690">
        <v>-18565.32</v>
      </c>
      <c r="Q690" s="4" t="s">
        <v>30</v>
      </c>
    </row>
    <row r="691" spans="1:17" x14ac:dyDescent="0.2">
      <c r="A691" s="4" t="s">
        <v>875</v>
      </c>
      <c r="B691">
        <v>690</v>
      </c>
      <c r="C691" s="4" t="s">
        <v>26</v>
      </c>
      <c r="D691" s="4" t="s">
        <v>50</v>
      </c>
      <c r="E691" s="4" t="s">
        <v>56</v>
      </c>
      <c r="F691" s="4" t="s">
        <v>2513</v>
      </c>
      <c r="G691">
        <v>16</v>
      </c>
      <c r="H691">
        <v>80</v>
      </c>
      <c r="I691" s="4" t="s">
        <v>190</v>
      </c>
      <c r="J691" s="4" t="s">
        <v>191</v>
      </c>
      <c r="K691" s="4" t="s">
        <v>179</v>
      </c>
      <c r="L691" s="4" t="s">
        <v>180</v>
      </c>
      <c r="M691" s="4" t="s">
        <v>192</v>
      </c>
      <c r="N691" s="4" t="s">
        <v>182</v>
      </c>
      <c r="O691" s="4" t="s">
        <v>189</v>
      </c>
      <c r="P691">
        <v>-300</v>
      </c>
      <c r="Q691" s="4" t="s">
        <v>30</v>
      </c>
    </row>
    <row r="692" spans="1:17" x14ac:dyDescent="0.2">
      <c r="A692" s="4" t="s">
        <v>876</v>
      </c>
      <c r="B692">
        <v>691</v>
      </c>
      <c r="C692" s="4" t="s">
        <v>26</v>
      </c>
      <c r="D692" s="4" t="s">
        <v>50</v>
      </c>
      <c r="E692" s="4" t="s">
        <v>56</v>
      </c>
      <c r="F692" s="4" t="s">
        <v>2513</v>
      </c>
      <c r="G692">
        <v>16</v>
      </c>
      <c r="H692">
        <v>80</v>
      </c>
      <c r="I692" s="4" t="s">
        <v>190</v>
      </c>
      <c r="J692" s="4" t="s">
        <v>191</v>
      </c>
      <c r="K692" s="4" t="s">
        <v>179</v>
      </c>
      <c r="L692" s="4" t="s">
        <v>180</v>
      </c>
      <c r="M692" s="4" t="s">
        <v>192</v>
      </c>
      <c r="N692" s="4" t="s">
        <v>182</v>
      </c>
      <c r="O692" s="4" t="s">
        <v>183</v>
      </c>
      <c r="P692">
        <v>27645.3</v>
      </c>
      <c r="Q692" s="4" t="s">
        <v>30</v>
      </c>
    </row>
    <row r="693" spans="1:17" x14ac:dyDescent="0.2">
      <c r="A693" s="4" t="s">
        <v>877</v>
      </c>
      <c r="B693">
        <v>692</v>
      </c>
      <c r="C693" s="4" t="s">
        <v>26</v>
      </c>
      <c r="D693" s="4" t="s">
        <v>50</v>
      </c>
      <c r="E693" s="4" t="s">
        <v>56</v>
      </c>
      <c r="F693" s="4" t="s">
        <v>2513</v>
      </c>
      <c r="G693">
        <v>16</v>
      </c>
      <c r="H693">
        <v>80</v>
      </c>
      <c r="I693" s="4" t="s">
        <v>207</v>
      </c>
      <c r="J693" s="4" t="s">
        <v>208</v>
      </c>
      <c r="K693" s="4" t="s">
        <v>179</v>
      </c>
      <c r="L693" s="4" t="s">
        <v>180</v>
      </c>
      <c r="M693" s="4" t="s">
        <v>192</v>
      </c>
      <c r="N693" s="4" t="s">
        <v>182</v>
      </c>
      <c r="O693" s="4" t="s">
        <v>189</v>
      </c>
      <c r="P693">
        <v>-27645.3</v>
      </c>
      <c r="Q693" s="4" t="s">
        <v>30</v>
      </c>
    </row>
    <row r="694" spans="1:17" x14ac:dyDescent="0.2">
      <c r="A694" s="4" t="s">
        <v>878</v>
      </c>
      <c r="B694">
        <v>693</v>
      </c>
      <c r="C694" s="4" t="s">
        <v>26</v>
      </c>
      <c r="D694" s="4" t="s">
        <v>50</v>
      </c>
      <c r="E694" s="4" t="s">
        <v>56</v>
      </c>
      <c r="F694" s="4" t="s">
        <v>2513</v>
      </c>
      <c r="G694">
        <v>16</v>
      </c>
      <c r="H694">
        <v>80</v>
      </c>
      <c r="I694" s="4" t="s">
        <v>207</v>
      </c>
      <c r="J694" s="4" t="s">
        <v>208</v>
      </c>
      <c r="K694" s="4" t="s">
        <v>179</v>
      </c>
      <c r="L694" s="4" t="s">
        <v>180</v>
      </c>
      <c r="M694" s="4" t="s">
        <v>192</v>
      </c>
      <c r="N694" s="4" t="s">
        <v>182</v>
      </c>
      <c r="O694" s="4" t="s">
        <v>183</v>
      </c>
      <c r="P694">
        <v>16312.31</v>
      </c>
      <c r="Q694" s="4" t="s">
        <v>30</v>
      </c>
    </row>
    <row r="695" spans="1:17" x14ac:dyDescent="0.2">
      <c r="A695" s="4" t="s">
        <v>879</v>
      </c>
      <c r="B695">
        <v>694</v>
      </c>
      <c r="C695" s="4" t="s">
        <v>26</v>
      </c>
      <c r="D695" s="4" t="s">
        <v>50</v>
      </c>
      <c r="E695" s="4" t="s">
        <v>56</v>
      </c>
      <c r="F695" s="4" t="s">
        <v>2513</v>
      </c>
      <c r="G695">
        <v>16</v>
      </c>
      <c r="H695">
        <v>80</v>
      </c>
      <c r="I695" s="4" t="s">
        <v>209</v>
      </c>
      <c r="J695" s="4" t="s">
        <v>210</v>
      </c>
      <c r="K695" s="4" t="s">
        <v>205</v>
      </c>
      <c r="L695" s="4" t="s">
        <v>211</v>
      </c>
      <c r="M695" s="4" t="s">
        <v>182</v>
      </c>
      <c r="N695" s="4" t="s">
        <v>182</v>
      </c>
      <c r="O695" s="4" t="s">
        <v>183</v>
      </c>
      <c r="P695">
        <v>14076.19</v>
      </c>
      <c r="Q695" s="4" t="s">
        <v>30</v>
      </c>
    </row>
    <row r="696" spans="1:17" x14ac:dyDescent="0.2">
      <c r="A696" s="4" t="s">
        <v>880</v>
      </c>
      <c r="B696">
        <v>695</v>
      </c>
      <c r="C696" s="4" t="s">
        <v>26</v>
      </c>
      <c r="D696" s="4" t="s">
        <v>50</v>
      </c>
      <c r="E696" s="4" t="s">
        <v>56</v>
      </c>
      <c r="F696" s="4" t="s">
        <v>2513</v>
      </c>
      <c r="G696">
        <v>16</v>
      </c>
      <c r="H696">
        <v>80</v>
      </c>
      <c r="I696" s="4" t="s">
        <v>203</v>
      </c>
      <c r="J696" s="4" t="s">
        <v>204</v>
      </c>
      <c r="K696" s="4" t="s">
        <v>205</v>
      </c>
      <c r="L696" s="4" t="s">
        <v>206</v>
      </c>
      <c r="M696" s="4" t="s">
        <v>182</v>
      </c>
      <c r="N696" s="4" t="s">
        <v>182</v>
      </c>
      <c r="O696" s="4" t="s">
        <v>183</v>
      </c>
      <c r="P696">
        <v>300</v>
      </c>
      <c r="Q696" s="4" t="s">
        <v>30</v>
      </c>
    </row>
    <row r="697" spans="1:17" x14ac:dyDescent="0.2">
      <c r="A697" s="4" t="s">
        <v>881</v>
      </c>
      <c r="B697">
        <v>696</v>
      </c>
      <c r="C697" s="4" t="s">
        <v>26</v>
      </c>
      <c r="D697" s="4" t="s">
        <v>50</v>
      </c>
      <c r="E697" s="4" t="s">
        <v>56</v>
      </c>
      <c r="F697" s="4" t="s">
        <v>2513</v>
      </c>
      <c r="G697">
        <v>16</v>
      </c>
      <c r="H697">
        <v>80</v>
      </c>
      <c r="I697" s="4" t="s">
        <v>201</v>
      </c>
      <c r="J697" s="4" t="s">
        <v>202</v>
      </c>
      <c r="K697" s="4" t="s">
        <v>179</v>
      </c>
      <c r="L697" s="4" t="s">
        <v>180</v>
      </c>
      <c r="M697" s="4" t="s">
        <v>192</v>
      </c>
      <c r="N697" s="4" t="s">
        <v>182</v>
      </c>
      <c r="O697" s="4" t="s">
        <v>189</v>
      </c>
      <c r="P697">
        <v>-14076.19</v>
      </c>
      <c r="Q697" s="4" t="s">
        <v>30</v>
      </c>
    </row>
    <row r="698" spans="1:17" x14ac:dyDescent="0.2">
      <c r="A698" s="4" t="s">
        <v>882</v>
      </c>
      <c r="B698">
        <v>697</v>
      </c>
      <c r="C698" s="4" t="s">
        <v>26</v>
      </c>
      <c r="D698" s="4" t="s">
        <v>50</v>
      </c>
      <c r="E698" s="4" t="s">
        <v>56</v>
      </c>
      <c r="F698" s="4" t="s">
        <v>2513</v>
      </c>
      <c r="G698">
        <v>16</v>
      </c>
      <c r="H698">
        <v>80</v>
      </c>
      <c r="I698" s="4" t="s">
        <v>212</v>
      </c>
      <c r="J698" s="4" t="s">
        <v>213</v>
      </c>
      <c r="K698" s="4" t="s">
        <v>205</v>
      </c>
      <c r="L698" s="4" t="s">
        <v>214</v>
      </c>
      <c r="M698" s="4" t="s">
        <v>182</v>
      </c>
      <c r="N698" s="4" t="s">
        <v>182</v>
      </c>
      <c r="O698" s="4" t="s">
        <v>189</v>
      </c>
      <c r="P698">
        <v>-16312.31</v>
      </c>
      <c r="Q698" s="4" t="s">
        <v>30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E2F7-FC7F-D143-91C4-85CE3E4F8223}">
  <dimension ref="A1:K25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21.33203125" bestFit="1" customWidth="1"/>
    <col min="5" max="5" width="20.33203125" bestFit="1" customWidth="1"/>
    <col min="6" max="6" width="24.6640625" bestFit="1" customWidth="1"/>
    <col min="7" max="7" width="22.33203125" bestFit="1" customWidth="1"/>
    <col min="8" max="8" width="17.33203125" bestFit="1" customWidth="1"/>
    <col min="9" max="9" width="7.5" bestFit="1" customWidth="1"/>
    <col min="10" max="10" width="22.33203125" bestFit="1" customWidth="1"/>
    <col min="11" max="11" width="21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155</v>
      </c>
      <c r="E1" t="s">
        <v>8</v>
      </c>
      <c r="F1" t="s">
        <v>9</v>
      </c>
      <c r="G1" t="s">
        <v>159</v>
      </c>
      <c r="H1" t="s">
        <v>160</v>
      </c>
      <c r="I1" t="s">
        <v>11</v>
      </c>
      <c r="J1" t="s">
        <v>161</v>
      </c>
      <c r="K1" t="s">
        <v>7</v>
      </c>
    </row>
    <row r="2" spans="1:11" x14ac:dyDescent="0.2">
      <c r="A2" s="4" t="s">
        <v>25</v>
      </c>
      <c r="B2">
        <v>1</v>
      </c>
      <c r="C2" s="4" t="s">
        <v>26</v>
      </c>
      <c r="D2" s="4" t="s">
        <v>35</v>
      </c>
      <c r="E2" s="4" t="s">
        <v>122</v>
      </c>
      <c r="F2" s="4" t="s">
        <v>123</v>
      </c>
      <c r="G2">
        <v>0</v>
      </c>
      <c r="H2">
        <v>0</v>
      </c>
      <c r="I2" s="4" t="s">
        <v>158</v>
      </c>
      <c r="J2">
        <v>69</v>
      </c>
      <c r="K2">
        <v>80</v>
      </c>
    </row>
    <row r="3" spans="1:11" x14ac:dyDescent="0.2">
      <c r="A3" s="4" t="s">
        <v>31</v>
      </c>
      <c r="B3">
        <v>2</v>
      </c>
      <c r="C3" s="4" t="s">
        <v>26</v>
      </c>
      <c r="D3" s="4" t="s">
        <v>112</v>
      </c>
      <c r="E3" s="4" t="s">
        <v>122</v>
      </c>
      <c r="F3" s="4" t="s">
        <v>123</v>
      </c>
      <c r="G3">
        <v>383</v>
      </c>
      <c r="H3">
        <v>7160</v>
      </c>
      <c r="I3" s="4" t="s">
        <v>158</v>
      </c>
      <c r="J3">
        <v>75</v>
      </c>
      <c r="K3">
        <v>80</v>
      </c>
    </row>
    <row r="4" spans="1:11" x14ac:dyDescent="0.2">
      <c r="A4" s="4" t="s">
        <v>34</v>
      </c>
      <c r="B4">
        <v>3</v>
      </c>
      <c r="C4" s="4" t="s">
        <v>26</v>
      </c>
      <c r="D4" s="4" t="s">
        <v>114</v>
      </c>
      <c r="E4" s="4" t="s">
        <v>122</v>
      </c>
      <c r="F4" s="4" t="s">
        <v>123</v>
      </c>
      <c r="G4">
        <v>74</v>
      </c>
      <c r="H4">
        <v>1300</v>
      </c>
      <c r="I4" s="4" t="s">
        <v>158</v>
      </c>
      <c r="J4">
        <v>71</v>
      </c>
      <c r="K4">
        <v>80</v>
      </c>
    </row>
    <row r="5" spans="1:11" x14ac:dyDescent="0.2">
      <c r="A5" s="4" t="s">
        <v>37</v>
      </c>
      <c r="B5">
        <v>4</v>
      </c>
      <c r="C5" s="4" t="s">
        <v>26</v>
      </c>
      <c r="D5" s="4" t="s">
        <v>116</v>
      </c>
      <c r="E5" s="4" t="s">
        <v>122</v>
      </c>
      <c r="F5" s="4" t="s">
        <v>123</v>
      </c>
      <c r="G5">
        <v>70</v>
      </c>
      <c r="H5">
        <v>1592</v>
      </c>
      <c r="I5" s="4" t="s">
        <v>158</v>
      </c>
      <c r="J5">
        <v>68</v>
      </c>
      <c r="K5">
        <v>80</v>
      </c>
    </row>
    <row r="6" spans="1:11" x14ac:dyDescent="0.2">
      <c r="A6" s="4" t="s">
        <v>40</v>
      </c>
      <c r="B6">
        <v>5</v>
      </c>
      <c r="C6" s="4" t="s">
        <v>26</v>
      </c>
      <c r="D6" s="4" t="s">
        <v>35</v>
      </c>
      <c r="E6" s="4" t="s">
        <v>125</v>
      </c>
      <c r="F6" s="4" t="s">
        <v>126</v>
      </c>
      <c r="G6">
        <v>17</v>
      </c>
      <c r="H6">
        <v>0</v>
      </c>
      <c r="I6" s="4" t="s">
        <v>158</v>
      </c>
      <c r="J6">
        <v>71</v>
      </c>
      <c r="K6">
        <v>80</v>
      </c>
    </row>
    <row r="7" spans="1:11" x14ac:dyDescent="0.2">
      <c r="A7" s="4" t="s">
        <v>43</v>
      </c>
      <c r="B7">
        <v>6</v>
      </c>
      <c r="C7" s="4" t="s">
        <v>26</v>
      </c>
      <c r="D7" s="4" t="s">
        <v>112</v>
      </c>
      <c r="E7" s="4" t="s">
        <v>125</v>
      </c>
      <c r="F7" s="4" t="s">
        <v>126</v>
      </c>
      <c r="G7">
        <v>52</v>
      </c>
      <c r="H7">
        <v>388</v>
      </c>
      <c r="I7" s="4" t="s">
        <v>158</v>
      </c>
      <c r="J7">
        <v>73</v>
      </c>
      <c r="K7">
        <v>80</v>
      </c>
    </row>
    <row r="8" spans="1:11" x14ac:dyDescent="0.2">
      <c r="A8" s="4" t="s">
        <v>46</v>
      </c>
      <c r="B8">
        <v>7</v>
      </c>
      <c r="C8" s="4" t="s">
        <v>26</v>
      </c>
      <c r="D8" s="4" t="s">
        <v>114</v>
      </c>
      <c r="E8" s="4" t="s">
        <v>125</v>
      </c>
      <c r="F8" s="4" t="s">
        <v>126</v>
      </c>
      <c r="G8">
        <v>75</v>
      </c>
      <c r="H8">
        <v>655</v>
      </c>
      <c r="I8" s="4" t="s">
        <v>158</v>
      </c>
      <c r="J8">
        <v>72</v>
      </c>
      <c r="K8">
        <v>80</v>
      </c>
    </row>
    <row r="9" spans="1:11" x14ac:dyDescent="0.2">
      <c r="A9" s="4" t="s">
        <v>49</v>
      </c>
      <c r="B9">
        <v>8</v>
      </c>
      <c r="C9" s="4" t="s">
        <v>26</v>
      </c>
      <c r="D9" s="4" t="s">
        <v>116</v>
      </c>
      <c r="E9" s="4" t="s">
        <v>125</v>
      </c>
      <c r="F9" s="4" t="s">
        <v>126</v>
      </c>
      <c r="G9">
        <v>50</v>
      </c>
      <c r="H9">
        <v>196</v>
      </c>
      <c r="I9" s="4" t="s">
        <v>158</v>
      </c>
      <c r="J9">
        <v>75</v>
      </c>
      <c r="K9">
        <v>80</v>
      </c>
    </row>
    <row r="10" spans="1:11" x14ac:dyDescent="0.2">
      <c r="A10" s="4" t="s">
        <v>52</v>
      </c>
      <c r="B10">
        <v>9</v>
      </c>
      <c r="C10" s="4" t="s">
        <v>26</v>
      </c>
      <c r="D10" s="4" t="s">
        <v>35</v>
      </c>
      <c r="E10" s="4" t="s">
        <v>127</v>
      </c>
      <c r="F10" s="4" t="s">
        <v>128</v>
      </c>
      <c r="G10">
        <v>1</v>
      </c>
      <c r="H10">
        <v>0</v>
      </c>
      <c r="I10" s="4" t="s">
        <v>158</v>
      </c>
      <c r="J10">
        <v>67</v>
      </c>
      <c r="K10">
        <v>80</v>
      </c>
    </row>
    <row r="11" spans="1:11" x14ac:dyDescent="0.2">
      <c r="A11" s="4" t="s">
        <v>55</v>
      </c>
      <c r="B11">
        <v>10</v>
      </c>
      <c r="C11" s="4" t="s">
        <v>26</v>
      </c>
      <c r="D11" s="4" t="s">
        <v>112</v>
      </c>
      <c r="E11" s="4" t="s">
        <v>127</v>
      </c>
      <c r="F11" s="4" t="s">
        <v>128</v>
      </c>
      <c r="G11">
        <v>282</v>
      </c>
      <c r="H11">
        <v>2880</v>
      </c>
      <c r="I11" s="4" t="s">
        <v>158</v>
      </c>
      <c r="J11">
        <v>71</v>
      </c>
      <c r="K11">
        <v>80</v>
      </c>
    </row>
    <row r="12" spans="1:11" x14ac:dyDescent="0.2">
      <c r="A12" s="4" t="s">
        <v>58</v>
      </c>
      <c r="B12">
        <v>11</v>
      </c>
      <c r="C12" s="4" t="s">
        <v>26</v>
      </c>
      <c r="D12" s="4" t="s">
        <v>114</v>
      </c>
      <c r="E12" s="4" t="s">
        <v>127</v>
      </c>
      <c r="F12" s="4" t="s">
        <v>128</v>
      </c>
      <c r="G12">
        <v>278</v>
      </c>
      <c r="H12">
        <v>4913</v>
      </c>
      <c r="I12" s="4" t="s">
        <v>158</v>
      </c>
      <c r="J12">
        <v>73</v>
      </c>
      <c r="K12">
        <v>80</v>
      </c>
    </row>
    <row r="13" spans="1:11" x14ac:dyDescent="0.2">
      <c r="A13" s="4" t="s">
        <v>60</v>
      </c>
      <c r="B13">
        <v>12</v>
      </c>
      <c r="C13" s="4" t="s">
        <v>26</v>
      </c>
      <c r="D13" s="4" t="s">
        <v>116</v>
      </c>
      <c r="E13" s="4" t="s">
        <v>127</v>
      </c>
      <c r="F13" s="4" t="s">
        <v>128</v>
      </c>
      <c r="G13">
        <v>100</v>
      </c>
      <c r="H13">
        <v>914</v>
      </c>
      <c r="I13" s="4" t="s">
        <v>158</v>
      </c>
      <c r="J13">
        <v>72</v>
      </c>
      <c r="K13">
        <v>80</v>
      </c>
    </row>
    <row r="14" spans="1:11" x14ac:dyDescent="0.2">
      <c r="A14" s="4" t="s">
        <v>62</v>
      </c>
      <c r="B14">
        <v>13</v>
      </c>
      <c r="C14" s="4" t="s">
        <v>26</v>
      </c>
      <c r="D14" s="4" t="s">
        <v>35</v>
      </c>
      <c r="E14" s="4" t="s">
        <v>129</v>
      </c>
      <c r="F14" s="4" t="s">
        <v>130</v>
      </c>
      <c r="G14">
        <v>0</v>
      </c>
      <c r="H14">
        <v>0</v>
      </c>
      <c r="I14" s="4" t="s">
        <v>158</v>
      </c>
      <c r="J14">
        <v>60</v>
      </c>
      <c r="K14">
        <v>80</v>
      </c>
    </row>
    <row r="15" spans="1:11" x14ac:dyDescent="0.2">
      <c r="A15" s="4" t="s">
        <v>64</v>
      </c>
      <c r="B15">
        <v>14</v>
      </c>
      <c r="C15" s="4" t="s">
        <v>26</v>
      </c>
      <c r="D15" s="4" t="s">
        <v>112</v>
      </c>
      <c r="E15" s="4" t="s">
        <v>129</v>
      </c>
      <c r="F15" s="4" t="s">
        <v>130</v>
      </c>
      <c r="G15">
        <v>28</v>
      </c>
      <c r="H15">
        <v>346</v>
      </c>
      <c r="I15" s="4" t="s">
        <v>158</v>
      </c>
      <c r="J15">
        <v>66</v>
      </c>
      <c r="K15">
        <v>80</v>
      </c>
    </row>
    <row r="16" spans="1:11" x14ac:dyDescent="0.2">
      <c r="A16" s="4" t="s">
        <v>66</v>
      </c>
      <c r="B16">
        <v>15</v>
      </c>
      <c r="C16" s="4" t="s">
        <v>26</v>
      </c>
      <c r="D16" s="4" t="s">
        <v>114</v>
      </c>
      <c r="E16" s="4" t="s">
        <v>129</v>
      </c>
      <c r="F16" s="4" t="s">
        <v>130</v>
      </c>
      <c r="G16">
        <v>44</v>
      </c>
      <c r="H16">
        <v>312</v>
      </c>
      <c r="I16" s="4" t="s">
        <v>158</v>
      </c>
      <c r="J16">
        <v>75</v>
      </c>
      <c r="K16">
        <v>80</v>
      </c>
    </row>
    <row r="17" spans="1:11" x14ac:dyDescent="0.2">
      <c r="A17" s="4" t="s">
        <v>68</v>
      </c>
      <c r="B17">
        <v>16</v>
      </c>
      <c r="C17" s="4" t="s">
        <v>26</v>
      </c>
      <c r="D17" s="4" t="s">
        <v>116</v>
      </c>
      <c r="E17" s="4" t="s">
        <v>129</v>
      </c>
      <c r="F17" s="4" t="s">
        <v>130</v>
      </c>
      <c r="G17">
        <v>65</v>
      </c>
      <c r="H17">
        <v>1383</v>
      </c>
      <c r="I17" s="4" t="s">
        <v>158</v>
      </c>
      <c r="J17">
        <v>70</v>
      </c>
      <c r="K17">
        <v>80</v>
      </c>
    </row>
    <row r="18" spans="1:11" x14ac:dyDescent="0.2">
      <c r="A18" s="4" t="s">
        <v>70</v>
      </c>
      <c r="B18">
        <v>17</v>
      </c>
      <c r="C18" s="4" t="s">
        <v>26</v>
      </c>
      <c r="D18" s="4" t="s">
        <v>35</v>
      </c>
      <c r="E18" s="4" t="s">
        <v>131</v>
      </c>
      <c r="F18" s="4" t="s">
        <v>132</v>
      </c>
      <c r="G18">
        <v>55</v>
      </c>
      <c r="H18">
        <v>0</v>
      </c>
      <c r="I18" s="4" t="s">
        <v>158</v>
      </c>
      <c r="J18">
        <v>67</v>
      </c>
      <c r="K18">
        <v>80</v>
      </c>
    </row>
    <row r="19" spans="1:11" x14ac:dyDescent="0.2">
      <c r="A19" s="4" t="s">
        <v>72</v>
      </c>
      <c r="B19">
        <v>18</v>
      </c>
      <c r="C19" s="4" t="s">
        <v>26</v>
      </c>
      <c r="D19" s="4" t="s">
        <v>112</v>
      </c>
      <c r="E19" s="4" t="s">
        <v>131</v>
      </c>
      <c r="F19" s="4" t="s">
        <v>132</v>
      </c>
      <c r="G19">
        <v>74</v>
      </c>
      <c r="H19">
        <v>947</v>
      </c>
      <c r="I19" s="4" t="s">
        <v>158</v>
      </c>
      <c r="J19">
        <v>75</v>
      </c>
      <c r="K19">
        <v>80</v>
      </c>
    </row>
    <row r="20" spans="1:11" x14ac:dyDescent="0.2">
      <c r="A20" s="4" t="s">
        <v>74</v>
      </c>
      <c r="B20">
        <v>19</v>
      </c>
      <c r="C20" s="4" t="s">
        <v>26</v>
      </c>
      <c r="D20" s="4" t="s">
        <v>114</v>
      </c>
      <c r="E20" s="4" t="s">
        <v>131</v>
      </c>
      <c r="F20" s="4" t="s">
        <v>132</v>
      </c>
      <c r="G20">
        <v>97</v>
      </c>
      <c r="H20">
        <v>1628</v>
      </c>
      <c r="I20" s="4" t="s">
        <v>158</v>
      </c>
      <c r="J20">
        <v>74</v>
      </c>
      <c r="K20">
        <v>80</v>
      </c>
    </row>
    <row r="21" spans="1:11" x14ac:dyDescent="0.2">
      <c r="A21" s="4" t="s">
        <v>76</v>
      </c>
      <c r="B21">
        <v>20</v>
      </c>
      <c r="C21" s="4" t="s">
        <v>26</v>
      </c>
      <c r="D21" s="4" t="s">
        <v>116</v>
      </c>
      <c r="E21" s="4" t="s">
        <v>131</v>
      </c>
      <c r="F21" s="4" t="s">
        <v>132</v>
      </c>
      <c r="G21">
        <v>80</v>
      </c>
      <c r="H21">
        <v>524</v>
      </c>
      <c r="I21" s="4" t="s">
        <v>158</v>
      </c>
      <c r="J21">
        <v>74</v>
      </c>
      <c r="K21">
        <v>80</v>
      </c>
    </row>
    <row r="22" spans="1:11" x14ac:dyDescent="0.2">
      <c r="A22" s="4" t="s">
        <v>78</v>
      </c>
      <c r="B22">
        <v>21</v>
      </c>
      <c r="C22" s="4" t="s">
        <v>26</v>
      </c>
      <c r="D22" s="4" t="s">
        <v>35</v>
      </c>
      <c r="E22" s="4" t="s">
        <v>133</v>
      </c>
      <c r="F22" s="4" t="s">
        <v>134</v>
      </c>
      <c r="G22">
        <v>0</v>
      </c>
      <c r="H22">
        <v>0</v>
      </c>
      <c r="I22" s="4" t="s">
        <v>158</v>
      </c>
      <c r="J22">
        <v>69</v>
      </c>
      <c r="K22">
        <v>80</v>
      </c>
    </row>
    <row r="23" spans="1:11" x14ac:dyDescent="0.2">
      <c r="A23" s="4" t="s">
        <v>80</v>
      </c>
      <c r="B23">
        <v>22</v>
      </c>
      <c r="C23" s="4" t="s">
        <v>26</v>
      </c>
      <c r="D23" s="4" t="s">
        <v>112</v>
      </c>
      <c r="E23" s="4" t="s">
        <v>133</v>
      </c>
      <c r="F23" s="4" t="s">
        <v>134</v>
      </c>
      <c r="G23">
        <v>2</v>
      </c>
      <c r="H23">
        <v>1193</v>
      </c>
      <c r="I23" s="4" t="s">
        <v>158</v>
      </c>
      <c r="J23">
        <v>69</v>
      </c>
      <c r="K23">
        <v>80</v>
      </c>
    </row>
    <row r="24" spans="1:11" x14ac:dyDescent="0.2">
      <c r="A24" s="4" t="s">
        <v>82</v>
      </c>
      <c r="B24">
        <v>23</v>
      </c>
      <c r="C24" s="4" t="s">
        <v>26</v>
      </c>
      <c r="D24" s="4" t="s">
        <v>114</v>
      </c>
      <c r="E24" s="4" t="s">
        <v>133</v>
      </c>
      <c r="F24" s="4" t="s">
        <v>134</v>
      </c>
      <c r="G24">
        <v>1</v>
      </c>
      <c r="H24">
        <v>413</v>
      </c>
      <c r="I24" s="4" t="s">
        <v>158</v>
      </c>
      <c r="J24">
        <v>69</v>
      </c>
      <c r="K24">
        <v>80</v>
      </c>
    </row>
    <row r="25" spans="1:11" x14ac:dyDescent="0.2">
      <c r="A25" s="4" t="s">
        <v>84</v>
      </c>
      <c r="B25">
        <v>24</v>
      </c>
      <c r="C25" s="4" t="s">
        <v>26</v>
      </c>
      <c r="D25" s="4" t="s">
        <v>116</v>
      </c>
      <c r="E25" s="4" t="s">
        <v>133</v>
      </c>
      <c r="F25" s="4" t="s">
        <v>134</v>
      </c>
      <c r="G25">
        <v>33</v>
      </c>
      <c r="H25">
        <v>469</v>
      </c>
      <c r="I25" s="4" t="s">
        <v>158</v>
      </c>
      <c r="J25">
        <v>69</v>
      </c>
      <c r="K25">
        <v>80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6145-23F2-A442-B660-F06A6ED6F3CD}">
  <dimension ref="A1:I25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20.33203125" bestFit="1" customWidth="1"/>
    <col min="5" max="5" width="24.6640625" bestFit="1" customWidth="1"/>
    <col min="6" max="6" width="21.33203125" bestFit="1" customWidth="1"/>
    <col min="7" max="7" width="9.33203125" bestFit="1" customWidth="1"/>
    <col min="8" max="8" width="13.83203125" bestFit="1" customWidth="1"/>
    <col min="9" max="9" width="7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155</v>
      </c>
      <c r="G1" t="s">
        <v>156</v>
      </c>
      <c r="H1" t="s">
        <v>157</v>
      </c>
      <c r="I1" t="s">
        <v>11</v>
      </c>
    </row>
    <row r="2" spans="1:9" x14ac:dyDescent="0.2">
      <c r="A2" s="4" t="s">
        <v>25</v>
      </c>
      <c r="B2">
        <v>1</v>
      </c>
      <c r="C2" s="4" t="s">
        <v>26</v>
      </c>
      <c r="D2" s="4" t="s">
        <v>122</v>
      </c>
      <c r="E2" s="4" t="s">
        <v>123</v>
      </c>
      <c r="F2" s="4" t="s">
        <v>35</v>
      </c>
      <c r="G2">
        <v>0</v>
      </c>
      <c r="H2">
        <v>0</v>
      </c>
      <c r="I2" s="4" t="s">
        <v>158</v>
      </c>
    </row>
    <row r="3" spans="1:9" x14ac:dyDescent="0.2">
      <c r="A3" s="4" t="s">
        <v>31</v>
      </c>
      <c r="B3">
        <v>2</v>
      </c>
      <c r="C3" s="4" t="s">
        <v>26</v>
      </c>
      <c r="D3" s="4" t="s">
        <v>125</v>
      </c>
      <c r="E3" s="4" t="s">
        <v>126</v>
      </c>
      <c r="F3" s="4" t="s">
        <v>35</v>
      </c>
      <c r="G3">
        <v>17</v>
      </c>
      <c r="H3">
        <v>0</v>
      </c>
      <c r="I3" s="4" t="s">
        <v>158</v>
      </c>
    </row>
    <row r="4" spans="1:9" x14ac:dyDescent="0.2">
      <c r="A4" s="4" t="s">
        <v>34</v>
      </c>
      <c r="B4">
        <v>3</v>
      </c>
      <c r="C4" s="4" t="s">
        <v>26</v>
      </c>
      <c r="D4" s="4" t="s">
        <v>127</v>
      </c>
      <c r="E4" s="4" t="s">
        <v>128</v>
      </c>
      <c r="F4" s="4" t="s">
        <v>35</v>
      </c>
      <c r="G4">
        <v>1</v>
      </c>
      <c r="H4">
        <v>0</v>
      </c>
      <c r="I4" s="4" t="s">
        <v>158</v>
      </c>
    </row>
    <row r="5" spans="1:9" x14ac:dyDescent="0.2">
      <c r="A5" s="4" t="s">
        <v>37</v>
      </c>
      <c r="B5">
        <v>4</v>
      </c>
      <c r="C5" s="4" t="s">
        <v>26</v>
      </c>
      <c r="D5" s="4" t="s">
        <v>129</v>
      </c>
      <c r="E5" s="4" t="s">
        <v>130</v>
      </c>
      <c r="F5" s="4" t="s">
        <v>35</v>
      </c>
      <c r="G5">
        <v>0</v>
      </c>
      <c r="H5">
        <v>0</v>
      </c>
      <c r="I5" s="4" t="s">
        <v>158</v>
      </c>
    </row>
    <row r="6" spans="1:9" x14ac:dyDescent="0.2">
      <c r="A6" s="4" t="s">
        <v>40</v>
      </c>
      <c r="B6">
        <v>5</v>
      </c>
      <c r="C6" s="4" t="s">
        <v>26</v>
      </c>
      <c r="D6" s="4" t="s">
        <v>131</v>
      </c>
      <c r="E6" s="4" t="s">
        <v>132</v>
      </c>
      <c r="F6" s="4" t="s">
        <v>35</v>
      </c>
      <c r="G6">
        <v>55</v>
      </c>
      <c r="H6">
        <v>0</v>
      </c>
      <c r="I6" s="4" t="s">
        <v>158</v>
      </c>
    </row>
    <row r="7" spans="1:9" x14ac:dyDescent="0.2">
      <c r="A7" s="4" t="s">
        <v>43</v>
      </c>
      <c r="B7">
        <v>6</v>
      </c>
      <c r="C7" s="4" t="s">
        <v>26</v>
      </c>
      <c r="D7" s="4" t="s">
        <v>133</v>
      </c>
      <c r="E7" s="4" t="s">
        <v>134</v>
      </c>
      <c r="F7" s="4" t="s">
        <v>35</v>
      </c>
      <c r="G7">
        <v>0</v>
      </c>
      <c r="H7">
        <v>0</v>
      </c>
      <c r="I7" s="4" t="s">
        <v>158</v>
      </c>
    </row>
    <row r="8" spans="1:9" x14ac:dyDescent="0.2">
      <c r="A8" s="4" t="s">
        <v>46</v>
      </c>
      <c r="B8">
        <v>7</v>
      </c>
      <c r="C8" s="4" t="s">
        <v>26</v>
      </c>
      <c r="D8" s="4" t="s">
        <v>122</v>
      </c>
      <c r="E8" s="4" t="s">
        <v>123</v>
      </c>
      <c r="F8" s="4" t="s">
        <v>112</v>
      </c>
      <c r="G8">
        <v>383</v>
      </c>
      <c r="H8">
        <v>0</v>
      </c>
      <c r="I8" s="4" t="s">
        <v>158</v>
      </c>
    </row>
    <row r="9" spans="1:9" x14ac:dyDescent="0.2">
      <c r="A9" s="4" t="s">
        <v>49</v>
      </c>
      <c r="B9">
        <v>8</v>
      </c>
      <c r="C9" s="4" t="s">
        <v>26</v>
      </c>
      <c r="D9" s="4" t="s">
        <v>125</v>
      </c>
      <c r="E9" s="4" t="s">
        <v>126</v>
      </c>
      <c r="F9" s="4" t="s">
        <v>112</v>
      </c>
      <c r="G9">
        <v>52</v>
      </c>
      <c r="H9">
        <v>0</v>
      </c>
      <c r="I9" s="4" t="s">
        <v>158</v>
      </c>
    </row>
    <row r="10" spans="1:9" x14ac:dyDescent="0.2">
      <c r="A10" s="4" t="s">
        <v>52</v>
      </c>
      <c r="B10">
        <v>9</v>
      </c>
      <c r="C10" s="4" t="s">
        <v>26</v>
      </c>
      <c r="D10" s="4" t="s">
        <v>127</v>
      </c>
      <c r="E10" s="4" t="s">
        <v>128</v>
      </c>
      <c r="F10" s="4" t="s">
        <v>112</v>
      </c>
      <c r="G10">
        <v>282</v>
      </c>
      <c r="H10">
        <v>0</v>
      </c>
      <c r="I10" s="4" t="s">
        <v>158</v>
      </c>
    </row>
    <row r="11" spans="1:9" x14ac:dyDescent="0.2">
      <c r="A11" s="4" t="s">
        <v>55</v>
      </c>
      <c r="B11">
        <v>10</v>
      </c>
      <c r="C11" s="4" t="s">
        <v>26</v>
      </c>
      <c r="D11" s="4" t="s">
        <v>129</v>
      </c>
      <c r="E11" s="4" t="s">
        <v>130</v>
      </c>
      <c r="F11" s="4" t="s">
        <v>112</v>
      </c>
      <c r="G11">
        <v>28</v>
      </c>
      <c r="H11">
        <v>0</v>
      </c>
      <c r="I11" s="4" t="s">
        <v>158</v>
      </c>
    </row>
    <row r="12" spans="1:9" x14ac:dyDescent="0.2">
      <c r="A12" s="4" t="s">
        <v>58</v>
      </c>
      <c r="B12">
        <v>11</v>
      </c>
      <c r="C12" s="4" t="s">
        <v>26</v>
      </c>
      <c r="D12" s="4" t="s">
        <v>131</v>
      </c>
      <c r="E12" s="4" t="s">
        <v>132</v>
      </c>
      <c r="F12" s="4" t="s">
        <v>112</v>
      </c>
      <c r="G12">
        <v>74</v>
      </c>
      <c r="H12">
        <v>0</v>
      </c>
      <c r="I12" s="4" t="s">
        <v>158</v>
      </c>
    </row>
    <row r="13" spans="1:9" x14ac:dyDescent="0.2">
      <c r="A13" s="4" t="s">
        <v>60</v>
      </c>
      <c r="B13">
        <v>12</v>
      </c>
      <c r="C13" s="4" t="s">
        <v>26</v>
      </c>
      <c r="D13" s="4" t="s">
        <v>133</v>
      </c>
      <c r="E13" s="4" t="s">
        <v>134</v>
      </c>
      <c r="F13" s="4" t="s">
        <v>112</v>
      </c>
      <c r="G13">
        <v>2</v>
      </c>
      <c r="H13">
        <v>0</v>
      </c>
      <c r="I13" s="4" t="s">
        <v>158</v>
      </c>
    </row>
    <row r="14" spans="1:9" x14ac:dyDescent="0.2">
      <c r="A14" s="4" t="s">
        <v>62</v>
      </c>
      <c r="B14">
        <v>13</v>
      </c>
      <c r="C14" s="4" t="s">
        <v>26</v>
      </c>
      <c r="D14" s="4" t="s">
        <v>122</v>
      </c>
      <c r="E14" s="4" t="s">
        <v>123</v>
      </c>
      <c r="F14" s="4" t="s">
        <v>114</v>
      </c>
      <c r="G14">
        <v>74</v>
      </c>
      <c r="H14">
        <v>0</v>
      </c>
      <c r="I14" s="4" t="s">
        <v>158</v>
      </c>
    </row>
    <row r="15" spans="1:9" x14ac:dyDescent="0.2">
      <c r="A15" s="4" t="s">
        <v>64</v>
      </c>
      <c r="B15">
        <v>14</v>
      </c>
      <c r="C15" s="4" t="s">
        <v>26</v>
      </c>
      <c r="D15" s="4" t="s">
        <v>125</v>
      </c>
      <c r="E15" s="4" t="s">
        <v>126</v>
      </c>
      <c r="F15" s="4" t="s">
        <v>114</v>
      </c>
      <c r="G15">
        <v>75</v>
      </c>
      <c r="H15">
        <v>0</v>
      </c>
      <c r="I15" s="4" t="s">
        <v>158</v>
      </c>
    </row>
    <row r="16" spans="1:9" x14ac:dyDescent="0.2">
      <c r="A16" s="4" t="s">
        <v>66</v>
      </c>
      <c r="B16">
        <v>15</v>
      </c>
      <c r="C16" s="4" t="s">
        <v>26</v>
      </c>
      <c r="D16" s="4" t="s">
        <v>127</v>
      </c>
      <c r="E16" s="4" t="s">
        <v>128</v>
      </c>
      <c r="F16" s="4" t="s">
        <v>114</v>
      </c>
      <c r="G16">
        <v>278</v>
      </c>
      <c r="H16">
        <v>0</v>
      </c>
      <c r="I16" s="4" t="s">
        <v>158</v>
      </c>
    </row>
    <row r="17" spans="1:9" x14ac:dyDescent="0.2">
      <c r="A17" s="4" t="s">
        <v>68</v>
      </c>
      <c r="B17">
        <v>16</v>
      </c>
      <c r="C17" s="4" t="s">
        <v>26</v>
      </c>
      <c r="D17" s="4" t="s">
        <v>129</v>
      </c>
      <c r="E17" s="4" t="s">
        <v>130</v>
      </c>
      <c r="F17" s="4" t="s">
        <v>114</v>
      </c>
      <c r="G17">
        <v>44</v>
      </c>
      <c r="H17">
        <v>0</v>
      </c>
      <c r="I17" s="4" t="s">
        <v>158</v>
      </c>
    </row>
    <row r="18" spans="1:9" x14ac:dyDescent="0.2">
      <c r="A18" s="4" t="s">
        <v>70</v>
      </c>
      <c r="B18">
        <v>17</v>
      </c>
      <c r="C18" s="4" t="s">
        <v>26</v>
      </c>
      <c r="D18" s="4" t="s">
        <v>131</v>
      </c>
      <c r="E18" s="4" t="s">
        <v>132</v>
      </c>
      <c r="F18" s="4" t="s">
        <v>114</v>
      </c>
      <c r="G18">
        <v>97</v>
      </c>
      <c r="H18">
        <v>0</v>
      </c>
      <c r="I18" s="4" t="s">
        <v>158</v>
      </c>
    </row>
    <row r="19" spans="1:9" x14ac:dyDescent="0.2">
      <c r="A19" s="4" t="s">
        <v>72</v>
      </c>
      <c r="B19">
        <v>18</v>
      </c>
      <c r="C19" s="4" t="s">
        <v>26</v>
      </c>
      <c r="D19" s="4" t="s">
        <v>133</v>
      </c>
      <c r="E19" s="4" t="s">
        <v>134</v>
      </c>
      <c r="F19" s="4" t="s">
        <v>114</v>
      </c>
      <c r="G19">
        <v>1</v>
      </c>
      <c r="H19">
        <v>0</v>
      </c>
      <c r="I19" s="4" t="s">
        <v>158</v>
      </c>
    </row>
    <row r="20" spans="1:9" x14ac:dyDescent="0.2">
      <c r="A20" s="4" t="s">
        <v>74</v>
      </c>
      <c r="B20">
        <v>19</v>
      </c>
      <c r="C20" s="4" t="s">
        <v>26</v>
      </c>
      <c r="D20" s="4" t="s">
        <v>122</v>
      </c>
      <c r="E20" s="4" t="s">
        <v>123</v>
      </c>
      <c r="F20" s="4" t="s">
        <v>116</v>
      </c>
      <c r="G20">
        <v>70</v>
      </c>
      <c r="H20">
        <v>0</v>
      </c>
      <c r="I20" s="4" t="s">
        <v>158</v>
      </c>
    </row>
    <row r="21" spans="1:9" x14ac:dyDescent="0.2">
      <c r="A21" s="4" t="s">
        <v>76</v>
      </c>
      <c r="B21">
        <v>20</v>
      </c>
      <c r="C21" s="4" t="s">
        <v>26</v>
      </c>
      <c r="D21" s="4" t="s">
        <v>125</v>
      </c>
      <c r="E21" s="4" t="s">
        <v>126</v>
      </c>
      <c r="F21" s="4" t="s">
        <v>116</v>
      </c>
      <c r="G21">
        <v>50</v>
      </c>
      <c r="H21">
        <v>0</v>
      </c>
      <c r="I21" s="4" t="s">
        <v>158</v>
      </c>
    </row>
    <row r="22" spans="1:9" x14ac:dyDescent="0.2">
      <c r="A22" s="4" t="s">
        <v>78</v>
      </c>
      <c r="B22">
        <v>21</v>
      </c>
      <c r="C22" s="4" t="s">
        <v>26</v>
      </c>
      <c r="D22" s="4" t="s">
        <v>127</v>
      </c>
      <c r="E22" s="4" t="s">
        <v>128</v>
      </c>
      <c r="F22" s="4" t="s">
        <v>116</v>
      </c>
      <c r="G22">
        <v>100</v>
      </c>
      <c r="H22">
        <v>0</v>
      </c>
      <c r="I22" s="4" t="s">
        <v>158</v>
      </c>
    </row>
    <row r="23" spans="1:9" x14ac:dyDescent="0.2">
      <c r="A23" s="4" t="s">
        <v>80</v>
      </c>
      <c r="B23">
        <v>22</v>
      </c>
      <c r="C23" s="4" t="s">
        <v>26</v>
      </c>
      <c r="D23" s="4" t="s">
        <v>129</v>
      </c>
      <c r="E23" s="4" t="s">
        <v>130</v>
      </c>
      <c r="F23" s="4" t="s">
        <v>116</v>
      </c>
      <c r="G23">
        <v>65</v>
      </c>
      <c r="H23">
        <v>0</v>
      </c>
      <c r="I23" s="4" t="s">
        <v>158</v>
      </c>
    </row>
    <row r="24" spans="1:9" x14ac:dyDescent="0.2">
      <c r="A24" s="4" t="s">
        <v>82</v>
      </c>
      <c r="B24">
        <v>23</v>
      </c>
      <c r="C24" s="4" t="s">
        <v>26</v>
      </c>
      <c r="D24" s="4" t="s">
        <v>131</v>
      </c>
      <c r="E24" s="4" t="s">
        <v>132</v>
      </c>
      <c r="F24" s="4" t="s">
        <v>116</v>
      </c>
      <c r="G24">
        <v>80</v>
      </c>
      <c r="H24">
        <v>0</v>
      </c>
      <c r="I24" s="4" t="s">
        <v>158</v>
      </c>
    </row>
    <row r="25" spans="1:9" x14ac:dyDescent="0.2">
      <c r="A25" s="4" t="s">
        <v>84</v>
      </c>
      <c r="B25">
        <v>24</v>
      </c>
      <c r="C25" s="4" t="s">
        <v>26</v>
      </c>
      <c r="D25" s="4" t="s">
        <v>133</v>
      </c>
      <c r="E25" s="4" t="s">
        <v>134</v>
      </c>
      <c r="F25" s="4" t="s">
        <v>116</v>
      </c>
      <c r="G25">
        <v>33</v>
      </c>
      <c r="H25">
        <v>0</v>
      </c>
      <c r="I25" s="4" t="s">
        <v>158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F681-F0B0-6046-A040-0D47B4C4F78F}">
  <dimension ref="A1:H22"/>
  <sheetViews>
    <sheetView workbookViewId="0"/>
  </sheetViews>
  <sheetFormatPr baseColWidth="10" defaultRowHeight="16" x14ac:dyDescent="0.2"/>
  <cols>
    <col min="1" max="1" width="10.5" bestFit="1" customWidth="1"/>
    <col min="2" max="2" width="18.33203125" bestFit="1" customWidth="1"/>
    <col min="3" max="3" width="8.6640625" bestFit="1" customWidth="1"/>
    <col min="4" max="4" width="12.5" bestFit="1" customWidth="1"/>
    <col min="5" max="5" width="20.6640625" bestFit="1" customWidth="1"/>
    <col min="6" max="6" width="29.6640625" bestFit="1" customWidth="1"/>
    <col min="7" max="7" width="23.33203125" bestFit="1" customWidth="1"/>
    <col min="8" max="8" width="21.6640625" bestFit="1" customWidth="1"/>
  </cols>
  <sheetData>
    <row r="1" spans="1:8" x14ac:dyDescent="0.2">
      <c r="A1" t="s">
        <v>1</v>
      </c>
      <c r="B1" t="s">
        <v>12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 x14ac:dyDescent="0.2">
      <c r="A2">
        <v>1</v>
      </c>
      <c r="B2" s="4" t="s">
        <v>26</v>
      </c>
      <c r="C2" s="4" t="s">
        <v>104</v>
      </c>
      <c r="D2" s="4" t="s">
        <v>105</v>
      </c>
      <c r="E2" s="4" t="s">
        <v>106</v>
      </c>
      <c r="F2" s="4" t="s">
        <v>107</v>
      </c>
      <c r="G2" s="4" t="s">
        <v>108</v>
      </c>
      <c r="H2" s="4" t="s">
        <v>109</v>
      </c>
    </row>
    <row r="3" spans="1:8" x14ac:dyDescent="0.2">
      <c r="A3">
        <v>2</v>
      </c>
      <c r="B3" s="4" t="s">
        <v>26</v>
      </c>
      <c r="C3" s="4" t="s">
        <v>104</v>
      </c>
      <c r="D3" s="4" t="s">
        <v>105</v>
      </c>
      <c r="E3" s="4" t="s">
        <v>106</v>
      </c>
      <c r="F3" s="4" t="s">
        <v>110</v>
      </c>
      <c r="G3" s="4" t="s">
        <v>35</v>
      </c>
      <c r="H3" s="4" t="s">
        <v>111</v>
      </c>
    </row>
    <row r="4" spans="1:8" x14ac:dyDescent="0.2">
      <c r="A4">
        <v>3</v>
      </c>
      <c r="B4" s="4" t="s">
        <v>26</v>
      </c>
      <c r="C4" s="4" t="s">
        <v>104</v>
      </c>
      <c r="D4" s="4" t="s">
        <v>105</v>
      </c>
      <c r="E4" s="4" t="s">
        <v>106</v>
      </c>
      <c r="F4" s="4" t="s">
        <v>110</v>
      </c>
      <c r="G4" s="4" t="s">
        <v>112</v>
      </c>
      <c r="H4" s="4" t="s">
        <v>113</v>
      </c>
    </row>
    <row r="5" spans="1:8" x14ac:dyDescent="0.2">
      <c r="A5">
        <v>4</v>
      </c>
      <c r="B5" s="4" t="s">
        <v>26</v>
      </c>
      <c r="C5" s="4" t="s">
        <v>104</v>
      </c>
      <c r="D5" s="4" t="s">
        <v>105</v>
      </c>
      <c r="E5" s="4" t="s">
        <v>106</v>
      </c>
      <c r="F5" s="4" t="s">
        <v>110</v>
      </c>
      <c r="G5" s="4" t="s">
        <v>114</v>
      </c>
      <c r="H5" s="4" t="s">
        <v>115</v>
      </c>
    </row>
    <row r="6" spans="1:8" x14ac:dyDescent="0.2">
      <c r="A6">
        <v>5</v>
      </c>
      <c r="B6" s="4" t="s">
        <v>26</v>
      </c>
      <c r="C6" s="4" t="s">
        <v>104</v>
      </c>
      <c r="D6" s="4" t="s">
        <v>105</v>
      </c>
      <c r="E6" s="4" t="s">
        <v>106</v>
      </c>
      <c r="F6" s="4" t="s">
        <v>110</v>
      </c>
      <c r="G6" s="4" t="s">
        <v>116</v>
      </c>
      <c r="H6" s="4" t="s">
        <v>117</v>
      </c>
    </row>
    <row r="7" spans="1:8" x14ac:dyDescent="0.2">
      <c r="A7">
        <v>6</v>
      </c>
      <c r="B7" s="4" t="s">
        <v>26</v>
      </c>
      <c r="C7" s="4" t="s">
        <v>104</v>
      </c>
      <c r="D7" s="4" t="s">
        <v>105</v>
      </c>
      <c r="E7" s="4" t="s">
        <v>106</v>
      </c>
      <c r="F7" s="4" t="s">
        <v>118</v>
      </c>
      <c r="G7" s="4" t="s">
        <v>119</v>
      </c>
      <c r="H7" s="4" t="s">
        <v>120</v>
      </c>
    </row>
    <row r="8" spans="1:8" x14ac:dyDescent="0.2">
      <c r="A8">
        <v>7</v>
      </c>
      <c r="B8" s="4" t="s">
        <v>26</v>
      </c>
      <c r="C8" s="4" t="s">
        <v>104</v>
      </c>
      <c r="D8" s="4" t="s">
        <v>105</v>
      </c>
      <c r="E8" s="4" t="s">
        <v>121</v>
      </c>
      <c r="F8" s="4" t="s">
        <v>122</v>
      </c>
      <c r="G8" s="4" t="s">
        <v>123</v>
      </c>
      <c r="H8" s="4" t="s">
        <v>124</v>
      </c>
    </row>
    <row r="9" spans="1:8" x14ac:dyDescent="0.2">
      <c r="A9">
        <v>8</v>
      </c>
      <c r="B9" s="4" t="s">
        <v>26</v>
      </c>
      <c r="C9" s="4" t="s">
        <v>104</v>
      </c>
      <c r="D9" s="4" t="s">
        <v>105</v>
      </c>
      <c r="E9" s="4" t="s">
        <v>121</v>
      </c>
      <c r="F9" s="4" t="s">
        <v>125</v>
      </c>
      <c r="G9" s="4" t="s">
        <v>126</v>
      </c>
      <c r="H9" s="4" t="s">
        <v>124</v>
      </c>
    </row>
    <row r="10" spans="1:8" x14ac:dyDescent="0.2">
      <c r="A10">
        <v>9</v>
      </c>
      <c r="B10" s="4" t="s">
        <v>26</v>
      </c>
      <c r="C10" s="4" t="s">
        <v>104</v>
      </c>
      <c r="D10" s="4" t="s">
        <v>105</v>
      </c>
      <c r="E10" s="4" t="s">
        <v>121</v>
      </c>
      <c r="F10" s="4" t="s">
        <v>127</v>
      </c>
      <c r="G10" s="4" t="s">
        <v>128</v>
      </c>
      <c r="H10" s="4" t="s">
        <v>124</v>
      </c>
    </row>
    <row r="11" spans="1:8" x14ac:dyDescent="0.2">
      <c r="A11">
        <v>10</v>
      </c>
      <c r="B11" s="4" t="s">
        <v>26</v>
      </c>
      <c r="C11" s="4" t="s">
        <v>104</v>
      </c>
      <c r="D11" s="4" t="s">
        <v>105</v>
      </c>
      <c r="E11" s="4" t="s">
        <v>121</v>
      </c>
      <c r="F11" s="4" t="s">
        <v>129</v>
      </c>
      <c r="G11" s="4" t="s">
        <v>130</v>
      </c>
      <c r="H11" s="4" t="s">
        <v>124</v>
      </c>
    </row>
    <row r="12" spans="1:8" x14ac:dyDescent="0.2">
      <c r="A12">
        <v>11</v>
      </c>
      <c r="B12" s="4" t="s">
        <v>26</v>
      </c>
      <c r="C12" s="4" t="s">
        <v>104</v>
      </c>
      <c r="D12" s="4" t="s">
        <v>105</v>
      </c>
      <c r="E12" s="4" t="s">
        <v>121</v>
      </c>
      <c r="F12" s="4" t="s">
        <v>131</v>
      </c>
      <c r="G12" s="4" t="s">
        <v>132</v>
      </c>
      <c r="H12" s="4" t="s">
        <v>124</v>
      </c>
    </row>
    <row r="13" spans="1:8" x14ac:dyDescent="0.2">
      <c r="A13">
        <v>12</v>
      </c>
      <c r="B13" s="4" t="s">
        <v>26</v>
      </c>
      <c r="C13" s="4" t="s">
        <v>104</v>
      </c>
      <c r="D13" s="4" t="s">
        <v>105</v>
      </c>
      <c r="E13" s="4" t="s">
        <v>121</v>
      </c>
      <c r="F13" s="4" t="s">
        <v>133</v>
      </c>
      <c r="G13" s="4" t="s">
        <v>134</v>
      </c>
      <c r="H13" s="4" t="s">
        <v>124</v>
      </c>
    </row>
    <row r="14" spans="1:8" x14ac:dyDescent="0.2">
      <c r="A14">
        <v>13</v>
      </c>
      <c r="B14" s="4" t="s">
        <v>26</v>
      </c>
      <c r="C14" s="4" t="s">
        <v>104</v>
      </c>
      <c r="D14" s="4" t="s">
        <v>105</v>
      </c>
      <c r="E14" s="4" t="s">
        <v>135</v>
      </c>
      <c r="F14" s="4" t="s">
        <v>136</v>
      </c>
      <c r="G14" s="4" t="s">
        <v>119</v>
      </c>
      <c r="H14" s="4" t="s">
        <v>137</v>
      </c>
    </row>
    <row r="15" spans="1:8" x14ac:dyDescent="0.2">
      <c r="A15">
        <v>14</v>
      </c>
      <c r="B15" s="4" t="s">
        <v>26</v>
      </c>
      <c r="C15" s="4" t="s">
        <v>104</v>
      </c>
      <c r="D15" s="4" t="s">
        <v>105</v>
      </c>
      <c r="E15" s="4" t="s">
        <v>135</v>
      </c>
      <c r="F15" s="4" t="s">
        <v>138</v>
      </c>
      <c r="G15" s="4" t="s">
        <v>139</v>
      </c>
      <c r="H15" s="4" t="s">
        <v>140</v>
      </c>
    </row>
    <row r="16" spans="1:8" x14ac:dyDescent="0.2">
      <c r="A16">
        <v>15</v>
      </c>
      <c r="B16" s="4" t="s">
        <v>26</v>
      </c>
      <c r="C16" s="4" t="s">
        <v>104</v>
      </c>
      <c r="D16" s="4" t="s">
        <v>105</v>
      </c>
      <c r="E16" s="4" t="s">
        <v>135</v>
      </c>
      <c r="F16" s="4" t="s">
        <v>141</v>
      </c>
      <c r="G16" s="4" t="s">
        <v>119</v>
      </c>
      <c r="H16" s="4" t="s">
        <v>142</v>
      </c>
    </row>
    <row r="17" spans="1:8" x14ac:dyDescent="0.2">
      <c r="A17">
        <v>16</v>
      </c>
      <c r="B17" s="4" t="s">
        <v>26</v>
      </c>
      <c r="C17" s="4" t="s">
        <v>104</v>
      </c>
      <c r="D17" s="4" t="s">
        <v>105</v>
      </c>
      <c r="E17" s="4" t="s">
        <v>135</v>
      </c>
      <c r="F17" s="4" t="s">
        <v>143</v>
      </c>
      <c r="G17" s="4" t="s">
        <v>139</v>
      </c>
      <c r="H17" s="4" t="s">
        <v>144</v>
      </c>
    </row>
    <row r="18" spans="1:8" x14ac:dyDescent="0.2">
      <c r="A18">
        <v>17</v>
      </c>
      <c r="B18" s="4" t="s">
        <v>26</v>
      </c>
      <c r="C18" s="4" t="s">
        <v>104</v>
      </c>
      <c r="D18" s="4" t="s">
        <v>105</v>
      </c>
      <c r="E18" s="4" t="s">
        <v>135</v>
      </c>
      <c r="F18" s="4" t="s">
        <v>143</v>
      </c>
      <c r="G18" s="4" t="s">
        <v>119</v>
      </c>
      <c r="H18" s="4" t="s">
        <v>145</v>
      </c>
    </row>
    <row r="19" spans="1:8" x14ac:dyDescent="0.2">
      <c r="A19">
        <v>18</v>
      </c>
      <c r="B19" s="4" t="s">
        <v>26</v>
      </c>
      <c r="C19" s="4" t="s">
        <v>104</v>
      </c>
      <c r="D19" s="4" t="s">
        <v>105</v>
      </c>
      <c r="E19" s="4" t="s">
        <v>135</v>
      </c>
      <c r="F19" s="4" t="s">
        <v>146</v>
      </c>
      <c r="G19" s="4" t="s">
        <v>147</v>
      </c>
      <c r="H19" s="4" t="s">
        <v>148</v>
      </c>
    </row>
    <row r="20" spans="1:8" x14ac:dyDescent="0.2">
      <c r="A20">
        <v>19</v>
      </c>
      <c r="B20" s="4" t="s">
        <v>26</v>
      </c>
      <c r="C20" s="4" t="s">
        <v>104</v>
      </c>
      <c r="D20" s="4" t="s">
        <v>105</v>
      </c>
      <c r="E20" s="4" t="s">
        <v>135</v>
      </c>
      <c r="F20" s="4" t="s">
        <v>149</v>
      </c>
      <c r="G20" s="4" t="s">
        <v>124</v>
      </c>
      <c r="H20" s="4" t="s">
        <v>150</v>
      </c>
    </row>
    <row r="21" spans="1:8" x14ac:dyDescent="0.2">
      <c r="A21">
        <v>20</v>
      </c>
      <c r="B21" s="4" t="s">
        <v>26</v>
      </c>
      <c r="C21" s="4" t="s">
        <v>104</v>
      </c>
      <c r="D21" s="4" t="s">
        <v>105</v>
      </c>
      <c r="E21" s="4" t="s">
        <v>135</v>
      </c>
      <c r="F21" s="4" t="s">
        <v>151</v>
      </c>
      <c r="G21" s="4" t="s">
        <v>124</v>
      </c>
      <c r="H21" s="4" t="s">
        <v>152</v>
      </c>
    </row>
    <row r="22" spans="1:8" x14ac:dyDescent="0.2">
      <c r="A22">
        <v>21</v>
      </c>
      <c r="B22" s="4" t="s">
        <v>26</v>
      </c>
      <c r="C22" s="4" t="s">
        <v>104</v>
      </c>
      <c r="D22" s="4" t="s">
        <v>105</v>
      </c>
      <c r="E22" s="4" t="s">
        <v>135</v>
      </c>
      <c r="F22" s="4" t="s">
        <v>153</v>
      </c>
      <c r="G22" s="4" t="s">
        <v>124</v>
      </c>
      <c r="H22" s="4" t="s">
        <v>154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ACE3-964F-784F-B852-A9AAFED78108}">
  <dimension ref="A1:T81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3.6640625" bestFit="1" customWidth="1"/>
    <col min="10" max="10" width="24.83203125" bestFit="1" customWidth="1"/>
    <col min="11" max="11" width="14.1640625" bestFit="1" customWidth="1"/>
    <col min="12" max="12" width="21.83203125" bestFit="1" customWidth="1"/>
    <col min="13" max="13" width="10.1640625" bestFit="1" customWidth="1"/>
    <col min="14" max="14" width="25.1640625" bestFit="1" customWidth="1"/>
    <col min="15" max="15" width="16.83203125" bestFit="1" customWidth="1"/>
    <col min="16" max="16" width="17" bestFit="1" customWidth="1"/>
    <col min="17" max="17" width="26.6640625" bestFit="1" customWidth="1"/>
    <col min="18" max="18" width="24.6640625" bestFit="1" customWidth="1"/>
    <col min="19" max="19" width="23.1640625" bestFit="1" customWidth="1"/>
    <col min="20" max="20" width="13.1640625" bestFit="1" customWidth="1"/>
  </cols>
  <sheetData>
    <row r="1" spans="1:20" x14ac:dyDescent="0.2">
      <c r="A1" t="s">
        <v>0</v>
      </c>
      <c r="B1" t="s">
        <v>1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</row>
    <row r="2" spans="1:20" x14ac:dyDescent="0.2">
      <c r="A2" s="4" t="s">
        <v>25</v>
      </c>
      <c r="B2">
        <v>1</v>
      </c>
      <c r="C2" s="4" t="s">
        <v>26</v>
      </c>
      <c r="D2" s="4" t="s">
        <v>27</v>
      </c>
      <c r="E2" s="4" t="s">
        <v>27</v>
      </c>
      <c r="F2" s="4" t="s">
        <v>28</v>
      </c>
      <c r="G2">
        <v>1</v>
      </c>
      <c r="H2">
        <v>1</v>
      </c>
      <c r="I2">
        <v>250000</v>
      </c>
      <c r="J2">
        <v>0</v>
      </c>
      <c r="K2">
        <v>0</v>
      </c>
      <c r="L2">
        <v>0</v>
      </c>
      <c r="M2">
        <v>0</v>
      </c>
      <c r="N2">
        <v>0</v>
      </c>
      <c r="O2">
        <v>250000</v>
      </c>
      <c r="P2" s="4" t="s">
        <v>29</v>
      </c>
      <c r="Q2">
        <v>3</v>
      </c>
      <c r="R2">
        <v>7</v>
      </c>
      <c r="S2">
        <v>0</v>
      </c>
      <c r="T2" s="4" t="s">
        <v>30</v>
      </c>
    </row>
    <row r="3" spans="1:20" x14ac:dyDescent="0.2">
      <c r="A3" s="4" t="s">
        <v>31</v>
      </c>
      <c r="B3">
        <v>2</v>
      </c>
      <c r="C3" s="4" t="s">
        <v>26</v>
      </c>
      <c r="D3" s="4" t="s">
        <v>27</v>
      </c>
      <c r="E3" s="4" t="s">
        <v>32</v>
      </c>
      <c r="F3" s="4" t="s">
        <v>33</v>
      </c>
      <c r="G3">
        <v>1</v>
      </c>
      <c r="H3">
        <v>2</v>
      </c>
      <c r="I3">
        <v>250000</v>
      </c>
      <c r="J3">
        <v>0</v>
      </c>
      <c r="K3">
        <v>0</v>
      </c>
      <c r="L3">
        <v>0</v>
      </c>
      <c r="M3">
        <v>0</v>
      </c>
      <c r="N3">
        <v>0</v>
      </c>
      <c r="O3">
        <v>250000</v>
      </c>
      <c r="P3" s="4" t="s">
        <v>29</v>
      </c>
      <c r="Q3">
        <v>3</v>
      </c>
      <c r="R3">
        <v>7</v>
      </c>
      <c r="S3">
        <v>0</v>
      </c>
      <c r="T3" s="4" t="s">
        <v>30</v>
      </c>
    </row>
    <row r="4" spans="1:20" x14ac:dyDescent="0.2">
      <c r="A4" s="4" t="s">
        <v>34</v>
      </c>
      <c r="B4">
        <v>3</v>
      </c>
      <c r="C4" s="4" t="s">
        <v>26</v>
      </c>
      <c r="D4" s="4" t="s">
        <v>27</v>
      </c>
      <c r="E4" s="4" t="s">
        <v>35</v>
      </c>
      <c r="F4" s="4" t="s">
        <v>36</v>
      </c>
      <c r="G4">
        <v>1</v>
      </c>
      <c r="H4">
        <v>3</v>
      </c>
      <c r="I4">
        <v>250000</v>
      </c>
      <c r="J4">
        <v>0</v>
      </c>
      <c r="K4">
        <v>0</v>
      </c>
      <c r="L4">
        <v>-165409.28</v>
      </c>
      <c r="M4">
        <v>0</v>
      </c>
      <c r="N4">
        <v>0</v>
      </c>
      <c r="O4">
        <v>84590.720000000001</v>
      </c>
      <c r="P4" s="4" t="s">
        <v>29</v>
      </c>
      <c r="Q4">
        <v>3</v>
      </c>
      <c r="R4">
        <v>7</v>
      </c>
      <c r="S4">
        <v>0</v>
      </c>
      <c r="T4" s="4" t="s">
        <v>30</v>
      </c>
    </row>
    <row r="5" spans="1:20" x14ac:dyDescent="0.2">
      <c r="A5" s="4" t="s">
        <v>37</v>
      </c>
      <c r="B5">
        <v>4</v>
      </c>
      <c r="C5" s="4" t="s">
        <v>26</v>
      </c>
      <c r="D5" s="4" t="s">
        <v>27</v>
      </c>
      <c r="E5" s="4" t="s">
        <v>38</v>
      </c>
      <c r="F5" s="4" t="s">
        <v>39</v>
      </c>
      <c r="G5">
        <v>1</v>
      </c>
      <c r="H5">
        <v>4</v>
      </c>
      <c r="I5">
        <v>249700</v>
      </c>
      <c r="J5">
        <v>0</v>
      </c>
      <c r="K5">
        <v>0</v>
      </c>
      <c r="L5">
        <v>-165409.28</v>
      </c>
      <c r="M5">
        <v>-300</v>
      </c>
      <c r="N5">
        <v>0</v>
      </c>
      <c r="O5">
        <v>84290.72</v>
      </c>
      <c r="P5" s="4" t="s">
        <v>29</v>
      </c>
      <c r="Q5">
        <v>3</v>
      </c>
      <c r="R5">
        <v>7</v>
      </c>
      <c r="S5">
        <v>-60000</v>
      </c>
      <c r="T5" s="4" t="s">
        <v>30</v>
      </c>
    </row>
    <row r="6" spans="1:20" x14ac:dyDescent="0.2">
      <c r="A6" s="4" t="s">
        <v>40</v>
      </c>
      <c r="B6">
        <v>5</v>
      </c>
      <c r="C6" s="4" t="s">
        <v>26</v>
      </c>
      <c r="D6" s="4" t="s">
        <v>27</v>
      </c>
      <c r="E6" s="4" t="s">
        <v>41</v>
      </c>
      <c r="F6" s="4" t="s">
        <v>42</v>
      </c>
      <c r="G6">
        <v>1</v>
      </c>
      <c r="H6">
        <v>5</v>
      </c>
      <c r="I6">
        <v>249700</v>
      </c>
      <c r="J6">
        <v>7873.92</v>
      </c>
      <c r="K6">
        <v>0</v>
      </c>
      <c r="L6">
        <v>-165409.28</v>
      </c>
      <c r="M6">
        <v>1354.06</v>
      </c>
      <c r="N6">
        <v>0</v>
      </c>
      <c r="O6">
        <v>92164.64</v>
      </c>
      <c r="P6" s="4" t="s">
        <v>29</v>
      </c>
      <c r="Q6">
        <v>3</v>
      </c>
      <c r="R6">
        <v>7</v>
      </c>
      <c r="S6">
        <v>216649.60000000001</v>
      </c>
      <c r="T6" s="4" t="s">
        <v>30</v>
      </c>
    </row>
    <row r="7" spans="1:20" x14ac:dyDescent="0.2">
      <c r="A7" s="4" t="s">
        <v>43</v>
      </c>
      <c r="B7">
        <v>6</v>
      </c>
      <c r="C7" s="4" t="s">
        <v>26</v>
      </c>
      <c r="D7" s="4" t="s">
        <v>27</v>
      </c>
      <c r="E7" s="4" t="s">
        <v>44</v>
      </c>
      <c r="F7" s="4" t="s">
        <v>45</v>
      </c>
      <c r="G7">
        <v>2</v>
      </c>
      <c r="H7">
        <v>6</v>
      </c>
      <c r="I7">
        <v>249400</v>
      </c>
      <c r="J7">
        <v>15096.36</v>
      </c>
      <c r="K7">
        <v>0</v>
      </c>
      <c r="L7">
        <v>-166715.85999999999</v>
      </c>
      <c r="M7">
        <v>2527.4299999999998</v>
      </c>
      <c r="N7">
        <v>0</v>
      </c>
      <c r="O7">
        <v>97780.5</v>
      </c>
      <c r="P7" s="4" t="s">
        <v>29</v>
      </c>
      <c r="Q7">
        <v>3</v>
      </c>
      <c r="R7">
        <v>7</v>
      </c>
      <c r="S7">
        <v>336990.67</v>
      </c>
      <c r="T7" s="4" t="s">
        <v>30</v>
      </c>
    </row>
    <row r="8" spans="1:20" x14ac:dyDescent="0.2">
      <c r="A8" s="4" t="s">
        <v>46</v>
      </c>
      <c r="B8">
        <v>7</v>
      </c>
      <c r="C8" s="4" t="s">
        <v>26</v>
      </c>
      <c r="D8" s="4" t="s">
        <v>27</v>
      </c>
      <c r="E8" s="4" t="s">
        <v>47</v>
      </c>
      <c r="F8" s="4" t="s">
        <v>48</v>
      </c>
      <c r="G8">
        <v>2</v>
      </c>
      <c r="H8">
        <v>7</v>
      </c>
      <c r="I8">
        <v>249100</v>
      </c>
      <c r="J8">
        <v>24707.59</v>
      </c>
      <c r="K8">
        <v>0</v>
      </c>
      <c r="L8">
        <v>-173898.11</v>
      </c>
      <c r="M8">
        <v>4081.59</v>
      </c>
      <c r="N8">
        <v>0</v>
      </c>
      <c r="O8">
        <v>99909.48</v>
      </c>
      <c r="P8" s="4" t="s">
        <v>29</v>
      </c>
      <c r="Q8">
        <v>3</v>
      </c>
      <c r="R8">
        <v>7</v>
      </c>
      <c r="S8">
        <v>466467.43</v>
      </c>
      <c r="T8" s="4" t="s">
        <v>30</v>
      </c>
    </row>
    <row r="9" spans="1:20" x14ac:dyDescent="0.2">
      <c r="A9" s="4" t="s">
        <v>49</v>
      </c>
      <c r="B9">
        <v>8</v>
      </c>
      <c r="C9" s="4" t="s">
        <v>26</v>
      </c>
      <c r="D9" s="4" t="s">
        <v>27</v>
      </c>
      <c r="E9" s="4" t="s">
        <v>50</v>
      </c>
      <c r="F9" s="4" t="s">
        <v>51</v>
      </c>
      <c r="G9">
        <v>2</v>
      </c>
      <c r="H9">
        <v>8</v>
      </c>
      <c r="I9">
        <v>83390.720000000001</v>
      </c>
      <c r="J9">
        <v>38201.03</v>
      </c>
      <c r="K9">
        <v>0</v>
      </c>
      <c r="L9">
        <v>-8488.83</v>
      </c>
      <c r="M9">
        <v>6342.9</v>
      </c>
      <c r="N9">
        <v>0</v>
      </c>
      <c r="O9">
        <v>113102.92</v>
      </c>
      <c r="P9" s="4" t="s">
        <v>29</v>
      </c>
      <c r="Q9">
        <v>3</v>
      </c>
      <c r="R9">
        <v>7</v>
      </c>
      <c r="S9">
        <v>634290</v>
      </c>
      <c r="T9" s="4" t="s">
        <v>30</v>
      </c>
    </row>
    <row r="10" spans="1:20" x14ac:dyDescent="0.2">
      <c r="A10" s="4" t="s">
        <v>52</v>
      </c>
      <c r="B10">
        <v>9</v>
      </c>
      <c r="C10" s="4" t="s">
        <v>26</v>
      </c>
      <c r="D10" s="4" t="s">
        <v>27</v>
      </c>
      <c r="E10" s="4" t="s">
        <v>53</v>
      </c>
      <c r="F10" s="4" t="s">
        <v>54</v>
      </c>
      <c r="G10">
        <v>2</v>
      </c>
      <c r="H10">
        <v>9</v>
      </c>
      <c r="I10">
        <v>90964.64</v>
      </c>
      <c r="J10">
        <v>43920.71</v>
      </c>
      <c r="K10">
        <v>0</v>
      </c>
      <c r="L10">
        <v>-8488.83</v>
      </c>
      <c r="M10">
        <v>8559.84</v>
      </c>
      <c r="N10">
        <v>0</v>
      </c>
      <c r="O10">
        <v>126396.52</v>
      </c>
      <c r="P10" s="4" t="s">
        <v>29</v>
      </c>
      <c r="Q10">
        <v>3</v>
      </c>
      <c r="R10">
        <v>7</v>
      </c>
      <c r="S10">
        <v>760874.67</v>
      </c>
      <c r="T10" s="4" t="s">
        <v>30</v>
      </c>
    </row>
    <row r="11" spans="1:20" x14ac:dyDescent="0.2">
      <c r="A11" s="4" t="s">
        <v>55</v>
      </c>
      <c r="B11">
        <v>10</v>
      </c>
      <c r="C11" s="4" t="s">
        <v>26</v>
      </c>
      <c r="D11" s="4" t="s">
        <v>27</v>
      </c>
      <c r="E11" s="4" t="s">
        <v>56</v>
      </c>
      <c r="F11" s="4" t="s">
        <v>57</v>
      </c>
      <c r="G11">
        <v>2</v>
      </c>
      <c r="H11">
        <v>10</v>
      </c>
      <c r="I11">
        <v>97887.08</v>
      </c>
      <c r="J11">
        <v>38745.65</v>
      </c>
      <c r="K11">
        <v>0</v>
      </c>
      <c r="L11">
        <v>-8488.83</v>
      </c>
      <c r="M11">
        <v>8555.91</v>
      </c>
      <c r="N11">
        <v>0</v>
      </c>
      <c r="O11">
        <v>128143.9</v>
      </c>
      <c r="P11" s="4" t="s">
        <v>29</v>
      </c>
      <c r="Q11">
        <v>3</v>
      </c>
      <c r="R11">
        <v>7</v>
      </c>
      <c r="S11">
        <v>684472.8</v>
      </c>
      <c r="T11" s="4" t="s">
        <v>30</v>
      </c>
    </row>
    <row r="12" spans="1:20" x14ac:dyDescent="0.2">
      <c r="A12" s="4" t="s">
        <v>58</v>
      </c>
      <c r="B12">
        <v>11</v>
      </c>
      <c r="C12" s="4" t="s">
        <v>26</v>
      </c>
      <c r="D12" s="4" t="s">
        <v>32</v>
      </c>
      <c r="E12" s="4" t="s">
        <v>27</v>
      </c>
      <c r="F12" s="4" t="s">
        <v>59</v>
      </c>
      <c r="G12">
        <v>3</v>
      </c>
      <c r="H12">
        <v>11</v>
      </c>
      <c r="I12">
        <v>105891.73</v>
      </c>
      <c r="J12">
        <v>37977.599999999999</v>
      </c>
      <c r="K12">
        <v>0</v>
      </c>
      <c r="L12">
        <v>-7182.25</v>
      </c>
      <c r="M12">
        <v>9861.15</v>
      </c>
      <c r="N12">
        <v>0</v>
      </c>
      <c r="O12">
        <v>136687.07999999999</v>
      </c>
      <c r="P12" s="4" t="s">
        <v>29</v>
      </c>
      <c r="Q12">
        <v>3</v>
      </c>
      <c r="R12">
        <v>7</v>
      </c>
      <c r="S12">
        <v>717174.55</v>
      </c>
      <c r="T12" s="4" t="s">
        <v>30</v>
      </c>
    </row>
    <row r="13" spans="1:20" x14ac:dyDescent="0.2">
      <c r="A13" s="4" t="s">
        <v>60</v>
      </c>
      <c r="B13">
        <v>12</v>
      </c>
      <c r="C13" s="4" t="s">
        <v>26</v>
      </c>
      <c r="D13" s="4" t="s">
        <v>32</v>
      </c>
      <c r="E13" s="4" t="s">
        <v>32</v>
      </c>
      <c r="F13" s="4" t="s">
        <v>61</v>
      </c>
      <c r="G13">
        <v>3</v>
      </c>
      <c r="H13">
        <v>12</v>
      </c>
      <c r="I13">
        <v>111902.92</v>
      </c>
      <c r="J13">
        <v>32022.83</v>
      </c>
      <c r="K13">
        <v>0</v>
      </c>
      <c r="L13">
        <v>-37555.43</v>
      </c>
      <c r="M13">
        <v>10647.3</v>
      </c>
      <c r="N13">
        <v>0</v>
      </c>
      <c r="O13">
        <v>106370.32</v>
      </c>
      <c r="P13" s="4" t="s">
        <v>29</v>
      </c>
      <c r="Q13">
        <v>3</v>
      </c>
      <c r="R13">
        <v>7</v>
      </c>
      <c r="S13">
        <v>709820</v>
      </c>
      <c r="T13" s="4" t="s">
        <v>30</v>
      </c>
    </row>
    <row r="14" spans="1:20" x14ac:dyDescent="0.2">
      <c r="A14" s="4" t="s">
        <v>62</v>
      </c>
      <c r="B14">
        <v>13</v>
      </c>
      <c r="C14" s="4" t="s">
        <v>26</v>
      </c>
      <c r="D14" s="4" t="s">
        <v>32</v>
      </c>
      <c r="E14" s="4" t="s">
        <v>35</v>
      </c>
      <c r="F14" s="4" t="s">
        <v>63</v>
      </c>
      <c r="G14">
        <v>3</v>
      </c>
      <c r="H14">
        <v>13</v>
      </c>
      <c r="I14">
        <v>125296.52</v>
      </c>
      <c r="J14">
        <v>36186.080000000002</v>
      </c>
      <c r="K14">
        <v>0</v>
      </c>
      <c r="L14">
        <v>-37555.43</v>
      </c>
      <c r="M14">
        <v>13707.97</v>
      </c>
      <c r="N14">
        <v>0</v>
      </c>
      <c r="O14">
        <v>123927.17</v>
      </c>
      <c r="P14" s="4" t="s">
        <v>29</v>
      </c>
      <c r="Q14">
        <v>3</v>
      </c>
      <c r="R14">
        <v>7</v>
      </c>
      <c r="S14">
        <v>843567.38</v>
      </c>
      <c r="T14" s="4" t="s">
        <v>30</v>
      </c>
    </row>
    <row r="15" spans="1:20" x14ac:dyDescent="0.2">
      <c r="A15" s="4" t="s">
        <v>64</v>
      </c>
      <c r="B15">
        <v>14</v>
      </c>
      <c r="C15" s="4" t="s">
        <v>26</v>
      </c>
      <c r="D15" s="4" t="s">
        <v>32</v>
      </c>
      <c r="E15" s="4" t="s">
        <v>38</v>
      </c>
      <c r="F15" s="4" t="s">
        <v>65</v>
      </c>
      <c r="G15">
        <v>3</v>
      </c>
      <c r="H15">
        <v>14</v>
      </c>
      <c r="I15">
        <v>127043.9</v>
      </c>
      <c r="J15">
        <v>48993.47</v>
      </c>
      <c r="K15">
        <v>0</v>
      </c>
      <c r="L15">
        <v>-37555.43</v>
      </c>
      <c r="M15">
        <v>15540.53</v>
      </c>
      <c r="N15">
        <v>0</v>
      </c>
      <c r="O15">
        <v>138481.94</v>
      </c>
      <c r="P15" s="4" t="s">
        <v>29</v>
      </c>
      <c r="Q15">
        <v>3</v>
      </c>
      <c r="R15">
        <v>7</v>
      </c>
      <c r="S15">
        <v>888030.29</v>
      </c>
      <c r="T15" s="4" t="s">
        <v>30</v>
      </c>
    </row>
    <row r="16" spans="1:20" x14ac:dyDescent="0.2">
      <c r="A16" s="4" t="s">
        <v>66</v>
      </c>
      <c r="B16">
        <v>15</v>
      </c>
      <c r="C16" s="4" t="s">
        <v>26</v>
      </c>
      <c r="D16" s="4" t="s">
        <v>32</v>
      </c>
      <c r="E16" s="4" t="s">
        <v>41</v>
      </c>
      <c r="F16" s="4" t="s">
        <v>67</v>
      </c>
      <c r="G16">
        <v>3</v>
      </c>
      <c r="H16">
        <v>15</v>
      </c>
      <c r="I16">
        <v>135587.07999999999</v>
      </c>
      <c r="J16">
        <v>57307.64</v>
      </c>
      <c r="K16">
        <v>0</v>
      </c>
      <c r="L16">
        <v>-37555.43</v>
      </c>
      <c r="M16">
        <v>17849.78</v>
      </c>
      <c r="N16">
        <v>0</v>
      </c>
      <c r="O16">
        <v>155339.29</v>
      </c>
      <c r="P16" s="4" t="s">
        <v>29</v>
      </c>
      <c r="Q16">
        <v>3</v>
      </c>
      <c r="R16">
        <v>7</v>
      </c>
      <c r="S16">
        <v>951988.27</v>
      </c>
      <c r="T16" s="4" t="s">
        <v>30</v>
      </c>
    </row>
    <row r="17" spans="1:20" x14ac:dyDescent="0.2">
      <c r="A17" s="4" t="s">
        <v>68</v>
      </c>
      <c r="B17">
        <v>16</v>
      </c>
      <c r="C17" s="4" t="s">
        <v>26</v>
      </c>
      <c r="D17" s="4" t="s">
        <v>32</v>
      </c>
      <c r="E17" s="4" t="s">
        <v>44</v>
      </c>
      <c r="F17" s="4" t="s">
        <v>69</v>
      </c>
      <c r="G17">
        <v>4</v>
      </c>
      <c r="H17">
        <v>16</v>
      </c>
      <c r="I17">
        <v>142825.75</v>
      </c>
      <c r="J17">
        <v>66931.69</v>
      </c>
      <c r="K17">
        <v>0</v>
      </c>
      <c r="L17">
        <v>-78597.679999999993</v>
      </c>
      <c r="M17">
        <v>20300.38</v>
      </c>
      <c r="N17">
        <v>0</v>
      </c>
      <c r="O17">
        <v>131159.76</v>
      </c>
      <c r="P17" s="4" t="s">
        <v>29</v>
      </c>
      <c r="Q17">
        <v>3</v>
      </c>
      <c r="R17">
        <v>7</v>
      </c>
      <c r="S17">
        <v>1015019</v>
      </c>
      <c r="T17" s="4" t="s">
        <v>30</v>
      </c>
    </row>
    <row r="18" spans="1:20" x14ac:dyDescent="0.2">
      <c r="A18" s="4" t="s">
        <v>70</v>
      </c>
      <c r="B18">
        <v>17</v>
      </c>
      <c r="C18" s="4" t="s">
        <v>26</v>
      </c>
      <c r="D18" s="4" t="s">
        <v>32</v>
      </c>
      <c r="E18" s="4" t="s">
        <v>47</v>
      </c>
      <c r="F18" s="4" t="s">
        <v>71</v>
      </c>
      <c r="G18">
        <v>4</v>
      </c>
      <c r="H18">
        <v>17</v>
      </c>
      <c r="I18">
        <v>122827.17</v>
      </c>
      <c r="J18">
        <v>57275.12</v>
      </c>
      <c r="K18">
        <v>0</v>
      </c>
      <c r="L18">
        <v>-41042.25</v>
      </c>
      <c r="M18">
        <v>21304.39</v>
      </c>
      <c r="N18">
        <v>0</v>
      </c>
      <c r="O18">
        <v>139060.04</v>
      </c>
      <c r="P18" s="4" t="s">
        <v>29</v>
      </c>
      <c r="Q18">
        <v>3</v>
      </c>
      <c r="R18">
        <v>7</v>
      </c>
      <c r="S18">
        <v>1002559.53</v>
      </c>
      <c r="T18" s="4" t="s">
        <v>30</v>
      </c>
    </row>
    <row r="19" spans="1:20" x14ac:dyDescent="0.2">
      <c r="A19" s="4" t="s">
        <v>72</v>
      </c>
      <c r="B19">
        <v>18</v>
      </c>
      <c r="C19" s="4" t="s">
        <v>26</v>
      </c>
      <c r="D19" s="4" t="s">
        <v>32</v>
      </c>
      <c r="E19" s="4" t="s">
        <v>50</v>
      </c>
      <c r="F19" s="4" t="s">
        <v>73</v>
      </c>
      <c r="G19">
        <v>4</v>
      </c>
      <c r="H19">
        <v>18</v>
      </c>
      <c r="I19">
        <v>137481.94</v>
      </c>
      <c r="J19">
        <v>60531.85</v>
      </c>
      <c r="K19">
        <v>0</v>
      </c>
      <c r="L19">
        <v>-41042.25</v>
      </c>
      <c r="M19">
        <v>24163.87</v>
      </c>
      <c r="N19">
        <v>0</v>
      </c>
      <c r="O19">
        <v>156971.54</v>
      </c>
      <c r="P19" s="4" t="s">
        <v>29</v>
      </c>
      <c r="Q19">
        <v>3</v>
      </c>
      <c r="R19">
        <v>7</v>
      </c>
      <c r="S19">
        <v>1073949.78</v>
      </c>
      <c r="T19" s="4" t="s">
        <v>30</v>
      </c>
    </row>
    <row r="20" spans="1:20" x14ac:dyDescent="0.2">
      <c r="A20" s="4" t="s">
        <v>74</v>
      </c>
      <c r="B20">
        <v>19</v>
      </c>
      <c r="C20" s="4" t="s">
        <v>26</v>
      </c>
      <c r="D20" s="4" t="s">
        <v>32</v>
      </c>
      <c r="E20" s="4" t="s">
        <v>53</v>
      </c>
      <c r="F20" s="4" t="s">
        <v>75</v>
      </c>
      <c r="G20">
        <v>4</v>
      </c>
      <c r="H20">
        <v>19</v>
      </c>
      <c r="I20">
        <v>154339.29</v>
      </c>
      <c r="J20">
        <v>55719.06</v>
      </c>
      <c r="K20">
        <v>0</v>
      </c>
      <c r="L20">
        <v>-41042.25</v>
      </c>
      <c r="M20">
        <v>25735.62</v>
      </c>
      <c r="N20">
        <v>0</v>
      </c>
      <c r="O20">
        <v>169016.1</v>
      </c>
      <c r="P20" s="4" t="s">
        <v>29</v>
      </c>
      <c r="Q20">
        <v>3</v>
      </c>
      <c r="R20">
        <v>7</v>
      </c>
      <c r="S20">
        <v>1083605.05</v>
      </c>
      <c r="T20" s="4" t="s">
        <v>30</v>
      </c>
    </row>
    <row r="21" spans="1:20" x14ac:dyDescent="0.2">
      <c r="A21" s="4" t="s">
        <v>76</v>
      </c>
      <c r="B21">
        <v>20</v>
      </c>
      <c r="C21" s="4" t="s">
        <v>26</v>
      </c>
      <c r="D21" s="4" t="s">
        <v>32</v>
      </c>
      <c r="E21" s="4" t="s">
        <v>56</v>
      </c>
      <c r="F21" s="4" t="s">
        <v>77</v>
      </c>
      <c r="G21">
        <v>4</v>
      </c>
      <c r="H21">
        <v>20</v>
      </c>
      <c r="I21">
        <v>171202.01</v>
      </c>
      <c r="J21">
        <v>40943.730000000003</v>
      </c>
      <c r="K21">
        <v>0</v>
      </c>
      <c r="L21">
        <v>-41042.25</v>
      </c>
      <c r="M21">
        <v>25930.36</v>
      </c>
      <c r="N21">
        <v>0</v>
      </c>
      <c r="O21">
        <v>171103.49</v>
      </c>
      <c r="P21" s="4" t="s">
        <v>29</v>
      </c>
      <c r="Q21">
        <v>3</v>
      </c>
      <c r="R21">
        <v>7</v>
      </c>
      <c r="S21">
        <v>1037214.4</v>
      </c>
      <c r="T21" s="4" t="s">
        <v>30</v>
      </c>
    </row>
    <row r="22" spans="1:20" x14ac:dyDescent="0.2">
      <c r="A22" s="4" t="s">
        <v>78</v>
      </c>
      <c r="B22">
        <v>21</v>
      </c>
      <c r="C22" s="4" t="s">
        <v>26</v>
      </c>
      <c r="D22" s="4" t="s">
        <v>35</v>
      </c>
      <c r="E22" s="4" t="s">
        <v>27</v>
      </c>
      <c r="F22" s="4" t="s">
        <v>79</v>
      </c>
      <c r="G22">
        <v>5</v>
      </c>
      <c r="H22">
        <v>21</v>
      </c>
      <c r="I22">
        <v>137960.04</v>
      </c>
      <c r="J22">
        <v>37319.17</v>
      </c>
      <c r="K22">
        <v>0</v>
      </c>
      <c r="L22">
        <v>0</v>
      </c>
      <c r="M22">
        <v>26149.69</v>
      </c>
      <c r="N22">
        <v>0</v>
      </c>
      <c r="O22">
        <v>175279.21</v>
      </c>
      <c r="P22" s="4" t="s">
        <v>29</v>
      </c>
      <c r="Q22">
        <v>3</v>
      </c>
      <c r="R22">
        <v>7</v>
      </c>
      <c r="S22">
        <v>996178.67</v>
      </c>
      <c r="T22" s="4" t="s">
        <v>30</v>
      </c>
    </row>
    <row r="23" spans="1:20" x14ac:dyDescent="0.2">
      <c r="A23" s="4" t="s">
        <v>80</v>
      </c>
      <c r="B23">
        <v>22</v>
      </c>
      <c r="C23" s="4" t="s">
        <v>26</v>
      </c>
      <c r="D23" s="4" t="s">
        <v>35</v>
      </c>
      <c r="E23" s="4" t="s">
        <v>32</v>
      </c>
      <c r="F23" s="4" t="s">
        <v>81</v>
      </c>
      <c r="G23">
        <v>5</v>
      </c>
      <c r="H23">
        <v>22</v>
      </c>
      <c r="I23">
        <v>155871.54</v>
      </c>
      <c r="J23">
        <v>24819.06</v>
      </c>
      <c r="K23">
        <v>0</v>
      </c>
      <c r="L23">
        <v>-61112.63</v>
      </c>
      <c r="M23">
        <v>26694.87</v>
      </c>
      <c r="N23">
        <v>0</v>
      </c>
      <c r="O23">
        <v>119577.97</v>
      </c>
      <c r="P23" s="4" t="s">
        <v>29</v>
      </c>
      <c r="Q23">
        <v>3</v>
      </c>
      <c r="R23">
        <v>7</v>
      </c>
      <c r="S23">
        <v>970722.55</v>
      </c>
      <c r="T23" s="4" t="s">
        <v>30</v>
      </c>
    </row>
    <row r="24" spans="1:20" x14ac:dyDescent="0.2">
      <c r="A24" s="4" t="s">
        <v>82</v>
      </c>
      <c r="B24">
        <v>23</v>
      </c>
      <c r="C24" s="4" t="s">
        <v>26</v>
      </c>
      <c r="D24" s="4" t="s">
        <v>35</v>
      </c>
      <c r="E24" s="4" t="s">
        <v>35</v>
      </c>
      <c r="F24" s="4" t="s">
        <v>83</v>
      </c>
      <c r="G24">
        <v>5</v>
      </c>
      <c r="H24">
        <v>23</v>
      </c>
      <c r="I24">
        <v>168016.1</v>
      </c>
      <c r="J24">
        <v>23716.74</v>
      </c>
      <c r="K24">
        <v>0</v>
      </c>
      <c r="L24">
        <v>-61112.63</v>
      </c>
      <c r="M24">
        <v>28496.31</v>
      </c>
      <c r="N24">
        <v>0</v>
      </c>
      <c r="O24">
        <v>130620.21</v>
      </c>
      <c r="P24" s="4" t="s">
        <v>29</v>
      </c>
      <c r="Q24">
        <v>3</v>
      </c>
      <c r="R24">
        <v>7</v>
      </c>
      <c r="S24">
        <v>991176</v>
      </c>
      <c r="T24" s="4" t="s">
        <v>30</v>
      </c>
    </row>
    <row r="25" spans="1:20" x14ac:dyDescent="0.2">
      <c r="A25" s="4" t="s">
        <v>84</v>
      </c>
      <c r="B25">
        <v>24</v>
      </c>
      <c r="C25" s="4" t="s">
        <v>26</v>
      </c>
      <c r="D25" s="4" t="s">
        <v>35</v>
      </c>
      <c r="E25" s="4" t="s">
        <v>38</v>
      </c>
      <c r="F25" s="4" t="s">
        <v>85</v>
      </c>
      <c r="G25">
        <v>5</v>
      </c>
      <c r="H25">
        <v>24</v>
      </c>
      <c r="I25">
        <v>170203.49</v>
      </c>
      <c r="J25">
        <v>39901.68</v>
      </c>
      <c r="K25">
        <v>0</v>
      </c>
      <c r="L25">
        <v>-61112.63</v>
      </c>
      <c r="M25">
        <v>31105.66</v>
      </c>
      <c r="N25">
        <v>0</v>
      </c>
      <c r="O25">
        <v>148992.54</v>
      </c>
      <c r="P25" s="4" t="s">
        <v>29</v>
      </c>
      <c r="Q25">
        <v>3</v>
      </c>
      <c r="R25">
        <v>7</v>
      </c>
      <c r="S25">
        <v>1036855.33</v>
      </c>
      <c r="T25" s="4" t="s">
        <v>30</v>
      </c>
    </row>
    <row r="26" spans="1:20" x14ac:dyDescent="0.2">
      <c r="A26" s="4" t="s">
        <v>86</v>
      </c>
      <c r="B26">
        <v>25</v>
      </c>
      <c r="C26" s="4" t="s">
        <v>26</v>
      </c>
      <c r="D26" s="4" t="s">
        <v>35</v>
      </c>
      <c r="E26" s="4" t="s">
        <v>41</v>
      </c>
      <c r="F26" s="4" t="s">
        <v>87</v>
      </c>
      <c r="G26">
        <v>5</v>
      </c>
      <c r="H26">
        <v>25</v>
      </c>
      <c r="I26">
        <v>174379.21</v>
      </c>
      <c r="J26">
        <v>44326.49</v>
      </c>
      <c r="K26">
        <v>0</v>
      </c>
      <c r="L26">
        <v>-61112.63</v>
      </c>
      <c r="M26">
        <v>31800.35</v>
      </c>
      <c r="N26">
        <v>0</v>
      </c>
      <c r="O26">
        <v>157593.07</v>
      </c>
      <c r="P26" s="4" t="s">
        <v>29</v>
      </c>
      <c r="Q26">
        <v>3</v>
      </c>
      <c r="R26">
        <v>7</v>
      </c>
      <c r="S26">
        <v>1017611.2</v>
      </c>
      <c r="T26" s="4" t="s">
        <v>30</v>
      </c>
    </row>
    <row r="27" spans="1:20" x14ac:dyDescent="0.2">
      <c r="A27" s="4" t="s">
        <v>88</v>
      </c>
      <c r="B27">
        <v>26</v>
      </c>
      <c r="C27" s="4" t="s">
        <v>26</v>
      </c>
      <c r="D27" s="4" t="s">
        <v>35</v>
      </c>
      <c r="E27" s="4" t="s">
        <v>44</v>
      </c>
      <c r="F27" s="4" t="s">
        <v>89</v>
      </c>
      <c r="G27">
        <v>6</v>
      </c>
      <c r="H27">
        <v>26</v>
      </c>
      <c r="I27">
        <v>179690.6</v>
      </c>
      <c r="J27">
        <v>45565.57</v>
      </c>
      <c r="K27">
        <v>0</v>
      </c>
      <c r="L27">
        <v>-61112.63</v>
      </c>
      <c r="M27">
        <v>32687.11</v>
      </c>
      <c r="N27">
        <v>0</v>
      </c>
      <c r="O27">
        <v>164143.54</v>
      </c>
      <c r="P27" s="4" t="s">
        <v>29</v>
      </c>
      <c r="Q27">
        <v>3</v>
      </c>
      <c r="R27">
        <v>7</v>
      </c>
      <c r="S27">
        <v>1005757.23</v>
      </c>
      <c r="T27" s="4" t="s">
        <v>30</v>
      </c>
    </row>
    <row r="28" spans="1:20" x14ac:dyDescent="0.2">
      <c r="A28" s="4" t="s">
        <v>90</v>
      </c>
      <c r="B28">
        <v>27</v>
      </c>
      <c r="C28" s="4" t="s">
        <v>26</v>
      </c>
      <c r="D28" s="4" t="s">
        <v>35</v>
      </c>
      <c r="E28" s="4" t="s">
        <v>47</v>
      </c>
      <c r="F28" s="4" t="s">
        <v>91</v>
      </c>
      <c r="G28">
        <v>6</v>
      </c>
      <c r="H28">
        <v>27</v>
      </c>
      <c r="I28">
        <v>129620.21</v>
      </c>
      <c r="J28">
        <v>49328.480000000003</v>
      </c>
      <c r="K28">
        <v>0</v>
      </c>
      <c r="L28">
        <v>-42081.35</v>
      </c>
      <c r="M28">
        <v>34917.57</v>
      </c>
      <c r="N28">
        <v>0</v>
      </c>
      <c r="O28">
        <v>136867.34</v>
      </c>
      <c r="P28" s="4" t="s">
        <v>29</v>
      </c>
      <c r="Q28">
        <v>3</v>
      </c>
      <c r="R28">
        <v>7</v>
      </c>
      <c r="S28">
        <v>1034594.67</v>
      </c>
      <c r="T28" s="4" t="s">
        <v>30</v>
      </c>
    </row>
    <row r="29" spans="1:20" x14ac:dyDescent="0.2">
      <c r="A29" s="4" t="s">
        <v>92</v>
      </c>
      <c r="B29">
        <v>28</v>
      </c>
      <c r="C29" s="4" t="s">
        <v>26</v>
      </c>
      <c r="D29" s="4" t="s">
        <v>35</v>
      </c>
      <c r="E29" s="4" t="s">
        <v>50</v>
      </c>
      <c r="F29" s="4" t="s">
        <v>93</v>
      </c>
      <c r="G29">
        <v>6</v>
      </c>
      <c r="H29">
        <v>28</v>
      </c>
      <c r="I29">
        <v>147992.54</v>
      </c>
      <c r="J29">
        <v>43733.99</v>
      </c>
      <c r="K29">
        <v>0</v>
      </c>
      <c r="L29">
        <v>-42081.35</v>
      </c>
      <c r="M29">
        <v>36796.21</v>
      </c>
      <c r="N29">
        <v>0</v>
      </c>
      <c r="O29">
        <v>149645.18</v>
      </c>
      <c r="P29" s="4" t="s">
        <v>29</v>
      </c>
      <c r="Q29">
        <v>3</v>
      </c>
      <c r="R29">
        <v>7</v>
      </c>
      <c r="S29">
        <v>1051320.29</v>
      </c>
      <c r="T29" s="4" t="s">
        <v>30</v>
      </c>
    </row>
    <row r="30" spans="1:20" x14ac:dyDescent="0.2">
      <c r="A30" s="4" t="s">
        <v>94</v>
      </c>
      <c r="B30">
        <v>29</v>
      </c>
      <c r="C30" s="4" t="s">
        <v>26</v>
      </c>
      <c r="D30" s="4" t="s">
        <v>35</v>
      </c>
      <c r="E30" s="4" t="s">
        <v>53</v>
      </c>
      <c r="F30" s="4" t="s">
        <v>95</v>
      </c>
      <c r="G30">
        <v>6</v>
      </c>
      <c r="H30">
        <v>29</v>
      </c>
      <c r="I30">
        <v>156593.07</v>
      </c>
      <c r="J30">
        <v>53061.599999999999</v>
      </c>
      <c r="K30">
        <v>0</v>
      </c>
      <c r="L30">
        <v>-42081.35</v>
      </c>
      <c r="M30">
        <v>39283.82</v>
      </c>
      <c r="N30">
        <v>0</v>
      </c>
      <c r="O30">
        <v>167573.32</v>
      </c>
      <c r="P30" s="4" t="s">
        <v>29</v>
      </c>
      <c r="Q30">
        <v>3</v>
      </c>
      <c r="R30">
        <v>7</v>
      </c>
      <c r="S30">
        <v>1083691.5900000001</v>
      </c>
      <c r="T30" s="4" t="s">
        <v>30</v>
      </c>
    </row>
    <row r="31" spans="1:20" x14ac:dyDescent="0.2">
      <c r="A31" s="4" t="s">
        <v>96</v>
      </c>
      <c r="B31">
        <v>30</v>
      </c>
      <c r="C31" s="4" t="s">
        <v>26</v>
      </c>
      <c r="D31" s="4" t="s">
        <v>35</v>
      </c>
      <c r="E31" s="4" t="s">
        <v>56</v>
      </c>
      <c r="F31" s="4" t="s">
        <v>97</v>
      </c>
      <c r="G31">
        <v>6</v>
      </c>
      <c r="H31">
        <v>30</v>
      </c>
      <c r="I31">
        <v>163143.54</v>
      </c>
      <c r="J31">
        <v>60152</v>
      </c>
      <c r="K31">
        <v>0</v>
      </c>
      <c r="L31">
        <v>-42081.35</v>
      </c>
      <c r="M31">
        <v>41055.71</v>
      </c>
      <c r="N31">
        <v>0</v>
      </c>
      <c r="O31">
        <v>181214.19</v>
      </c>
      <c r="P31" s="4" t="s">
        <v>29</v>
      </c>
      <c r="Q31">
        <v>3</v>
      </c>
      <c r="R31">
        <v>7</v>
      </c>
      <c r="S31">
        <v>1094818.93</v>
      </c>
      <c r="T31" s="4" t="s">
        <v>30</v>
      </c>
    </row>
    <row r="32" spans="1:20" x14ac:dyDescent="0.2">
      <c r="A32" s="4" t="s">
        <v>215</v>
      </c>
      <c r="B32">
        <v>31</v>
      </c>
      <c r="C32" s="4" t="s">
        <v>26</v>
      </c>
      <c r="D32" s="4" t="s">
        <v>38</v>
      </c>
      <c r="E32" s="4" t="s">
        <v>27</v>
      </c>
      <c r="F32" s="4" t="s">
        <v>907</v>
      </c>
      <c r="G32">
        <v>7</v>
      </c>
      <c r="H32">
        <v>31</v>
      </c>
      <c r="I32">
        <v>177848.69</v>
      </c>
      <c r="J32">
        <v>72476.73</v>
      </c>
      <c r="K32">
        <v>0</v>
      </c>
      <c r="L32">
        <v>-42081.35</v>
      </c>
      <c r="M32">
        <v>44288.79</v>
      </c>
      <c r="N32">
        <v>0</v>
      </c>
      <c r="O32">
        <v>208244.07</v>
      </c>
      <c r="P32" s="4" t="s">
        <v>29</v>
      </c>
      <c r="Q32">
        <v>3</v>
      </c>
      <c r="R32">
        <v>7</v>
      </c>
      <c r="S32">
        <v>1142936.52</v>
      </c>
      <c r="T32" s="4" t="s">
        <v>30</v>
      </c>
    </row>
    <row r="33" spans="1:20" x14ac:dyDescent="0.2">
      <c r="A33" s="4" t="s">
        <v>216</v>
      </c>
      <c r="B33">
        <v>32</v>
      </c>
      <c r="C33" s="4" t="s">
        <v>26</v>
      </c>
      <c r="D33" s="4" t="s">
        <v>38</v>
      </c>
      <c r="E33" s="4" t="s">
        <v>32</v>
      </c>
      <c r="F33" s="4" t="s">
        <v>1093</v>
      </c>
      <c r="G33">
        <v>7</v>
      </c>
      <c r="H33">
        <v>32</v>
      </c>
      <c r="I33">
        <v>148445.18</v>
      </c>
      <c r="J33">
        <v>71952.539999999994</v>
      </c>
      <c r="K33">
        <v>0</v>
      </c>
      <c r="L33">
        <v>0</v>
      </c>
      <c r="M33">
        <v>45622.71</v>
      </c>
      <c r="N33">
        <v>0</v>
      </c>
      <c r="O33">
        <v>220397.72</v>
      </c>
      <c r="P33" s="4" t="s">
        <v>29</v>
      </c>
      <c r="Q33">
        <v>3</v>
      </c>
      <c r="R33">
        <v>7</v>
      </c>
      <c r="S33">
        <v>1140567.75</v>
      </c>
      <c r="T33" s="4" t="s">
        <v>30</v>
      </c>
    </row>
    <row r="34" spans="1:20" x14ac:dyDescent="0.2">
      <c r="A34" s="4" t="s">
        <v>217</v>
      </c>
      <c r="B34">
        <v>33</v>
      </c>
      <c r="C34" s="4" t="s">
        <v>26</v>
      </c>
      <c r="D34" s="4" t="s">
        <v>38</v>
      </c>
      <c r="E34" s="4" t="s">
        <v>35</v>
      </c>
      <c r="F34" s="4" t="s">
        <v>1122</v>
      </c>
      <c r="G34">
        <v>7</v>
      </c>
      <c r="H34">
        <v>33</v>
      </c>
      <c r="I34">
        <v>166373.32</v>
      </c>
      <c r="J34">
        <v>71534.67</v>
      </c>
      <c r="K34">
        <v>0</v>
      </c>
      <c r="L34">
        <v>-44056.87</v>
      </c>
      <c r="M34">
        <v>47725.27</v>
      </c>
      <c r="N34">
        <v>0</v>
      </c>
      <c r="O34">
        <v>193851.12</v>
      </c>
      <c r="P34" s="4" t="s">
        <v>29</v>
      </c>
      <c r="Q34">
        <v>3</v>
      </c>
      <c r="R34">
        <v>7</v>
      </c>
      <c r="S34">
        <v>1156976.24</v>
      </c>
      <c r="T34" s="4" t="s">
        <v>30</v>
      </c>
    </row>
    <row r="35" spans="1:20" x14ac:dyDescent="0.2">
      <c r="A35" s="4" t="s">
        <v>218</v>
      </c>
      <c r="B35">
        <v>34</v>
      </c>
      <c r="C35" s="4" t="s">
        <v>26</v>
      </c>
      <c r="D35" s="4" t="s">
        <v>38</v>
      </c>
      <c r="E35" s="4" t="s">
        <v>38</v>
      </c>
      <c r="F35" s="4" t="s">
        <v>1151</v>
      </c>
      <c r="G35">
        <v>7</v>
      </c>
      <c r="H35">
        <v>34</v>
      </c>
      <c r="I35">
        <v>180014.19</v>
      </c>
      <c r="J35">
        <v>71046.09</v>
      </c>
      <c r="K35">
        <v>0</v>
      </c>
      <c r="L35">
        <v>-44056.87</v>
      </c>
      <c r="M35">
        <v>48711.32</v>
      </c>
      <c r="N35">
        <v>0</v>
      </c>
      <c r="O35">
        <v>207003.41</v>
      </c>
      <c r="P35" s="4" t="s">
        <v>29</v>
      </c>
      <c r="Q35">
        <v>3</v>
      </c>
      <c r="R35">
        <v>7</v>
      </c>
      <c r="S35">
        <v>1146148.71</v>
      </c>
      <c r="T35" s="4" t="s">
        <v>30</v>
      </c>
    </row>
    <row r="36" spans="1:20" x14ac:dyDescent="0.2">
      <c r="A36" s="4" t="s">
        <v>219</v>
      </c>
      <c r="B36">
        <v>35</v>
      </c>
      <c r="C36" s="4" t="s">
        <v>26</v>
      </c>
      <c r="D36" s="4" t="s">
        <v>38</v>
      </c>
      <c r="E36" s="4" t="s">
        <v>41</v>
      </c>
      <c r="F36" s="4" t="s">
        <v>1180</v>
      </c>
      <c r="G36">
        <v>7</v>
      </c>
      <c r="H36">
        <v>35</v>
      </c>
      <c r="I36">
        <v>207044.07</v>
      </c>
      <c r="J36">
        <v>58731.44</v>
      </c>
      <c r="K36">
        <v>0</v>
      </c>
      <c r="L36">
        <v>-44056.87</v>
      </c>
      <c r="M36">
        <v>50687.19</v>
      </c>
      <c r="N36">
        <v>0</v>
      </c>
      <c r="O36">
        <v>221718.64</v>
      </c>
      <c r="P36" s="4" t="s">
        <v>29</v>
      </c>
      <c r="Q36">
        <v>3</v>
      </c>
      <c r="R36">
        <v>7</v>
      </c>
      <c r="S36">
        <v>1158564.3400000001</v>
      </c>
      <c r="T36" s="4" t="s">
        <v>30</v>
      </c>
    </row>
    <row r="37" spans="1:20" x14ac:dyDescent="0.2">
      <c r="A37" s="4" t="s">
        <v>220</v>
      </c>
      <c r="B37">
        <v>36</v>
      </c>
      <c r="C37" s="4" t="s">
        <v>26</v>
      </c>
      <c r="D37" s="4" t="s">
        <v>38</v>
      </c>
      <c r="E37" s="4" t="s">
        <v>44</v>
      </c>
      <c r="F37" s="4" t="s">
        <v>1210</v>
      </c>
      <c r="G37">
        <v>8</v>
      </c>
      <c r="H37">
        <v>36</v>
      </c>
      <c r="I37">
        <v>219197.72</v>
      </c>
      <c r="J37">
        <v>64015.96</v>
      </c>
      <c r="K37">
        <v>0</v>
      </c>
      <c r="L37">
        <v>-44056.87</v>
      </c>
      <c r="M37">
        <v>52317.68</v>
      </c>
      <c r="N37">
        <v>0</v>
      </c>
      <c r="O37">
        <v>239156.81</v>
      </c>
      <c r="P37" s="4" t="s">
        <v>29</v>
      </c>
      <c r="Q37">
        <v>3</v>
      </c>
      <c r="R37">
        <v>7</v>
      </c>
      <c r="S37">
        <v>1162615.1100000001</v>
      </c>
      <c r="T37" s="4" t="s">
        <v>30</v>
      </c>
    </row>
    <row r="38" spans="1:20" x14ac:dyDescent="0.2">
      <c r="A38" s="4" t="s">
        <v>221</v>
      </c>
      <c r="B38">
        <v>37</v>
      </c>
      <c r="C38" s="4" t="s">
        <v>26</v>
      </c>
      <c r="D38" s="4" t="s">
        <v>38</v>
      </c>
      <c r="E38" s="4" t="s">
        <v>47</v>
      </c>
      <c r="F38" s="4" t="s">
        <v>1240</v>
      </c>
      <c r="G38">
        <v>8</v>
      </c>
      <c r="H38">
        <v>37</v>
      </c>
      <c r="I38">
        <v>236807.99</v>
      </c>
      <c r="J38">
        <v>63996.32</v>
      </c>
      <c r="K38">
        <v>0</v>
      </c>
      <c r="L38">
        <v>-44056.87</v>
      </c>
      <c r="M38">
        <v>54657.24</v>
      </c>
      <c r="N38">
        <v>0</v>
      </c>
      <c r="O38">
        <v>256747.44</v>
      </c>
      <c r="P38" s="4" t="s">
        <v>29</v>
      </c>
      <c r="Q38">
        <v>3</v>
      </c>
      <c r="R38">
        <v>7</v>
      </c>
      <c r="S38">
        <v>1181778.1599999999</v>
      </c>
      <c r="T38" s="4" t="s">
        <v>30</v>
      </c>
    </row>
    <row r="39" spans="1:20" x14ac:dyDescent="0.2">
      <c r="A39" s="4" t="s">
        <v>222</v>
      </c>
      <c r="B39">
        <v>38</v>
      </c>
      <c r="C39" s="4" t="s">
        <v>26</v>
      </c>
      <c r="D39" s="4" t="s">
        <v>38</v>
      </c>
      <c r="E39" s="4" t="s">
        <v>50</v>
      </c>
      <c r="F39" s="4" t="s">
        <v>1270</v>
      </c>
      <c r="G39">
        <v>8</v>
      </c>
      <c r="H39">
        <v>38</v>
      </c>
      <c r="I39">
        <v>205903.41</v>
      </c>
      <c r="J39">
        <v>66790.63</v>
      </c>
      <c r="K39">
        <v>0</v>
      </c>
      <c r="L39">
        <v>0</v>
      </c>
      <c r="M39">
        <v>56577.73</v>
      </c>
      <c r="N39">
        <v>0</v>
      </c>
      <c r="O39">
        <v>272694.03999999998</v>
      </c>
      <c r="P39" s="4" t="s">
        <v>29</v>
      </c>
      <c r="Q39">
        <v>3</v>
      </c>
      <c r="R39">
        <v>7</v>
      </c>
      <c r="S39">
        <v>1191110.1100000001</v>
      </c>
      <c r="T39" s="4" t="s">
        <v>30</v>
      </c>
    </row>
    <row r="40" spans="1:20" x14ac:dyDescent="0.2">
      <c r="A40" s="4" t="s">
        <v>223</v>
      </c>
      <c r="B40">
        <v>39</v>
      </c>
      <c r="C40" s="4" t="s">
        <v>26</v>
      </c>
      <c r="D40" s="4" t="s">
        <v>38</v>
      </c>
      <c r="E40" s="4" t="s">
        <v>53</v>
      </c>
      <c r="F40" s="4" t="s">
        <v>1295</v>
      </c>
      <c r="G40">
        <v>8</v>
      </c>
      <c r="H40">
        <v>39</v>
      </c>
      <c r="I40">
        <v>220718.64</v>
      </c>
      <c r="J40">
        <v>58788.88</v>
      </c>
      <c r="K40">
        <v>0</v>
      </c>
      <c r="L40">
        <v>-130310.59</v>
      </c>
      <c r="M40">
        <v>57447.39</v>
      </c>
      <c r="N40">
        <v>0</v>
      </c>
      <c r="O40">
        <v>149196.93</v>
      </c>
      <c r="P40" s="4" t="s">
        <v>29</v>
      </c>
      <c r="Q40">
        <v>3</v>
      </c>
      <c r="R40">
        <v>7</v>
      </c>
      <c r="S40">
        <v>1178408</v>
      </c>
      <c r="T40" s="4" t="s">
        <v>30</v>
      </c>
    </row>
    <row r="41" spans="1:20" x14ac:dyDescent="0.2">
      <c r="A41" s="4" t="s">
        <v>224</v>
      </c>
      <c r="B41">
        <v>40</v>
      </c>
      <c r="C41" s="4" t="s">
        <v>26</v>
      </c>
      <c r="D41" s="4" t="s">
        <v>38</v>
      </c>
      <c r="E41" s="4" t="s">
        <v>56</v>
      </c>
      <c r="F41" s="4" t="s">
        <v>1329</v>
      </c>
      <c r="G41">
        <v>8</v>
      </c>
      <c r="H41">
        <v>40</v>
      </c>
      <c r="I41">
        <v>238156.81</v>
      </c>
      <c r="J41">
        <v>49163.6</v>
      </c>
      <c r="K41">
        <v>0</v>
      </c>
      <c r="L41">
        <v>-130310.59</v>
      </c>
      <c r="M41">
        <v>57948.639999999999</v>
      </c>
      <c r="N41">
        <v>0</v>
      </c>
      <c r="O41">
        <v>157009.82</v>
      </c>
      <c r="P41" s="4" t="s">
        <v>29</v>
      </c>
      <c r="Q41">
        <v>3</v>
      </c>
      <c r="R41">
        <v>7</v>
      </c>
      <c r="S41">
        <v>1158972.8</v>
      </c>
      <c r="T41" s="4" t="s">
        <v>30</v>
      </c>
    </row>
    <row r="42" spans="1:20" x14ac:dyDescent="0.2">
      <c r="A42" s="4" t="s">
        <v>225</v>
      </c>
      <c r="B42">
        <v>41</v>
      </c>
      <c r="C42" s="4" t="s">
        <v>26</v>
      </c>
      <c r="D42" s="4" t="s">
        <v>41</v>
      </c>
      <c r="E42" s="4" t="s">
        <v>27</v>
      </c>
      <c r="F42" s="4" t="s">
        <v>1353</v>
      </c>
      <c r="G42">
        <v>9</v>
      </c>
      <c r="H42">
        <v>41</v>
      </c>
      <c r="I42">
        <v>255747.44</v>
      </c>
      <c r="J42">
        <v>46283.98</v>
      </c>
      <c r="K42">
        <v>0</v>
      </c>
      <c r="L42">
        <v>-130310.59</v>
      </c>
      <c r="M42">
        <v>59968.69</v>
      </c>
      <c r="N42">
        <v>0</v>
      </c>
      <c r="O42">
        <v>171720.83</v>
      </c>
      <c r="P42" s="4" t="s">
        <v>29</v>
      </c>
      <c r="Q42">
        <v>3</v>
      </c>
      <c r="R42">
        <v>7</v>
      </c>
      <c r="S42">
        <v>1170120.78</v>
      </c>
      <c r="T42" s="4" t="s">
        <v>30</v>
      </c>
    </row>
    <row r="43" spans="1:20" x14ac:dyDescent="0.2">
      <c r="A43" s="4" t="s">
        <v>226</v>
      </c>
      <c r="B43">
        <v>42</v>
      </c>
      <c r="C43" s="4" t="s">
        <v>26</v>
      </c>
      <c r="D43" s="4" t="s">
        <v>41</v>
      </c>
      <c r="E43" s="4" t="s">
        <v>32</v>
      </c>
      <c r="F43" s="4" t="s">
        <v>1354</v>
      </c>
      <c r="G43">
        <v>9</v>
      </c>
      <c r="H43">
        <v>42</v>
      </c>
      <c r="I43">
        <v>271694.03999999998</v>
      </c>
      <c r="J43">
        <v>47237.25</v>
      </c>
      <c r="K43">
        <v>0</v>
      </c>
      <c r="L43">
        <v>-130310.59</v>
      </c>
      <c r="M43">
        <v>62002.53</v>
      </c>
      <c r="N43">
        <v>0</v>
      </c>
      <c r="O43">
        <v>188620.7</v>
      </c>
      <c r="P43" s="4" t="s">
        <v>29</v>
      </c>
      <c r="Q43">
        <v>3</v>
      </c>
      <c r="R43">
        <v>7</v>
      </c>
      <c r="S43">
        <v>1181000.57</v>
      </c>
      <c r="T43" s="4" t="s">
        <v>30</v>
      </c>
    </row>
    <row r="44" spans="1:20" x14ac:dyDescent="0.2">
      <c r="A44" s="4" t="s">
        <v>227</v>
      </c>
      <c r="B44">
        <v>43</v>
      </c>
      <c r="C44" s="4" t="s">
        <v>26</v>
      </c>
      <c r="D44" s="4" t="s">
        <v>41</v>
      </c>
      <c r="E44" s="4" t="s">
        <v>35</v>
      </c>
      <c r="F44" s="4" t="s">
        <v>1415</v>
      </c>
      <c r="G44">
        <v>9</v>
      </c>
      <c r="H44">
        <v>43</v>
      </c>
      <c r="I44">
        <v>278407.52</v>
      </c>
      <c r="J44">
        <v>55374.5</v>
      </c>
      <c r="K44">
        <v>0</v>
      </c>
      <c r="L44">
        <v>-130310.59</v>
      </c>
      <c r="M44">
        <v>63664.27</v>
      </c>
      <c r="N44">
        <v>0</v>
      </c>
      <c r="O44">
        <v>203471.43</v>
      </c>
      <c r="P44" s="4" t="s">
        <v>29</v>
      </c>
      <c r="Q44">
        <v>3</v>
      </c>
      <c r="R44">
        <v>7</v>
      </c>
      <c r="S44">
        <v>1184451.53</v>
      </c>
      <c r="T44" s="4" t="s">
        <v>30</v>
      </c>
    </row>
    <row r="45" spans="1:20" x14ac:dyDescent="0.2">
      <c r="A45" s="4" t="s">
        <v>228</v>
      </c>
      <c r="B45">
        <v>44</v>
      </c>
      <c r="C45" s="4" t="s">
        <v>26</v>
      </c>
      <c r="D45" s="4" t="s">
        <v>41</v>
      </c>
      <c r="E45" s="4" t="s">
        <v>38</v>
      </c>
      <c r="F45" s="4" t="s">
        <v>1446</v>
      </c>
      <c r="G45">
        <v>9</v>
      </c>
      <c r="H45">
        <v>44</v>
      </c>
      <c r="I45">
        <v>155909.82</v>
      </c>
      <c r="J45">
        <v>62314.95</v>
      </c>
      <c r="K45">
        <v>0</v>
      </c>
      <c r="L45">
        <v>0</v>
      </c>
      <c r="M45">
        <v>65132.39</v>
      </c>
      <c r="N45">
        <v>0</v>
      </c>
      <c r="O45">
        <v>218224.77</v>
      </c>
      <c r="P45" s="4" t="s">
        <v>29</v>
      </c>
      <c r="Q45">
        <v>3</v>
      </c>
      <c r="R45">
        <v>7</v>
      </c>
      <c r="S45">
        <v>1184225.27</v>
      </c>
      <c r="T45" s="4" t="s">
        <v>30</v>
      </c>
    </row>
    <row r="46" spans="1:20" x14ac:dyDescent="0.2">
      <c r="A46" s="4" t="s">
        <v>229</v>
      </c>
      <c r="B46">
        <v>45</v>
      </c>
      <c r="C46" s="4" t="s">
        <v>26</v>
      </c>
      <c r="D46" s="4" t="s">
        <v>41</v>
      </c>
      <c r="E46" s="4" t="s">
        <v>41</v>
      </c>
      <c r="F46" s="4" t="s">
        <v>1474</v>
      </c>
      <c r="G46">
        <v>9</v>
      </c>
      <c r="H46">
        <v>45</v>
      </c>
      <c r="I46">
        <v>170620.83</v>
      </c>
      <c r="J46">
        <v>61989.49</v>
      </c>
      <c r="K46">
        <v>0</v>
      </c>
      <c r="L46">
        <v>0</v>
      </c>
      <c r="M46">
        <v>67118.63</v>
      </c>
      <c r="N46">
        <v>0</v>
      </c>
      <c r="O46">
        <v>232610.32</v>
      </c>
      <c r="P46" s="4" t="s">
        <v>29</v>
      </c>
      <c r="Q46">
        <v>3</v>
      </c>
      <c r="R46">
        <v>7</v>
      </c>
      <c r="S46">
        <v>1193220.0900000001</v>
      </c>
      <c r="T46" s="4" t="s">
        <v>30</v>
      </c>
    </row>
    <row r="47" spans="1:20" x14ac:dyDescent="0.2">
      <c r="A47" s="4" t="s">
        <v>230</v>
      </c>
      <c r="B47">
        <v>46</v>
      </c>
      <c r="C47" s="4" t="s">
        <v>26</v>
      </c>
      <c r="D47" s="4" t="s">
        <v>41</v>
      </c>
      <c r="E47" s="4" t="s">
        <v>44</v>
      </c>
      <c r="F47" s="4" t="s">
        <v>1475</v>
      </c>
      <c r="G47">
        <v>10</v>
      </c>
      <c r="H47">
        <v>46</v>
      </c>
      <c r="I47">
        <v>187520.7</v>
      </c>
      <c r="J47">
        <v>58682.79</v>
      </c>
      <c r="K47">
        <v>0</v>
      </c>
      <c r="L47">
        <v>0</v>
      </c>
      <c r="M47">
        <v>68800.23</v>
      </c>
      <c r="N47">
        <v>0</v>
      </c>
      <c r="O47">
        <v>246203.49</v>
      </c>
      <c r="P47" s="4" t="s">
        <v>29</v>
      </c>
      <c r="Q47">
        <v>3</v>
      </c>
      <c r="R47">
        <v>7</v>
      </c>
      <c r="S47">
        <v>1196525.74</v>
      </c>
      <c r="T47" s="4" t="s">
        <v>30</v>
      </c>
    </row>
    <row r="48" spans="1:20" x14ac:dyDescent="0.2">
      <c r="A48" s="4" t="s">
        <v>231</v>
      </c>
      <c r="B48">
        <v>47</v>
      </c>
      <c r="C48" s="4" t="s">
        <v>26</v>
      </c>
      <c r="D48" s="4" t="s">
        <v>41</v>
      </c>
      <c r="E48" s="4" t="s">
        <v>47</v>
      </c>
      <c r="F48" s="4" t="s">
        <v>1476</v>
      </c>
      <c r="G48">
        <v>10</v>
      </c>
      <c r="H48">
        <v>47</v>
      </c>
      <c r="I48">
        <v>202371.43</v>
      </c>
      <c r="J48">
        <v>49394.31</v>
      </c>
      <c r="K48">
        <v>0</v>
      </c>
      <c r="L48">
        <v>-45884.33</v>
      </c>
      <c r="M48">
        <v>69210.509999999995</v>
      </c>
      <c r="N48">
        <v>0</v>
      </c>
      <c r="O48">
        <v>205881.41</v>
      </c>
      <c r="P48" s="4" t="s">
        <v>29</v>
      </c>
      <c r="Q48">
        <v>3</v>
      </c>
      <c r="R48">
        <v>7</v>
      </c>
      <c r="S48">
        <v>1178051.23</v>
      </c>
      <c r="T48" s="4" t="s">
        <v>30</v>
      </c>
    </row>
    <row r="49" spans="1:20" x14ac:dyDescent="0.2">
      <c r="A49" s="4" t="s">
        <v>232</v>
      </c>
      <c r="B49">
        <v>48</v>
      </c>
      <c r="C49" s="4" t="s">
        <v>26</v>
      </c>
      <c r="D49" s="4" t="s">
        <v>41</v>
      </c>
      <c r="E49" s="4" t="s">
        <v>50</v>
      </c>
      <c r="F49" s="4" t="s">
        <v>1477</v>
      </c>
      <c r="G49">
        <v>10</v>
      </c>
      <c r="H49">
        <v>48</v>
      </c>
      <c r="I49">
        <v>217124.77</v>
      </c>
      <c r="J49">
        <v>62071.7</v>
      </c>
      <c r="K49">
        <v>0</v>
      </c>
      <c r="L49">
        <v>-45884.33</v>
      </c>
      <c r="M49">
        <v>72424.91</v>
      </c>
      <c r="N49">
        <v>0</v>
      </c>
      <c r="O49">
        <v>233312.14</v>
      </c>
      <c r="P49" s="4" t="s">
        <v>29</v>
      </c>
      <c r="Q49">
        <v>3</v>
      </c>
      <c r="R49">
        <v>7</v>
      </c>
      <c r="S49">
        <v>1207081.83</v>
      </c>
      <c r="T49" s="4" t="s">
        <v>30</v>
      </c>
    </row>
    <row r="50" spans="1:20" x14ac:dyDescent="0.2">
      <c r="A50" s="4" t="s">
        <v>233</v>
      </c>
      <c r="B50">
        <v>49</v>
      </c>
      <c r="C50" s="4" t="s">
        <v>26</v>
      </c>
      <c r="D50" s="4" t="s">
        <v>41</v>
      </c>
      <c r="E50" s="4" t="s">
        <v>53</v>
      </c>
      <c r="F50" s="4" t="s">
        <v>1596</v>
      </c>
      <c r="G50">
        <v>10</v>
      </c>
      <c r="H50">
        <v>49</v>
      </c>
      <c r="I50">
        <v>231410.32</v>
      </c>
      <c r="J50">
        <v>63265.02</v>
      </c>
      <c r="K50">
        <v>0</v>
      </c>
      <c r="L50">
        <v>-45884.33</v>
      </c>
      <c r="M50">
        <v>74190.34</v>
      </c>
      <c r="N50">
        <v>0</v>
      </c>
      <c r="O50">
        <v>248791.01</v>
      </c>
      <c r="P50" s="4" t="s">
        <v>29</v>
      </c>
      <c r="Q50">
        <v>3</v>
      </c>
      <c r="R50">
        <v>7</v>
      </c>
      <c r="S50">
        <v>1211270.8600000001</v>
      </c>
      <c r="T50" s="4" t="s">
        <v>30</v>
      </c>
    </row>
    <row r="51" spans="1:20" x14ac:dyDescent="0.2">
      <c r="A51" s="4" t="s">
        <v>234</v>
      </c>
      <c r="B51">
        <v>50</v>
      </c>
      <c r="C51" s="4" t="s">
        <v>26</v>
      </c>
      <c r="D51" s="4" t="s">
        <v>41</v>
      </c>
      <c r="E51" s="4" t="s">
        <v>56</v>
      </c>
      <c r="F51" s="4" t="s">
        <v>1626</v>
      </c>
      <c r="G51">
        <v>10</v>
      </c>
      <c r="H51">
        <v>50</v>
      </c>
      <c r="I51">
        <v>245003.49</v>
      </c>
      <c r="J51">
        <v>74277.67</v>
      </c>
      <c r="K51">
        <v>0</v>
      </c>
      <c r="L51">
        <v>-45884.33</v>
      </c>
      <c r="M51">
        <v>76618.84</v>
      </c>
      <c r="N51">
        <v>0</v>
      </c>
      <c r="O51">
        <v>273396.83</v>
      </c>
      <c r="P51" s="4" t="s">
        <v>29</v>
      </c>
      <c r="Q51">
        <v>3</v>
      </c>
      <c r="R51">
        <v>7</v>
      </c>
      <c r="S51">
        <v>1225901.44</v>
      </c>
      <c r="T51" s="4" t="s">
        <v>30</v>
      </c>
    </row>
    <row r="52" spans="1:20" x14ac:dyDescent="0.2">
      <c r="A52" s="4" t="s">
        <v>235</v>
      </c>
      <c r="B52">
        <v>51</v>
      </c>
      <c r="C52" s="4" t="s">
        <v>26</v>
      </c>
      <c r="D52" s="4" t="s">
        <v>44</v>
      </c>
      <c r="E52" s="4" t="s">
        <v>27</v>
      </c>
      <c r="F52" s="4" t="s">
        <v>1655</v>
      </c>
      <c r="G52">
        <v>11</v>
      </c>
      <c r="H52">
        <v>51</v>
      </c>
      <c r="I52">
        <v>250565.74</v>
      </c>
      <c r="J52">
        <v>83566.67</v>
      </c>
      <c r="K52">
        <v>0</v>
      </c>
      <c r="L52">
        <v>-45884.33</v>
      </c>
      <c r="M52">
        <v>78635.360000000001</v>
      </c>
      <c r="N52">
        <v>0</v>
      </c>
      <c r="O52">
        <v>288248.08</v>
      </c>
      <c r="P52" s="4" t="s">
        <v>29</v>
      </c>
      <c r="Q52">
        <v>3</v>
      </c>
      <c r="R52">
        <v>7</v>
      </c>
      <c r="S52">
        <v>1233495.8400000001</v>
      </c>
      <c r="T52" s="4" t="s">
        <v>30</v>
      </c>
    </row>
    <row r="53" spans="1:20" x14ac:dyDescent="0.2">
      <c r="A53" s="4" t="s">
        <v>236</v>
      </c>
      <c r="B53">
        <v>52</v>
      </c>
      <c r="C53" s="4" t="s">
        <v>26</v>
      </c>
      <c r="D53" s="4" t="s">
        <v>44</v>
      </c>
      <c r="E53" s="4" t="s">
        <v>32</v>
      </c>
      <c r="F53" s="4" t="s">
        <v>1680</v>
      </c>
      <c r="G53">
        <v>11</v>
      </c>
      <c r="H53">
        <v>52</v>
      </c>
      <c r="I53">
        <v>232412.14</v>
      </c>
      <c r="J53">
        <v>72644.070000000007</v>
      </c>
      <c r="K53">
        <v>0</v>
      </c>
      <c r="L53">
        <v>-61760.73</v>
      </c>
      <c r="M53">
        <v>80792.67</v>
      </c>
      <c r="N53">
        <v>0</v>
      </c>
      <c r="O53">
        <v>243295.48</v>
      </c>
      <c r="P53" s="4" t="s">
        <v>29</v>
      </c>
      <c r="Q53">
        <v>3</v>
      </c>
      <c r="R53">
        <v>7</v>
      </c>
      <c r="S53">
        <v>1242964.1499999999</v>
      </c>
      <c r="T53" s="4" t="s">
        <v>30</v>
      </c>
    </row>
    <row r="54" spans="1:20" x14ac:dyDescent="0.2">
      <c r="A54" s="4" t="s">
        <v>237</v>
      </c>
      <c r="B54">
        <v>53</v>
      </c>
      <c r="C54" s="4" t="s">
        <v>26</v>
      </c>
      <c r="D54" s="4" t="s">
        <v>44</v>
      </c>
      <c r="E54" s="4" t="s">
        <v>35</v>
      </c>
      <c r="F54" s="4" t="s">
        <v>1715</v>
      </c>
      <c r="G54">
        <v>11</v>
      </c>
      <c r="H54">
        <v>53</v>
      </c>
      <c r="I54">
        <v>247891.01</v>
      </c>
      <c r="J54">
        <v>67048.570000000007</v>
      </c>
      <c r="K54">
        <v>0</v>
      </c>
      <c r="L54">
        <v>-61760.73</v>
      </c>
      <c r="M54">
        <v>81625.48</v>
      </c>
      <c r="N54">
        <v>0</v>
      </c>
      <c r="O54">
        <v>253178.85</v>
      </c>
      <c r="P54" s="4" t="s">
        <v>29</v>
      </c>
      <c r="Q54">
        <v>3</v>
      </c>
      <c r="R54">
        <v>7</v>
      </c>
      <c r="S54">
        <v>1232082.72</v>
      </c>
      <c r="T54" s="4" t="s">
        <v>30</v>
      </c>
    </row>
    <row r="55" spans="1:20" x14ac:dyDescent="0.2">
      <c r="A55" s="4" t="s">
        <v>238</v>
      </c>
      <c r="B55">
        <v>54</v>
      </c>
      <c r="C55" s="4" t="s">
        <v>26</v>
      </c>
      <c r="D55" s="4" t="s">
        <v>44</v>
      </c>
      <c r="E55" s="4" t="s">
        <v>38</v>
      </c>
      <c r="F55" s="4" t="s">
        <v>1743</v>
      </c>
      <c r="G55">
        <v>11</v>
      </c>
      <c r="H55">
        <v>54</v>
      </c>
      <c r="I55">
        <v>272796.83</v>
      </c>
      <c r="J55">
        <v>61899.05</v>
      </c>
      <c r="K55">
        <v>0</v>
      </c>
      <c r="L55">
        <v>-61760.73</v>
      </c>
      <c r="M55">
        <v>84133.68</v>
      </c>
      <c r="N55">
        <v>0</v>
      </c>
      <c r="O55">
        <v>272935.15000000002</v>
      </c>
      <c r="P55" s="4" t="s">
        <v>29</v>
      </c>
      <c r="Q55">
        <v>3</v>
      </c>
      <c r="R55">
        <v>7</v>
      </c>
      <c r="S55">
        <v>1246424.8899999999</v>
      </c>
      <c r="T55" s="4" t="s">
        <v>30</v>
      </c>
    </row>
    <row r="56" spans="1:20" x14ac:dyDescent="0.2">
      <c r="A56" s="4" t="s">
        <v>239</v>
      </c>
      <c r="B56">
        <v>55</v>
      </c>
      <c r="C56" s="4" t="s">
        <v>26</v>
      </c>
      <c r="D56" s="4" t="s">
        <v>44</v>
      </c>
      <c r="E56" s="4" t="s">
        <v>41</v>
      </c>
      <c r="F56" s="4" t="s">
        <v>1773</v>
      </c>
      <c r="G56">
        <v>11</v>
      </c>
      <c r="H56">
        <v>55</v>
      </c>
      <c r="I56">
        <v>287948.08</v>
      </c>
      <c r="J56">
        <v>61139.51</v>
      </c>
      <c r="K56">
        <v>0</v>
      </c>
      <c r="L56">
        <v>-61760.73</v>
      </c>
      <c r="M56">
        <v>86178.61</v>
      </c>
      <c r="N56">
        <v>0</v>
      </c>
      <c r="O56">
        <v>287326.86</v>
      </c>
      <c r="P56" s="4" t="s">
        <v>29</v>
      </c>
      <c r="Q56">
        <v>3</v>
      </c>
      <c r="R56">
        <v>7</v>
      </c>
      <c r="S56">
        <v>1253507.05</v>
      </c>
      <c r="T56" s="4" t="s">
        <v>30</v>
      </c>
    </row>
    <row r="57" spans="1:20" x14ac:dyDescent="0.2">
      <c r="A57" s="4" t="s">
        <v>240</v>
      </c>
      <c r="B57">
        <v>56</v>
      </c>
      <c r="C57" s="4" t="s">
        <v>26</v>
      </c>
      <c r="D57" s="4" t="s">
        <v>44</v>
      </c>
      <c r="E57" s="4" t="s">
        <v>44</v>
      </c>
      <c r="F57" s="4" t="s">
        <v>1798</v>
      </c>
      <c r="G57">
        <v>12</v>
      </c>
      <c r="H57">
        <v>56</v>
      </c>
      <c r="I57">
        <v>304456.21000000002</v>
      </c>
      <c r="J57">
        <v>62323.56</v>
      </c>
      <c r="K57">
        <v>0</v>
      </c>
      <c r="L57">
        <v>-137981.79</v>
      </c>
      <c r="M57">
        <v>88058.43</v>
      </c>
      <c r="N57">
        <v>0</v>
      </c>
      <c r="O57">
        <v>228797.98</v>
      </c>
      <c r="P57" s="4" t="s">
        <v>29</v>
      </c>
      <c r="Q57">
        <v>3</v>
      </c>
      <c r="R57">
        <v>7</v>
      </c>
      <c r="S57">
        <v>1257977.57</v>
      </c>
      <c r="T57" s="4" t="s">
        <v>30</v>
      </c>
    </row>
    <row r="58" spans="1:20" x14ac:dyDescent="0.2">
      <c r="A58" s="4" t="s">
        <v>241</v>
      </c>
      <c r="B58">
        <v>57</v>
      </c>
      <c r="C58" s="4" t="s">
        <v>26</v>
      </c>
      <c r="D58" s="4" t="s">
        <v>44</v>
      </c>
      <c r="E58" s="4" t="s">
        <v>47</v>
      </c>
      <c r="F58" s="4" t="s">
        <v>1834</v>
      </c>
      <c r="G58">
        <v>12</v>
      </c>
      <c r="H58">
        <v>57</v>
      </c>
      <c r="I58">
        <v>252578.85</v>
      </c>
      <c r="J58">
        <v>61557.18</v>
      </c>
      <c r="K58">
        <v>0</v>
      </c>
      <c r="L58">
        <v>-76221.06</v>
      </c>
      <c r="M58">
        <v>89150.85</v>
      </c>
      <c r="N58">
        <v>0</v>
      </c>
      <c r="O58">
        <v>237914.97</v>
      </c>
      <c r="P58" s="4" t="s">
        <v>29</v>
      </c>
      <c r="Q58">
        <v>3</v>
      </c>
      <c r="R58">
        <v>7</v>
      </c>
      <c r="S58">
        <v>1251240</v>
      </c>
      <c r="T58" s="4" t="s">
        <v>30</v>
      </c>
    </row>
    <row r="59" spans="1:20" x14ac:dyDescent="0.2">
      <c r="A59" s="4" t="s">
        <v>242</v>
      </c>
      <c r="B59">
        <v>58</v>
      </c>
      <c r="C59" s="4" t="s">
        <v>26</v>
      </c>
      <c r="D59" s="4" t="s">
        <v>44</v>
      </c>
      <c r="E59" s="4" t="s">
        <v>50</v>
      </c>
      <c r="F59" s="4" t="s">
        <v>1858</v>
      </c>
      <c r="G59">
        <v>12</v>
      </c>
      <c r="H59">
        <v>58</v>
      </c>
      <c r="I59">
        <v>272335.15000000002</v>
      </c>
      <c r="J59">
        <v>58382.17</v>
      </c>
      <c r="K59">
        <v>0</v>
      </c>
      <c r="L59">
        <v>-76221.06</v>
      </c>
      <c r="M59">
        <v>91431.81</v>
      </c>
      <c r="N59">
        <v>0</v>
      </c>
      <c r="O59">
        <v>254496.26</v>
      </c>
      <c r="P59" s="4" t="s">
        <v>29</v>
      </c>
      <c r="Q59">
        <v>3</v>
      </c>
      <c r="R59">
        <v>7</v>
      </c>
      <c r="S59">
        <v>1261128.4099999999</v>
      </c>
      <c r="T59" s="4" t="s">
        <v>30</v>
      </c>
    </row>
    <row r="60" spans="1:20" x14ac:dyDescent="0.2">
      <c r="A60" s="4" t="s">
        <v>243</v>
      </c>
      <c r="B60">
        <v>59</v>
      </c>
      <c r="C60" s="4" t="s">
        <v>26</v>
      </c>
      <c r="D60" s="4" t="s">
        <v>44</v>
      </c>
      <c r="E60" s="4" t="s">
        <v>53</v>
      </c>
      <c r="F60" s="4" t="s">
        <v>1859</v>
      </c>
      <c r="G60">
        <v>12</v>
      </c>
      <c r="H60">
        <v>59</v>
      </c>
      <c r="I60">
        <v>286726.86</v>
      </c>
      <c r="J60">
        <v>61569.26</v>
      </c>
      <c r="K60">
        <v>0</v>
      </c>
      <c r="L60">
        <v>-76221.06</v>
      </c>
      <c r="M60">
        <v>93731.199999999997</v>
      </c>
      <c r="N60">
        <v>0</v>
      </c>
      <c r="O60">
        <v>272075.06</v>
      </c>
      <c r="P60" s="4" t="s">
        <v>29</v>
      </c>
      <c r="Q60">
        <v>3</v>
      </c>
      <c r="R60">
        <v>7</v>
      </c>
      <c r="S60">
        <v>1270931.53</v>
      </c>
      <c r="T60" s="4" t="s">
        <v>30</v>
      </c>
    </row>
    <row r="61" spans="1:20" x14ac:dyDescent="0.2">
      <c r="A61" s="4" t="s">
        <v>244</v>
      </c>
      <c r="B61">
        <v>60</v>
      </c>
      <c r="C61" s="4" t="s">
        <v>26</v>
      </c>
      <c r="D61" s="4" t="s">
        <v>44</v>
      </c>
      <c r="E61" s="4" t="s">
        <v>56</v>
      </c>
      <c r="F61" s="4" t="s">
        <v>1922</v>
      </c>
      <c r="G61">
        <v>12</v>
      </c>
      <c r="H61">
        <v>60</v>
      </c>
      <c r="I61">
        <v>304419.03999999998</v>
      </c>
      <c r="J61">
        <v>65564.62</v>
      </c>
      <c r="K61">
        <v>0</v>
      </c>
      <c r="L61">
        <v>-129849.18</v>
      </c>
      <c r="M61">
        <v>95722.68</v>
      </c>
      <c r="N61">
        <v>0</v>
      </c>
      <c r="O61">
        <v>240134.48</v>
      </c>
      <c r="P61" s="4" t="s">
        <v>29</v>
      </c>
      <c r="Q61">
        <v>3</v>
      </c>
      <c r="R61">
        <v>7</v>
      </c>
      <c r="S61">
        <v>1276302.3999999999</v>
      </c>
      <c r="T61" s="4" t="s">
        <v>30</v>
      </c>
    </row>
    <row r="62" spans="1:20" x14ac:dyDescent="0.2">
      <c r="A62" s="4" t="s">
        <v>245</v>
      </c>
      <c r="B62">
        <v>61</v>
      </c>
      <c r="C62" s="4" t="s">
        <v>26</v>
      </c>
      <c r="D62" s="4" t="s">
        <v>47</v>
      </c>
      <c r="E62" s="4" t="s">
        <v>27</v>
      </c>
      <c r="F62" s="4" t="s">
        <v>1953</v>
      </c>
      <c r="G62">
        <v>13</v>
      </c>
      <c r="H62">
        <v>61</v>
      </c>
      <c r="I62">
        <v>237314.97</v>
      </c>
      <c r="J62">
        <v>70431.41</v>
      </c>
      <c r="K62">
        <v>0</v>
      </c>
      <c r="L62">
        <v>-53628.12</v>
      </c>
      <c r="M62">
        <v>97241.74</v>
      </c>
      <c r="N62">
        <v>0</v>
      </c>
      <c r="O62">
        <v>254118.26</v>
      </c>
      <c r="P62" s="4" t="s">
        <v>29</v>
      </c>
      <c r="Q62">
        <v>3</v>
      </c>
      <c r="R62">
        <v>7</v>
      </c>
      <c r="S62">
        <v>1275301.51</v>
      </c>
      <c r="T62" s="4" t="s">
        <v>30</v>
      </c>
    </row>
    <row r="63" spans="1:20" x14ac:dyDescent="0.2">
      <c r="A63" s="4" t="s">
        <v>246</v>
      </c>
      <c r="B63">
        <v>62</v>
      </c>
      <c r="C63" s="4" t="s">
        <v>26</v>
      </c>
      <c r="D63" s="4" t="s">
        <v>47</v>
      </c>
      <c r="E63" s="4" t="s">
        <v>32</v>
      </c>
      <c r="F63" s="4" t="s">
        <v>1983</v>
      </c>
      <c r="G63">
        <v>13</v>
      </c>
      <c r="H63">
        <v>62</v>
      </c>
      <c r="I63">
        <v>253896.26</v>
      </c>
      <c r="J63">
        <v>77601.94</v>
      </c>
      <c r="K63">
        <v>0</v>
      </c>
      <c r="L63">
        <v>-53628.12</v>
      </c>
      <c r="M63">
        <v>100330.19</v>
      </c>
      <c r="N63">
        <v>0</v>
      </c>
      <c r="O63">
        <v>277870.08000000002</v>
      </c>
      <c r="P63" s="4" t="s">
        <v>29</v>
      </c>
      <c r="Q63">
        <v>3</v>
      </c>
      <c r="R63">
        <v>7</v>
      </c>
      <c r="S63">
        <v>1294583.1000000001</v>
      </c>
      <c r="T63" s="4" t="s">
        <v>30</v>
      </c>
    </row>
    <row r="64" spans="1:20" x14ac:dyDescent="0.2">
      <c r="A64" s="4" t="s">
        <v>247</v>
      </c>
      <c r="B64">
        <v>63</v>
      </c>
      <c r="C64" s="4" t="s">
        <v>26</v>
      </c>
      <c r="D64" s="4" t="s">
        <v>47</v>
      </c>
      <c r="E64" s="4" t="s">
        <v>35</v>
      </c>
      <c r="F64" s="4" t="s">
        <v>2007</v>
      </c>
      <c r="G64">
        <v>13</v>
      </c>
      <c r="H64">
        <v>63</v>
      </c>
      <c r="I64">
        <v>271475.06</v>
      </c>
      <c r="J64">
        <v>73173.649999999994</v>
      </c>
      <c r="K64">
        <v>0</v>
      </c>
      <c r="L64">
        <v>-53628.12</v>
      </c>
      <c r="M64">
        <v>102329.2</v>
      </c>
      <c r="N64">
        <v>0</v>
      </c>
      <c r="O64">
        <v>291020.59000000003</v>
      </c>
      <c r="P64" s="4" t="s">
        <v>29</v>
      </c>
      <c r="Q64">
        <v>3</v>
      </c>
      <c r="R64">
        <v>7</v>
      </c>
      <c r="S64">
        <v>1299418.4099999999</v>
      </c>
      <c r="T64" s="4" t="s">
        <v>30</v>
      </c>
    </row>
    <row r="65" spans="1:20" x14ac:dyDescent="0.2">
      <c r="A65" s="4" t="s">
        <v>248</v>
      </c>
      <c r="B65">
        <v>64</v>
      </c>
      <c r="C65" s="4" t="s">
        <v>26</v>
      </c>
      <c r="D65" s="4" t="s">
        <v>47</v>
      </c>
      <c r="E65" s="4" t="s">
        <v>38</v>
      </c>
      <c r="F65" s="4" t="s">
        <v>2042</v>
      </c>
      <c r="G65">
        <v>13</v>
      </c>
      <c r="H65">
        <v>64</v>
      </c>
      <c r="I65">
        <v>293162.59999999998</v>
      </c>
      <c r="J65">
        <v>65787.88</v>
      </c>
      <c r="K65">
        <v>0</v>
      </c>
      <c r="L65">
        <v>-137542.42000000001</v>
      </c>
      <c r="M65">
        <v>103581.22</v>
      </c>
      <c r="N65">
        <v>0</v>
      </c>
      <c r="O65">
        <v>221408.06</v>
      </c>
      <c r="P65" s="4" t="s">
        <v>29</v>
      </c>
      <c r="Q65">
        <v>3</v>
      </c>
      <c r="R65">
        <v>7</v>
      </c>
      <c r="S65">
        <v>1294765.25</v>
      </c>
      <c r="T65" s="4" t="s">
        <v>30</v>
      </c>
    </row>
    <row r="66" spans="1:20" x14ac:dyDescent="0.2">
      <c r="A66" s="4" t="s">
        <v>249</v>
      </c>
      <c r="B66">
        <v>65</v>
      </c>
      <c r="C66" s="4" t="s">
        <v>26</v>
      </c>
      <c r="D66" s="4" t="s">
        <v>47</v>
      </c>
      <c r="E66" s="4" t="s">
        <v>41</v>
      </c>
      <c r="F66" s="4" t="s">
        <v>2073</v>
      </c>
      <c r="G66">
        <v>13</v>
      </c>
      <c r="H66">
        <v>65</v>
      </c>
      <c r="I66">
        <v>253518.26</v>
      </c>
      <c r="J66">
        <v>74416.160000000003</v>
      </c>
      <c r="K66">
        <v>0</v>
      </c>
      <c r="L66">
        <v>-83914.3</v>
      </c>
      <c r="M66">
        <v>106291.76</v>
      </c>
      <c r="N66">
        <v>0</v>
      </c>
      <c r="O66">
        <v>244020.12</v>
      </c>
      <c r="P66" s="4" t="s">
        <v>29</v>
      </c>
      <c r="Q66">
        <v>3</v>
      </c>
      <c r="R66">
        <v>7</v>
      </c>
      <c r="S66">
        <v>1308206.28</v>
      </c>
      <c r="T66" s="4" t="s">
        <v>30</v>
      </c>
    </row>
    <row r="67" spans="1:20" x14ac:dyDescent="0.2">
      <c r="A67" s="4" t="s">
        <v>250</v>
      </c>
      <c r="B67">
        <v>66</v>
      </c>
      <c r="C67" s="4" t="s">
        <v>26</v>
      </c>
      <c r="D67" s="4" t="s">
        <v>47</v>
      </c>
      <c r="E67" s="4" t="s">
        <v>44</v>
      </c>
      <c r="F67" s="4" t="s">
        <v>2103</v>
      </c>
      <c r="G67">
        <v>14</v>
      </c>
      <c r="H67">
        <v>66</v>
      </c>
      <c r="I67">
        <v>277270.08</v>
      </c>
      <c r="J67">
        <v>72144.09</v>
      </c>
      <c r="K67">
        <v>0</v>
      </c>
      <c r="L67">
        <v>-83914.3</v>
      </c>
      <c r="M67">
        <v>108558.8</v>
      </c>
      <c r="N67">
        <v>0</v>
      </c>
      <c r="O67">
        <v>265499.87</v>
      </c>
      <c r="P67" s="4" t="s">
        <v>29</v>
      </c>
      <c r="Q67">
        <v>3</v>
      </c>
      <c r="R67">
        <v>7</v>
      </c>
      <c r="S67">
        <v>1315864.24</v>
      </c>
      <c r="T67" s="4" t="s">
        <v>30</v>
      </c>
    </row>
    <row r="68" spans="1:20" x14ac:dyDescent="0.2">
      <c r="A68" s="4" t="s">
        <v>251</v>
      </c>
      <c r="B68">
        <v>67</v>
      </c>
      <c r="C68" s="4" t="s">
        <v>26</v>
      </c>
      <c r="D68" s="4" t="s">
        <v>47</v>
      </c>
      <c r="E68" s="4" t="s">
        <v>47</v>
      </c>
      <c r="F68" s="4" t="s">
        <v>2128</v>
      </c>
      <c r="G68">
        <v>14</v>
      </c>
      <c r="H68">
        <v>67</v>
      </c>
      <c r="I68">
        <v>290120.59000000003</v>
      </c>
      <c r="J68">
        <v>73050.66</v>
      </c>
      <c r="K68">
        <v>0</v>
      </c>
      <c r="L68">
        <v>-148715.71</v>
      </c>
      <c r="M68">
        <v>110235.03</v>
      </c>
      <c r="N68">
        <v>0</v>
      </c>
      <c r="O68">
        <v>214455.54</v>
      </c>
      <c r="P68" s="4" t="s">
        <v>29</v>
      </c>
      <c r="Q68">
        <v>3</v>
      </c>
      <c r="R68">
        <v>7</v>
      </c>
      <c r="S68">
        <v>1316239.1599999999</v>
      </c>
      <c r="T68" s="4" t="s">
        <v>30</v>
      </c>
    </row>
    <row r="69" spans="1:20" x14ac:dyDescent="0.2">
      <c r="A69" s="4" t="s">
        <v>252</v>
      </c>
      <c r="B69">
        <v>68</v>
      </c>
      <c r="C69" s="4" t="s">
        <v>26</v>
      </c>
      <c r="D69" s="4" t="s">
        <v>47</v>
      </c>
      <c r="E69" s="4" t="s">
        <v>50</v>
      </c>
      <c r="F69" s="4" t="s">
        <v>2157</v>
      </c>
      <c r="G69">
        <v>14</v>
      </c>
      <c r="H69">
        <v>68</v>
      </c>
      <c r="I69">
        <v>304722.36</v>
      </c>
      <c r="J69">
        <v>96836.2</v>
      </c>
      <c r="K69">
        <v>0</v>
      </c>
      <c r="L69">
        <v>-148715.71</v>
      </c>
      <c r="M69">
        <v>115041.06</v>
      </c>
      <c r="N69">
        <v>0</v>
      </c>
      <c r="O69">
        <v>252842.85</v>
      </c>
      <c r="P69" s="4" t="s">
        <v>29</v>
      </c>
      <c r="Q69">
        <v>3</v>
      </c>
      <c r="R69">
        <v>7</v>
      </c>
      <c r="S69">
        <v>1353424.24</v>
      </c>
      <c r="T69" s="4" t="s">
        <v>30</v>
      </c>
    </row>
    <row r="70" spans="1:20" x14ac:dyDescent="0.2">
      <c r="A70" s="4" t="s">
        <v>253</v>
      </c>
      <c r="B70">
        <v>69</v>
      </c>
      <c r="C70" s="4" t="s">
        <v>26</v>
      </c>
      <c r="D70" s="4" t="s">
        <v>47</v>
      </c>
      <c r="E70" s="4" t="s">
        <v>53</v>
      </c>
      <c r="F70" s="4" t="s">
        <v>2158</v>
      </c>
      <c r="G70">
        <v>14</v>
      </c>
      <c r="H70">
        <v>69</v>
      </c>
      <c r="I70">
        <v>243420.12</v>
      </c>
      <c r="J70">
        <v>88706.1</v>
      </c>
      <c r="K70">
        <v>0</v>
      </c>
      <c r="L70">
        <v>-64801.41</v>
      </c>
      <c r="M70">
        <v>116474.17</v>
      </c>
      <c r="N70">
        <v>0</v>
      </c>
      <c r="O70">
        <v>267324.81</v>
      </c>
      <c r="P70" s="4" t="s">
        <v>29</v>
      </c>
      <c r="Q70">
        <v>3</v>
      </c>
      <c r="R70">
        <v>7</v>
      </c>
      <c r="S70">
        <v>1350425.16</v>
      </c>
      <c r="T70" s="4" t="s">
        <v>30</v>
      </c>
    </row>
    <row r="71" spans="1:20" x14ac:dyDescent="0.2">
      <c r="A71" s="4" t="s">
        <v>254</v>
      </c>
      <c r="B71">
        <v>70</v>
      </c>
      <c r="C71" s="4" t="s">
        <v>26</v>
      </c>
      <c r="D71" s="4" t="s">
        <v>47</v>
      </c>
      <c r="E71" s="4" t="s">
        <v>56</v>
      </c>
      <c r="F71" s="4" t="s">
        <v>2222</v>
      </c>
      <c r="G71">
        <v>14</v>
      </c>
      <c r="H71">
        <v>70</v>
      </c>
      <c r="I71">
        <v>264899.87</v>
      </c>
      <c r="J71">
        <v>94927.24</v>
      </c>
      <c r="K71">
        <v>0</v>
      </c>
      <c r="L71">
        <v>-64801.41</v>
      </c>
      <c r="M71">
        <v>120082.4</v>
      </c>
      <c r="N71">
        <v>0</v>
      </c>
      <c r="O71">
        <v>295025.7</v>
      </c>
      <c r="P71" s="4" t="s">
        <v>29</v>
      </c>
      <c r="Q71">
        <v>3</v>
      </c>
      <c r="R71">
        <v>7</v>
      </c>
      <c r="S71">
        <v>1372370.29</v>
      </c>
      <c r="T71" s="4" t="s">
        <v>30</v>
      </c>
    </row>
    <row r="72" spans="1:20" x14ac:dyDescent="0.2">
      <c r="A72" s="4" t="s">
        <v>255</v>
      </c>
      <c r="B72">
        <v>71</v>
      </c>
      <c r="C72" s="4" t="s">
        <v>26</v>
      </c>
      <c r="D72" s="4" t="s">
        <v>50</v>
      </c>
      <c r="E72" s="4" t="s">
        <v>27</v>
      </c>
      <c r="F72" s="4" t="s">
        <v>2252</v>
      </c>
      <c r="G72">
        <v>15</v>
      </c>
      <c r="H72">
        <v>71</v>
      </c>
      <c r="I72">
        <v>278656.95</v>
      </c>
      <c r="J72">
        <v>93441.37</v>
      </c>
      <c r="K72">
        <v>0</v>
      </c>
      <c r="L72">
        <v>-146755.19</v>
      </c>
      <c r="M72">
        <v>121256.14</v>
      </c>
      <c r="N72">
        <v>0</v>
      </c>
      <c r="O72">
        <v>225343.13</v>
      </c>
      <c r="P72" s="4" t="s">
        <v>29</v>
      </c>
      <c r="Q72">
        <v>3</v>
      </c>
      <c r="R72">
        <v>7</v>
      </c>
      <c r="S72">
        <v>1366266.37</v>
      </c>
      <c r="T72" s="4" t="s">
        <v>30</v>
      </c>
    </row>
    <row r="73" spans="1:20" x14ac:dyDescent="0.2">
      <c r="A73" s="4" t="s">
        <v>256</v>
      </c>
      <c r="B73">
        <v>72</v>
      </c>
      <c r="C73" s="4" t="s">
        <v>26</v>
      </c>
      <c r="D73" s="4" t="s">
        <v>50</v>
      </c>
      <c r="E73" s="4" t="s">
        <v>32</v>
      </c>
      <c r="F73" s="4" t="s">
        <v>2277</v>
      </c>
      <c r="G73">
        <v>15</v>
      </c>
      <c r="H73">
        <v>72</v>
      </c>
      <c r="I73">
        <v>252242.85</v>
      </c>
      <c r="J73">
        <v>70675.28</v>
      </c>
      <c r="K73">
        <v>0</v>
      </c>
      <c r="L73">
        <v>-81953.78</v>
      </c>
      <c r="M73">
        <v>123371.45</v>
      </c>
      <c r="N73">
        <v>0</v>
      </c>
      <c r="O73">
        <v>240964.35</v>
      </c>
      <c r="P73" s="4" t="s">
        <v>29</v>
      </c>
      <c r="Q73">
        <v>3</v>
      </c>
      <c r="R73">
        <v>7</v>
      </c>
      <c r="S73">
        <v>1370793.89</v>
      </c>
      <c r="T73" s="4" t="s">
        <v>30</v>
      </c>
    </row>
    <row r="74" spans="1:20" x14ac:dyDescent="0.2">
      <c r="A74" s="4" t="s">
        <v>257</v>
      </c>
      <c r="B74">
        <v>73</v>
      </c>
      <c r="C74" s="4" t="s">
        <v>26</v>
      </c>
      <c r="D74" s="4" t="s">
        <v>50</v>
      </c>
      <c r="E74" s="4" t="s">
        <v>35</v>
      </c>
      <c r="F74" s="4" t="s">
        <v>2278</v>
      </c>
      <c r="G74">
        <v>15</v>
      </c>
      <c r="H74">
        <v>73</v>
      </c>
      <c r="I74">
        <v>266724.81</v>
      </c>
      <c r="J74">
        <v>78404.89</v>
      </c>
      <c r="K74">
        <v>0</v>
      </c>
      <c r="L74">
        <v>-81953.78</v>
      </c>
      <c r="M74">
        <v>126127.48</v>
      </c>
      <c r="N74">
        <v>0</v>
      </c>
      <c r="O74">
        <v>263175.92</v>
      </c>
      <c r="P74" s="4" t="s">
        <v>29</v>
      </c>
      <c r="Q74">
        <v>3</v>
      </c>
      <c r="R74">
        <v>7</v>
      </c>
      <c r="S74">
        <v>1382218.96</v>
      </c>
      <c r="T74" s="4" t="s">
        <v>30</v>
      </c>
    </row>
    <row r="75" spans="1:20" x14ac:dyDescent="0.2">
      <c r="A75" s="4" t="s">
        <v>258</v>
      </c>
      <c r="B75">
        <v>74</v>
      </c>
      <c r="C75" s="4" t="s">
        <v>26</v>
      </c>
      <c r="D75" s="4" t="s">
        <v>50</v>
      </c>
      <c r="E75" s="4" t="s">
        <v>38</v>
      </c>
      <c r="F75" s="4" t="s">
        <v>2340</v>
      </c>
      <c r="G75">
        <v>15</v>
      </c>
      <c r="H75">
        <v>74</v>
      </c>
      <c r="I75">
        <v>294425.7</v>
      </c>
      <c r="J75">
        <v>66676.210000000006</v>
      </c>
      <c r="K75">
        <v>0</v>
      </c>
      <c r="L75">
        <v>-81953.78</v>
      </c>
      <c r="M75">
        <v>128069.39</v>
      </c>
      <c r="N75">
        <v>0</v>
      </c>
      <c r="O75">
        <v>279148.13</v>
      </c>
      <c r="P75" s="4" t="s">
        <v>29</v>
      </c>
      <c r="Q75">
        <v>3</v>
      </c>
      <c r="R75">
        <v>7</v>
      </c>
      <c r="S75">
        <v>1384533.95</v>
      </c>
      <c r="T75" s="4" t="s">
        <v>30</v>
      </c>
    </row>
    <row r="76" spans="1:20" x14ac:dyDescent="0.2">
      <c r="A76" s="4" t="s">
        <v>259</v>
      </c>
      <c r="B76">
        <v>75</v>
      </c>
      <c r="C76" s="4" t="s">
        <v>26</v>
      </c>
      <c r="D76" s="4" t="s">
        <v>50</v>
      </c>
      <c r="E76" s="4" t="s">
        <v>41</v>
      </c>
      <c r="F76" s="4" t="s">
        <v>2370</v>
      </c>
      <c r="G76">
        <v>15</v>
      </c>
      <c r="H76">
        <v>75</v>
      </c>
      <c r="I76">
        <v>306696.90999999997</v>
      </c>
      <c r="J76">
        <v>80748.7</v>
      </c>
      <c r="K76">
        <v>0</v>
      </c>
      <c r="L76">
        <v>-81953.78</v>
      </c>
      <c r="M76">
        <v>131174.17000000001</v>
      </c>
      <c r="N76">
        <v>0</v>
      </c>
      <c r="O76">
        <v>305491.83</v>
      </c>
      <c r="P76" s="4" t="s">
        <v>29</v>
      </c>
      <c r="Q76">
        <v>3</v>
      </c>
      <c r="R76">
        <v>7</v>
      </c>
      <c r="S76">
        <v>1399191.15</v>
      </c>
      <c r="T76" s="4" t="s">
        <v>30</v>
      </c>
    </row>
    <row r="77" spans="1:20" x14ac:dyDescent="0.2">
      <c r="A77" s="4" t="s">
        <v>260</v>
      </c>
      <c r="B77">
        <v>76</v>
      </c>
      <c r="C77" s="4" t="s">
        <v>26</v>
      </c>
      <c r="D77" s="4" t="s">
        <v>50</v>
      </c>
      <c r="E77" s="4" t="s">
        <v>44</v>
      </c>
      <c r="F77" s="4" t="s">
        <v>2403</v>
      </c>
      <c r="G77">
        <v>16</v>
      </c>
      <c r="H77">
        <v>76</v>
      </c>
      <c r="I77">
        <v>240364.35</v>
      </c>
      <c r="J77">
        <v>92772.78</v>
      </c>
      <c r="K77">
        <v>0</v>
      </c>
      <c r="L77">
        <v>0</v>
      </c>
      <c r="M77">
        <v>134208.04999999999</v>
      </c>
      <c r="N77">
        <v>0</v>
      </c>
      <c r="O77">
        <v>333137.13</v>
      </c>
      <c r="P77" s="4" t="s">
        <v>29</v>
      </c>
      <c r="Q77">
        <v>3</v>
      </c>
      <c r="R77">
        <v>7</v>
      </c>
      <c r="S77">
        <v>1412716.32</v>
      </c>
      <c r="T77" s="4" t="s">
        <v>30</v>
      </c>
    </row>
    <row r="78" spans="1:20" x14ac:dyDescent="0.2">
      <c r="A78" s="4" t="s">
        <v>261</v>
      </c>
      <c r="B78">
        <v>77</v>
      </c>
      <c r="C78" s="4" t="s">
        <v>26</v>
      </c>
      <c r="D78" s="4" t="s">
        <v>50</v>
      </c>
      <c r="E78" s="4" t="s">
        <v>47</v>
      </c>
      <c r="F78" s="4" t="s">
        <v>2395</v>
      </c>
      <c r="G78">
        <v>16</v>
      </c>
      <c r="H78">
        <v>77</v>
      </c>
      <c r="I78">
        <v>262575.92</v>
      </c>
      <c r="J78">
        <v>81932.38</v>
      </c>
      <c r="K78">
        <v>0</v>
      </c>
      <c r="L78">
        <v>-82064.289999999994</v>
      </c>
      <c r="M78">
        <v>135595</v>
      </c>
      <c r="N78">
        <v>0</v>
      </c>
      <c r="O78">
        <v>262444.01</v>
      </c>
      <c r="P78" s="4" t="s">
        <v>29</v>
      </c>
      <c r="Q78">
        <v>3</v>
      </c>
      <c r="R78">
        <v>7</v>
      </c>
      <c r="S78">
        <v>1408779.22</v>
      </c>
      <c r="T78" s="4" t="s">
        <v>30</v>
      </c>
    </row>
    <row r="79" spans="1:20" x14ac:dyDescent="0.2">
      <c r="A79" s="4" t="s">
        <v>262</v>
      </c>
      <c r="B79">
        <v>78</v>
      </c>
      <c r="C79" s="4" t="s">
        <v>26</v>
      </c>
      <c r="D79" s="4" t="s">
        <v>50</v>
      </c>
      <c r="E79" s="4" t="s">
        <v>50</v>
      </c>
      <c r="F79" s="4" t="s">
        <v>2458</v>
      </c>
      <c r="G79">
        <v>16</v>
      </c>
      <c r="H79">
        <v>78</v>
      </c>
      <c r="I79">
        <v>278248.13</v>
      </c>
      <c r="J79">
        <v>86399.1</v>
      </c>
      <c r="K79">
        <v>0</v>
      </c>
      <c r="L79">
        <v>-82064.289999999994</v>
      </c>
      <c r="M79">
        <v>138349.07</v>
      </c>
      <c r="N79">
        <v>0</v>
      </c>
      <c r="O79">
        <v>282582.94</v>
      </c>
      <c r="P79" s="4" t="s">
        <v>29</v>
      </c>
      <c r="Q79">
        <v>3</v>
      </c>
      <c r="R79">
        <v>7</v>
      </c>
      <c r="S79">
        <v>1418964.82</v>
      </c>
      <c r="T79" s="4" t="s">
        <v>30</v>
      </c>
    </row>
    <row r="80" spans="1:20" x14ac:dyDescent="0.2">
      <c r="A80" s="4" t="s">
        <v>263</v>
      </c>
      <c r="B80">
        <v>79</v>
      </c>
      <c r="C80" s="4" t="s">
        <v>26</v>
      </c>
      <c r="D80" s="4" t="s">
        <v>50</v>
      </c>
      <c r="E80" s="4" t="s">
        <v>53</v>
      </c>
      <c r="F80" s="4" t="s">
        <v>2489</v>
      </c>
      <c r="G80">
        <v>16</v>
      </c>
      <c r="H80">
        <v>79</v>
      </c>
      <c r="I80">
        <v>304891.83</v>
      </c>
      <c r="J80">
        <v>78320.72</v>
      </c>
      <c r="K80">
        <v>0</v>
      </c>
      <c r="L80">
        <v>-82064.289999999994</v>
      </c>
      <c r="M80">
        <v>140542.24</v>
      </c>
      <c r="N80">
        <v>0</v>
      </c>
      <c r="O80">
        <v>301148.26</v>
      </c>
      <c r="P80" s="4" t="s">
        <v>29</v>
      </c>
      <c r="Q80">
        <v>3</v>
      </c>
      <c r="R80">
        <v>7</v>
      </c>
      <c r="S80">
        <v>1423212.56</v>
      </c>
      <c r="T80" s="4" t="s">
        <v>30</v>
      </c>
    </row>
    <row r="81" spans="1:20" x14ac:dyDescent="0.2">
      <c r="A81" s="4" t="s">
        <v>264</v>
      </c>
      <c r="B81">
        <v>80</v>
      </c>
      <c r="C81" s="4" t="s">
        <v>26</v>
      </c>
      <c r="D81" s="4" t="s">
        <v>50</v>
      </c>
      <c r="E81" s="4" t="s">
        <v>56</v>
      </c>
      <c r="F81" s="4" t="s">
        <v>2513</v>
      </c>
      <c r="G81">
        <v>16</v>
      </c>
      <c r="H81">
        <v>80</v>
      </c>
      <c r="I81">
        <v>332237.13</v>
      </c>
      <c r="J81">
        <v>66987.73</v>
      </c>
      <c r="K81">
        <v>0</v>
      </c>
      <c r="L81">
        <v>-82064.289999999994</v>
      </c>
      <c r="M81">
        <v>142478.35999999999</v>
      </c>
      <c r="N81">
        <v>0</v>
      </c>
      <c r="O81">
        <v>317160.57</v>
      </c>
      <c r="P81" s="4" t="s">
        <v>29</v>
      </c>
      <c r="Q81">
        <v>3</v>
      </c>
      <c r="R81">
        <v>7</v>
      </c>
      <c r="S81">
        <v>1424783.6</v>
      </c>
      <c r="T81" s="4" t="s">
        <v>30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B82D-5EAD-4448-912E-99281BD9FDAC}">
  <dimension ref="A1:Q698"/>
  <sheetViews>
    <sheetView topLeftCell="I169" workbookViewId="0">
      <selection activeCell="O253" sqref="O253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3.6640625" bestFit="1" customWidth="1"/>
    <col min="10" max="10" width="45.33203125" bestFit="1" customWidth="1"/>
    <col min="11" max="11" width="16" bestFit="1" customWidth="1"/>
    <col min="12" max="12" width="24.83203125" bestFit="1" customWidth="1"/>
    <col min="13" max="13" width="15" bestFit="1" customWidth="1"/>
    <col min="14" max="14" width="17.33203125" bestFit="1" customWidth="1"/>
    <col min="15" max="15" width="26.1640625" bestFit="1" customWidth="1"/>
    <col min="16" max="16" width="11" bestFit="1" customWidth="1"/>
    <col min="17" max="17" width="13.1640625" bestFit="1" customWidth="1"/>
  </cols>
  <sheetData>
    <row r="1" spans="1:17" x14ac:dyDescent="0.2">
      <c r="A1" t="s">
        <v>0</v>
      </c>
      <c r="B1" t="s">
        <v>1</v>
      </c>
      <c r="C1" t="s">
        <v>12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24</v>
      </c>
    </row>
    <row r="2" spans="1:17" x14ac:dyDescent="0.2">
      <c r="A2" s="4" t="s">
        <v>25</v>
      </c>
      <c r="B2">
        <v>1</v>
      </c>
      <c r="C2" s="4" t="s">
        <v>26</v>
      </c>
      <c r="D2" s="4" t="s">
        <v>27</v>
      </c>
      <c r="E2" s="4" t="s">
        <v>27</v>
      </c>
      <c r="F2" s="4" t="s">
        <v>28</v>
      </c>
      <c r="G2">
        <v>1</v>
      </c>
      <c r="H2">
        <v>1</v>
      </c>
      <c r="I2" s="4" t="s">
        <v>177</v>
      </c>
      <c r="J2" s="4" t="s">
        <v>178</v>
      </c>
      <c r="K2" s="4" t="s">
        <v>179</v>
      </c>
      <c r="L2" s="4" t="s">
        <v>180</v>
      </c>
      <c r="M2" s="4" t="s">
        <v>181</v>
      </c>
      <c r="N2" s="4" t="s">
        <v>182</v>
      </c>
      <c r="O2" s="4" t="s">
        <v>183</v>
      </c>
      <c r="P2">
        <v>250000</v>
      </c>
      <c r="Q2" s="4" t="s">
        <v>30</v>
      </c>
    </row>
    <row r="3" spans="1:17" x14ac:dyDescent="0.2">
      <c r="A3" s="4" t="s">
        <v>31</v>
      </c>
      <c r="B3">
        <v>2</v>
      </c>
      <c r="C3" s="4" t="s">
        <v>26</v>
      </c>
      <c r="D3" s="4" t="s">
        <v>27</v>
      </c>
      <c r="E3" s="4" t="s">
        <v>27</v>
      </c>
      <c r="F3" s="4" t="s">
        <v>28</v>
      </c>
      <c r="G3">
        <v>1</v>
      </c>
      <c r="H3">
        <v>1</v>
      </c>
      <c r="I3" s="4" t="s">
        <v>184</v>
      </c>
      <c r="J3" s="4" t="s">
        <v>185</v>
      </c>
      <c r="K3" s="4" t="s">
        <v>179</v>
      </c>
      <c r="L3" s="4" t="s">
        <v>186</v>
      </c>
      <c r="M3" s="4" t="s">
        <v>187</v>
      </c>
      <c r="N3" s="4" t="s">
        <v>188</v>
      </c>
      <c r="O3" s="4" t="s">
        <v>189</v>
      </c>
      <c r="P3">
        <v>-500000</v>
      </c>
      <c r="Q3" s="4" t="s">
        <v>30</v>
      </c>
    </row>
    <row r="4" spans="1:17" x14ac:dyDescent="0.2">
      <c r="A4" s="4" t="s">
        <v>34</v>
      </c>
      <c r="B4">
        <v>3</v>
      </c>
      <c r="C4" s="4" t="s">
        <v>26</v>
      </c>
      <c r="D4" s="4" t="s">
        <v>27</v>
      </c>
      <c r="E4" s="4" t="s">
        <v>27</v>
      </c>
      <c r="F4" s="4" t="s">
        <v>28</v>
      </c>
      <c r="G4">
        <v>1</v>
      </c>
      <c r="H4">
        <v>1</v>
      </c>
      <c r="I4" s="4" t="s">
        <v>190</v>
      </c>
      <c r="J4" s="4" t="s">
        <v>191</v>
      </c>
      <c r="K4" s="4" t="s">
        <v>179</v>
      </c>
      <c r="L4" s="4" t="s">
        <v>180</v>
      </c>
      <c r="M4" s="4" t="s">
        <v>192</v>
      </c>
      <c r="N4" s="4" t="s">
        <v>182</v>
      </c>
      <c r="O4" s="4" t="s">
        <v>189</v>
      </c>
      <c r="P4">
        <v>-250000</v>
      </c>
      <c r="Q4" s="4" t="s">
        <v>30</v>
      </c>
    </row>
    <row r="5" spans="1:17" x14ac:dyDescent="0.2">
      <c r="A5" s="4" t="s">
        <v>37</v>
      </c>
      <c r="B5">
        <v>4</v>
      </c>
      <c r="C5" s="4" t="s">
        <v>26</v>
      </c>
      <c r="D5" s="4" t="s">
        <v>27</v>
      </c>
      <c r="E5" s="4" t="s">
        <v>27</v>
      </c>
      <c r="F5" s="4" t="s">
        <v>28</v>
      </c>
      <c r="G5">
        <v>1</v>
      </c>
      <c r="H5">
        <v>1</v>
      </c>
      <c r="I5" s="4" t="s">
        <v>190</v>
      </c>
      <c r="J5" s="4" t="s">
        <v>191</v>
      </c>
      <c r="K5" s="4" t="s">
        <v>179</v>
      </c>
      <c r="L5" s="4" t="s">
        <v>180</v>
      </c>
      <c r="M5" s="4" t="s">
        <v>192</v>
      </c>
      <c r="N5" s="4" t="s">
        <v>182</v>
      </c>
      <c r="O5" s="4" t="s">
        <v>183</v>
      </c>
      <c r="P5">
        <v>500000</v>
      </c>
      <c r="Q5" s="4" t="s">
        <v>30</v>
      </c>
    </row>
    <row r="6" spans="1:17" x14ac:dyDescent="0.2">
      <c r="A6" s="4" t="s">
        <v>40</v>
      </c>
      <c r="B6">
        <v>5</v>
      </c>
      <c r="C6" s="4" t="s">
        <v>26</v>
      </c>
      <c r="D6" s="4" t="s">
        <v>27</v>
      </c>
      <c r="E6" s="4" t="s">
        <v>35</v>
      </c>
      <c r="F6" s="4" t="s">
        <v>36</v>
      </c>
      <c r="G6">
        <v>1</v>
      </c>
      <c r="H6">
        <v>3</v>
      </c>
      <c r="I6" s="4" t="s">
        <v>193</v>
      </c>
      <c r="J6" s="4" t="s">
        <v>194</v>
      </c>
      <c r="K6" s="4" t="s">
        <v>179</v>
      </c>
      <c r="L6" s="4" t="s">
        <v>186</v>
      </c>
      <c r="M6" s="4" t="s">
        <v>195</v>
      </c>
      <c r="N6" s="4" t="s">
        <v>196</v>
      </c>
      <c r="O6" s="4" t="s">
        <v>189</v>
      </c>
      <c r="P6">
        <v>-165409.28</v>
      </c>
      <c r="Q6" s="4" t="s">
        <v>30</v>
      </c>
    </row>
    <row r="7" spans="1:17" x14ac:dyDescent="0.2">
      <c r="A7" s="4" t="s">
        <v>43</v>
      </c>
      <c r="B7">
        <v>6</v>
      </c>
      <c r="C7" s="4" t="s">
        <v>26</v>
      </c>
      <c r="D7" s="4" t="s">
        <v>27</v>
      </c>
      <c r="E7" s="4" t="s">
        <v>35</v>
      </c>
      <c r="F7" s="4" t="s">
        <v>36</v>
      </c>
      <c r="G7">
        <v>1</v>
      </c>
      <c r="H7">
        <v>3</v>
      </c>
      <c r="I7" s="4" t="s">
        <v>197</v>
      </c>
      <c r="J7" s="4" t="s">
        <v>198</v>
      </c>
      <c r="K7" s="4" t="s">
        <v>179</v>
      </c>
      <c r="L7" s="4" t="s">
        <v>186</v>
      </c>
      <c r="M7" s="4" t="s">
        <v>195</v>
      </c>
      <c r="N7" s="4" t="s">
        <v>196</v>
      </c>
      <c r="O7" s="4" t="s">
        <v>189</v>
      </c>
      <c r="P7">
        <v>-164409.28</v>
      </c>
      <c r="Q7" s="4" t="s">
        <v>30</v>
      </c>
    </row>
    <row r="8" spans="1:17" x14ac:dyDescent="0.2">
      <c r="A8" s="4" t="s">
        <v>46</v>
      </c>
      <c r="B8">
        <v>7</v>
      </c>
      <c r="C8" s="4" t="s">
        <v>26</v>
      </c>
      <c r="D8" s="4" t="s">
        <v>27</v>
      </c>
      <c r="E8" s="4" t="s">
        <v>35</v>
      </c>
      <c r="F8" s="4" t="s">
        <v>36</v>
      </c>
      <c r="G8">
        <v>1</v>
      </c>
      <c r="H8">
        <v>3</v>
      </c>
      <c r="I8" s="4" t="s">
        <v>197</v>
      </c>
      <c r="J8" s="4" t="s">
        <v>198</v>
      </c>
      <c r="K8" s="4" t="s">
        <v>179</v>
      </c>
      <c r="L8" s="4" t="s">
        <v>186</v>
      </c>
      <c r="M8" s="4" t="s">
        <v>195</v>
      </c>
      <c r="N8" s="4" t="s">
        <v>196</v>
      </c>
      <c r="O8" s="4" t="s">
        <v>183</v>
      </c>
      <c r="P8">
        <v>164409.28</v>
      </c>
      <c r="Q8" s="4" t="s">
        <v>30</v>
      </c>
    </row>
    <row r="9" spans="1:17" x14ac:dyDescent="0.2">
      <c r="A9" s="4" t="s">
        <v>49</v>
      </c>
      <c r="B9">
        <v>8</v>
      </c>
      <c r="C9" s="4" t="s">
        <v>26</v>
      </c>
      <c r="D9" s="4" t="s">
        <v>27</v>
      </c>
      <c r="E9" s="4" t="s">
        <v>35</v>
      </c>
      <c r="F9" s="4" t="s">
        <v>36</v>
      </c>
      <c r="G9">
        <v>1</v>
      </c>
      <c r="H9">
        <v>3</v>
      </c>
      <c r="I9" s="4" t="s">
        <v>199</v>
      </c>
      <c r="J9" s="4" t="s">
        <v>200</v>
      </c>
      <c r="K9" s="4" t="s">
        <v>179</v>
      </c>
      <c r="L9" s="4" t="s">
        <v>186</v>
      </c>
      <c r="M9" s="4" t="s">
        <v>195</v>
      </c>
      <c r="N9" s="4" t="s">
        <v>196</v>
      </c>
      <c r="O9" s="4" t="s">
        <v>189</v>
      </c>
      <c r="P9">
        <v>-1000</v>
      </c>
      <c r="Q9" s="4" t="s">
        <v>30</v>
      </c>
    </row>
    <row r="10" spans="1:17" x14ac:dyDescent="0.2">
      <c r="A10" s="4" t="s">
        <v>52</v>
      </c>
      <c r="B10">
        <v>9</v>
      </c>
      <c r="C10" s="4" t="s">
        <v>26</v>
      </c>
      <c r="D10" s="4" t="s">
        <v>27</v>
      </c>
      <c r="E10" s="4" t="s">
        <v>35</v>
      </c>
      <c r="F10" s="4" t="s">
        <v>36</v>
      </c>
      <c r="G10">
        <v>1</v>
      </c>
      <c r="H10">
        <v>3</v>
      </c>
      <c r="I10" s="4" t="s">
        <v>199</v>
      </c>
      <c r="J10" s="4" t="s">
        <v>200</v>
      </c>
      <c r="K10" s="4" t="s">
        <v>179</v>
      </c>
      <c r="L10" s="4" t="s">
        <v>186</v>
      </c>
      <c r="M10" s="4" t="s">
        <v>195</v>
      </c>
      <c r="N10" s="4" t="s">
        <v>196</v>
      </c>
      <c r="O10" s="4" t="s">
        <v>183</v>
      </c>
      <c r="P10">
        <v>1000</v>
      </c>
      <c r="Q10" s="4" t="s">
        <v>30</v>
      </c>
    </row>
    <row r="11" spans="1:17" x14ac:dyDescent="0.2">
      <c r="A11" s="4" t="s">
        <v>55</v>
      </c>
      <c r="B11">
        <v>10</v>
      </c>
      <c r="C11" s="4" t="s">
        <v>26</v>
      </c>
      <c r="D11" s="4" t="s">
        <v>27</v>
      </c>
      <c r="E11" s="4" t="s">
        <v>35</v>
      </c>
      <c r="F11" s="4" t="s">
        <v>36</v>
      </c>
      <c r="G11">
        <v>1</v>
      </c>
      <c r="H11">
        <v>3</v>
      </c>
      <c r="I11" s="4" t="s">
        <v>201</v>
      </c>
      <c r="J11" s="4" t="s">
        <v>202</v>
      </c>
      <c r="K11" s="4" t="s">
        <v>179</v>
      </c>
      <c r="L11" s="4" t="s">
        <v>180</v>
      </c>
      <c r="M11" s="4" t="s">
        <v>192</v>
      </c>
      <c r="N11" s="4" t="s">
        <v>182</v>
      </c>
      <c r="O11" s="4" t="s">
        <v>183</v>
      </c>
      <c r="P11">
        <v>165409.28</v>
      </c>
      <c r="Q11" s="4" t="s">
        <v>30</v>
      </c>
    </row>
    <row r="12" spans="1:17" x14ac:dyDescent="0.2">
      <c r="A12" s="4" t="s">
        <v>58</v>
      </c>
      <c r="B12">
        <v>11</v>
      </c>
      <c r="C12" s="4" t="s">
        <v>26</v>
      </c>
      <c r="D12" s="4" t="s">
        <v>27</v>
      </c>
      <c r="E12" s="4" t="s">
        <v>38</v>
      </c>
      <c r="F12" s="4" t="s">
        <v>39</v>
      </c>
      <c r="G12">
        <v>1</v>
      </c>
      <c r="H12">
        <v>4</v>
      </c>
      <c r="I12" s="4" t="s">
        <v>190</v>
      </c>
      <c r="J12" s="4" t="s">
        <v>191</v>
      </c>
      <c r="K12" s="4" t="s">
        <v>179</v>
      </c>
      <c r="L12" s="4" t="s">
        <v>180</v>
      </c>
      <c r="M12" s="4" t="s">
        <v>192</v>
      </c>
      <c r="N12" s="4" t="s">
        <v>182</v>
      </c>
      <c r="O12" s="4" t="s">
        <v>189</v>
      </c>
      <c r="P12">
        <v>-300</v>
      </c>
      <c r="Q12" s="4" t="s">
        <v>30</v>
      </c>
    </row>
    <row r="13" spans="1:17" x14ac:dyDescent="0.2">
      <c r="A13" s="4" t="s">
        <v>60</v>
      </c>
      <c r="B13">
        <v>12</v>
      </c>
      <c r="C13" s="4" t="s">
        <v>26</v>
      </c>
      <c r="D13" s="4" t="s">
        <v>27</v>
      </c>
      <c r="E13" s="4" t="s">
        <v>38</v>
      </c>
      <c r="F13" s="4" t="s">
        <v>39</v>
      </c>
      <c r="G13">
        <v>1</v>
      </c>
      <c r="H13">
        <v>4</v>
      </c>
      <c r="I13" s="4" t="s">
        <v>203</v>
      </c>
      <c r="J13" s="4" t="s">
        <v>204</v>
      </c>
      <c r="K13" s="4" t="s">
        <v>205</v>
      </c>
      <c r="L13" s="4" t="s">
        <v>206</v>
      </c>
      <c r="M13" s="4" t="s">
        <v>182</v>
      </c>
      <c r="N13" s="4" t="s">
        <v>182</v>
      </c>
      <c r="O13" s="4" t="s">
        <v>183</v>
      </c>
      <c r="P13">
        <v>300</v>
      </c>
      <c r="Q13" s="4" t="s">
        <v>30</v>
      </c>
    </row>
    <row r="14" spans="1:17" x14ac:dyDescent="0.2">
      <c r="A14" s="4" t="s">
        <v>62</v>
      </c>
      <c r="B14">
        <v>13</v>
      </c>
      <c r="C14" s="4" t="s">
        <v>26</v>
      </c>
      <c r="D14" s="4" t="s">
        <v>27</v>
      </c>
      <c r="E14" s="4" t="s">
        <v>41</v>
      </c>
      <c r="F14" s="4" t="s">
        <v>42</v>
      </c>
      <c r="G14">
        <v>1</v>
      </c>
      <c r="H14">
        <v>5</v>
      </c>
      <c r="I14" s="4" t="s">
        <v>207</v>
      </c>
      <c r="J14" s="4" t="s">
        <v>208</v>
      </c>
      <c r="K14" s="4" t="s">
        <v>179</v>
      </c>
      <c r="L14" s="4" t="s">
        <v>180</v>
      </c>
      <c r="M14" s="4" t="s">
        <v>192</v>
      </c>
      <c r="N14" s="4" t="s">
        <v>182</v>
      </c>
      <c r="O14" s="4" t="s">
        <v>183</v>
      </c>
      <c r="P14">
        <v>7873.92</v>
      </c>
      <c r="Q14" s="4" t="s">
        <v>30</v>
      </c>
    </row>
    <row r="15" spans="1:17" x14ac:dyDescent="0.2">
      <c r="A15" s="4" t="s">
        <v>64</v>
      </c>
      <c r="B15">
        <v>14</v>
      </c>
      <c r="C15" s="4" t="s">
        <v>26</v>
      </c>
      <c r="D15" s="4" t="s">
        <v>27</v>
      </c>
      <c r="E15" s="4" t="s">
        <v>41</v>
      </c>
      <c r="F15" s="4" t="s">
        <v>42</v>
      </c>
      <c r="G15">
        <v>1</v>
      </c>
      <c r="H15">
        <v>5</v>
      </c>
      <c r="I15" s="4" t="s">
        <v>209</v>
      </c>
      <c r="J15" s="4" t="s">
        <v>210</v>
      </c>
      <c r="K15" s="4" t="s">
        <v>205</v>
      </c>
      <c r="L15" s="4" t="s">
        <v>211</v>
      </c>
      <c r="M15" s="4" t="s">
        <v>182</v>
      </c>
      <c r="N15" s="4" t="s">
        <v>182</v>
      </c>
      <c r="O15" s="4" t="s">
        <v>183</v>
      </c>
      <c r="P15">
        <v>6219.86</v>
      </c>
      <c r="Q15" s="4" t="s">
        <v>30</v>
      </c>
    </row>
    <row r="16" spans="1:17" x14ac:dyDescent="0.2">
      <c r="A16" s="4" t="s">
        <v>66</v>
      </c>
      <c r="B16">
        <v>15</v>
      </c>
      <c r="C16" s="4" t="s">
        <v>26</v>
      </c>
      <c r="D16" s="4" t="s">
        <v>27</v>
      </c>
      <c r="E16" s="4" t="s">
        <v>41</v>
      </c>
      <c r="F16" s="4" t="s">
        <v>42</v>
      </c>
      <c r="G16">
        <v>1</v>
      </c>
      <c r="H16">
        <v>5</v>
      </c>
      <c r="I16" s="4" t="s">
        <v>201</v>
      </c>
      <c r="J16" s="4" t="s">
        <v>202</v>
      </c>
      <c r="K16" s="4" t="s">
        <v>179</v>
      </c>
      <c r="L16" s="4" t="s">
        <v>180</v>
      </c>
      <c r="M16" s="4" t="s">
        <v>192</v>
      </c>
      <c r="N16" s="4" t="s">
        <v>182</v>
      </c>
      <c r="O16" s="4" t="s">
        <v>189</v>
      </c>
      <c r="P16">
        <v>-6219.86</v>
      </c>
      <c r="Q16" s="4" t="s">
        <v>30</v>
      </c>
    </row>
    <row r="17" spans="1:17" x14ac:dyDescent="0.2">
      <c r="A17" s="4" t="s">
        <v>68</v>
      </c>
      <c r="B17">
        <v>16</v>
      </c>
      <c r="C17" s="4" t="s">
        <v>26</v>
      </c>
      <c r="D17" s="4" t="s">
        <v>27</v>
      </c>
      <c r="E17" s="4" t="s">
        <v>41</v>
      </c>
      <c r="F17" s="4" t="s">
        <v>42</v>
      </c>
      <c r="G17">
        <v>1</v>
      </c>
      <c r="H17">
        <v>5</v>
      </c>
      <c r="I17" s="4" t="s">
        <v>212</v>
      </c>
      <c r="J17" s="4" t="s">
        <v>213</v>
      </c>
      <c r="K17" s="4" t="s">
        <v>205</v>
      </c>
      <c r="L17" s="4" t="s">
        <v>214</v>
      </c>
      <c r="M17" s="4" t="s">
        <v>182</v>
      </c>
      <c r="N17" s="4" t="s">
        <v>182</v>
      </c>
      <c r="O17" s="4" t="s">
        <v>189</v>
      </c>
      <c r="P17">
        <v>-7873.92</v>
      </c>
      <c r="Q17" s="4" t="s">
        <v>30</v>
      </c>
    </row>
    <row r="18" spans="1:17" x14ac:dyDescent="0.2">
      <c r="A18" s="4" t="s">
        <v>70</v>
      </c>
      <c r="B18">
        <v>17</v>
      </c>
      <c r="C18" s="4" t="s">
        <v>26</v>
      </c>
      <c r="D18" s="4" t="s">
        <v>27</v>
      </c>
      <c r="E18" s="4" t="s">
        <v>44</v>
      </c>
      <c r="F18" s="4" t="s">
        <v>45</v>
      </c>
      <c r="G18">
        <v>2</v>
      </c>
      <c r="H18">
        <v>6</v>
      </c>
      <c r="I18" s="4" t="s">
        <v>190</v>
      </c>
      <c r="J18" s="4" t="s">
        <v>191</v>
      </c>
      <c r="K18" s="4" t="s">
        <v>179</v>
      </c>
      <c r="L18" s="4" t="s">
        <v>180</v>
      </c>
      <c r="M18" s="4" t="s">
        <v>192</v>
      </c>
      <c r="N18" s="4" t="s">
        <v>182</v>
      </c>
      <c r="O18" s="4" t="s">
        <v>189</v>
      </c>
      <c r="P18">
        <v>-300</v>
      </c>
      <c r="Q18" s="4" t="s">
        <v>30</v>
      </c>
    </row>
    <row r="19" spans="1:17" x14ac:dyDescent="0.2">
      <c r="A19" s="4" t="s">
        <v>72</v>
      </c>
      <c r="B19">
        <v>18</v>
      </c>
      <c r="C19" s="4" t="s">
        <v>26</v>
      </c>
      <c r="D19" s="4" t="s">
        <v>27</v>
      </c>
      <c r="E19" s="4" t="s">
        <v>44</v>
      </c>
      <c r="F19" s="4" t="s">
        <v>45</v>
      </c>
      <c r="G19">
        <v>2</v>
      </c>
      <c r="H19">
        <v>6</v>
      </c>
      <c r="I19" s="4" t="s">
        <v>207</v>
      </c>
      <c r="J19" s="4" t="s">
        <v>208</v>
      </c>
      <c r="K19" s="4" t="s">
        <v>179</v>
      </c>
      <c r="L19" s="4" t="s">
        <v>180</v>
      </c>
      <c r="M19" s="4" t="s">
        <v>192</v>
      </c>
      <c r="N19" s="4" t="s">
        <v>182</v>
      </c>
      <c r="O19" s="4" t="s">
        <v>183</v>
      </c>
      <c r="P19">
        <v>7222.44</v>
      </c>
      <c r="Q19" s="4" t="s">
        <v>30</v>
      </c>
    </row>
    <row r="20" spans="1:17" x14ac:dyDescent="0.2">
      <c r="A20" s="4" t="s">
        <v>74</v>
      </c>
      <c r="B20">
        <v>19</v>
      </c>
      <c r="C20" s="4" t="s">
        <v>26</v>
      </c>
      <c r="D20" s="4" t="s">
        <v>27</v>
      </c>
      <c r="E20" s="4" t="s">
        <v>44</v>
      </c>
      <c r="F20" s="4" t="s">
        <v>45</v>
      </c>
      <c r="G20">
        <v>2</v>
      </c>
      <c r="H20">
        <v>6</v>
      </c>
      <c r="I20" s="4" t="s">
        <v>193</v>
      </c>
      <c r="J20" s="4" t="s">
        <v>194</v>
      </c>
      <c r="K20" s="4" t="s">
        <v>179</v>
      </c>
      <c r="L20" s="4" t="s">
        <v>186</v>
      </c>
      <c r="M20" s="4" t="s">
        <v>195</v>
      </c>
      <c r="N20" s="4" t="s">
        <v>196</v>
      </c>
      <c r="O20" s="4" t="s">
        <v>189</v>
      </c>
      <c r="P20">
        <v>-1306.58</v>
      </c>
      <c r="Q20" s="4" t="s">
        <v>30</v>
      </c>
    </row>
    <row r="21" spans="1:17" x14ac:dyDescent="0.2">
      <c r="A21" s="4" t="s">
        <v>76</v>
      </c>
      <c r="B21">
        <v>20</v>
      </c>
      <c r="C21" s="4" t="s">
        <v>26</v>
      </c>
      <c r="D21" s="4" t="s">
        <v>27</v>
      </c>
      <c r="E21" s="4" t="s">
        <v>44</v>
      </c>
      <c r="F21" s="4" t="s">
        <v>45</v>
      </c>
      <c r="G21">
        <v>2</v>
      </c>
      <c r="H21">
        <v>6</v>
      </c>
      <c r="I21" s="4" t="s">
        <v>197</v>
      </c>
      <c r="J21" s="4" t="s">
        <v>198</v>
      </c>
      <c r="K21" s="4" t="s">
        <v>179</v>
      </c>
      <c r="L21" s="4" t="s">
        <v>186</v>
      </c>
      <c r="M21" s="4" t="s">
        <v>195</v>
      </c>
      <c r="N21" s="4" t="s">
        <v>196</v>
      </c>
      <c r="O21" s="4" t="s">
        <v>189</v>
      </c>
      <c r="P21">
        <v>-306.58</v>
      </c>
      <c r="Q21" s="4" t="s">
        <v>30</v>
      </c>
    </row>
    <row r="22" spans="1:17" x14ac:dyDescent="0.2">
      <c r="A22" s="4" t="s">
        <v>78</v>
      </c>
      <c r="B22">
        <v>21</v>
      </c>
      <c r="C22" s="4" t="s">
        <v>26</v>
      </c>
      <c r="D22" s="4" t="s">
        <v>27</v>
      </c>
      <c r="E22" s="4" t="s">
        <v>44</v>
      </c>
      <c r="F22" s="4" t="s">
        <v>45</v>
      </c>
      <c r="G22">
        <v>2</v>
      </c>
      <c r="H22">
        <v>6</v>
      </c>
      <c r="I22" s="4" t="s">
        <v>197</v>
      </c>
      <c r="J22" s="4" t="s">
        <v>198</v>
      </c>
      <c r="K22" s="4" t="s">
        <v>179</v>
      </c>
      <c r="L22" s="4" t="s">
        <v>186</v>
      </c>
      <c r="M22" s="4" t="s">
        <v>195</v>
      </c>
      <c r="N22" s="4" t="s">
        <v>196</v>
      </c>
      <c r="O22" s="4" t="s">
        <v>183</v>
      </c>
      <c r="P22">
        <v>306.58</v>
      </c>
      <c r="Q22" s="4" t="s">
        <v>30</v>
      </c>
    </row>
    <row r="23" spans="1:17" x14ac:dyDescent="0.2">
      <c r="A23" s="4" t="s">
        <v>80</v>
      </c>
      <c r="B23">
        <v>22</v>
      </c>
      <c r="C23" s="4" t="s">
        <v>26</v>
      </c>
      <c r="D23" s="4" t="s">
        <v>27</v>
      </c>
      <c r="E23" s="4" t="s">
        <v>44</v>
      </c>
      <c r="F23" s="4" t="s">
        <v>45</v>
      </c>
      <c r="G23">
        <v>2</v>
      </c>
      <c r="H23">
        <v>6</v>
      </c>
      <c r="I23" s="4" t="s">
        <v>199</v>
      </c>
      <c r="J23" s="4" t="s">
        <v>200</v>
      </c>
      <c r="K23" s="4" t="s">
        <v>179</v>
      </c>
      <c r="L23" s="4" t="s">
        <v>186</v>
      </c>
      <c r="M23" s="4" t="s">
        <v>195</v>
      </c>
      <c r="N23" s="4" t="s">
        <v>196</v>
      </c>
      <c r="O23" s="4" t="s">
        <v>189</v>
      </c>
      <c r="P23">
        <v>-1000</v>
      </c>
      <c r="Q23" s="4" t="s">
        <v>30</v>
      </c>
    </row>
    <row r="24" spans="1:17" x14ac:dyDescent="0.2">
      <c r="A24" s="4" t="s">
        <v>82</v>
      </c>
      <c r="B24">
        <v>23</v>
      </c>
      <c r="C24" s="4" t="s">
        <v>26</v>
      </c>
      <c r="D24" s="4" t="s">
        <v>27</v>
      </c>
      <c r="E24" s="4" t="s">
        <v>44</v>
      </c>
      <c r="F24" s="4" t="s">
        <v>45</v>
      </c>
      <c r="G24">
        <v>2</v>
      </c>
      <c r="H24">
        <v>6</v>
      </c>
      <c r="I24" s="4" t="s">
        <v>199</v>
      </c>
      <c r="J24" s="4" t="s">
        <v>200</v>
      </c>
      <c r="K24" s="4" t="s">
        <v>179</v>
      </c>
      <c r="L24" s="4" t="s">
        <v>186</v>
      </c>
      <c r="M24" s="4" t="s">
        <v>195</v>
      </c>
      <c r="N24" s="4" t="s">
        <v>196</v>
      </c>
      <c r="O24" s="4" t="s">
        <v>183</v>
      </c>
      <c r="P24">
        <v>1000</v>
      </c>
      <c r="Q24" s="4" t="s">
        <v>30</v>
      </c>
    </row>
    <row r="25" spans="1:17" x14ac:dyDescent="0.2">
      <c r="A25" s="4" t="s">
        <v>84</v>
      </c>
      <c r="B25">
        <v>24</v>
      </c>
      <c r="C25" s="4" t="s">
        <v>26</v>
      </c>
      <c r="D25" s="4" t="s">
        <v>27</v>
      </c>
      <c r="E25" s="4" t="s">
        <v>44</v>
      </c>
      <c r="F25" s="4" t="s">
        <v>45</v>
      </c>
      <c r="G25">
        <v>2</v>
      </c>
      <c r="H25">
        <v>6</v>
      </c>
      <c r="I25" s="4" t="s">
        <v>209</v>
      </c>
      <c r="J25" s="4" t="s">
        <v>210</v>
      </c>
      <c r="K25" s="4" t="s">
        <v>205</v>
      </c>
      <c r="L25" s="4" t="s">
        <v>211</v>
      </c>
      <c r="M25" s="4" t="s">
        <v>182</v>
      </c>
      <c r="N25" s="4" t="s">
        <v>182</v>
      </c>
      <c r="O25" s="4" t="s">
        <v>183</v>
      </c>
      <c r="P25">
        <v>5749.07</v>
      </c>
      <c r="Q25" s="4" t="s">
        <v>30</v>
      </c>
    </row>
    <row r="26" spans="1:17" x14ac:dyDescent="0.2">
      <c r="A26" s="4" t="s">
        <v>86</v>
      </c>
      <c r="B26">
        <v>25</v>
      </c>
      <c r="C26" s="4" t="s">
        <v>26</v>
      </c>
      <c r="D26" s="4" t="s">
        <v>27</v>
      </c>
      <c r="E26" s="4" t="s">
        <v>44</v>
      </c>
      <c r="F26" s="4" t="s">
        <v>45</v>
      </c>
      <c r="G26">
        <v>2</v>
      </c>
      <c r="H26">
        <v>6</v>
      </c>
      <c r="I26" s="4" t="s">
        <v>203</v>
      </c>
      <c r="J26" s="4" t="s">
        <v>204</v>
      </c>
      <c r="K26" s="4" t="s">
        <v>205</v>
      </c>
      <c r="L26" s="4" t="s">
        <v>206</v>
      </c>
      <c r="M26" s="4" t="s">
        <v>182</v>
      </c>
      <c r="N26" s="4" t="s">
        <v>182</v>
      </c>
      <c r="O26" s="4" t="s">
        <v>183</v>
      </c>
      <c r="P26">
        <v>300</v>
      </c>
      <c r="Q26" s="4" t="s">
        <v>30</v>
      </c>
    </row>
    <row r="27" spans="1:17" x14ac:dyDescent="0.2">
      <c r="A27" s="4" t="s">
        <v>88</v>
      </c>
      <c r="B27">
        <v>26</v>
      </c>
      <c r="C27" s="4" t="s">
        <v>26</v>
      </c>
      <c r="D27" s="4" t="s">
        <v>27</v>
      </c>
      <c r="E27" s="4" t="s">
        <v>44</v>
      </c>
      <c r="F27" s="4" t="s">
        <v>45</v>
      </c>
      <c r="G27">
        <v>2</v>
      </c>
      <c r="H27">
        <v>6</v>
      </c>
      <c r="I27" s="4" t="s">
        <v>201</v>
      </c>
      <c r="J27" s="4" t="s">
        <v>202</v>
      </c>
      <c r="K27" s="4" t="s">
        <v>179</v>
      </c>
      <c r="L27" s="4" t="s">
        <v>180</v>
      </c>
      <c r="M27" s="4" t="s">
        <v>192</v>
      </c>
      <c r="N27" s="4" t="s">
        <v>182</v>
      </c>
      <c r="O27" s="4" t="s">
        <v>189</v>
      </c>
      <c r="P27">
        <v>-5749.08</v>
      </c>
      <c r="Q27" s="4" t="s">
        <v>30</v>
      </c>
    </row>
    <row r="28" spans="1:17" x14ac:dyDescent="0.2">
      <c r="A28" s="4" t="s">
        <v>90</v>
      </c>
      <c r="B28">
        <v>27</v>
      </c>
      <c r="C28" s="4" t="s">
        <v>26</v>
      </c>
      <c r="D28" s="4" t="s">
        <v>27</v>
      </c>
      <c r="E28" s="4" t="s">
        <v>44</v>
      </c>
      <c r="F28" s="4" t="s">
        <v>45</v>
      </c>
      <c r="G28">
        <v>2</v>
      </c>
      <c r="H28">
        <v>6</v>
      </c>
      <c r="I28" s="4" t="s">
        <v>201</v>
      </c>
      <c r="J28" s="4" t="s">
        <v>202</v>
      </c>
      <c r="K28" s="4" t="s">
        <v>179</v>
      </c>
      <c r="L28" s="4" t="s">
        <v>180</v>
      </c>
      <c r="M28" s="4" t="s">
        <v>192</v>
      </c>
      <c r="N28" s="4" t="s">
        <v>182</v>
      </c>
      <c r="O28" s="4" t="s">
        <v>183</v>
      </c>
      <c r="P28">
        <v>1306.5899999999999</v>
      </c>
      <c r="Q28" s="4" t="s">
        <v>30</v>
      </c>
    </row>
    <row r="29" spans="1:17" x14ac:dyDescent="0.2">
      <c r="A29" s="4" t="s">
        <v>92</v>
      </c>
      <c r="B29">
        <v>28</v>
      </c>
      <c r="C29" s="4" t="s">
        <v>26</v>
      </c>
      <c r="D29" s="4" t="s">
        <v>27</v>
      </c>
      <c r="E29" s="4" t="s">
        <v>44</v>
      </c>
      <c r="F29" s="4" t="s">
        <v>45</v>
      </c>
      <c r="G29">
        <v>2</v>
      </c>
      <c r="H29">
        <v>6</v>
      </c>
      <c r="I29" s="4" t="s">
        <v>212</v>
      </c>
      <c r="J29" s="4" t="s">
        <v>213</v>
      </c>
      <c r="K29" s="4" t="s">
        <v>205</v>
      </c>
      <c r="L29" s="4" t="s">
        <v>214</v>
      </c>
      <c r="M29" s="4" t="s">
        <v>182</v>
      </c>
      <c r="N29" s="4" t="s">
        <v>182</v>
      </c>
      <c r="O29" s="4" t="s">
        <v>189</v>
      </c>
      <c r="P29">
        <v>-7222.44</v>
      </c>
      <c r="Q29" s="4" t="s">
        <v>30</v>
      </c>
    </row>
    <row r="30" spans="1:17" x14ac:dyDescent="0.2">
      <c r="A30" s="4" t="s">
        <v>94</v>
      </c>
      <c r="B30">
        <v>29</v>
      </c>
      <c r="C30" s="4" t="s">
        <v>26</v>
      </c>
      <c r="D30" s="4" t="s">
        <v>27</v>
      </c>
      <c r="E30" s="4" t="s">
        <v>47</v>
      </c>
      <c r="F30" s="4" t="s">
        <v>48</v>
      </c>
      <c r="G30">
        <v>2</v>
      </c>
      <c r="H30">
        <v>7</v>
      </c>
      <c r="I30" s="4" t="s">
        <v>190</v>
      </c>
      <c r="J30" s="4" t="s">
        <v>191</v>
      </c>
      <c r="K30" s="4" t="s">
        <v>179</v>
      </c>
      <c r="L30" s="4" t="s">
        <v>180</v>
      </c>
      <c r="M30" s="4" t="s">
        <v>192</v>
      </c>
      <c r="N30" s="4" t="s">
        <v>182</v>
      </c>
      <c r="O30" s="4" t="s">
        <v>189</v>
      </c>
      <c r="P30">
        <v>-300</v>
      </c>
      <c r="Q30" s="4" t="s">
        <v>30</v>
      </c>
    </row>
    <row r="31" spans="1:17" x14ac:dyDescent="0.2">
      <c r="A31" s="4" t="s">
        <v>96</v>
      </c>
      <c r="B31">
        <v>30</v>
      </c>
      <c r="C31" s="4" t="s">
        <v>26</v>
      </c>
      <c r="D31" s="4" t="s">
        <v>27</v>
      </c>
      <c r="E31" s="4" t="s">
        <v>47</v>
      </c>
      <c r="F31" s="4" t="s">
        <v>48</v>
      </c>
      <c r="G31">
        <v>2</v>
      </c>
      <c r="H31">
        <v>7</v>
      </c>
      <c r="I31" s="4" t="s">
        <v>207</v>
      </c>
      <c r="J31" s="4" t="s">
        <v>208</v>
      </c>
      <c r="K31" s="4" t="s">
        <v>179</v>
      </c>
      <c r="L31" s="4" t="s">
        <v>180</v>
      </c>
      <c r="M31" s="4" t="s">
        <v>192</v>
      </c>
      <c r="N31" s="4" t="s">
        <v>182</v>
      </c>
      <c r="O31" s="4" t="s">
        <v>183</v>
      </c>
      <c r="P31">
        <v>9611.23</v>
      </c>
      <c r="Q31" s="4" t="s">
        <v>30</v>
      </c>
    </row>
    <row r="32" spans="1:17" x14ac:dyDescent="0.2">
      <c r="A32" s="4" t="s">
        <v>215</v>
      </c>
      <c r="B32">
        <v>31</v>
      </c>
      <c r="C32" s="4" t="s">
        <v>26</v>
      </c>
      <c r="D32" s="4" t="s">
        <v>27</v>
      </c>
      <c r="E32" s="4" t="s">
        <v>47</v>
      </c>
      <c r="F32" s="4" t="s">
        <v>48</v>
      </c>
      <c r="G32">
        <v>2</v>
      </c>
      <c r="H32">
        <v>7</v>
      </c>
      <c r="I32" s="4" t="s">
        <v>193</v>
      </c>
      <c r="J32" s="4" t="s">
        <v>194</v>
      </c>
      <c r="K32" s="4" t="s">
        <v>179</v>
      </c>
      <c r="L32" s="4" t="s">
        <v>186</v>
      </c>
      <c r="M32" s="4" t="s">
        <v>195</v>
      </c>
      <c r="N32" s="4" t="s">
        <v>196</v>
      </c>
      <c r="O32" s="4" t="s">
        <v>189</v>
      </c>
      <c r="P32">
        <v>-7182.25</v>
      </c>
      <c r="Q32" s="4" t="s">
        <v>30</v>
      </c>
    </row>
    <row r="33" spans="1:17" x14ac:dyDescent="0.2">
      <c r="A33" s="4" t="s">
        <v>216</v>
      </c>
      <c r="B33">
        <v>32</v>
      </c>
      <c r="C33" s="4" t="s">
        <v>26</v>
      </c>
      <c r="D33" s="4" t="s">
        <v>27</v>
      </c>
      <c r="E33" s="4" t="s">
        <v>47</v>
      </c>
      <c r="F33" s="4" t="s">
        <v>48</v>
      </c>
      <c r="G33">
        <v>2</v>
      </c>
      <c r="H33">
        <v>7</v>
      </c>
      <c r="I33" s="4" t="s">
        <v>197</v>
      </c>
      <c r="J33" s="4" t="s">
        <v>198</v>
      </c>
      <c r="K33" s="4" t="s">
        <v>179</v>
      </c>
      <c r="L33" s="4" t="s">
        <v>186</v>
      </c>
      <c r="M33" s="4" t="s">
        <v>195</v>
      </c>
      <c r="N33" s="4" t="s">
        <v>196</v>
      </c>
      <c r="O33" s="4" t="s">
        <v>189</v>
      </c>
      <c r="P33">
        <v>-6182.25</v>
      </c>
      <c r="Q33" s="4" t="s">
        <v>30</v>
      </c>
    </row>
    <row r="34" spans="1:17" x14ac:dyDescent="0.2">
      <c r="A34" s="4" t="s">
        <v>217</v>
      </c>
      <c r="B34">
        <v>33</v>
      </c>
      <c r="C34" s="4" t="s">
        <v>26</v>
      </c>
      <c r="D34" s="4" t="s">
        <v>27</v>
      </c>
      <c r="E34" s="4" t="s">
        <v>47</v>
      </c>
      <c r="F34" s="4" t="s">
        <v>48</v>
      </c>
      <c r="G34">
        <v>2</v>
      </c>
      <c r="H34">
        <v>7</v>
      </c>
      <c r="I34" s="4" t="s">
        <v>197</v>
      </c>
      <c r="J34" s="4" t="s">
        <v>198</v>
      </c>
      <c r="K34" s="4" t="s">
        <v>179</v>
      </c>
      <c r="L34" s="4" t="s">
        <v>186</v>
      </c>
      <c r="M34" s="4" t="s">
        <v>195</v>
      </c>
      <c r="N34" s="4" t="s">
        <v>196</v>
      </c>
      <c r="O34" s="4" t="s">
        <v>183</v>
      </c>
      <c r="P34">
        <v>6182.25</v>
      </c>
      <c r="Q34" s="4" t="s">
        <v>30</v>
      </c>
    </row>
    <row r="35" spans="1:17" x14ac:dyDescent="0.2">
      <c r="A35" s="4" t="s">
        <v>218</v>
      </c>
      <c r="B35">
        <v>34</v>
      </c>
      <c r="C35" s="4" t="s">
        <v>26</v>
      </c>
      <c r="D35" s="4" t="s">
        <v>27</v>
      </c>
      <c r="E35" s="4" t="s">
        <v>47</v>
      </c>
      <c r="F35" s="4" t="s">
        <v>48</v>
      </c>
      <c r="G35">
        <v>2</v>
      </c>
      <c r="H35">
        <v>7</v>
      </c>
      <c r="I35" s="4" t="s">
        <v>199</v>
      </c>
      <c r="J35" s="4" t="s">
        <v>200</v>
      </c>
      <c r="K35" s="4" t="s">
        <v>179</v>
      </c>
      <c r="L35" s="4" t="s">
        <v>186</v>
      </c>
      <c r="M35" s="4" t="s">
        <v>195</v>
      </c>
      <c r="N35" s="4" t="s">
        <v>196</v>
      </c>
      <c r="O35" s="4" t="s">
        <v>189</v>
      </c>
      <c r="P35">
        <v>-1000</v>
      </c>
      <c r="Q35" s="4" t="s">
        <v>30</v>
      </c>
    </row>
    <row r="36" spans="1:17" x14ac:dyDescent="0.2">
      <c r="A36" s="4" t="s">
        <v>219</v>
      </c>
      <c r="B36">
        <v>35</v>
      </c>
      <c r="C36" s="4" t="s">
        <v>26</v>
      </c>
      <c r="D36" s="4" t="s">
        <v>27</v>
      </c>
      <c r="E36" s="4" t="s">
        <v>47</v>
      </c>
      <c r="F36" s="4" t="s">
        <v>48</v>
      </c>
      <c r="G36">
        <v>2</v>
      </c>
      <c r="H36">
        <v>7</v>
      </c>
      <c r="I36" s="4" t="s">
        <v>199</v>
      </c>
      <c r="J36" s="4" t="s">
        <v>200</v>
      </c>
      <c r="K36" s="4" t="s">
        <v>179</v>
      </c>
      <c r="L36" s="4" t="s">
        <v>186</v>
      </c>
      <c r="M36" s="4" t="s">
        <v>195</v>
      </c>
      <c r="N36" s="4" t="s">
        <v>196</v>
      </c>
      <c r="O36" s="4" t="s">
        <v>183</v>
      </c>
      <c r="P36">
        <v>1000</v>
      </c>
      <c r="Q36" s="4" t="s">
        <v>30</v>
      </c>
    </row>
    <row r="37" spans="1:17" x14ac:dyDescent="0.2">
      <c r="A37" s="4" t="s">
        <v>220</v>
      </c>
      <c r="B37">
        <v>36</v>
      </c>
      <c r="C37" s="4" t="s">
        <v>26</v>
      </c>
      <c r="D37" s="4" t="s">
        <v>27</v>
      </c>
      <c r="E37" s="4" t="s">
        <v>47</v>
      </c>
      <c r="F37" s="4" t="s">
        <v>48</v>
      </c>
      <c r="G37">
        <v>2</v>
      </c>
      <c r="H37">
        <v>7</v>
      </c>
      <c r="I37" s="4" t="s">
        <v>209</v>
      </c>
      <c r="J37" s="4" t="s">
        <v>210</v>
      </c>
      <c r="K37" s="4" t="s">
        <v>205</v>
      </c>
      <c r="L37" s="4" t="s">
        <v>211</v>
      </c>
      <c r="M37" s="4" t="s">
        <v>182</v>
      </c>
      <c r="N37" s="4" t="s">
        <v>182</v>
      </c>
      <c r="O37" s="4" t="s">
        <v>183</v>
      </c>
      <c r="P37">
        <v>7757.07</v>
      </c>
      <c r="Q37" s="4" t="s">
        <v>30</v>
      </c>
    </row>
    <row r="38" spans="1:17" x14ac:dyDescent="0.2">
      <c r="A38" s="4" t="s">
        <v>221</v>
      </c>
      <c r="B38">
        <v>37</v>
      </c>
      <c r="C38" s="4" t="s">
        <v>26</v>
      </c>
      <c r="D38" s="4" t="s">
        <v>27</v>
      </c>
      <c r="E38" s="4" t="s">
        <v>47</v>
      </c>
      <c r="F38" s="4" t="s">
        <v>48</v>
      </c>
      <c r="G38">
        <v>2</v>
      </c>
      <c r="H38">
        <v>7</v>
      </c>
      <c r="I38" s="4" t="s">
        <v>203</v>
      </c>
      <c r="J38" s="4" t="s">
        <v>204</v>
      </c>
      <c r="K38" s="4" t="s">
        <v>205</v>
      </c>
      <c r="L38" s="4" t="s">
        <v>206</v>
      </c>
      <c r="M38" s="4" t="s">
        <v>182</v>
      </c>
      <c r="N38" s="4" t="s">
        <v>182</v>
      </c>
      <c r="O38" s="4" t="s">
        <v>183</v>
      </c>
      <c r="P38">
        <v>300</v>
      </c>
      <c r="Q38" s="4" t="s">
        <v>30</v>
      </c>
    </row>
    <row r="39" spans="1:17" x14ac:dyDescent="0.2">
      <c r="A39" s="4" t="s">
        <v>222</v>
      </c>
      <c r="B39">
        <v>38</v>
      </c>
      <c r="C39" s="4" t="s">
        <v>26</v>
      </c>
      <c r="D39" s="4" t="s">
        <v>27</v>
      </c>
      <c r="E39" s="4" t="s">
        <v>47</v>
      </c>
      <c r="F39" s="4" t="s">
        <v>48</v>
      </c>
      <c r="G39">
        <v>2</v>
      </c>
      <c r="H39">
        <v>7</v>
      </c>
      <c r="I39" s="4" t="s">
        <v>201</v>
      </c>
      <c r="J39" s="4" t="s">
        <v>202</v>
      </c>
      <c r="K39" s="4" t="s">
        <v>179</v>
      </c>
      <c r="L39" s="4" t="s">
        <v>180</v>
      </c>
      <c r="M39" s="4" t="s">
        <v>192</v>
      </c>
      <c r="N39" s="4" t="s">
        <v>182</v>
      </c>
      <c r="O39" s="4" t="s">
        <v>189</v>
      </c>
      <c r="P39">
        <v>-7757.08</v>
      </c>
      <c r="Q39" s="4" t="s">
        <v>30</v>
      </c>
    </row>
    <row r="40" spans="1:17" x14ac:dyDescent="0.2">
      <c r="A40" s="4" t="s">
        <v>223</v>
      </c>
      <c r="B40">
        <v>39</v>
      </c>
      <c r="C40" s="4" t="s">
        <v>26</v>
      </c>
      <c r="D40" s="4" t="s">
        <v>27</v>
      </c>
      <c r="E40" s="4" t="s">
        <v>47</v>
      </c>
      <c r="F40" s="4" t="s">
        <v>48</v>
      </c>
      <c r="G40">
        <v>2</v>
      </c>
      <c r="H40">
        <v>7</v>
      </c>
      <c r="I40" s="4" t="s">
        <v>201</v>
      </c>
      <c r="J40" s="4" t="s">
        <v>202</v>
      </c>
      <c r="K40" s="4" t="s">
        <v>179</v>
      </c>
      <c r="L40" s="4" t="s">
        <v>180</v>
      </c>
      <c r="M40" s="4" t="s">
        <v>192</v>
      </c>
      <c r="N40" s="4" t="s">
        <v>182</v>
      </c>
      <c r="O40" s="4" t="s">
        <v>183</v>
      </c>
      <c r="P40">
        <v>7182.26</v>
      </c>
      <c r="Q40" s="4" t="s">
        <v>30</v>
      </c>
    </row>
    <row r="41" spans="1:17" x14ac:dyDescent="0.2">
      <c r="A41" s="4" t="s">
        <v>224</v>
      </c>
      <c r="B41">
        <v>40</v>
      </c>
      <c r="C41" s="4" t="s">
        <v>26</v>
      </c>
      <c r="D41" s="4" t="s">
        <v>27</v>
      </c>
      <c r="E41" s="4" t="s">
        <v>47</v>
      </c>
      <c r="F41" s="4" t="s">
        <v>48</v>
      </c>
      <c r="G41">
        <v>2</v>
      </c>
      <c r="H41">
        <v>7</v>
      </c>
      <c r="I41" s="4" t="s">
        <v>212</v>
      </c>
      <c r="J41" s="4" t="s">
        <v>213</v>
      </c>
      <c r="K41" s="4" t="s">
        <v>205</v>
      </c>
      <c r="L41" s="4" t="s">
        <v>214</v>
      </c>
      <c r="M41" s="4" t="s">
        <v>182</v>
      </c>
      <c r="N41" s="4" t="s">
        <v>182</v>
      </c>
      <c r="O41" s="4" t="s">
        <v>189</v>
      </c>
      <c r="P41">
        <v>-9611.23</v>
      </c>
      <c r="Q41" s="4" t="s">
        <v>30</v>
      </c>
    </row>
    <row r="42" spans="1:17" x14ac:dyDescent="0.2">
      <c r="A42" s="4" t="s">
        <v>225</v>
      </c>
      <c r="B42">
        <v>41</v>
      </c>
      <c r="C42" s="4" t="s">
        <v>26</v>
      </c>
      <c r="D42" s="4" t="s">
        <v>27</v>
      </c>
      <c r="E42" s="4" t="s">
        <v>50</v>
      </c>
      <c r="F42" s="4" t="s">
        <v>51</v>
      </c>
      <c r="G42">
        <v>2</v>
      </c>
      <c r="H42">
        <v>8</v>
      </c>
      <c r="I42" s="4" t="s">
        <v>190</v>
      </c>
      <c r="J42" s="4" t="s">
        <v>191</v>
      </c>
      <c r="K42" s="4" t="s">
        <v>179</v>
      </c>
      <c r="L42" s="4" t="s">
        <v>180</v>
      </c>
      <c r="M42" s="4" t="s">
        <v>192</v>
      </c>
      <c r="N42" s="4" t="s">
        <v>182</v>
      </c>
      <c r="O42" s="4" t="s">
        <v>189</v>
      </c>
      <c r="P42">
        <v>-165709.28</v>
      </c>
      <c r="Q42" s="4" t="s">
        <v>30</v>
      </c>
    </row>
    <row r="43" spans="1:17" x14ac:dyDescent="0.2">
      <c r="A43" s="4" t="s">
        <v>226</v>
      </c>
      <c r="B43">
        <v>42</v>
      </c>
      <c r="C43" s="4" t="s">
        <v>26</v>
      </c>
      <c r="D43" s="4" t="s">
        <v>27</v>
      </c>
      <c r="E43" s="4" t="s">
        <v>50</v>
      </c>
      <c r="F43" s="4" t="s">
        <v>51</v>
      </c>
      <c r="G43">
        <v>2</v>
      </c>
      <c r="H43">
        <v>8</v>
      </c>
      <c r="I43" s="4" t="s">
        <v>207</v>
      </c>
      <c r="J43" s="4" t="s">
        <v>208</v>
      </c>
      <c r="K43" s="4" t="s">
        <v>179</v>
      </c>
      <c r="L43" s="4" t="s">
        <v>180</v>
      </c>
      <c r="M43" s="4" t="s">
        <v>192</v>
      </c>
      <c r="N43" s="4" t="s">
        <v>182</v>
      </c>
      <c r="O43" s="4" t="s">
        <v>183</v>
      </c>
      <c r="P43">
        <v>13493.44</v>
      </c>
      <c r="Q43" s="4" t="s">
        <v>30</v>
      </c>
    </row>
    <row r="44" spans="1:17" x14ac:dyDescent="0.2">
      <c r="A44" s="4" t="s">
        <v>227</v>
      </c>
      <c r="B44">
        <v>43</v>
      </c>
      <c r="C44" s="4" t="s">
        <v>26</v>
      </c>
      <c r="D44" s="4" t="s">
        <v>27</v>
      </c>
      <c r="E44" s="4" t="s">
        <v>50</v>
      </c>
      <c r="F44" s="4" t="s">
        <v>51</v>
      </c>
      <c r="G44">
        <v>2</v>
      </c>
      <c r="H44">
        <v>8</v>
      </c>
      <c r="I44" s="4" t="s">
        <v>193</v>
      </c>
      <c r="J44" s="4" t="s">
        <v>194</v>
      </c>
      <c r="K44" s="4" t="s">
        <v>179</v>
      </c>
      <c r="L44" s="4" t="s">
        <v>186</v>
      </c>
      <c r="M44" s="4" t="s">
        <v>195</v>
      </c>
      <c r="N44" s="4" t="s">
        <v>196</v>
      </c>
      <c r="O44" s="4" t="s">
        <v>183</v>
      </c>
      <c r="P44">
        <v>165409.28</v>
      </c>
      <c r="Q44" s="4" t="s">
        <v>30</v>
      </c>
    </row>
    <row r="45" spans="1:17" x14ac:dyDescent="0.2">
      <c r="A45" s="4" t="s">
        <v>228</v>
      </c>
      <c r="B45">
        <v>44</v>
      </c>
      <c r="C45" s="4" t="s">
        <v>26</v>
      </c>
      <c r="D45" s="4" t="s">
        <v>27</v>
      </c>
      <c r="E45" s="4" t="s">
        <v>50</v>
      </c>
      <c r="F45" s="4" t="s">
        <v>51</v>
      </c>
      <c r="G45">
        <v>2</v>
      </c>
      <c r="H45">
        <v>8</v>
      </c>
      <c r="I45" s="4" t="s">
        <v>209</v>
      </c>
      <c r="J45" s="4" t="s">
        <v>210</v>
      </c>
      <c r="K45" s="4" t="s">
        <v>205</v>
      </c>
      <c r="L45" s="4" t="s">
        <v>211</v>
      </c>
      <c r="M45" s="4" t="s">
        <v>182</v>
      </c>
      <c r="N45" s="4" t="s">
        <v>182</v>
      </c>
      <c r="O45" s="4" t="s">
        <v>183</v>
      </c>
      <c r="P45">
        <v>10932.13</v>
      </c>
      <c r="Q45" s="4" t="s">
        <v>30</v>
      </c>
    </row>
    <row r="46" spans="1:17" x14ac:dyDescent="0.2">
      <c r="A46" s="4" t="s">
        <v>229</v>
      </c>
      <c r="B46">
        <v>45</v>
      </c>
      <c r="C46" s="4" t="s">
        <v>26</v>
      </c>
      <c r="D46" s="4" t="s">
        <v>27</v>
      </c>
      <c r="E46" s="4" t="s">
        <v>50</v>
      </c>
      <c r="F46" s="4" t="s">
        <v>51</v>
      </c>
      <c r="G46">
        <v>2</v>
      </c>
      <c r="H46">
        <v>8</v>
      </c>
      <c r="I46" s="4" t="s">
        <v>203</v>
      </c>
      <c r="J46" s="4" t="s">
        <v>204</v>
      </c>
      <c r="K46" s="4" t="s">
        <v>205</v>
      </c>
      <c r="L46" s="4" t="s">
        <v>206</v>
      </c>
      <c r="M46" s="4" t="s">
        <v>182</v>
      </c>
      <c r="N46" s="4" t="s">
        <v>182</v>
      </c>
      <c r="O46" s="4" t="s">
        <v>183</v>
      </c>
      <c r="P46">
        <v>300</v>
      </c>
      <c r="Q46" s="4" t="s">
        <v>30</v>
      </c>
    </row>
    <row r="47" spans="1:17" x14ac:dyDescent="0.2">
      <c r="A47" s="4" t="s">
        <v>230</v>
      </c>
      <c r="B47">
        <v>46</v>
      </c>
      <c r="C47" s="4" t="s">
        <v>26</v>
      </c>
      <c r="D47" s="4" t="s">
        <v>27</v>
      </c>
      <c r="E47" s="4" t="s">
        <v>50</v>
      </c>
      <c r="F47" s="4" t="s">
        <v>51</v>
      </c>
      <c r="G47">
        <v>2</v>
      </c>
      <c r="H47">
        <v>8</v>
      </c>
      <c r="I47" s="4" t="s">
        <v>201</v>
      </c>
      <c r="J47" s="4" t="s">
        <v>202</v>
      </c>
      <c r="K47" s="4" t="s">
        <v>179</v>
      </c>
      <c r="L47" s="4" t="s">
        <v>180</v>
      </c>
      <c r="M47" s="4" t="s">
        <v>192</v>
      </c>
      <c r="N47" s="4" t="s">
        <v>182</v>
      </c>
      <c r="O47" s="4" t="s">
        <v>189</v>
      </c>
      <c r="P47">
        <v>-10932.13</v>
      </c>
      <c r="Q47" s="4" t="s">
        <v>30</v>
      </c>
    </row>
    <row r="48" spans="1:17" x14ac:dyDescent="0.2">
      <c r="A48" s="4" t="s">
        <v>231</v>
      </c>
      <c r="B48">
        <v>47</v>
      </c>
      <c r="C48" s="4" t="s">
        <v>26</v>
      </c>
      <c r="D48" s="4" t="s">
        <v>27</v>
      </c>
      <c r="E48" s="4" t="s">
        <v>50</v>
      </c>
      <c r="F48" s="4" t="s">
        <v>51</v>
      </c>
      <c r="G48">
        <v>2</v>
      </c>
      <c r="H48">
        <v>8</v>
      </c>
      <c r="I48" s="4" t="s">
        <v>212</v>
      </c>
      <c r="J48" s="4" t="s">
        <v>213</v>
      </c>
      <c r="K48" s="4" t="s">
        <v>205</v>
      </c>
      <c r="L48" s="4" t="s">
        <v>214</v>
      </c>
      <c r="M48" s="4" t="s">
        <v>182</v>
      </c>
      <c r="N48" s="4" t="s">
        <v>182</v>
      </c>
      <c r="O48" s="4" t="s">
        <v>189</v>
      </c>
      <c r="P48">
        <v>-13493.44</v>
      </c>
      <c r="Q48" s="4" t="s">
        <v>30</v>
      </c>
    </row>
    <row r="49" spans="1:17" x14ac:dyDescent="0.2">
      <c r="A49" s="4" t="s">
        <v>232</v>
      </c>
      <c r="B49">
        <v>48</v>
      </c>
      <c r="C49" s="4" t="s">
        <v>26</v>
      </c>
      <c r="D49" s="4" t="s">
        <v>27</v>
      </c>
      <c r="E49" s="4" t="s">
        <v>53</v>
      </c>
      <c r="F49" s="4" t="s">
        <v>54</v>
      </c>
      <c r="G49">
        <v>2</v>
      </c>
      <c r="H49">
        <v>9</v>
      </c>
      <c r="I49" s="4" t="s">
        <v>190</v>
      </c>
      <c r="J49" s="4" t="s">
        <v>191</v>
      </c>
      <c r="K49" s="4" t="s">
        <v>179</v>
      </c>
      <c r="L49" s="4" t="s">
        <v>180</v>
      </c>
      <c r="M49" s="4" t="s">
        <v>192</v>
      </c>
      <c r="N49" s="4" t="s">
        <v>182</v>
      </c>
      <c r="O49" s="4" t="s">
        <v>189</v>
      </c>
      <c r="P49">
        <v>-300</v>
      </c>
      <c r="Q49" s="4" t="s">
        <v>30</v>
      </c>
    </row>
    <row r="50" spans="1:17" x14ac:dyDescent="0.2">
      <c r="A50" s="4" t="s">
        <v>233</v>
      </c>
      <c r="B50">
        <v>49</v>
      </c>
      <c r="C50" s="4" t="s">
        <v>26</v>
      </c>
      <c r="D50" s="4" t="s">
        <v>27</v>
      </c>
      <c r="E50" s="4" t="s">
        <v>53</v>
      </c>
      <c r="F50" s="4" t="s">
        <v>54</v>
      </c>
      <c r="G50">
        <v>2</v>
      </c>
      <c r="H50">
        <v>9</v>
      </c>
      <c r="I50" s="4" t="s">
        <v>190</v>
      </c>
      <c r="J50" s="4" t="s">
        <v>191</v>
      </c>
      <c r="K50" s="4" t="s">
        <v>179</v>
      </c>
      <c r="L50" s="4" t="s">
        <v>180</v>
      </c>
      <c r="M50" s="4" t="s">
        <v>192</v>
      </c>
      <c r="N50" s="4" t="s">
        <v>182</v>
      </c>
      <c r="O50" s="4" t="s">
        <v>183</v>
      </c>
      <c r="P50">
        <v>7873.92</v>
      </c>
      <c r="Q50" s="4" t="s">
        <v>30</v>
      </c>
    </row>
    <row r="51" spans="1:17" x14ac:dyDescent="0.2">
      <c r="A51" s="4" t="s">
        <v>234</v>
      </c>
      <c r="B51">
        <v>50</v>
      </c>
      <c r="C51" s="4" t="s">
        <v>26</v>
      </c>
      <c r="D51" s="4" t="s">
        <v>27</v>
      </c>
      <c r="E51" s="4" t="s">
        <v>53</v>
      </c>
      <c r="F51" s="4" t="s">
        <v>54</v>
      </c>
      <c r="G51">
        <v>2</v>
      </c>
      <c r="H51">
        <v>9</v>
      </c>
      <c r="I51" s="4" t="s">
        <v>207</v>
      </c>
      <c r="J51" s="4" t="s">
        <v>208</v>
      </c>
      <c r="K51" s="4" t="s">
        <v>179</v>
      </c>
      <c r="L51" s="4" t="s">
        <v>180</v>
      </c>
      <c r="M51" s="4" t="s">
        <v>192</v>
      </c>
      <c r="N51" s="4" t="s">
        <v>182</v>
      </c>
      <c r="O51" s="4" t="s">
        <v>189</v>
      </c>
      <c r="P51">
        <v>-7873.92</v>
      </c>
      <c r="Q51" s="4" t="s">
        <v>30</v>
      </c>
    </row>
    <row r="52" spans="1:17" x14ac:dyDescent="0.2">
      <c r="A52" s="4" t="s">
        <v>235</v>
      </c>
      <c r="B52">
        <v>51</v>
      </c>
      <c r="C52" s="4" t="s">
        <v>26</v>
      </c>
      <c r="D52" s="4" t="s">
        <v>27</v>
      </c>
      <c r="E52" s="4" t="s">
        <v>53</v>
      </c>
      <c r="F52" s="4" t="s">
        <v>54</v>
      </c>
      <c r="G52">
        <v>2</v>
      </c>
      <c r="H52">
        <v>9</v>
      </c>
      <c r="I52" s="4" t="s">
        <v>207</v>
      </c>
      <c r="J52" s="4" t="s">
        <v>208</v>
      </c>
      <c r="K52" s="4" t="s">
        <v>179</v>
      </c>
      <c r="L52" s="4" t="s">
        <v>180</v>
      </c>
      <c r="M52" s="4" t="s">
        <v>192</v>
      </c>
      <c r="N52" s="4" t="s">
        <v>182</v>
      </c>
      <c r="O52" s="4" t="s">
        <v>183</v>
      </c>
      <c r="P52">
        <v>13593.6</v>
      </c>
      <c r="Q52" s="4" t="s">
        <v>30</v>
      </c>
    </row>
    <row r="53" spans="1:17" x14ac:dyDescent="0.2">
      <c r="A53" s="4" t="s">
        <v>236</v>
      </c>
      <c r="B53">
        <v>52</v>
      </c>
      <c r="C53" s="4" t="s">
        <v>26</v>
      </c>
      <c r="D53" s="4" t="s">
        <v>27</v>
      </c>
      <c r="E53" s="4" t="s">
        <v>53</v>
      </c>
      <c r="F53" s="4" t="s">
        <v>54</v>
      </c>
      <c r="G53">
        <v>2</v>
      </c>
      <c r="H53">
        <v>9</v>
      </c>
      <c r="I53" s="4" t="s">
        <v>209</v>
      </c>
      <c r="J53" s="4" t="s">
        <v>210</v>
      </c>
      <c r="K53" s="4" t="s">
        <v>205</v>
      </c>
      <c r="L53" s="4" t="s">
        <v>211</v>
      </c>
      <c r="M53" s="4" t="s">
        <v>182</v>
      </c>
      <c r="N53" s="4" t="s">
        <v>182</v>
      </c>
      <c r="O53" s="4" t="s">
        <v>183</v>
      </c>
      <c r="P53">
        <v>11076.66</v>
      </c>
      <c r="Q53" s="4" t="s">
        <v>30</v>
      </c>
    </row>
    <row r="54" spans="1:17" x14ac:dyDescent="0.2">
      <c r="A54" s="4" t="s">
        <v>237</v>
      </c>
      <c r="B54">
        <v>53</v>
      </c>
      <c r="C54" s="4" t="s">
        <v>26</v>
      </c>
      <c r="D54" s="4" t="s">
        <v>27</v>
      </c>
      <c r="E54" s="4" t="s">
        <v>53</v>
      </c>
      <c r="F54" s="4" t="s">
        <v>54</v>
      </c>
      <c r="G54">
        <v>2</v>
      </c>
      <c r="H54">
        <v>9</v>
      </c>
      <c r="I54" s="4" t="s">
        <v>203</v>
      </c>
      <c r="J54" s="4" t="s">
        <v>204</v>
      </c>
      <c r="K54" s="4" t="s">
        <v>205</v>
      </c>
      <c r="L54" s="4" t="s">
        <v>206</v>
      </c>
      <c r="M54" s="4" t="s">
        <v>182</v>
      </c>
      <c r="N54" s="4" t="s">
        <v>182</v>
      </c>
      <c r="O54" s="4" t="s">
        <v>183</v>
      </c>
      <c r="P54">
        <v>300</v>
      </c>
      <c r="Q54" s="4" t="s">
        <v>30</v>
      </c>
    </row>
    <row r="55" spans="1:17" x14ac:dyDescent="0.2">
      <c r="A55" s="4" t="s">
        <v>238</v>
      </c>
      <c r="B55">
        <v>54</v>
      </c>
      <c r="C55" s="4" t="s">
        <v>26</v>
      </c>
      <c r="D55" s="4" t="s">
        <v>27</v>
      </c>
      <c r="E55" s="4" t="s">
        <v>53</v>
      </c>
      <c r="F55" s="4" t="s">
        <v>54</v>
      </c>
      <c r="G55">
        <v>2</v>
      </c>
      <c r="H55">
        <v>9</v>
      </c>
      <c r="I55" s="4" t="s">
        <v>201</v>
      </c>
      <c r="J55" s="4" t="s">
        <v>202</v>
      </c>
      <c r="K55" s="4" t="s">
        <v>179</v>
      </c>
      <c r="L55" s="4" t="s">
        <v>180</v>
      </c>
      <c r="M55" s="4" t="s">
        <v>192</v>
      </c>
      <c r="N55" s="4" t="s">
        <v>182</v>
      </c>
      <c r="O55" s="4" t="s">
        <v>189</v>
      </c>
      <c r="P55">
        <v>-11076.66</v>
      </c>
      <c r="Q55" s="4" t="s">
        <v>30</v>
      </c>
    </row>
    <row r="56" spans="1:17" x14ac:dyDescent="0.2">
      <c r="A56" s="4" t="s">
        <v>239</v>
      </c>
      <c r="B56">
        <v>55</v>
      </c>
      <c r="C56" s="4" t="s">
        <v>26</v>
      </c>
      <c r="D56" s="4" t="s">
        <v>27</v>
      </c>
      <c r="E56" s="4" t="s">
        <v>53</v>
      </c>
      <c r="F56" s="4" t="s">
        <v>54</v>
      </c>
      <c r="G56">
        <v>2</v>
      </c>
      <c r="H56">
        <v>9</v>
      </c>
      <c r="I56" s="4" t="s">
        <v>212</v>
      </c>
      <c r="J56" s="4" t="s">
        <v>213</v>
      </c>
      <c r="K56" s="4" t="s">
        <v>205</v>
      </c>
      <c r="L56" s="4" t="s">
        <v>214</v>
      </c>
      <c r="M56" s="4" t="s">
        <v>182</v>
      </c>
      <c r="N56" s="4" t="s">
        <v>182</v>
      </c>
      <c r="O56" s="4" t="s">
        <v>189</v>
      </c>
      <c r="P56">
        <v>-13593.6</v>
      </c>
      <c r="Q56" s="4" t="s">
        <v>30</v>
      </c>
    </row>
    <row r="57" spans="1:17" x14ac:dyDescent="0.2">
      <c r="A57" s="4" t="s">
        <v>240</v>
      </c>
      <c r="B57">
        <v>56</v>
      </c>
      <c r="C57" s="4" t="s">
        <v>26</v>
      </c>
      <c r="D57" s="4" t="s">
        <v>27</v>
      </c>
      <c r="E57" s="4" t="s">
        <v>56</v>
      </c>
      <c r="F57" s="4" t="s">
        <v>57</v>
      </c>
      <c r="G57">
        <v>2</v>
      </c>
      <c r="H57">
        <v>10</v>
      </c>
      <c r="I57" s="4" t="s">
        <v>190</v>
      </c>
      <c r="J57" s="4" t="s">
        <v>191</v>
      </c>
      <c r="K57" s="4" t="s">
        <v>179</v>
      </c>
      <c r="L57" s="4" t="s">
        <v>180</v>
      </c>
      <c r="M57" s="4" t="s">
        <v>192</v>
      </c>
      <c r="N57" s="4" t="s">
        <v>182</v>
      </c>
      <c r="O57" s="4" t="s">
        <v>189</v>
      </c>
      <c r="P57">
        <v>-300</v>
      </c>
      <c r="Q57" s="4" t="s">
        <v>30</v>
      </c>
    </row>
    <row r="58" spans="1:17" x14ac:dyDescent="0.2">
      <c r="A58" s="4" t="s">
        <v>241</v>
      </c>
      <c r="B58">
        <v>57</v>
      </c>
      <c r="C58" s="4" t="s">
        <v>26</v>
      </c>
      <c r="D58" s="4" t="s">
        <v>27</v>
      </c>
      <c r="E58" s="4" t="s">
        <v>56</v>
      </c>
      <c r="F58" s="4" t="s">
        <v>57</v>
      </c>
      <c r="G58">
        <v>2</v>
      </c>
      <c r="H58">
        <v>10</v>
      </c>
      <c r="I58" s="4" t="s">
        <v>190</v>
      </c>
      <c r="J58" s="4" t="s">
        <v>191</v>
      </c>
      <c r="K58" s="4" t="s">
        <v>179</v>
      </c>
      <c r="L58" s="4" t="s">
        <v>180</v>
      </c>
      <c r="M58" s="4" t="s">
        <v>192</v>
      </c>
      <c r="N58" s="4" t="s">
        <v>182</v>
      </c>
      <c r="O58" s="4" t="s">
        <v>183</v>
      </c>
      <c r="P58">
        <v>7222.44</v>
      </c>
      <c r="Q58" s="4" t="s">
        <v>30</v>
      </c>
    </row>
    <row r="59" spans="1:17" x14ac:dyDescent="0.2">
      <c r="A59" s="4" t="s">
        <v>242</v>
      </c>
      <c r="B59">
        <v>58</v>
      </c>
      <c r="C59" s="4" t="s">
        <v>26</v>
      </c>
      <c r="D59" s="4" t="s">
        <v>27</v>
      </c>
      <c r="E59" s="4" t="s">
        <v>56</v>
      </c>
      <c r="F59" s="4" t="s">
        <v>57</v>
      </c>
      <c r="G59">
        <v>2</v>
      </c>
      <c r="H59">
        <v>10</v>
      </c>
      <c r="I59" s="4" t="s">
        <v>207</v>
      </c>
      <c r="J59" s="4" t="s">
        <v>208</v>
      </c>
      <c r="K59" s="4" t="s">
        <v>179</v>
      </c>
      <c r="L59" s="4" t="s">
        <v>180</v>
      </c>
      <c r="M59" s="4" t="s">
        <v>192</v>
      </c>
      <c r="N59" s="4" t="s">
        <v>182</v>
      </c>
      <c r="O59" s="4" t="s">
        <v>189</v>
      </c>
      <c r="P59">
        <v>-7222.44</v>
      </c>
      <c r="Q59" s="4" t="s">
        <v>30</v>
      </c>
    </row>
    <row r="60" spans="1:17" x14ac:dyDescent="0.2">
      <c r="A60" s="4" t="s">
        <v>243</v>
      </c>
      <c r="B60">
        <v>59</v>
      </c>
      <c r="C60" s="4" t="s">
        <v>26</v>
      </c>
      <c r="D60" s="4" t="s">
        <v>27</v>
      </c>
      <c r="E60" s="4" t="s">
        <v>56</v>
      </c>
      <c r="F60" s="4" t="s">
        <v>57</v>
      </c>
      <c r="G60">
        <v>2</v>
      </c>
      <c r="H60">
        <v>10</v>
      </c>
      <c r="I60" s="4" t="s">
        <v>207</v>
      </c>
      <c r="J60" s="4" t="s">
        <v>208</v>
      </c>
      <c r="K60" s="4" t="s">
        <v>179</v>
      </c>
      <c r="L60" s="4" t="s">
        <v>180</v>
      </c>
      <c r="M60" s="4" t="s">
        <v>192</v>
      </c>
      <c r="N60" s="4" t="s">
        <v>182</v>
      </c>
      <c r="O60" s="4" t="s">
        <v>183</v>
      </c>
      <c r="P60">
        <v>2047.38</v>
      </c>
      <c r="Q60" s="4" t="s">
        <v>30</v>
      </c>
    </row>
    <row r="61" spans="1:17" x14ac:dyDescent="0.2">
      <c r="A61" s="4" t="s">
        <v>244</v>
      </c>
      <c r="B61">
        <v>60</v>
      </c>
      <c r="C61" s="4" t="s">
        <v>26</v>
      </c>
      <c r="D61" s="4" t="s">
        <v>27</v>
      </c>
      <c r="E61" s="4" t="s">
        <v>56</v>
      </c>
      <c r="F61" s="4" t="s">
        <v>57</v>
      </c>
      <c r="G61">
        <v>2</v>
      </c>
      <c r="H61">
        <v>10</v>
      </c>
      <c r="I61" s="4" t="s">
        <v>209</v>
      </c>
      <c r="J61" s="4" t="s">
        <v>210</v>
      </c>
      <c r="K61" s="4" t="s">
        <v>205</v>
      </c>
      <c r="L61" s="4" t="s">
        <v>211</v>
      </c>
      <c r="M61" s="4" t="s">
        <v>182</v>
      </c>
      <c r="N61" s="4" t="s">
        <v>182</v>
      </c>
      <c r="O61" s="4" t="s">
        <v>183</v>
      </c>
      <c r="P61">
        <v>1751.31</v>
      </c>
      <c r="Q61" s="4" t="s">
        <v>30</v>
      </c>
    </row>
    <row r="62" spans="1:17" x14ac:dyDescent="0.2">
      <c r="A62" s="4" t="s">
        <v>245</v>
      </c>
      <c r="B62">
        <v>61</v>
      </c>
      <c r="C62" s="4" t="s">
        <v>26</v>
      </c>
      <c r="D62" s="4" t="s">
        <v>27</v>
      </c>
      <c r="E62" s="4" t="s">
        <v>56</v>
      </c>
      <c r="F62" s="4" t="s">
        <v>57</v>
      </c>
      <c r="G62">
        <v>2</v>
      </c>
      <c r="H62">
        <v>10</v>
      </c>
      <c r="I62" s="4" t="s">
        <v>203</v>
      </c>
      <c r="J62" s="4" t="s">
        <v>204</v>
      </c>
      <c r="K62" s="4" t="s">
        <v>205</v>
      </c>
      <c r="L62" s="4" t="s">
        <v>206</v>
      </c>
      <c r="M62" s="4" t="s">
        <v>182</v>
      </c>
      <c r="N62" s="4" t="s">
        <v>182</v>
      </c>
      <c r="O62" s="4" t="s">
        <v>183</v>
      </c>
      <c r="P62">
        <v>300</v>
      </c>
      <c r="Q62" s="4" t="s">
        <v>30</v>
      </c>
    </row>
    <row r="63" spans="1:17" x14ac:dyDescent="0.2">
      <c r="A63" s="4" t="s">
        <v>246</v>
      </c>
      <c r="B63">
        <v>62</v>
      </c>
      <c r="C63" s="4" t="s">
        <v>26</v>
      </c>
      <c r="D63" s="4" t="s">
        <v>27</v>
      </c>
      <c r="E63" s="4" t="s">
        <v>56</v>
      </c>
      <c r="F63" s="4" t="s">
        <v>57</v>
      </c>
      <c r="G63">
        <v>2</v>
      </c>
      <c r="H63">
        <v>10</v>
      </c>
      <c r="I63" s="4" t="s">
        <v>201</v>
      </c>
      <c r="J63" s="4" t="s">
        <v>202</v>
      </c>
      <c r="K63" s="4" t="s">
        <v>179</v>
      </c>
      <c r="L63" s="4" t="s">
        <v>180</v>
      </c>
      <c r="M63" s="4" t="s">
        <v>192</v>
      </c>
      <c r="N63" s="4" t="s">
        <v>182</v>
      </c>
      <c r="O63" s="4" t="s">
        <v>189</v>
      </c>
      <c r="P63">
        <v>-1751.31</v>
      </c>
      <c r="Q63" s="4" t="s">
        <v>30</v>
      </c>
    </row>
    <row r="64" spans="1:17" x14ac:dyDescent="0.2">
      <c r="A64" s="4" t="s">
        <v>247</v>
      </c>
      <c r="B64">
        <v>63</v>
      </c>
      <c r="C64" s="4" t="s">
        <v>26</v>
      </c>
      <c r="D64" s="4" t="s">
        <v>27</v>
      </c>
      <c r="E64" s="4" t="s">
        <v>56</v>
      </c>
      <c r="F64" s="4" t="s">
        <v>57</v>
      </c>
      <c r="G64">
        <v>2</v>
      </c>
      <c r="H64">
        <v>10</v>
      </c>
      <c r="I64" s="4" t="s">
        <v>212</v>
      </c>
      <c r="J64" s="4" t="s">
        <v>213</v>
      </c>
      <c r="K64" s="4" t="s">
        <v>205</v>
      </c>
      <c r="L64" s="4" t="s">
        <v>214</v>
      </c>
      <c r="M64" s="4" t="s">
        <v>182</v>
      </c>
      <c r="N64" s="4" t="s">
        <v>182</v>
      </c>
      <c r="O64" s="4" t="s">
        <v>189</v>
      </c>
      <c r="P64">
        <v>-2047.38</v>
      </c>
      <c r="Q64" s="4" t="s">
        <v>30</v>
      </c>
    </row>
    <row r="65" spans="1:17" x14ac:dyDescent="0.2">
      <c r="A65" s="4" t="s">
        <v>248</v>
      </c>
      <c r="B65">
        <v>64</v>
      </c>
      <c r="C65" s="4" t="s">
        <v>26</v>
      </c>
      <c r="D65" s="4" t="s">
        <v>32</v>
      </c>
      <c r="E65" s="4" t="s">
        <v>27</v>
      </c>
      <c r="F65" s="4" t="s">
        <v>59</v>
      </c>
      <c r="G65">
        <v>3</v>
      </c>
      <c r="H65">
        <v>11</v>
      </c>
      <c r="I65" s="4" t="s">
        <v>190</v>
      </c>
      <c r="J65" s="4" t="s">
        <v>191</v>
      </c>
      <c r="K65" s="4" t="s">
        <v>179</v>
      </c>
      <c r="L65" s="4" t="s">
        <v>180</v>
      </c>
      <c r="M65" s="4" t="s">
        <v>192</v>
      </c>
      <c r="N65" s="4" t="s">
        <v>182</v>
      </c>
      <c r="O65" s="4" t="s">
        <v>189</v>
      </c>
      <c r="P65">
        <v>-1606.58</v>
      </c>
      <c r="Q65" s="4" t="s">
        <v>30</v>
      </c>
    </row>
    <row r="66" spans="1:17" x14ac:dyDescent="0.2">
      <c r="A66" s="4" t="s">
        <v>249</v>
      </c>
      <c r="B66">
        <v>65</v>
      </c>
      <c r="C66" s="4" t="s">
        <v>26</v>
      </c>
      <c r="D66" s="4" t="s">
        <v>32</v>
      </c>
      <c r="E66" s="4" t="s">
        <v>27</v>
      </c>
      <c r="F66" s="4" t="s">
        <v>59</v>
      </c>
      <c r="G66">
        <v>3</v>
      </c>
      <c r="H66">
        <v>11</v>
      </c>
      <c r="I66" s="4" t="s">
        <v>190</v>
      </c>
      <c r="J66" s="4" t="s">
        <v>191</v>
      </c>
      <c r="K66" s="4" t="s">
        <v>179</v>
      </c>
      <c r="L66" s="4" t="s">
        <v>180</v>
      </c>
      <c r="M66" s="4" t="s">
        <v>192</v>
      </c>
      <c r="N66" s="4" t="s">
        <v>182</v>
      </c>
      <c r="O66" s="4" t="s">
        <v>183</v>
      </c>
      <c r="P66">
        <v>9611.23</v>
      </c>
      <c r="Q66" s="4" t="s">
        <v>30</v>
      </c>
    </row>
    <row r="67" spans="1:17" x14ac:dyDescent="0.2">
      <c r="A67" s="4" t="s">
        <v>250</v>
      </c>
      <c r="B67">
        <v>66</v>
      </c>
      <c r="C67" s="4" t="s">
        <v>26</v>
      </c>
      <c r="D67" s="4" t="s">
        <v>32</v>
      </c>
      <c r="E67" s="4" t="s">
        <v>27</v>
      </c>
      <c r="F67" s="4" t="s">
        <v>59</v>
      </c>
      <c r="G67">
        <v>3</v>
      </c>
      <c r="H67">
        <v>11</v>
      </c>
      <c r="I67" s="4" t="s">
        <v>207</v>
      </c>
      <c r="J67" s="4" t="s">
        <v>208</v>
      </c>
      <c r="K67" s="4" t="s">
        <v>179</v>
      </c>
      <c r="L67" s="4" t="s">
        <v>180</v>
      </c>
      <c r="M67" s="4" t="s">
        <v>192</v>
      </c>
      <c r="N67" s="4" t="s">
        <v>182</v>
      </c>
      <c r="O67" s="4" t="s">
        <v>189</v>
      </c>
      <c r="P67">
        <v>-9611.23</v>
      </c>
      <c r="Q67" s="4" t="s">
        <v>30</v>
      </c>
    </row>
    <row r="68" spans="1:17" x14ac:dyDescent="0.2">
      <c r="A68" s="4" t="s">
        <v>251</v>
      </c>
      <c r="B68">
        <v>67</v>
      </c>
      <c r="C68" s="4" t="s">
        <v>26</v>
      </c>
      <c r="D68" s="4" t="s">
        <v>32</v>
      </c>
      <c r="E68" s="4" t="s">
        <v>27</v>
      </c>
      <c r="F68" s="4" t="s">
        <v>59</v>
      </c>
      <c r="G68">
        <v>3</v>
      </c>
      <c r="H68">
        <v>11</v>
      </c>
      <c r="I68" s="4" t="s">
        <v>207</v>
      </c>
      <c r="J68" s="4" t="s">
        <v>208</v>
      </c>
      <c r="K68" s="4" t="s">
        <v>179</v>
      </c>
      <c r="L68" s="4" t="s">
        <v>180</v>
      </c>
      <c r="M68" s="4" t="s">
        <v>192</v>
      </c>
      <c r="N68" s="4" t="s">
        <v>182</v>
      </c>
      <c r="O68" s="4" t="s">
        <v>183</v>
      </c>
      <c r="P68">
        <v>8843.18</v>
      </c>
      <c r="Q68" s="4" t="s">
        <v>30</v>
      </c>
    </row>
    <row r="69" spans="1:17" x14ac:dyDescent="0.2">
      <c r="A69" s="4" t="s">
        <v>252</v>
      </c>
      <c r="B69">
        <v>68</v>
      </c>
      <c r="C69" s="4" t="s">
        <v>26</v>
      </c>
      <c r="D69" s="4" t="s">
        <v>32</v>
      </c>
      <c r="E69" s="4" t="s">
        <v>27</v>
      </c>
      <c r="F69" s="4" t="s">
        <v>59</v>
      </c>
      <c r="G69">
        <v>3</v>
      </c>
      <c r="H69">
        <v>11</v>
      </c>
      <c r="I69" s="4" t="s">
        <v>193</v>
      </c>
      <c r="J69" s="4" t="s">
        <v>194</v>
      </c>
      <c r="K69" s="4" t="s">
        <v>179</v>
      </c>
      <c r="L69" s="4" t="s">
        <v>186</v>
      </c>
      <c r="M69" s="4" t="s">
        <v>195</v>
      </c>
      <c r="N69" s="4" t="s">
        <v>196</v>
      </c>
      <c r="O69" s="4" t="s">
        <v>183</v>
      </c>
      <c r="P69">
        <v>1306.58</v>
      </c>
      <c r="Q69" s="4" t="s">
        <v>30</v>
      </c>
    </row>
    <row r="70" spans="1:17" x14ac:dyDescent="0.2">
      <c r="A70" s="4" t="s">
        <v>253</v>
      </c>
      <c r="B70">
        <v>69</v>
      </c>
      <c r="C70" s="4" t="s">
        <v>26</v>
      </c>
      <c r="D70" s="4" t="s">
        <v>32</v>
      </c>
      <c r="E70" s="4" t="s">
        <v>27</v>
      </c>
      <c r="F70" s="4" t="s">
        <v>59</v>
      </c>
      <c r="G70">
        <v>3</v>
      </c>
      <c r="H70">
        <v>11</v>
      </c>
      <c r="I70" s="4" t="s">
        <v>209</v>
      </c>
      <c r="J70" s="4" t="s">
        <v>210</v>
      </c>
      <c r="K70" s="4" t="s">
        <v>205</v>
      </c>
      <c r="L70" s="4" t="s">
        <v>211</v>
      </c>
      <c r="M70" s="4" t="s">
        <v>182</v>
      </c>
      <c r="N70" s="4" t="s">
        <v>182</v>
      </c>
      <c r="O70" s="4" t="s">
        <v>183</v>
      </c>
      <c r="P70">
        <v>7237.94</v>
      </c>
      <c r="Q70" s="4" t="s">
        <v>30</v>
      </c>
    </row>
    <row r="71" spans="1:17" x14ac:dyDescent="0.2">
      <c r="A71" s="4" t="s">
        <v>254</v>
      </c>
      <c r="B71">
        <v>70</v>
      </c>
      <c r="C71" s="4" t="s">
        <v>26</v>
      </c>
      <c r="D71" s="4" t="s">
        <v>32</v>
      </c>
      <c r="E71" s="4" t="s">
        <v>27</v>
      </c>
      <c r="F71" s="4" t="s">
        <v>59</v>
      </c>
      <c r="G71">
        <v>3</v>
      </c>
      <c r="H71">
        <v>11</v>
      </c>
      <c r="I71" s="4" t="s">
        <v>203</v>
      </c>
      <c r="J71" s="4" t="s">
        <v>204</v>
      </c>
      <c r="K71" s="4" t="s">
        <v>205</v>
      </c>
      <c r="L71" s="4" t="s">
        <v>206</v>
      </c>
      <c r="M71" s="4" t="s">
        <v>182</v>
      </c>
      <c r="N71" s="4" t="s">
        <v>182</v>
      </c>
      <c r="O71" s="4" t="s">
        <v>183</v>
      </c>
      <c r="P71">
        <v>300</v>
      </c>
      <c r="Q71" s="4" t="s">
        <v>30</v>
      </c>
    </row>
    <row r="72" spans="1:17" x14ac:dyDescent="0.2">
      <c r="A72" s="4" t="s">
        <v>255</v>
      </c>
      <c r="B72">
        <v>71</v>
      </c>
      <c r="C72" s="4" t="s">
        <v>26</v>
      </c>
      <c r="D72" s="4" t="s">
        <v>32</v>
      </c>
      <c r="E72" s="4" t="s">
        <v>27</v>
      </c>
      <c r="F72" s="4" t="s">
        <v>59</v>
      </c>
      <c r="G72">
        <v>3</v>
      </c>
      <c r="H72">
        <v>11</v>
      </c>
      <c r="I72" s="4" t="s">
        <v>201</v>
      </c>
      <c r="J72" s="4" t="s">
        <v>202</v>
      </c>
      <c r="K72" s="4" t="s">
        <v>179</v>
      </c>
      <c r="L72" s="4" t="s">
        <v>180</v>
      </c>
      <c r="M72" s="4" t="s">
        <v>192</v>
      </c>
      <c r="N72" s="4" t="s">
        <v>182</v>
      </c>
      <c r="O72" s="4" t="s">
        <v>189</v>
      </c>
      <c r="P72">
        <v>-7237.94</v>
      </c>
      <c r="Q72" s="4" t="s">
        <v>30</v>
      </c>
    </row>
    <row r="73" spans="1:17" x14ac:dyDescent="0.2">
      <c r="A73" s="4" t="s">
        <v>256</v>
      </c>
      <c r="B73">
        <v>72</v>
      </c>
      <c r="C73" s="4" t="s">
        <v>26</v>
      </c>
      <c r="D73" s="4" t="s">
        <v>32</v>
      </c>
      <c r="E73" s="4" t="s">
        <v>27</v>
      </c>
      <c r="F73" s="4" t="s">
        <v>59</v>
      </c>
      <c r="G73">
        <v>3</v>
      </c>
      <c r="H73">
        <v>11</v>
      </c>
      <c r="I73" s="4" t="s">
        <v>212</v>
      </c>
      <c r="J73" s="4" t="s">
        <v>213</v>
      </c>
      <c r="K73" s="4" t="s">
        <v>205</v>
      </c>
      <c r="L73" s="4" t="s">
        <v>214</v>
      </c>
      <c r="M73" s="4" t="s">
        <v>182</v>
      </c>
      <c r="N73" s="4" t="s">
        <v>182</v>
      </c>
      <c r="O73" s="4" t="s">
        <v>189</v>
      </c>
      <c r="P73">
        <v>-8843.18</v>
      </c>
      <c r="Q73" s="4" t="s">
        <v>30</v>
      </c>
    </row>
    <row r="74" spans="1:17" x14ac:dyDescent="0.2">
      <c r="A74" s="4" t="s">
        <v>257</v>
      </c>
      <c r="B74">
        <v>73</v>
      </c>
      <c r="C74" s="4" t="s">
        <v>26</v>
      </c>
      <c r="D74" s="4" t="s">
        <v>32</v>
      </c>
      <c r="E74" s="4" t="s">
        <v>32</v>
      </c>
      <c r="F74" s="4" t="s">
        <v>61</v>
      </c>
      <c r="G74">
        <v>3</v>
      </c>
      <c r="H74">
        <v>12</v>
      </c>
      <c r="I74" s="4" t="s">
        <v>190</v>
      </c>
      <c r="J74" s="4" t="s">
        <v>191</v>
      </c>
      <c r="K74" s="4" t="s">
        <v>179</v>
      </c>
      <c r="L74" s="4" t="s">
        <v>180</v>
      </c>
      <c r="M74" s="4" t="s">
        <v>192</v>
      </c>
      <c r="N74" s="4" t="s">
        <v>182</v>
      </c>
      <c r="O74" s="4" t="s">
        <v>189</v>
      </c>
      <c r="P74">
        <v>-7482.25</v>
      </c>
      <c r="Q74" s="4" t="s">
        <v>30</v>
      </c>
    </row>
    <row r="75" spans="1:17" x14ac:dyDescent="0.2">
      <c r="A75" s="4" t="s">
        <v>258</v>
      </c>
      <c r="B75">
        <v>74</v>
      </c>
      <c r="C75" s="4" t="s">
        <v>26</v>
      </c>
      <c r="D75" s="4" t="s">
        <v>32</v>
      </c>
      <c r="E75" s="4" t="s">
        <v>32</v>
      </c>
      <c r="F75" s="4" t="s">
        <v>61</v>
      </c>
      <c r="G75">
        <v>3</v>
      </c>
      <c r="H75">
        <v>12</v>
      </c>
      <c r="I75" s="4" t="s">
        <v>190</v>
      </c>
      <c r="J75" s="4" t="s">
        <v>191</v>
      </c>
      <c r="K75" s="4" t="s">
        <v>179</v>
      </c>
      <c r="L75" s="4" t="s">
        <v>180</v>
      </c>
      <c r="M75" s="4" t="s">
        <v>192</v>
      </c>
      <c r="N75" s="4" t="s">
        <v>182</v>
      </c>
      <c r="O75" s="4" t="s">
        <v>183</v>
      </c>
      <c r="P75">
        <v>13493.44</v>
      </c>
      <c r="Q75" s="4" t="s">
        <v>30</v>
      </c>
    </row>
    <row r="76" spans="1:17" x14ac:dyDescent="0.2">
      <c r="A76" s="4" t="s">
        <v>259</v>
      </c>
      <c r="B76">
        <v>75</v>
      </c>
      <c r="C76" s="4" t="s">
        <v>26</v>
      </c>
      <c r="D76" s="4" t="s">
        <v>32</v>
      </c>
      <c r="E76" s="4" t="s">
        <v>32</v>
      </c>
      <c r="F76" s="4" t="s">
        <v>61</v>
      </c>
      <c r="G76">
        <v>3</v>
      </c>
      <c r="H76">
        <v>12</v>
      </c>
      <c r="I76" s="4" t="s">
        <v>207</v>
      </c>
      <c r="J76" s="4" t="s">
        <v>208</v>
      </c>
      <c r="K76" s="4" t="s">
        <v>179</v>
      </c>
      <c r="L76" s="4" t="s">
        <v>180</v>
      </c>
      <c r="M76" s="4" t="s">
        <v>192</v>
      </c>
      <c r="N76" s="4" t="s">
        <v>182</v>
      </c>
      <c r="O76" s="4" t="s">
        <v>189</v>
      </c>
      <c r="P76">
        <v>-13493.44</v>
      </c>
      <c r="Q76" s="4" t="s">
        <v>30</v>
      </c>
    </row>
    <row r="77" spans="1:17" x14ac:dyDescent="0.2">
      <c r="A77" s="4" t="s">
        <v>260</v>
      </c>
      <c r="B77">
        <v>76</v>
      </c>
      <c r="C77" s="4" t="s">
        <v>26</v>
      </c>
      <c r="D77" s="4" t="s">
        <v>32</v>
      </c>
      <c r="E77" s="4" t="s">
        <v>32</v>
      </c>
      <c r="F77" s="4" t="s">
        <v>61</v>
      </c>
      <c r="G77">
        <v>3</v>
      </c>
      <c r="H77">
        <v>12</v>
      </c>
      <c r="I77" s="4" t="s">
        <v>207</v>
      </c>
      <c r="J77" s="4" t="s">
        <v>208</v>
      </c>
      <c r="K77" s="4" t="s">
        <v>179</v>
      </c>
      <c r="L77" s="4" t="s">
        <v>180</v>
      </c>
      <c r="M77" s="4" t="s">
        <v>192</v>
      </c>
      <c r="N77" s="4" t="s">
        <v>182</v>
      </c>
      <c r="O77" s="4" t="s">
        <v>183</v>
      </c>
      <c r="P77">
        <v>7538.67</v>
      </c>
      <c r="Q77" s="4" t="s">
        <v>30</v>
      </c>
    </row>
    <row r="78" spans="1:17" x14ac:dyDescent="0.2">
      <c r="A78" s="4" t="s">
        <v>261</v>
      </c>
      <c r="B78">
        <v>77</v>
      </c>
      <c r="C78" s="4" t="s">
        <v>26</v>
      </c>
      <c r="D78" s="4" t="s">
        <v>32</v>
      </c>
      <c r="E78" s="4" t="s">
        <v>32</v>
      </c>
      <c r="F78" s="4" t="s">
        <v>61</v>
      </c>
      <c r="G78">
        <v>3</v>
      </c>
      <c r="H78">
        <v>12</v>
      </c>
      <c r="I78" s="4" t="s">
        <v>193</v>
      </c>
      <c r="J78" s="4" t="s">
        <v>194</v>
      </c>
      <c r="K78" s="4" t="s">
        <v>179</v>
      </c>
      <c r="L78" s="4" t="s">
        <v>186</v>
      </c>
      <c r="M78" s="4" t="s">
        <v>195</v>
      </c>
      <c r="N78" s="4" t="s">
        <v>196</v>
      </c>
      <c r="O78" s="4" t="s">
        <v>189</v>
      </c>
      <c r="P78">
        <v>-37555.43</v>
      </c>
      <c r="Q78" s="4" t="s">
        <v>30</v>
      </c>
    </row>
    <row r="79" spans="1:17" x14ac:dyDescent="0.2">
      <c r="A79" s="4" t="s">
        <v>262</v>
      </c>
      <c r="B79">
        <v>78</v>
      </c>
      <c r="C79" s="4" t="s">
        <v>26</v>
      </c>
      <c r="D79" s="4" t="s">
        <v>32</v>
      </c>
      <c r="E79" s="4" t="s">
        <v>32</v>
      </c>
      <c r="F79" s="4" t="s">
        <v>61</v>
      </c>
      <c r="G79">
        <v>3</v>
      </c>
      <c r="H79">
        <v>12</v>
      </c>
      <c r="I79" s="4" t="s">
        <v>193</v>
      </c>
      <c r="J79" s="4" t="s">
        <v>194</v>
      </c>
      <c r="K79" s="4" t="s">
        <v>179</v>
      </c>
      <c r="L79" s="4" t="s">
        <v>186</v>
      </c>
      <c r="M79" s="4" t="s">
        <v>195</v>
      </c>
      <c r="N79" s="4" t="s">
        <v>196</v>
      </c>
      <c r="O79" s="4" t="s">
        <v>183</v>
      </c>
      <c r="P79">
        <v>7182.25</v>
      </c>
      <c r="Q79" s="4" t="s">
        <v>30</v>
      </c>
    </row>
    <row r="80" spans="1:17" x14ac:dyDescent="0.2">
      <c r="A80" s="4" t="s">
        <v>263</v>
      </c>
      <c r="B80">
        <v>79</v>
      </c>
      <c r="C80" s="4" t="s">
        <v>26</v>
      </c>
      <c r="D80" s="4" t="s">
        <v>32</v>
      </c>
      <c r="E80" s="4" t="s">
        <v>32</v>
      </c>
      <c r="F80" s="4" t="s">
        <v>61</v>
      </c>
      <c r="G80">
        <v>3</v>
      </c>
      <c r="H80">
        <v>12</v>
      </c>
      <c r="I80" s="4" t="s">
        <v>197</v>
      </c>
      <c r="J80" s="4" t="s">
        <v>198</v>
      </c>
      <c r="K80" s="4" t="s">
        <v>179</v>
      </c>
      <c r="L80" s="4" t="s">
        <v>186</v>
      </c>
      <c r="M80" s="4" t="s">
        <v>195</v>
      </c>
      <c r="N80" s="4" t="s">
        <v>196</v>
      </c>
      <c r="O80" s="4" t="s">
        <v>189</v>
      </c>
      <c r="P80">
        <v>-36555.43</v>
      </c>
      <c r="Q80" s="4" t="s">
        <v>30</v>
      </c>
    </row>
    <row r="81" spans="1:17" x14ac:dyDescent="0.2">
      <c r="A81" s="4" t="s">
        <v>264</v>
      </c>
      <c r="B81">
        <v>80</v>
      </c>
      <c r="C81" s="4" t="s">
        <v>26</v>
      </c>
      <c r="D81" s="4" t="s">
        <v>32</v>
      </c>
      <c r="E81" s="4" t="s">
        <v>32</v>
      </c>
      <c r="F81" s="4" t="s">
        <v>61</v>
      </c>
      <c r="G81">
        <v>3</v>
      </c>
      <c r="H81">
        <v>12</v>
      </c>
      <c r="I81" s="4" t="s">
        <v>197</v>
      </c>
      <c r="J81" s="4" t="s">
        <v>198</v>
      </c>
      <c r="K81" s="4" t="s">
        <v>179</v>
      </c>
      <c r="L81" s="4" t="s">
        <v>186</v>
      </c>
      <c r="M81" s="4" t="s">
        <v>195</v>
      </c>
      <c r="N81" s="4" t="s">
        <v>196</v>
      </c>
      <c r="O81" s="4" t="s">
        <v>183</v>
      </c>
      <c r="P81">
        <v>36555.43</v>
      </c>
      <c r="Q81" s="4" t="s">
        <v>30</v>
      </c>
    </row>
    <row r="82" spans="1:17" x14ac:dyDescent="0.2">
      <c r="A82" s="4" t="s">
        <v>265</v>
      </c>
      <c r="B82">
        <v>81</v>
      </c>
      <c r="C82" s="4" t="s">
        <v>26</v>
      </c>
      <c r="D82" s="4" t="s">
        <v>32</v>
      </c>
      <c r="E82" s="4" t="s">
        <v>32</v>
      </c>
      <c r="F82" s="4" t="s">
        <v>61</v>
      </c>
      <c r="G82">
        <v>3</v>
      </c>
      <c r="H82">
        <v>12</v>
      </c>
      <c r="I82" s="4" t="s">
        <v>199</v>
      </c>
      <c r="J82" s="4" t="s">
        <v>200</v>
      </c>
      <c r="K82" s="4" t="s">
        <v>179</v>
      </c>
      <c r="L82" s="4" t="s">
        <v>186</v>
      </c>
      <c r="M82" s="4" t="s">
        <v>195</v>
      </c>
      <c r="N82" s="4" t="s">
        <v>196</v>
      </c>
      <c r="O82" s="4" t="s">
        <v>189</v>
      </c>
      <c r="P82">
        <v>-1000</v>
      </c>
      <c r="Q82" s="4" t="s">
        <v>30</v>
      </c>
    </row>
    <row r="83" spans="1:17" x14ac:dyDescent="0.2">
      <c r="A83" s="4" t="s">
        <v>266</v>
      </c>
      <c r="B83">
        <v>82</v>
      </c>
      <c r="C83" s="4" t="s">
        <v>26</v>
      </c>
      <c r="D83" s="4" t="s">
        <v>32</v>
      </c>
      <c r="E83" s="4" t="s">
        <v>32</v>
      </c>
      <c r="F83" s="4" t="s">
        <v>61</v>
      </c>
      <c r="G83">
        <v>3</v>
      </c>
      <c r="H83">
        <v>12</v>
      </c>
      <c r="I83" s="4" t="s">
        <v>199</v>
      </c>
      <c r="J83" s="4" t="s">
        <v>200</v>
      </c>
      <c r="K83" s="4" t="s">
        <v>179</v>
      </c>
      <c r="L83" s="4" t="s">
        <v>186</v>
      </c>
      <c r="M83" s="4" t="s">
        <v>195</v>
      </c>
      <c r="N83" s="4" t="s">
        <v>196</v>
      </c>
      <c r="O83" s="4" t="s">
        <v>183</v>
      </c>
      <c r="P83">
        <v>1000</v>
      </c>
      <c r="Q83" s="4" t="s">
        <v>30</v>
      </c>
    </row>
    <row r="84" spans="1:17" x14ac:dyDescent="0.2">
      <c r="A84" s="4" t="s">
        <v>267</v>
      </c>
      <c r="B84">
        <v>83</v>
      </c>
      <c r="C84" s="4" t="s">
        <v>26</v>
      </c>
      <c r="D84" s="4" t="s">
        <v>32</v>
      </c>
      <c r="E84" s="4" t="s">
        <v>32</v>
      </c>
      <c r="F84" s="4" t="s">
        <v>61</v>
      </c>
      <c r="G84">
        <v>3</v>
      </c>
      <c r="H84">
        <v>12</v>
      </c>
      <c r="I84" s="4" t="s">
        <v>209</v>
      </c>
      <c r="J84" s="4" t="s">
        <v>210</v>
      </c>
      <c r="K84" s="4" t="s">
        <v>205</v>
      </c>
      <c r="L84" s="4" t="s">
        <v>211</v>
      </c>
      <c r="M84" s="4" t="s">
        <v>182</v>
      </c>
      <c r="N84" s="4" t="s">
        <v>182</v>
      </c>
      <c r="O84" s="4" t="s">
        <v>183</v>
      </c>
      <c r="P84">
        <v>6452.52</v>
      </c>
      <c r="Q84" s="4" t="s">
        <v>30</v>
      </c>
    </row>
    <row r="85" spans="1:17" x14ac:dyDescent="0.2">
      <c r="A85" s="4" t="s">
        <v>268</v>
      </c>
      <c r="B85">
        <v>84</v>
      </c>
      <c r="C85" s="4" t="s">
        <v>26</v>
      </c>
      <c r="D85" s="4" t="s">
        <v>32</v>
      </c>
      <c r="E85" s="4" t="s">
        <v>32</v>
      </c>
      <c r="F85" s="4" t="s">
        <v>61</v>
      </c>
      <c r="G85">
        <v>3</v>
      </c>
      <c r="H85">
        <v>12</v>
      </c>
      <c r="I85" s="4" t="s">
        <v>203</v>
      </c>
      <c r="J85" s="4" t="s">
        <v>204</v>
      </c>
      <c r="K85" s="4" t="s">
        <v>205</v>
      </c>
      <c r="L85" s="4" t="s">
        <v>206</v>
      </c>
      <c r="M85" s="4" t="s">
        <v>182</v>
      </c>
      <c r="N85" s="4" t="s">
        <v>182</v>
      </c>
      <c r="O85" s="4" t="s">
        <v>183</v>
      </c>
      <c r="P85">
        <v>300</v>
      </c>
      <c r="Q85" s="4" t="s">
        <v>30</v>
      </c>
    </row>
    <row r="86" spans="1:17" x14ac:dyDescent="0.2">
      <c r="A86" s="4" t="s">
        <v>269</v>
      </c>
      <c r="B86">
        <v>85</v>
      </c>
      <c r="C86" s="4" t="s">
        <v>26</v>
      </c>
      <c r="D86" s="4" t="s">
        <v>32</v>
      </c>
      <c r="E86" s="4" t="s">
        <v>32</v>
      </c>
      <c r="F86" s="4" t="s">
        <v>61</v>
      </c>
      <c r="G86">
        <v>3</v>
      </c>
      <c r="H86">
        <v>12</v>
      </c>
      <c r="I86" s="4" t="s">
        <v>201</v>
      </c>
      <c r="J86" s="4" t="s">
        <v>202</v>
      </c>
      <c r="K86" s="4" t="s">
        <v>179</v>
      </c>
      <c r="L86" s="4" t="s">
        <v>180</v>
      </c>
      <c r="M86" s="4" t="s">
        <v>192</v>
      </c>
      <c r="N86" s="4" t="s">
        <v>182</v>
      </c>
      <c r="O86" s="4" t="s">
        <v>189</v>
      </c>
      <c r="P86">
        <v>-6452.52</v>
      </c>
      <c r="Q86" s="4" t="s">
        <v>30</v>
      </c>
    </row>
    <row r="87" spans="1:17" x14ac:dyDescent="0.2">
      <c r="A87" s="4" t="s">
        <v>270</v>
      </c>
      <c r="B87">
        <v>86</v>
      </c>
      <c r="C87" s="4" t="s">
        <v>26</v>
      </c>
      <c r="D87" s="4" t="s">
        <v>32</v>
      </c>
      <c r="E87" s="4" t="s">
        <v>32</v>
      </c>
      <c r="F87" s="4" t="s">
        <v>61</v>
      </c>
      <c r="G87">
        <v>3</v>
      </c>
      <c r="H87">
        <v>12</v>
      </c>
      <c r="I87" s="4" t="s">
        <v>201</v>
      </c>
      <c r="J87" s="4" t="s">
        <v>202</v>
      </c>
      <c r="K87" s="4" t="s">
        <v>179</v>
      </c>
      <c r="L87" s="4" t="s">
        <v>180</v>
      </c>
      <c r="M87" s="4" t="s">
        <v>192</v>
      </c>
      <c r="N87" s="4" t="s">
        <v>182</v>
      </c>
      <c r="O87" s="4" t="s">
        <v>183</v>
      </c>
      <c r="P87">
        <v>37555.43</v>
      </c>
      <c r="Q87" s="4" t="s">
        <v>30</v>
      </c>
    </row>
    <row r="88" spans="1:17" x14ac:dyDescent="0.2">
      <c r="A88" s="4" t="s">
        <v>271</v>
      </c>
      <c r="B88">
        <v>87</v>
      </c>
      <c r="C88" s="4" t="s">
        <v>26</v>
      </c>
      <c r="D88" s="4" t="s">
        <v>32</v>
      </c>
      <c r="E88" s="4" t="s">
        <v>32</v>
      </c>
      <c r="F88" s="4" t="s">
        <v>61</v>
      </c>
      <c r="G88">
        <v>3</v>
      </c>
      <c r="H88">
        <v>12</v>
      </c>
      <c r="I88" s="4" t="s">
        <v>212</v>
      </c>
      <c r="J88" s="4" t="s">
        <v>213</v>
      </c>
      <c r="K88" s="4" t="s">
        <v>205</v>
      </c>
      <c r="L88" s="4" t="s">
        <v>214</v>
      </c>
      <c r="M88" s="4" t="s">
        <v>182</v>
      </c>
      <c r="N88" s="4" t="s">
        <v>182</v>
      </c>
      <c r="O88" s="4" t="s">
        <v>189</v>
      </c>
      <c r="P88">
        <v>-7538.67</v>
      </c>
      <c r="Q88" s="4" t="s">
        <v>30</v>
      </c>
    </row>
    <row r="89" spans="1:17" x14ac:dyDescent="0.2">
      <c r="A89" s="4" t="s">
        <v>272</v>
      </c>
      <c r="B89">
        <v>88</v>
      </c>
      <c r="C89" s="4" t="s">
        <v>26</v>
      </c>
      <c r="D89" s="4" t="s">
        <v>32</v>
      </c>
      <c r="E89" s="4" t="s">
        <v>35</v>
      </c>
      <c r="F89" s="4" t="s">
        <v>63</v>
      </c>
      <c r="G89">
        <v>3</v>
      </c>
      <c r="H89">
        <v>13</v>
      </c>
      <c r="I89" s="4" t="s">
        <v>190</v>
      </c>
      <c r="J89" s="4" t="s">
        <v>191</v>
      </c>
      <c r="K89" s="4" t="s">
        <v>179</v>
      </c>
      <c r="L89" s="4" t="s">
        <v>180</v>
      </c>
      <c r="M89" s="4" t="s">
        <v>192</v>
      </c>
      <c r="N89" s="4" t="s">
        <v>182</v>
      </c>
      <c r="O89" s="4" t="s">
        <v>189</v>
      </c>
      <c r="P89">
        <v>-200</v>
      </c>
      <c r="Q89" s="4" t="s">
        <v>30</v>
      </c>
    </row>
    <row r="90" spans="1:17" x14ac:dyDescent="0.2">
      <c r="A90" s="4" t="s">
        <v>273</v>
      </c>
      <c r="B90">
        <v>89</v>
      </c>
      <c r="C90" s="4" t="s">
        <v>26</v>
      </c>
      <c r="D90" s="4" t="s">
        <v>32</v>
      </c>
      <c r="E90" s="4" t="s">
        <v>35</v>
      </c>
      <c r="F90" s="4" t="s">
        <v>63</v>
      </c>
      <c r="G90">
        <v>3</v>
      </c>
      <c r="H90">
        <v>13</v>
      </c>
      <c r="I90" s="4" t="s">
        <v>190</v>
      </c>
      <c r="J90" s="4" t="s">
        <v>191</v>
      </c>
      <c r="K90" s="4" t="s">
        <v>179</v>
      </c>
      <c r="L90" s="4" t="s">
        <v>180</v>
      </c>
      <c r="M90" s="4" t="s">
        <v>192</v>
      </c>
      <c r="N90" s="4" t="s">
        <v>182</v>
      </c>
      <c r="O90" s="4" t="s">
        <v>183</v>
      </c>
      <c r="P90">
        <v>13593.6</v>
      </c>
      <c r="Q90" s="4" t="s">
        <v>30</v>
      </c>
    </row>
    <row r="91" spans="1:17" x14ac:dyDescent="0.2">
      <c r="A91" s="4" t="s">
        <v>274</v>
      </c>
      <c r="B91">
        <v>90</v>
      </c>
      <c r="C91" s="4" t="s">
        <v>26</v>
      </c>
      <c r="D91" s="4" t="s">
        <v>32</v>
      </c>
      <c r="E91" s="4" t="s">
        <v>35</v>
      </c>
      <c r="F91" s="4" t="s">
        <v>63</v>
      </c>
      <c r="G91">
        <v>3</v>
      </c>
      <c r="H91">
        <v>13</v>
      </c>
      <c r="I91" s="4" t="s">
        <v>207</v>
      </c>
      <c r="J91" s="4" t="s">
        <v>208</v>
      </c>
      <c r="K91" s="4" t="s">
        <v>179</v>
      </c>
      <c r="L91" s="4" t="s">
        <v>180</v>
      </c>
      <c r="M91" s="4" t="s">
        <v>192</v>
      </c>
      <c r="N91" s="4" t="s">
        <v>182</v>
      </c>
      <c r="O91" s="4" t="s">
        <v>189</v>
      </c>
      <c r="P91">
        <v>-13593.6</v>
      </c>
      <c r="Q91" s="4" t="s">
        <v>30</v>
      </c>
    </row>
    <row r="92" spans="1:17" x14ac:dyDescent="0.2">
      <c r="A92" s="4" t="s">
        <v>275</v>
      </c>
      <c r="B92">
        <v>91</v>
      </c>
      <c r="C92" s="4" t="s">
        <v>26</v>
      </c>
      <c r="D92" s="4" t="s">
        <v>32</v>
      </c>
      <c r="E92" s="4" t="s">
        <v>35</v>
      </c>
      <c r="F92" s="4" t="s">
        <v>63</v>
      </c>
      <c r="G92">
        <v>3</v>
      </c>
      <c r="H92">
        <v>13</v>
      </c>
      <c r="I92" s="4" t="s">
        <v>207</v>
      </c>
      <c r="J92" s="4" t="s">
        <v>208</v>
      </c>
      <c r="K92" s="4" t="s">
        <v>179</v>
      </c>
      <c r="L92" s="4" t="s">
        <v>180</v>
      </c>
      <c r="M92" s="4" t="s">
        <v>192</v>
      </c>
      <c r="N92" s="4" t="s">
        <v>182</v>
      </c>
      <c r="O92" s="4" t="s">
        <v>183</v>
      </c>
      <c r="P92">
        <v>17756.849999999999</v>
      </c>
      <c r="Q92" s="4" t="s">
        <v>30</v>
      </c>
    </row>
    <row r="93" spans="1:17" x14ac:dyDescent="0.2">
      <c r="A93" s="4" t="s">
        <v>276</v>
      </c>
      <c r="B93">
        <v>92</v>
      </c>
      <c r="C93" s="4" t="s">
        <v>26</v>
      </c>
      <c r="D93" s="4" t="s">
        <v>32</v>
      </c>
      <c r="E93" s="4" t="s">
        <v>35</v>
      </c>
      <c r="F93" s="4" t="s">
        <v>63</v>
      </c>
      <c r="G93">
        <v>3</v>
      </c>
      <c r="H93">
        <v>13</v>
      </c>
      <c r="I93" s="4" t="s">
        <v>209</v>
      </c>
      <c r="J93" s="4" t="s">
        <v>210</v>
      </c>
      <c r="K93" s="4" t="s">
        <v>205</v>
      </c>
      <c r="L93" s="4" t="s">
        <v>211</v>
      </c>
      <c r="M93" s="4" t="s">
        <v>182</v>
      </c>
      <c r="N93" s="4" t="s">
        <v>182</v>
      </c>
      <c r="O93" s="4" t="s">
        <v>183</v>
      </c>
      <c r="P93">
        <v>14496.18</v>
      </c>
      <c r="Q93" s="4" t="s">
        <v>30</v>
      </c>
    </row>
    <row r="94" spans="1:17" x14ac:dyDescent="0.2">
      <c r="A94" s="4" t="s">
        <v>277</v>
      </c>
      <c r="B94">
        <v>93</v>
      </c>
      <c r="C94" s="4" t="s">
        <v>26</v>
      </c>
      <c r="D94" s="4" t="s">
        <v>32</v>
      </c>
      <c r="E94" s="4" t="s">
        <v>35</v>
      </c>
      <c r="F94" s="4" t="s">
        <v>63</v>
      </c>
      <c r="G94">
        <v>3</v>
      </c>
      <c r="H94">
        <v>13</v>
      </c>
      <c r="I94" s="4" t="s">
        <v>203</v>
      </c>
      <c r="J94" s="4" t="s">
        <v>204</v>
      </c>
      <c r="K94" s="4" t="s">
        <v>205</v>
      </c>
      <c r="L94" s="4" t="s">
        <v>206</v>
      </c>
      <c r="M94" s="4" t="s">
        <v>182</v>
      </c>
      <c r="N94" s="4" t="s">
        <v>182</v>
      </c>
      <c r="O94" s="4" t="s">
        <v>183</v>
      </c>
      <c r="P94">
        <v>200</v>
      </c>
      <c r="Q94" s="4" t="s">
        <v>30</v>
      </c>
    </row>
    <row r="95" spans="1:17" x14ac:dyDescent="0.2">
      <c r="A95" s="4" t="s">
        <v>278</v>
      </c>
      <c r="B95">
        <v>94</v>
      </c>
      <c r="C95" s="4" t="s">
        <v>26</v>
      </c>
      <c r="D95" s="4" t="s">
        <v>32</v>
      </c>
      <c r="E95" s="4" t="s">
        <v>35</v>
      </c>
      <c r="F95" s="4" t="s">
        <v>63</v>
      </c>
      <c r="G95">
        <v>3</v>
      </c>
      <c r="H95">
        <v>13</v>
      </c>
      <c r="I95" s="4" t="s">
        <v>201</v>
      </c>
      <c r="J95" s="4" t="s">
        <v>202</v>
      </c>
      <c r="K95" s="4" t="s">
        <v>179</v>
      </c>
      <c r="L95" s="4" t="s">
        <v>180</v>
      </c>
      <c r="M95" s="4" t="s">
        <v>192</v>
      </c>
      <c r="N95" s="4" t="s">
        <v>182</v>
      </c>
      <c r="O95" s="4" t="s">
        <v>189</v>
      </c>
      <c r="P95">
        <v>-14496.18</v>
      </c>
      <c r="Q95" s="4" t="s">
        <v>30</v>
      </c>
    </row>
    <row r="96" spans="1:17" x14ac:dyDescent="0.2">
      <c r="A96" s="4" t="s">
        <v>279</v>
      </c>
      <c r="B96">
        <v>95</v>
      </c>
      <c r="C96" s="4" t="s">
        <v>26</v>
      </c>
      <c r="D96" s="4" t="s">
        <v>32</v>
      </c>
      <c r="E96" s="4" t="s">
        <v>35</v>
      </c>
      <c r="F96" s="4" t="s">
        <v>63</v>
      </c>
      <c r="G96">
        <v>3</v>
      </c>
      <c r="H96">
        <v>13</v>
      </c>
      <c r="I96" s="4" t="s">
        <v>212</v>
      </c>
      <c r="J96" s="4" t="s">
        <v>213</v>
      </c>
      <c r="K96" s="4" t="s">
        <v>205</v>
      </c>
      <c r="L96" s="4" t="s">
        <v>214</v>
      </c>
      <c r="M96" s="4" t="s">
        <v>182</v>
      </c>
      <c r="N96" s="4" t="s">
        <v>182</v>
      </c>
      <c r="O96" s="4" t="s">
        <v>189</v>
      </c>
      <c r="P96">
        <v>-17756.849999999999</v>
      </c>
      <c r="Q96" s="4" t="s">
        <v>30</v>
      </c>
    </row>
    <row r="97" spans="1:17" x14ac:dyDescent="0.2">
      <c r="A97" s="4" t="s">
        <v>280</v>
      </c>
      <c r="B97">
        <v>96</v>
      </c>
      <c r="C97" s="4" t="s">
        <v>26</v>
      </c>
      <c r="D97" s="4" t="s">
        <v>32</v>
      </c>
      <c r="E97" s="4" t="s">
        <v>38</v>
      </c>
      <c r="F97" s="4" t="s">
        <v>65</v>
      </c>
      <c r="G97">
        <v>3</v>
      </c>
      <c r="H97">
        <v>14</v>
      </c>
      <c r="I97" s="4" t="s">
        <v>190</v>
      </c>
      <c r="J97" s="4" t="s">
        <v>191</v>
      </c>
      <c r="K97" s="4" t="s">
        <v>179</v>
      </c>
      <c r="L97" s="4" t="s">
        <v>180</v>
      </c>
      <c r="M97" s="4" t="s">
        <v>192</v>
      </c>
      <c r="N97" s="4" t="s">
        <v>182</v>
      </c>
      <c r="O97" s="4" t="s">
        <v>189</v>
      </c>
      <c r="P97">
        <v>-300</v>
      </c>
      <c r="Q97" s="4" t="s">
        <v>30</v>
      </c>
    </row>
    <row r="98" spans="1:17" x14ac:dyDescent="0.2">
      <c r="A98" s="4" t="s">
        <v>281</v>
      </c>
      <c r="B98">
        <v>97</v>
      </c>
      <c r="C98" s="4" t="s">
        <v>26</v>
      </c>
      <c r="D98" s="4" t="s">
        <v>32</v>
      </c>
      <c r="E98" s="4" t="s">
        <v>38</v>
      </c>
      <c r="F98" s="4" t="s">
        <v>65</v>
      </c>
      <c r="G98">
        <v>3</v>
      </c>
      <c r="H98">
        <v>14</v>
      </c>
      <c r="I98" s="4" t="s">
        <v>190</v>
      </c>
      <c r="J98" s="4" t="s">
        <v>191</v>
      </c>
      <c r="K98" s="4" t="s">
        <v>179</v>
      </c>
      <c r="L98" s="4" t="s">
        <v>180</v>
      </c>
      <c r="M98" s="4" t="s">
        <v>192</v>
      </c>
      <c r="N98" s="4" t="s">
        <v>182</v>
      </c>
      <c r="O98" s="4" t="s">
        <v>183</v>
      </c>
      <c r="P98">
        <v>2047.38</v>
      </c>
      <c r="Q98" s="4" t="s">
        <v>30</v>
      </c>
    </row>
    <row r="99" spans="1:17" x14ac:dyDescent="0.2">
      <c r="A99" s="4" t="s">
        <v>282</v>
      </c>
      <c r="B99">
        <v>98</v>
      </c>
      <c r="C99" s="4" t="s">
        <v>26</v>
      </c>
      <c r="D99" s="4" t="s">
        <v>32</v>
      </c>
      <c r="E99" s="4" t="s">
        <v>38</v>
      </c>
      <c r="F99" s="4" t="s">
        <v>65</v>
      </c>
      <c r="G99">
        <v>3</v>
      </c>
      <c r="H99">
        <v>14</v>
      </c>
      <c r="I99" s="4" t="s">
        <v>207</v>
      </c>
      <c r="J99" s="4" t="s">
        <v>208</v>
      </c>
      <c r="K99" s="4" t="s">
        <v>179</v>
      </c>
      <c r="L99" s="4" t="s">
        <v>180</v>
      </c>
      <c r="M99" s="4" t="s">
        <v>192</v>
      </c>
      <c r="N99" s="4" t="s">
        <v>182</v>
      </c>
      <c r="O99" s="4" t="s">
        <v>189</v>
      </c>
      <c r="P99">
        <v>-2047.38</v>
      </c>
      <c r="Q99" s="4" t="s">
        <v>30</v>
      </c>
    </row>
    <row r="100" spans="1:17" x14ac:dyDescent="0.2">
      <c r="A100" s="4" t="s">
        <v>283</v>
      </c>
      <c r="B100">
        <v>99</v>
      </c>
      <c r="C100" s="4" t="s">
        <v>26</v>
      </c>
      <c r="D100" s="4" t="s">
        <v>32</v>
      </c>
      <c r="E100" s="4" t="s">
        <v>38</v>
      </c>
      <c r="F100" s="4" t="s">
        <v>65</v>
      </c>
      <c r="G100">
        <v>3</v>
      </c>
      <c r="H100">
        <v>14</v>
      </c>
      <c r="I100" s="4" t="s">
        <v>207</v>
      </c>
      <c r="J100" s="4" t="s">
        <v>208</v>
      </c>
      <c r="K100" s="4" t="s">
        <v>179</v>
      </c>
      <c r="L100" s="4" t="s">
        <v>180</v>
      </c>
      <c r="M100" s="4" t="s">
        <v>192</v>
      </c>
      <c r="N100" s="4" t="s">
        <v>182</v>
      </c>
      <c r="O100" s="4" t="s">
        <v>183</v>
      </c>
      <c r="P100">
        <v>14854.77</v>
      </c>
      <c r="Q100" s="4" t="s">
        <v>30</v>
      </c>
    </row>
    <row r="101" spans="1:17" x14ac:dyDescent="0.2">
      <c r="A101" s="4" t="s">
        <v>284</v>
      </c>
      <c r="B101">
        <v>100</v>
      </c>
      <c r="C101" s="4" t="s">
        <v>26</v>
      </c>
      <c r="D101" s="4" t="s">
        <v>32</v>
      </c>
      <c r="E101" s="4" t="s">
        <v>38</v>
      </c>
      <c r="F101" s="4" t="s">
        <v>65</v>
      </c>
      <c r="G101">
        <v>3</v>
      </c>
      <c r="H101">
        <v>14</v>
      </c>
      <c r="I101" s="4" t="s">
        <v>209</v>
      </c>
      <c r="J101" s="4" t="s">
        <v>210</v>
      </c>
      <c r="K101" s="4" t="s">
        <v>205</v>
      </c>
      <c r="L101" s="4" t="s">
        <v>211</v>
      </c>
      <c r="M101" s="4" t="s">
        <v>182</v>
      </c>
      <c r="N101" s="4" t="s">
        <v>182</v>
      </c>
      <c r="O101" s="4" t="s">
        <v>183</v>
      </c>
      <c r="P101">
        <v>12722.21</v>
      </c>
      <c r="Q101" s="4" t="s">
        <v>30</v>
      </c>
    </row>
    <row r="102" spans="1:17" x14ac:dyDescent="0.2">
      <c r="A102" s="4" t="s">
        <v>285</v>
      </c>
      <c r="B102">
        <v>101</v>
      </c>
      <c r="C102" s="4" t="s">
        <v>26</v>
      </c>
      <c r="D102" s="4" t="s">
        <v>32</v>
      </c>
      <c r="E102" s="4" t="s">
        <v>38</v>
      </c>
      <c r="F102" s="4" t="s">
        <v>65</v>
      </c>
      <c r="G102">
        <v>3</v>
      </c>
      <c r="H102">
        <v>14</v>
      </c>
      <c r="I102" s="4" t="s">
        <v>203</v>
      </c>
      <c r="J102" s="4" t="s">
        <v>204</v>
      </c>
      <c r="K102" s="4" t="s">
        <v>205</v>
      </c>
      <c r="L102" s="4" t="s">
        <v>206</v>
      </c>
      <c r="M102" s="4" t="s">
        <v>182</v>
      </c>
      <c r="N102" s="4" t="s">
        <v>182</v>
      </c>
      <c r="O102" s="4" t="s">
        <v>183</v>
      </c>
      <c r="P102">
        <v>300</v>
      </c>
      <c r="Q102" s="4" t="s">
        <v>30</v>
      </c>
    </row>
    <row r="103" spans="1:17" x14ac:dyDescent="0.2">
      <c r="A103" s="4" t="s">
        <v>286</v>
      </c>
      <c r="B103">
        <v>102</v>
      </c>
      <c r="C103" s="4" t="s">
        <v>26</v>
      </c>
      <c r="D103" s="4" t="s">
        <v>32</v>
      </c>
      <c r="E103" s="4" t="s">
        <v>38</v>
      </c>
      <c r="F103" s="4" t="s">
        <v>65</v>
      </c>
      <c r="G103">
        <v>3</v>
      </c>
      <c r="H103">
        <v>14</v>
      </c>
      <c r="I103" s="4" t="s">
        <v>201</v>
      </c>
      <c r="J103" s="4" t="s">
        <v>202</v>
      </c>
      <c r="K103" s="4" t="s">
        <v>179</v>
      </c>
      <c r="L103" s="4" t="s">
        <v>180</v>
      </c>
      <c r="M103" s="4" t="s">
        <v>192</v>
      </c>
      <c r="N103" s="4" t="s">
        <v>182</v>
      </c>
      <c r="O103" s="4" t="s">
        <v>189</v>
      </c>
      <c r="P103">
        <v>-12722.21</v>
      </c>
      <c r="Q103" s="4" t="s">
        <v>30</v>
      </c>
    </row>
    <row r="104" spans="1:17" x14ac:dyDescent="0.2">
      <c r="A104" s="4" t="s">
        <v>287</v>
      </c>
      <c r="B104">
        <v>103</v>
      </c>
      <c r="C104" s="4" t="s">
        <v>26</v>
      </c>
      <c r="D104" s="4" t="s">
        <v>32</v>
      </c>
      <c r="E104" s="4" t="s">
        <v>38</v>
      </c>
      <c r="F104" s="4" t="s">
        <v>65</v>
      </c>
      <c r="G104">
        <v>3</v>
      </c>
      <c r="H104">
        <v>14</v>
      </c>
      <c r="I104" s="4" t="s">
        <v>212</v>
      </c>
      <c r="J104" s="4" t="s">
        <v>213</v>
      </c>
      <c r="K104" s="4" t="s">
        <v>205</v>
      </c>
      <c r="L104" s="4" t="s">
        <v>214</v>
      </c>
      <c r="M104" s="4" t="s">
        <v>182</v>
      </c>
      <c r="N104" s="4" t="s">
        <v>182</v>
      </c>
      <c r="O104" s="4" t="s">
        <v>189</v>
      </c>
      <c r="P104">
        <v>-14854.77</v>
      </c>
      <c r="Q104" s="4" t="s">
        <v>30</v>
      </c>
    </row>
    <row r="105" spans="1:17" x14ac:dyDescent="0.2">
      <c r="A105" s="4" t="s">
        <v>288</v>
      </c>
      <c r="B105">
        <v>104</v>
      </c>
      <c r="C105" s="4" t="s">
        <v>26</v>
      </c>
      <c r="D105" s="4" t="s">
        <v>32</v>
      </c>
      <c r="E105" s="4" t="s">
        <v>41</v>
      </c>
      <c r="F105" s="4" t="s">
        <v>67</v>
      </c>
      <c r="G105">
        <v>3</v>
      </c>
      <c r="H105">
        <v>15</v>
      </c>
      <c r="I105" s="4" t="s">
        <v>190</v>
      </c>
      <c r="J105" s="4" t="s">
        <v>191</v>
      </c>
      <c r="K105" s="4" t="s">
        <v>179</v>
      </c>
      <c r="L105" s="4" t="s">
        <v>180</v>
      </c>
      <c r="M105" s="4" t="s">
        <v>192</v>
      </c>
      <c r="N105" s="4" t="s">
        <v>182</v>
      </c>
      <c r="O105" s="4" t="s">
        <v>189</v>
      </c>
      <c r="P105">
        <v>-300</v>
      </c>
      <c r="Q105" s="4" t="s">
        <v>30</v>
      </c>
    </row>
    <row r="106" spans="1:17" x14ac:dyDescent="0.2">
      <c r="A106" s="4" t="s">
        <v>289</v>
      </c>
      <c r="B106">
        <v>105</v>
      </c>
      <c r="C106" s="4" t="s">
        <v>26</v>
      </c>
      <c r="D106" s="4" t="s">
        <v>32</v>
      </c>
      <c r="E106" s="4" t="s">
        <v>41</v>
      </c>
      <c r="F106" s="4" t="s">
        <v>67</v>
      </c>
      <c r="G106">
        <v>3</v>
      </c>
      <c r="H106">
        <v>15</v>
      </c>
      <c r="I106" s="4" t="s">
        <v>190</v>
      </c>
      <c r="J106" s="4" t="s">
        <v>191</v>
      </c>
      <c r="K106" s="4" t="s">
        <v>179</v>
      </c>
      <c r="L106" s="4" t="s">
        <v>180</v>
      </c>
      <c r="M106" s="4" t="s">
        <v>192</v>
      </c>
      <c r="N106" s="4" t="s">
        <v>182</v>
      </c>
      <c r="O106" s="4" t="s">
        <v>183</v>
      </c>
      <c r="P106">
        <v>8843.18</v>
      </c>
      <c r="Q106" s="4" t="s">
        <v>30</v>
      </c>
    </row>
    <row r="107" spans="1:17" x14ac:dyDescent="0.2">
      <c r="A107" s="4" t="s">
        <v>290</v>
      </c>
      <c r="B107">
        <v>106</v>
      </c>
      <c r="C107" s="4" t="s">
        <v>26</v>
      </c>
      <c r="D107" s="4" t="s">
        <v>32</v>
      </c>
      <c r="E107" s="4" t="s">
        <v>41</v>
      </c>
      <c r="F107" s="4" t="s">
        <v>67</v>
      </c>
      <c r="G107">
        <v>3</v>
      </c>
      <c r="H107">
        <v>15</v>
      </c>
      <c r="I107" s="4" t="s">
        <v>207</v>
      </c>
      <c r="J107" s="4" t="s">
        <v>208</v>
      </c>
      <c r="K107" s="4" t="s">
        <v>179</v>
      </c>
      <c r="L107" s="4" t="s">
        <v>180</v>
      </c>
      <c r="M107" s="4" t="s">
        <v>192</v>
      </c>
      <c r="N107" s="4" t="s">
        <v>182</v>
      </c>
      <c r="O107" s="4" t="s">
        <v>189</v>
      </c>
      <c r="P107">
        <v>-8843.18</v>
      </c>
      <c r="Q107" s="4" t="s">
        <v>30</v>
      </c>
    </row>
    <row r="108" spans="1:17" x14ac:dyDescent="0.2">
      <c r="A108" s="4" t="s">
        <v>291</v>
      </c>
      <c r="B108">
        <v>107</v>
      </c>
      <c r="C108" s="4" t="s">
        <v>26</v>
      </c>
      <c r="D108" s="4" t="s">
        <v>32</v>
      </c>
      <c r="E108" s="4" t="s">
        <v>41</v>
      </c>
      <c r="F108" s="4" t="s">
        <v>67</v>
      </c>
      <c r="G108">
        <v>3</v>
      </c>
      <c r="H108">
        <v>15</v>
      </c>
      <c r="I108" s="4" t="s">
        <v>207</v>
      </c>
      <c r="J108" s="4" t="s">
        <v>208</v>
      </c>
      <c r="K108" s="4" t="s">
        <v>179</v>
      </c>
      <c r="L108" s="4" t="s">
        <v>180</v>
      </c>
      <c r="M108" s="4" t="s">
        <v>192</v>
      </c>
      <c r="N108" s="4" t="s">
        <v>182</v>
      </c>
      <c r="O108" s="4" t="s">
        <v>183</v>
      </c>
      <c r="P108">
        <v>17157.349999999999</v>
      </c>
      <c r="Q108" s="4" t="s">
        <v>30</v>
      </c>
    </row>
    <row r="109" spans="1:17" x14ac:dyDescent="0.2">
      <c r="A109" s="4" t="s">
        <v>292</v>
      </c>
      <c r="B109">
        <v>108</v>
      </c>
      <c r="C109" s="4" t="s">
        <v>26</v>
      </c>
      <c r="D109" s="4" t="s">
        <v>32</v>
      </c>
      <c r="E109" s="4" t="s">
        <v>41</v>
      </c>
      <c r="F109" s="4" t="s">
        <v>67</v>
      </c>
      <c r="G109">
        <v>3</v>
      </c>
      <c r="H109">
        <v>15</v>
      </c>
      <c r="I109" s="4" t="s">
        <v>209</v>
      </c>
      <c r="J109" s="4" t="s">
        <v>210</v>
      </c>
      <c r="K109" s="4" t="s">
        <v>205</v>
      </c>
      <c r="L109" s="4" t="s">
        <v>211</v>
      </c>
      <c r="M109" s="4" t="s">
        <v>182</v>
      </c>
      <c r="N109" s="4" t="s">
        <v>182</v>
      </c>
      <c r="O109" s="4" t="s">
        <v>183</v>
      </c>
      <c r="P109">
        <v>14548.1</v>
      </c>
      <c r="Q109" s="4" t="s">
        <v>30</v>
      </c>
    </row>
    <row r="110" spans="1:17" x14ac:dyDescent="0.2">
      <c r="A110" s="4" t="s">
        <v>293</v>
      </c>
      <c r="B110">
        <v>109</v>
      </c>
      <c r="C110" s="4" t="s">
        <v>26</v>
      </c>
      <c r="D110" s="4" t="s">
        <v>32</v>
      </c>
      <c r="E110" s="4" t="s">
        <v>41</v>
      </c>
      <c r="F110" s="4" t="s">
        <v>67</v>
      </c>
      <c r="G110">
        <v>3</v>
      </c>
      <c r="H110">
        <v>15</v>
      </c>
      <c r="I110" s="4" t="s">
        <v>203</v>
      </c>
      <c r="J110" s="4" t="s">
        <v>204</v>
      </c>
      <c r="K110" s="4" t="s">
        <v>205</v>
      </c>
      <c r="L110" s="4" t="s">
        <v>206</v>
      </c>
      <c r="M110" s="4" t="s">
        <v>182</v>
      </c>
      <c r="N110" s="4" t="s">
        <v>182</v>
      </c>
      <c r="O110" s="4" t="s">
        <v>183</v>
      </c>
      <c r="P110">
        <v>300</v>
      </c>
      <c r="Q110" s="4" t="s">
        <v>30</v>
      </c>
    </row>
    <row r="111" spans="1:17" x14ac:dyDescent="0.2">
      <c r="A111" s="4" t="s">
        <v>294</v>
      </c>
      <c r="B111">
        <v>110</v>
      </c>
      <c r="C111" s="4" t="s">
        <v>26</v>
      </c>
      <c r="D111" s="4" t="s">
        <v>32</v>
      </c>
      <c r="E111" s="4" t="s">
        <v>41</v>
      </c>
      <c r="F111" s="4" t="s">
        <v>67</v>
      </c>
      <c r="G111">
        <v>3</v>
      </c>
      <c r="H111">
        <v>15</v>
      </c>
      <c r="I111" s="4" t="s">
        <v>201</v>
      </c>
      <c r="J111" s="4" t="s">
        <v>202</v>
      </c>
      <c r="K111" s="4" t="s">
        <v>179</v>
      </c>
      <c r="L111" s="4" t="s">
        <v>180</v>
      </c>
      <c r="M111" s="4" t="s">
        <v>192</v>
      </c>
      <c r="N111" s="4" t="s">
        <v>182</v>
      </c>
      <c r="O111" s="4" t="s">
        <v>189</v>
      </c>
      <c r="P111">
        <v>-14548.1</v>
      </c>
      <c r="Q111" s="4" t="s">
        <v>30</v>
      </c>
    </row>
    <row r="112" spans="1:17" x14ac:dyDescent="0.2">
      <c r="A112" s="4" t="s">
        <v>295</v>
      </c>
      <c r="B112">
        <v>111</v>
      </c>
      <c r="C112" s="4" t="s">
        <v>26</v>
      </c>
      <c r="D112" s="4" t="s">
        <v>32</v>
      </c>
      <c r="E112" s="4" t="s">
        <v>41</v>
      </c>
      <c r="F112" s="4" t="s">
        <v>67</v>
      </c>
      <c r="G112">
        <v>3</v>
      </c>
      <c r="H112">
        <v>15</v>
      </c>
      <c r="I112" s="4" t="s">
        <v>212</v>
      </c>
      <c r="J112" s="4" t="s">
        <v>213</v>
      </c>
      <c r="K112" s="4" t="s">
        <v>205</v>
      </c>
      <c r="L112" s="4" t="s">
        <v>214</v>
      </c>
      <c r="M112" s="4" t="s">
        <v>182</v>
      </c>
      <c r="N112" s="4" t="s">
        <v>182</v>
      </c>
      <c r="O112" s="4" t="s">
        <v>189</v>
      </c>
      <c r="P112">
        <v>-17157.349999999999</v>
      </c>
      <c r="Q112" s="4" t="s">
        <v>30</v>
      </c>
    </row>
    <row r="113" spans="1:17" x14ac:dyDescent="0.2">
      <c r="A113" s="4" t="s">
        <v>296</v>
      </c>
      <c r="B113">
        <v>112</v>
      </c>
      <c r="C113" s="4" t="s">
        <v>26</v>
      </c>
      <c r="D113" s="4" t="s">
        <v>32</v>
      </c>
      <c r="E113" s="4" t="s">
        <v>44</v>
      </c>
      <c r="F113" s="4" t="s">
        <v>69</v>
      </c>
      <c r="G113">
        <v>4</v>
      </c>
      <c r="H113">
        <v>16</v>
      </c>
      <c r="I113" s="4" t="s">
        <v>190</v>
      </c>
      <c r="J113" s="4" t="s">
        <v>191</v>
      </c>
      <c r="K113" s="4" t="s">
        <v>179</v>
      </c>
      <c r="L113" s="4" t="s">
        <v>180</v>
      </c>
      <c r="M113" s="4" t="s">
        <v>192</v>
      </c>
      <c r="N113" s="4" t="s">
        <v>182</v>
      </c>
      <c r="O113" s="4" t="s">
        <v>189</v>
      </c>
      <c r="P113">
        <v>-300</v>
      </c>
      <c r="Q113" s="4" t="s">
        <v>30</v>
      </c>
    </row>
    <row r="114" spans="1:17" x14ac:dyDescent="0.2">
      <c r="A114" s="4" t="s">
        <v>297</v>
      </c>
      <c r="B114">
        <v>113</v>
      </c>
      <c r="C114" s="4" t="s">
        <v>26</v>
      </c>
      <c r="D114" s="4" t="s">
        <v>32</v>
      </c>
      <c r="E114" s="4" t="s">
        <v>44</v>
      </c>
      <c r="F114" s="4" t="s">
        <v>69</v>
      </c>
      <c r="G114">
        <v>4</v>
      </c>
      <c r="H114">
        <v>16</v>
      </c>
      <c r="I114" s="4" t="s">
        <v>190</v>
      </c>
      <c r="J114" s="4" t="s">
        <v>191</v>
      </c>
      <c r="K114" s="4" t="s">
        <v>179</v>
      </c>
      <c r="L114" s="4" t="s">
        <v>180</v>
      </c>
      <c r="M114" s="4" t="s">
        <v>192</v>
      </c>
      <c r="N114" s="4" t="s">
        <v>182</v>
      </c>
      <c r="O114" s="4" t="s">
        <v>183</v>
      </c>
      <c r="P114">
        <v>7538.67</v>
      </c>
      <c r="Q114" s="4" t="s">
        <v>30</v>
      </c>
    </row>
    <row r="115" spans="1:17" x14ac:dyDescent="0.2">
      <c r="A115" s="4" t="s">
        <v>298</v>
      </c>
      <c r="B115">
        <v>114</v>
      </c>
      <c r="C115" s="4" t="s">
        <v>26</v>
      </c>
      <c r="D115" s="4" t="s">
        <v>32</v>
      </c>
      <c r="E115" s="4" t="s">
        <v>44</v>
      </c>
      <c r="F115" s="4" t="s">
        <v>69</v>
      </c>
      <c r="G115">
        <v>4</v>
      </c>
      <c r="H115">
        <v>16</v>
      </c>
      <c r="I115" s="4" t="s">
        <v>207</v>
      </c>
      <c r="J115" s="4" t="s">
        <v>208</v>
      </c>
      <c r="K115" s="4" t="s">
        <v>179</v>
      </c>
      <c r="L115" s="4" t="s">
        <v>180</v>
      </c>
      <c r="M115" s="4" t="s">
        <v>192</v>
      </c>
      <c r="N115" s="4" t="s">
        <v>182</v>
      </c>
      <c r="O115" s="4" t="s">
        <v>189</v>
      </c>
      <c r="P115">
        <v>-7538.67</v>
      </c>
      <c r="Q115" s="4" t="s">
        <v>30</v>
      </c>
    </row>
    <row r="116" spans="1:17" x14ac:dyDescent="0.2">
      <c r="A116" s="4" t="s">
        <v>299</v>
      </c>
      <c r="B116">
        <v>115</v>
      </c>
      <c r="C116" s="4" t="s">
        <v>26</v>
      </c>
      <c r="D116" s="4" t="s">
        <v>32</v>
      </c>
      <c r="E116" s="4" t="s">
        <v>44</v>
      </c>
      <c r="F116" s="4" t="s">
        <v>69</v>
      </c>
      <c r="G116">
        <v>4</v>
      </c>
      <c r="H116">
        <v>16</v>
      </c>
      <c r="I116" s="4" t="s">
        <v>207</v>
      </c>
      <c r="J116" s="4" t="s">
        <v>208</v>
      </c>
      <c r="K116" s="4" t="s">
        <v>179</v>
      </c>
      <c r="L116" s="4" t="s">
        <v>180</v>
      </c>
      <c r="M116" s="4" t="s">
        <v>192</v>
      </c>
      <c r="N116" s="4" t="s">
        <v>182</v>
      </c>
      <c r="O116" s="4" t="s">
        <v>183</v>
      </c>
      <c r="P116">
        <v>17162.72</v>
      </c>
      <c r="Q116" s="4" t="s">
        <v>30</v>
      </c>
    </row>
    <row r="117" spans="1:17" x14ac:dyDescent="0.2">
      <c r="A117" s="4" t="s">
        <v>300</v>
      </c>
      <c r="B117">
        <v>116</v>
      </c>
      <c r="C117" s="4" t="s">
        <v>26</v>
      </c>
      <c r="D117" s="4" t="s">
        <v>32</v>
      </c>
      <c r="E117" s="4" t="s">
        <v>44</v>
      </c>
      <c r="F117" s="4" t="s">
        <v>69</v>
      </c>
      <c r="G117">
        <v>4</v>
      </c>
      <c r="H117">
        <v>16</v>
      </c>
      <c r="I117" s="4" t="s">
        <v>193</v>
      </c>
      <c r="J117" s="4" t="s">
        <v>194</v>
      </c>
      <c r="K117" s="4" t="s">
        <v>179</v>
      </c>
      <c r="L117" s="4" t="s">
        <v>186</v>
      </c>
      <c r="M117" s="4" t="s">
        <v>195</v>
      </c>
      <c r="N117" s="4" t="s">
        <v>196</v>
      </c>
      <c r="O117" s="4" t="s">
        <v>189</v>
      </c>
      <c r="P117">
        <v>-41042.25</v>
      </c>
      <c r="Q117" s="4" t="s">
        <v>30</v>
      </c>
    </row>
    <row r="118" spans="1:17" x14ac:dyDescent="0.2">
      <c r="A118" s="4" t="s">
        <v>301</v>
      </c>
      <c r="B118">
        <v>117</v>
      </c>
      <c r="C118" s="4" t="s">
        <v>26</v>
      </c>
      <c r="D118" s="4" t="s">
        <v>32</v>
      </c>
      <c r="E118" s="4" t="s">
        <v>44</v>
      </c>
      <c r="F118" s="4" t="s">
        <v>69</v>
      </c>
      <c r="G118">
        <v>4</v>
      </c>
      <c r="H118">
        <v>16</v>
      </c>
      <c r="I118" s="4" t="s">
        <v>197</v>
      </c>
      <c r="J118" s="4" t="s">
        <v>198</v>
      </c>
      <c r="K118" s="4" t="s">
        <v>179</v>
      </c>
      <c r="L118" s="4" t="s">
        <v>186</v>
      </c>
      <c r="M118" s="4" t="s">
        <v>195</v>
      </c>
      <c r="N118" s="4" t="s">
        <v>196</v>
      </c>
      <c r="O118" s="4" t="s">
        <v>189</v>
      </c>
      <c r="P118">
        <v>-40042.25</v>
      </c>
      <c r="Q118" s="4" t="s">
        <v>30</v>
      </c>
    </row>
    <row r="119" spans="1:17" x14ac:dyDescent="0.2">
      <c r="A119" s="4" t="s">
        <v>302</v>
      </c>
      <c r="B119">
        <v>118</v>
      </c>
      <c r="C119" s="4" t="s">
        <v>26</v>
      </c>
      <c r="D119" s="4" t="s">
        <v>32</v>
      </c>
      <c r="E119" s="4" t="s">
        <v>44</v>
      </c>
      <c r="F119" s="4" t="s">
        <v>69</v>
      </c>
      <c r="G119">
        <v>4</v>
      </c>
      <c r="H119">
        <v>16</v>
      </c>
      <c r="I119" s="4" t="s">
        <v>197</v>
      </c>
      <c r="J119" s="4" t="s">
        <v>198</v>
      </c>
      <c r="K119" s="4" t="s">
        <v>179</v>
      </c>
      <c r="L119" s="4" t="s">
        <v>186</v>
      </c>
      <c r="M119" s="4" t="s">
        <v>195</v>
      </c>
      <c r="N119" s="4" t="s">
        <v>196</v>
      </c>
      <c r="O119" s="4" t="s">
        <v>183</v>
      </c>
      <c r="P119">
        <v>40042.25</v>
      </c>
      <c r="Q119" s="4" t="s">
        <v>30</v>
      </c>
    </row>
    <row r="120" spans="1:17" x14ac:dyDescent="0.2">
      <c r="A120" s="4" t="s">
        <v>303</v>
      </c>
      <c r="B120">
        <v>119</v>
      </c>
      <c r="C120" s="4" t="s">
        <v>26</v>
      </c>
      <c r="D120" s="4" t="s">
        <v>32</v>
      </c>
      <c r="E120" s="4" t="s">
        <v>44</v>
      </c>
      <c r="F120" s="4" t="s">
        <v>69</v>
      </c>
      <c r="G120">
        <v>4</v>
      </c>
      <c r="H120">
        <v>16</v>
      </c>
      <c r="I120" s="4" t="s">
        <v>199</v>
      </c>
      <c r="J120" s="4" t="s">
        <v>200</v>
      </c>
      <c r="K120" s="4" t="s">
        <v>179</v>
      </c>
      <c r="L120" s="4" t="s">
        <v>186</v>
      </c>
      <c r="M120" s="4" t="s">
        <v>195</v>
      </c>
      <c r="N120" s="4" t="s">
        <v>196</v>
      </c>
      <c r="O120" s="4" t="s">
        <v>189</v>
      </c>
      <c r="P120">
        <v>-1000</v>
      </c>
      <c r="Q120" s="4" t="s">
        <v>30</v>
      </c>
    </row>
    <row r="121" spans="1:17" x14ac:dyDescent="0.2">
      <c r="A121" s="4" t="s">
        <v>304</v>
      </c>
      <c r="B121">
        <v>120</v>
      </c>
      <c r="C121" s="4" t="s">
        <v>26</v>
      </c>
      <c r="D121" s="4" t="s">
        <v>32</v>
      </c>
      <c r="E121" s="4" t="s">
        <v>44</v>
      </c>
      <c r="F121" s="4" t="s">
        <v>69</v>
      </c>
      <c r="G121">
        <v>4</v>
      </c>
      <c r="H121">
        <v>16</v>
      </c>
      <c r="I121" s="4" t="s">
        <v>199</v>
      </c>
      <c r="J121" s="4" t="s">
        <v>200</v>
      </c>
      <c r="K121" s="4" t="s">
        <v>179</v>
      </c>
      <c r="L121" s="4" t="s">
        <v>186</v>
      </c>
      <c r="M121" s="4" t="s">
        <v>195</v>
      </c>
      <c r="N121" s="4" t="s">
        <v>196</v>
      </c>
      <c r="O121" s="4" t="s">
        <v>183</v>
      </c>
      <c r="P121">
        <v>1000</v>
      </c>
      <c r="Q121" s="4" t="s">
        <v>30</v>
      </c>
    </row>
    <row r="122" spans="1:17" x14ac:dyDescent="0.2">
      <c r="A122" s="4" t="s">
        <v>305</v>
      </c>
      <c r="B122">
        <v>121</v>
      </c>
      <c r="C122" s="4" t="s">
        <v>26</v>
      </c>
      <c r="D122" s="4" t="s">
        <v>32</v>
      </c>
      <c r="E122" s="4" t="s">
        <v>44</v>
      </c>
      <c r="F122" s="4" t="s">
        <v>69</v>
      </c>
      <c r="G122">
        <v>4</v>
      </c>
      <c r="H122">
        <v>16</v>
      </c>
      <c r="I122" s="4" t="s">
        <v>209</v>
      </c>
      <c r="J122" s="4" t="s">
        <v>210</v>
      </c>
      <c r="K122" s="4" t="s">
        <v>205</v>
      </c>
      <c r="L122" s="4" t="s">
        <v>211</v>
      </c>
      <c r="M122" s="4" t="s">
        <v>182</v>
      </c>
      <c r="N122" s="4" t="s">
        <v>182</v>
      </c>
      <c r="O122" s="4" t="s">
        <v>183</v>
      </c>
      <c r="P122">
        <v>14412.12</v>
      </c>
      <c r="Q122" s="4" t="s">
        <v>30</v>
      </c>
    </row>
    <row r="123" spans="1:17" x14ac:dyDescent="0.2">
      <c r="A123" s="4" t="s">
        <v>306</v>
      </c>
      <c r="B123">
        <v>122</v>
      </c>
      <c r="C123" s="4" t="s">
        <v>26</v>
      </c>
      <c r="D123" s="4" t="s">
        <v>32</v>
      </c>
      <c r="E123" s="4" t="s">
        <v>44</v>
      </c>
      <c r="F123" s="4" t="s">
        <v>69</v>
      </c>
      <c r="G123">
        <v>4</v>
      </c>
      <c r="H123">
        <v>16</v>
      </c>
      <c r="I123" s="4" t="s">
        <v>203</v>
      </c>
      <c r="J123" s="4" t="s">
        <v>204</v>
      </c>
      <c r="K123" s="4" t="s">
        <v>205</v>
      </c>
      <c r="L123" s="4" t="s">
        <v>206</v>
      </c>
      <c r="M123" s="4" t="s">
        <v>182</v>
      </c>
      <c r="N123" s="4" t="s">
        <v>182</v>
      </c>
      <c r="O123" s="4" t="s">
        <v>183</v>
      </c>
      <c r="P123">
        <v>300</v>
      </c>
      <c r="Q123" s="4" t="s">
        <v>30</v>
      </c>
    </row>
    <row r="124" spans="1:17" x14ac:dyDescent="0.2">
      <c r="A124" s="4" t="s">
        <v>307</v>
      </c>
      <c r="B124">
        <v>123</v>
      </c>
      <c r="C124" s="4" t="s">
        <v>26</v>
      </c>
      <c r="D124" s="4" t="s">
        <v>32</v>
      </c>
      <c r="E124" s="4" t="s">
        <v>44</v>
      </c>
      <c r="F124" s="4" t="s">
        <v>69</v>
      </c>
      <c r="G124">
        <v>4</v>
      </c>
      <c r="H124">
        <v>16</v>
      </c>
      <c r="I124" s="4" t="s">
        <v>201</v>
      </c>
      <c r="J124" s="4" t="s">
        <v>202</v>
      </c>
      <c r="K124" s="4" t="s">
        <v>179</v>
      </c>
      <c r="L124" s="4" t="s">
        <v>180</v>
      </c>
      <c r="M124" s="4" t="s">
        <v>192</v>
      </c>
      <c r="N124" s="4" t="s">
        <v>182</v>
      </c>
      <c r="O124" s="4" t="s">
        <v>189</v>
      </c>
      <c r="P124">
        <v>-14412.12</v>
      </c>
      <c r="Q124" s="4" t="s">
        <v>30</v>
      </c>
    </row>
    <row r="125" spans="1:17" x14ac:dyDescent="0.2">
      <c r="A125" s="4" t="s">
        <v>308</v>
      </c>
      <c r="B125">
        <v>124</v>
      </c>
      <c r="C125" s="4" t="s">
        <v>26</v>
      </c>
      <c r="D125" s="4" t="s">
        <v>32</v>
      </c>
      <c r="E125" s="4" t="s">
        <v>44</v>
      </c>
      <c r="F125" s="4" t="s">
        <v>69</v>
      </c>
      <c r="G125">
        <v>4</v>
      </c>
      <c r="H125">
        <v>16</v>
      </c>
      <c r="I125" s="4" t="s">
        <v>201</v>
      </c>
      <c r="J125" s="4" t="s">
        <v>202</v>
      </c>
      <c r="K125" s="4" t="s">
        <v>179</v>
      </c>
      <c r="L125" s="4" t="s">
        <v>180</v>
      </c>
      <c r="M125" s="4" t="s">
        <v>192</v>
      </c>
      <c r="N125" s="4" t="s">
        <v>182</v>
      </c>
      <c r="O125" s="4" t="s">
        <v>183</v>
      </c>
      <c r="P125">
        <v>41042.25</v>
      </c>
      <c r="Q125" s="4" t="s">
        <v>30</v>
      </c>
    </row>
    <row r="126" spans="1:17" x14ac:dyDescent="0.2">
      <c r="A126" s="4" t="s">
        <v>309</v>
      </c>
      <c r="B126">
        <v>125</v>
      </c>
      <c r="C126" s="4" t="s">
        <v>26</v>
      </c>
      <c r="D126" s="4" t="s">
        <v>32</v>
      </c>
      <c r="E126" s="4" t="s">
        <v>44</v>
      </c>
      <c r="F126" s="4" t="s">
        <v>69</v>
      </c>
      <c r="G126">
        <v>4</v>
      </c>
      <c r="H126">
        <v>16</v>
      </c>
      <c r="I126" s="4" t="s">
        <v>212</v>
      </c>
      <c r="J126" s="4" t="s">
        <v>213</v>
      </c>
      <c r="K126" s="4" t="s">
        <v>205</v>
      </c>
      <c r="L126" s="4" t="s">
        <v>214</v>
      </c>
      <c r="M126" s="4" t="s">
        <v>182</v>
      </c>
      <c r="N126" s="4" t="s">
        <v>182</v>
      </c>
      <c r="O126" s="4" t="s">
        <v>189</v>
      </c>
      <c r="P126">
        <v>-17162.72</v>
      </c>
      <c r="Q126" s="4" t="s">
        <v>30</v>
      </c>
    </row>
    <row r="127" spans="1:17" x14ac:dyDescent="0.2">
      <c r="A127" s="4" t="s">
        <v>310</v>
      </c>
      <c r="B127">
        <v>126</v>
      </c>
      <c r="C127" s="4" t="s">
        <v>26</v>
      </c>
      <c r="D127" s="4" t="s">
        <v>32</v>
      </c>
      <c r="E127" s="4" t="s">
        <v>47</v>
      </c>
      <c r="F127" s="4" t="s">
        <v>71</v>
      </c>
      <c r="G127">
        <v>4</v>
      </c>
      <c r="H127">
        <v>17</v>
      </c>
      <c r="I127" s="4" t="s">
        <v>190</v>
      </c>
      <c r="J127" s="4" t="s">
        <v>191</v>
      </c>
      <c r="K127" s="4" t="s">
        <v>179</v>
      </c>
      <c r="L127" s="4" t="s">
        <v>180</v>
      </c>
      <c r="M127" s="4" t="s">
        <v>192</v>
      </c>
      <c r="N127" s="4" t="s">
        <v>182</v>
      </c>
      <c r="O127" s="4" t="s">
        <v>189</v>
      </c>
      <c r="P127">
        <v>-37755.43</v>
      </c>
      <c r="Q127" s="4" t="s">
        <v>30</v>
      </c>
    </row>
    <row r="128" spans="1:17" x14ac:dyDescent="0.2">
      <c r="A128" s="4" t="s">
        <v>311</v>
      </c>
      <c r="B128">
        <v>127</v>
      </c>
      <c r="C128" s="4" t="s">
        <v>26</v>
      </c>
      <c r="D128" s="4" t="s">
        <v>32</v>
      </c>
      <c r="E128" s="4" t="s">
        <v>47</v>
      </c>
      <c r="F128" s="4" t="s">
        <v>71</v>
      </c>
      <c r="G128">
        <v>4</v>
      </c>
      <c r="H128">
        <v>17</v>
      </c>
      <c r="I128" s="4" t="s">
        <v>190</v>
      </c>
      <c r="J128" s="4" t="s">
        <v>191</v>
      </c>
      <c r="K128" s="4" t="s">
        <v>179</v>
      </c>
      <c r="L128" s="4" t="s">
        <v>180</v>
      </c>
      <c r="M128" s="4" t="s">
        <v>192</v>
      </c>
      <c r="N128" s="4" t="s">
        <v>182</v>
      </c>
      <c r="O128" s="4" t="s">
        <v>183</v>
      </c>
      <c r="P128">
        <v>17756.849999999999</v>
      </c>
      <c r="Q128" s="4" t="s">
        <v>30</v>
      </c>
    </row>
    <row r="129" spans="1:17" x14ac:dyDescent="0.2">
      <c r="A129" s="4" t="s">
        <v>312</v>
      </c>
      <c r="B129">
        <v>128</v>
      </c>
      <c r="C129" s="4" t="s">
        <v>26</v>
      </c>
      <c r="D129" s="4" t="s">
        <v>32</v>
      </c>
      <c r="E129" s="4" t="s">
        <v>47</v>
      </c>
      <c r="F129" s="4" t="s">
        <v>71</v>
      </c>
      <c r="G129">
        <v>4</v>
      </c>
      <c r="H129">
        <v>17</v>
      </c>
      <c r="I129" s="4" t="s">
        <v>207</v>
      </c>
      <c r="J129" s="4" t="s">
        <v>208</v>
      </c>
      <c r="K129" s="4" t="s">
        <v>179</v>
      </c>
      <c r="L129" s="4" t="s">
        <v>180</v>
      </c>
      <c r="M129" s="4" t="s">
        <v>192</v>
      </c>
      <c r="N129" s="4" t="s">
        <v>182</v>
      </c>
      <c r="O129" s="4" t="s">
        <v>189</v>
      </c>
      <c r="P129">
        <v>-17756.849999999999</v>
      </c>
      <c r="Q129" s="4" t="s">
        <v>30</v>
      </c>
    </row>
    <row r="130" spans="1:17" x14ac:dyDescent="0.2">
      <c r="A130" s="4" t="s">
        <v>313</v>
      </c>
      <c r="B130">
        <v>129</v>
      </c>
      <c r="C130" s="4" t="s">
        <v>26</v>
      </c>
      <c r="D130" s="4" t="s">
        <v>32</v>
      </c>
      <c r="E130" s="4" t="s">
        <v>47</v>
      </c>
      <c r="F130" s="4" t="s">
        <v>71</v>
      </c>
      <c r="G130">
        <v>4</v>
      </c>
      <c r="H130">
        <v>17</v>
      </c>
      <c r="I130" s="4" t="s">
        <v>207</v>
      </c>
      <c r="J130" s="4" t="s">
        <v>208</v>
      </c>
      <c r="K130" s="4" t="s">
        <v>179</v>
      </c>
      <c r="L130" s="4" t="s">
        <v>180</v>
      </c>
      <c r="M130" s="4" t="s">
        <v>192</v>
      </c>
      <c r="N130" s="4" t="s">
        <v>182</v>
      </c>
      <c r="O130" s="4" t="s">
        <v>183</v>
      </c>
      <c r="P130">
        <v>8100.28</v>
      </c>
      <c r="Q130" s="4" t="s">
        <v>30</v>
      </c>
    </row>
    <row r="131" spans="1:17" x14ac:dyDescent="0.2">
      <c r="A131" s="4" t="s">
        <v>314</v>
      </c>
      <c r="B131">
        <v>130</v>
      </c>
      <c r="C131" s="4" t="s">
        <v>26</v>
      </c>
      <c r="D131" s="4" t="s">
        <v>32</v>
      </c>
      <c r="E131" s="4" t="s">
        <v>47</v>
      </c>
      <c r="F131" s="4" t="s">
        <v>71</v>
      </c>
      <c r="G131">
        <v>4</v>
      </c>
      <c r="H131">
        <v>17</v>
      </c>
      <c r="I131" s="4" t="s">
        <v>193</v>
      </c>
      <c r="J131" s="4" t="s">
        <v>194</v>
      </c>
      <c r="K131" s="4" t="s">
        <v>179</v>
      </c>
      <c r="L131" s="4" t="s">
        <v>186</v>
      </c>
      <c r="M131" s="4" t="s">
        <v>195</v>
      </c>
      <c r="N131" s="4" t="s">
        <v>196</v>
      </c>
      <c r="O131" s="4" t="s">
        <v>183</v>
      </c>
      <c r="P131">
        <v>37555.43</v>
      </c>
      <c r="Q131" s="4" t="s">
        <v>30</v>
      </c>
    </row>
    <row r="132" spans="1:17" x14ac:dyDescent="0.2">
      <c r="A132" s="4" t="s">
        <v>315</v>
      </c>
      <c r="B132">
        <v>131</v>
      </c>
      <c r="C132" s="4" t="s">
        <v>26</v>
      </c>
      <c r="D132" s="4" t="s">
        <v>32</v>
      </c>
      <c r="E132" s="4" t="s">
        <v>47</v>
      </c>
      <c r="F132" s="4" t="s">
        <v>71</v>
      </c>
      <c r="G132">
        <v>4</v>
      </c>
      <c r="H132">
        <v>17</v>
      </c>
      <c r="I132" s="4" t="s">
        <v>209</v>
      </c>
      <c r="J132" s="4" t="s">
        <v>210</v>
      </c>
      <c r="K132" s="4" t="s">
        <v>205</v>
      </c>
      <c r="L132" s="4" t="s">
        <v>211</v>
      </c>
      <c r="M132" s="4" t="s">
        <v>182</v>
      </c>
      <c r="N132" s="4" t="s">
        <v>182</v>
      </c>
      <c r="O132" s="4" t="s">
        <v>183</v>
      </c>
      <c r="P132">
        <v>6896.27</v>
      </c>
      <c r="Q132" s="4" t="s">
        <v>30</v>
      </c>
    </row>
    <row r="133" spans="1:17" x14ac:dyDescent="0.2">
      <c r="A133" s="4" t="s">
        <v>316</v>
      </c>
      <c r="B133">
        <v>132</v>
      </c>
      <c r="C133" s="4" t="s">
        <v>26</v>
      </c>
      <c r="D133" s="4" t="s">
        <v>32</v>
      </c>
      <c r="E133" s="4" t="s">
        <v>47</v>
      </c>
      <c r="F133" s="4" t="s">
        <v>71</v>
      </c>
      <c r="G133">
        <v>4</v>
      </c>
      <c r="H133">
        <v>17</v>
      </c>
      <c r="I133" s="4" t="s">
        <v>203</v>
      </c>
      <c r="J133" s="4" t="s">
        <v>204</v>
      </c>
      <c r="K133" s="4" t="s">
        <v>205</v>
      </c>
      <c r="L133" s="4" t="s">
        <v>206</v>
      </c>
      <c r="M133" s="4" t="s">
        <v>182</v>
      </c>
      <c r="N133" s="4" t="s">
        <v>182</v>
      </c>
      <c r="O133" s="4" t="s">
        <v>183</v>
      </c>
      <c r="P133">
        <v>200</v>
      </c>
      <c r="Q133" s="4" t="s">
        <v>30</v>
      </c>
    </row>
    <row r="134" spans="1:17" x14ac:dyDescent="0.2">
      <c r="A134" s="4" t="s">
        <v>317</v>
      </c>
      <c r="B134">
        <v>133</v>
      </c>
      <c r="C134" s="4" t="s">
        <v>26</v>
      </c>
      <c r="D134" s="4" t="s">
        <v>32</v>
      </c>
      <c r="E134" s="4" t="s">
        <v>47</v>
      </c>
      <c r="F134" s="4" t="s">
        <v>71</v>
      </c>
      <c r="G134">
        <v>4</v>
      </c>
      <c r="H134">
        <v>17</v>
      </c>
      <c r="I134" s="4" t="s">
        <v>201</v>
      </c>
      <c r="J134" s="4" t="s">
        <v>202</v>
      </c>
      <c r="K134" s="4" t="s">
        <v>179</v>
      </c>
      <c r="L134" s="4" t="s">
        <v>180</v>
      </c>
      <c r="M134" s="4" t="s">
        <v>192</v>
      </c>
      <c r="N134" s="4" t="s">
        <v>182</v>
      </c>
      <c r="O134" s="4" t="s">
        <v>189</v>
      </c>
      <c r="P134">
        <v>-6896.27</v>
      </c>
      <c r="Q134" s="4" t="s">
        <v>30</v>
      </c>
    </row>
    <row r="135" spans="1:17" x14ac:dyDescent="0.2">
      <c r="A135" s="4" t="s">
        <v>318</v>
      </c>
      <c r="B135">
        <v>134</v>
      </c>
      <c r="C135" s="4" t="s">
        <v>26</v>
      </c>
      <c r="D135" s="4" t="s">
        <v>32</v>
      </c>
      <c r="E135" s="4" t="s">
        <v>47</v>
      </c>
      <c r="F135" s="4" t="s">
        <v>71</v>
      </c>
      <c r="G135">
        <v>4</v>
      </c>
      <c r="H135">
        <v>17</v>
      </c>
      <c r="I135" s="4" t="s">
        <v>212</v>
      </c>
      <c r="J135" s="4" t="s">
        <v>213</v>
      </c>
      <c r="K135" s="4" t="s">
        <v>205</v>
      </c>
      <c r="L135" s="4" t="s">
        <v>214</v>
      </c>
      <c r="M135" s="4" t="s">
        <v>182</v>
      </c>
      <c r="N135" s="4" t="s">
        <v>182</v>
      </c>
      <c r="O135" s="4" t="s">
        <v>189</v>
      </c>
      <c r="P135">
        <v>-8100.28</v>
      </c>
      <c r="Q135" s="4" t="s">
        <v>30</v>
      </c>
    </row>
    <row r="136" spans="1:17" x14ac:dyDescent="0.2">
      <c r="A136" s="4" t="s">
        <v>319</v>
      </c>
      <c r="B136">
        <v>135</v>
      </c>
      <c r="C136" s="4" t="s">
        <v>26</v>
      </c>
      <c r="D136" s="4" t="s">
        <v>32</v>
      </c>
      <c r="E136" s="4" t="s">
        <v>50</v>
      </c>
      <c r="F136" s="4" t="s">
        <v>73</v>
      </c>
      <c r="G136">
        <v>4</v>
      </c>
      <c r="H136">
        <v>18</v>
      </c>
      <c r="I136" s="4" t="s">
        <v>190</v>
      </c>
      <c r="J136" s="4" t="s">
        <v>191</v>
      </c>
      <c r="K136" s="4" t="s">
        <v>179</v>
      </c>
      <c r="L136" s="4" t="s">
        <v>180</v>
      </c>
      <c r="M136" s="4" t="s">
        <v>192</v>
      </c>
      <c r="N136" s="4" t="s">
        <v>182</v>
      </c>
      <c r="O136" s="4" t="s">
        <v>189</v>
      </c>
      <c r="P136">
        <v>-200</v>
      </c>
      <c r="Q136" s="4" t="s">
        <v>30</v>
      </c>
    </row>
    <row r="137" spans="1:17" x14ac:dyDescent="0.2">
      <c r="A137" s="4" t="s">
        <v>320</v>
      </c>
      <c r="B137">
        <v>136</v>
      </c>
      <c r="C137" s="4" t="s">
        <v>26</v>
      </c>
      <c r="D137" s="4" t="s">
        <v>32</v>
      </c>
      <c r="E137" s="4" t="s">
        <v>50</v>
      </c>
      <c r="F137" s="4" t="s">
        <v>73</v>
      </c>
      <c r="G137">
        <v>4</v>
      </c>
      <c r="H137">
        <v>18</v>
      </c>
      <c r="I137" s="4" t="s">
        <v>190</v>
      </c>
      <c r="J137" s="4" t="s">
        <v>191</v>
      </c>
      <c r="K137" s="4" t="s">
        <v>179</v>
      </c>
      <c r="L137" s="4" t="s">
        <v>180</v>
      </c>
      <c r="M137" s="4" t="s">
        <v>192</v>
      </c>
      <c r="N137" s="4" t="s">
        <v>182</v>
      </c>
      <c r="O137" s="4" t="s">
        <v>183</v>
      </c>
      <c r="P137">
        <v>14854.77</v>
      </c>
      <c r="Q137" s="4" t="s">
        <v>30</v>
      </c>
    </row>
    <row r="138" spans="1:17" x14ac:dyDescent="0.2">
      <c r="A138" s="4" t="s">
        <v>321</v>
      </c>
      <c r="B138">
        <v>137</v>
      </c>
      <c r="C138" s="4" t="s">
        <v>26</v>
      </c>
      <c r="D138" s="4" t="s">
        <v>32</v>
      </c>
      <c r="E138" s="4" t="s">
        <v>50</v>
      </c>
      <c r="F138" s="4" t="s">
        <v>73</v>
      </c>
      <c r="G138">
        <v>4</v>
      </c>
      <c r="H138">
        <v>18</v>
      </c>
      <c r="I138" s="4" t="s">
        <v>207</v>
      </c>
      <c r="J138" s="4" t="s">
        <v>208</v>
      </c>
      <c r="K138" s="4" t="s">
        <v>179</v>
      </c>
      <c r="L138" s="4" t="s">
        <v>180</v>
      </c>
      <c r="M138" s="4" t="s">
        <v>192</v>
      </c>
      <c r="N138" s="4" t="s">
        <v>182</v>
      </c>
      <c r="O138" s="4" t="s">
        <v>189</v>
      </c>
      <c r="P138">
        <v>-14854.77</v>
      </c>
      <c r="Q138" s="4" t="s">
        <v>30</v>
      </c>
    </row>
    <row r="139" spans="1:17" x14ac:dyDescent="0.2">
      <c r="A139" s="4" t="s">
        <v>322</v>
      </c>
      <c r="B139">
        <v>138</v>
      </c>
      <c r="C139" s="4" t="s">
        <v>26</v>
      </c>
      <c r="D139" s="4" t="s">
        <v>32</v>
      </c>
      <c r="E139" s="4" t="s">
        <v>50</v>
      </c>
      <c r="F139" s="4" t="s">
        <v>73</v>
      </c>
      <c r="G139">
        <v>4</v>
      </c>
      <c r="H139">
        <v>18</v>
      </c>
      <c r="I139" s="4" t="s">
        <v>207</v>
      </c>
      <c r="J139" s="4" t="s">
        <v>208</v>
      </c>
      <c r="K139" s="4" t="s">
        <v>179</v>
      </c>
      <c r="L139" s="4" t="s">
        <v>180</v>
      </c>
      <c r="M139" s="4" t="s">
        <v>192</v>
      </c>
      <c r="N139" s="4" t="s">
        <v>182</v>
      </c>
      <c r="O139" s="4" t="s">
        <v>183</v>
      </c>
      <c r="P139">
        <v>18111.5</v>
      </c>
      <c r="Q139" s="4" t="s">
        <v>30</v>
      </c>
    </row>
    <row r="140" spans="1:17" x14ac:dyDescent="0.2">
      <c r="A140" s="4" t="s">
        <v>323</v>
      </c>
      <c r="B140">
        <v>139</v>
      </c>
      <c r="C140" s="4" t="s">
        <v>26</v>
      </c>
      <c r="D140" s="4" t="s">
        <v>32</v>
      </c>
      <c r="E140" s="4" t="s">
        <v>50</v>
      </c>
      <c r="F140" s="4" t="s">
        <v>73</v>
      </c>
      <c r="G140">
        <v>4</v>
      </c>
      <c r="H140">
        <v>18</v>
      </c>
      <c r="I140" s="4" t="s">
        <v>209</v>
      </c>
      <c r="J140" s="4" t="s">
        <v>210</v>
      </c>
      <c r="K140" s="4" t="s">
        <v>205</v>
      </c>
      <c r="L140" s="4" t="s">
        <v>211</v>
      </c>
      <c r="M140" s="4" t="s">
        <v>182</v>
      </c>
      <c r="N140" s="4" t="s">
        <v>182</v>
      </c>
      <c r="O140" s="4" t="s">
        <v>183</v>
      </c>
      <c r="P140">
        <v>15052.02</v>
      </c>
      <c r="Q140" s="4" t="s">
        <v>30</v>
      </c>
    </row>
    <row r="141" spans="1:17" x14ac:dyDescent="0.2">
      <c r="A141" s="4" t="s">
        <v>324</v>
      </c>
      <c r="B141">
        <v>140</v>
      </c>
      <c r="C141" s="4" t="s">
        <v>26</v>
      </c>
      <c r="D141" s="4" t="s">
        <v>32</v>
      </c>
      <c r="E141" s="4" t="s">
        <v>50</v>
      </c>
      <c r="F141" s="4" t="s">
        <v>73</v>
      </c>
      <c r="G141">
        <v>4</v>
      </c>
      <c r="H141">
        <v>18</v>
      </c>
      <c r="I141" s="4" t="s">
        <v>203</v>
      </c>
      <c r="J141" s="4" t="s">
        <v>204</v>
      </c>
      <c r="K141" s="4" t="s">
        <v>205</v>
      </c>
      <c r="L141" s="4" t="s">
        <v>206</v>
      </c>
      <c r="M141" s="4" t="s">
        <v>182</v>
      </c>
      <c r="N141" s="4" t="s">
        <v>182</v>
      </c>
      <c r="O141" s="4" t="s">
        <v>183</v>
      </c>
      <c r="P141">
        <v>200</v>
      </c>
      <c r="Q141" s="4" t="s">
        <v>30</v>
      </c>
    </row>
    <row r="142" spans="1:17" x14ac:dyDescent="0.2">
      <c r="A142" s="4" t="s">
        <v>325</v>
      </c>
      <c r="B142">
        <v>141</v>
      </c>
      <c r="C142" s="4" t="s">
        <v>26</v>
      </c>
      <c r="D142" s="4" t="s">
        <v>32</v>
      </c>
      <c r="E142" s="4" t="s">
        <v>50</v>
      </c>
      <c r="F142" s="4" t="s">
        <v>73</v>
      </c>
      <c r="G142">
        <v>4</v>
      </c>
      <c r="H142">
        <v>18</v>
      </c>
      <c r="I142" s="4" t="s">
        <v>201</v>
      </c>
      <c r="J142" s="4" t="s">
        <v>202</v>
      </c>
      <c r="K142" s="4" t="s">
        <v>179</v>
      </c>
      <c r="L142" s="4" t="s">
        <v>180</v>
      </c>
      <c r="M142" s="4" t="s">
        <v>192</v>
      </c>
      <c r="N142" s="4" t="s">
        <v>182</v>
      </c>
      <c r="O142" s="4" t="s">
        <v>189</v>
      </c>
      <c r="P142">
        <v>-15052.02</v>
      </c>
      <c r="Q142" s="4" t="s">
        <v>30</v>
      </c>
    </row>
    <row r="143" spans="1:17" x14ac:dyDescent="0.2">
      <c r="A143" s="4" t="s">
        <v>326</v>
      </c>
      <c r="B143">
        <v>142</v>
      </c>
      <c r="C143" s="4" t="s">
        <v>26</v>
      </c>
      <c r="D143" s="4" t="s">
        <v>32</v>
      </c>
      <c r="E143" s="4" t="s">
        <v>50</v>
      </c>
      <c r="F143" s="4" t="s">
        <v>73</v>
      </c>
      <c r="G143">
        <v>4</v>
      </c>
      <c r="H143">
        <v>18</v>
      </c>
      <c r="I143" s="4" t="s">
        <v>212</v>
      </c>
      <c r="J143" s="4" t="s">
        <v>213</v>
      </c>
      <c r="K143" s="4" t="s">
        <v>205</v>
      </c>
      <c r="L143" s="4" t="s">
        <v>214</v>
      </c>
      <c r="M143" s="4" t="s">
        <v>182</v>
      </c>
      <c r="N143" s="4" t="s">
        <v>182</v>
      </c>
      <c r="O143" s="4" t="s">
        <v>189</v>
      </c>
      <c r="P143">
        <v>-18111.5</v>
      </c>
      <c r="Q143" s="4" t="s">
        <v>30</v>
      </c>
    </row>
    <row r="144" spans="1:17" x14ac:dyDescent="0.2">
      <c r="A144" s="4" t="s">
        <v>327</v>
      </c>
      <c r="B144">
        <v>143</v>
      </c>
      <c r="C144" s="4" t="s">
        <v>26</v>
      </c>
      <c r="D144" s="4" t="s">
        <v>32</v>
      </c>
      <c r="E144" s="4" t="s">
        <v>53</v>
      </c>
      <c r="F144" s="4" t="s">
        <v>75</v>
      </c>
      <c r="G144">
        <v>4</v>
      </c>
      <c r="H144">
        <v>19</v>
      </c>
      <c r="I144" s="4" t="s">
        <v>190</v>
      </c>
      <c r="J144" s="4" t="s">
        <v>191</v>
      </c>
      <c r="K144" s="4" t="s">
        <v>179</v>
      </c>
      <c r="L144" s="4" t="s">
        <v>180</v>
      </c>
      <c r="M144" s="4" t="s">
        <v>192</v>
      </c>
      <c r="N144" s="4" t="s">
        <v>182</v>
      </c>
      <c r="O144" s="4" t="s">
        <v>189</v>
      </c>
      <c r="P144">
        <v>-300</v>
      </c>
      <c r="Q144" s="4" t="s">
        <v>30</v>
      </c>
    </row>
    <row r="145" spans="1:17" x14ac:dyDescent="0.2">
      <c r="A145" s="4" t="s">
        <v>328</v>
      </c>
      <c r="B145">
        <v>144</v>
      </c>
      <c r="C145" s="4" t="s">
        <v>26</v>
      </c>
      <c r="D145" s="4" t="s">
        <v>32</v>
      </c>
      <c r="E145" s="4" t="s">
        <v>53</v>
      </c>
      <c r="F145" s="4" t="s">
        <v>75</v>
      </c>
      <c r="G145">
        <v>4</v>
      </c>
      <c r="H145">
        <v>19</v>
      </c>
      <c r="I145" s="4" t="s">
        <v>190</v>
      </c>
      <c r="J145" s="4" t="s">
        <v>191</v>
      </c>
      <c r="K145" s="4" t="s">
        <v>179</v>
      </c>
      <c r="L145" s="4" t="s">
        <v>180</v>
      </c>
      <c r="M145" s="4" t="s">
        <v>192</v>
      </c>
      <c r="N145" s="4" t="s">
        <v>182</v>
      </c>
      <c r="O145" s="4" t="s">
        <v>183</v>
      </c>
      <c r="P145">
        <v>17157.349999999999</v>
      </c>
      <c r="Q145" s="4" t="s">
        <v>30</v>
      </c>
    </row>
    <row r="146" spans="1:17" x14ac:dyDescent="0.2">
      <c r="A146" s="4" t="s">
        <v>329</v>
      </c>
      <c r="B146">
        <v>145</v>
      </c>
      <c r="C146" s="4" t="s">
        <v>26</v>
      </c>
      <c r="D146" s="4" t="s">
        <v>32</v>
      </c>
      <c r="E146" s="4" t="s">
        <v>53</v>
      </c>
      <c r="F146" s="4" t="s">
        <v>75</v>
      </c>
      <c r="G146">
        <v>4</v>
      </c>
      <c r="H146">
        <v>19</v>
      </c>
      <c r="I146" s="4" t="s">
        <v>207</v>
      </c>
      <c r="J146" s="4" t="s">
        <v>208</v>
      </c>
      <c r="K146" s="4" t="s">
        <v>179</v>
      </c>
      <c r="L146" s="4" t="s">
        <v>180</v>
      </c>
      <c r="M146" s="4" t="s">
        <v>192</v>
      </c>
      <c r="N146" s="4" t="s">
        <v>182</v>
      </c>
      <c r="O146" s="4" t="s">
        <v>189</v>
      </c>
      <c r="P146">
        <v>-17157.349999999999</v>
      </c>
      <c r="Q146" s="4" t="s">
        <v>30</v>
      </c>
    </row>
    <row r="147" spans="1:17" x14ac:dyDescent="0.2">
      <c r="A147" s="4" t="s">
        <v>330</v>
      </c>
      <c r="B147">
        <v>146</v>
      </c>
      <c r="C147" s="4" t="s">
        <v>26</v>
      </c>
      <c r="D147" s="4" t="s">
        <v>32</v>
      </c>
      <c r="E147" s="4" t="s">
        <v>53</v>
      </c>
      <c r="F147" s="4" t="s">
        <v>75</v>
      </c>
      <c r="G147">
        <v>4</v>
      </c>
      <c r="H147">
        <v>19</v>
      </c>
      <c r="I147" s="4" t="s">
        <v>207</v>
      </c>
      <c r="J147" s="4" t="s">
        <v>208</v>
      </c>
      <c r="K147" s="4" t="s">
        <v>179</v>
      </c>
      <c r="L147" s="4" t="s">
        <v>180</v>
      </c>
      <c r="M147" s="4" t="s">
        <v>192</v>
      </c>
      <c r="N147" s="4" t="s">
        <v>182</v>
      </c>
      <c r="O147" s="4" t="s">
        <v>183</v>
      </c>
      <c r="P147">
        <v>12344.56</v>
      </c>
      <c r="Q147" s="4" t="s">
        <v>30</v>
      </c>
    </row>
    <row r="148" spans="1:17" x14ac:dyDescent="0.2">
      <c r="A148" s="4" t="s">
        <v>331</v>
      </c>
      <c r="B148">
        <v>147</v>
      </c>
      <c r="C148" s="4" t="s">
        <v>26</v>
      </c>
      <c r="D148" s="4" t="s">
        <v>32</v>
      </c>
      <c r="E148" s="4" t="s">
        <v>53</v>
      </c>
      <c r="F148" s="4" t="s">
        <v>75</v>
      </c>
      <c r="G148">
        <v>4</v>
      </c>
      <c r="H148">
        <v>19</v>
      </c>
      <c r="I148" s="4" t="s">
        <v>209</v>
      </c>
      <c r="J148" s="4" t="s">
        <v>210</v>
      </c>
      <c r="K148" s="4" t="s">
        <v>205</v>
      </c>
      <c r="L148" s="4" t="s">
        <v>211</v>
      </c>
      <c r="M148" s="4" t="s">
        <v>182</v>
      </c>
      <c r="N148" s="4" t="s">
        <v>182</v>
      </c>
      <c r="O148" s="4" t="s">
        <v>183</v>
      </c>
      <c r="P148">
        <v>10472.81</v>
      </c>
      <c r="Q148" s="4" t="s">
        <v>30</v>
      </c>
    </row>
    <row r="149" spans="1:17" x14ac:dyDescent="0.2">
      <c r="A149" s="4" t="s">
        <v>332</v>
      </c>
      <c r="B149">
        <v>148</v>
      </c>
      <c r="C149" s="4" t="s">
        <v>26</v>
      </c>
      <c r="D149" s="4" t="s">
        <v>32</v>
      </c>
      <c r="E149" s="4" t="s">
        <v>53</v>
      </c>
      <c r="F149" s="4" t="s">
        <v>75</v>
      </c>
      <c r="G149">
        <v>4</v>
      </c>
      <c r="H149">
        <v>19</v>
      </c>
      <c r="I149" s="4" t="s">
        <v>203</v>
      </c>
      <c r="J149" s="4" t="s">
        <v>204</v>
      </c>
      <c r="K149" s="4" t="s">
        <v>205</v>
      </c>
      <c r="L149" s="4" t="s">
        <v>206</v>
      </c>
      <c r="M149" s="4" t="s">
        <v>182</v>
      </c>
      <c r="N149" s="4" t="s">
        <v>182</v>
      </c>
      <c r="O149" s="4" t="s">
        <v>183</v>
      </c>
      <c r="P149">
        <v>300</v>
      </c>
      <c r="Q149" s="4" t="s">
        <v>30</v>
      </c>
    </row>
    <row r="150" spans="1:17" x14ac:dyDescent="0.2">
      <c r="A150" s="4" t="s">
        <v>333</v>
      </c>
      <c r="B150">
        <v>149</v>
      </c>
      <c r="C150" s="4" t="s">
        <v>26</v>
      </c>
      <c r="D150" s="4" t="s">
        <v>32</v>
      </c>
      <c r="E150" s="4" t="s">
        <v>53</v>
      </c>
      <c r="F150" s="4" t="s">
        <v>75</v>
      </c>
      <c r="G150">
        <v>4</v>
      </c>
      <c r="H150">
        <v>19</v>
      </c>
      <c r="I150" s="4" t="s">
        <v>201</v>
      </c>
      <c r="J150" s="4" t="s">
        <v>202</v>
      </c>
      <c r="K150" s="4" t="s">
        <v>179</v>
      </c>
      <c r="L150" s="4" t="s">
        <v>180</v>
      </c>
      <c r="M150" s="4" t="s">
        <v>192</v>
      </c>
      <c r="N150" s="4" t="s">
        <v>182</v>
      </c>
      <c r="O150" s="4" t="s">
        <v>189</v>
      </c>
      <c r="P150">
        <v>-10472.81</v>
      </c>
      <c r="Q150" s="4" t="s">
        <v>30</v>
      </c>
    </row>
    <row r="151" spans="1:17" x14ac:dyDescent="0.2">
      <c r="A151" s="4" t="s">
        <v>334</v>
      </c>
      <c r="B151">
        <v>150</v>
      </c>
      <c r="C151" s="4" t="s">
        <v>26</v>
      </c>
      <c r="D151" s="4" t="s">
        <v>32</v>
      </c>
      <c r="E151" s="4" t="s">
        <v>53</v>
      </c>
      <c r="F151" s="4" t="s">
        <v>75</v>
      </c>
      <c r="G151">
        <v>4</v>
      </c>
      <c r="H151">
        <v>19</v>
      </c>
      <c r="I151" s="4" t="s">
        <v>212</v>
      </c>
      <c r="J151" s="4" t="s">
        <v>213</v>
      </c>
      <c r="K151" s="4" t="s">
        <v>205</v>
      </c>
      <c r="L151" s="4" t="s">
        <v>214</v>
      </c>
      <c r="M151" s="4" t="s">
        <v>182</v>
      </c>
      <c r="N151" s="4" t="s">
        <v>182</v>
      </c>
      <c r="O151" s="4" t="s">
        <v>189</v>
      </c>
      <c r="P151">
        <v>-12344.56</v>
      </c>
      <c r="Q151" s="4" t="s">
        <v>30</v>
      </c>
    </row>
    <row r="152" spans="1:17" x14ac:dyDescent="0.2">
      <c r="A152" s="4" t="s">
        <v>335</v>
      </c>
      <c r="B152">
        <v>151</v>
      </c>
      <c r="C152" s="4" t="s">
        <v>26</v>
      </c>
      <c r="D152" s="4" t="s">
        <v>32</v>
      </c>
      <c r="E152" s="4" t="s">
        <v>56</v>
      </c>
      <c r="F152" s="4" t="s">
        <v>77</v>
      </c>
      <c r="G152">
        <v>4</v>
      </c>
      <c r="H152">
        <v>20</v>
      </c>
      <c r="I152" s="4" t="s">
        <v>190</v>
      </c>
      <c r="J152" s="4" t="s">
        <v>191</v>
      </c>
      <c r="K152" s="4" t="s">
        <v>179</v>
      </c>
      <c r="L152" s="4" t="s">
        <v>180</v>
      </c>
      <c r="M152" s="4" t="s">
        <v>192</v>
      </c>
      <c r="N152" s="4" t="s">
        <v>182</v>
      </c>
      <c r="O152" s="4" t="s">
        <v>189</v>
      </c>
      <c r="P152">
        <v>-300</v>
      </c>
      <c r="Q152" s="4" t="s">
        <v>30</v>
      </c>
    </row>
    <row r="153" spans="1:17" x14ac:dyDescent="0.2">
      <c r="A153" s="4" t="s">
        <v>336</v>
      </c>
      <c r="B153">
        <v>152</v>
      </c>
      <c r="C153" s="4" t="s">
        <v>26</v>
      </c>
      <c r="D153" s="4" t="s">
        <v>32</v>
      </c>
      <c r="E153" s="4" t="s">
        <v>56</v>
      </c>
      <c r="F153" s="4" t="s">
        <v>77</v>
      </c>
      <c r="G153">
        <v>4</v>
      </c>
      <c r="H153">
        <v>20</v>
      </c>
      <c r="I153" s="4" t="s">
        <v>190</v>
      </c>
      <c r="J153" s="4" t="s">
        <v>191</v>
      </c>
      <c r="K153" s="4" t="s">
        <v>179</v>
      </c>
      <c r="L153" s="4" t="s">
        <v>180</v>
      </c>
      <c r="M153" s="4" t="s">
        <v>192</v>
      </c>
      <c r="N153" s="4" t="s">
        <v>182</v>
      </c>
      <c r="O153" s="4" t="s">
        <v>183</v>
      </c>
      <c r="P153">
        <v>17162.72</v>
      </c>
      <c r="Q153" s="4" t="s">
        <v>30</v>
      </c>
    </row>
    <row r="154" spans="1:17" x14ac:dyDescent="0.2">
      <c r="A154" s="4" t="s">
        <v>337</v>
      </c>
      <c r="B154">
        <v>153</v>
      </c>
      <c r="C154" s="4" t="s">
        <v>26</v>
      </c>
      <c r="D154" s="4" t="s">
        <v>32</v>
      </c>
      <c r="E154" s="4" t="s">
        <v>56</v>
      </c>
      <c r="F154" s="4" t="s">
        <v>77</v>
      </c>
      <c r="G154">
        <v>4</v>
      </c>
      <c r="H154">
        <v>20</v>
      </c>
      <c r="I154" s="4" t="s">
        <v>207</v>
      </c>
      <c r="J154" s="4" t="s">
        <v>208</v>
      </c>
      <c r="K154" s="4" t="s">
        <v>179</v>
      </c>
      <c r="L154" s="4" t="s">
        <v>180</v>
      </c>
      <c r="M154" s="4" t="s">
        <v>192</v>
      </c>
      <c r="N154" s="4" t="s">
        <v>182</v>
      </c>
      <c r="O154" s="4" t="s">
        <v>189</v>
      </c>
      <c r="P154">
        <v>-17162.72</v>
      </c>
      <c r="Q154" s="4" t="s">
        <v>30</v>
      </c>
    </row>
    <row r="155" spans="1:17" x14ac:dyDescent="0.2">
      <c r="A155" s="4" t="s">
        <v>338</v>
      </c>
      <c r="B155">
        <v>154</v>
      </c>
      <c r="C155" s="4" t="s">
        <v>26</v>
      </c>
      <c r="D155" s="4" t="s">
        <v>32</v>
      </c>
      <c r="E155" s="4" t="s">
        <v>56</v>
      </c>
      <c r="F155" s="4" t="s">
        <v>77</v>
      </c>
      <c r="G155">
        <v>4</v>
      </c>
      <c r="H155">
        <v>20</v>
      </c>
      <c r="I155" s="4" t="s">
        <v>207</v>
      </c>
      <c r="J155" s="4" t="s">
        <v>208</v>
      </c>
      <c r="K155" s="4" t="s">
        <v>179</v>
      </c>
      <c r="L155" s="4" t="s">
        <v>180</v>
      </c>
      <c r="M155" s="4" t="s">
        <v>192</v>
      </c>
      <c r="N155" s="4" t="s">
        <v>182</v>
      </c>
      <c r="O155" s="4" t="s">
        <v>183</v>
      </c>
      <c r="P155">
        <v>2387.39</v>
      </c>
      <c r="Q155" s="4" t="s">
        <v>30</v>
      </c>
    </row>
    <row r="156" spans="1:17" x14ac:dyDescent="0.2">
      <c r="A156" s="4" t="s">
        <v>339</v>
      </c>
      <c r="B156">
        <v>155</v>
      </c>
      <c r="C156" s="4" t="s">
        <v>26</v>
      </c>
      <c r="D156" s="4" t="s">
        <v>32</v>
      </c>
      <c r="E156" s="4" t="s">
        <v>56</v>
      </c>
      <c r="F156" s="4" t="s">
        <v>77</v>
      </c>
      <c r="G156">
        <v>4</v>
      </c>
      <c r="H156">
        <v>20</v>
      </c>
      <c r="I156" s="4" t="s">
        <v>209</v>
      </c>
      <c r="J156" s="4" t="s">
        <v>210</v>
      </c>
      <c r="K156" s="4" t="s">
        <v>205</v>
      </c>
      <c r="L156" s="4" t="s">
        <v>211</v>
      </c>
      <c r="M156" s="4" t="s">
        <v>182</v>
      </c>
      <c r="N156" s="4" t="s">
        <v>182</v>
      </c>
      <c r="O156" s="4" t="s">
        <v>183</v>
      </c>
      <c r="P156">
        <v>1892.65</v>
      </c>
      <c r="Q156" s="4" t="s">
        <v>30</v>
      </c>
    </row>
    <row r="157" spans="1:17" x14ac:dyDescent="0.2">
      <c r="A157" s="4" t="s">
        <v>340</v>
      </c>
      <c r="B157">
        <v>156</v>
      </c>
      <c r="C157" s="4" t="s">
        <v>26</v>
      </c>
      <c r="D157" s="4" t="s">
        <v>32</v>
      </c>
      <c r="E157" s="4" t="s">
        <v>56</v>
      </c>
      <c r="F157" s="4" t="s">
        <v>77</v>
      </c>
      <c r="G157">
        <v>4</v>
      </c>
      <c r="H157">
        <v>20</v>
      </c>
      <c r="I157" s="4" t="s">
        <v>203</v>
      </c>
      <c r="J157" s="4" t="s">
        <v>204</v>
      </c>
      <c r="K157" s="4" t="s">
        <v>205</v>
      </c>
      <c r="L157" s="4" t="s">
        <v>206</v>
      </c>
      <c r="M157" s="4" t="s">
        <v>182</v>
      </c>
      <c r="N157" s="4" t="s">
        <v>182</v>
      </c>
      <c r="O157" s="4" t="s">
        <v>183</v>
      </c>
      <c r="P157">
        <v>300</v>
      </c>
      <c r="Q157" s="4" t="s">
        <v>30</v>
      </c>
    </row>
    <row r="158" spans="1:17" x14ac:dyDescent="0.2">
      <c r="A158" s="4" t="s">
        <v>341</v>
      </c>
      <c r="B158">
        <v>157</v>
      </c>
      <c r="C158" s="4" t="s">
        <v>26</v>
      </c>
      <c r="D158" s="4" t="s">
        <v>32</v>
      </c>
      <c r="E158" s="4" t="s">
        <v>56</v>
      </c>
      <c r="F158" s="4" t="s">
        <v>77</v>
      </c>
      <c r="G158">
        <v>4</v>
      </c>
      <c r="H158">
        <v>20</v>
      </c>
      <c r="I158" s="4" t="s">
        <v>201</v>
      </c>
      <c r="J158" s="4" t="s">
        <v>202</v>
      </c>
      <c r="K158" s="4" t="s">
        <v>179</v>
      </c>
      <c r="L158" s="4" t="s">
        <v>180</v>
      </c>
      <c r="M158" s="4" t="s">
        <v>192</v>
      </c>
      <c r="N158" s="4" t="s">
        <v>182</v>
      </c>
      <c r="O158" s="4" t="s">
        <v>189</v>
      </c>
      <c r="P158">
        <v>-1892.65</v>
      </c>
      <c r="Q158" s="4" t="s">
        <v>30</v>
      </c>
    </row>
    <row r="159" spans="1:17" x14ac:dyDescent="0.2">
      <c r="A159" s="4" t="s">
        <v>342</v>
      </c>
      <c r="B159">
        <v>158</v>
      </c>
      <c r="C159" s="4" t="s">
        <v>26</v>
      </c>
      <c r="D159" s="4" t="s">
        <v>32</v>
      </c>
      <c r="E159" s="4" t="s">
        <v>56</v>
      </c>
      <c r="F159" s="4" t="s">
        <v>77</v>
      </c>
      <c r="G159">
        <v>4</v>
      </c>
      <c r="H159">
        <v>20</v>
      </c>
      <c r="I159" s="4" t="s">
        <v>212</v>
      </c>
      <c r="J159" s="4" t="s">
        <v>213</v>
      </c>
      <c r="K159" s="4" t="s">
        <v>205</v>
      </c>
      <c r="L159" s="4" t="s">
        <v>214</v>
      </c>
      <c r="M159" s="4" t="s">
        <v>182</v>
      </c>
      <c r="N159" s="4" t="s">
        <v>182</v>
      </c>
      <c r="O159" s="4" t="s">
        <v>189</v>
      </c>
      <c r="P159">
        <v>-2387.39</v>
      </c>
      <c r="Q159" s="4" t="s">
        <v>30</v>
      </c>
    </row>
    <row r="160" spans="1:17" x14ac:dyDescent="0.2">
      <c r="A160" s="4" t="s">
        <v>343</v>
      </c>
      <c r="B160">
        <v>159</v>
      </c>
      <c r="C160" s="4" t="s">
        <v>26</v>
      </c>
      <c r="D160" s="4" t="s">
        <v>35</v>
      </c>
      <c r="E160" s="4" t="s">
        <v>27</v>
      </c>
      <c r="F160" s="4" t="s">
        <v>79</v>
      </c>
      <c r="G160">
        <v>5</v>
      </c>
      <c r="H160">
        <v>21</v>
      </c>
      <c r="I160" s="4" t="s">
        <v>190</v>
      </c>
      <c r="J160" s="4" t="s">
        <v>191</v>
      </c>
      <c r="K160" s="4" t="s">
        <v>179</v>
      </c>
      <c r="L160" s="4" t="s">
        <v>180</v>
      </c>
      <c r="M160" s="4" t="s">
        <v>192</v>
      </c>
      <c r="N160" s="4" t="s">
        <v>182</v>
      </c>
      <c r="O160" s="4" t="s">
        <v>189</v>
      </c>
      <c r="P160">
        <v>-41342.25</v>
      </c>
      <c r="Q160" s="4" t="s">
        <v>30</v>
      </c>
    </row>
    <row r="161" spans="1:17" x14ac:dyDescent="0.2">
      <c r="A161" s="4" t="s">
        <v>344</v>
      </c>
      <c r="B161">
        <v>160</v>
      </c>
      <c r="C161" s="4" t="s">
        <v>26</v>
      </c>
      <c r="D161" s="4" t="s">
        <v>35</v>
      </c>
      <c r="E161" s="4" t="s">
        <v>27</v>
      </c>
      <c r="F161" s="4" t="s">
        <v>79</v>
      </c>
      <c r="G161">
        <v>5</v>
      </c>
      <c r="H161">
        <v>21</v>
      </c>
      <c r="I161" s="4" t="s">
        <v>190</v>
      </c>
      <c r="J161" s="4" t="s">
        <v>191</v>
      </c>
      <c r="K161" s="4" t="s">
        <v>179</v>
      </c>
      <c r="L161" s="4" t="s">
        <v>180</v>
      </c>
      <c r="M161" s="4" t="s">
        <v>192</v>
      </c>
      <c r="N161" s="4" t="s">
        <v>182</v>
      </c>
      <c r="O161" s="4" t="s">
        <v>183</v>
      </c>
      <c r="P161">
        <v>8100.28</v>
      </c>
      <c r="Q161" s="4" t="s">
        <v>30</v>
      </c>
    </row>
    <row r="162" spans="1:17" x14ac:dyDescent="0.2">
      <c r="A162" s="4" t="s">
        <v>345</v>
      </c>
      <c r="B162">
        <v>161</v>
      </c>
      <c r="C162" s="4" t="s">
        <v>26</v>
      </c>
      <c r="D162" s="4" t="s">
        <v>35</v>
      </c>
      <c r="E162" s="4" t="s">
        <v>27</v>
      </c>
      <c r="F162" s="4" t="s">
        <v>79</v>
      </c>
      <c r="G162">
        <v>5</v>
      </c>
      <c r="H162">
        <v>21</v>
      </c>
      <c r="I162" s="4" t="s">
        <v>207</v>
      </c>
      <c r="J162" s="4" t="s">
        <v>208</v>
      </c>
      <c r="K162" s="4" t="s">
        <v>179</v>
      </c>
      <c r="L162" s="4" t="s">
        <v>180</v>
      </c>
      <c r="M162" s="4" t="s">
        <v>192</v>
      </c>
      <c r="N162" s="4" t="s">
        <v>182</v>
      </c>
      <c r="O162" s="4" t="s">
        <v>189</v>
      </c>
      <c r="P162">
        <v>-8100.28</v>
      </c>
      <c r="Q162" s="4" t="s">
        <v>30</v>
      </c>
    </row>
    <row r="163" spans="1:17" x14ac:dyDescent="0.2">
      <c r="A163" s="4" t="s">
        <v>346</v>
      </c>
      <c r="B163">
        <v>162</v>
      </c>
      <c r="C163" s="4" t="s">
        <v>26</v>
      </c>
      <c r="D163" s="4" t="s">
        <v>35</v>
      </c>
      <c r="E163" s="4" t="s">
        <v>27</v>
      </c>
      <c r="F163" s="4" t="s">
        <v>79</v>
      </c>
      <c r="G163">
        <v>5</v>
      </c>
      <c r="H163">
        <v>21</v>
      </c>
      <c r="I163" s="4" t="s">
        <v>207</v>
      </c>
      <c r="J163" s="4" t="s">
        <v>208</v>
      </c>
      <c r="K163" s="4" t="s">
        <v>179</v>
      </c>
      <c r="L163" s="4" t="s">
        <v>180</v>
      </c>
      <c r="M163" s="4" t="s">
        <v>192</v>
      </c>
      <c r="N163" s="4" t="s">
        <v>182</v>
      </c>
      <c r="O163" s="4" t="s">
        <v>183</v>
      </c>
      <c r="P163">
        <v>4475.72</v>
      </c>
      <c r="Q163" s="4" t="s">
        <v>30</v>
      </c>
    </row>
    <row r="164" spans="1:17" x14ac:dyDescent="0.2">
      <c r="A164" s="4" t="s">
        <v>347</v>
      </c>
      <c r="B164">
        <v>163</v>
      </c>
      <c r="C164" s="4" t="s">
        <v>26</v>
      </c>
      <c r="D164" s="4" t="s">
        <v>35</v>
      </c>
      <c r="E164" s="4" t="s">
        <v>27</v>
      </c>
      <c r="F164" s="4" t="s">
        <v>79</v>
      </c>
      <c r="G164">
        <v>5</v>
      </c>
      <c r="H164">
        <v>21</v>
      </c>
      <c r="I164" s="4" t="s">
        <v>193</v>
      </c>
      <c r="J164" s="4" t="s">
        <v>194</v>
      </c>
      <c r="K164" s="4" t="s">
        <v>179</v>
      </c>
      <c r="L164" s="4" t="s">
        <v>186</v>
      </c>
      <c r="M164" s="4" t="s">
        <v>195</v>
      </c>
      <c r="N164" s="4" t="s">
        <v>196</v>
      </c>
      <c r="O164" s="4" t="s">
        <v>183</v>
      </c>
      <c r="P164">
        <v>41042.25</v>
      </c>
      <c r="Q164" s="4" t="s">
        <v>30</v>
      </c>
    </row>
    <row r="165" spans="1:17" x14ac:dyDescent="0.2">
      <c r="A165" s="4" t="s">
        <v>348</v>
      </c>
      <c r="B165">
        <v>164</v>
      </c>
      <c r="C165" s="4" t="s">
        <v>26</v>
      </c>
      <c r="D165" s="4" t="s">
        <v>35</v>
      </c>
      <c r="E165" s="4" t="s">
        <v>27</v>
      </c>
      <c r="F165" s="4" t="s">
        <v>79</v>
      </c>
      <c r="G165">
        <v>5</v>
      </c>
      <c r="H165">
        <v>21</v>
      </c>
      <c r="I165" s="4" t="s">
        <v>209</v>
      </c>
      <c r="J165" s="4" t="s">
        <v>210</v>
      </c>
      <c r="K165" s="4" t="s">
        <v>205</v>
      </c>
      <c r="L165" s="4" t="s">
        <v>211</v>
      </c>
      <c r="M165" s="4" t="s">
        <v>182</v>
      </c>
      <c r="N165" s="4" t="s">
        <v>182</v>
      </c>
      <c r="O165" s="4" t="s">
        <v>183</v>
      </c>
      <c r="P165">
        <v>3956.39</v>
      </c>
      <c r="Q165" s="4" t="s">
        <v>30</v>
      </c>
    </row>
    <row r="166" spans="1:17" x14ac:dyDescent="0.2">
      <c r="A166" s="4" t="s">
        <v>349</v>
      </c>
      <c r="B166">
        <v>165</v>
      </c>
      <c r="C166" s="4" t="s">
        <v>26</v>
      </c>
      <c r="D166" s="4" t="s">
        <v>35</v>
      </c>
      <c r="E166" s="4" t="s">
        <v>27</v>
      </c>
      <c r="F166" s="4" t="s">
        <v>79</v>
      </c>
      <c r="G166">
        <v>5</v>
      </c>
      <c r="H166">
        <v>21</v>
      </c>
      <c r="I166" s="4" t="s">
        <v>203</v>
      </c>
      <c r="J166" s="4" t="s">
        <v>204</v>
      </c>
      <c r="K166" s="4" t="s">
        <v>205</v>
      </c>
      <c r="L166" s="4" t="s">
        <v>206</v>
      </c>
      <c r="M166" s="4" t="s">
        <v>182</v>
      </c>
      <c r="N166" s="4" t="s">
        <v>182</v>
      </c>
      <c r="O166" s="4" t="s">
        <v>183</v>
      </c>
      <c r="P166">
        <v>300</v>
      </c>
      <c r="Q166" s="4" t="s">
        <v>30</v>
      </c>
    </row>
    <row r="167" spans="1:17" x14ac:dyDescent="0.2">
      <c r="A167" s="4" t="s">
        <v>350</v>
      </c>
      <c r="B167">
        <v>166</v>
      </c>
      <c r="C167" s="4" t="s">
        <v>26</v>
      </c>
      <c r="D167" s="4" t="s">
        <v>35</v>
      </c>
      <c r="E167" s="4" t="s">
        <v>27</v>
      </c>
      <c r="F167" s="4" t="s">
        <v>79</v>
      </c>
      <c r="G167">
        <v>5</v>
      </c>
      <c r="H167">
        <v>21</v>
      </c>
      <c r="I167" s="4" t="s">
        <v>201</v>
      </c>
      <c r="J167" s="4" t="s">
        <v>202</v>
      </c>
      <c r="K167" s="4" t="s">
        <v>179</v>
      </c>
      <c r="L167" s="4" t="s">
        <v>180</v>
      </c>
      <c r="M167" s="4" t="s">
        <v>192</v>
      </c>
      <c r="N167" s="4" t="s">
        <v>182</v>
      </c>
      <c r="O167" s="4" t="s">
        <v>189</v>
      </c>
      <c r="P167">
        <v>-3956.39</v>
      </c>
      <c r="Q167" s="4" t="s">
        <v>30</v>
      </c>
    </row>
    <row r="168" spans="1:17" x14ac:dyDescent="0.2">
      <c r="A168" s="4" t="s">
        <v>351</v>
      </c>
      <c r="B168">
        <v>167</v>
      </c>
      <c r="C168" s="4" t="s">
        <v>26</v>
      </c>
      <c r="D168" s="4" t="s">
        <v>35</v>
      </c>
      <c r="E168" s="4" t="s">
        <v>27</v>
      </c>
      <c r="F168" s="4" t="s">
        <v>79</v>
      </c>
      <c r="G168">
        <v>5</v>
      </c>
      <c r="H168">
        <v>21</v>
      </c>
      <c r="I168" s="4" t="s">
        <v>212</v>
      </c>
      <c r="J168" s="4" t="s">
        <v>213</v>
      </c>
      <c r="K168" s="4" t="s">
        <v>205</v>
      </c>
      <c r="L168" s="4" t="s">
        <v>214</v>
      </c>
      <c r="M168" s="4" t="s">
        <v>182</v>
      </c>
      <c r="N168" s="4" t="s">
        <v>182</v>
      </c>
      <c r="O168" s="4" t="s">
        <v>189</v>
      </c>
      <c r="P168">
        <v>-4475.72</v>
      </c>
      <c r="Q168" s="4" t="s">
        <v>30</v>
      </c>
    </row>
    <row r="169" spans="1:17" x14ac:dyDescent="0.2">
      <c r="A169" s="4" t="s">
        <v>352</v>
      </c>
      <c r="B169">
        <v>168</v>
      </c>
      <c r="C169" s="4" t="s">
        <v>26</v>
      </c>
      <c r="D169" s="4" t="s">
        <v>35</v>
      </c>
      <c r="E169" s="4" t="s">
        <v>32</v>
      </c>
      <c r="F169" s="4" t="s">
        <v>81</v>
      </c>
      <c r="G169">
        <v>5</v>
      </c>
      <c r="H169">
        <v>22</v>
      </c>
      <c r="I169" s="4" t="s">
        <v>190</v>
      </c>
      <c r="J169" s="4" t="s">
        <v>191</v>
      </c>
      <c r="K169" s="4" t="s">
        <v>179</v>
      </c>
      <c r="L169" s="4" t="s">
        <v>180</v>
      </c>
      <c r="M169" s="4" t="s">
        <v>192</v>
      </c>
      <c r="N169" s="4" t="s">
        <v>182</v>
      </c>
      <c r="O169" s="4" t="s">
        <v>189</v>
      </c>
      <c r="P169">
        <v>-200</v>
      </c>
      <c r="Q169" s="4" t="s">
        <v>30</v>
      </c>
    </row>
    <row r="170" spans="1:17" x14ac:dyDescent="0.2">
      <c r="A170" s="4" t="s">
        <v>353</v>
      </c>
      <c r="B170">
        <v>169</v>
      </c>
      <c r="C170" s="4" t="s">
        <v>26</v>
      </c>
      <c r="D170" s="4" t="s">
        <v>35</v>
      </c>
      <c r="E170" s="4" t="s">
        <v>32</v>
      </c>
      <c r="F170" s="4" t="s">
        <v>81</v>
      </c>
      <c r="G170">
        <v>5</v>
      </c>
      <c r="H170">
        <v>22</v>
      </c>
      <c r="I170" s="4" t="s">
        <v>190</v>
      </c>
      <c r="J170" s="4" t="s">
        <v>191</v>
      </c>
      <c r="K170" s="4" t="s">
        <v>179</v>
      </c>
      <c r="L170" s="4" t="s">
        <v>180</v>
      </c>
      <c r="M170" s="4" t="s">
        <v>192</v>
      </c>
      <c r="N170" s="4" t="s">
        <v>182</v>
      </c>
      <c r="O170" s="4" t="s">
        <v>183</v>
      </c>
      <c r="P170">
        <v>18111.5</v>
      </c>
      <c r="Q170" s="4" t="s">
        <v>30</v>
      </c>
    </row>
    <row r="171" spans="1:17" x14ac:dyDescent="0.2">
      <c r="A171" s="4" t="s">
        <v>354</v>
      </c>
      <c r="B171">
        <v>170</v>
      </c>
      <c r="C171" s="4" t="s">
        <v>26</v>
      </c>
      <c r="D171" s="4" t="s">
        <v>35</v>
      </c>
      <c r="E171" s="4" t="s">
        <v>32</v>
      </c>
      <c r="F171" s="4" t="s">
        <v>81</v>
      </c>
      <c r="G171">
        <v>5</v>
      </c>
      <c r="H171">
        <v>22</v>
      </c>
      <c r="I171" s="4" t="s">
        <v>207</v>
      </c>
      <c r="J171" s="4" t="s">
        <v>208</v>
      </c>
      <c r="K171" s="4" t="s">
        <v>179</v>
      </c>
      <c r="L171" s="4" t="s">
        <v>180</v>
      </c>
      <c r="M171" s="4" t="s">
        <v>192</v>
      </c>
      <c r="N171" s="4" t="s">
        <v>182</v>
      </c>
      <c r="O171" s="4" t="s">
        <v>189</v>
      </c>
      <c r="P171">
        <v>-18111.5</v>
      </c>
      <c r="Q171" s="4" t="s">
        <v>30</v>
      </c>
    </row>
    <row r="172" spans="1:17" x14ac:dyDescent="0.2">
      <c r="A172" s="4" t="s">
        <v>355</v>
      </c>
      <c r="B172">
        <v>171</v>
      </c>
      <c r="C172" s="4" t="s">
        <v>26</v>
      </c>
      <c r="D172" s="4" t="s">
        <v>35</v>
      </c>
      <c r="E172" s="4" t="s">
        <v>32</v>
      </c>
      <c r="F172" s="4" t="s">
        <v>81</v>
      </c>
      <c r="G172">
        <v>5</v>
      </c>
      <c r="H172">
        <v>22</v>
      </c>
      <c r="I172" s="4" t="s">
        <v>207</v>
      </c>
      <c r="J172" s="4" t="s">
        <v>208</v>
      </c>
      <c r="K172" s="4" t="s">
        <v>179</v>
      </c>
      <c r="L172" s="4" t="s">
        <v>180</v>
      </c>
      <c r="M172" s="4" t="s">
        <v>192</v>
      </c>
      <c r="N172" s="4" t="s">
        <v>182</v>
      </c>
      <c r="O172" s="4" t="s">
        <v>183</v>
      </c>
      <c r="P172">
        <v>5611.39</v>
      </c>
      <c r="Q172" s="4" t="s">
        <v>30</v>
      </c>
    </row>
    <row r="173" spans="1:17" x14ac:dyDescent="0.2">
      <c r="A173" s="4" t="s">
        <v>356</v>
      </c>
      <c r="B173">
        <v>172</v>
      </c>
      <c r="C173" s="4" t="s">
        <v>26</v>
      </c>
      <c r="D173" s="4" t="s">
        <v>35</v>
      </c>
      <c r="E173" s="4" t="s">
        <v>32</v>
      </c>
      <c r="F173" s="4" t="s">
        <v>81</v>
      </c>
      <c r="G173">
        <v>5</v>
      </c>
      <c r="H173">
        <v>22</v>
      </c>
      <c r="I173" s="4" t="s">
        <v>193</v>
      </c>
      <c r="J173" s="4" t="s">
        <v>194</v>
      </c>
      <c r="K173" s="4" t="s">
        <v>179</v>
      </c>
      <c r="L173" s="4" t="s">
        <v>186</v>
      </c>
      <c r="M173" s="4" t="s">
        <v>195</v>
      </c>
      <c r="N173" s="4" t="s">
        <v>196</v>
      </c>
      <c r="O173" s="4" t="s">
        <v>189</v>
      </c>
      <c r="P173">
        <v>-61112.63</v>
      </c>
      <c r="Q173" s="4" t="s">
        <v>30</v>
      </c>
    </row>
    <row r="174" spans="1:17" x14ac:dyDescent="0.2">
      <c r="A174" s="4" t="s">
        <v>357</v>
      </c>
      <c r="B174">
        <v>173</v>
      </c>
      <c r="C174" s="4" t="s">
        <v>26</v>
      </c>
      <c r="D174" s="4" t="s">
        <v>35</v>
      </c>
      <c r="E174" s="4" t="s">
        <v>32</v>
      </c>
      <c r="F174" s="4" t="s">
        <v>81</v>
      </c>
      <c r="G174">
        <v>5</v>
      </c>
      <c r="H174">
        <v>22</v>
      </c>
      <c r="I174" s="4" t="s">
        <v>197</v>
      </c>
      <c r="J174" s="4" t="s">
        <v>198</v>
      </c>
      <c r="K174" s="4" t="s">
        <v>179</v>
      </c>
      <c r="L174" s="4" t="s">
        <v>186</v>
      </c>
      <c r="M174" s="4" t="s">
        <v>195</v>
      </c>
      <c r="N174" s="4" t="s">
        <v>196</v>
      </c>
      <c r="O174" s="4" t="s">
        <v>189</v>
      </c>
      <c r="P174">
        <v>-60112.63</v>
      </c>
      <c r="Q174" s="4" t="s">
        <v>30</v>
      </c>
    </row>
    <row r="175" spans="1:17" x14ac:dyDescent="0.2">
      <c r="A175" s="4" t="s">
        <v>358</v>
      </c>
      <c r="B175">
        <v>174</v>
      </c>
      <c r="C175" s="4" t="s">
        <v>26</v>
      </c>
      <c r="D175" s="4" t="s">
        <v>35</v>
      </c>
      <c r="E175" s="4" t="s">
        <v>32</v>
      </c>
      <c r="F175" s="4" t="s">
        <v>81</v>
      </c>
      <c r="G175">
        <v>5</v>
      </c>
      <c r="H175">
        <v>22</v>
      </c>
      <c r="I175" s="4" t="s">
        <v>197</v>
      </c>
      <c r="J175" s="4" t="s">
        <v>198</v>
      </c>
      <c r="K175" s="4" t="s">
        <v>179</v>
      </c>
      <c r="L175" s="4" t="s">
        <v>186</v>
      </c>
      <c r="M175" s="4" t="s">
        <v>195</v>
      </c>
      <c r="N175" s="4" t="s">
        <v>196</v>
      </c>
      <c r="O175" s="4" t="s">
        <v>183</v>
      </c>
      <c r="P175">
        <v>60112.63</v>
      </c>
      <c r="Q175" s="4" t="s">
        <v>30</v>
      </c>
    </row>
    <row r="176" spans="1:17" x14ac:dyDescent="0.2">
      <c r="A176" s="4" t="s">
        <v>359</v>
      </c>
      <c r="B176">
        <v>175</v>
      </c>
      <c r="C176" s="4" t="s">
        <v>26</v>
      </c>
      <c r="D176" s="4" t="s">
        <v>35</v>
      </c>
      <c r="E176" s="4" t="s">
        <v>32</v>
      </c>
      <c r="F176" s="4" t="s">
        <v>81</v>
      </c>
      <c r="G176">
        <v>5</v>
      </c>
      <c r="H176">
        <v>22</v>
      </c>
      <c r="I176" s="4" t="s">
        <v>199</v>
      </c>
      <c r="J176" s="4" t="s">
        <v>200</v>
      </c>
      <c r="K176" s="4" t="s">
        <v>179</v>
      </c>
      <c r="L176" s="4" t="s">
        <v>186</v>
      </c>
      <c r="M176" s="4" t="s">
        <v>195</v>
      </c>
      <c r="N176" s="4" t="s">
        <v>196</v>
      </c>
      <c r="O176" s="4" t="s">
        <v>189</v>
      </c>
      <c r="P176">
        <v>-1000</v>
      </c>
      <c r="Q176" s="4" t="s">
        <v>30</v>
      </c>
    </row>
    <row r="177" spans="1:17" x14ac:dyDescent="0.2">
      <c r="A177" s="4" t="s">
        <v>360</v>
      </c>
      <c r="B177">
        <v>176</v>
      </c>
      <c r="C177" s="4" t="s">
        <v>26</v>
      </c>
      <c r="D177" s="4" t="s">
        <v>35</v>
      </c>
      <c r="E177" s="4" t="s">
        <v>32</v>
      </c>
      <c r="F177" s="4" t="s">
        <v>81</v>
      </c>
      <c r="G177">
        <v>5</v>
      </c>
      <c r="H177">
        <v>22</v>
      </c>
      <c r="I177" s="4" t="s">
        <v>199</v>
      </c>
      <c r="J177" s="4" t="s">
        <v>200</v>
      </c>
      <c r="K177" s="4" t="s">
        <v>179</v>
      </c>
      <c r="L177" s="4" t="s">
        <v>186</v>
      </c>
      <c r="M177" s="4" t="s">
        <v>195</v>
      </c>
      <c r="N177" s="4" t="s">
        <v>196</v>
      </c>
      <c r="O177" s="4" t="s">
        <v>183</v>
      </c>
      <c r="P177">
        <v>1000</v>
      </c>
      <c r="Q177" s="4" t="s">
        <v>30</v>
      </c>
    </row>
    <row r="178" spans="1:17" x14ac:dyDescent="0.2">
      <c r="A178" s="4" t="s">
        <v>361</v>
      </c>
      <c r="B178">
        <v>177</v>
      </c>
      <c r="C178" s="4" t="s">
        <v>26</v>
      </c>
      <c r="D178" s="4" t="s">
        <v>35</v>
      </c>
      <c r="E178" s="4" t="s">
        <v>32</v>
      </c>
      <c r="F178" s="4" t="s">
        <v>81</v>
      </c>
      <c r="G178">
        <v>5</v>
      </c>
      <c r="H178">
        <v>22</v>
      </c>
      <c r="I178" s="4" t="s">
        <v>209</v>
      </c>
      <c r="J178" s="4" t="s">
        <v>210</v>
      </c>
      <c r="K178" s="4" t="s">
        <v>205</v>
      </c>
      <c r="L178" s="4" t="s">
        <v>211</v>
      </c>
      <c r="M178" s="4" t="s">
        <v>182</v>
      </c>
      <c r="N178" s="4" t="s">
        <v>182</v>
      </c>
      <c r="O178" s="4" t="s">
        <v>183</v>
      </c>
      <c r="P178">
        <v>4866.21</v>
      </c>
      <c r="Q178" s="4" t="s">
        <v>30</v>
      </c>
    </row>
    <row r="179" spans="1:17" x14ac:dyDescent="0.2">
      <c r="A179" s="4" t="s">
        <v>362</v>
      </c>
      <c r="B179">
        <v>178</v>
      </c>
      <c r="C179" s="4" t="s">
        <v>26</v>
      </c>
      <c r="D179" s="4" t="s">
        <v>35</v>
      </c>
      <c r="E179" s="4" t="s">
        <v>32</v>
      </c>
      <c r="F179" s="4" t="s">
        <v>81</v>
      </c>
      <c r="G179">
        <v>5</v>
      </c>
      <c r="H179">
        <v>22</v>
      </c>
      <c r="I179" s="4" t="s">
        <v>203</v>
      </c>
      <c r="J179" s="4" t="s">
        <v>204</v>
      </c>
      <c r="K179" s="4" t="s">
        <v>205</v>
      </c>
      <c r="L179" s="4" t="s">
        <v>206</v>
      </c>
      <c r="M179" s="4" t="s">
        <v>182</v>
      </c>
      <c r="N179" s="4" t="s">
        <v>182</v>
      </c>
      <c r="O179" s="4" t="s">
        <v>183</v>
      </c>
      <c r="P179">
        <v>200</v>
      </c>
      <c r="Q179" s="4" t="s">
        <v>30</v>
      </c>
    </row>
    <row r="180" spans="1:17" x14ac:dyDescent="0.2">
      <c r="A180" s="4" t="s">
        <v>363</v>
      </c>
      <c r="B180">
        <v>179</v>
      </c>
      <c r="C180" s="4" t="s">
        <v>26</v>
      </c>
      <c r="D180" s="4" t="s">
        <v>35</v>
      </c>
      <c r="E180" s="4" t="s">
        <v>32</v>
      </c>
      <c r="F180" s="4" t="s">
        <v>81</v>
      </c>
      <c r="G180">
        <v>5</v>
      </c>
      <c r="H180">
        <v>22</v>
      </c>
      <c r="I180" s="4" t="s">
        <v>201</v>
      </c>
      <c r="J180" s="4" t="s">
        <v>202</v>
      </c>
      <c r="K180" s="4" t="s">
        <v>179</v>
      </c>
      <c r="L180" s="4" t="s">
        <v>180</v>
      </c>
      <c r="M180" s="4" t="s">
        <v>192</v>
      </c>
      <c r="N180" s="4" t="s">
        <v>182</v>
      </c>
      <c r="O180" s="4" t="s">
        <v>189</v>
      </c>
      <c r="P180">
        <v>-4866.22</v>
      </c>
      <c r="Q180" s="4" t="s">
        <v>30</v>
      </c>
    </row>
    <row r="181" spans="1:17" x14ac:dyDescent="0.2">
      <c r="A181" s="4" t="s">
        <v>364</v>
      </c>
      <c r="B181">
        <v>180</v>
      </c>
      <c r="C181" s="4" t="s">
        <v>26</v>
      </c>
      <c r="D181" s="4" t="s">
        <v>35</v>
      </c>
      <c r="E181" s="4" t="s">
        <v>32</v>
      </c>
      <c r="F181" s="4" t="s">
        <v>81</v>
      </c>
      <c r="G181">
        <v>5</v>
      </c>
      <c r="H181">
        <v>22</v>
      </c>
      <c r="I181" s="4" t="s">
        <v>201</v>
      </c>
      <c r="J181" s="4" t="s">
        <v>202</v>
      </c>
      <c r="K181" s="4" t="s">
        <v>179</v>
      </c>
      <c r="L181" s="4" t="s">
        <v>180</v>
      </c>
      <c r="M181" s="4" t="s">
        <v>192</v>
      </c>
      <c r="N181" s="4" t="s">
        <v>182</v>
      </c>
      <c r="O181" s="4" t="s">
        <v>183</v>
      </c>
      <c r="P181">
        <v>61112.639999999999</v>
      </c>
      <c r="Q181" s="4" t="s">
        <v>30</v>
      </c>
    </row>
    <row r="182" spans="1:17" x14ac:dyDescent="0.2">
      <c r="A182" s="4" t="s">
        <v>365</v>
      </c>
      <c r="B182">
        <v>181</v>
      </c>
      <c r="C182" s="4" t="s">
        <v>26</v>
      </c>
      <c r="D182" s="4" t="s">
        <v>35</v>
      </c>
      <c r="E182" s="4" t="s">
        <v>32</v>
      </c>
      <c r="F182" s="4" t="s">
        <v>81</v>
      </c>
      <c r="G182">
        <v>5</v>
      </c>
      <c r="H182">
        <v>22</v>
      </c>
      <c r="I182" s="4" t="s">
        <v>212</v>
      </c>
      <c r="J182" s="4" t="s">
        <v>213</v>
      </c>
      <c r="K182" s="4" t="s">
        <v>205</v>
      </c>
      <c r="L182" s="4" t="s">
        <v>214</v>
      </c>
      <c r="M182" s="4" t="s">
        <v>182</v>
      </c>
      <c r="N182" s="4" t="s">
        <v>182</v>
      </c>
      <c r="O182" s="4" t="s">
        <v>189</v>
      </c>
      <c r="P182">
        <v>-5611.39</v>
      </c>
      <c r="Q182" s="4" t="s">
        <v>30</v>
      </c>
    </row>
    <row r="183" spans="1:17" x14ac:dyDescent="0.2">
      <c r="A183" s="4" t="s">
        <v>366</v>
      </c>
      <c r="B183">
        <v>182</v>
      </c>
      <c r="C183" s="4" t="s">
        <v>26</v>
      </c>
      <c r="D183" s="4" t="s">
        <v>35</v>
      </c>
      <c r="E183" s="4" t="s">
        <v>35</v>
      </c>
      <c r="F183" s="4" t="s">
        <v>83</v>
      </c>
      <c r="G183">
        <v>5</v>
      </c>
      <c r="H183">
        <v>23</v>
      </c>
      <c r="I183" s="4" t="s">
        <v>190</v>
      </c>
      <c r="J183" s="4" t="s">
        <v>191</v>
      </c>
      <c r="K183" s="4" t="s">
        <v>179</v>
      </c>
      <c r="L183" s="4" t="s">
        <v>180</v>
      </c>
      <c r="M183" s="4" t="s">
        <v>192</v>
      </c>
      <c r="N183" s="4" t="s">
        <v>182</v>
      </c>
      <c r="O183" s="4" t="s">
        <v>189</v>
      </c>
      <c r="P183">
        <v>-200</v>
      </c>
      <c r="Q183" s="4" t="s">
        <v>30</v>
      </c>
    </row>
    <row r="184" spans="1:17" x14ac:dyDescent="0.2">
      <c r="A184" s="4" t="s">
        <v>367</v>
      </c>
      <c r="B184">
        <v>183</v>
      </c>
      <c r="C184" s="4" t="s">
        <v>26</v>
      </c>
      <c r="D184" s="4" t="s">
        <v>35</v>
      </c>
      <c r="E184" s="4" t="s">
        <v>35</v>
      </c>
      <c r="F184" s="4" t="s">
        <v>83</v>
      </c>
      <c r="G184">
        <v>5</v>
      </c>
      <c r="H184">
        <v>23</v>
      </c>
      <c r="I184" s="4" t="s">
        <v>190</v>
      </c>
      <c r="J184" s="4" t="s">
        <v>191</v>
      </c>
      <c r="K184" s="4" t="s">
        <v>179</v>
      </c>
      <c r="L184" s="4" t="s">
        <v>180</v>
      </c>
      <c r="M184" s="4" t="s">
        <v>192</v>
      </c>
      <c r="N184" s="4" t="s">
        <v>182</v>
      </c>
      <c r="O184" s="4" t="s">
        <v>183</v>
      </c>
      <c r="P184">
        <v>12344.56</v>
      </c>
      <c r="Q184" s="4" t="s">
        <v>30</v>
      </c>
    </row>
    <row r="185" spans="1:17" x14ac:dyDescent="0.2">
      <c r="A185" s="4" t="s">
        <v>368</v>
      </c>
      <c r="B185">
        <v>184</v>
      </c>
      <c r="C185" s="4" t="s">
        <v>26</v>
      </c>
      <c r="D185" s="4" t="s">
        <v>35</v>
      </c>
      <c r="E185" s="4" t="s">
        <v>35</v>
      </c>
      <c r="F185" s="4" t="s">
        <v>83</v>
      </c>
      <c r="G185">
        <v>5</v>
      </c>
      <c r="H185">
        <v>23</v>
      </c>
      <c r="I185" s="4" t="s">
        <v>207</v>
      </c>
      <c r="J185" s="4" t="s">
        <v>208</v>
      </c>
      <c r="K185" s="4" t="s">
        <v>179</v>
      </c>
      <c r="L185" s="4" t="s">
        <v>180</v>
      </c>
      <c r="M185" s="4" t="s">
        <v>192</v>
      </c>
      <c r="N185" s="4" t="s">
        <v>182</v>
      </c>
      <c r="O185" s="4" t="s">
        <v>189</v>
      </c>
      <c r="P185">
        <v>-12344.56</v>
      </c>
      <c r="Q185" s="4" t="s">
        <v>30</v>
      </c>
    </row>
    <row r="186" spans="1:17" x14ac:dyDescent="0.2">
      <c r="A186" s="4" t="s">
        <v>369</v>
      </c>
      <c r="B186">
        <v>185</v>
      </c>
      <c r="C186" s="4" t="s">
        <v>26</v>
      </c>
      <c r="D186" s="4" t="s">
        <v>35</v>
      </c>
      <c r="E186" s="4" t="s">
        <v>35</v>
      </c>
      <c r="F186" s="4" t="s">
        <v>83</v>
      </c>
      <c r="G186">
        <v>5</v>
      </c>
      <c r="H186">
        <v>23</v>
      </c>
      <c r="I186" s="4" t="s">
        <v>207</v>
      </c>
      <c r="J186" s="4" t="s">
        <v>208</v>
      </c>
      <c r="K186" s="4" t="s">
        <v>179</v>
      </c>
      <c r="L186" s="4" t="s">
        <v>180</v>
      </c>
      <c r="M186" s="4" t="s">
        <v>192</v>
      </c>
      <c r="N186" s="4" t="s">
        <v>182</v>
      </c>
      <c r="O186" s="4" t="s">
        <v>183</v>
      </c>
      <c r="P186">
        <v>11242.24</v>
      </c>
      <c r="Q186" s="4" t="s">
        <v>30</v>
      </c>
    </row>
    <row r="187" spans="1:17" x14ac:dyDescent="0.2">
      <c r="A187" s="4" t="s">
        <v>370</v>
      </c>
      <c r="B187">
        <v>186</v>
      </c>
      <c r="C187" s="4" t="s">
        <v>26</v>
      </c>
      <c r="D187" s="4" t="s">
        <v>35</v>
      </c>
      <c r="E187" s="4" t="s">
        <v>35</v>
      </c>
      <c r="F187" s="4" t="s">
        <v>83</v>
      </c>
      <c r="G187">
        <v>5</v>
      </c>
      <c r="H187">
        <v>23</v>
      </c>
      <c r="I187" s="4" t="s">
        <v>209</v>
      </c>
      <c r="J187" s="4" t="s">
        <v>210</v>
      </c>
      <c r="K187" s="4" t="s">
        <v>205</v>
      </c>
      <c r="L187" s="4" t="s">
        <v>211</v>
      </c>
      <c r="M187" s="4" t="s">
        <v>182</v>
      </c>
      <c r="N187" s="4" t="s">
        <v>182</v>
      </c>
      <c r="O187" s="4" t="s">
        <v>183</v>
      </c>
      <c r="P187">
        <v>9240.7999999999993</v>
      </c>
      <c r="Q187" s="4" t="s">
        <v>30</v>
      </c>
    </row>
    <row r="188" spans="1:17" x14ac:dyDescent="0.2">
      <c r="A188" s="4" t="s">
        <v>371</v>
      </c>
      <c r="B188">
        <v>187</v>
      </c>
      <c r="C188" s="4" t="s">
        <v>26</v>
      </c>
      <c r="D188" s="4" t="s">
        <v>35</v>
      </c>
      <c r="E188" s="4" t="s">
        <v>35</v>
      </c>
      <c r="F188" s="4" t="s">
        <v>83</v>
      </c>
      <c r="G188">
        <v>5</v>
      </c>
      <c r="H188">
        <v>23</v>
      </c>
      <c r="I188" s="4" t="s">
        <v>203</v>
      </c>
      <c r="J188" s="4" t="s">
        <v>204</v>
      </c>
      <c r="K188" s="4" t="s">
        <v>205</v>
      </c>
      <c r="L188" s="4" t="s">
        <v>206</v>
      </c>
      <c r="M188" s="4" t="s">
        <v>182</v>
      </c>
      <c r="N188" s="4" t="s">
        <v>182</v>
      </c>
      <c r="O188" s="4" t="s">
        <v>183</v>
      </c>
      <c r="P188">
        <v>200</v>
      </c>
      <c r="Q188" s="4" t="s">
        <v>30</v>
      </c>
    </row>
    <row r="189" spans="1:17" x14ac:dyDescent="0.2">
      <c r="A189" s="4" t="s">
        <v>372</v>
      </c>
      <c r="B189">
        <v>188</v>
      </c>
      <c r="C189" s="4" t="s">
        <v>26</v>
      </c>
      <c r="D189" s="4" t="s">
        <v>35</v>
      </c>
      <c r="E189" s="4" t="s">
        <v>35</v>
      </c>
      <c r="F189" s="4" t="s">
        <v>83</v>
      </c>
      <c r="G189">
        <v>5</v>
      </c>
      <c r="H189">
        <v>23</v>
      </c>
      <c r="I189" s="4" t="s">
        <v>201</v>
      </c>
      <c r="J189" s="4" t="s">
        <v>202</v>
      </c>
      <c r="K189" s="4" t="s">
        <v>179</v>
      </c>
      <c r="L189" s="4" t="s">
        <v>180</v>
      </c>
      <c r="M189" s="4" t="s">
        <v>192</v>
      </c>
      <c r="N189" s="4" t="s">
        <v>182</v>
      </c>
      <c r="O189" s="4" t="s">
        <v>189</v>
      </c>
      <c r="P189">
        <v>-9240.7999999999993</v>
      </c>
      <c r="Q189" s="4" t="s">
        <v>30</v>
      </c>
    </row>
    <row r="190" spans="1:17" x14ac:dyDescent="0.2">
      <c r="A190" s="4" t="s">
        <v>373</v>
      </c>
      <c r="B190">
        <v>189</v>
      </c>
      <c r="C190" s="4" t="s">
        <v>26</v>
      </c>
      <c r="D190" s="4" t="s">
        <v>35</v>
      </c>
      <c r="E190" s="4" t="s">
        <v>35</v>
      </c>
      <c r="F190" s="4" t="s">
        <v>83</v>
      </c>
      <c r="G190">
        <v>5</v>
      </c>
      <c r="H190">
        <v>23</v>
      </c>
      <c r="I190" s="4" t="s">
        <v>212</v>
      </c>
      <c r="J190" s="4" t="s">
        <v>213</v>
      </c>
      <c r="K190" s="4" t="s">
        <v>205</v>
      </c>
      <c r="L190" s="4" t="s">
        <v>214</v>
      </c>
      <c r="M190" s="4" t="s">
        <v>182</v>
      </c>
      <c r="N190" s="4" t="s">
        <v>182</v>
      </c>
      <c r="O190" s="4" t="s">
        <v>189</v>
      </c>
      <c r="P190">
        <v>-11242.24</v>
      </c>
      <c r="Q190" s="4" t="s">
        <v>30</v>
      </c>
    </row>
    <row r="191" spans="1:17" x14ac:dyDescent="0.2">
      <c r="A191" s="4" t="s">
        <v>374</v>
      </c>
      <c r="B191">
        <v>190</v>
      </c>
      <c r="C191" s="4" t="s">
        <v>26</v>
      </c>
      <c r="D191" s="4" t="s">
        <v>35</v>
      </c>
      <c r="E191" s="4" t="s">
        <v>38</v>
      </c>
      <c r="F191" s="4" t="s">
        <v>85</v>
      </c>
      <c r="G191">
        <v>5</v>
      </c>
      <c r="H191">
        <v>24</v>
      </c>
      <c r="I191" s="4" t="s">
        <v>190</v>
      </c>
      <c r="J191" s="4" t="s">
        <v>191</v>
      </c>
      <c r="K191" s="4" t="s">
        <v>179</v>
      </c>
      <c r="L191" s="4" t="s">
        <v>180</v>
      </c>
      <c r="M191" s="4" t="s">
        <v>192</v>
      </c>
      <c r="N191" s="4" t="s">
        <v>182</v>
      </c>
      <c r="O191" s="4" t="s">
        <v>189</v>
      </c>
      <c r="P191">
        <v>-200</v>
      </c>
      <c r="Q191" s="4" t="s">
        <v>30</v>
      </c>
    </row>
    <row r="192" spans="1:17" x14ac:dyDescent="0.2">
      <c r="A192" s="4" t="s">
        <v>375</v>
      </c>
      <c r="B192">
        <v>191</v>
      </c>
      <c r="C192" s="4" t="s">
        <v>26</v>
      </c>
      <c r="D192" s="4" t="s">
        <v>35</v>
      </c>
      <c r="E192" s="4" t="s">
        <v>38</v>
      </c>
      <c r="F192" s="4" t="s">
        <v>85</v>
      </c>
      <c r="G192">
        <v>5</v>
      </c>
      <c r="H192">
        <v>24</v>
      </c>
      <c r="I192" s="4" t="s">
        <v>190</v>
      </c>
      <c r="J192" s="4" t="s">
        <v>191</v>
      </c>
      <c r="K192" s="4" t="s">
        <v>179</v>
      </c>
      <c r="L192" s="4" t="s">
        <v>180</v>
      </c>
      <c r="M192" s="4" t="s">
        <v>192</v>
      </c>
      <c r="N192" s="4" t="s">
        <v>182</v>
      </c>
      <c r="O192" s="4" t="s">
        <v>183</v>
      </c>
      <c r="P192">
        <v>2387.39</v>
      </c>
      <c r="Q192" s="4" t="s">
        <v>30</v>
      </c>
    </row>
    <row r="193" spans="1:17" x14ac:dyDescent="0.2">
      <c r="A193" s="4" t="s">
        <v>376</v>
      </c>
      <c r="B193">
        <v>192</v>
      </c>
      <c r="C193" s="4" t="s">
        <v>26</v>
      </c>
      <c r="D193" s="4" t="s">
        <v>35</v>
      </c>
      <c r="E193" s="4" t="s">
        <v>38</v>
      </c>
      <c r="F193" s="4" t="s">
        <v>85</v>
      </c>
      <c r="G193">
        <v>5</v>
      </c>
      <c r="H193">
        <v>24</v>
      </c>
      <c r="I193" s="4" t="s">
        <v>207</v>
      </c>
      <c r="J193" s="4" t="s">
        <v>208</v>
      </c>
      <c r="K193" s="4" t="s">
        <v>179</v>
      </c>
      <c r="L193" s="4" t="s">
        <v>180</v>
      </c>
      <c r="M193" s="4" t="s">
        <v>192</v>
      </c>
      <c r="N193" s="4" t="s">
        <v>182</v>
      </c>
      <c r="O193" s="4" t="s">
        <v>189</v>
      </c>
      <c r="P193">
        <v>-2387.39</v>
      </c>
      <c r="Q193" s="4" t="s">
        <v>30</v>
      </c>
    </row>
    <row r="194" spans="1:17" x14ac:dyDescent="0.2">
      <c r="A194" s="4" t="s">
        <v>377</v>
      </c>
      <c r="B194">
        <v>193</v>
      </c>
      <c r="C194" s="4" t="s">
        <v>26</v>
      </c>
      <c r="D194" s="4" t="s">
        <v>35</v>
      </c>
      <c r="E194" s="4" t="s">
        <v>38</v>
      </c>
      <c r="F194" s="4" t="s">
        <v>85</v>
      </c>
      <c r="G194">
        <v>5</v>
      </c>
      <c r="H194">
        <v>24</v>
      </c>
      <c r="I194" s="4" t="s">
        <v>207</v>
      </c>
      <c r="J194" s="4" t="s">
        <v>208</v>
      </c>
      <c r="K194" s="4" t="s">
        <v>179</v>
      </c>
      <c r="L194" s="4" t="s">
        <v>180</v>
      </c>
      <c r="M194" s="4" t="s">
        <v>192</v>
      </c>
      <c r="N194" s="4" t="s">
        <v>182</v>
      </c>
      <c r="O194" s="4" t="s">
        <v>183</v>
      </c>
      <c r="P194">
        <v>18572.330000000002</v>
      </c>
      <c r="Q194" s="4" t="s">
        <v>30</v>
      </c>
    </row>
    <row r="195" spans="1:17" x14ac:dyDescent="0.2">
      <c r="A195" s="4" t="s">
        <v>378</v>
      </c>
      <c r="B195">
        <v>194</v>
      </c>
      <c r="C195" s="4" t="s">
        <v>26</v>
      </c>
      <c r="D195" s="4" t="s">
        <v>35</v>
      </c>
      <c r="E195" s="4" t="s">
        <v>38</v>
      </c>
      <c r="F195" s="4" t="s">
        <v>85</v>
      </c>
      <c r="G195">
        <v>5</v>
      </c>
      <c r="H195">
        <v>24</v>
      </c>
      <c r="I195" s="4" t="s">
        <v>209</v>
      </c>
      <c r="J195" s="4" t="s">
        <v>210</v>
      </c>
      <c r="K195" s="4" t="s">
        <v>205</v>
      </c>
      <c r="L195" s="4" t="s">
        <v>211</v>
      </c>
      <c r="M195" s="4" t="s">
        <v>182</v>
      </c>
      <c r="N195" s="4" t="s">
        <v>182</v>
      </c>
      <c r="O195" s="4" t="s">
        <v>183</v>
      </c>
      <c r="P195">
        <v>15762.98</v>
      </c>
      <c r="Q195" s="4" t="s">
        <v>30</v>
      </c>
    </row>
    <row r="196" spans="1:17" x14ac:dyDescent="0.2">
      <c r="A196" s="4" t="s">
        <v>379</v>
      </c>
      <c r="B196">
        <v>195</v>
      </c>
      <c r="C196" s="4" t="s">
        <v>26</v>
      </c>
      <c r="D196" s="4" t="s">
        <v>35</v>
      </c>
      <c r="E196" s="4" t="s">
        <v>38</v>
      </c>
      <c r="F196" s="4" t="s">
        <v>85</v>
      </c>
      <c r="G196">
        <v>5</v>
      </c>
      <c r="H196">
        <v>24</v>
      </c>
      <c r="I196" s="4" t="s">
        <v>203</v>
      </c>
      <c r="J196" s="4" t="s">
        <v>204</v>
      </c>
      <c r="K196" s="4" t="s">
        <v>205</v>
      </c>
      <c r="L196" s="4" t="s">
        <v>206</v>
      </c>
      <c r="M196" s="4" t="s">
        <v>182</v>
      </c>
      <c r="N196" s="4" t="s">
        <v>182</v>
      </c>
      <c r="O196" s="4" t="s">
        <v>183</v>
      </c>
      <c r="P196">
        <v>200</v>
      </c>
      <c r="Q196" s="4" t="s">
        <v>30</v>
      </c>
    </row>
    <row r="197" spans="1:17" x14ac:dyDescent="0.2">
      <c r="A197" s="4" t="s">
        <v>380</v>
      </c>
      <c r="B197">
        <v>196</v>
      </c>
      <c r="C197" s="4" t="s">
        <v>26</v>
      </c>
      <c r="D197" s="4" t="s">
        <v>35</v>
      </c>
      <c r="E197" s="4" t="s">
        <v>38</v>
      </c>
      <c r="F197" s="4" t="s">
        <v>85</v>
      </c>
      <c r="G197">
        <v>5</v>
      </c>
      <c r="H197">
        <v>24</v>
      </c>
      <c r="I197" s="4" t="s">
        <v>201</v>
      </c>
      <c r="J197" s="4" t="s">
        <v>202</v>
      </c>
      <c r="K197" s="4" t="s">
        <v>179</v>
      </c>
      <c r="L197" s="4" t="s">
        <v>180</v>
      </c>
      <c r="M197" s="4" t="s">
        <v>192</v>
      </c>
      <c r="N197" s="4" t="s">
        <v>182</v>
      </c>
      <c r="O197" s="4" t="s">
        <v>189</v>
      </c>
      <c r="P197">
        <v>-15762.98</v>
      </c>
      <c r="Q197" s="4" t="s">
        <v>30</v>
      </c>
    </row>
    <row r="198" spans="1:17" x14ac:dyDescent="0.2">
      <c r="A198" s="4" t="s">
        <v>381</v>
      </c>
      <c r="B198">
        <v>197</v>
      </c>
      <c r="C198" s="4" t="s">
        <v>26</v>
      </c>
      <c r="D198" s="4" t="s">
        <v>35</v>
      </c>
      <c r="E198" s="4" t="s">
        <v>38</v>
      </c>
      <c r="F198" s="4" t="s">
        <v>85</v>
      </c>
      <c r="G198">
        <v>5</v>
      </c>
      <c r="H198">
        <v>24</v>
      </c>
      <c r="I198" s="4" t="s">
        <v>212</v>
      </c>
      <c r="J198" s="4" t="s">
        <v>213</v>
      </c>
      <c r="K198" s="4" t="s">
        <v>205</v>
      </c>
      <c r="L198" s="4" t="s">
        <v>214</v>
      </c>
      <c r="M198" s="4" t="s">
        <v>182</v>
      </c>
      <c r="N198" s="4" t="s">
        <v>182</v>
      </c>
      <c r="O198" s="4" t="s">
        <v>189</v>
      </c>
      <c r="P198">
        <v>-18572.330000000002</v>
      </c>
      <c r="Q198" s="4" t="s">
        <v>30</v>
      </c>
    </row>
    <row r="199" spans="1:17" x14ac:dyDescent="0.2">
      <c r="A199" s="4" t="s">
        <v>382</v>
      </c>
      <c r="B199">
        <v>198</v>
      </c>
      <c r="C199" s="4" t="s">
        <v>26</v>
      </c>
      <c r="D199" s="4" t="s">
        <v>35</v>
      </c>
      <c r="E199" s="4" t="s">
        <v>41</v>
      </c>
      <c r="F199" s="4" t="s">
        <v>87</v>
      </c>
      <c r="G199">
        <v>5</v>
      </c>
      <c r="H199">
        <v>25</v>
      </c>
      <c r="I199" s="4" t="s">
        <v>190</v>
      </c>
      <c r="J199" s="4" t="s">
        <v>191</v>
      </c>
      <c r="K199" s="4" t="s">
        <v>179</v>
      </c>
      <c r="L199" s="4" t="s">
        <v>180</v>
      </c>
      <c r="M199" s="4" t="s">
        <v>192</v>
      </c>
      <c r="N199" s="4" t="s">
        <v>182</v>
      </c>
      <c r="O199" s="4" t="s">
        <v>189</v>
      </c>
      <c r="P199">
        <v>-300</v>
      </c>
      <c r="Q199" s="4" t="s">
        <v>30</v>
      </c>
    </row>
    <row r="200" spans="1:17" x14ac:dyDescent="0.2">
      <c r="A200" s="4" t="s">
        <v>383</v>
      </c>
      <c r="B200">
        <v>199</v>
      </c>
      <c r="C200" s="4" t="s">
        <v>26</v>
      </c>
      <c r="D200" s="4" t="s">
        <v>35</v>
      </c>
      <c r="E200" s="4" t="s">
        <v>41</v>
      </c>
      <c r="F200" s="4" t="s">
        <v>87</v>
      </c>
      <c r="G200">
        <v>5</v>
      </c>
      <c r="H200">
        <v>25</v>
      </c>
      <c r="I200" s="4" t="s">
        <v>190</v>
      </c>
      <c r="J200" s="4" t="s">
        <v>191</v>
      </c>
      <c r="K200" s="4" t="s">
        <v>179</v>
      </c>
      <c r="L200" s="4" t="s">
        <v>180</v>
      </c>
      <c r="M200" s="4" t="s">
        <v>192</v>
      </c>
      <c r="N200" s="4" t="s">
        <v>182</v>
      </c>
      <c r="O200" s="4" t="s">
        <v>183</v>
      </c>
      <c r="P200">
        <v>4475.72</v>
      </c>
      <c r="Q200" s="4" t="s">
        <v>30</v>
      </c>
    </row>
    <row r="201" spans="1:17" x14ac:dyDescent="0.2">
      <c r="A201" s="4" t="s">
        <v>384</v>
      </c>
      <c r="B201">
        <v>200</v>
      </c>
      <c r="C201" s="4" t="s">
        <v>26</v>
      </c>
      <c r="D201" s="4" t="s">
        <v>35</v>
      </c>
      <c r="E201" s="4" t="s">
        <v>41</v>
      </c>
      <c r="F201" s="4" t="s">
        <v>87</v>
      </c>
      <c r="G201">
        <v>5</v>
      </c>
      <c r="H201">
        <v>25</v>
      </c>
      <c r="I201" s="4" t="s">
        <v>207</v>
      </c>
      <c r="J201" s="4" t="s">
        <v>208</v>
      </c>
      <c r="K201" s="4" t="s">
        <v>179</v>
      </c>
      <c r="L201" s="4" t="s">
        <v>180</v>
      </c>
      <c r="M201" s="4" t="s">
        <v>192</v>
      </c>
      <c r="N201" s="4" t="s">
        <v>182</v>
      </c>
      <c r="O201" s="4" t="s">
        <v>189</v>
      </c>
      <c r="P201">
        <v>-4475.72</v>
      </c>
      <c r="Q201" s="4" t="s">
        <v>30</v>
      </c>
    </row>
    <row r="202" spans="1:17" x14ac:dyDescent="0.2">
      <c r="A202" s="4" t="s">
        <v>385</v>
      </c>
      <c r="B202">
        <v>201</v>
      </c>
      <c r="C202" s="4" t="s">
        <v>26</v>
      </c>
      <c r="D202" s="4" t="s">
        <v>35</v>
      </c>
      <c r="E202" s="4" t="s">
        <v>41</v>
      </c>
      <c r="F202" s="4" t="s">
        <v>87</v>
      </c>
      <c r="G202">
        <v>5</v>
      </c>
      <c r="H202">
        <v>25</v>
      </c>
      <c r="I202" s="4" t="s">
        <v>207</v>
      </c>
      <c r="J202" s="4" t="s">
        <v>208</v>
      </c>
      <c r="K202" s="4" t="s">
        <v>179</v>
      </c>
      <c r="L202" s="4" t="s">
        <v>180</v>
      </c>
      <c r="M202" s="4" t="s">
        <v>192</v>
      </c>
      <c r="N202" s="4" t="s">
        <v>182</v>
      </c>
      <c r="O202" s="4" t="s">
        <v>183</v>
      </c>
      <c r="P202">
        <v>8900.5300000000007</v>
      </c>
      <c r="Q202" s="4" t="s">
        <v>30</v>
      </c>
    </row>
    <row r="203" spans="1:17" x14ac:dyDescent="0.2">
      <c r="A203" s="4" t="s">
        <v>386</v>
      </c>
      <c r="B203">
        <v>202</v>
      </c>
      <c r="C203" s="4" t="s">
        <v>26</v>
      </c>
      <c r="D203" s="4" t="s">
        <v>35</v>
      </c>
      <c r="E203" s="4" t="s">
        <v>41</v>
      </c>
      <c r="F203" s="4" t="s">
        <v>87</v>
      </c>
      <c r="G203">
        <v>5</v>
      </c>
      <c r="H203">
        <v>25</v>
      </c>
      <c r="I203" s="4" t="s">
        <v>209</v>
      </c>
      <c r="J203" s="4" t="s">
        <v>210</v>
      </c>
      <c r="K203" s="4" t="s">
        <v>205</v>
      </c>
      <c r="L203" s="4" t="s">
        <v>211</v>
      </c>
      <c r="M203" s="4" t="s">
        <v>182</v>
      </c>
      <c r="N203" s="4" t="s">
        <v>182</v>
      </c>
      <c r="O203" s="4" t="s">
        <v>183</v>
      </c>
      <c r="P203">
        <v>7905.84</v>
      </c>
      <c r="Q203" s="4" t="s">
        <v>30</v>
      </c>
    </row>
    <row r="204" spans="1:17" x14ac:dyDescent="0.2">
      <c r="A204" s="4" t="s">
        <v>387</v>
      </c>
      <c r="B204">
        <v>203</v>
      </c>
      <c r="C204" s="4" t="s">
        <v>26</v>
      </c>
      <c r="D204" s="4" t="s">
        <v>35</v>
      </c>
      <c r="E204" s="4" t="s">
        <v>41</v>
      </c>
      <c r="F204" s="4" t="s">
        <v>87</v>
      </c>
      <c r="G204">
        <v>5</v>
      </c>
      <c r="H204">
        <v>25</v>
      </c>
      <c r="I204" s="4" t="s">
        <v>203</v>
      </c>
      <c r="J204" s="4" t="s">
        <v>204</v>
      </c>
      <c r="K204" s="4" t="s">
        <v>205</v>
      </c>
      <c r="L204" s="4" t="s">
        <v>206</v>
      </c>
      <c r="M204" s="4" t="s">
        <v>182</v>
      </c>
      <c r="N204" s="4" t="s">
        <v>182</v>
      </c>
      <c r="O204" s="4" t="s">
        <v>183</v>
      </c>
      <c r="P204">
        <v>300</v>
      </c>
      <c r="Q204" s="4" t="s">
        <v>30</v>
      </c>
    </row>
    <row r="205" spans="1:17" x14ac:dyDescent="0.2">
      <c r="A205" s="4" t="s">
        <v>388</v>
      </c>
      <c r="B205">
        <v>204</v>
      </c>
      <c r="C205" s="4" t="s">
        <v>26</v>
      </c>
      <c r="D205" s="4" t="s">
        <v>35</v>
      </c>
      <c r="E205" s="4" t="s">
        <v>41</v>
      </c>
      <c r="F205" s="4" t="s">
        <v>87</v>
      </c>
      <c r="G205">
        <v>5</v>
      </c>
      <c r="H205">
        <v>25</v>
      </c>
      <c r="I205" s="4" t="s">
        <v>201</v>
      </c>
      <c r="J205" s="4" t="s">
        <v>202</v>
      </c>
      <c r="K205" s="4" t="s">
        <v>179</v>
      </c>
      <c r="L205" s="4" t="s">
        <v>180</v>
      </c>
      <c r="M205" s="4" t="s">
        <v>192</v>
      </c>
      <c r="N205" s="4" t="s">
        <v>182</v>
      </c>
      <c r="O205" s="4" t="s">
        <v>189</v>
      </c>
      <c r="P205">
        <v>-7905.84</v>
      </c>
      <c r="Q205" s="4" t="s">
        <v>30</v>
      </c>
    </row>
    <row r="206" spans="1:17" x14ac:dyDescent="0.2">
      <c r="A206" s="4" t="s">
        <v>389</v>
      </c>
      <c r="B206">
        <v>205</v>
      </c>
      <c r="C206" s="4" t="s">
        <v>26</v>
      </c>
      <c r="D206" s="4" t="s">
        <v>35</v>
      </c>
      <c r="E206" s="4" t="s">
        <v>41</v>
      </c>
      <c r="F206" s="4" t="s">
        <v>87</v>
      </c>
      <c r="G206">
        <v>5</v>
      </c>
      <c r="H206">
        <v>25</v>
      </c>
      <c r="I206" s="4" t="s">
        <v>212</v>
      </c>
      <c r="J206" s="4" t="s">
        <v>213</v>
      </c>
      <c r="K206" s="4" t="s">
        <v>205</v>
      </c>
      <c r="L206" s="4" t="s">
        <v>214</v>
      </c>
      <c r="M206" s="4" t="s">
        <v>182</v>
      </c>
      <c r="N206" s="4" t="s">
        <v>182</v>
      </c>
      <c r="O206" s="4" t="s">
        <v>189</v>
      </c>
      <c r="P206">
        <v>-8900.5300000000007</v>
      </c>
      <c r="Q206" s="4" t="s">
        <v>30</v>
      </c>
    </row>
    <row r="207" spans="1:17" x14ac:dyDescent="0.2">
      <c r="A207" s="4" t="s">
        <v>390</v>
      </c>
      <c r="B207">
        <v>206</v>
      </c>
      <c r="C207" s="4" t="s">
        <v>26</v>
      </c>
      <c r="D207" s="4" t="s">
        <v>35</v>
      </c>
      <c r="E207" s="4" t="s">
        <v>44</v>
      </c>
      <c r="F207" s="4" t="s">
        <v>89</v>
      </c>
      <c r="G207">
        <v>6</v>
      </c>
      <c r="H207">
        <v>26</v>
      </c>
      <c r="I207" s="4" t="s">
        <v>190</v>
      </c>
      <c r="J207" s="4" t="s">
        <v>191</v>
      </c>
      <c r="K207" s="4" t="s">
        <v>179</v>
      </c>
      <c r="L207" s="4" t="s">
        <v>180</v>
      </c>
      <c r="M207" s="4" t="s">
        <v>192</v>
      </c>
      <c r="N207" s="4" t="s">
        <v>182</v>
      </c>
      <c r="O207" s="4" t="s">
        <v>189</v>
      </c>
      <c r="P207">
        <v>-300</v>
      </c>
      <c r="Q207" s="4" t="s">
        <v>30</v>
      </c>
    </row>
    <row r="208" spans="1:17" x14ac:dyDescent="0.2">
      <c r="A208" s="4" t="s">
        <v>391</v>
      </c>
      <c r="B208">
        <v>207</v>
      </c>
      <c r="C208" s="4" t="s">
        <v>26</v>
      </c>
      <c r="D208" s="4" t="s">
        <v>35</v>
      </c>
      <c r="E208" s="4" t="s">
        <v>44</v>
      </c>
      <c r="F208" s="4" t="s">
        <v>89</v>
      </c>
      <c r="G208">
        <v>6</v>
      </c>
      <c r="H208">
        <v>26</v>
      </c>
      <c r="I208" s="4" t="s">
        <v>190</v>
      </c>
      <c r="J208" s="4" t="s">
        <v>191</v>
      </c>
      <c r="K208" s="4" t="s">
        <v>179</v>
      </c>
      <c r="L208" s="4" t="s">
        <v>180</v>
      </c>
      <c r="M208" s="4" t="s">
        <v>192</v>
      </c>
      <c r="N208" s="4" t="s">
        <v>182</v>
      </c>
      <c r="O208" s="4" t="s">
        <v>183</v>
      </c>
      <c r="P208">
        <v>5611.39</v>
      </c>
      <c r="Q208" s="4" t="s">
        <v>30</v>
      </c>
    </row>
    <row r="209" spans="1:17" x14ac:dyDescent="0.2">
      <c r="A209" s="4" t="s">
        <v>392</v>
      </c>
      <c r="B209">
        <v>208</v>
      </c>
      <c r="C209" s="4" t="s">
        <v>26</v>
      </c>
      <c r="D209" s="4" t="s">
        <v>35</v>
      </c>
      <c r="E209" s="4" t="s">
        <v>44</v>
      </c>
      <c r="F209" s="4" t="s">
        <v>89</v>
      </c>
      <c r="G209">
        <v>6</v>
      </c>
      <c r="H209">
        <v>26</v>
      </c>
      <c r="I209" s="4" t="s">
        <v>207</v>
      </c>
      <c r="J209" s="4" t="s">
        <v>208</v>
      </c>
      <c r="K209" s="4" t="s">
        <v>179</v>
      </c>
      <c r="L209" s="4" t="s">
        <v>180</v>
      </c>
      <c r="M209" s="4" t="s">
        <v>192</v>
      </c>
      <c r="N209" s="4" t="s">
        <v>182</v>
      </c>
      <c r="O209" s="4" t="s">
        <v>189</v>
      </c>
      <c r="P209">
        <v>-5611.39</v>
      </c>
      <c r="Q209" s="4" t="s">
        <v>30</v>
      </c>
    </row>
    <row r="210" spans="1:17" x14ac:dyDescent="0.2">
      <c r="A210" s="4" t="s">
        <v>393</v>
      </c>
      <c r="B210">
        <v>209</v>
      </c>
      <c r="C210" s="4" t="s">
        <v>26</v>
      </c>
      <c r="D210" s="4" t="s">
        <v>35</v>
      </c>
      <c r="E210" s="4" t="s">
        <v>44</v>
      </c>
      <c r="F210" s="4" t="s">
        <v>89</v>
      </c>
      <c r="G210">
        <v>6</v>
      </c>
      <c r="H210">
        <v>26</v>
      </c>
      <c r="I210" s="4" t="s">
        <v>207</v>
      </c>
      <c r="J210" s="4" t="s">
        <v>208</v>
      </c>
      <c r="K210" s="4" t="s">
        <v>179</v>
      </c>
      <c r="L210" s="4" t="s">
        <v>180</v>
      </c>
      <c r="M210" s="4" t="s">
        <v>192</v>
      </c>
      <c r="N210" s="4" t="s">
        <v>182</v>
      </c>
      <c r="O210" s="4" t="s">
        <v>183</v>
      </c>
      <c r="P210">
        <v>6850.47</v>
      </c>
      <c r="Q210" s="4" t="s">
        <v>30</v>
      </c>
    </row>
    <row r="211" spans="1:17" x14ac:dyDescent="0.2">
      <c r="A211" s="4" t="s">
        <v>394</v>
      </c>
      <c r="B211">
        <v>210</v>
      </c>
      <c r="C211" s="4" t="s">
        <v>26</v>
      </c>
      <c r="D211" s="4" t="s">
        <v>35</v>
      </c>
      <c r="E211" s="4" t="s">
        <v>44</v>
      </c>
      <c r="F211" s="4" t="s">
        <v>89</v>
      </c>
      <c r="G211">
        <v>6</v>
      </c>
      <c r="H211">
        <v>26</v>
      </c>
      <c r="I211" s="4" t="s">
        <v>209</v>
      </c>
      <c r="J211" s="4" t="s">
        <v>210</v>
      </c>
      <c r="K211" s="4" t="s">
        <v>205</v>
      </c>
      <c r="L211" s="4" t="s">
        <v>211</v>
      </c>
      <c r="M211" s="4" t="s">
        <v>182</v>
      </c>
      <c r="N211" s="4" t="s">
        <v>182</v>
      </c>
      <c r="O211" s="4" t="s">
        <v>183</v>
      </c>
      <c r="P211">
        <v>5663.71</v>
      </c>
      <c r="Q211" s="4" t="s">
        <v>30</v>
      </c>
    </row>
    <row r="212" spans="1:17" x14ac:dyDescent="0.2">
      <c r="A212" s="4" t="s">
        <v>395</v>
      </c>
      <c r="B212">
        <v>211</v>
      </c>
      <c r="C212" s="4" t="s">
        <v>26</v>
      </c>
      <c r="D212" s="4" t="s">
        <v>35</v>
      </c>
      <c r="E212" s="4" t="s">
        <v>44</v>
      </c>
      <c r="F212" s="4" t="s">
        <v>89</v>
      </c>
      <c r="G212">
        <v>6</v>
      </c>
      <c r="H212">
        <v>26</v>
      </c>
      <c r="I212" s="4" t="s">
        <v>203</v>
      </c>
      <c r="J212" s="4" t="s">
        <v>204</v>
      </c>
      <c r="K212" s="4" t="s">
        <v>205</v>
      </c>
      <c r="L212" s="4" t="s">
        <v>206</v>
      </c>
      <c r="M212" s="4" t="s">
        <v>182</v>
      </c>
      <c r="N212" s="4" t="s">
        <v>182</v>
      </c>
      <c r="O212" s="4" t="s">
        <v>183</v>
      </c>
      <c r="P212">
        <v>300</v>
      </c>
      <c r="Q212" s="4" t="s">
        <v>30</v>
      </c>
    </row>
    <row r="213" spans="1:17" x14ac:dyDescent="0.2">
      <c r="A213" s="4" t="s">
        <v>396</v>
      </c>
      <c r="B213">
        <v>212</v>
      </c>
      <c r="C213" s="4" t="s">
        <v>26</v>
      </c>
      <c r="D213" s="4" t="s">
        <v>35</v>
      </c>
      <c r="E213" s="4" t="s">
        <v>44</v>
      </c>
      <c r="F213" s="4" t="s">
        <v>89</v>
      </c>
      <c r="G213">
        <v>6</v>
      </c>
      <c r="H213">
        <v>26</v>
      </c>
      <c r="I213" s="4" t="s">
        <v>201</v>
      </c>
      <c r="J213" s="4" t="s">
        <v>202</v>
      </c>
      <c r="K213" s="4" t="s">
        <v>179</v>
      </c>
      <c r="L213" s="4" t="s">
        <v>180</v>
      </c>
      <c r="M213" s="4" t="s">
        <v>192</v>
      </c>
      <c r="N213" s="4" t="s">
        <v>182</v>
      </c>
      <c r="O213" s="4" t="s">
        <v>189</v>
      </c>
      <c r="P213">
        <v>-5663.71</v>
      </c>
      <c r="Q213" s="4" t="s">
        <v>30</v>
      </c>
    </row>
    <row r="214" spans="1:17" x14ac:dyDescent="0.2">
      <c r="A214" s="4" t="s">
        <v>397</v>
      </c>
      <c r="B214">
        <v>213</v>
      </c>
      <c r="C214" s="4" t="s">
        <v>26</v>
      </c>
      <c r="D214" s="4" t="s">
        <v>35</v>
      </c>
      <c r="E214" s="4" t="s">
        <v>44</v>
      </c>
      <c r="F214" s="4" t="s">
        <v>89</v>
      </c>
      <c r="G214">
        <v>6</v>
      </c>
      <c r="H214">
        <v>26</v>
      </c>
      <c r="I214" s="4" t="s">
        <v>212</v>
      </c>
      <c r="J214" s="4" t="s">
        <v>213</v>
      </c>
      <c r="K214" s="4" t="s">
        <v>205</v>
      </c>
      <c r="L214" s="4" t="s">
        <v>214</v>
      </c>
      <c r="M214" s="4" t="s">
        <v>182</v>
      </c>
      <c r="N214" s="4" t="s">
        <v>182</v>
      </c>
      <c r="O214" s="4" t="s">
        <v>189</v>
      </c>
      <c r="P214">
        <v>-6850.47</v>
      </c>
      <c r="Q214" s="4" t="s">
        <v>30</v>
      </c>
    </row>
    <row r="215" spans="1:17" x14ac:dyDescent="0.2">
      <c r="A215" s="4" t="s">
        <v>398</v>
      </c>
      <c r="B215">
        <v>214</v>
      </c>
      <c r="C215" s="4" t="s">
        <v>26</v>
      </c>
      <c r="D215" s="4" t="s">
        <v>35</v>
      </c>
      <c r="E215" s="4" t="s">
        <v>47</v>
      </c>
      <c r="F215" s="4" t="s">
        <v>91</v>
      </c>
      <c r="G215">
        <v>6</v>
      </c>
      <c r="H215">
        <v>27</v>
      </c>
      <c r="I215" s="4" t="s">
        <v>190</v>
      </c>
      <c r="J215" s="4" t="s">
        <v>191</v>
      </c>
      <c r="K215" s="4" t="s">
        <v>179</v>
      </c>
      <c r="L215" s="4" t="s">
        <v>180</v>
      </c>
      <c r="M215" s="4" t="s">
        <v>192</v>
      </c>
      <c r="N215" s="4" t="s">
        <v>182</v>
      </c>
      <c r="O215" s="4" t="s">
        <v>189</v>
      </c>
      <c r="P215">
        <v>-61312.63</v>
      </c>
      <c r="Q215" s="4" t="s">
        <v>30</v>
      </c>
    </row>
    <row r="216" spans="1:17" x14ac:dyDescent="0.2">
      <c r="A216" s="4" t="s">
        <v>399</v>
      </c>
      <c r="B216">
        <v>215</v>
      </c>
      <c r="C216" s="4" t="s">
        <v>26</v>
      </c>
      <c r="D216" s="4" t="s">
        <v>35</v>
      </c>
      <c r="E216" s="4" t="s">
        <v>47</v>
      </c>
      <c r="F216" s="4" t="s">
        <v>91</v>
      </c>
      <c r="G216">
        <v>6</v>
      </c>
      <c r="H216">
        <v>27</v>
      </c>
      <c r="I216" s="4" t="s">
        <v>190</v>
      </c>
      <c r="J216" s="4" t="s">
        <v>191</v>
      </c>
      <c r="K216" s="4" t="s">
        <v>179</v>
      </c>
      <c r="L216" s="4" t="s">
        <v>180</v>
      </c>
      <c r="M216" s="4" t="s">
        <v>192</v>
      </c>
      <c r="N216" s="4" t="s">
        <v>182</v>
      </c>
      <c r="O216" s="4" t="s">
        <v>183</v>
      </c>
      <c r="P216">
        <v>11242.24</v>
      </c>
      <c r="Q216" s="4" t="s">
        <v>30</v>
      </c>
    </row>
    <row r="217" spans="1:17" x14ac:dyDescent="0.2">
      <c r="A217" s="4" t="s">
        <v>400</v>
      </c>
      <c r="B217">
        <v>216</v>
      </c>
      <c r="C217" s="4" t="s">
        <v>26</v>
      </c>
      <c r="D217" s="4" t="s">
        <v>35</v>
      </c>
      <c r="E217" s="4" t="s">
        <v>47</v>
      </c>
      <c r="F217" s="4" t="s">
        <v>91</v>
      </c>
      <c r="G217">
        <v>6</v>
      </c>
      <c r="H217">
        <v>27</v>
      </c>
      <c r="I217" s="4" t="s">
        <v>207</v>
      </c>
      <c r="J217" s="4" t="s">
        <v>208</v>
      </c>
      <c r="K217" s="4" t="s">
        <v>179</v>
      </c>
      <c r="L217" s="4" t="s">
        <v>180</v>
      </c>
      <c r="M217" s="4" t="s">
        <v>192</v>
      </c>
      <c r="N217" s="4" t="s">
        <v>182</v>
      </c>
      <c r="O217" s="4" t="s">
        <v>189</v>
      </c>
      <c r="P217">
        <v>-11242.24</v>
      </c>
      <c r="Q217" s="4" t="s">
        <v>30</v>
      </c>
    </row>
    <row r="218" spans="1:17" x14ac:dyDescent="0.2">
      <c r="A218" s="4" t="s">
        <v>401</v>
      </c>
      <c r="B218">
        <v>217</v>
      </c>
      <c r="C218" s="4" t="s">
        <v>26</v>
      </c>
      <c r="D218" s="4" t="s">
        <v>35</v>
      </c>
      <c r="E218" s="4" t="s">
        <v>47</v>
      </c>
      <c r="F218" s="4" t="s">
        <v>91</v>
      </c>
      <c r="G218">
        <v>6</v>
      </c>
      <c r="H218">
        <v>27</v>
      </c>
      <c r="I218" s="4" t="s">
        <v>207</v>
      </c>
      <c r="J218" s="4" t="s">
        <v>208</v>
      </c>
      <c r="K218" s="4" t="s">
        <v>179</v>
      </c>
      <c r="L218" s="4" t="s">
        <v>180</v>
      </c>
      <c r="M218" s="4" t="s">
        <v>192</v>
      </c>
      <c r="N218" s="4" t="s">
        <v>182</v>
      </c>
      <c r="O218" s="4" t="s">
        <v>183</v>
      </c>
      <c r="P218">
        <v>15005.15</v>
      </c>
      <c r="Q218" s="4" t="s">
        <v>30</v>
      </c>
    </row>
    <row r="219" spans="1:17" x14ac:dyDescent="0.2">
      <c r="A219" s="4" t="s">
        <v>402</v>
      </c>
      <c r="B219">
        <v>218</v>
      </c>
      <c r="C219" s="4" t="s">
        <v>26</v>
      </c>
      <c r="D219" s="4" t="s">
        <v>35</v>
      </c>
      <c r="E219" s="4" t="s">
        <v>47</v>
      </c>
      <c r="F219" s="4" t="s">
        <v>91</v>
      </c>
      <c r="G219">
        <v>6</v>
      </c>
      <c r="H219">
        <v>27</v>
      </c>
      <c r="I219" s="4" t="s">
        <v>193</v>
      </c>
      <c r="J219" s="4" t="s">
        <v>194</v>
      </c>
      <c r="K219" s="4" t="s">
        <v>179</v>
      </c>
      <c r="L219" s="4" t="s">
        <v>186</v>
      </c>
      <c r="M219" s="4" t="s">
        <v>195</v>
      </c>
      <c r="N219" s="4" t="s">
        <v>196</v>
      </c>
      <c r="O219" s="4" t="s">
        <v>189</v>
      </c>
      <c r="P219">
        <v>-42081.35</v>
      </c>
      <c r="Q219" s="4" t="s">
        <v>30</v>
      </c>
    </row>
    <row r="220" spans="1:17" x14ac:dyDescent="0.2">
      <c r="A220" s="4" t="s">
        <v>403</v>
      </c>
      <c r="B220">
        <v>219</v>
      </c>
      <c r="C220" s="4" t="s">
        <v>26</v>
      </c>
      <c r="D220" s="4" t="s">
        <v>35</v>
      </c>
      <c r="E220" s="4" t="s">
        <v>47</v>
      </c>
      <c r="F220" s="4" t="s">
        <v>91</v>
      </c>
      <c r="G220">
        <v>6</v>
      </c>
      <c r="H220">
        <v>27</v>
      </c>
      <c r="I220" s="4" t="s">
        <v>193</v>
      </c>
      <c r="J220" s="4" t="s">
        <v>194</v>
      </c>
      <c r="K220" s="4" t="s">
        <v>179</v>
      </c>
      <c r="L220" s="4" t="s">
        <v>186</v>
      </c>
      <c r="M220" s="4" t="s">
        <v>195</v>
      </c>
      <c r="N220" s="4" t="s">
        <v>196</v>
      </c>
      <c r="O220" s="4" t="s">
        <v>183</v>
      </c>
      <c r="P220">
        <v>61112.63</v>
      </c>
      <c r="Q220" s="4" t="s">
        <v>30</v>
      </c>
    </row>
    <row r="221" spans="1:17" x14ac:dyDescent="0.2">
      <c r="A221" s="4" t="s">
        <v>404</v>
      </c>
      <c r="B221">
        <v>220</v>
      </c>
      <c r="C221" s="4" t="s">
        <v>26</v>
      </c>
      <c r="D221" s="4" t="s">
        <v>35</v>
      </c>
      <c r="E221" s="4" t="s">
        <v>47</v>
      </c>
      <c r="F221" s="4" t="s">
        <v>91</v>
      </c>
      <c r="G221">
        <v>6</v>
      </c>
      <c r="H221">
        <v>27</v>
      </c>
      <c r="I221" s="4" t="s">
        <v>197</v>
      </c>
      <c r="J221" s="4" t="s">
        <v>198</v>
      </c>
      <c r="K221" s="4" t="s">
        <v>179</v>
      </c>
      <c r="L221" s="4" t="s">
        <v>186</v>
      </c>
      <c r="M221" s="4" t="s">
        <v>195</v>
      </c>
      <c r="N221" s="4" t="s">
        <v>196</v>
      </c>
      <c r="O221" s="4" t="s">
        <v>189</v>
      </c>
      <c r="P221">
        <v>-41081.35</v>
      </c>
      <c r="Q221" s="4" t="s">
        <v>30</v>
      </c>
    </row>
    <row r="222" spans="1:17" x14ac:dyDescent="0.2">
      <c r="A222" s="4" t="s">
        <v>405</v>
      </c>
      <c r="B222">
        <v>221</v>
      </c>
      <c r="C222" s="4" t="s">
        <v>26</v>
      </c>
      <c r="D222" s="4" t="s">
        <v>35</v>
      </c>
      <c r="E222" s="4" t="s">
        <v>47</v>
      </c>
      <c r="F222" s="4" t="s">
        <v>91</v>
      </c>
      <c r="G222">
        <v>6</v>
      </c>
      <c r="H222">
        <v>27</v>
      </c>
      <c r="I222" s="4" t="s">
        <v>197</v>
      </c>
      <c r="J222" s="4" t="s">
        <v>198</v>
      </c>
      <c r="K222" s="4" t="s">
        <v>179</v>
      </c>
      <c r="L222" s="4" t="s">
        <v>186</v>
      </c>
      <c r="M222" s="4" t="s">
        <v>195</v>
      </c>
      <c r="N222" s="4" t="s">
        <v>196</v>
      </c>
      <c r="O222" s="4" t="s">
        <v>183</v>
      </c>
      <c r="P222">
        <v>41081.35</v>
      </c>
      <c r="Q222" s="4" t="s">
        <v>30</v>
      </c>
    </row>
    <row r="223" spans="1:17" x14ac:dyDescent="0.2">
      <c r="A223" s="4" t="s">
        <v>406</v>
      </c>
      <c r="B223">
        <v>222</v>
      </c>
      <c r="C223" s="4" t="s">
        <v>26</v>
      </c>
      <c r="D223" s="4" t="s">
        <v>35</v>
      </c>
      <c r="E223" s="4" t="s">
        <v>47</v>
      </c>
      <c r="F223" s="4" t="s">
        <v>91</v>
      </c>
      <c r="G223">
        <v>6</v>
      </c>
      <c r="H223">
        <v>27</v>
      </c>
      <c r="I223" s="4" t="s">
        <v>199</v>
      </c>
      <c r="J223" s="4" t="s">
        <v>200</v>
      </c>
      <c r="K223" s="4" t="s">
        <v>179</v>
      </c>
      <c r="L223" s="4" t="s">
        <v>186</v>
      </c>
      <c r="M223" s="4" t="s">
        <v>195</v>
      </c>
      <c r="N223" s="4" t="s">
        <v>196</v>
      </c>
      <c r="O223" s="4" t="s">
        <v>189</v>
      </c>
      <c r="P223">
        <v>-1000</v>
      </c>
      <c r="Q223" s="4" t="s">
        <v>30</v>
      </c>
    </row>
    <row r="224" spans="1:17" x14ac:dyDescent="0.2">
      <c r="A224" s="4" t="s">
        <v>407</v>
      </c>
      <c r="B224">
        <v>223</v>
      </c>
      <c r="C224" s="4" t="s">
        <v>26</v>
      </c>
      <c r="D224" s="4" t="s">
        <v>35</v>
      </c>
      <c r="E224" s="4" t="s">
        <v>47</v>
      </c>
      <c r="F224" s="4" t="s">
        <v>91</v>
      </c>
      <c r="G224">
        <v>6</v>
      </c>
      <c r="H224">
        <v>27</v>
      </c>
      <c r="I224" s="4" t="s">
        <v>199</v>
      </c>
      <c r="J224" s="4" t="s">
        <v>200</v>
      </c>
      <c r="K224" s="4" t="s">
        <v>179</v>
      </c>
      <c r="L224" s="4" t="s">
        <v>186</v>
      </c>
      <c r="M224" s="4" t="s">
        <v>195</v>
      </c>
      <c r="N224" s="4" t="s">
        <v>196</v>
      </c>
      <c r="O224" s="4" t="s">
        <v>183</v>
      </c>
      <c r="P224">
        <v>1000</v>
      </c>
      <c r="Q224" s="4" t="s">
        <v>30</v>
      </c>
    </row>
    <row r="225" spans="1:17" x14ac:dyDescent="0.2">
      <c r="A225" s="4" t="s">
        <v>408</v>
      </c>
      <c r="B225">
        <v>224</v>
      </c>
      <c r="C225" s="4" t="s">
        <v>26</v>
      </c>
      <c r="D225" s="4" t="s">
        <v>35</v>
      </c>
      <c r="E225" s="4" t="s">
        <v>47</v>
      </c>
      <c r="F225" s="4" t="s">
        <v>91</v>
      </c>
      <c r="G225">
        <v>6</v>
      </c>
      <c r="H225">
        <v>27</v>
      </c>
      <c r="I225" s="4" t="s">
        <v>209</v>
      </c>
      <c r="J225" s="4" t="s">
        <v>210</v>
      </c>
      <c r="K225" s="4" t="s">
        <v>205</v>
      </c>
      <c r="L225" s="4" t="s">
        <v>211</v>
      </c>
      <c r="M225" s="4" t="s">
        <v>182</v>
      </c>
      <c r="N225" s="4" t="s">
        <v>182</v>
      </c>
      <c r="O225" s="4" t="s">
        <v>183</v>
      </c>
      <c r="P225">
        <v>12574.69</v>
      </c>
      <c r="Q225" s="4" t="s">
        <v>30</v>
      </c>
    </row>
    <row r="226" spans="1:17" x14ac:dyDescent="0.2">
      <c r="A226" s="4" t="s">
        <v>409</v>
      </c>
      <c r="B226">
        <v>225</v>
      </c>
      <c r="C226" s="4" t="s">
        <v>26</v>
      </c>
      <c r="D226" s="4" t="s">
        <v>35</v>
      </c>
      <c r="E226" s="4" t="s">
        <v>47</v>
      </c>
      <c r="F226" s="4" t="s">
        <v>91</v>
      </c>
      <c r="G226">
        <v>6</v>
      </c>
      <c r="H226">
        <v>27</v>
      </c>
      <c r="I226" s="4" t="s">
        <v>203</v>
      </c>
      <c r="J226" s="4" t="s">
        <v>204</v>
      </c>
      <c r="K226" s="4" t="s">
        <v>205</v>
      </c>
      <c r="L226" s="4" t="s">
        <v>206</v>
      </c>
      <c r="M226" s="4" t="s">
        <v>182</v>
      </c>
      <c r="N226" s="4" t="s">
        <v>182</v>
      </c>
      <c r="O226" s="4" t="s">
        <v>183</v>
      </c>
      <c r="P226">
        <v>200</v>
      </c>
      <c r="Q226" s="4" t="s">
        <v>30</v>
      </c>
    </row>
    <row r="227" spans="1:17" x14ac:dyDescent="0.2">
      <c r="A227" s="4" t="s">
        <v>410</v>
      </c>
      <c r="B227">
        <v>226</v>
      </c>
      <c r="C227" s="4" t="s">
        <v>26</v>
      </c>
      <c r="D227" s="4" t="s">
        <v>35</v>
      </c>
      <c r="E227" s="4" t="s">
        <v>47</v>
      </c>
      <c r="F227" s="4" t="s">
        <v>91</v>
      </c>
      <c r="G227">
        <v>6</v>
      </c>
      <c r="H227">
        <v>27</v>
      </c>
      <c r="I227" s="4" t="s">
        <v>201</v>
      </c>
      <c r="J227" s="4" t="s">
        <v>202</v>
      </c>
      <c r="K227" s="4" t="s">
        <v>179</v>
      </c>
      <c r="L227" s="4" t="s">
        <v>180</v>
      </c>
      <c r="M227" s="4" t="s">
        <v>192</v>
      </c>
      <c r="N227" s="4" t="s">
        <v>182</v>
      </c>
      <c r="O227" s="4" t="s">
        <v>189</v>
      </c>
      <c r="P227">
        <v>-12574.69</v>
      </c>
      <c r="Q227" s="4" t="s">
        <v>30</v>
      </c>
    </row>
    <row r="228" spans="1:17" x14ac:dyDescent="0.2">
      <c r="A228" s="4" t="s">
        <v>411</v>
      </c>
      <c r="B228">
        <v>227</v>
      </c>
      <c r="C228" s="4" t="s">
        <v>26</v>
      </c>
      <c r="D228" s="4" t="s">
        <v>35</v>
      </c>
      <c r="E228" s="4" t="s">
        <v>47</v>
      </c>
      <c r="F228" s="4" t="s">
        <v>91</v>
      </c>
      <c r="G228">
        <v>6</v>
      </c>
      <c r="H228">
        <v>27</v>
      </c>
      <c r="I228" s="4" t="s">
        <v>201</v>
      </c>
      <c r="J228" s="4" t="s">
        <v>202</v>
      </c>
      <c r="K228" s="4" t="s">
        <v>179</v>
      </c>
      <c r="L228" s="4" t="s">
        <v>180</v>
      </c>
      <c r="M228" s="4" t="s">
        <v>192</v>
      </c>
      <c r="N228" s="4" t="s">
        <v>182</v>
      </c>
      <c r="O228" s="4" t="s">
        <v>183</v>
      </c>
      <c r="P228">
        <v>42081.35</v>
      </c>
      <c r="Q228" s="4" t="s">
        <v>30</v>
      </c>
    </row>
    <row r="229" spans="1:17" x14ac:dyDescent="0.2">
      <c r="A229" s="4" t="s">
        <v>412</v>
      </c>
      <c r="B229">
        <v>228</v>
      </c>
      <c r="C229" s="4" t="s">
        <v>26</v>
      </c>
      <c r="D229" s="4" t="s">
        <v>35</v>
      </c>
      <c r="E229" s="4" t="s">
        <v>47</v>
      </c>
      <c r="F229" s="4" t="s">
        <v>91</v>
      </c>
      <c r="G229">
        <v>6</v>
      </c>
      <c r="H229">
        <v>27</v>
      </c>
      <c r="I229" s="4" t="s">
        <v>212</v>
      </c>
      <c r="J229" s="4" t="s">
        <v>213</v>
      </c>
      <c r="K229" s="4" t="s">
        <v>205</v>
      </c>
      <c r="L229" s="4" t="s">
        <v>214</v>
      </c>
      <c r="M229" s="4" t="s">
        <v>182</v>
      </c>
      <c r="N229" s="4" t="s">
        <v>182</v>
      </c>
      <c r="O229" s="4" t="s">
        <v>189</v>
      </c>
      <c r="P229">
        <v>-15005.15</v>
      </c>
      <c r="Q229" s="4" t="s">
        <v>30</v>
      </c>
    </row>
    <row r="230" spans="1:17" x14ac:dyDescent="0.2">
      <c r="A230" s="4" t="s">
        <v>413</v>
      </c>
      <c r="B230">
        <v>229</v>
      </c>
      <c r="C230" s="4" t="s">
        <v>26</v>
      </c>
      <c r="D230" s="4" t="s">
        <v>35</v>
      </c>
      <c r="E230" s="4" t="s">
        <v>50</v>
      </c>
      <c r="F230" s="4" t="s">
        <v>93</v>
      </c>
      <c r="G230">
        <v>6</v>
      </c>
      <c r="H230">
        <v>28</v>
      </c>
      <c r="I230" s="4" t="s">
        <v>190</v>
      </c>
      <c r="J230" s="4" t="s">
        <v>191</v>
      </c>
      <c r="K230" s="4" t="s">
        <v>179</v>
      </c>
      <c r="L230" s="4" t="s">
        <v>180</v>
      </c>
      <c r="M230" s="4" t="s">
        <v>192</v>
      </c>
      <c r="N230" s="4" t="s">
        <v>182</v>
      </c>
      <c r="O230" s="4" t="s">
        <v>189</v>
      </c>
      <c r="P230">
        <v>-200</v>
      </c>
      <c r="Q230" s="4" t="s">
        <v>30</v>
      </c>
    </row>
    <row r="231" spans="1:17" x14ac:dyDescent="0.2">
      <c r="A231" s="4" t="s">
        <v>414</v>
      </c>
      <c r="B231">
        <v>230</v>
      </c>
      <c r="C231" s="4" t="s">
        <v>26</v>
      </c>
      <c r="D231" s="4" t="s">
        <v>35</v>
      </c>
      <c r="E231" s="4" t="s">
        <v>50</v>
      </c>
      <c r="F231" s="4" t="s">
        <v>93</v>
      </c>
      <c r="G231">
        <v>6</v>
      </c>
      <c r="H231">
        <v>28</v>
      </c>
      <c r="I231" s="4" t="s">
        <v>190</v>
      </c>
      <c r="J231" s="4" t="s">
        <v>191</v>
      </c>
      <c r="K231" s="4" t="s">
        <v>179</v>
      </c>
      <c r="L231" s="4" t="s">
        <v>180</v>
      </c>
      <c r="M231" s="4" t="s">
        <v>192</v>
      </c>
      <c r="N231" s="4" t="s">
        <v>182</v>
      </c>
      <c r="O231" s="4" t="s">
        <v>183</v>
      </c>
      <c r="P231">
        <v>18572.330000000002</v>
      </c>
      <c r="Q231" s="4" t="s">
        <v>30</v>
      </c>
    </row>
    <row r="232" spans="1:17" x14ac:dyDescent="0.2">
      <c r="A232" s="4" t="s">
        <v>415</v>
      </c>
      <c r="B232">
        <v>231</v>
      </c>
      <c r="C232" s="4" t="s">
        <v>26</v>
      </c>
      <c r="D232" s="4" t="s">
        <v>35</v>
      </c>
      <c r="E232" s="4" t="s">
        <v>50</v>
      </c>
      <c r="F232" s="4" t="s">
        <v>93</v>
      </c>
      <c r="G232">
        <v>6</v>
      </c>
      <c r="H232">
        <v>28</v>
      </c>
      <c r="I232" s="4" t="s">
        <v>207</v>
      </c>
      <c r="J232" s="4" t="s">
        <v>208</v>
      </c>
      <c r="K232" s="4" t="s">
        <v>179</v>
      </c>
      <c r="L232" s="4" t="s">
        <v>180</v>
      </c>
      <c r="M232" s="4" t="s">
        <v>192</v>
      </c>
      <c r="N232" s="4" t="s">
        <v>182</v>
      </c>
      <c r="O232" s="4" t="s">
        <v>189</v>
      </c>
      <c r="P232">
        <v>-18572.330000000002</v>
      </c>
      <c r="Q232" s="4" t="s">
        <v>30</v>
      </c>
    </row>
    <row r="233" spans="1:17" x14ac:dyDescent="0.2">
      <c r="A233" s="4" t="s">
        <v>416</v>
      </c>
      <c r="B233">
        <v>232</v>
      </c>
      <c r="C233" s="4" t="s">
        <v>26</v>
      </c>
      <c r="D233" s="4" t="s">
        <v>35</v>
      </c>
      <c r="E233" s="4" t="s">
        <v>50</v>
      </c>
      <c r="F233" s="4" t="s">
        <v>93</v>
      </c>
      <c r="G233">
        <v>6</v>
      </c>
      <c r="H233">
        <v>28</v>
      </c>
      <c r="I233" s="4" t="s">
        <v>207</v>
      </c>
      <c r="J233" s="4" t="s">
        <v>208</v>
      </c>
      <c r="K233" s="4" t="s">
        <v>179</v>
      </c>
      <c r="L233" s="4" t="s">
        <v>180</v>
      </c>
      <c r="M233" s="4" t="s">
        <v>192</v>
      </c>
      <c r="N233" s="4" t="s">
        <v>182</v>
      </c>
      <c r="O233" s="4" t="s">
        <v>183</v>
      </c>
      <c r="P233">
        <v>12977.84</v>
      </c>
      <c r="Q233" s="4" t="s">
        <v>30</v>
      </c>
    </row>
    <row r="234" spans="1:17" x14ac:dyDescent="0.2">
      <c r="A234" s="4" t="s">
        <v>417</v>
      </c>
      <c r="B234">
        <v>233</v>
      </c>
      <c r="C234" s="4" t="s">
        <v>26</v>
      </c>
      <c r="D234" s="4" t="s">
        <v>35</v>
      </c>
      <c r="E234" s="4" t="s">
        <v>50</v>
      </c>
      <c r="F234" s="4" t="s">
        <v>93</v>
      </c>
      <c r="G234">
        <v>6</v>
      </c>
      <c r="H234">
        <v>28</v>
      </c>
      <c r="I234" s="4" t="s">
        <v>209</v>
      </c>
      <c r="J234" s="4" t="s">
        <v>210</v>
      </c>
      <c r="K234" s="4" t="s">
        <v>205</v>
      </c>
      <c r="L234" s="4" t="s">
        <v>211</v>
      </c>
      <c r="M234" s="4" t="s">
        <v>182</v>
      </c>
      <c r="N234" s="4" t="s">
        <v>182</v>
      </c>
      <c r="O234" s="4" t="s">
        <v>183</v>
      </c>
      <c r="P234">
        <v>10899.2</v>
      </c>
      <c r="Q234" s="4" t="s">
        <v>30</v>
      </c>
    </row>
    <row r="235" spans="1:17" x14ac:dyDescent="0.2">
      <c r="A235" s="4" t="s">
        <v>418</v>
      </c>
      <c r="B235">
        <v>234</v>
      </c>
      <c r="C235" s="4" t="s">
        <v>26</v>
      </c>
      <c r="D235" s="4" t="s">
        <v>35</v>
      </c>
      <c r="E235" s="4" t="s">
        <v>50</v>
      </c>
      <c r="F235" s="4" t="s">
        <v>93</v>
      </c>
      <c r="G235">
        <v>6</v>
      </c>
      <c r="H235">
        <v>28</v>
      </c>
      <c r="I235" s="4" t="s">
        <v>203</v>
      </c>
      <c r="J235" s="4" t="s">
        <v>204</v>
      </c>
      <c r="K235" s="4" t="s">
        <v>205</v>
      </c>
      <c r="L235" s="4" t="s">
        <v>206</v>
      </c>
      <c r="M235" s="4" t="s">
        <v>182</v>
      </c>
      <c r="N235" s="4" t="s">
        <v>182</v>
      </c>
      <c r="O235" s="4" t="s">
        <v>183</v>
      </c>
      <c r="P235">
        <v>200</v>
      </c>
      <c r="Q235" s="4" t="s">
        <v>30</v>
      </c>
    </row>
    <row r="236" spans="1:17" x14ac:dyDescent="0.2">
      <c r="A236" s="4" t="s">
        <v>419</v>
      </c>
      <c r="B236">
        <v>235</v>
      </c>
      <c r="C236" s="4" t="s">
        <v>26</v>
      </c>
      <c r="D236" s="4" t="s">
        <v>35</v>
      </c>
      <c r="E236" s="4" t="s">
        <v>50</v>
      </c>
      <c r="F236" s="4" t="s">
        <v>93</v>
      </c>
      <c r="G236">
        <v>6</v>
      </c>
      <c r="H236">
        <v>28</v>
      </c>
      <c r="I236" s="4" t="s">
        <v>201</v>
      </c>
      <c r="J236" s="4" t="s">
        <v>202</v>
      </c>
      <c r="K236" s="4" t="s">
        <v>179</v>
      </c>
      <c r="L236" s="4" t="s">
        <v>180</v>
      </c>
      <c r="M236" s="4" t="s">
        <v>192</v>
      </c>
      <c r="N236" s="4" t="s">
        <v>182</v>
      </c>
      <c r="O236" s="4" t="s">
        <v>189</v>
      </c>
      <c r="P236">
        <v>-10899.2</v>
      </c>
      <c r="Q236" s="4" t="s">
        <v>30</v>
      </c>
    </row>
    <row r="237" spans="1:17" x14ac:dyDescent="0.2">
      <c r="A237" s="4" t="s">
        <v>420</v>
      </c>
      <c r="B237">
        <v>236</v>
      </c>
      <c r="C237" s="4" t="s">
        <v>26</v>
      </c>
      <c r="D237" s="4" t="s">
        <v>35</v>
      </c>
      <c r="E237" s="4" t="s">
        <v>50</v>
      </c>
      <c r="F237" s="4" t="s">
        <v>93</v>
      </c>
      <c r="G237">
        <v>6</v>
      </c>
      <c r="H237">
        <v>28</v>
      </c>
      <c r="I237" s="4" t="s">
        <v>212</v>
      </c>
      <c r="J237" s="4" t="s">
        <v>213</v>
      </c>
      <c r="K237" s="4" t="s">
        <v>205</v>
      </c>
      <c r="L237" s="4" t="s">
        <v>214</v>
      </c>
      <c r="M237" s="4" t="s">
        <v>182</v>
      </c>
      <c r="N237" s="4" t="s">
        <v>182</v>
      </c>
      <c r="O237" s="4" t="s">
        <v>189</v>
      </c>
      <c r="P237">
        <v>-12977.84</v>
      </c>
      <c r="Q237" s="4" t="s">
        <v>30</v>
      </c>
    </row>
    <row r="238" spans="1:17" x14ac:dyDescent="0.2">
      <c r="A238" s="4" t="s">
        <v>421</v>
      </c>
      <c r="B238">
        <v>237</v>
      </c>
      <c r="C238" s="4" t="s">
        <v>26</v>
      </c>
      <c r="D238" s="4" t="s">
        <v>35</v>
      </c>
      <c r="E238" s="4" t="s">
        <v>53</v>
      </c>
      <c r="F238" s="4" t="s">
        <v>95</v>
      </c>
      <c r="G238">
        <v>6</v>
      </c>
      <c r="H238">
        <v>29</v>
      </c>
      <c r="I238" s="4" t="s">
        <v>190</v>
      </c>
      <c r="J238" s="4" t="s">
        <v>191</v>
      </c>
      <c r="K238" s="4" t="s">
        <v>179</v>
      </c>
      <c r="L238" s="4" t="s">
        <v>180</v>
      </c>
      <c r="M238" s="4" t="s">
        <v>192</v>
      </c>
      <c r="N238" s="4" t="s">
        <v>182</v>
      </c>
      <c r="O238" s="4" t="s">
        <v>189</v>
      </c>
      <c r="P238">
        <v>-300</v>
      </c>
      <c r="Q238" s="4" t="s">
        <v>30</v>
      </c>
    </row>
    <row r="239" spans="1:17" x14ac:dyDescent="0.2">
      <c r="A239" s="4" t="s">
        <v>422</v>
      </c>
      <c r="B239">
        <v>238</v>
      </c>
      <c r="C239" s="4" t="s">
        <v>26</v>
      </c>
      <c r="D239" s="4" t="s">
        <v>35</v>
      </c>
      <c r="E239" s="4" t="s">
        <v>53</v>
      </c>
      <c r="F239" s="4" t="s">
        <v>95</v>
      </c>
      <c r="G239">
        <v>6</v>
      </c>
      <c r="H239">
        <v>29</v>
      </c>
      <c r="I239" s="4" t="s">
        <v>190</v>
      </c>
      <c r="J239" s="4" t="s">
        <v>191</v>
      </c>
      <c r="K239" s="4" t="s">
        <v>179</v>
      </c>
      <c r="L239" s="4" t="s">
        <v>180</v>
      </c>
      <c r="M239" s="4" t="s">
        <v>192</v>
      </c>
      <c r="N239" s="4" t="s">
        <v>182</v>
      </c>
      <c r="O239" s="4" t="s">
        <v>183</v>
      </c>
      <c r="P239">
        <v>8900.5300000000007</v>
      </c>
      <c r="Q239" s="4" t="s">
        <v>30</v>
      </c>
    </row>
    <row r="240" spans="1:17" x14ac:dyDescent="0.2">
      <c r="A240" s="4" t="s">
        <v>423</v>
      </c>
      <c r="B240">
        <v>239</v>
      </c>
      <c r="C240" s="4" t="s">
        <v>26</v>
      </c>
      <c r="D240" s="4" t="s">
        <v>35</v>
      </c>
      <c r="E240" s="4" t="s">
        <v>53</v>
      </c>
      <c r="F240" s="4" t="s">
        <v>95</v>
      </c>
      <c r="G240">
        <v>6</v>
      </c>
      <c r="H240">
        <v>29</v>
      </c>
      <c r="I240" s="4" t="s">
        <v>207</v>
      </c>
      <c r="J240" s="4" t="s">
        <v>208</v>
      </c>
      <c r="K240" s="4" t="s">
        <v>179</v>
      </c>
      <c r="L240" s="4" t="s">
        <v>180</v>
      </c>
      <c r="M240" s="4" t="s">
        <v>192</v>
      </c>
      <c r="N240" s="4" t="s">
        <v>182</v>
      </c>
      <c r="O240" s="4" t="s">
        <v>189</v>
      </c>
      <c r="P240">
        <v>-8900.5300000000007</v>
      </c>
      <c r="Q240" s="4" t="s">
        <v>30</v>
      </c>
    </row>
    <row r="241" spans="1:17" x14ac:dyDescent="0.2">
      <c r="A241" s="4" t="s">
        <v>424</v>
      </c>
      <c r="B241">
        <v>240</v>
      </c>
      <c r="C241" s="4" t="s">
        <v>26</v>
      </c>
      <c r="D241" s="4" t="s">
        <v>35</v>
      </c>
      <c r="E241" s="4" t="s">
        <v>53</v>
      </c>
      <c r="F241" s="4" t="s">
        <v>95</v>
      </c>
      <c r="G241">
        <v>6</v>
      </c>
      <c r="H241">
        <v>29</v>
      </c>
      <c r="I241" s="4" t="s">
        <v>207</v>
      </c>
      <c r="J241" s="4" t="s">
        <v>208</v>
      </c>
      <c r="K241" s="4" t="s">
        <v>179</v>
      </c>
      <c r="L241" s="4" t="s">
        <v>180</v>
      </c>
      <c r="M241" s="4" t="s">
        <v>192</v>
      </c>
      <c r="N241" s="4" t="s">
        <v>182</v>
      </c>
      <c r="O241" s="4" t="s">
        <v>183</v>
      </c>
      <c r="P241">
        <v>18228.14</v>
      </c>
      <c r="Q241" s="4" t="s">
        <v>30</v>
      </c>
    </row>
    <row r="242" spans="1:17" x14ac:dyDescent="0.2">
      <c r="A242" s="4" t="s">
        <v>425</v>
      </c>
      <c r="B242">
        <v>241</v>
      </c>
      <c r="C242" s="4" t="s">
        <v>26</v>
      </c>
      <c r="D242" s="4" t="s">
        <v>35</v>
      </c>
      <c r="E242" s="4" t="s">
        <v>53</v>
      </c>
      <c r="F242" s="4" t="s">
        <v>95</v>
      </c>
      <c r="G242">
        <v>6</v>
      </c>
      <c r="H242">
        <v>29</v>
      </c>
      <c r="I242" s="4" t="s">
        <v>209</v>
      </c>
      <c r="J242" s="4" t="s">
        <v>210</v>
      </c>
      <c r="K242" s="4" t="s">
        <v>205</v>
      </c>
      <c r="L242" s="4" t="s">
        <v>211</v>
      </c>
      <c r="M242" s="4" t="s">
        <v>182</v>
      </c>
      <c r="N242" s="4" t="s">
        <v>182</v>
      </c>
      <c r="O242" s="4" t="s">
        <v>183</v>
      </c>
      <c r="P242">
        <v>15440.53</v>
      </c>
      <c r="Q242" s="4" t="s">
        <v>30</v>
      </c>
    </row>
    <row r="243" spans="1:17" x14ac:dyDescent="0.2">
      <c r="A243" s="4" t="s">
        <v>426</v>
      </c>
      <c r="B243">
        <v>242</v>
      </c>
      <c r="C243" s="4" t="s">
        <v>26</v>
      </c>
      <c r="D243" s="4" t="s">
        <v>35</v>
      </c>
      <c r="E243" s="4" t="s">
        <v>53</v>
      </c>
      <c r="F243" s="4" t="s">
        <v>95</v>
      </c>
      <c r="G243">
        <v>6</v>
      </c>
      <c r="H243">
        <v>29</v>
      </c>
      <c r="I243" s="4" t="s">
        <v>203</v>
      </c>
      <c r="J243" s="4" t="s">
        <v>204</v>
      </c>
      <c r="K243" s="4" t="s">
        <v>205</v>
      </c>
      <c r="L243" s="4" t="s">
        <v>206</v>
      </c>
      <c r="M243" s="4" t="s">
        <v>182</v>
      </c>
      <c r="N243" s="4" t="s">
        <v>182</v>
      </c>
      <c r="O243" s="4" t="s">
        <v>183</v>
      </c>
      <c r="P243">
        <v>300</v>
      </c>
      <c r="Q243" s="4" t="s">
        <v>30</v>
      </c>
    </row>
    <row r="244" spans="1:17" x14ac:dyDescent="0.2">
      <c r="A244" s="4" t="s">
        <v>427</v>
      </c>
      <c r="B244">
        <v>243</v>
      </c>
      <c r="C244" s="4" t="s">
        <v>26</v>
      </c>
      <c r="D244" s="4" t="s">
        <v>35</v>
      </c>
      <c r="E244" s="4" t="s">
        <v>53</v>
      </c>
      <c r="F244" s="4" t="s">
        <v>95</v>
      </c>
      <c r="G244">
        <v>6</v>
      </c>
      <c r="H244">
        <v>29</v>
      </c>
      <c r="I244" s="4" t="s">
        <v>201</v>
      </c>
      <c r="J244" s="4" t="s">
        <v>202</v>
      </c>
      <c r="K244" s="4" t="s">
        <v>179</v>
      </c>
      <c r="L244" s="4" t="s">
        <v>180</v>
      </c>
      <c r="M244" s="4" t="s">
        <v>192</v>
      </c>
      <c r="N244" s="4" t="s">
        <v>182</v>
      </c>
      <c r="O244" s="4" t="s">
        <v>189</v>
      </c>
      <c r="P244">
        <v>-15440.53</v>
      </c>
      <c r="Q244" s="4" t="s">
        <v>30</v>
      </c>
    </row>
    <row r="245" spans="1:17" x14ac:dyDescent="0.2">
      <c r="A245" s="4" t="s">
        <v>428</v>
      </c>
      <c r="B245">
        <v>244</v>
      </c>
      <c r="C245" s="4" t="s">
        <v>26</v>
      </c>
      <c r="D245" s="4" t="s">
        <v>35</v>
      </c>
      <c r="E245" s="4" t="s">
        <v>53</v>
      </c>
      <c r="F245" s="4" t="s">
        <v>95</v>
      </c>
      <c r="G245">
        <v>6</v>
      </c>
      <c r="H245">
        <v>29</v>
      </c>
      <c r="I245" s="4" t="s">
        <v>212</v>
      </c>
      <c r="J245" s="4" t="s">
        <v>213</v>
      </c>
      <c r="K245" s="4" t="s">
        <v>205</v>
      </c>
      <c r="L245" s="4" t="s">
        <v>214</v>
      </c>
      <c r="M245" s="4" t="s">
        <v>182</v>
      </c>
      <c r="N245" s="4" t="s">
        <v>182</v>
      </c>
      <c r="O245" s="4" t="s">
        <v>189</v>
      </c>
      <c r="P245">
        <v>-18228.14</v>
      </c>
      <c r="Q245" s="4" t="s">
        <v>30</v>
      </c>
    </row>
    <row r="246" spans="1:17" x14ac:dyDescent="0.2">
      <c r="A246" s="4" t="s">
        <v>429</v>
      </c>
      <c r="B246">
        <v>245</v>
      </c>
      <c r="C246" s="4" t="s">
        <v>26</v>
      </c>
      <c r="D246" s="4" t="s">
        <v>35</v>
      </c>
      <c r="E246" s="4" t="s">
        <v>56</v>
      </c>
      <c r="F246" s="4" t="s">
        <v>97</v>
      </c>
      <c r="G246">
        <v>6</v>
      </c>
      <c r="H246">
        <v>30</v>
      </c>
      <c r="I246" s="4" t="s">
        <v>190</v>
      </c>
      <c r="J246" s="4" t="s">
        <v>191</v>
      </c>
      <c r="K246" s="4" t="s">
        <v>179</v>
      </c>
      <c r="L246" s="4" t="s">
        <v>180</v>
      </c>
      <c r="M246" s="4" t="s">
        <v>192</v>
      </c>
      <c r="N246" s="4" t="s">
        <v>182</v>
      </c>
      <c r="O246" s="4" t="s">
        <v>189</v>
      </c>
      <c r="P246">
        <v>-300</v>
      </c>
      <c r="Q246" s="4" t="s">
        <v>30</v>
      </c>
    </row>
    <row r="247" spans="1:17" x14ac:dyDescent="0.2">
      <c r="A247" s="4" t="s">
        <v>430</v>
      </c>
      <c r="B247">
        <v>246</v>
      </c>
      <c r="C247" s="4" t="s">
        <v>26</v>
      </c>
      <c r="D247" s="4" t="s">
        <v>35</v>
      </c>
      <c r="E247" s="4" t="s">
        <v>56</v>
      </c>
      <c r="F247" s="4" t="s">
        <v>97</v>
      </c>
      <c r="G247">
        <v>6</v>
      </c>
      <c r="H247">
        <v>30</v>
      </c>
      <c r="I247" s="4" t="s">
        <v>190</v>
      </c>
      <c r="J247" s="4" t="s">
        <v>191</v>
      </c>
      <c r="K247" s="4" t="s">
        <v>179</v>
      </c>
      <c r="L247" s="4" t="s">
        <v>180</v>
      </c>
      <c r="M247" s="4" t="s">
        <v>192</v>
      </c>
      <c r="N247" s="4" t="s">
        <v>182</v>
      </c>
      <c r="O247" s="4" t="s">
        <v>183</v>
      </c>
      <c r="P247">
        <v>6850.47</v>
      </c>
      <c r="Q247" s="4" t="s">
        <v>30</v>
      </c>
    </row>
    <row r="248" spans="1:17" x14ac:dyDescent="0.2">
      <c r="A248" s="4" t="s">
        <v>431</v>
      </c>
      <c r="B248">
        <v>247</v>
      </c>
      <c r="C248" s="4" t="s">
        <v>26</v>
      </c>
      <c r="D248" s="4" t="s">
        <v>35</v>
      </c>
      <c r="E248" s="4" t="s">
        <v>56</v>
      </c>
      <c r="F248" s="4" t="s">
        <v>97</v>
      </c>
      <c r="G248">
        <v>6</v>
      </c>
      <c r="H248">
        <v>30</v>
      </c>
      <c r="I248" s="4" t="s">
        <v>207</v>
      </c>
      <c r="J248" s="4" t="s">
        <v>208</v>
      </c>
      <c r="K248" s="4" t="s">
        <v>179</v>
      </c>
      <c r="L248" s="4" t="s">
        <v>180</v>
      </c>
      <c r="M248" s="4" t="s">
        <v>192</v>
      </c>
      <c r="N248" s="4" t="s">
        <v>182</v>
      </c>
      <c r="O248" s="4" t="s">
        <v>189</v>
      </c>
      <c r="P248">
        <v>-6850.47</v>
      </c>
      <c r="Q248" s="4" t="s">
        <v>30</v>
      </c>
    </row>
    <row r="249" spans="1:17" x14ac:dyDescent="0.2">
      <c r="A249" s="4" t="s">
        <v>432</v>
      </c>
      <c r="B249">
        <v>248</v>
      </c>
      <c r="C249" s="4" t="s">
        <v>26</v>
      </c>
      <c r="D249" s="4" t="s">
        <v>35</v>
      </c>
      <c r="E249" s="4" t="s">
        <v>56</v>
      </c>
      <c r="F249" s="4" t="s">
        <v>97</v>
      </c>
      <c r="G249">
        <v>6</v>
      </c>
      <c r="H249">
        <v>30</v>
      </c>
      <c r="I249" s="4" t="s">
        <v>207</v>
      </c>
      <c r="J249" s="4" t="s">
        <v>208</v>
      </c>
      <c r="K249" s="4" t="s">
        <v>179</v>
      </c>
      <c r="L249" s="4" t="s">
        <v>180</v>
      </c>
      <c r="M249" s="4" t="s">
        <v>192</v>
      </c>
      <c r="N249" s="4" t="s">
        <v>182</v>
      </c>
      <c r="O249" s="4" t="s">
        <v>183</v>
      </c>
      <c r="P249">
        <v>13940.87</v>
      </c>
      <c r="Q249" s="4" t="s">
        <v>30</v>
      </c>
    </row>
    <row r="250" spans="1:17" x14ac:dyDescent="0.2">
      <c r="A250" s="4" t="s">
        <v>433</v>
      </c>
      <c r="B250">
        <v>249</v>
      </c>
      <c r="C250" s="4" t="s">
        <v>26</v>
      </c>
      <c r="D250" s="4" t="s">
        <v>35</v>
      </c>
      <c r="E250" s="4" t="s">
        <v>56</v>
      </c>
      <c r="F250" s="4" t="s">
        <v>97</v>
      </c>
      <c r="G250">
        <v>6</v>
      </c>
      <c r="H250">
        <v>30</v>
      </c>
      <c r="I250" s="4" t="s">
        <v>209</v>
      </c>
      <c r="J250" s="4" t="s">
        <v>210</v>
      </c>
      <c r="K250" s="4" t="s">
        <v>205</v>
      </c>
      <c r="L250" s="4" t="s">
        <v>211</v>
      </c>
      <c r="M250" s="4" t="s">
        <v>182</v>
      </c>
      <c r="N250" s="4" t="s">
        <v>182</v>
      </c>
      <c r="O250" s="4" t="s">
        <v>183</v>
      </c>
      <c r="P250">
        <v>11868.98</v>
      </c>
      <c r="Q250" s="4" t="s">
        <v>30</v>
      </c>
    </row>
    <row r="251" spans="1:17" x14ac:dyDescent="0.2">
      <c r="A251" s="4" t="s">
        <v>434</v>
      </c>
      <c r="B251">
        <v>250</v>
      </c>
      <c r="C251" s="4" t="s">
        <v>26</v>
      </c>
      <c r="D251" s="4" t="s">
        <v>35</v>
      </c>
      <c r="E251" s="4" t="s">
        <v>56</v>
      </c>
      <c r="F251" s="4" t="s">
        <v>97</v>
      </c>
      <c r="G251">
        <v>6</v>
      </c>
      <c r="H251">
        <v>30</v>
      </c>
      <c r="I251" s="4" t="s">
        <v>203</v>
      </c>
      <c r="J251" s="4" t="s">
        <v>204</v>
      </c>
      <c r="K251" s="4" t="s">
        <v>205</v>
      </c>
      <c r="L251" s="4" t="s">
        <v>206</v>
      </c>
      <c r="M251" s="4" t="s">
        <v>182</v>
      </c>
      <c r="N251" s="4" t="s">
        <v>182</v>
      </c>
      <c r="O251" s="4" t="s">
        <v>183</v>
      </c>
      <c r="P251">
        <v>300</v>
      </c>
      <c r="Q251" s="4" t="s">
        <v>30</v>
      </c>
    </row>
    <row r="252" spans="1:17" x14ac:dyDescent="0.2">
      <c r="A252" s="4" t="s">
        <v>435</v>
      </c>
      <c r="B252">
        <v>251</v>
      </c>
      <c r="C252" s="4" t="s">
        <v>26</v>
      </c>
      <c r="D252" s="4" t="s">
        <v>35</v>
      </c>
      <c r="E252" s="4" t="s">
        <v>56</v>
      </c>
      <c r="F252" s="4" t="s">
        <v>97</v>
      </c>
      <c r="G252">
        <v>6</v>
      </c>
      <c r="H252">
        <v>30</v>
      </c>
      <c r="I252" s="4" t="s">
        <v>201</v>
      </c>
      <c r="J252" s="4" t="s">
        <v>202</v>
      </c>
      <c r="K252" s="4" t="s">
        <v>179</v>
      </c>
      <c r="L252" s="4" t="s">
        <v>180</v>
      </c>
      <c r="M252" s="4" t="s">
        <v>192</v>
      </c>
      <c r="N252" s="4" t="s">
        <v>182</v>
      </c>
      <c r="O252" s="4" t="s">
        <v>189</v>
      </c>
      <c r="P252">
        <v>-11868.98</v>
      </c>
      <c r="Q252" s="4" t="s">
        <v>30</v>
      </c>
    </row>
    <row r="253" spans="1:17" x14ac:dyDescent="0.2">
      <c r="A253" s="4" t="s">
        <v>436</v>
      </c>
      <c r="B253">
        <v>252</v>
      </c>
      <c r="C253" s="4" t="s">
        <v>26</v>
      </c>
      <c r="D253" s="4" t="s">
        <v>35</v>
      </c>
      <c r="E253" s="4" t="s">
        <v>56</v>
      </c>
      <c r="F253" s="4" t="s">
        <v>97</v>
      </c>
      <c r="G253">
        <v>6</v>
      </c>
      <c r="H253">
        <v>30</v>
      </c>
      <c r="I253" s="4" t="s">
        <v>212</v>
      </c>
      <c r="J253" s="4" t="s">
        <v>213</v>
      </c>
      <c r="K253" s="4" t="s">
        <v>205</v>
      </c>
      <c r="L253" s="4" t="s">
        <v>214</v>
      </c>
      <c r="M253" s="4" t="s">
        <v>182</v>
      </c>
      <c r="N253" s="4" t="s">
        <v>182</v>
      </c>
      <c r="O253" s="4" t="s">
        <v>189</v>
      </c>
      <c r="P253">
        <v>-13940.87</v>
      </c>
      <c r="Q253" s="4" t="s">
        <v>30</v>
      </c>
    </row>
    <row r="254" spans="1:17" x14ac:dyDescent="0.2">
      <c r="A254" s="4" t="s">
        <v>438</v>
      </c>
      <c r="B254">
        <v>253</v>
      </c>
      <c r="C254" s="4" t="s">
        <v>26</v>
      </c>
      <c r="D254" s="4" t="s">
        <v>38</v>
      </c>
      <c r="E254" s="4" t="s">
        <v>27</v>
      </c>
      <c r="F254" s="4" t="s">
        <v>907</v>
      </c>
      <c r="G254">
        <v>7</v>
      </c>
      <c r="H254">
        <v>31</v>
      </c>
      <c r="I254" s="4" t="s">
        <v>190</v>
      </c>
      <c r="J254" s="4" t="s">
        <v>191</v>
      </c>
      <c r="K254" s="4" t="s">
        <v>179</v>
      </c>
      <c r="L254" s="4" t="s">
        <v>180</v>
      </c>
      <c r="M254" s="4" t="s">
        <v>192</v>
      </c>
      <c r="N254" s="4" t="s">
        <v>182</v>
      </c>
      <c r="O254" s="4" t="s">
        <v>189</v>
      </c>
      <c r="P254">
        <v>-300</v>
      </c>
      <c r="Q254" s="4" t="s">
        <v>30</v>
      </c>
    </row>
    <row r="255" spans="1:17" x14ac:dyDescent="0.2">
      <c r="A255" s="4" t="s">
        <v>439</v>
      </c>
      <c r="B255">
        <v>254</v>
      </c>
      <c r="C255" s="4" t="s">
        <v>26</v>
      </c>
      <c r="D255" s="4" t="s">
        <v>38</v>
      </c>
      <c r="E255" s="4" t="s">
        <v>27</v>
      </c>
      <c r="F255" s="4" t="s">
        <v>907</v>
      </c>
      <c r="G255">
        <v>7</v>
      </c>
      <c r="H255">
        <v>31</v>
      </c>
      <c r="I255" s="4" t="s">
        <v>190</v>
      </c>
      <c r="J255" s="4" t="s">
        <v>191</v>
      </c>
      <c r="K255" s="4" t="s">
        <v>179</v>
      </c>
      <c r="L255" s="4" t="s">
        <v>180</v>
      </c>
      <c r="M255" s="4" t="s">
        <v>192</v>
      </c>
      <c r="N255" s="4" t="s">
        <v>182</v>
      </c>
      <c r="O255" s="4" t="s">
        <v>183</v>
      </c>
      <c r="P255">
        <v>15005.15</v>
      </c>
      <c r="Q255" s="4" t="s">
        <v>30</v>
      </c>
    </row>
    <row r="256" spans="1:17" x14ac:dyDescent="0.2">
      <c r="A256" s="4" t="s">
        <v>440</v>
      </c>
      <c r="B256">
        <v>255</v>
      </c>
      <c r="C256" s="4" t="s">
        <v>26</v>
      </c>
      <c r="D256" s="4" t="s">
        <v>38</v>
      </c>
      <c r="E256" s="4" t="s">
        <v>27</v>
      </c>
      <c r="F256" s="4" t="s">
        <v>907</v>
      </c>
      <c r="G256">
        <v>7</v>
      </c>
      <c r="H256">
        <v>31</v>
      </c>
      <c r="I256" s="4" t="s">
        <v>207</v>
      </c>
      <c r="J256" s="4" t="s">
        <v>208</v>
      </c>
      <c r="K256" s="4" t="s">
        <v>179</v>
      </c>
      <c r="L256" s="4" t="s">
        <v>180</v>
      </c>
      <c r="M256" s="4" t="s">
        <v>192</v>
      </c>
      <c r="N256" s="4" t="s">
        <v>182</v>
      </c>
      <c r="O256" s="4" t="s">
        <v>189</v>
      </c>
      <c r="P256">
        <v>-15005.15</v>
      </c>
      <c r="Q256" s="4" t="s">
        <v>30</v>
      </c>
    </row>
    <row r="257" spans="1:17" x14ac:dyDescent="0.2">
      <c r="A257" s="4" t="s">
        <v>441</v>
      </c>
      <c r="B257">
        <v>256</v>
      </c>
      <c r="C257" s="4" t="s">
        <v>26</v>
      </c>
      <c r="D257" s="4" t="s">
        <v>38</v>
      </c>
      <c r="E257" s="4" t="s">
        <v>27</v>
      </c>
      <c r="F257" s="4" t="s">
        <v>907</v>
      </c>
      <c r="G257">
        <v>7</v>
      </c>
      <c r="H257">
        <v>31</v>
      </c>
      <c r="I257" s="4" t="s">
        <v>207</v>
      </c>
      <c r="J257" s="4" t="s">
        <v>208</v>
      </c>
      <c r="K257" s="4" t="s">
        <v>179</v>
      </c>
      <c r="L257" s="4" t="s">
        <v>180</v>
      </c>
      <c r="M257" s="4" t="s">
        <v>192</v>
      </c>
      <c r="N257" s="4" t="s">
        <v>182</v>
      </c>
      <c r="O257" s="4" t="s">
        <v>183</v>
      </c>
      <c r="P257">
        <v>27329.88</v>
      </c>
      <c r="Q257" s="4" t="s">
        <v>30</v>
      </c>
    </row>
    <row r="258" spans="1:17" x14ac:dyDescent="0.2">
      <c r="A258" s="4" t="s">
        <v>442</v>
      </c>
      <c r="B258">
        <v>257</v>
      </c>
      <c r="C258" s="4" t="s">
        <v>26</v>
      </c>
      <c r="D258" s="4" t="s">
        <v>38</v>
      </c>
      <c r="E258" s="4" t="s">
        <v>27</v>
      </c>
      <c r="F258" s="4" t="s">
        <v>907</v>
      </c>
      <c r="G258">
        <v>7</v>
      </c>
      <c r="H258">
        <v>31</v>
      </c>
      <c r="I258" s="4" t="s">
        <v>209</v>
      </c>
      <c r="J258" s="4" t="s">
        <v>210</v>
      </c>
      <c r="K258" s="4" t="s">
        <v>205</v>
      </c>
      <c r="L258" s="4" t="s">
        <v>211</v>
      </c>
      <c r="M258" s="4" t="s">
        <v>182</v>
      </c>
      <c r="N258" s="4" t="s">
        <v>182</v>
      </c>
      <c r="O258" s="4" t="s">
        <v>183</v>
      </c>
      <c r="P258">
        <v>23796.799999999999</v>
      </c>
      <c r="Q258" s="4" t="s">
        <v>30</v>
      </c>
    </row>
    <row r="259" spans="1:17" x14ac:dyDescent="0.2">
      <c r="A259" s="4" t="s">
        <v>443</v>
      </c>
      <c r="B259">
        <v>258</v>
      </c>
      <c r="C259" s="4" t="s">
        <v>26</v>
      </c>
      <c r="D259" s="4" t="s">
        <v>38</v>
      </c>
      <c r="E259" s="4" t="s">
        <v>27</v>
      </c>
      <c r="F259" s="4" t="s">
        <v>907</v>
      </c>
      <c r="G259">
        <v>7</v>
      </c>
      <c r="H259">
        <v>31</v>
      </c>
      <c r="I259" s="4" t="s">
        <v>203</v>
      </c>
      <c r="J259" s="4" t="s">
        <v>204</v>
      </c>
      <c r="K259" s="4" t="s">
        <v>205</v>
      </c>
      <c r="L259" s="4" t="s">
        <v>206</v>
      </c>
      <c r="M259" s="4" t="s">
        <v>182</v>
      </c>
      <c r="N259" s="4" t="s">
        <v>182</v>
      </c>
      <c r="O259" s="4" t="s">
        <v>183</v>
      </c>
      <c r="P259">
        <v>300</v>
      </c>
      <c r="Q259" s="4" t="s">
        <v>30</v>
      </c>
    </row>
    <row r="260" spans="1:17" x14ac:dyDescent="0.2">
      <c r="A260" s="4" t="s">
        <v>444</v>
      </c>
      <c r="B260">
        <v>259</v>
      </c>
      <c r="C260" s="4" t="s">
        <v>26</v>
      </c>
      <c r="D260" s="4" t="s">
        <v>38</v>
      </c>
      <c r="E260" s="4" t="s">
        <v>27</v>
      </c>
      <c r="F260" s="4" t="s">
        <v>907</v>
      </c>
      <c r="G260">
        <v>7</v>
      </c>
      <c r="H260">
        <v>31</v>
      </c>
      <c r="I260" s="4" t="s">
        <v>201</v>
      </c>
      <c r="J260" s="4" t="s">
        <v>202</v>
      </c>
      <c r="K260" s="4" t="s">
        <v>179</v>
      </c>
      <c r="L260" s="4" t="s">
        <v>180</v>
      </c>
      <c r="M260" s="4" t="s">
        <v>192</v>
      </c>
      <c r="N260" s="4" t="s">
        <v>182</v>
      </c>
      <c r="O260" s="4" t="s">
        <v>189</v>
      </c>
      <c r="P260">
        <v>-23796.799999999999</v>
      </c>
      <c r="Q260" s="4" t="s">
        <v>30</v>
      </c>
    </row>
    <row r="261" spans="1:17" x14ac:dyDescent="0.2">
      <c r="A261" s="4" t="s">
        <v>445</v>
      </c>
      <c r="B261">
        <v>260</v>
      </c>
      <c r="C261" s="4" t="s">
        <v>26</v>
      </c>
      <c r="D261" s="4" t="s">
        <v>38</v>
      </c>
      <c r="E261" s="4" t="s">
        <v>27</v>
      </c>
      <c r="F261" s="4" t="s">
        <v>907</v>
      </c>
      <c r="G261">
        <v>7</v>
      </c>
      <c r="H261">
        <v>31</v>
      </c>
      <c r="I261" s="4" t="s">
        <v>212</v>
      </c>
      <c r="J261" s="4" t="s">
        <v>213</v>
      </c>
      <c r="K261" s="4" t="s">
        <v>205</v>
      </c>
      <c r="L261" s="4" t="s">
        <v>214</v>
      </c>
      <c r="M261" s="4" t="s">
        <v>182</v>
      </c>
      <c r="N261" s="4" t="s">
        <v>182</v>
      </c>
      <c r="O261" s="4" t="s">
        <v>189</v>
      </c>
      <c r="P261">
        <v>-27329.88</v>
      </c>
      <c r="Q261" s="4" t="s">
        <v>30</v>
      </c>
    </row>
    <row r="262" spans="1:17" x14ac:dyDescent="0.2">
      <c r="A262" s="4" t="s">
        <v>446</v>
      </c>
      <c r="B262">
        <v>261</v>
      </c>
      <c r="C262" s="4" t="s">
        <v>26</v>
      </c>
      <c r="D262" s="4" t="s">
        <v>38</v>
      </c>
      <c r="E262" s="4" t="s">
        <v>32</v>
      </c>
      <c r="F262" s="4" t="s">
        <v>1093</v>
      </c>
      <c r="G262">
        <v>7</v>
      </c>
      <c r="H262">
        <v>32</v>
      </c>
      <c r="I262" s="4" t="s">
        <v>190</v>
      </c>
      <c r="J262" s="4" t="s">
        <v>191</v>
      </c>
      <c r="K262" s="4" t="s">
        <v>179</v>
      </c>
      <c r="L262" s="4" t="s">
        <v>180</v>
      </c>
      <c r="M262" s="4" t="s">
        <v>192</v>
      </c>
      <c r="N262" s="4" t="s">
        <v>182</v>
      </c>
      <c r="O262" s="4" t="s">
        <v>189</v>
      </c>
      <c r="P262">
        <v>-42381.35</v>
      </c>
      <c r="Q262" s="4" t="s">
        <v>30</v>
      </c>
    </row>
    <row r="263" spans="1:17" x14ac:dyDescent="0.2">
      <c r="A263" s="4" t="s">
        <v>447</v>
      </c>
      <c r="B263">
        <v>262</v>
      </c>
      <c r="C263" s="4" t="s">
        <v>26</v>
      </c>
      <c r="D263" s="4" t="s">
        <v>38</v>
      </c>
      <c r="E263" s="4" t="s">
        <v>32</v>
      </c>
      <c r="F263" s="4" t="s">
        <v>1093</v>
      </c>
      <c r="G263">
        <v>7</v>
      </c>
      <c r="H263">
        <v>32</v>
      </c>
      <c r="I263" s="4" t="s">
        <v>190</v>
      </c>
      <c r="J263" s="4" t="s">
        <v>191</v>
      </c>
      <c r="K263" s="4" t="s">
        <v>179</v>
      </c>
      <c r="L263" s="4" t="s">
        <v>180</v>
      </c>
      <c r="M263" s="4" t="s">
        <v>192</v>
      </c>
      <c r="N263" s="4" t="s">
        <v>182</v>
      </c>
      <c r="O263" s="4" t="s">
        <v>183</v>
      </c>
      <c r="P263">
        <v>12977.84</v>
      </c>
      <c r="Q263" s="4" t="s">
        <v>30</v>
      </c>
    </row>
    <row r="264" spans="1:17" x14ac:dyDescent="0.2">
      <c r="A264" s="4" t="s">
        <v>448</v>
      </c>
      <c r="B264">
        <v>263</v>
      </c>
      <c r="C264" s="4" t="s">
        <v>26</v>
      </c>
      <c r="D264" s="4" t="s">
        <v>38</v>
      </c>
      <c r="E264" s="4" t="s">
        <v>32</v>
      </c>
      <c r="F264" s="4" t="s">
        <v>1093</v>
      </c>
      <c r="G264">
        <v>7</v>
      </c>
      <c r="H264">
        <v>32</v>
      </c>
      <c r="I264" s="4" t="s">
        <v>207</v>
      </c>
      <c r="J264" s="4" t="s">
        <v>208</v>
      </c>
      <c r="K264" s="4" t="s">
        <v>179</v>
      </c>
      <c r="L264" s="4" t="s">
        <v>180</v>
      </c>
      <c r="M264" s="4" t="s">
        <v>192</v>
      </c>
      <c r="N264" s="4" t="s">
        <v>182</v>
      </c>
      <c r="O264" s="4" t="s">
        <v>189</v>
      </c>
      <c r="P264">
        <v>-12977.84</v>
      </c>
      <c r="Q264" s="4" t="s">
        <v>30</v>
      </c>
    </row>
    <row r="265" spans="1:17" x14ac:dyDescent="0.2">
      <c r="A265" s="4" t="s">
        <v>449</v>
      </c>
      <c r="B265">
        <v>264</v>
      </c>
      <c r="C265" s="4" t="s">
        <v>26</v>
      </c>
      <c r="D265" s="4" t="s">
        <v>38</v>
      </c>
      <c r="E265" s="4" t="s">
        <v>32</v>
      </c>
      <c r="F265" s="4" t="s">
        <v>1093</v>
      </c>
      <c r="G265">
        <v>7</v>
      </c>
      <c r="H265">
        <v>32</v>
      </c>
      <c r="I265" s="4" t="s">
        <v>207</v>
      </c>
      <c r="J265" s="4" t="s">
        <v>208</v>
      </c>
      <c r="K265" s="4" t="s">
        <v>179</v>
      </c>
      <c r="L265" s="4" t="s">
        <v>180</v>
      </c>
      <c r="M265" s="4" t="s">
        <v>192</v>
      </c>
      <c r="N265" s="4" t="s">
        <v>182</v>
      </c>
      <c r="O265" s="4" t="s">
        <v>183</v>
      </c>
      <c r="P265">
        <v>12453.65</v>
      </c>
      <c r="Q265" s="4" t="s">
        <v>30</v>
      </c>
    </row>
    <row r="266" spans="1:17" x14ac:dyDescent="0.2">
      <c r="A266" s="4" t="s">
        <v>450</v>
      </c>
      <c r="B266">
        <v>265</v>
      </c>
      <c r="C266" s="4" t="s">
        <v>26</v>
      </c>
      <c r="D266" s="4" t="s">
        <v>38</v>
      </c>
      <c r="E266" s="4" t="s">
        <v>32</v>
      </c>
      <c r="F266" s="4" t="s">
        <v>1093</v>
      </c>
      <c r="G266">
        <v>7</v>
      </c>
      <c r="H266">
        <v>32</v>
      </c>
      <c r="I266" s="4" t="s">
        <v>193</v>
      </c>
      <c r="J266" s="4" t="s">
        <v>194</v>
      </c>
      <c r="K266" s="4" t="s">
        <v>179</v>
      </c>
      <c r="L266" s="4" t="s">
        <v>186</v>
      </c>
      <c r="M266" s="4" t="s">
        <v>195</v>
      </c>
      <c r="N266" s="4" t="s">
        <v>196</v>
      </c>
      <c r="O266" s="4" t="s">
        <v>183</v>
      </c>
      <c r="P266">
        <v>42081.35</v>
      </c>
      <c r="Q266" s="4" t="s">
        <v>30</v>
      </c>
    </row>
    <row r="267" spans="1:17" x14ac:dyDescent="0.2">
      <c r="A267" s="4" t="s">
        <v>451</v>
      </c>
      <c r="B267">
        <v>266</v>
      </c>
      <c r="C267" s="4" t="s">
        <v>26</v>
      </c>
      <c r="D267" s="4" t="s">
        <v>38</v>
      </c>
      <c r="E267" s="4" t="s">
        <v>32</v>
      </c>
      <c r="F267" s="4" t="s">
        <v>1093</v>
      </c>
      <c r="G267">
        <v>7</v>
      </c>
      <c r="H267">
        <v>32</v>
      </c>
      <c r="I267" s="4" t="s">
        <v>209</v>
      </c>
      <c r="J267" s="4" t="s">
        <v>210</v>
      </c>
      <c r="K267" s="4" t="s">
        <v>205</v>
      </c>
      <c r="L267" s="4" t="s">
        <v>211</v>
      </c>
      <c r="M267" s="4" t="s">
        <v>182</v>
      </c>
      <c r="N267" s="4" t="s">
        <v>182</v>
      </c>
      <c r="O267" s="4" t="s">
        <v>183</v>
      </c>
      <c r="P267">
        <v>10819.73</v>
      </c>
      <c r="Q267" s="4" t="s">
        <v>30</v>
      </c>
    </row>
    <row r="268" spans="1:17" x14ac:dyDescent="0.2">
      <c r="A268" s="4" t="s">
        <v>452</v>
      </c>
      <c r="B268">
        <v>267</v>
      </c>
      <c r="C268" s="4" t="s">
        <v>26</v>
      </c>
      <c r="D268" s="4" t="s">
        <v>38</v>
      </c>
      <c r="E268" s="4" t="s">
        <v>32</v>
      </c>
      <c r="F268" s="4" t="s">
        <v>1093</v>
      </c>
      <c r="G268">
        <v>7</v>
      </c>
      <c r="H268">
        <v>32</v>
      </c>
      <c r="I268" s="4" t="s">
        <v>203</v>
      </c>
      <c r="J268" s="4" t="s">
        <v>204</v>
      </c>
      <c r="K268" s="4" t="s">
        <v>205</v>
      </c>
      <c r="L268" s="4" t="s">
        <v>206</v>
      </c>
      <c r="M268" s="4" t="s">
        <v>182</v>
      </c>
      <c r="N268" s="4" t="s">
        <v>182</v>
      </c>
      <c r="O268" s="4" t="s">
        <v>183</v>
      </c>
      <c r="P268">
        <v>300</v>
      </c>
      <c r="Q268" s="4" t="s">
        <v>30</v>
      </c>
    </row>
    <row r="269" spans="1:17" x14ac:dyDescent="0.2">
      <c r="A269" s="4" t="s">
        <v>453</v>
      </c>
      <c r="B269">
        <v>268</v>
      </c>
      <c r="C269" s="4" t="s">
        <v>26</v>
      </c>
      <c r="D269" s="4" t="s">
        <v>38</v>
      </c>
      <c r="E269" s="4" t="s">
        <v>32</v>
      </c>
      <c r="F269" s="4" t="s">
        <v>1093</v>
      </c>
      <c r="G269">
        <v>7</v>
      </c>
      <c r="H269">
        <v>32</v>
      </c>
      <c r="I269" s="4" t="s">
        <v>201</v>
      </c>
      <c r="J269" s="4" t="s">
        <v>202</v>
      </c>
      <c r="K269" s="4" t="s">
        <v>179</v>
      </c>
      <c r="L269" s="4" t="s">
        <v>180</v>
      </c>
      <c r="M269" s="4" t="s">
        <v>192</v>
      </c>
      <c r="N269" s="4" t="s">
        <v>182</v>
      </c>
      <c r="O269" s="4" t="s">
        <v>189</v>
      </c>
      <c r="P269">
        <v>-10819.73</v>
      </c>
      <c r="Q269" s="4" t="s">
        <v>30</v>
      </c>
    </row>
    <row r="270" spans="1:17" x14ac:dyDescent="0.2">
      <c r="A270" s="4" t="s">
        <v>454</v>
      </c>
      <c r="B270">
        <v>269</v>
      </c>
      <c r="C270" s="4" t="s">
        <v>26</v>
      </c>
      <c r="D270" s="4" t="s">
        <v>38</v>
      </c>
      <c r="E270" s="4" t="s">
        <v>32</v>
      </c>
      <c r="F270" s="4" t="s">
        <v>1093</v>
      </c>
      <c r="G270">
        <v>7</v>
      </c>
      <c r="H270">
        <v>32</v>
      </c>
      <c r="I270" s="4" t="s">
        <v>212</v>
      </c>
      <c r="J270" s="4" t="s">
        <v>213</v>
      </c>
      <c r="K270" s="4" t="s">
        <v>205</v>
      </c>
      <c r="L270" s="4" t="s">
        <v>214</v>
      </c>
      <c r="M270" s="4" t="s">
        <v>182</v>
      </c>
      <c r="N270" s="4" t="s">
        <v>182</v>
      </c>
      <c r="O270" s="4" t="s">
        <v>189</v>
      </c>
      <c r="P270">
        <v>-12453.65</v>
      </c>
      <c r="Q270" s="4" t="s">
        <v>30</v>
      </c>
    </row>
    <row r="271" spans="1:17" x14ac:dyDescent="0.2">
      <c r="A271" s="4" t="s">
        <v>455</v>
      </c>
      <c r="B271">
        <v>270</v>
      </c>
      <c r="C271" s="4" t="s">
        <v>26</v>
      </c>
      <c r="D271" s="4" t="s">
        <v>38</v>
      </c>
      <c r="E271" s="4" t="s">
        <v>35</v>
      </c>
      <c r="F271" s="4" t="s">
        <v>1122</v>
      </c>
      <c r="G271">
        <v>7</v>
      </c>
      <c r="H271">
        <v>33</v>
      </c>
      <c r="I271" s="4" t="s">
        <v>190</v>
      </c>
      <c r="J271" s="4" t="s">
        <v>191</v>
      </c>
      <c r="K271" s="4" t="s">
        <v>179</v>
      </c>
      <c r="L271" s="4" t="s">
        <v>180</v>
      </c>
      <c r="M271" s="4" t="s">
        <v>192</v>
      </c>
      <c r="N271" s="4" t="s">
        <v>182</v>
      </c>
      <c r="O271" s="4" t="s">
        <v>189</v>
      </c>
      <c r="P271">
        <v>-300</v>
      </c>
      <c r="Q271" s="4" t="s">
        <v>30</v>
      </c>
    </row>
    <row r="272" spans="1:17" x14ac:dyDescent="0.2">
      <c r="A272" s="4" t="s">
        <v>456</v>
      </c>
      <c r="B272">
        <v>271</v>
      </c>
      <c r="C272" s="4" t="s">
        <v>26</v>
      </c>
      <c r="D272" s="4" t="s">
        <v>38</v>
      </c>
      <c r="E272" s="4" t="s">
        <v>35</v>
      </c>
      <c r="F272" s="4" t="s">
        <v>1122</v>
      </c>
      <c r="G272">
        <v>7</v>
      </c>
      <c r="H272">
        <v>33</v>
      </c>
      <c r="I272" s="4" t="s">
        <v>190</v>
      </c>
      <c r="J272" s="4" t="s">
        <v>191</v>
      </c>
      <c r="K272" s="4" t="s">
        <v>179</v>
      </c>
      <c r="L272" s="4" t="s">
        <v>180</v>
      </c>
      <c r="M272" s="4" t="s">
        <v>192</v>
      </c>
      <c r="N272" s="4" t="s">
        <v>182</v>
      </c>
      <c r="O272" s="4" t="s">
        <v>183</v>
      </c>
      <c r="P272">
        <v>18228.14</v>
      </c>
      <c r="Q272" s="4" t="s">
        <v>30</v>
      </c>
    </row>
    <row r="273" spans="1:17" x14ac:dyDescent="0.2">
      <c r="A273" s="4" t="s">
        <v>457</v>
      </c>
      <c r="B273">
        <v>272</v>
      </c>
      <c r="C273" s="4" t="s">
        <v>26</v>
      </c>
      <c r="D273" s="4" t="s">
        <v>38</v>
      </c>
      <c r="E273" s="4" t="s">
        <v>35</v>
      </c>
      <c r="F273" s="4" t="s">
        <v>1122</v>
      </c>
      <c r="G273">
        <v>7</v>
      </c>
      <c r="H273">
        <v>33</v>
      </c>
      <c r="I273" s="4" t="s">
        <v>207</v>
      </c>
      <c r="J273" s="4" t="s">
        <v>208</v>
      </c>
      <c r="K273" s="4" t="s">
        <v>179</v>
      </c>
      <c r="L273" s="4" t="s">
        <v>180</v>
      </c>
      <c r="M273" s="4" t="s">
        <v>192</v>
      </c>
      <c r="N273" s="4" t="s">
        <v>182</v>
      </c>
      <c r="O273" s="4" t="s">
        <v>189</v>
      </c>
      <c r="P273">
        <v>-18228.14</v>
      </c>
      <c r="Q273" s="4" t="s">
        <v>30</v>
      </c>
    </row>
    <row r="274" spans="1:17" x14ac:dyDescent="0.2">
      <c r="A274" s="4" t="s">
        <v>458</v>
      </c>
      <c r="B274">
        <v>273</v>
      </c>
      <c r="C274" s="4" t="s">
        <v>26</v>
      </c>
      <c r="D274" s="4" t="s">
        <v>38</v>
      </c>
      <c r="E274" s="4" t="s">
        <v>35</v>
      </c>
      <c r="F274" s="4" t="s">
        <v>1122</v>
      </c>
      <c r="G274">
        <v>7</v>
      </c>
      <c r="H274">
        <v>33</v>
      </c>
      <c r="I274" s="4" t="s">
        <v>207</v>
      </c>
      <c r="J274" s="4" t="s">
        <v>208</v>
      </c>
      <c r="K274" s="4" t="s">
        <v>179</v>
      </c>
      <c r="L274" s="4" t="s">
        <v>180</v>
      </c>
      <c r="M274" s="4" t="s">
        <v>192</v>
      </c>
      <c r="N274" s="4" t="s">
        <v>182</v>
      </c>
      <c r="O274" s="4" t="s">
        <v>183</v>
      </c>
      <c r="P274">
        <v>17810.27</v>
      </c>
      <c r="Q274" s="4" t="s">
        <v>30</v>
      </c>
    </row>
    <row r="275" spans="1:17" x14ac:dyDescent="0.2">
      <c r="A275" s="4" t="s">
        <v>459</v>
      </c>
      <c r="B275">
        <v>274</v>
      </c>
      <c r="C275" s="4" t="s">
        <v>26</v>
      </c>
      <c r="D275" s="4" t="s">
        <v>38</v>
      </c>
      <c r="E275" s="4" t="s">
        <v>35</v>
      </c>
      <c r="F275" s="4" t="s">
        <v>1122</v>
      </c>
      <c r="G275">
        <v>7</v>
      </c>
      <c r="H275">
        <v>33</v>
      </c>
      <c r="I275" s="4" t="s">
        <v>193</v>
      </c>
      <c r="J275" s="4" t="s">
        <v>194</v>
      </c>
      <c r="K275" s="4" t="s">
        <v>179</v>
      </c>
      <c r="L275" s="4" t="s">
        <v>186</v>
      </c>
      <c r="M275" s="4" t="s">
        <v>195</v>
      </c>
      <c r="N275" s="4" t="s">
        <v>196</v>
      </c>
      <c r="O275" s="4" t="s">
        <v>189</v>
      </c>
      <c r="P275">
        <v>-44056.87</v>
      </c>
      <c r="Q275" s="4" t="s">
        <v>30</v>
      </c>
    </row>
    <row r="276" spans="1:17" x14ac:dyDescent="0.2">
      <c r="A276" s="4" t="s">
        <v>460</v>
      </c>
      <c r="B276">
        <v>275</v>
      </c>
      <c r="C276" s="4" t="s">
        <v>26</v>
      </c>
      <c r="D276" s="4" t="s">
        <v>38</v>
      </c>
      <c r="E276" s="4" t="s">
        <v>35</v>
      </c>
      <c r="F276" s="4" t="s">
        <v>1122</v>
      </c>
      <c r="G276">
        <v>7</v>
      </c>
      <c r="H276">
        <v>33</v>
      </c>
      <c r="I276" s="4" t="s">
        <v>197</v>
      </c>
      <c r="J276" s="4" t="s">
        <v>198</v>
      </c>
      <c r="K276" s="4" t="s">
        <v>179</v>
      </c>
      <c r="L276" s="4" t="s">
        <v>186</v>
      </c>
      <c r="M276" s="4" t="s">
        <v>195</v>
      </c>
      <c r="N276" s="4" t="s">
        <v>196</v>
      </c>
      <c r="O276" s="4" t="s">
        <v>189</v>
      </c>
      <c r="P276">
        <v>-43056.87</v>
      </c>
      <c r="Q276" s="4" t="s">
        <v>30</v>
      </c>
    </row>
    <row r="277" spans="1:17" x14ac:dyDescent="0.2">
      <c r="A277" s="4" t="s">
        <v>461</v>
      </c>
      <c r="B277">
        <v>276</v>
      </c>
      <c r="C277" s="4" t="s">
        <v>26</v>
      </c>
      <c r="D277" s="4" t="s">
        <v>38</v>
      </c>
      <c r="E277" s="4" t="s">
        <v>35</v>
      </c>
      <c r="F277" s="4" t="s">
        <v>1122</v>
      </c>
      <c r="G277">
        <v>7</v>
      </c>
      <c r="H277">
        <v>33</v>
      </c>
      <c r="I277" s="4" t="s">
        <v>197</v>
      </c>
      <c r="J277" s="4" t="s">
        <v>198</v>
      </c>
      <c r="K277" s="4" t="s">
        <v>179</v>
      </c>
      <c r="L277" s="4" t="s">
        <v>186</v>
      </c>
      <c r="M277" s="4" t="s">
        <v>195</v>
      </c>
      <c r="N277" s="4" t="s">
        <v>196</v>
      </c>
      <c r="O277" s="4" t="s">
        <v>183</v>
      </c>
      <c r="P277">
        <v>43056.87</v>
      </c>
      <c r="Q277" s="4" t="s">
        <v>30</v>
      </c>
    </row>
    <row r="278" spans="1:17" x14ac:dyDescent="0.2">
      <c r="A278" s="4" t="s">
        <v>462</v>
      </c>
      <c r="B278">
        <v>277</v>
      </c>
      <c r="C278" s="4" t="s">
        <v>26</v>
      </c>
      <c r="D278" s="4" t="s">
        <v>38</v>
      </c>
      <c r="E278" s="4" t="s">
        <v>35</v>
      </c>
      <c r="F278" s="4" t="s">
        <v>1122</v>
      </c>
      <c r="G278">
        <v>7</v>
      </c>
      <c r="H278">
        <v>33</v>
      </c>
      <c r="I278" s="4" t="s">
        <v>199</v>
      </c>
      <c r="J278" s="4" t="s">
        <v>200</v>
      </c>
      <c r="K278" s="4" t="s">
        <v>179</v>
      </c>
      <c r="L278" s="4" t="s">
        <v>186</v>
      </c>
      <c r="M278" s="4" t="s">
        <v>195</v>
      </c>
      <c r="N278" s="4" t="s">
        <v>196</v>
      </c>
      <c r="O278" s="4" t="s">
        <v>189</v>
      </c>
      <c r="P278">
        <v>-1000</v>
      </c>
      <c r="Q278" s="4" t="s">
        <v>30</v>
      </c>
    </row>
    <row r="279" spans="1:17" x14ac:dyDescent="0.2">
      <c r="A279" s="4" t="s">
        <v>463</v>
      </c>
      <c r="B279">
        <v>278</v>
      </c>
      <c r="C279" s="4" t="s">
        <v>26</v>
      </c>
      <c r="D279" s="4" t="s">
        <v>38</v>
      </c>
      <c r="E279" s="4" t="s">
        <v>35</v>
      </c>
      <c r="F279" s="4" t="s">
        <v>1122</v>
      </c>
      <c r="G279">
        <v>7</v>
      </c>
      <c r="H279">
        <v>33</v>
      </c>
      <c r="I279" s="4" t="s">
        <v>199</v>
      </c>
      <c r="J279" s="4" t="s">
        <v>200</v>
      </c>
      <c r="K279" s="4" t="s">
        <v>179</v>
      </c>
      <c r="L279" s="4" t="s">
        <v>186</v>
      </c>
      <c r="M279" s="4" t="s">
        <v>195</v>
      </c>
      <c r="N279" s="4" t="s">
        <v>196</v>
      </c>
      <c r="O279" s="4" t="s">
        <v>183</v>
      </c>
      <c r="P279">
        <v>1000</v>
      </c>
      <c r="Q279" s="4" t="s">
        <v>30</v>
      </c>
    </row>
    <row r="280" spans="1:17" x14ac:dyDescent="0.2">
      <c r="A280" s="4" t="s">
        <v>464</v>
      </c>
      <c r="B280">
        <v>279</v>
      </c>
      <c r="C280" s="4" t="s">
        <v>26</v>
      </c>
      <c r="D280" s="4" t="s">
        <v>38</v>
      </c>
      <c r="E280" s="4" t="s">
        <v>35</v>
      </c>
      <c r="F280" s="4" t="s">
        <v>1122</v>
      </c>
      <c r="G280">
        <v>7</v>
      </c>
      <c r="H280">
        <v>33</v>
      </c>
      <c r="I280" s="4" t="s">
        <v>209</v>
      </c>
      <c r="J280" s="4" t="s">
        <v>210</v>
      </c>
      <c r="K280" s="4" t="s">
        <v>205</v>
      </c>
      <c r="L280" s="4" t="s">
        <v>211</v>
      </c>
      <c r="M280" s="4" t="s">
        <v>182</v>
      </c>
      <c r="N280" s="4" t="s">
        <v>182</v>
      </c>
      <c r="O280" s="4" t="s">
        <v>183</v>
      </c>
      <c r="P280">
        <v>15407.71</v>
      </c>
      <c r="Q280" s="4" t="s">
        <v>30</v>
      </c>
    </row>
    <row r="281" spans="1:17" x14ac:dyDescent="0.2">
      <c r="A281" s="4" t="s">
        <v>465</v>
      </c>
      <c r="B281">
        <v>280</v>
      </c>
      <c r="C281" s="4" t="s">
        <v>26</v>
      </c>
      <c r="D281" s="4" t="s">
        <v>38</v>
      </c>
      <c r="E281" s="4" t="s">
        <v>35</v>
      </c>
      <c r="F281" s="4" t="s">
        <v>1122</v>
      </c>
      <c r="G281">
        <v>7</v>
      </c>
      <c r="H281">
        <v>33</v>
      </c>
      <c r="I281" s="4" t="s">
        <v>203</v>
      </c>
      <c r="J281" s="4" t="s">
        <v>204</v>
      </c>
      <c r="K281" s="4" t="s">
        <v>205</v>
      </c>
      <c r="L281" s="4" t="s">
        <v>206</v>
      </c>
      <c r="M281" s="4" t="s">
        <v>182</v>
      </c>
      <c r="N281" s="4" t="s">
        <v>182</v>
      </c>
      <c r="O281" s="4" t="s">
        <v>183</v>
      </c>
      <c r="P281">
        <v>300</v>
      </c>
      <c r="Q281" s="4" t="s">
        <v>30</v>
      </c>
    </row>
    <row r="282" spans="1:17" x14ac:dyDescent="0.2">
      <c r="A282" s="4" t="s">
        <v>466</v>
      </c>
      <c r="B282">
        <v>281</v>
      </c>
      <c r="C282" s="4" t="s">
        <v>26</v>
      </c>
      <c r="D282" s="4" t="s">
        <v>38</v>
      </c>
      <c r="E282" s="4" t="s">
        <v>35</v>
      </c>
      <c r="F282" s="4" t="s">
        <v>1122</v>
      </c>
      <c r="G282">
        <v>7</v>
      </c>
      <c r="H282">
        <v>33</v>
      </c>
      <c r="I282" s="4" t="s">
        <v>201</v>
      </c>
      <c r="J282" s="4" t="s">
        <v>202</v>
      </c>
      <c r="K282" s="4" t="s">
        <v>179</v>
      </c>
      <c r="L282" s="4" t="s">
        <v>180</v>
      </c>
      <c r="M282" s="4" t="s">
        <v>192</v>
      </c>
      <c r="N282" s="4" t="s">
        <v>182</v>
      </c>
      <c r="O282" s="4" t="s">
        <v>189</v>
      </c>
      <c r="P282">
        <v>-15407.71</v>
      </c>
      <c r="Q282" s="4" t="s">
        <v>30</v>
      </c>
    </row>
    <row r="283" spans="1:17" x14ac:dyDescent="0.2">
      <c r="A283" s="4" t="s">
        <v>467</v>
      </c>
      <c r="B283">
        <v>282</v>
      </c>
      <c r="C283" s="4" t="s">
        <v>26</v>
      </c>
      <c r="D283" s="4" t="s">
        <v>38</v>
      </c>
      <c r="E283" s="4" t="s">
        <v>35</v>
      </c>
      <c r="F283" s="4" t="s">
        <v>1122</v>
      </c>
      <c r="G283">
        <v>7</v>
      </c>
      <c r="H283">
        <v>33</v>
      </c>
      <c r="I283" s="4" t="s">
        <v>201</v>
      </c>
      <c r="J283" s="4" t="s">
        <v>202</v>
      </c>
      <c r="K283" s="4" t="s">
        <v>179</v>
      </c>
      <c r="L283" s="4" t="s">
        <v>180</v>
      </c>
      <c r="M283" s="4" t="s">
        <v>192</v>
      </c>
      <c r="N283" s="4" t="s">
        <v>182</v>
      </c>
      <c r="O283" s="4" t="s">
        <v>183</v>
      </c>
      <c r="P283">
        <v>44056.87</v>
      </c>
      <c r="Q283" s="4" t="s">
        <v>30</v>
      </c>
    </row>
    <row r="284" spans="1:17" x14ac:dyDescent="0.2">
      <c r="A284" s="4" t="s">
        <v>468</v>
      </c>
      <c r="B284">
        <v>283</v>
      </c>
      <c r="C284" s="4" t="s">
        <v>26</v>
      </c>
      <c r="D284" s="4" t="s">
        <v>38</v>
      </c>
      <c r="E284" s="4" t="s">
        <v>35</v>
      </c>
      <c r="F284" s="4" t="s">
        <v>1122</v>
      </c>
      <c r="G284">
        <v>7</v>
      </c>
      <c r="H284">
        <v>33</v>
      </c>
      <c r="I284" s="4" t="s">
        <v>212</v>
      </c>
      <c r="J284" s="4" t="s">
        <v>213</v>
      </c>
      <c r="K284" s="4" t="s">
        <v>205</v>
      </c>
      <c r="L284" s="4" t="s">
        <v>214</v>
      </c>
      <c r="M284" s="4" t="s">
        <v>182</v>
      </c>
      <c r="N284" s="4" t="s">
        <v>182</v>
      </c>
      <c r="O284" s="4" t="s">
        <v>189</v>
      </c>
      <c r="P284">
        <v>-17810.27</v>
      </c>
      <c r="Q284" s="4" t="s">
        <v>30</v>
      </c>
    </row>
    <row r="285" spans="1:17" x14ac:dyDescent="0.2">
      <c r="A285" s="4" t="s">
        <v>469</v>
      </c>
      <c r="B285">
        <v>284</v>
      </c>
      <c r="C285" s="4" t="s">
        <v>26</v>
      </c>
      <c r="D285" s="4" t="s">
        <v>38</v>
      </c>
      <c r="E285" s="4" t="s">
        <v>38</v>
      </c>
      <c r="F285" s="4" t="s">
        <v>1151</v>
      </c>
      <c r="G285">
        <v>7</v>
      </c>
      <c r="H285">
        <v>34</v>
      </c>
      <c r="I285" s="4" t="s">
        <v>190</v>
      </c>
      <c r="J285" s="4" t="s">
        <v>191</v>
      </c>
      <c r="K285" s="4" t="s">
        <v>179</v>
      </c>
      <c r="L285" s="4" t="s">
        <v>180</v>
      </c>
      <c r="M285" s="4" t="s">
        <v>192</v>
      </c>
      <c r="N285" s="4" t="s">
        <v>182</v>
      </c>
      <c r="O285" s="4" t="s">
        <v>189</v>
      </c>
      <c r="P285">
        <v>-300</v>
      </c>
      <c r="Q285" s="4" t="s">
        <v>30</v>
      </c>
    </row>
    <row r="286" spans="1:17" x14ac:dyDescent="0.2">
      <c r="A286" s="4" t="s">
        <v>470</v>
      </c>
      <c r="B286">
        <v>285</v>
      </c>
      <c r="C286" s="4" t="s">
        <v>26</v>
      </c>
      <c r="D286" s="4" t="s">
        <v>38</v>
      </c>
      <c r="E286" s="4" t="s">
        <v>38</v>
      </c>
      <c r="F286" s="4" t="s">
        <v>1151</v>
      </c>
      <c r="G286">
        <v>7</v>
      </c>
      <c r="H286">
        <v>34</v>
      </c>
      <c r="I286" s="4" t="s">
        <v>190</v>
      </c>
      <c r="J286" s="4" t="s">
        <v>191</v>
      </c>
      <c r="K286" s="4" t="s">
        <v>179</v>
      </c>
      <c r="L286" s="4" t="s">
        <v>180</v>
      </c>
      <c r="M286" s="4" t="s">
        <v>192</v>
      </c>
      <c r="N286" s="4" t="s">
        <v>182</v>
      </c>
      <c r="O286" s="4" t="s">
        <v>183</v>
      </c>
      <c r="P286">
        <v>13940.87</v>
      </c>
      <c r="Q286" s="4" t="s">
        <v>30</v>
      </c>
    </row>
    <row r="287" spans="1:17" x14ac:dyDescent="0.2">
      <c r="A287" s="4" t="s">
        <v>471</v>
      </c>
      <c r="B287">
        <v>286</v>
      </c>
      <c r="C287" s="4" t="s">
        <v>26</v>
      </c>
      <c r="D287" s="4" t="s">
        <v>38</v>
      </c>
      <c r="E287" s="4" t="s">
        <v>38</v>
      </c>
      <c r="F287" s="4" t="s">
        <v>1151</v>
      </c>
      <c r="G287">
        <v>7</v>
      </c>
      <c r="H287">
        <v>34</v>
      </c>
      <c r="I287" s="4" t="s">
        <v>207</v>
      </c>
      <c r="J287" s="4" t="s">
        <v>208</v>
      </c>
      <c r="K287" s="4" t="s">
        <v>179</v>
      </c>
      <c r="L287" s="4" t="s">
        <v>180</v>
      </c>
      <c r="M287" s="4" t="s">
        <v>192</v>
      </c>
      <c r="N287" s="4" t="s">
        <v>182</v>
      </c>
      <c r="O287" s="4" t="s">
        <v>189</v>
      </c>
      <c r="P287">
        <v>-13940.87</v>
      </c>
      <c r="Q287" s="4" t="s">
        <v>30</v>
      </c>
    </row>
    <row r="288" spans="1:17" x14ac:dyDescent="0.2">
      <c r="A288" s="4" t="s">
        <v>472</v>
      </c>
      <c r="B288">
        <v>287</v>
      </c>
      <c r="C288" s="4" t="s">
        <v>26</v>
      </c>
      <c r="D288" s="4" t="s">
        <v>38</v>
      </c>
      <c r="E288" s="4" t="s">
        <v>38</v>
      </c>
      <c r="F288" s="4" t="s">
        <v>1151</v>
      </c>
      <c r="G288">
        <v>7</v>
      </c>
      <c r="H288">
        <v>34</v>
      </c>
      <c r="I288" s="4" t="s">
        <v>207</v>
      </c>
      <c r="J288" s="4" t="s">
        <v>208</v>
      </c>
      <c r="K288" s="4" t="s">
        <v>179</v>
      </c>
      <c r="L288" s="4" t="s">
        <v>180</v>
      </c>
      <c r="M288" s="4" t="s">
        <v>192</v>
      </c>
      <c r="N288" s="4" t="s">
        <v>182</v>
      </c>
      <c r="O288" s="4" t="s">
        <v>183</v>
      </c>
      <c r="P288">
        <v>13452.29</v>
      </c>
      <c r="Q288" s="4" t="s">
        <v>30</v>
      </c>
    </row>
    <row r="289" spans="1:17" x14ac:dyDescent="0.2">
      <c r="A289" s="4" t="s">
        <v>473</v>
      </c>
      <c r="B289">
        <v>288</v>
      </c>
      <c r="C289" s="4" t="s">
        <v>26</v>
      </c>
      <c r="D289" s="4" t="s">
        <v>38</v>
      </c>
      <c r="E289" s="4" t="s">
        <v>38</v>
      </c>
      <c r="F289" s="4" t="s">
        <v>1151</v>
      </c>
      <c r="G289">
        <v>7</v>
      </c>
      <c r="H289">
        <v>34</v>
      </c>
      <c r="I289" s="4" t="s">
        <v>209</v>
      </c>
      <c r="J289" s="4" t="s">
        <v>210</v>
      </c>
      <c r="K289" s="4" t="s">
        <v>205</v>
      </c>
      <c r="L289" s="4" t="s">
        <v>211</v>
      </c>
      <c r="M289" s="4" t="s">
        <v>182</v>
      </c>
      <c r="N289" s="4" t="s">
        <v>182</v>
      </c>
      <c r="O289" s="4" t="s">
        <v>183</v>
      </c>
      <c r="P289">
        <v>12166.24</v>
      </c>
      <c r="Q289" s="4" t="s">
        <v>30</v>
      </c>
    </row>
    <row r="290" spans="1:17" x14ac:dyDescent="0.2">
      <c r="A290" s="4" t="s">
        <v>474</v>
      </c>
      <c r="B290">
        <v>289</v>
      </c>
      <c r="C290" s="4" t="s">
        <v>26</v>
      </c>
      <c r="D290" s="4" t="s">
        <v>38</v>
      </c>
      <c r="E290" s="4" t="s">
        <v>38</v>
      </c>
      <c r="F290" s="4" t="s">
        <v>1151</v>
      </c>
      <c r="G290">
        <v>7</v>
      </c>
      <c r="H290">
        <v>34</v>
      </c>
      <c r="I290" s="4" t="s">
        <v>203</v>
      </c>
      <c r="J290" s="4" t="s">
        <v>204</v>
      </c>
      <c r="K290" s="4" t="s">
        <v>205</v>
      </c>
      <c r="L290" s="4" t="s">
        <v>206</v>
      </c>
      <c r="M290" s="4" t="s">
        <v>182</v>
      </c>
      <c r="N290" s="4" t="s">
        <v>182</v>
      </c>
      <c r="O290" s="4" t="s">
        <v>183</v>
      </c>
      <c r="P290">
        <v>300</v>
      </c>
      <c r="Q290" s="4" t="s">
        <v>30</v>
      </c>
    </row>
    <row r="291" spans="1:17" x14ac:dyDescent="0.2">
      <c r="A291" s="4" t="s">
        <v>475</v>
      </c>
      <c r="B291">
        <v>290</v>
      </c>
      <c r="C291" s="4" t="s">
        <v>26</v>
      </c>
      <c r="D291" s="4" t="s">
        <v>38</v>
      </c>
      <c r="E291" s="4" t="s">
        <v>38</v>
      </c>
      <c r="F291" s="4" t="s">
        <v>1151</v>
      </c>
      <c r="G291">
        <v>7</v>
      </c>
      <c r="H291">
        <v>34</v>
      </c>
      <c r="I291" s="4" t="s">
        <v>201</v>
      </c>
      <c r="J291" s="4" t="s">
        <v>202</v>
      </c>
      <c r="K291" s="4" t="s">
        <v>179</v>
      </c>
      <c r="L291" s="4" t="s">
        <v>180</v>
      </c>
      <c r="M291" s="4" t="s">
        <v>192</v>
      </c>
      <c r="N291" s="4" t="s">
        <v>182</v>
      </c>
      <c r="O291" s="4" t="s">
        <v>189</v>
      </c>
      <c r="P291">
        <v>-12166.24</v>
      </c>
      <c r="Q291" s="4" t="s">
        <v>30</v>
      </c>
    </row>
    <row r="292" spans="1:17" x14ac:dyDescent="0.2">
      <c r="A292" s="4" t="s">
        <v>476</v>
      </c>
      <c r="B292">
        <v>291</v>
      </c>
      <c r="C292" s="4" t="s">
        <v>26</v>
      </c>
      <c r="D292" s="4" t="s">
        <v>38</v>
      </c>
      <c r="E292" s="4" t="s">
        <v>38</v>
      </c>
      <c r="F292" s="4" t="s">
        <v>1151</v>
      </c>
      <c r="G292">
        <v>7</v>
      </c>
      <c r="H292">
        <v>34</v>
      </c>
      <c r="I292" s="4" t="s">
        <v>212</v>
      </c>
      <c r="J292" s="4" t="s">
        <v>213</v>
      </c>
      <c r="K292" s="4" t="s">
        <v>205</v>
      </c>
      <c r="L292" s="4" t="s">
        <v>214</v>
      </c>
      <c r="M292" s="4" t="s">
        <v>182</v>
      </c>
      <c r="N292" s="4" t="s">
        <v>182</v>
      </c>
      <c r="O292" s="4" t="s">
        <v>189</v>
      </c>
      <c r="P292">
        <v>-13452.29</v>
      </c>
      <c r="Q292" s="4" t="s">
        <v>30</v>
      </c>
    </row>
    <row r="293" spans="1:17" x14ac:dyDescent="0.2">
      <c r="A293" s="4" t="s">
        <v>477</v>
      </c>
      <c r="B293">
        <v>292</v>
      </c>
      <c r="C293" s="4" t="s">
        <v>26</v>
      </c>
      <c r="D293" s="4" t="s">
        <v>38</v>
      </c>
      <c r="E293" s="4" t="s">
        <v>41</v>
      </c>
      <c r="F293" s="4" t="s">
        <v>1180</v>
      </c>
      <c r="G293">
        <v>7</v>
      </c>
      <c r="H293">
        <v>35</v>
      </c>
      <c r="I293" s="4" t="s">
        <v>190</v>
      </c>
      <c r="J293" s="4" t="s">
        <v>191</v>
      </c>
      <c r="K293" s="4" t="s">
        <v>179</v>
      </c>
      <c r="L293" s="4" t="s">
        <v>180</v>
      </c>
      <c r="M293" s="4" t="s">
        <v>192</v>
      </c>
      <c r="N293" s="4" t="s">
        <v>182</v>
      </c>
      <c r="O293" s="4" t="s">
        <v>189</v>
      </c>
      <c r="P293">
        <v>-300</v>
      </c>
      <c r="Q293" s="4" t="s">
        <v>30</v>
      </c>
    </row>
    <row r="294" spans="1:17" x14ac:dyDescent="0.2">
      <c r="A294" s="4" t="s">
        <v>478</v>
      </c>
      <c r="B294">
        <v>293</v>
      </c>
      <c r="C294" s="4" t="s">
        <v>26</v>
      </c>
      <c r="D294" s="4" t="s">
        <v>38</v>
      </c>
      <c r="E294" s="4" t="s">
        <v>41</v>
      </c>
      <c r="F294" s="4" t="s">
        <v>1180</v>
      </c>
      <c r="G294">
        <v>7</v>
      </c>
      <c r="H294">
        <v>35</v>
      </c>
      <c r="I294" s="4" t="s">
        <v>190</v>
      </c>
      <c r="J294" s="4" t="s">
        <v>191</v>
      </c>
      <c r="K294" s="4" t="s">
        <v>179</v>
      </c>
      <c r="L294" s="4" t="s">
        <v>180</v>
      </c>
      <c r="M294" s="4" t="s">
        <v>192</v>
      </c>
      <c r="N294" s="4" t="s">
        <v>182</v>
      </c>
      <c r="O294" s="4" t="s">
        <v>183</v>
      </c>
      <c r="P294">
        <v>27329.88</v>
      </c>
      <c r="Q294" s="4" t="s">
        <v>30</v>
      </c>
    </row>
    <row r="295" spans="1:17" x14ac:dyDescent="0.2">
      <c r="A295" s="4" t="s">
        <v>479</v>
      </c>
      <c r="B295">
        <v>294</v>
      </c>
      <c r="C295" s="4" t="s">
        <v>26</v>
      </c>
      <c r="D295" s="4" t="s">
        <v>38</v>
      </c>
      <c r="E295" s="4" t="s">
        <v>41</v>
      </c>
      <c r="F295" s="4" t="s">
        <v>1180</v>
      </c>
      <c r="G295">
        <v>7</v>
      </c>
      <c r="H295">
        <v>35</v>
      </c>
      <c r="I295" s="4" t="s">
        <v>207</v>
      </c>
      <c r="J295" s="4" t="s">
        <v>208</v>
      </c>
      <c r="K295" s="4" t="s">
        <v>179</v>
      </c>
      <c r="L295" s="4" t="s">
        <v>180</v>
      </c>
      <c r="M295" s="4" t="s">
        <v>192</v>
      </c>
      <c r="N295" s="4" t="s">
        <v>182</v>
      </c>
      <c r="O295" s="4" t="s">
        <v>189</v>
      </c>
      <c r="P295">
        <v>-27329.88</v>
      </c>
      <c r="Q295" s="4" t="s">
        <v>30</v>
      </c>
    </row>
    <row r="296" spans="1:17" x14ac:dyDescent="0.2">
      <c r="A296" s="4" t="s">
        <v>480</v>
      </c>
      <c r="B296">
        <v>295</v>
      </c>
      <c r="C296" s="4" t="s">
        <v>26</v>
      </c>
      <c r="D296" s="4" t="s">
        <v>38</v>
      </c>
      <c r="E296" s="4" t="s">
        <v>41</v>
      </c>
      <c r="F296" s="4" t="s">
        <v>1180</v>
      </c>
      <c r="G296">
        <v>7</v>
      </c>
      <c r="H296">
        <v>35</v>
      </c>
      <c r="I296" s="4" t="s">
        <v>207</v>
      </c>
      <c r="J296" s="4" t="s">
        <v>208</v>
      </c>
      <c r="K296" s="4" t="s">
        <v>179</v>
      </c>
      <c r="L296" s="4" t="s">
        <v>180</v>
      </c>
      <c r="M296" s="4" t="s">
        <v>192</v>
      </c>
      <c r="N296" s="4" t="s">
        <v>182</v>
      </c>
      <c r="O296" s="4" t="s">
        <v>183</v>
      </c>
      <c r="P296">
        <v>15015.23</v>
      </c>
      <c r="Q296" s="4" t="s">
        <v>30</v>
      </c>
    </row>
    <row r="297" spans="1:17" x14ac:dyDescent="0.2">
      <c r="A297" s="4" t="s">
        <v>481</v>
      </c>
      <c r="B297">
        <v>296</v>
      </c>
      <c r="C297" s="4" t="s">
        <v>26</v>
      </c>
      <c r="D297" s="4" t="s">
        <v>38</v>
      </c>
      <c r="E297" s="4" t="s">
        <v>41</v>
      </c>
      <c r="F297" s="4" t="s">
        <v>1180</v>
      </c>
      <c r="G297">
        <v>7</v>
      </c>
      <c r="H297">
        <v>35</v>
      </c>
      <c r="I297" s="4" t="s">
        <v>209</v>
      </c>
      <c r="J297" s="4" t="s">
        <v>210</v>
      </c>
      <c r="K297" s="4" t="s">
        <v>205</v>
      </c>
      <c r="L297" s="4" t="s">
        <v>211</v>
      </c>
      <c r="M297" s="4" t="s">
        <v>182</v>
      </c>
      <c r="N297" s="4" t="s">
        <v>182</v>
      </c>
      <c r="O297" s="4" t="s">
        <v>183</v>
      </c>
      <c r="P297">
        <v>12739.36</v>
      </c>
      <c r="Q297" s="4" t="s">
        <v>30</v>
      </c>
    </row>
    <row r="298" spans="1:17" x14ac:dyDescent="0.2">
      <c r="A298" s="4" t="s">
        <v>482</v>
      </c>
      <c r="B298">
        <v>297</v>
      </c>
      <c r="C298" s="4" t="s">
        <v>26</v>
      </c>
      <c r="D298" s="4" t="s">
        <v>38</v>
      </c>
      <c r="E298" s="4" t="s">
        <v>41</v>
      </c>
      <c r="F298" s="4" t="s">
        <v>1180</v>
      </c>
      <c r="G298">
        <v>7</v>
      </c>
      <c r="H298">
        <v>35</v>
      </c>
      <c r="I298" s="4" t="s">
        <v>203</v>
      </c>
      <c r="J298" s="4" t="s">
        <v>204</v>
      </c>
      <c r="K298" s="4" t="s">
        <v>205</v>
      </c>
      <c r="L298" s="4" t="s">
        <v>206</v>
      </c>
      <c r="M298" s="4" t="s">
        <v>182</v>
      </c>
      <c r="N298" s="4" t="s">
        <v>182</v>
      </c>
      <c r="O298" s="4" t="s">
        <v>183</v>
      </c>
      <c r="P298">
        <v>300</v>
      </c>
      <c r="Q298" s="4" t="s">
        <v>30</v>
      </c>
    </row>
    <row r="299" spans="1:17" x14ac:dyDescent="0.2">
      <c r="A299" s="4" t="s">
        <v>483</v>
      </c>
      <c r="B299">
        <v>298</v>
      </c>
      <c r="C299" s="4" t="s">
        <v>26</v>
      </c>
      <c r="D299" s="4" t="s">
        <v>38</v>
      </c>
      <c r="E299" s="4" t="s">
        <v>41</v>
      </c>
      <c r="F299" s="4" t="s">
        <v>1180</v>
      </c>
      <c r="G299">
        <v>7</v>
      </c>
      <c r="H299">
        <v>35</v>
      </c>
      <c r="I299" s="4" t="s">
        <v>201</v>
      </c>
      <c r="J299" s="4" t="s">
        <v>202</v>
      </c>
      <c r="K299" s="4" t="s">
        <v>179</v>
      </c>
      <c r="L299" s="4" t="s">
        <v>180</v>
      </c>
      <c r="M299" s="4" t="s">
        <v>192</v>
      </c>
      <c r="N299" s="4" t="s">
        <v>182</v>
      </c>
      <c r="O299" s="4" t="s">
        <v>189</v>
      </c>
      <c r="P299">
        <v>-12739.36</v>
      </c>
      <c r="Q299" s="4" t="s">
        <v>30</v>
      </c>
    </row>
    <row r="300" spans="1:17" x14ac:dyDescent="0.2">
      <c r="A300" s="4" t="s">
        <v>484</v>
      </c>
      <c r="B300">
        <v>299</v>
      </c>
      <c r="C300" s="4" t="s">
        <v>26</v>
      </c>
      <c r="D300" s="4" t="s">
        <v>38</v>
      </c>
      <c r="E300" s="4" t="s">
        <v>41</v>
      </c>
      <c r="F300" s="4" t="s">
        <v>1180</v>
      </c>
      <c r="G300">
        <v>7</v>
      </c>
      <c r="H300">
        <v>35</v>
      </c>
      <c r="I300" s="4" t="s">
        <v>212</v>
      </c>
      <c r="J300" s="4" t="s">
        <v>213</v>
      </c>
      <c r="K300" s="4" t="s">
        <v>205</v>
      </c>
      <c r="L300" s="4" t="s">
        <v>214</v>
      </c>
      <c r="M300" s="4" t="s">
        <v>182</v>
      </c>
      <c r="N300" s="4" t="s">
        <v>182</v>
      </c>
      <c r="O300" s="4" t="s">
        <v>189</v>
      </c>
      <c r="P300">
        <v>-15015.23</v>
      </c>
      <c r="Q300" s="4" t="s">
        <v>30</v>
      </c>
    </row>
    <row r="301" spans="1:17" x14ac:dyDescent="0.2">
      <c r="A301" s="4" t="s">
        <v>485</v>
      </c>
      <c r="B301">
        <v>300</v>
      </c>
      <c r="C301" s="4" t="s">
        <v>26</v>
      </c>
      <c r="D301" s="4" t="s">
        <v>38</v>
      </c>
      <c r="E301" s="4" t="s">
        <v>44</v>
      </c>
      <c r="F301" s="4" t="s">
        <v>1210</v>
      </c>
      <c r="G301">
        <v>8</v>
      </c>
      <c r="H301">
        <v>36</v>
      </c>
      <c r="I301" s="4" t="s">
        <v>190</v>
      </c>
      <c r="J301" s="4" t="s">
        <v>191</v>
      </c>
      <c r="K301" s="4" t="s">
        <v>179</v>
      </c>
      <c r="L301" s="4" t="s">
        <v>180</v>
      </c>
      <c r="M301" s="4" t="s">
        <v>192</v>
      </c>
      <c r="N301" s="4" t="s">
        <v>182</v>
      </c>
      <c r="O301" s="4" t="s">
        <v>189</v>
      </c>
      <c r="P301">
        <v>-300</v>
      </c>
      <c r="Q301" s="4" t="s">
        <v>30</v>
      </c>
    </row>
    <row r="302" spans="1:17" x14ac:dyDescent="0.2">
      <c r="A302" s="4" t="s">
        <v>486</v>
      </c>
      <c r="B302">
        <v>301</v>
      </c>
      <c r="C302" s="4" t="s">
        <v>26</v>
      </c>
      <c r="D302" s="4" t="s">
        <v>38</v>
      </c>
      <c r="E302" s="4" t="s">
        <v>44</v>
      </c>
      <c r="F302" s="4" t="s">
        <v>1210</v>
      </c>
      <c r="G302">
        <v>8</v>
      </c>
      <c r="H302">
        <v>36</v>
      </c>
      <c r="I302" s="4" t="s">
        <v>190</v>
      </c>
      <c r="J302" s="4" t="s">
        <v>191</v>
      </c>
      <c r="K302" s="4" t="s">
        <v>179</v>
      </c>
      <c r="L302" s="4" t="s">
        <v>180</v>
      </c>
      <c r="M302" s="4" t="s">
        <v>192</v>
      </c>
      <c r="N302" s="4" t="s">
        <v>182</v>
      </c>
      <c r="O302" s="4" t="s">
        <v>183</v>
      </c>
      <c r="P302">
        <v>12453.65</v>
      </c>
      <c r="Q302" s="4" t="s">
        <v>30</v>
      </c>
    </row>
    <row r="303" spans="1:17" x14ac:dyDescent="0.2">
      <c r="A303" s="4" t="s">
        <v>487</v>
      </c>
      <c r="B303">
        <v>302</v>
      </c>
      <c r="C303" s="4" t="s">
        <v>26</v>
      </c>
      <c r="D303" s="4" t="s">
        <v>38</v>
      </c>
      <c r="E303" s="4" t="s">
        <v>44</v>
      </c>
      <c r="F303" s="4" t="s">
        <v>1210</v>
      </c>
      <c r="G303">
        <v>8</v>
      </c>
      <c r="H303">
        <v>36</v>
      </c>
      <c r="I303" s="4" t="s">
        <v>207</v>
      </c>
      <c r="J303" s="4" t="s">
        <v>208</v>
      </c>
      <c r="K303" s="4" t="s">
        <v>179</v>
      </c>
      <c r="L303" s="4" t="s">
        <v>180</v>
      </c>
      <c r="M303" s="4" t="s">
        <v>192</v>
      </c>
      <c r="N303" s="4" t="s">
        <v>182</v>
      </c>
      <c r="O303" s="4" t="s">
        <v>189</v>
      </c>
      <c r="P303">
        <v>-12453.65</v>
      </c>
      <c r="Q303" s="4" t="s">
        <v>30</v>
      </c>
    </row>
    <row r="304" spans="1:17" x14ac:dyDescent="0.2">
      <c r="A304" s="4" t="s">
        <v>488</v>
      </c>
      <c r="B304">
        <v>303</v>
      </c>
      <c r="C304" s="4" t="s">
        <v>26</v>
      </c>
      <c r="D304" s="4" t="s">
        <v>38</v>
      </c>
      <c r="E304" s="4" t="s">
        <v>44</v>
      </c>
      <c r="F304" s="4" t="s">
        <v>1210</v>
      </c>
      <c r="G304">
        <v>8</v>
      </c>
      <c r="H304">
        <v>36</v>
      </c>
      <c r="I304" s="4" t="s">
        <v>207</v>
      </c>
      <c r="J304" s="4" t="s">
        <v>208</v>
      </c>
      <c r="K304" s="4" t="s">
        <v>179</v>
      </c>
      <c r="L304" s="4" t="s">
        <v>180</v>
      </c>
      <c r="M304" s="4" t="s">
        <v>192</v>
      </c>
      <c r="N304" s="4" t="s">
        <v>182</v>
      </c>
      <c r="O304" s="4" t="s">
        <v>183</v>
      </c>
      <c r="P304">
        <v>17738.169999999998</v>
      </c>
      <c r="Q304" s="4" t="s">
        <v>30</v>
      </c>
    </row>
    <row r="305" spans="1:17" x14ac:dyDescent="0.2">
      <c r="A305" s="4" t="s">
        <v>489</v>
      </c>
      <c r="B305">
        <v>304</v>
      </c>
      <c r="C305" s="4" t="s">
        <v>26</v>
      </c>
      <c r="D305" s="4" t="s">
        <v>38</v>
      </c>
      <c r="E305" s="4" t="s">
        <v>44</v>
      </c>
      <c r="F305" s="4" t="s">
        <v>1210</v>
      </c>
      <c r="G305">
        <v>8</v>
      </c>
      <c r="H305">
        <v>36</v>
      </c>
      <c r="I305" s="4" t="s">
        <v>209</v>
      </c>
      <c r="J305" s="4" t="s">
        <v>210</v>
      </c>
      <c r="K305" s="4" t="s">
        <v>205</v>
      </c>
      <c r="L305" s="4" t="s">
        <v>211</v>
      </c>
      <c r="M305" s="4" t="s">
        <v>182</v>
      </c>
      <c r="N305" s="4" t="s">
        <v>182</v>
      </c>
      <c r="O305" s="4" t="s">
        <v>183</v>
      </c>
      <c r="P305">
        <v>15807.68</v>
      </c>
      <c r="Q305" s="4" t="s">
        <v>30</v>
      </c>
    </row>
    <row r="306" spans="1:17" x14ac:dyDescent="0.2">
      <c r="A306" s="4" t="s">
        <v>490</v>
      </c>
      <c r="B306">
        <v>305</v>
      </c>
      <c r="C306" s="4" t="s">
        <v>26</v>
      </c>
      <c r="D306" s="4" t="s">
        <v>38</v>
      </c>
      <c r="E306" s="4" t="s">
        <v>44</v>
      </c>
      <c r="F306" s="4" t="s">
        <v>1210</v>
      </c>
      <c r="G306">
        <v>8</v>
      </c>
      <c r="H306">
        <v>36</v>
      </c>
      <c r="I306" s="4" t="s">
        <v>203</v>
      </c>
      <c r="J306" s="4" t="s">
        <v>204</v>
      </c>
      <c r="K306" s="4" t="s">
        <v>205</v>
      </c>
      <c r="L306" s="4" t="s">
        <v>206</v>
      </c>
      <c r="M306" s="4" t="s">
        <v>182</v>
      </c>
      <c r="N306" s="4" t="s">
        <v>182</v>
      </c>
      <c r="O306" s="4" t="s">
        <v>183</v>
      </c>
      <c r="P306">
        <v>300</v>
      </c>
      <c r="Q306" s="4" t="s">
        <v>30</v>
      </c>
    </row>
    <row r="307" spans="1:17" x14ac:dyDescent="0.2">
      <c r="A307" s="4" t="s">
        <v>491</v>
      </c>
      <c r="B307">
        <v>306</v>
      </c>
      <c r="C307" s="4" t="s">
        <v>26</v>
      </c>
      <c r="D307" s="4" t="s">
        <v>38</v>
      </c>
      <c r="E307" s="4" t="s">
        <v>44</v>
      </c>
      <c r="F307" s="4" t="s">
        <v>1210</v>
      </c>
      <c r="G307">
        <v>8</v>
      </c>
      <c r="H307">
        <v>36</v>
      </c>
      <c r="I307" s="4" t="s">
        <v>201</v>
      </c>
      <c r="J307" s="4" t="s">
        <v>202</v>
      </c>
      <c r="K307" s="4" t="s">
        <v>179</v>
      </c>
      <c r="L307" s="4" t="s">
        <v>180</v>
      </c>
      <c r="M307" s="4" t="s">
        <v>192</v>
      </c>
      <c r="N307" s="4" t="s">
        <v>182</v>
      </c>
      <c r="O307" s="4" t="s">
        <v>189</v>
      </c>
      <c r="P307">
        <v>-15807.68</v>
      </c>
      <c r="Q307" s="4" t="s">
        <v>30</v>
      </c>
    </row>
    <row r="308" spans="1:17" x14ac:dyDescent="0.2">
      <c r="A308" s="4" t="s">
        <v>492</v>
      </c>
      <c r="B308">
        <v>307</v>
      </c>
      <c r="C308" s="4" t="s">
        <v>26</v>
      </c>
      <c r="D308" s="4" t="s">
        <v>38</v>
      </c>
      <c r="E308" s="4" t="s">
        <v>44</v>
      </c>
      <c r="F308" s="4" t="s">
        <v>1210</v>
      </c>
      <c r="G308">
        <v>8</v>
      </c>
      <c r="H308">
        <v>36</v>
      </c>
      <c r="I308" s="4" t="s">
        <v>212</v>
      </c>
      <c r="J308" s="4" t="s">
        <v>213</v>
      </c>
      <c r="K308" s="4" t="s">
        <v>205</v>
      </c>
      <c r="L308" s="4" t="s">
        <v>214</v>
      </c>
      <c r="M308" s="4" t="s">
        <v>182</v>
      </c>
      <c r="N308" s="4" t="s">
        <v>182</v>
      </c>
      <c r="O308" s="4" t="s">
        <v>189</v>
      </c>
      <c r="P308">
        <v>-17738.169999999998</v>
      </c>
      <c r="Q308" s="4" t="s">
        <v>30</v>
      </c>
    </row>
    <row r="309" spans="1:17" x14ac:dyDescent="0.2">
      <c r="A309" s="4" t="s">
        <v>493</v>
      </c>
      <c r="B309">
        <v>308</v>
      </c>
      <c r="C309" s="4" t="s">
        <v>26</v>
      </c>
      <c r="D309" s="4" t="s">
        <v>38</v>
      </c>
      <c r="E309" s="4" t="s">
        <v>47</v>
      </c>
      <c r="F309" s="4" t="s">
        <v>1240</v>
      </c>
      <c r="G309">
        <v>8</v>
      </c>
      <c r="H309">
        <v>37</v>
      </c>
      <c r="I309" s="4" t="s">
        <v>190</v>
      </c>
      <c r="J309" s="4" t="s">
        <v>191</v>
      </c>
      <c r="K309" s="4" t="s">
        <v>179</v>
      </c>
      <c r="L309" s="4" t="s">
        <v>180</v>
      </c>
      <c r="M309" s="4" t="s">
        <v>192</v>
      </c>
      <c r="N309" s="4" t="s">
        <v>182</v>
      </c>
      <c r="O309" s="4" t="s">
        <v>189</v>
      </c>
      <c r="P309">
        <v>-200</v>
      </c>
      <c r="Q309" s="4" t="s">
        <v>30</v>
      </c>
    </row>
    <row r="310" spans="1:17" x14ac:dyDescent="0.2">
      <c r="A310" s="4" t="s">
        <v>494</v>
      </c>
      <c r="B310">
        <v>309</v>
      </c>
      <c r="C310" s="4" t="s">
        <v>26</v>
      </c>
      <c r="D310" s="4" t="s">
        <v>38</v>
      </c>
      <c r="E310" s="4" t="s">
        <v>47</v>
      </c>
      <c r="F310" s="4" t="s">
        <v>1240</v>
      </c>
      <c r="G310">
        <v>8</v>
      </c>
      <c r="H310">
        <v>37</v>
      </c>
      <c r="I310" s="4" t="s">
        <v>190</v>
      </c>
      <c r="J310" s="4" t="s">
        <v>191</v>
      </c>
      <c r="K310" s="4" t="s">
        <v>179</v>
      </c>
      <c r="L310" s="4" t="s">
        <v>180</v>
      </c>
      <c r="M310" s="4" t="s">
        <v>192</v>
      </c>
      <c r="N310" s="4" t="s">
        <v>182</v>
      </c>
      <c r="O310" s="4" t="s">
        <v>183</v>
      </c>
      <c r="P310">
        <v>17810.27</v>
      </c>
      <c r="Q310" s="4" t="s">
        <v>30</v>
      </c>
    </row>
    <row r="311" spans="1:17" x14ac:dyDescent="0.2">
      <c r="A311" s="4" t="s">
        <v>495</v>
      </c>
      <c r="B311">
        <v>310</v>
      </c>
      <c r="C311" s="4" t="s">
        <v>26</v>
      </c>
      <c r="D311" s="4" t="s">
        <v>38</v>
      </c>
      <c r="E311" s="4" t="s">
        <v>47</v>
      </c>
      <c r="F311" s="4" t="s">
        <v>1240</v>
      </c>
      <c r="G311">
        <v>8</v>
      </c>
      <c r="H311">
        <v>37</v>
      </c>
      <c r="I311" s="4" t="s">
        <v>207</v>
      </c>
      <c r="J311" s="4" t="s">
        <v>208</v>
      </c>
      <c r="K311" s="4" t="s">
        <v>179</v>
      </c>
      <c r="L311" s="4" t="s">
        <v>180</v>
      </c>
      <c r="M311" s="4" t="s">
        <v>192</v>
      </c>
      <c r="N311" s="4" t="s">
        <v>182</v>
      </c>
      <c r="O311" s="4" t="s">
        <v>189</v>
      </c>
      <c r="P311">
        <v>-17810.27</v>
      </c>
      <c r="Q311" s="4" t="s">
        <v>30</v>
      </c>
    </row>
    <row r="312" spans="1:17" x14ac:dyDescent="0.2">
      <c r="A312" s="4" t="s">
        <v>496</v>
      </c>
      <c r="B312">
        <v>311</v>
      </c>
      <c r="C312" s="4" t="s">
        <v>26</v>
      </c>
      <c r="D312" s="4" t="s">
        <v>38</v>
      </c>
      <c r="E312" s="4" t="s">
        <v>47</v>
      </c>
      <c r="F312" s="4" t="s">
        <v>1240</v>
      </c>
      <c r="G312">
        <v>8</v>
      </c>
      <c r="H312">
        <v>37</v>
      </c>
      <c r="I312" s="4" t="s">
        <v>207</v>
      </c>
      <c r="J312" s="4" t="s">
        <v>208</v>
      </c>
      <c r="K312" s="4" t="s">
        <v>179</v>
      </c>
      <c r="L312" s="4" t="s">
        <v>180</v>
      </c>
      <c r="M312" s="4" t="s">
        <v>192</v>
      </c>
      <c r="N312" s="4" t="s">
        <v>182</v>
      </c>
      <c r="O312" s="4" t="s">
        <v>183</v>
      </c>
      <c r="P312">
        <v>17790.63</v>
      </c>
      <c r="Q312" s="4" t="s">
        <v>30</v>
      </c>
    </row>
    <row r="313" spans="1:17" x14ac:dyDescent="0.2">
      <c r="A313" s="4" t="s">
        <v>497</v>
      </c>
      <c r="B313">
        <v>312</v>
      </c>
      <c r="C313" s="4" t="s">
        <v>26</v>
      </c>
      <c r="D313" s="4" t="s">
        <v>38</v>
      </c>
      <c r="E313" s="4" t="s">
        <v>47</v>
      </c>
      <c r="F313" s="4" t="s">
        <v>1240</v>
      </c>
      <c r="G313">
        <v>8</v>
      </c>
      <c r="H313">
        <v>37</v>
      </c>
      <c r="I313" s="4" t="s">
        <v>209</v>
      </c>
      <c r="J313" s="4" t="s">
        <v>210</v>
      </c>
      <c r="K313" s="4" t="s">
        <v>205</v>
      </c>
      <c r="L313" s="4" t="s">
        <v>211</v>
      </c>
      <c r="M313" s="4" t="s">
        <v>182</v>
      </c>
      <c r="N313" s="4" t="s">
        <v>182</v>
      </c>
      <c r="O313" s="4" t="s">
        <v>183</v>
      </c>
      <c r="P313">
        <v>15251.07</v>
      </c>
      <c r="Q313" s="4" t="s">
        <v>30</v>
      </c>
    </row>
    <row r="314" spans="1:17" x14ac:dyDescent="0.2">
      <c r="A314" s="4" t="s">
        <v>498</v>
      </c>
      <c r="B314">
        <v>313</v>
      </c>
      <c r="C314" s="4" t="s">
        <v>26</v>
      </c>
      <c r="D314" s="4" t="s">
        <v>38</v>
      </c>
      <c r="E314" s="4" t="s">
        <v>47</v>
      </c>
      <c r="F314" s="4" t="s">
        <v>1240</v>
      </c>
      <c r="G314">
        <v>8</v>
      </c>
      <c r="H314">
        <v>37</v>
      </c>
      <c r="I314" s="4" t="s">
        <v>203</v>
      </c>
      <c r="J314" s="4" t="s">
        <v>204</v>
      </c>
      <c r="K314" s="4" t="s">
        <v>205</v>
      </c>
      <c r="L314" s="4" t="s">
        <v>206</v>
      </c>
      <c r="M314" s="4" t="s">
        <v>182</v>
      </c>
      <c r="N314" s="4" t="s">
        <v>182</v>
      </c>
      <c r="O314" s="4" t="s">
        <v>183</v>
      </c>
      <c r="P314">
        <v>200</v>
      </c>
      <c r="Q314" s="4" t="s">
        <v>30</v>
      </c>
    </row>
    <row r="315" spans="1:17" x14ac:dyDescent="0.2">
      <c r="A315" s="4" t="s">
        <v>499</v>
      </c>
      <c r="B315">
        <v>314</v>
      </c>
      <c r="C315" s="4" t="s">
        <v>26</v>
      </c>
      <c r="D315" s="4" t="s">
        <v>38</v>
      </c>
      <c r="E315" s="4" t="s">
        <v>47</v>
      </c>
      <c r="F315" s="4" t="s">
        <v>1240</v>
      </c>
      <c r="G315">
        <v>8</v>
      </c>
      <c r="H315">
        <v>37</v>
      </c>
      <c r="I315" s="4" t="s">
        <v>201</v>
      </c>
      <c r="J315" s="4" t="s">
        <v>202</v>
      </c>
      <c r="K315" s="4" t="s">
        <v>179</v>
      </c>
      <c r="L315" s="4" t="s">
        <v>180</v>
      </c>
      <c r="M315" s="4" t="s">
        <v>192</v>
      </c>
      <c r="N315" s="4" t="s">
        <v>182</v>
      </c>
      <c r="O315" s="4" t="s">
        <v>189</v>
      </c>
      <c r="P315">
        <v>-15251.07</v>
      </c>
      <c r="Q315" s="4" t="s">
        <v>30</v>
      </c>
    </row>
    <row r="316" spans="1:17" x14ac:dyDescent="0.2">
      <c r="A316" s="4" t="s">
        <v>500</v>
      </c>
      <c r="B316">
        <v>315</v>
      </c>
      <c r="C316" s="4" t="s">
        <v>26</v>
      </c>
      <c r="D316" s="4" t="s">
        <v>38</v>
      </c>
      <c r="E316" s="4" t="s">
        <v>47</v>
      </c>
      <c r="F316" s="4" t="s">
        <v>1240</v>
      </c>
      <c r="G316">
        <v>8</v>
      </c>
      <c r="H316">
        <v>37</v>
      </c>
      <c r="I316" s="4" t="s">
        <v>212</v>
      </c>
      <c r="J316" s="4" t="s">
        <v>213</v>
      </c>
      <c r="K316" s="4" t="s">
        <v>205</v>
      </c>
      <c r="L316" s="4" t="s">
        <v>214</v>
      </c>
      <c r="M316" s="4" t="s">
        <v>182</v>
      </c>
      <c r="N316" s="4" t="s">
        <v>182</v>
      </c>
      <c r="O316" s="4" t="s">
        <v>189</v>
      </c>
      <c r="P316">
        <v>-17790.63</v>
      </c>
      <c r="Q316" s="4" t="s">
        <v>30</v>
      </c>
    </row>
    <row r="317" spans="1:17" x14ac:dyDescent="0.2">
      <c r="A317" s="4" t="s">
        <v>501</v>
      </c>
      <c r="B317">
        <v>316</v>
      </c>
      <c r="C317" s="4" t="s">
        <v>26</v>
      </c>
      <c r="D317" s="4" t="s">
        <v>38</v>
      </c>
      <c r="E317" s="4" t="s">
        <v>50</v>
      </c>
      <c r="F317" s="4" t="s">
        <v>1270</v>
      </c>
      <c r="G317">
        <v>8</v>
      </c>
      <c r="H317">
        <v>38</v>
      </c>
      <c r="I317" s="4" t="s">
        <v>190</v>
      </c>
      <c r="J317" s="4" t="s">
        <v>191</v>
      </c>
      <c r="K317" s="4" t="s">
        <v>179</v>
      </c>
      <c r="L317" s="4" t="s">
        <v>180</v>
      </c>
      <c r="M317" s="4" t="s">
        <v>192</v>
      </c>
      <c r="N317" s="4" t="s">
        <v>182</v>
      </c>
      <c r="O317" s="4" t="s">
        <v>189</v>
      </c>
      <c r="P317">
        <v>-44356.87</v>
      </c>
      <c r="Q317" s="4" t="s">
        <v>30</v>
      </c>
    </row>
    <row r="318" spans="1:17" x14ac:dyDescent="0.2">
      <c r="A318" s="4" t="s">
        <v>502</v>
      </c>
      <c r="B318">
        <v>317</v>
      </c>
      <c r="C318" s="4" t="s">
        <v>26</v>
      </c>
      <c r="D318" s="4" t="s">
        <v>38</v>
      </c>
      <c r="E318" s="4" t="s">
        <v>50</v>
      </c>
      <c r="F318" s="4" t="s">
        <v>1270</v>
      </c>
      <c r="G318">
        <v>8</v>
      </c>
      <c r="H318">
        <v>38</v>
      </c>
      <c r="I318" s="4" t="s">
        <v>190</v>
      </c>
      <c r="J318" s="4" t="s">
        <v>191</v>
      </c>
      <c r="K318" s="4" t="s">
        <v>179</v>
      </c>
      <c r="L318" s="4" t="s">
        <v>180</v>
      </c>
      <c r="M318" s="4" t="s">
        <v>192</v>
      </c>
      <c r="N318" s="4" t="s">
        <v>182</v>
      </c>
      <c r="O318" s="4" t="s">
        <v>183</v>
      </c>
      <c r="P318">
        <v>13452.29</v>
      </c>
      <c r="Q318" s="4" t="s">
        <v>30</v>
      </c>
    </row>
    <row r="319" spans="1:17" x14ac:dyDescent="0.2">
      <c r="A319" s="4" t="s">
        <v>503</v>
      </c>
      <c r="B319">
        <v>318</v>
      </c>
      <c r="C319" s="4" t="s">
        <v>26</v>
      </c>
      <c r="D319" s="4" t="s">
        <v>38</v>
      </c>
      <c r="E319" s="4" t="s">
        <v>50</v>
      </c>
      <c r="F319" s="4" t="s">
        <v>1270</v>
      </c>
      <c r="G319">
        <v>8</v>
      </c>
      <c r="H319">
        <v>38</v>
      </c>
      <c r="I319" s="4" t="s">
        <v>207</v>
      </c>
      <c r="J319" s="4" t="s">
        <v>208</v>
      </c>
      <c r="K319" s="4" t="s">
        <v>179</v>
      </c>
      <c r="L319" s="4" t="s">
        <v>180</v>
      </c>
      <c r="M319" s="4" t="s">
        <v>192</v>
      </c>
      <c r="N319" s="4" t="s">
        <v>182</v>
      </c>
      <c r="O319" s="4" t="s">
        <v>189</v>
      </c>
      <c r="P319">
        <v>-13452.29</v>
      </c>
      <c r="Q319" s="4" t="s">
        <v>30</v>
      </c>
    </row>
    <row r="320" spans="1:17" x14ac:dyDescent="0.2">
      <c r="A320" s="4" t="s">
        <v>504</v>
      </c>
      <c r="B320">
        <v>319</v>
      </c>
      <c r="C320" s="4" t="s">
        <v>26</v>
      </c>
      <c r="D320" s="4" t="s">
        <v>38</v>
      </c>
      <c r="E320" s="4" t="s">
        <v>50</v>
      </c>
      <c r="F320" s="4" t="s">
        <v>1270</v>
      </c>
      <c r="G320">
        <v>8</v>
      </c>
      <c r="H320">
        <v>38</v>
      </c>
      <c r="I320" s="4" t="s">
        <v>207</v>
      </c>
      <c r="J320" s="4" t="s">
        <v>208</v>
      </c>
      <c r="K320" s="4" t="s">
        <v>179</v>
      </c>
      <c r="L320" s="4" t="s">
        <v>180</v>
      </c>
      <c r="M320" s="4" t="s">
        <v>192</v>
      </c>
      <c r="N320" s="4" t="s">
        <v>182</v>
      </c>
      <c r="O320" s="4" t="s">
        <v>183</v>
      </c>
      <c r="P320">
        <v>16246.6</v>
      </c>
      <c r="Q320" s="4" t="s">
        <v>30</v>
      </c>
    </row>
    <row r="321" spans="1:17" x14ac:dyDescent="0.2">
      <c r="A321" s="4" t="s">
        <v>505</v>
      </c>
      <c r="B321">
        <v>320</v>
      </c>
      <c r="C321" s="4" t="s">
        <v>26</v>
      </c>
      <c r="D321" s="4" t="s">
        <v>38</v>
      </c>
      <c r="E321" s="4" t="s">
        <v>50</v>
      </c>
      <c r="F321" s="4" t="s">
        <v>1270</v>
      </c>
      <c r="G321">
        <v>8</v>
      </c>
      <c r="H321">
        <v>38</v>
      </c>
      <c r="I321" s="4" t="s">
        <v>193</v>
      </c>
      <c r="J321" s="4" t="s">
        <v>194</v>
      </c>
      <c r="K321" s="4" t="s">
        <v>179</v>
      </c>
      <c r="L321" s="4" t="s">
        <v>186</v>
      </c>
      <c r="M321" s="4" t="s">
        <v>195</v>
      </c>
      <c r="N321" s="4" t="s">
        <v>196</v>
      </c>
      <c r="O321" s="4" t="s">
        <v>183</v>
      </c>
      <c r="P321">
        <v>44056.87</v>
      </c>
      <c r="Q321" s="4" t="s">
        <v>30</v>
      </c>
    </row>
    <row r="322" spans="1:17" x14ac:dyDescent="0.2">
      <c r="A322" s="4" t="s">
        <v>506</v>
      </c>
      <c r="B322">
        <v>321</v>
      </c>
      <c r="C322" s="4" t="s">
        <v>26</v>
      </c>
      <c r="D322" s="4" t="s">
        <v>38</v>
      </c>
      <c r="E322" s="4" t="s">
        <v>50</v>
      </c>
      <c r="F322" s="4" t="s">
        <v>1270</v>
      </c>
      <c r="G322">
        <v>8</v>
      </c>
      <c r="H322">
        <v>38</v>
      </c>
      <c r="I322" s="4" t="s">
        <v>209</v>
      </c>
      <c r="J322" s="4" t="s">
        <v>210</v>
      </c>
      <c r="K322" s="4" t="s">
        <v>205</v>
      </c>
      <c r="L322" s="4" t="s">
        <v>211</v>
      </c>
      <c r="M322" s="4" t="s">
        <v>182</v>
      </c>
      <c r="N322" s="4" t="s">
        <v>182</v>
      </c>
      <c r="O322" s="4" t="s">
        <v>183</v>
      </c>
      <c r="P322">
        <v>14026.11</v>
      </c>
      <c r="Q322" s="4" t="s">
        <v>30</v>
      </c>
    </row>
    <row r="323" spans="1:17" x14ac:dyDescent="0.2">
      <c r="A323" s="4" t="s">
        <v>507</v>
      </c>
      <c r="B323">
        <v>322</v>
      </c>
      <c r="C323" s="4" t="s">
        <v>26</v>
      </c>
      <c r="D323" s="4" t="s">
        <v>38</v>
      </c>
      <c r="E323" s="4" t="s">
        <v>50</v>
      </c>
      <c r="F323" s="4" t="s">
        <v>1270</v>
      </c>
      <c r="G323">
        <v>8</v>
      </c>
      <c r="H323">
        <v>38</v>
      </c>
      <c r="I323" s="4" t="s">
        <v>203</v>
      </c>
      <c r="J323" s="4" t="s">
        <v>204</v>
      </c>
      <c r="K323" s="4" t="s">
        <v>205</v>
      </c>
      <c r="L323" s="4" t="s">
        <v>206</v>
      </c>
      <c r="M323" s="4" t="s">
        <v>182</v>
      </c>
      <c r="N323" s="4" t="s">
        <v>182</v>
      </c>
      <c r="O323" s="4" t="s">
        <v>183</v>
      </c>
      <c r="P323">
        <v>300</v>
      </c>
      <c r="Q323" s="4" t="s">
        <v>30</v>
      </c>
    </row>
    <row r="324" spans="1:17" x14ac:dyDescent="0.2">
      <c r="A324" s="4" t="s">
        <v>508</v>
      </c>
      <c r="B324">
        <v>323</v>
      </c>
      <c r="C324" s="4" t="s">
        <v>26</v>
      </c>
      <c r="D324" s="4" t="s">
        <v>38</v>
      </c>
      <c r="E324" s="4" t="s">
        <v>50</v>
      </c>
      <c r="F324" s="4" t="s">
        <v>1270</v>
      </c>
      <c r="G324">
        <v>8</v>
      </c>
      <c r="H324">
        <v>38</v>
      </c>
      <c r="I324" s="4" t="s">
        <v>201</v>
      </c>
      <c r="J324" s="4" t="s">
        <v>202</v>
      </c>
      <c r="K324" s="4" t="s">
        <v>179</v>
      </c>
      <c r="L324" s="4" t="s">
        <v>180</v>
      </c>
      <c r="M324" s="4" t="s">
        <v>192</v>
      </c>
      <c r="N324" s="4" t="s">
        <v>182</v>
      </c>
      <c r="O324" s="4" t="s">
        <v>189</v>
      </c>
      <c r="P324">
        <v>-14026.11</v>
      </c>
      <c r="Q324" s="4" t="s">
        <v>30</v>
      </c>
    </row>
    <row r="325" spans="1:17" x14ac:dyDescent="0.2">
      <c r="A325" s="4" t="s">
        <v>509</v>
      </c>
      <c r="B325">
        <v>324</v>
      </c>
      <c r="C325" s="4" t="s">
        <v>26</v>
      </c>
      <c r="D325" s="4" t="s">
        <v>38</v>
      </c>
      <c r="E325" s="4" t="s">
        <v>50</v>
      </c>
      <c r="F325" s="4" t="s">
        <v>1270</v>
      </c>
      <c r="G325">
        <v>8</v>
      </c>
      <c r="H325">
        <v>38</v>
      </c>
      <c r="I325" s="4" t="s">
        <v>212</v>
      </c>
      <c r="J325" s="4" t="s">
        <v>213</v>
      </c>
      <c r="K325" s="4" t="s">
        <v>205</v>
      </c>
      <c r="L325" s="4" t="s">
        <v>214</v>
      </c>
      <c r="M325" s="4" t="s">
        <v>182</v>
      </c>
      <c r="N325" s="4" t="s">
        <v>182</v>
      </c>
      <c r="O325" s="4" t="s">
        <v>189</v>
      </c>
      <c r="P325">
        <v>-16246.6</v>
      </c>
      <c r="Q325" s="4" t="s">
        <v>30</v>
      </c>
    </row>
    <row r="326" spans="1:17" x14ac:dyDescent="0.2">
      <c r="A326" s="4" t="s">
        <v>510</v>
      </c>
      <c r="B326">
        <v>325</v>
      </c>
      <c r="C326" s="4" t="s">
        <v>26</v>
      </c>
      <c r="D326" s="4" t="s">
        <v>38</v>
      </c>
      <c r="E326" s="4" t="s">
        <v>53</v>
      </c>
      <c r="F326" s="4" t="s">
        <v>1295</v>
      </c>
      <c r="G326">
        <v>8</v>
      </c>
      <c r="H326">
        <v>39</v>
      </c>
      <c r="I326" s="4" t="s">
        <v>190</v>
      </c>
      <c r="J326" s="4" t="s">
        <v>191</v>
      </c>
      <c r="K326" s="4" t="s">
        <v>179</v>
      </c>
      <c r="L326" s="4" t="s">
        <v>180</v>
      </c>
      <c r="M326" s="4" t="s">
        <v>192</v>
      </c>
      <c r="N326" s="4" t="s">
        <v>182</v>
      </c>
      <c r="O326" s="4" t="s">
        <v>189</v>
      </c>
      <c r="P326">
        <v>-200</v>
      </c>
      <c r="Q326" s="4" t="s">
        <v>30</v>
      </c>
    </row>
    <row r="327" spans="1:17" x14ac:dyDescent="0.2">
      <c r="A327" s="4" t="s">
        <v>511</v>
      </c>
      <c r="B327">
        <v>326</v>
      </c>
      <c r="C327" s="4" t="s">
        <v>26</v>
      </c>
      <c r="D327" s="4" t="s">
        <v>38</v>
      </c>
      <c r="E327" s="4" t="s">
        <v>53</v>
      </c>
      <c r="F327" s="4" t="s">
        <v>1295</v>
      </c>
      <c r="G327">
        <v>8</v>
      </c>
      <c r="H327">
        <v>39</v>
      </c>
      <c r="I327" s="4" t="s">
        <v>190</v>
      </c>
      <c r="J327" s="4" t="s">
        <v>191</v>
      </c>
      <c r="K327" s="4" t="s">
        <v>179</v>
      </c>
      <c r="L327" s="4" t="s">
        <v>180</v>
      </c>
      <c r="M327" s="4" t="s">
        <v>192</v>
      </c>
      <c r="N327" s="4" t="s">
        <v>182</v>
      </c>
      <c r="O327" s="4" t="s">
        <v>183</v>
      </c>
      <c r="P327">
        <v>15015.23</v>
      </c>
      <c r="Q327" s="4" t="s">
        <v>30</v>
      </c>
    </row>
    <row r="328" spans="1:17" x14ac:dyDescent="0.2">
      <c r="A328" s="4" t="s">
        <v>512</v>
      </c>
      <c r="B328">
        <v>327</v>
      </c>
      <c r="C328" s="4" t="s">
        <v>26</v>
      </c>
      <c r="D328" s="4" t="s">
        <v>38</v>
      </c>
      <c r="E328" s="4" t="s">
        <v>53</v>
      </c>
      <c r="F328" s="4" t="s">
        <v>1295</v>
      </c>
      <c r="G328">
        <v>8</v>
      </c>
      <c r="H328">
        <v>39</v>
      </c>
      <c r="I328" s="4" t="s">
        <v>207</v>
      </c>
      <c r="J328" s="4" t="s">
        <v>208</v>
      </c>
      <c r="K328" s="4" t="s">
        <v>179</v>
      </c>
      <c r="L328" s="4" t="s">
        <v>180</v>
      </c>
      <c r="M328" s="4" t="s">
        <v>192</v>
      </c>
      <c r="N328" s="4" t="s">
        <v>182</v>
      </c>
      <c r="O328" s="4" t="s">
        <v>189</v>
      </c>
      <c r="P328">
        <v>-15015.23</v>
      </c>
      <c r="Q328" s="4" t="s">
        <v>30</v>
      </c>
    </row>
    <row r="329" spans="1:17" x14ac:dyDescent="0.2">
      <c r="A329" s="4" t="s">
        <v>513</v>
      </c>
      <c r="B329">
        <v>328</v>
      </c>
      <c r="C329" s="4" t="s">
        <v>26</v>
      </c>
      <c r="D329" s="4" t="s">
        <v>38</v>
      </c>
      <c r="E329" s="4" t="s">
        <v>53</v>
      </c>
      <c r="F329" s="4" t="s">
        <v>1295</v>
      </c>
      <c r="G329">
        <v>8</v>
      </c>
      <c r="H329">
        <v>39</v>
      </c>
      <c r="I329" s="4" t="s">
        <v>207</v>
      </c>
      <c r="J329" s="4" t="s">
        <v>208</v>
      </c>
      <c r="K329" s="4" t="s">
        <v>179</v>
      </c>
      <c r="L329" s="4" t="s">
        <v>180</v>
      </c>
      <c r="M329" s="4" t="s">
        <v>192</v>
      </c>
      <c r="N329" s="4" t="s">
        <v>182</v>
      </c>
      <c r="O329" s="4" t="s">
        <v>183</v>
      </c>
      <c r="P329">
        <v>7013.48</v>
      </c>
      <c r="Q329" s="4" t="s">
        <v>30</v>
      </c>
    </row>
    <row r="330" spans="1:17" x14ac:dyDescent="0.2">
      <c r="A330" s="4" t="s">
        <v>514</v>
      </c>
      <c r="B330">
        <v>329</v>
      </c>
      <c r="C330" s="4" t="s">
        <v>26</v>
      </c>
      <c r="D330" s="4" t="s">
        <v>38</v>
      </c>
      <c r="E330" s="4" t="s">
        <v>53</v>
      </c>
      <c r="F330" s="4" t="s">
        <v>1295</v>
      </c>
      <c r="G330">
        <v>8</v>
      </c>
      <c r="H330">
        <v>39</v>
      </c>
      <c r="I330" s="4" t="s">
        <v>193</v>
      </c>
      <c r="J330" s="4" t="s">
        <v>194</v>
      </c>
      <c r="K330" s="4" t="s">
        <v>179</v>
      </c>
      <c r="L330" s="4" t="s">
        <v>186</v>
      </c>
      <c r="M330" s="4" t="s">
        <v>195</v>
      </c>
      <c r="N330" s="4" t="s">
        <v>196</v>
      </c>
      <c r="O330" s="4" t="s">
        <v>189</v>
      </c>
      <c r="P330">
        <v>-130310.59</v>
      </c>
      <c r="Q330" s="4" t="s">
        <v>30</v>
      </c>
    </row>
    <row r="331" spans="1:17" x14ac:dyDescent="0.2">
      <c r="A331" s="4" t="s">
        <v>515</v>
      </c>
      <c r="B331">
        <v>330</v>
      </c>
      <c r="C331" s="4" t="s">
        <v>26</v>
      </c>
      <c r="D331" s="4" t="s">
        <v>38</v>
      </c>
      <c r="E331" s="4" t="s">
        <v>53</v>
      </c>
      <c r="F331" s="4" t="s">
        <v>1295</v>
      </c>
      <c r="G331">
        <v>8</v>
      </c>
      <c r="H331">
        <v>39</v>
      </c>
      <c r="I331" s="4" t="s">
        <v>197</v>
      </c>
      <c r="J331" s="4" t="s">
        <v>198</v>
      </c>
      <c r="K331" s="4" t="s">
        <v>179</v>
      </c>
      <c r="L331" s="4" t="s">
        <v>186</v>
      </c>
      <c r="M331" s="4" t="s">
        <v>195</v>
      </c>
      <c r="N331" s="4" t="s">
        <v>196</v>
      </c>
      <c r="O331" s="4" t="s">
        <v>189</v>
      </c>
      <c r="P331">
        <v>-129310.59</v>
      </c>
      <c r="Q331" s="4" t="s">
        <v>30</v>
      </c>
    </row>
    <row r="332" spans="1:17" x14ac:dyDescent="0.2">
      <c r="A332" s="4" t="s">
        <v>516</v>
      </c>
      <c r="B332">
        <v>331</v>
      </c>
      <c r="C332" s="4" t="s">
        <v>26</v>
      </c>
      <c r="D332" s="4" t="s">
        <v>38</v>
      </c>
      <c r="E332" s="4" t="s">
        <v>53</v>
      </c>
      <c r="F332" s="4" t="s">
        <v>1295</v>
      </c>
      <c r="G332">
        <v>8</v>
      </c>
      <c r="H332">
        <v>39</v>
      </c>
      <c r="I332" s="4" t="s">
        <v>197</v>
      </c>
      <c r="J332" s="4" t="s">
        <v>198</v>
      </c>
      <c r="K332" s="4" t="s">
        <v>179</v>
      </c>
      <c r="L332" s="4" t="s">
        <v>186</v>
      </c>
      <c r="M332" s="4" t="s">
        <v>195</v>
      </c>
      <c r="N332" s="4" t="s">
        <v>196</v>
      </c>
      <c r="O332" s="4" t="s">
        <v>183</v>
      </c>
      <c r="P332">
        <v>129310.59</v>
      </c>
      <c r="Q332" s="4" t="s">
        <v>30</v>
      </c>
    </row>
    <row r="333" spans="1:17" x14ac:dyDescent="0.2">
      <c r="A333" s="4" t="s">
        <v>517</v>
      </c>
      <c r="B333">
        <v>332</v>
      </c>
      <c r="C333" s="4" t="s">
        <v>26</v>
      </c>
      <c r="D333" s="4" t="s">
        <v>38</v>
      </c>
      <c r="E333" s="4" t="s">
        <v>53</v>
      </c>
      <c r="F333" s="4" t="s">
        <v>1295</v>
      </c>
      <c r="G333">
        <v>8</v>
      </c>
      <c r="H333">
        <v>39</v>
      </c>
      <c r="I333" s="4" t="s">
        <v>199</v>
      </c>
      <c r="J333" s="4" t="s">
        <v>200</v>
      </c>
      <c r="K333" s="4" t="s">
        <v>179</v>
      </c>
      <c r="L333" s="4" t="s">
        <v>186</v>
      </c>
      <c r="M333" s="4" t="s">
        <v>195</v>
      </c>
      <c r="N333" s="4" t="s">
        <v>196</v>
      </c>
      <c r="O333" s="4" t="s">
        <v>189</v>
      </c>
      <c r="P333">
        <v>-1000</v>
      </c>
      <c r="Q333" s="4" t="s">
        <v>30</v>
      </c>
    </row>
    <row r="334" spans="1:17" x14ac:dyDescent="0.2">
      <c r="A334" s="4" t="s">
        <v>518</v>
      </c>
      <c r="B334">
        <v>333</v>
      </c>
      <c r="C334" s="4" t="s">
        <v>26</v>
      </c>
      <c r="D334" s="4" t="s">
        <v>38</v>
      </c>
      <c r="E334" s="4" t="s">
        <v>53</v>
      </c>
      <c r="F334" s="4" t="s">
        <v>1295</v>
      </c>
      <c r="G334">
        <v>8</v>
      </c>
      <c r="H334">
        <v>39</v>
      </c>
      <c r="I334" s="4" t="s">
        <v>199</v>
      </c>
      <c r="J334" s="4" t="s">
        <v>200</v>
      </c>
      <c r="K334" s="4" t="s">
        <v>179</v>
      </c>
      <c r="L334" s="4" t="s">
        <v>186</v>
      </c>
      <c r="M334" s="4" t="s">
        <v>195</v>
      </c>
      <c r="N334" s="4" t="s">
        <v>196</v>
      </c>
      <c r="O334" s="4" t="s">
        <v>183</v>
      </c>
      <c r="P334">
        <v>1000</v>
      </c>
      <c r="Q334" s="4" t="s">
        <v>30</v>
      </c>
    </row>
    <row r="335" spans="1:17" x14ac:dyDescent="0.2">
      <c r="A335" s="4" t="s">
        <v>519</v>
      </c>
      <c r="B335">
        <v>334</v>
      </c>
      <c r="C335" s="4" t="s">
        <v>26</v>
      </c>
      <c r="D335" s="4" t="s">
        <v>38</v>
      </c>
      <c r="E335" s="4" t="s">
        <v>53</v>
      </c>
      <c r="F335" s="4" t="s">
        <v>1295</v>
      </c>
      <c r="G335">
        <v>8</v>
      </c>
      <c r="H335">
        <v>39</v>
      </c>
      <c r="I335" s="4" t="s">
        <v>209</v>
      </c>
      <c r="J335" s="4" t="s">
        <v>210</v>
      </c>
      <c r="K335" s="4" t="s">
        <v>205</v>
      </c>
      <c r="L335" s="4" t="s">
        <v>211</v>
      </c>
      <c r="M335" s="4" t="s">
        <v>182</v>
      </c>
      <c r="N335" s="4" t="s">
        <v>182</v>
      </c>
      <c r="O335" s="4" t="s">
        <v>183</v>
      </c>
      <c r="P335">
        <v>5943.82</v>
      </c>
      <c r="Q335" s="4" t="s">
        <v>30</v>
      </c>
    </row>
    <row r="336" spans="1:17" x14ac:dyDescent="0.2">
      <c r="A336" s="4" t="s">
        <v>520</v>
      </c>
      <c r="B336">
        <v>335</v>
      </c>
      <c r="C336" s="4" t="s">
        <v>26</v>
      </c>
      <c r="D336" s="4" t="s">
        <v>38</v>
      </c>
      <c r="E336" s="4" t="s">
        <v>53</v>
      </c>
      <c r="F336" s="4" t="s">
        <v>1295</v>
      </c>
      <c r="G336">
        <v>8</v>
      </c>
      <c r="H336">
        <v>39</v>
      </c>
      <c r="I336" s="4" t="s">
        <v>203</v>
      </c>
      <c r="J336" s="4" t="s">
        <v>204</v>
      </c>
      <c r="K336" s="4" t="s">
        <v>205</v>
      </c>
      <c r="L336" s="4" t="s">
        <v>206</v>
      </c>
      <c r="M336" s="4" t="s">
        <v>182</v>
      </c>
      <c r="N336" s="4" t="s">
        <v>182</v>
      </c>
      <c r="O336" s="4" t="s">
        <v>183</v>
      </c>
      <c r="P336">
        <v>200</v>
      </c>
      <c r="Q336" s="4" t="s">
        <v>30</v>
      </c>
    </row>
    <row r="337" spans="1:17" x14ac:dyDescent="0.2">
      <c r="A337" s="4" t="s">
        <v>521</v>
      </c>
      <c r="B337">
        <v>336</v>
      </c>
      <c r="C337" s="4" t="s">
        <v>26</v>
      </c>
      <c r="D337" s="4" t="s">
        <v>38</v>
      </c>
      <c r="E337" s="4" t="s">
        <v>53</v>
      </c>
      <c r="F337" s="4" t="s">
        <v>1295</v>
      </c>
      <c r="G337">
        <v>8</v>
      </c>
      <c r="H337">
        <v>39</v>
      </c>
      <c r="I337" s="4" t="s">
        <v>201</v>
      </c>
      <c r="J337" s="4" t="s">
        <v>202</v>
      </c>
      <c r="K337" s="4" t="s">
        <v>179</v>
      </c>
      <c r="L337" s="4" t="s">
        <v>180</v>
      </c>
      <c r="M337" s="4" t="s">
        <v>192</v>
      </c>
      <c r="N337" s="4" t="s">
        <v>182</v>
      </c>
      <c r="O337" s="4" t="s">
        <v>189</v>
      </c>
      <c r="P337">
        <v>-5943.82</v>
      </c>
      <c r="Q337" s="4" t="s">
        <v>30</v>
      </c>
    </row>
    <row r="338" spans="1:17" x14ac:dyDescent="0.2">
      <c r="A338" s="4" t="s">
        <v>522</v>
      </c>
      <c r="B338">
        <v>337</v>
      </c>
      <c r="C338" s="4" t="s">
        <v>26</v>
      </c>
      <c r="D338" s="4" t="s">
        <v>38</v>
      </c>
      <c r="E338" s="4" t="s">
        <v>53</v>
      </c>
      <c r="F338" s="4" t="s">
        <v>1295</v>
      </c>
      <c r="G338">
        <v>8</v>
      </c>
      <c r="H338">
        <v>39</v>
      </c>
      <c r="I338" s="4" t="s">
        <v>201</v>
      </c>
      <c r="J338" s="4" t="s">
        <v>202</v>
      </c>
      <c r="K338" s="4" t="s">
        <v>179</v>
      </c>
      <c r="L338" s="4" t="s">
        <v>180</v>
      </c>
      <c r="M338" s="4" t="s">
        <v>192</v>
      </c>
      <c r="N338" s="4" t="s">
        <v>182</v>
      </c>
      <c r="O338" s="4" t="s">
        <v>183</v>
      </c>
      <c r="P338">
        <v>130310.59</v>
      </c>
      <c r="Q338" s="4" t="s">
        <v>30</v>
      </c>
    </row>
    <row r="339" spans="1:17" x14ac:dyDescent="0.2">
      <c r="A339" s="4" t="s">
        <v>523</v>
      </c>
      <c r="B339">
        <v>338</v>
      </c>
      <c r="C339" s="4" t="s">
        <v>26</v>
      </c>
      <c r="D339" s="4" t="s">
        <v>38</v>
      </c>
      <c r="E339" s="4" t="s">
        <v>53</v>
      </c>
      <c r="F339" s="4" t="s">
        <v>1295</v>
      </c>
      <c r="G339">
        <v>8</v>
      </c>
      <c r="H339">
        <v>39</v>
      </c>
      <c r="I339" s="4" t="s">
        <v>212</v>
      </c>
      <c r="J339" s="4" t="s">
        <v>213</v>
      </c>
      <c r="K339" s="4" t="s">
        <v>205</v>
      </c>
      <c r="L339" s="4" t="s">
        <v>214</v>
      </c>
      <c r="M339" s="4" t="s">
        <v>182</v>
      </c>
      <c r="N339" s="4" t="s">
        <v>182</v>
      </c>
      <c r="O339" s="4" t="s">
        <v>189</v>
      </c>
      <c r="P339">
        <v>-7013.48</v>
      </c>
      <c r="Q339" s="4" t="s">
        <v>30</v>
      </c>
    </row>
    <row r="340" spans="1:17" x14ac:dyDescent="0.2">
      <c r="A340" s="4" t="s">
        <v>524</v>
      </c>
      <c r="B340">
        <v>339</v>
      </c>
      <c r="C340" s="4" t="s">
        <v>26</v>
      </c>
      <c r="D340" s="4" t="s">
        <v>38</v>
      </c>
      <c r="E340" s="4" t="s">
        <v>56</v>
      </c>
      <c r="F340" s="4" t="s">
        <v>1329</v>
      </c>
      <c r="G340">
        <v>8</v>
      </c>
      <c r="H340">
        <v>40</v>
      </c>
      <c r="I340" s="4" t="s">
        <v>190</v>
      </c>
      <c r="J340" s="4" t="s">
        <v>191</v>
      </c>
      <c r="K340" s="4" t="s">
        <v>179</v>
      </c>
      <c r="L340" s="4" t="s">
        <v>180</v>
      </c>
      <c r="M340" s="4" t="s">
        <v>192</v>
      </c>
      <c r="N340" s="4" t="s">
        <v>182</v>
      </c>
      <c r="O340" s="4" t="s">
        <v>189</v>
      </c>
      <c r="P340">
        <v>-300</v>
      </c>
      <c r="Q340" s="4" t="s">
        <v>30</v>
      </c>
    </row>
    <row r="341" spans="1:17" x14ac:dyDescent="0.2">
      <c r="A341" s="4" t="s">
        <v>525</v>
      </c>
      <c r="B341">
        <v>340</v>
      </c>
      <c r="C341" s="4" t="s">
        <v>26</v>
      </c>
      <c r="D341" s="4" t="s">
        <v>38</v>
      </c>
      <c r="E341" s="4" t="s">
        <v>56</v>
      </c>
      <c r="F341" s="4" t="s">
        <v>1329</v>
      </c>
      <c r="G341">
        <v>8</v>
      </c>
      <c r="H341">
        <v>40</v>
      </c>
      <c r="I341" s="4" t="s">
        <v>190</v>
      </c>
      <c r="J341" s="4" t="s">
        <v>191</v>
      </c>
      <c r="K341" s="4" t="s">
        <v>179</v>
      </c>
      <c r="L341" s="4" t="s">
        <v>180</v>
      </c>
      <c r="M341" s="4" t="s">
        <v>192</v>
      </c>
      <c r="N341" s="4" t="s">
        <v>182</v>
      </c>
      <c r="O341" s="4" t="s">
        <v>183</v>
      </c>
      <c r="P341">
        <v>17738.169999999998</v>
      </c>
      <c r="Q341" s="4" t="s">
        <v>30</v>
      </c>
    </row>
    <row r="342" spans="1:17" x14ac:dyDescent="0.2">
      <c r="A342" s="4" t="s">
        <v>526</v>
      </c>
      <c r="B342">
        <v>341</v>
      </c>
      <c r="C342" s="4" t="s">
        <v>26</v>
      </c>
      <c r="D342" s="4" t="s">
        <v>38</v>
      </c>
      <c r="E342" s="4" t="s">
        <v>56</v>
      </c>
      <c r="F342" s="4" t="s">
        <v>1329</v>
      </c>
      <c r="G342">
        <v>8</v>
      </c>
      <c r="H342">
        <v>40</v>
      </c>
      <c r="I342" s="4" t="s">
        <v>207</v>
      </c>
      <c r="J342" s="4" t="s">
        <v>208</v>
      </c>
      <c r="K342" s="4" t="s">
        <v>179</v>
      </c>
      <c r="L342" s="4" t="s">
        <v>180</v>
      </c>
      <c r="M342" s="4" t="s">
        <v>192</v>
      </c>
      <c r="N342" s="4" t="s">
        <v>182</v>
      </c>
      <c r="O342" s="4" t="s">
        <v>189</v>
      </c>
      <c r="P342">
        <v>-17738.169999999998</v>
      </c>
      <c r="Q342" s="4" t="s">
        <v>30</v>
      </c>
    </row>
    <row r="343" spans="1:17" x14ac:dyDescent="0.2">
      <c r="A343" s="4" t="s">
        <v>527</v>
      </c>
      <c r="B343">
        <v>342</v>
      </c>
      <c r="C343" s="4" t="s">
        <v>26</v>
      </c>
      <c r="D343" s="4" t="s">
        <v>38</v>
      </c>
      <c r="E343" s="4" t="s">
        <v>56</v>
      </c>
      <c r="F343" s="4" t="s">
        <v>1329</v>
      </c>
      <c r="G343">
        <v>8</v>
      </c>
      <c r="H343">
        <v>40</v>
      </c>
      <c r="I343" s="4" t="s">
        <v>207</v>
      </c>
      <c r="J343" s="4" t="s">
        <v>208</v>
      </c>
      <c r="K343" s="4" t="s">
        <v>179</v>
      </c>
      <c r="L343" s="4" t="s">
        <v>180</v>
      </c>
      <c r="M343" s="4" t="s">
        <v>192</v>
      </c>
      <c r="N343" s="4" t="s">
        <v>182</v>
      </c>
      <c r="O343" s="4" t="s">
        <v>183</v>
      </c>
      <c r="P343">
        <v>8112.89</v>
      </c>
      <c r="Q343" s="4" t="s">
        <v>30</v>
      </c>
    </row>
    <row r="344" spans="1:17" x14ac:dyDescent="0.2">
      <c r="A344" s="4" t="s">
        <v>528</v>
      </c>
      <c r="B344">
        <v>343</v>
      </c>
      <c r="C344" s="4" t="s">
        <v>26</v>
      </c>
      <c r="D344" s="4" t="s">
        <v>38</v>
      </c>
      <c r="E344" s="4" t="s">
        <v>56</v>
      </c>
      <c r="F344" s="4" t="s">
        <v>1329</v>
      </c>
      <c r="G344">
        <v>8</v>
      </c>
      <c r="H344">
        <v>40</v>
      </c>
      <c r="I344" s="4" t="s">
        <v>209</v>
      </c>
      <c r="J344" s="4" t="s">
        <v>210</v>
      </c>
      <c r="K344" s="4" t="s">
        <v>205</v>
      </c>
      <c r="L344" s="4" t="s">
        <v>211</v>
      </c>
      <c r="M344" s="4" t="s">
        <v>182</v>
      </c>
      <c r="N344" s="4" t="s">
        <v>182</v>
      </c>
      <c r="O344" s="4" t="s">
        <v>183</v>
      </c>
      <c r="P344">
        <v>7311.64</v>
      </c>
      <c r="Q344" s="4" t="s">
        <v>30</v>
      </c>
    </row>
    <row r="345" spans="1:17" x14ac:dyDescent="0.2">
      <c r="A345" s="4" t="s">
        <v>529</v>
      </c>
      <c r="B345">
        <v>344</v>
      </c>
      <c r="C345" s="4" t="s">
        <v>26</v>
      </c>
      <c r="D345" s="4" t="s">
        <v>38</v>
      </c>
      <c r="E345" s="4" t="s">
        <v>56</v>
      </c>
      <c r="F345" s="4" t="s">
        <v>1329</v>
      </c>
      <c r="G345">
        <v>8</v>
      </c>
      <c r="H345">
        <v>40</v>
      </c>
      <c r="I345" s="4" t="s">
        <v>203</v>
      </c>
      <c r="J345" s="4" t="s">
        <v>204</v>
      </c>
      <c r="K345" s="4" t="s">
        <v>205</v>
      </c>
      <c r="L345" s="4" t="s">
        <v>206</v>
      </c>
      <c r="M345" s="4" t="s">
        <v>182</v>
      </c>
      <c r="N345" s="4" t="s">
        <v>182</v>
      </c>
      <c r="O345" s="4" t="s">
        <v>183</v>
      </c>
      <c r="P345">
        <v>300</v>
      </c>
      <c r="Q345" s="4" t="s">
        <v>30</v>
      </c>
    </row>
    <row r="346" spans="1:17" x14ac:dyDescent="0.2">
      <c r="A346" s="4" t="s">
        <v>530</v>
      </c>
      <c r="B346">
        <v>345</v>
      </c>
      <c r="C346" s="4" t="s">
        <v>26</v>
      </c>
      <c r="D346" s="4" t="s">
        <v>38</v>
      </c>
      <c r="E346" s="4" t="s">
        <v>56</v>
      </c>
      <c r="F346" s="4" t="s">
        <v>1329</v>
      </c>
      <c r="G346">
        <v>8</v>
      </c>
      <c r="H346">
        <v>40</v>
      </c>
      <c r="I346" s="4" t="s">
        <v>201</v>
      </c>
      <c r="J346" s="4" t="s">
        <v>202</v>
      </c>
      <c r="K346" s="4" t="s">
        <v>179</v>
      </c>
      <c r="L346" s="4" t="s">
        <v>180</v>
      </c>
      <c r="M346" s="4" t="s">
        <v>192</v>
      </c>
      <c r="N346" s="4" t="s">
        <v>182</v>
      </c>
      <c r="O346" s="4" t="s">
        <v>189</v>
      </c>
      <c r="P346">
        <v>-7311.64</v>
      </c>
      <c r="Q346" s="4" t="s">
        <v>30</v>
      </c>
    </row>
    <row r="347" spans="1:17" x14ac:dyDescent="0.2">
      <c r="A347" s="4" t="s">
        <v>531</v>
      </c>
      <c r="B347">
        <v>346</v>
      </c>
      <c r="C347" s="4" t="s">
        <v>26</v>
      </c>
      <c r="D347" s="4" t="s">
        <v>38</v>
      </c>
      <c r="E347" s="4" t="s">
        <v>56</v>
      </c>
      <c r="F347" s="4" t="s">
        <v>1329</v>
      </c>
      <c r="G347">
        <v>8</v>
      </c>
      <c r="H347">
        <v>40</v>
      </c>
      <c r="I347" s="4" t="s">
        <v>212</v>
      </c>
      <c r="J347" s="4" t="s">
        <v>213</v>
      </c>
      <c r="K347" s="4" t="s">
        <v>205</v>
      </c>
      <c r="L347" s="4" t="s">
        <v>214</v>
      </c>
      <c r="M347" s="4" t="s">
        <v>182</v>
      </c>
      <c r="N347" s="4" t="s">
        <v>182</v>
      </c>
      <c r="O347" s="4" t="s">
        <v>189</v>
      </c>
      <c r="P347">
        <v>-8112.89</v>
      </c>
      <c r="Q347" s="4" t="s">
        <v>30</v>
      </c>
    </row>
    <row r="348" spans="1:17" x14ac:dyDescent="0.2">
      <c r="A348" s="4" t="s">
        <v>532</v>
      </c>
      <c r="B348">
        <v>347</v>
      </c>
      <c r="C348" s="4" t="s">
        <v>26</v>
      </c>
      <c r="D348" s="4" t="s">
        <v>41</v>
      </c>
      <c r="E348" s="4" t="s">
        <v>27</v>
      </c>
      <c r="F348" s="4" t="s">
        <v>1353</v>
      </c>
      <c r="G348">
        <v>9</v>
      </c>
      <c r="H348">
        <v>41</v>
      </c>
      <c r="I348" s="4" t="s">
        <v>190</v>
      </c>
      <c r="J348" s="4" t="s">
        <v>191</v>
      </c>
      <c r="K348" s="4" t="s">
        <v>179</v>
      </c>
      <c r="L348" s="4" t="s">
        <v>180</v>
      </c>
      <c r="M348" s="4" t="s">
        <v>192</v>
      </c>
      <c r="N348" s="4" t="s">
        <v>182</v>
      </c>
      <c r="O348" s="4" t="s">
        <v>189</v>
      </c>
      <c r="P348">
        <v>-200</v>
      </c>
      <c r="Q348" s="4" t="s">
        <v>30</v>
      </c>
    </row>
    <row r="349" spans="1:17" x14ac:dyDescent="0.2">
      <c r="A349" s="4" t="s">
        <v>533</v>
      </c>
      <c r="B349">
        <v>348</v>
      </c>
      <c r="C349" s="4" t="s">
        <v>26</v>
      </c>
      <c r="D349" s="4" t="s">
        <v>41</v>
      </c>
      <c r="E349" s="4" t="s">
        <v>27</v>
      </c>
      <c r="F349" s="4" t="s">
        <v>1353</v>
      </c>
      <c r="G349">
        <v>9</v>
      </c>
      <c r="H349">
        <v>41</v>
      </c>
      <c r="I349" s="4" t="s">
        <v>190</v>
      </c>
      <c r="J349" s="4" t="s">
        <v>191</v>
      </c>
      <c r="K349" s="4" t="s">
        <v>179</v>
      </c>
      <c r="L349" s="4" t="s">
        <v>180</v>
      </c>
      <c r="M349" s="4" t="s">
        <v>192</v>
      </c>
      <c r="N349" s="4" t="s">
        <v>182</v>
      </c>
      <c r="O349" s="4" t="s">
        <v>183</v>
      </c>
      <c r="P349">
        <v>17790.63</v>
      </c>
      <c r="Q349" s="4" t="s">
        <v>30</v>
      </c>
    </row>
    <row r="350" spans="1:17" x14ac:dyDescent="0.2">
      <c r="A350" s="4" t="s">
        <v>534</v>
      </c>
      <c r="B350">
        <v>349</v>
      </c>
      <c r="C350" s="4" t="s">
        <v>26</v>
      </c>
      <c r="D350" s="4" t="s">
        <v>41</v>
      </c>
      <c r="E350" s="4" t="s">
        <v>27</v>
      </c>
      <c r="F350" s="4" t="s">
        <v>1353</v>
      </c>
      <c r="G350">
        <v>9</v>
      </c>
      <c r="H350">
        <v>41</v>
      </c>
      <c r="I350" s="4" t="s">
        <v>207</v>
      </c>
      <c r="J350" s="4" t="s">
        <v>208</v>
      </c>
      <c r="K350" s="4" t="s">
        <v>179</v>
      </c>
      <c r="L350" s="4" t="s">
        <v>180</v>
      </c>
      <c r="M350" s="4" t="s">
        <v>192</v>
      </c>
      <c r="N350" s="4" t="s">
        <v>182</v>
      </c>
      <c r="O350" s="4" t="s">
        <v>189</v>
      </c>
      <c r="P350">
        <v>-17790.63</v>
      </c>
      <c r="Q350" s="4" t="s">
        <v>30</v>
      </c>
    </row>
    <row r="351" spans="1:17" x14ac:dyDescent="0.2">
      <c r="A351" s="4" t="s">
        <v>535</v>
      </c>
      <c r="B351">
        <v>350</v>
      </c>
      <c r="C351" s="4" t="s">
        <v>26</v>
      </c>
      <c r="D351" s="4" t="s">
        <v>41</v>
      </c>
      <c r="E351" s="4" t="s">
        <v>27</v>
      </c>
      <c r="F351" s="4" t="s">
        <v>1353</v>
      </c>
      <c r="G351">
        <v>9</v>
      </c>
      <c r="H351">
        <v>41</v>
      </c>
      <c r="I351" s="4" t="s">
        <v>207</v>
      </c>
      <c r="J351" s="4" t="s">
        <v>208</v>
      </c>
      <c r="K351" s="4" t="s">
        <v>179</v>
      </c>
      <c r="L351" s="4" t="s">
        <v>180</v>
      </c>
      <c r="M351" s="4" t="s">
        <v>192</v>
      </c>
      <c r="N351" s="4" t="s">
        <v>182</v>
      </c>
      <c r="O351" s="4" t="s">
        <v>183</v>
      </c>
      <c r="P351">
        <v>14911.01</v>
      </c>
      <c r="Q351" s="4" t="s">
        <v>30</v>
      </c>
    </row>
    <row r="352" spans="1:17" x14ac:dyDescent="0.2">
      <c r="A352" s="4" t="s">
        <v>536</v>
      </c>
      <c r="B352">
        <v>351</v>
      </c>
      <c r="C352" s="4" t="s">
        <v>26</v>
      </c>
      <c r="D352" s="4" t="s">
        <v>41</v>
      </c>
      <c r="E352" s="4" t="s">
        <v>27</v>
      </c>
      <c r="F352" s="4" t="s">
        <v>1353</v>
      </c>
      <c r="G352">
        <v>9</v>
      </c>
      <c r="H352">
        <v>41</v>
      </c>
      <c r="I352" s="4" t="s">
        <v>209</v>
      </c>
      <c r="J352" s="4" t="s">
        <v>210</v>
      </c>
      <c r="K352" s="4" t="s">
        <v>205</v>
      </c>
      <c r="L352" s="4" t="s">
        <v>211</v>
      </c>
      <c r="M352" s="4" t="s">
        <v>182</v>
      </c>
      <c r="N352" s="4" t="s">
        <v>182</v>
      </c>
      <c r="O352" s="4" t="s">
        <v>183</v>
      </c>
      <c r="P352">
        <v>12690.96</v>
      </c>
      <c r="Q352" s="4" t="s">
        <v>30</v>
      </c>
    </row>
    <row r="353" spans="1:17" x14ac:dyDescent="0.2">
      <c r="A353" s="4" t="s">
        <v>537</v>
      </c>
      <c r="B353">
        <v>352</v>
      </c>
      <c r="C353" s="4" t="s">
        <v>26</v>
      </c>
      <c r="D353" s="4" t="s">
        <v>41</v>
      </c>
      <c r="E353" s="4" t="s">
        <v>27</v>
      </c>
      <c r="F353" s="4" t="s">
        <v>1353</v>
      </c>
      <c r="G353">
        <v>9</v>
      </c>
      <c r="H353">
        <v>41</v>
      </c>
      <c r="I353" s="4" t="s">
        <v>203</v>
      </c>
      <c r="J353" s="4" t="s">
        <v>204</v>
      </c>
      <c r="K353" s="4" t="s">
        <v>205</v>
      </c>
      <c r="L353" s="4" t="s">
        <v>206</v>
      </c>
      <c r="M353" s="4" t="s">
        <v>182</v>
      </c>
      <c r="N353" s="4" t="s">
        <v>182</v>
      </c>
      <c r="O353" s="4" t="s">
        <v>183</v>
      </c>
      <c r="P353">
        <v>200</v>
      </c>
      <c r="Q353" s="4" t="s">
        <v>30</v>
      </c>
    </row>
    <row r="354" spans="1:17" x14ac:dyDescent="0.2">
      <c r="A354" s="4" t="s">
        <v>538</v>
      </c>
      <c r="B354">
        <v>353</v>
      </c>
      <c r="C354" s="4" t="s">
        <v>26</v>
      </c>
      <c r="D354" s="4" t="s">
        <v>41</v>
      </c>
      <c r="E354" s="4" t="s">
        <v>27</v>
      </c>
      <c r="F354" s="4" t="s">
        <v>1353</v>
      </c>
      <c r="G354">
        <v>9</v>
      </c>
      <c r="H354">
        <v>41</v>
      </c>
      <c r="I354" s="4" t="s">
        <v>201</v>
      </c>
      <c r="J354" s="4" t="s">
        <v>202</v>
      </c>
      <c r="K354" s="4" t="s">
        <v>179</v>
      </c>
      <c r="L354" s="4" t="s">
        <v>180</v>
      </c>
      <c r="M354" s="4" t="s">
        <v>192</v>
      </c>
      <c r="N354" s="4" t="s">
        <v>182</v>
      </c>
      <c r="O354" s="4" t="s">
        <v>189</v>
      </c>
      <c r="P354">
        <v>-12690.96</v>
      </c>
      <c r="Q354" s="4" t="s">
        <v>30</v>
      </c>
    </row>
    <row r="355" spans="1:17" x14ac:dyDescent="0.2">
      <c r="A355" s="4" t="s">
        <v>539</v>
      </c>
      <c r="B355">
        <v>354</v>
      </c>
      <c r="C355" s="4" t="s">
        <v>26</v>
      </c>
      <c r="D355" s="4" t="s">
        <v>41</v>
      </c>
      <c r="E355" s="4" t="s">
        <v>27</v>
      </c>
      <c r="F355" s="4" t="s">
        <v>1353</v>
      </c>
      <c r="G355">
        <v>9</v>
      </c>
      <c r="H355">
        <v>41</v>
      </c>
      <c r="I355" s="4" t="s">
        <v>212</v>
      </c>
      <c r="J355" s="4" t="s">
        <v>213</v>
      </c>
      <c r="K355" s="4" t="s">
        <v>205</v>
      </c>
      <c r="L355" s="4" t="s">
        <v>214</v>
      </c>
      <c r="M355" s="4" t="s">
        <v>182</v>
      </c>
      <c r="N355" s="4" t="s">
        <v>182</v>
      </c>
      <c r="O355" s="4" t="s">
        <v>189</v>
      </c>
      <c r="P355">
        <v>-14911.01</v>
      </c>
      <c r="Q355" s="4" t="s">
        <v>30</v>
      </c>
    </row>
    <row r="356" spans="1:17" x14ac:dyDescent="0.2">
      <c r="A356" s="4" t="s">
        <v>540</v>
      </c>
      <c r="B356">
        <v>355</v>
      </c>
      <c r="C356" s="4" t="s">
        <v>26</v>
      </c>
      <c r="D356" s="4" t="s">
        <v>41</v>
      </c>
      <c r="E356" s="4" t="s">
        <v>32</v>
      </c>
      <c r="F356" s="4" t="s">
        <v>1354</v>
      </c>
      <c r="G356">
        <v>9</v>
      </c>
      <c r="H356">
        <v>42</v>
      </c>
      <c r="I356" s="4" t="s">
        <v>190</v>
      </c>
      <c r="J356" s="4" t="s">
        <v>191</v>
      </c>
      <c r="K356" s="4" t="s">
        <v>179</v>
      </c>
      <c r="L356" s="4" t="s">
        <v>180</v>
      </c>
      <c r="M356" s="4" t="s">
        <v>192</v>
      </c>
      <c r="N356" s="4" t="s">
        <v>182</v>
      </c>
      <c r="O356" s="4" t="s">
        <v>189</v>
      </c>
      <c r="P356">
        <v>-300</v>
      </c>
      <c r="Q356" s="4" t="s">
        <v>30</v>
      </c>
    </row>
    <row r="357" spans="1:17" x14ac:dyDescent="0.2">
      <c r="A357" s="4" t="s">
        <v>541</v>
      </c>
      <c r="B357">
        <v>356</v>
      </c>
      <c r="C357" s="4" t="s">
        <v>26</v>
      </c>
      <c r="D357" s="4" t="s">
        <v>41</v>
      </c>
      <c r="E357" s="4" t="s">
        <v>32</v>
      </c>
      <c r="F357" s="4" t="s">
        <v>1354</v>
      </c>
      <c r="G357">
        <v>9</v>
      </c>
      <c r="H357">
        <v>42</v>
      </c>
      <c r="I357" s="4" t="s">
        <v>190</v>
      </c>
      <c r="J357" s="4" t="s">
        <v>191</v>
      </c>
      <c r="K357" s="4" t="s">
        <v>179</v>
      </c>
      <c r="L357" s="4" t="s">
        <v>180</v>
      </c>
      <c r="M357" s="4" t="s">
        <v>192</v>
      </c>
      <c r="N357" s="4" t="s">
        <v>182</v>
      </c>
      <c r="O357" s="4" t="s">
        <v>183</v>
      </c>
      <c r="P357">
        <v>16246.6</v>
      </c>
      <c r="Q357" s="4" t="s">
        <v>30</v>
      </c>
    </row>
    <row r="358" spans="1:17" x14ac:dyDescent="0.2">
      <c r="A358" s="4" t="s">
        <v>542</v>
      </c>
      <c r="B358">
        <v>357</v>
      </c>
      <c r="C358" s="4" t="s">
        <v>26</v>
      </c>
      <c r="D358" s="4" t="s">
        <v>41</v>
      </c>
      <c r="E358" s="4" t="s">
        <v>32</v>
      </c>
      <c r="F358" s="4" t="s">
        <v>1354</v>
      </c>
      <c r="G358">
        <v>9</v>
      </c>
      <c r="H358">
        <v>42</v>
      </c>
      <c r="I358" s="4" t="s">
        <v>207</v>
      </c>
      <c r="J358" s="4" t="s">
        <v>208</v>
      </c>
      <c r="K358" s="4" t="s">
        <v>179</v>
      </c>
      <c r="L358" s="4" t="s">
        <v>180</v>
      </c>
      <c r="M358" s="4" t="s">
        <v>192</v>
      </c>
      <c r="N358" s="4" t="s">
        <v>182</v>
      </c>
      <c r="O358" s="4" t="s">
        <v>189</v>
      </c>
      <c r="P358">
        <v>-16246.6</v>
      </c>
      <c r="Q358" s="4" t="s">
        <v>30</v>
      </c>
    </row>
    <row r="359" spans="1:17" x14ac:dyDescent="0.2">
      <c r="A359" s="4" t="s">
        <v>543</v>
      </c>
      <c r="B359">
        <v>358</v>
      </c>
      <c r="C359" s="4" t="s">
        <v>26</v>
      </c>
      <c r="D359" s="4" t="s">
        <v>41</v>
      </c>
      <c r="E359" s="4" t="s">
        <v>32</v>
      </c>
      <c r="F359" s="4" t="s">
        <v>1354</v>
      </c>
      <c r="G359">
        <v>9</v>
      </c>
      <c r="H359">
        <v>42</v>
      </c>
      <c r="I359" s="4" t="s">
        <v>207</v>
      </c>
      <c r="J359" s="4" t="s">
        <v>208</v>
      </c>
      <c r="K359" s="4" t="s">
        <v>179</v>
      </c>
      <c r="L359" s="4" t="s">
        <v>180</v>
      </c>
      <c r="M359" s="4" t="s">
        <v>192</v>
      </c>
      <c r="N359" s="4" t="s">
        <v>182</v>
      </c>
      <c r="O359" s="4" t="s">
        <v>183</v>
      </c>
      <c r="P359">
        <v>17199.87</v>
      </c>
      <c r="Q359" s="4" t="s">
        <v>30</v>
      </c>
    </row>
    <row r="360" spans="1:17" x14ac:dyDescent="0.2">
      <c r="A360" s="4" t="s">
        <v>544</v>
      </c>
      <c r="B360">
        <v>359</v>
      </c>
      <c r="C360" s="4" t="s">
        <v>26</v>
      </c>
      <c r="D360" s="4" t="s">
        <v>41</v>
      </c>
      <c r="E360" s="4" t="s">
        <v>32</v>
      </c>
      <c r="F360" s="4" t="s">
        <v>1354</v>
      </c>
      <c r="G360">
        <v>9</v>
      </c>
      <c r="H360">
        <v>42</v>
      </c>
      <c r="I360" s="4" t="s">
        <v>209</v>
      </c>
      <c r="J360" s="4" t="s">
        <v>210</v>
      </c>
      <c r="K360" s="4" t="s">
        <v>205</v>
      </c>
      <c r="L360" s="4" t="s">
        <v>211</v>
      </c>
      <c r="M360" s="4" t="s">
        <v>182</v>
      </c>
      <c r="N360" s="4" t="s">
        <v>182</v>
      </c>
      <c r="O360" s="4" t="s">
        <v>183</v>
      </c>
      <c r="P360">
        <v>14866.03</v>
      </c>
      <c r="Q360" s="4" t="s">
        <v>30</v>
      </c>
    </row>
    <row r="361" spans="1:17" x14ac:dyDescent="0.2">
      <c r="A361" s="4" t="s">
        <v>545</v>
      </c>
      <c r="B361">
        <v>360</v>
      </c>
      <c r="C361" s="4" t="s">
        <v>26</v>
      </c>
      <c r="D361" s="4" t="s">
        <v>41</v>
      </c>
      <c r="E361" s="4" t="s">
        <v>32</v>
      </c>
      <c r="F361" s="4" t="s">
        <v>1354</v>
      </c>
      <c r="G361">
        <v>9</v>
      </c>
      <c r="H361">
        <v>42</v>
      </c>
      <c r="I361" s="4" t="s">
        <v>203</v>
      </c>
      <c r="J361" s="4" t="s">
        <v>204</v>
      </c>
      <c r="K361" s="4" t="s">
        <v>205</v>
      </c>
      <c r="L361" s="4" t="s">
        <v>206</v>
      </c>
      <c r="M361" s="4" t="s">
        <v>182</v>
      </c>
      <c r="N361" s="4" t="s">
        <v>182</v>
      </c>
      <c r="O361" s="4" t="s">
        <v>183</v>
      </c>
      <c r="P361">
        <v>300</v>
      </c>
      <c r="Q361" s="4" t="s">
        <v>30</v>
      </c>
    </row>
    <row r="362" spans="1:17" x14ac:dyDescent="0.2">
      <c r="A362" s="4" t="s">
        <v>546</v>
      </c>
      <c r="B362">
        <v>361</v>
      </c>
      <c r="C362" s="4" t="s">
        <v>26</v>
      </c>
      <c r="D362" s="4" t="s">
        <v>41</v>
      </c>
      <c r="E362" s="4" t="s">
        <v>32</v>
      </c>
      <c r="F362" s="4" t="s">
        <v>1354</v>
      </c>
      <c r="G362">
        <v>9</v>
      </c>
      <c r="H362">
        <v>42</v>
      </c>
      <c r="I362" s="4" t="s">
        <v>201</v>
      </c>
      <c r="J362" s="4" t="s">
        <v>202</v>
      </c>
      <c r="K362" s="4" t="s">
        <v>179</v>
      </c>
      <c r="L362" s="4" t="s">
        <v>180</v>
      </c>
      <c r="M362" s="4" t="s">
        <v>192</v>
      </c>
      <c r="N362" s="4" t="s">
        <v>182</v>
      </c>
      <c r="O362" s="4" t="s">
        <v>189</v>
      </c>
      <c r="P362">
        <v>-14866.03</v>
      </c>
      <c r="Q362" s="4" t="s">
        <v>30</v>
      </c>
    </row>
    <row r="363" spans="1:17" x14ac:dyDescent="0.2">
      <c r="A363" s="4" t="s">
        <v>547</v>
      </c>
      <c r="B363">
        <v>362</v>
      </c>
      <c r="C363" s="4" t="s">
        <v>26</v>
      </c>
      <c r="D363" s="4" t="s">
        <v>41</v>
      </c>
      <c r="E363" s="4" t="s">
        <v>32</v>
      </c>
      <c r="F363" s="4" t="s">
        <v>1354</v>
      </c>
      <c r="G363">
        <v>9</v>
      </c>
      <c r="H363">
        <v>42</v>
      </c>
      <c r="I363" s="4" t="s">
        <v>212</v>
      </c>
      <c r="J363" s="4" t="s">
        <v>213</v>
      </c>
      <c r="K363" s="4" t="s">
        <v>205</v>
      </c>
      <c r="L363" s="4" t="s">
        <v>214</v>
      </c>
      <c r="M363" s="4" t="s">
        <v>182</v>
      </c>
      <c r="N363" s="4" t="s">
        <v>182</v>
      </c>
      <c r="O363" s="4" t="s">
        <v>189</v>
      </c>
      <c r="P363">
        <v>-17199.87</v>
      </c>
      <c r="Q363" s="4" t="s">
        <v>30</v>
      </c>
    </row>
    <row r="364" spans="1:17" x14ac:dyDescent="0.2">
      <c r="A364" s="4" t="s">
        <v>548</v>
      </c>
      <c r="B364">
        <v>363</v>
      </c>
      <c r="C364" s="4" t="s">
        <v>26</v>
      </c>
      <c r="D364" s="4" t="s">
        <v>41</v>
      </c>
      <c r="E364" s="4" t="s">
        <v>35</v>
      </c>
      <c r="F364" s="4" t="s">
        <v>1415</v>
      </c>
      <c r="G364">
        <v>9</v>
      </c>
      <c r="H364">
        <v>43</v>
      </c>
      <c r="I364" s="4" t="s">
        <v>190</v>
      </c>
      <c r="J364" s="4" t="s">
        <v>191</v>
      </c>
      <c r="K364" s="4" t="s">
        <v>179</v>
      </c>
      <c r="L364" s="4" t="s">
        <v>180</v>
      </c>
      <c r="M364" s="4" t="s">
        <v>192</v>
      </c>
      <c r="N364" s="4" t="s">
        <v>182</v>
      </c>
      <c r="O364" s="4" t="s">
        <v>189</v>
      </c>
      <c r="P364">
        <v>-300</v>
      </c>
      <c r="Q364" s="4" t="s">
        <v>30</v>
      </c>
    </row>
    <row r="365" spans="1:17" x14ac:dyDescent="0.2">
      <c r="A365" s="4" t="s">
        <v>549</v>
      </c>
      <c r="B365">
        <v>364</v>
      </c>
      <c r="C365" s="4" t="s">
        <v>26</v>
      </c>
      <c r="D365" s="4" t="s">
        <v>41</v>
      </c>
      <c r="E365" s="4" t="s">
        <v>35</v>
      </c>
      <c r="F365" s="4" t="s">
        <v>1415</v>
      </c>
      <c r="G365">
        <v>9</v>
      </c>
      <c r="H365">
        <v>43</v>
      </c>
      <c r="I365" s="4" t="s">
        <v>190</v>
      </c>
      <c r="J365" s="4" t="s">
        <v>191</v>
      </c>
      <c r="K365" s="4" t="s">
        <v>179</v>
      </c>
      <c r="L365" s="4" t="s">
        <v>180</v>
      </c>
      <c r="M365" s="4" t="s">
        <v>192</v>
      </c>
      <c r="N365" s="4" t="s">
        <v>182</v>
      </c>
      <c r="O365" s="4" t="s">
        <v>183</v>
      </c>
      <c r="P365">
        <v>7013.48</v>
      </c>
      <c r="Q365" s="4" t="s">
        <v>30</v>
      </c>
    </row>
    <row r="366" spans="1:17" x14ac:dyDescent="0.2">
      <c r="A366" s="4" t="s">
        <v>550</v>
      </c>
      <c r="B366">
        <v>365</v>
      </c>
      <c r="C366" s="4" t="s">
        <v>26</v>
      </c>
      <c r="D366" s="4" t="s">
        <v>41</v>
      </c>
      <c r="E366" s="4" t="s">
        <v>35</v>
      </c>
      <c r="F366" s="4" t="s">
        <v>1415</v>
      </c>
      <c r="G366">
        <v>9</v>
      </c>
      <c r="H366">
        <v>43</v>
      </c>
      <c r="I366" s="4" t="s">
        <v>207</v>
      </c>
      <c r="J366" s="4" t="s">
        <v>208</v>
      </c>
      <c r="K366" s="4" t="s">
        <v>179</v>
      </c>
      <c r="L366" s="4" t="s">
        <v>180</v>
      </c>
      <c r="M366" s="4" t="s">
        <v>192</v>
      </c>
      <c r="N366" s="4" t="s">
        <v>182</v>
      </c>
      <c r="O366" s="4" t="s">
        <v>189</v>
      </c>
      <c r="P366">
        <v>-7013.48</v>
      </c>
      <c r="Q366" s="4" t="s">
        <v>30</v>
      </c>
    </row>
    <row r="367" spans="1:17" x14ac:dyDescent="0.2">
      <c r="A367" s="4" t="s">
        <v>551</v>
      </c>
      <c r="B367">
        <v>366</v>
      </c>
      <c r="C367" s="4" t="s">
        <v>26</v>
      </c>
      <c r="D367" s="4" t="s">
        <v>41</v>
      </c>
      <c r="E367" s="4" t="s">
        <v>35</v>
      </c>
      <c r="F367" s="4" t="s">
        <v>1415</v>
      </c>
      <c r="G367">
        <v>9</v>
      </c>
      <c r="H367">
        <v>43</v>
      </c>
      <c r="I367" s="4" t="s">
        <v>207</v>
      </c>
      <c r="J367" s="4" t="s">
        <v>208</v>
      </c>
      <c r="K367" s="4" t="s">
        <v>179</v>
      </c>
      <c r="L367" s="4" t="s">
        <v>180</v>
      </c>
      <c r="M367" s="4" t="s">
        <v>192</v>
      </c>
      <c r="N367" s="4" t="s">
        <v>182</v>
      </c>
      <c r="O367" s="4" t="s">
        <v>183</v>
      </c>
      <c r="P367">
        <v>15150.73</v>
      </c>
      <c r="Q367" s="4" t="s">
        <v>30</v>
      </c>
    </row>
    <row r="368" spans="1:17" x14ac:dyDescent="0.2">
      <c r="A368" s="4" t="s">
        <v>552</v>
      </c>
      <c r="B368">
        <v>367</v>
      </c>
      <c r="C368" s="4" t="s">
        <v>26</v>
      </c>
      <c r="D368" s="4" t="s">
        <v>41</v>
      </c>
      <c r="E368" s="4" t="s">
        <v>35</v>
      </c>
      <c r="F368" s="4" t="s">
        <v>1415</v>
      </c>
      <c r="G368">
        <v>9</v>
      </c>
      <c r="H368">
        <v>43</v>
      </c>
      <c r="I368" s="4" t="s">
        <v>209</v>
      </c>
      <c r="J368" s="4" t="s">
        <v>210</v>
      </c>
      <c r="K368" s="4" t="s">
        <v>205</v>
      </c>
      <c r="L368" s="4" t="s">
        <v>211</v>
      </c>
      <c r="M368" s="4" t="s">
        <v>182</v>
      </c>
      <c r="N368" s="4" t="s">
        <v>182</v>
      </c>
      <c r="O368" s="4" t="s">
        <v>183</v>
      </c>
      <c r="P368">
        <v>13188.99</v>
      </c>
      <c r="Q368" s="4" t="s">
        <v>30</v>
      </c>
    </row>
    <row r="369" spans="1:17" x14ac:dyDescent="0.2">
      <c r="A369" s="4" t="s">
        <v>553</v>
      </c>
      <c r="B369">
        <v>368</v>
      </c>
      <c r="C369" s="4" t="s">
        <v>26</v>
      </c>
      <c r="D369" s="4" t="s">
        <v>41</v>
      </c>
      <c r="E369" s="4" t="s">
        <v>35</v>
      </c>
      <c r="F369" s="4" t="s">
        <v>1415</v>
      </c>
      <c r="G369">
        <v>9</v>
      </c>
      <c r="H369">
        <v>43</v>
      </c>
      <c r="I369" s="4" t="s">
        <v>203</v>
      </c>
      <c r="J369" s="4" t="s">
        <v>204</v>
      </c>
      <c r="K369" s="4" t="s">
        <v>205</v>
      </c>
      <c r="L369" s="4" t="s">
        <v>206</v>
      </c>
      <c r="M369" s="4" t="s">
        <v>182</v>
      </c>
      <c r="N369" s="4" t="s">
        <v>182</v>
      </c>
      <c r="O369" s="4" t="s">
        <v>183</v>
      </c>
      <c r="P369">
        <v>300</v>
      </c>
      <c r="Q369" s="4" t="s">
        <v>30</v>
      </c>
    </row>
    <row r="370" spans="1:17" x14ac:dyDescent="0.2">
      <c r="A370" s="4" t="s">
        <v>554</v>
      </c>
      <c r="B370">
        <v>369</v>
      </c>
      <c r="C370" s="4" t="s">
        <v>26</v>
      </c>
      <c r="D370" s="4" t="s">
        <v>41</v>
      </c>
      <c r="E370" s="4" t="s">
        <v>35</v>
      </c>
      <c r="F370" s="4" t="s">
        <v>1415</v>
      </c>
      <c r="G370">
        <v>9</v>
      </c>
      <c r="H370">
        <v>43</v>
      </c>
      <c r="I370" s="4" t="s">
        <v>201</v>
      </c>
      <c r="J370" s="4" t="s">
        <v>202</v>
      </c>
      <c r="K370" s="4" t="s">
        <v>179</v>
      </c>
      <c r="L370" s="4" t="s">
        <v>180</v>
      </c>
      <c r="M370" s="4" t="s">
        <v>192</v>
      </c>
      <c r="N370" s="4" t="s">
        <v>182</v>
      </c>
      <c r="O370" s="4" t="s">
        <v>189</v>
      </c>
      <c r="P370">
        <v>-13188.99</v>
      </c>
      <c r="Q370" s="4" t="s">
        <v>30</v>
      </c>
    </row>
    <row r="371" spans="1:17" x14ac:dyDescent="0.2">
      <c r="A371" s="4" t="s">
        <v>555</v>
      </c>
      <c r="B371">
        <v>370</v>
      </c>
      <c r="C371" s="4" t="s">
        <v>26</v>
      </c>
      <c r="D371" s="4" t="s">
        <v>41</v>
      </c>
      <c r="E371" s="4" t="s">
        <v>35</v>
      </c>
      <c r="F371" s="4" t="s">
        <v>1415</v>
      </c>
      <c r="G371">
        <v>9</v>
      </c>
      <c r="H371">
        <v>43</v>
      </c>
      <c r="I371" s="4" t="s">
        <v>212</v>
      </c>
      <c r="J371" s="4" t="s">
        <v>213</v>
      </c>
      <c r="K371" s="4" t="s">
        <v>205</v>
      </c>
      <c r="L371" s="4" t="s">
        <v>214</v>
      </c>
      <c r="M371" s="4" t="s">
        <v>182</v>
      </c>
      <c r="N371" s="4" t="s">
        <v>182</v>
      </c>
      <c r="O371" s="4" t="s">
        <v>189</v>
      </c>
      <c r="P371">
        <v>-15150.73</v>
      </c>
      <c r="Q371" s="4" t="s">
        <v>30</v>
      </c>
    </row>
    <row r="372" spans="1:17" x14ac:dyDescent="0.2">
      <c r="A372" s="4" t="s">
        <v>556</v>
      </c>
      <c r="B372">
        <v>371</v>
      </c>
      <c r="C372" s="4" t="s">
        <v>26</v>
      </c>
      <c r="D372" s="4" t="s">
        <v>41</v>
      </c>
      <c r="E372" s="4" t="s">
        <v>38</v>
      </c>
      <c r="F372" s="4" t="s">
        <v>1446</v>
      </c>
      <c r="G372">
        <v>9</v>
      </c>
      <c r="H372">
        <v>44</v>
      </c>
      <c r="I372" s="4" t="s">
        <v>190</v>
      </c>
      <c r="J372" s="4" t="s">
        <v>191</v>
      </c>
      <c r="K372" s="4" t="s">
        <v>179</v>
      </c>
      <c r="L372" s="4" t="s">
        <v>180</v>
      </c>
      <c r="M372" s="4" t="s">
        <v>192</v>
      </c>
      <c r="N372" s="4" t="s">
        <v>182</v>
      </c>
      <c r="O372" s="4" t="s">
        <v>189</v>
      </c>
      <c r="P372">
        <v>-130610.59</v>
      </c>
      <c r="Q372" s="4" t="s">
        <v>30</v>
      </c>
    </row>
    <row r="373" spans="1:17" x14ac:dyDescent="0.2">
      <c r="A373" s="4" t="s">
        <v>557</v>
      </c>
      <c r="B373">
        <v>372</v>
      </c>
      <c r="C373" s="4" t="s">
        <v>26</v>
      </c>
      <c r="D373" s="4" t="s">
        <v>41</v>
      </c>
      <c r="E373" s="4" t="s">
        <v>38</v>
      </c>
      <c r="F373" s="4" t="s">
        <v>1446</v>
      </c>
      <c r="G373">
        <v>9</v>
      </c>
      <c r="H373">
        <v>44</v>
      </c>
      <c r="I373" s="4" t="s">
        <v>190</v>
      </c>
      <c r="J373" s="4" t="s">
        <v>191</v>
      </c>
      <c r="K373" s="4" t="s">
        <v>179</v>
      </c>
      <c r="L373" s="4" t="s">
        <v>180</v>
      </c>
      <c r="M373" s="4" t="s">
        <v>192</v>
      </c>
      <c r="N373" s="4" t="s">
        <v>182</v>
      </c>
      <c r="O373" s="4" t="s">
        <v>183</v>
      </c>
      <c r="P373">
        <v>8112.89</v>
      </c>
      <c r="Q373" s="4" t="s">
        <v>30</v>
      </c>
    </row>
    <row r="374" spans="1:17" x14ac:dyDescent="0.2">
      <c r="A374" s="4" t="s">
        <v>558</v>
      </c>
      <c r="B374">
        <v>373</v>
      </c>
      <c r="C374" s="4" t="s">
        <v>26</v>
      </c>
      <c r="D374" s="4" t="s">
        <v>41</v>
      </c>
      <c r="E374" s="4" t="s">
        <v>38</v>
      </c>
      <c r="F374" s="4" t="s">
        <v>1446</v>
      </c>
      <c r="G374">
        <v>9</v>
      </c>
      <c r="H374">
        <v>44</v>
      </c>
      <c r="I374" s="4" t="s">
        <v>207</v>
      </c>
      <c r="J374" s="4" t="s">
        <v>208</v>
      </c>
      <c r="K374" s="4" t="s">
        <v>179</v>
      </c>
      <c r="L374" s="4" t="s">
        <v>180</v>
      </c>
      <c r="M374" s="4" t="s">
        <v>192</v>
      </c>
      <c r="N374" s="4" t="s">
        <v>182</v>
      </c>
      <c r="O374" s="4" t="s">
        <v>189</v>
      </c>
      <c r="P374">
        <v>-8112.89</v>
      </c>
      <c r="Q374" s="4" t="s">
        <v>30</v>
      </c>
    </row>
    <row r="375" spans="1:17" x14ac:dyDescent="0.2">
      <c r="A375" s="4" t="s">
        <v>559</v>
      </c>
      <c r="B375">
        <v>374</v>
      </c>
      <c r="C375" s="4" t="s">
        <v>26</v>
      </c>
      <c r="D375" s="4" t="s">
        <v>41</v>
      </c>
      <c r="E375" s="4" t="s">
        <v>38</v>
      </c>
      <c r="F375" s="4" t="s">
        <v>1446</v>
      </c>
      <c r="G375">
        <v>9</v>
      </c>
      <c r="H375">
        <v>44</v>
      </c>
      <c r="I375" s="4" t="s">
        <v>207</v>
      </c>
      <c r="J375" s="4" t="s">
        <v>208</v>
      </c>
      <c r="K375" s="4" t="s">
        <v>179</v>
      </c>
      <c r="L375" s="4" t="s">
        <v>180</v>
      </c>
      <c r="M375" s="4" t="s">
        <v>192</v>
      </c>
      <c r="N375" s="4" t="s">
        <v>182</v>
      </c>
      <c r="O375" s="4" t="s">
        <v>183</v>
      </c>
      <c r="P375">
        <v>15053.34</v>
      </c>
      <c r="Q375" s="4" t="s">
        <v>30</v>
      </c>
    </row>
    <row r="376" spans="1:17" x14ac:dyDescent="0.2">
      <c r="A376" s="4" t="s">
        <v>560</v>
      </c>
      <c r="B376">
        <v>375</v>
      </c>
      <c r="C376" s="4" t="s">
        <v>26</v>
      </c>
      <c r="D376" s="4" t="s">
        <v>41</v>
      </c>
      <c r="E376" s="4" t="s">
        <v>38</v>
      </c>
      <c r="F376" s="4" t="s">
        <v>1446</v>
      </c>
      <c r="G376">
        <v>9</v>
      </c>
      <c r="H376">
        <v>44</v>
      </c>
      <c r="I376" s="4" t="s">
        <v>193</v>
      </c>
      <c r="J376" s="4" t="s">
        <v>194</v>
      </c>
      <c r="K376" s="4" t="s">
        <v>179</v>
      </c>
      <c r="L376" s="4" t="s">
        <v>186</v>
      </c>
      <c r="M376" s="4" t="s">
        <v>195</v>
      </c>
      <c r="N376" s="4" t="s">
        <v>196</v>
      </c>
      <c r="O376" s="4" t="s">
        <v>183</v>
      </c>
      <c r="P376">
        <v>130310.59</v>
      </c>
      <c r="Q376" s="4" t="s">
        <v>30</v>
      </c>
    </row>
    <row r="377" spans="1:17" x14ac:dyDescent="0.2">
      <c r="A377" s="4" t="s">
        <v>561</v>
      </c>
      <c r="B377">
        <v>376</v>
      </c>
      <c r="C377" s="4" t="s">
        <v>26</v>
      </c>
      <c r="D377" s="4" t="s">
        <v>41</v>
      </c>
      <c r="E377" s="4" t="s">
        <v>38</v>
      </c>
      <c r="F377" s="4" t="s">
        <v>1446</v>
      </c>
      <c r="G377">
        <v>9</v>
      </c>
      <c r="H377">
        <v>44</v>
      </c>
      <c r="I377" s="4" t="s">
        <v>209</v>
      </c>
      <c r="J377" s="4" t="s">
        <v>210</v>
      </c>
      <c r="K377" s="4" t="s">
        <v>205</v>
      </c>
      <c r="L377" s="4" t="s">
        <v>211</v>
      </c>
      <c r="M377" s="4" t="s">
        <v>182</v>
      </c>
      <c r="N377" s="4" t="s">
        <v>182</v>
      </c>
      <c r="O377" s="4" t="s">
        <v>183</v>
      </c>
      <c r="P377">
        <v>13285.22</v>
      </c>
      <c r="Q377" s="4" t="s">
        <v>30</v>
      </c>
    </row>
    <row r="378" spans="1:17" x14ac:dyDescent="0.2">
      <c r="A378" s="4" t="s">
        <v>562</v>
      </c>
      <c r="B378">
        <v>377</v>
      </c>
      <c r="C378" s="4" t="s">
        <v>26</v>
      </c>
      <c r="D378" s="4" t="s">
        <v>41</v>
      </c>
      <c r="E378" s="4" t="s">
        <v>38</v>
      </c>
      <c r="F378" s="4" t="s">
        <v>1446</v>
      </c>
      <c r="G378">
        <v>9</v>
      </c>
      <c r="H378">
        <v>44</v>
      </c>
      <c r="I378" s="4" t="s">
        <v>203</v>
      </c>
      <c r="J378" s="4" t="s">
        <v>204</v>
      </c>
      <c r="K378" s="4" t="s">
        <v>205</v>
      </c>
      <c r="L378" s="4" t="s">
        <v>206</v>
      </c>
      <c r="M378" s="4" t="s">
        <v>182</v>
      </c>
      <c r="N378" s="4" t="s">
        <v>182</v>
      </c>
      <c r="O378" s="4" t="s">
        <v>183</v>
      </c>
      <c r="P378">
        <v>300</v>
      </c>
      <c r="Q378" s="4" t="s">
        <v>30</v>
      </c>
    </row>
    <row r="379" spans="1:17" x14ac:dyDescent="0.2">
      <c r="A379" s="4" t="s">
        <v>563</v>
      </c>
      <c r="B379">
        <v>378</v>
      </c>
      <c r="C379" s="4" t="s">
        <v>26</v>
      </c>
      <c r="D379" s="4" t="s">
        <v>41</v>
      </c>
      <c r="E379" s="4" t="s">
        <v>38</v>
      </c>
      <c r="F379" s="4" t="s">
        <v>1446</v>
      </c>
      <c r="G379">
        <v>9</v>
      </c>
      <c r="H379">
        <v>44</v>
      </c>
      <c r="I379" s="4" t="s">
        <v>201</v>
      </c>
      <c r="J379" s="4" t="s">
        <v>202</v>
      </c>
      <c r="K379" s="4" t="s">
        <v>179</v>
      </c>
      <c r="L379" s="4" t="s">
        <v>180</v>
      </c>
      <c r="M379" s="4" t="s">
        <v>192</v>
      </c>
      <c r="N379" s="4" t="s">
        <v>182</v>
      </c>
      <c r="O379" s="4" t="s">
        <v>189</v>
      </c>
      <c r="P379">
        <v>-13285.22</v>
      </c>
      <c r="Q379" s="4" t="s">
        <v>30</v>
      </c>
    </row>
    <row r="380" spans="1:17" x14ac:dyDescent="0.2">
      <c r="A380" s="4" t="s">
        <v>564</v>
      </c>
      <c r="B380">
        <v>379</v>
      </c>
      <c r="C380" s="4" t="s">
        <v>26</v>
      </c>
      <c r="D380" s="4" t="s">
        <v>41</v>
      </c>
      <c r="E380" s="4" t="s">
        <v>38</v>
      </c>
      <c r="F380" s="4" t="s">
        <v>1446</v>
      </c>
      <c r="G380">
        <v>9</v>
      </c>
      <c r="H380">
        <v>44</v>
      </c>
      <c r="I380" s="4" t="s">
        <v>212</v>
      </c>
      <c r="J380" s="4" t="s">
        <v>213</v>
      </c>
      <c r="K380" s="4" t="s">
        <v>205</v>
      </c>
      <c r="L380" s="4" t="s">
        <v>214</v>
      </c>
      <c r="M380" s="4" t="s">
        <v>182</v>
      </c>
      <c r="N380" s="4" t="s">
        <v>182</v>
      </c>
      <c r="O380" s="4" t="s">
        <v>189</v>
      </c>
      <c r="P380">
        <v>-15053.34</v>
      </c>
      <c r="Q380" s="4" t="s">
        <v>30</v>
      </c>
    </row>
    <row r="381" spans="1:17" x14ac:dyDescent="0.2">
      <c r="A381" s="4" t="s">
        <v>565</v>
      </c>
      <c r="B381">
        <v>380</v>
      </c>
      <c r="C381" s="4" t="s">
        <v>26</v>
      </c>
      <c r="D381" s="4" t="s">
        <v>41</v>
      </c>
      <c r="E381" s="4" t="s">
        <v>41</v>
      </c>
      <c r="F381" s="4" t="s">
        <v>1474</v>
      </c>
      <c r="G381">
        <v>9</v>
      </c>
      <c r="H381">
        <v>45</v>
      </c>
      <c r="I381" s="4" t="s">
        <v>190</v>
      </c>
      <c r="J381" s="4" t="s">
        <v>191</v>
      </c>
      <c r="K381" s="4" t="s">
        <v>179</v>
      </c>
      <c r="L381" s="4" t="s">
        <v>180</v>
      </c>
      <c r="M381" s="4" t="s">
        <v>192</v>
      </c>
      <c r="N381" s="4" t="s">
        <v>182</v>
      </c>
      <c r="O381" s="4" t="s">
        <v>189</v>
      </c>
      <c r="P381">
        <v>-200</v>
      </c>
      <c r="Q381" s="4" t="s">
        <v>30</v>
      </c>
    </row>
    <row r="382" spans="1:17" x14ac:dyDescent="0.2">
      <c r="A382" s="4" t="s">
        <v>566</v>
      </c>
      <c r="B382">
        <v>381</v>
      </c>
      <c r="C382" s="4" t="s">
        <v>26</v>
      </c>
      <c r="D382" s="4" t="s">
        <v>41</v>
      </c>
      <c r="E382" s="4" t="s">
        <v>41</v>
      </c>
      <c r="F382" s="4" t="s">
        <v>1474</v>
      </c>
      <c r="G382">
        <v>9</v>
      </c>
      <c r="H382">
        <v>45</v>
      </c>
      <c r="I382" s="4" t="s">
        <v>190</v>
      </c>
      <c r="J382" s="4" t="s">
        <v>191</v>
      </c>
      <c r="K382" s="4" t="s">
        <v>179</v>
      </c>
      <c r="L382" s="4" t="s">
        <v>180</v>
      </c>
      <c r="M382" s="4" t="s">
        <v>192</v>
      </c>
      <c r="N382" s="4" t="s">
        <v>182</v>
      </c>
      <c r="O382" s="4" t="s">
        <v>183</v>
      </c>
      <c r="P382">
        <v>14911.01</v>
      </c>
      <c r="Q382" s="4" t="s">
        <v>30</v>
      </c>
    </row>
    <row r="383" spans="1:17" x14ac:dyDescent="0.2">
      <c r="A383" s="4" t="s">
        <v>567</v>
      </c>
      <c r="B383">
        <v>382</v>
      </c>
      <c r="C383" s="4" t="s">
        <v>26</v>
      </c>
      <c r="D383" s="4" t="s">
        <v>41</v>
      </c>
      <c r="E383" s="4" t="s">
        <v>41</v>
      </c>
      <c r="F383" s="4" t="s">
        <v>1474</v>
      </c>
      <c r="G383">
        <v>9</v>
      </c>
      <c r="H383">
        <v>45</v>
      </c>
      <c r="I383" s="4" t="s">
        <v>207</v>
      </c>
      <c r="J383" s="4" t="s">
        <v>208</v>
      </c>
      <c r="K383" s="4" t="s">
        <v>179</v>
      </c>
      <c r="L383" s="4" t="s">
        <v>180</v>
      </c>
      <c r="M383" s="4" t="s">
        <v>192</v>
      </c>
      <c r="N383" s="4" t="s">
        <v>182</v>
      </c>
      <c r="O383" s="4" t="s">
        <v>189</v>
      </c>
      <c r="P383">
        <v>-14911.01</v>
      </c>
      <c r="Q383" s="4" t="s">
        <v>30</v>
      </c>
    </row>
    <row r="384" spans="1:17" x14ac:dyDescent="0.2">
      <c r="A384" s="4" t="s">
        <v>568</v>
      </c>
      <c r="B384">
        <v>383</v>
      </c>
      <c r="C384" s="4" t="s">
        <v>26</v>
      </c>
      <c r="D384" s="4" t="s">
        <v>41</v>
      </c>
      <c r="E384" s="4" t="s">
        <v>41</v>
      </c>
      <c r="F384" s="4" t="s">
        <v>1474</v>
      </c>
      <c r="G384">
        <v>9</v>
      </c>
      <c r="H384">
        <v>45</v>
      </c>
      <c r="I384" s="4" t="s">
        <v>207</v>
      </c>
      <c r="J384" s="4" t="s">
        <v>208</v>
      </c>
      <c r="K384" s="4" t="s">
        <v>179</v>
      </c>
      <c r="L384" s="4" t="s">
        <v>180</v>
      </c>
      <c r="M384" s="4" t="s">
        <v>192</v>
      </c>
      <c r="N384" s="4" t="s">
        <v>182</v>
      </c>
      <c r="O384" s="4" t="s">
        <v>183</v>
      </c>
      <c r="P384">
        <v>14585.55</v>
      </c>
      <c r="Q384" s="4" t="s">
        <v>30</v>
      </c>
    </row>
    <row r="385" spans="1:17" x14ac:dyDescent="0.2">
      <c r="A385" s="4" t="s">
        <v>569</v>
      </c>
      <c r="B385">
        <v>384</v>
      </c>
      <c r="C385" s="4" t="s">
        <v>26</v>
      </c>
      <c r="D385" s="4" t="s">
        <v>41</v>
      </c>
      <c r="E385" s="4" t="s">
        <v>41</v>
      </c>
      <c r="F385" s="4" t="s">
        <v>1474</v>
      </c>
      <c r="G385">
        <v>9</v>
      </c>
      <c r="H385">
        <v>45</v>
      </c>
      <c r="I385" s="4" t="s">
        <v>209</v>
      </c>
      <c r="J385" s="4" t="s">
        <v>210</v>
      </c>
      <c r="K385" s="4" t="s">
        <v>205</v>
      </c>
      <c r="L385" s="4" t="s">
        <v>211</v>
      </c>
      <c r="M385" s="4" t="s">
        <v>182</v>
      </c>
      <c r="N385" s="4" t="s">
        <v>182</v>
      </c>
      <c r="O385" s="4" t="s">
        <v>183</v>
      </c>
      <c r="P385">
        <v>12399.31</v>
      </c>
      <c r="Q385" s="4" t="s">
        <v>30</v>
      </c>
    </row>
    <row r="386" spans="1:17" x14ac:dyDescent="0.2">
      <c r="A386" s="4" t="s">
        <v>570</v>
      </c>
      <c r="B386">
        <v>385</v>
      </c>
      <c r="C386" s="4" t="s">
        <v>26</v>
      </c>
      <c r="D386" s="4" t="s">
        <v>41</v>
      </c>
      <c r="E386" s="4" t="s">
        <v>41</v>
      </c>
      <c r="F386" s="4" t="s">
        <v>1474</v>
      </c>
      <c r="G386">
        <v>9</v>
      </c>
      <c r="H386">
        <v>45</v>
      </c>
      <c r="I386" s="4" t="s">
        <v>203</v>
      </c>
      <c r="J386" s="4" t="s">
        <v>204</v>
      </c>
      <c r="K386" s="4" t="s">
        <v>205</v>
      </c>
      <c r="L386" s="4" t="s">
        <v>206</v>
      </c>
      <c r="M386" s="4" t="s">
        <v>182</v>
      </c>
      <c r="N386" s="4" t="s">
        <v>182</v>
      </c>
      <c r="O386" s="4" t="s">
        <v>183</v>
      </c>
      <c r="P386">
        <v>200</v>
      </c>
      <c r="Q386" s="4" t="s">
        <v>30</v>
      </c>
    </row>
    <row r="387" spans="1:17" x14ac:dyDescent="0.2">
      <c r="A387" s="4" t="s">
        <v>571</v>
      </c>
      <c r="B387">
        <v>386</v>
      </c>
      <c r="C387" s="4" t="s">
        <v>26</v>
      </c>
      <c r="D387" s="4" t="s">
        <v>41</v>
      </c>
      <c r="E387" s="4" t="s">
        <v>41</v>
      </c>
      <c r="F387" s="4" t="s">
        <v>1474</v>
      </c>
      <c r="G387">
        <v>9</v>
      </c>
      <c r="H387">
        <v>45</v>
      </c>
      <c r="I387" s="4" t="s">
        <v>201</v>
      </c>
      <c r="J387" s="4" t="s">
        <v>202</v>
      </c>
      <c r="K387" s="4" t="s">
        <v>179</v>
      </c>
      <c r="L387" s="4" t="s">
        <v>180</v>
      </c>
      <c r="M387" s="4" t="s">
        <v>192</v>
      </c>
      <c r="N387" s="4" t="s">
        <v>182</v>
      </c>
      <c r="O387" s="4" t="s">
        <v>189</v>
      </c>
      <c r="P387">
        <v>-12399.31</v>
      </c>
      <c r="Q387" s="4" t="s">
        <v>30</v>
      </c>
    </row>
    <row r="388" spans="1:17" x14ac:dyDescent="0.2">
      <c r="A388" s="4" t="s">
        <v>572</v>
      </c>
      <c r="B388">
        <v>387</v>
      </c>
      <c r="C388" s="4" t="s">
        <v>26</v>
      </c>
      <c r="D388" s="4" t="s">
        <v>41</v>
      </c>
      <c r="E388" s="4" t="s">
        <v>41</v>
      </c>
      <c r="F388" s="4" t="s">
        <v>1474</v>
      </c>
      <c r="G388">
        <v>9</v>
      </c>
      <c r="H388">
        <v>45</v>
      </c>
      <c r="I388" s="4" t="s">
        <v>212</v>
      </c>
      <c r="J388" s="4" t="s">
        <v>213</v>
      </c>
      <c r="K388" s="4" t="s">
        <v>205</v>
      </c>
      <c r="L388" s="4" t="s">
        <v>214</v>
      </c>
      <c r="M388" s="4" t="s">
        <v>182</v>
      </c>
      <c r="N388" s="4" t="s">
        <v>182</v>
      </c>
      <c r="O388" s="4" t="s">
        <v>189</v>
      </c>
      <c r="P388">
        <v>-14585.55</v>
      </c>
      <c r="Q388" s="4" t="s">
        <v>30</v>
      </c>
    </row>
    <row r="389" spans="1:17" x14ac:dyDescent="0.2">
      <c r="A389" s="4" t="s">
        <v>573</v>
      </c>
      <c r="B389">
        <v>388</v>
      </c>
      <c r="C389" s="4" t="s">
        <v>26</v>
      </c>
      <c r="D389" s="4" t="s">
        <v>41</v>
      </c>
      <c r="E389" s="4" t="s">
        <v>44</v>
      </c>
      <c r="F389" s="4" t="s">
        <v>1475</v>
      </c>
      <c r="G389">
        <v>10</v>
      </c>
      <c r="H389">
        <v>46</v>
      </c>
      <c r="I389" s="4" t="s">
        <v>190</v>
      </c>
      <c r="J389" s="4" t="s">
        <v>191</v>
      </c>
      <c r="K389" s="4" t="s">
        <v>179</v>
      </c>
      <c r="L389" s="4" t="s">
        <v>180</v>
      </c>
      <c r="M389" s="4" t="s">
        <v>192</v>
      </c>
      <c r="N389" s="4" t="s">
        <v>182</v>
      </c>
      <c r="O389" s="4" t="s">
        <v>189</v>
      </c>
      <c r="P389">
        <v>-300</v>
      </c>
      <c r="Q389" s="4" t="s">
        <v>30</v>
      </c>
    </row>
    <row r="390" spans="1:17" x14ac:dyDescent="0.2">
      <c r="A390" s="4" t="s">
        <v>574</v>
      </c>
      <c r="B390">
        <v>389</v>
      </c>
      <c r="C390" s="4" t="s">
        <v>26</v>
      </c>
      <c r="D390" s="4" t="s">
        <v>41</v>
      </c>
      <c r="E390" s="4" t="s">
        <v>44</v>
      </c>
      <c r="F390" s="4" t="s">
        <v>1475</v>
      </c>
      <c r="G390">
        <v>10</v>
      </c>
      <c r="H390">
        <v>46</v>
      </c>
      <c r="I390" s="4" t="s">
        <v>190</v>
      </c>
      <c r="J390" s="4" t="s">
        <v>191</v>
      </c>
      <c r="K390" s="4" t="s">
        <v>179</v>
      </c>
      <c r="L390" s="4" t="s">
        <v>180</v>
      </c>
      <c r="M390" s="4" t="s">
        <v>192</v>
      </c>
      <c r="N390" s="4" t="s">
        <v>182</v>
      </c>
      <c r="O390" s="4" t="s">
        <v>183</v>
      </c>
      <c r="P390">
        <v>17199.87</v>
      </c>
      <c r="Q390" s="4" t="s">
        <v>30</v>
      </c>
    </row>
    <row r="391" spans="1:17" x14ac:dyDescent="0.2">
      <c r="A391" s="4" t="s">
        <v>575</v>
      </c>
      <c r="B391">
        <v>390</v>
      </c>
      <c r="C391" s="4" t="s">
        <v>26</v>
      </c>
      <c r="D391" s="4" t="s">
        <v>41</v>
      </c>
      <c r="E391" s="4" t="s">
        <v>44</v>
      </c>
      <c r="F391" s="4" t="s">
        <v>1475</v>
      </c>
      <c r="G391">
        <v>10</v>
      </c>
      <c r="H391">
        <v>46</v>
      </c>
      <c r="I391" s="4" t="s">
        <v>207</v>
      </c>
      <c r="J391" s="4" t="s">
        <v>208</v>
      </c>
      <c r="K391" s="4" t="s">
        <v>179</v>
      </c>
      <c r="L391" s="4" t="s">
        <v>180</v>
      </c>
      <c r="M391" s="4" t="s">
        <v>192</v>
      </c>
      <c r="N391" s="4" t="s">
        <v>182</v>
      </c>
      <c r="O391" s="4" t="s">
        <v>189</v>
      </c>
      <c r="P391">
        <v>-17199.87</v>
      </c>
      <c r="Q391" s="4" t="s">
        <v>30</v>
      </c>
    </row>
    <row r="392" spans="1:17" x14ac:dyDescent="0.2">
      <c r="A392" s="4" t="s">
        <v>576</v>
      </c>
      <c r="B392">
        <v>391</v>
      </c>
      <c r="C392" s="4" t="s">
        <v>26</v>
      </c>
      <c r="D392" s="4" t="s">
        <v>41</v>
      </c>
      <c r="E392" s="4" t="s">
        <v>44</v>
      </c>
      <c r="F392" s="4" t="s">
        <v>1475</v>
      </c>
      <c r="G392">
        <v>10</v>
      </c>
      <c r="H392">
        <v>46</v>
      </c>
      <c r="I392" s="4" t="s">
        <v>207</v>
      </c>
      <c r="J392" s="4" t="s">
        <v>208</v>
      </c>
      <c r="K392" s="4" t="s">
        <v>179</v>
      </c>
      <c r="L392" s="4" t="s">
        <v>180</v>
      </c>
      <c r="M392" s="4" t="s">
        <v>192</v>
      </c>
      <c r="N392" s="4" t="s">
        <v>182</v>
      </c>
      <c r="O392" s="4" t="s">
        <v>183</v>
      </c>
      <c r="P392">
        <v>13893.17</v>
      </c>
      <c r="Q392" s="4" t="s">
        <v>30</v>
      </c>
    </row>
    <row r="393" spans="1:17" x14ac:dyDescent="0.2">
      <c r="A393" s="4" t="s">
        <v>577</v>
      </c>
      <c r="B393">
        <v>392</v>
      </c>
      <c r="C393" s="4" t="s">
        <v>26</v>
      </c>
      <c r="D393" s="4" t="s">
        <v>41</v>
      </c>
      <c r="E393" s="4" t="s">
        <v>44</v>
      </c>
      <c r="F393" s="4" t="s">
        <v>1475</v>
      </c>
      <c r="G393">
        <v>10</v>
      </c>
      <c r="H393">
        <v>46</v>
      </c>
      <c r="I393" s="4" t="s">
        <v>209</v>
      </c>
      <c r="J393" s="4" t="s">
        <v>210</v>
      </c>
      <c r="K393" s="4" t="s">
        <v>205</v>
      </c>
      <c r="L393" s="4" t="s">
        <v>211</v>
      </c>
      <c r="M393" s="4" t="s">
        <v>182</v>
      </c>
      <c r="N393" s="4" t="s">
        <v>182</v>
      </c>
      <c r="O393" s="4" t="s">
        <v>183</v>
      </c>
      <c r="P393">
        <v>11911.57</v>
      </c>
      <c r="Q393" s="4" t="s">
        <v>30</v>
      </c>
    </row>
    <row r="394" spans="1:17" x14ac:dyDescent="0.2">
      <c r="A394" s="4" t="s">
        <v>578</v>
      </c>
      <c r="B394">
        <v>393</v>
      </c>
      <c r="C394" s="4" t="s">
        <v>26</v>
      </c>
      <c r="D394" s="4" t="s">
        <v>41</v>
      </c>
      <c r="E394" s="4" t="s">
        <v>44</v>
      </c>
      <c r="F394" s="4" t="s">
        <v>1475</v>
      </c>
      <c r="G394">
        <v>10</v>
      </c>
      <c r="H394">
        <v>46</v>
      </c>
      <c r="I394" s="4" t="s">
        <v>203</v>
      </c>
      <c r="J394" s="4" t="s">
        <v>204</v>
      </c>
      <c r="K394" s="4" t="s">
        <v>205</v>
      </c>
      <c r="L394" s="4" t="s">
        <v>206</v>
      </c>
      <c r="M394" s="4" t="s">
        <v>182</v>
      </c>
      <c r="N394" s="4" t="s">
        <v>182</v>
      </c>
      <c r="O394" s="4" t="s">
        <v>183</v>
      </c>
      <c r="P394">
        <v>300</v>
      </c>
      <c r="Q394" s="4" t="s">
        <v>30</v>
      </c>
    </row>
    <row r="395" spans="1:17" x14ac:dyDescent="0.2">
      <c r="A395" s="4" t="s">
        <v>579</v>
      </c>
      <c r="B395">
        <v>394</v>
      </c>
      <c r="C395" s="4" t="s">
        <v>26</v>
      </c>
      <c r="D395" s="4" t="s">
        <v>41</v>
      </c>
      <c r="E395" s="4" t="s">
        <v>44</v>
      </c>
      <c r="F395" s="4" t="s">
        <v>1475</v>
      </c>
      <c r="G395">
        <v>10</v>
      </c>
      <c r="H395">
        <v>46</v>
      </c>
      <c r="I395" s="4" t="s">
        <v>201</v>
      </c>
      <c r="J395" s="4" t="s">
        <v>202</v>
      </c>
      <c r="K395" s="4" t="s">
        <v>179</v>
      </c>
      <c r="L395" s="4" t="s">
        <v>180</v>
      </c>
      <c r="M395" s="4" t="s">
        <v>192</v>
      </c>
      <c r="N395" s="4" t="s">
        <v>182</v>
      </c>
      <c r="O395" s="4" t="s">
        <v>189</v>
      </c>
      <c r="P395">
        <v>-11911.57</v>
      </c>
      <c r="Q395" s="4" t="s">
        <v>30</v>
      </c>
    </row>
    <row r="396" spans="1:17" x14ac:dyDescent="0.2">
      <c r="A396" s="4" t="s">
        <v>580</v>
      </c>
      <c r="B396">
        <v>395</v>
      </c>
      <c r="C396" s="4" t="s">
        <v>26</v>
      </c>
      <c r="D396" s="4" t="s">
        <v>41</v>
      </c>
      <c r="E396" s="4" t="s">
        <v>44</v>
      </c>
      <c r="F396" s="4" t="s">
        <v>1475</v>
      </c>
      <c r="G396">
        <v>10</v>
      </c>
      <c r="H396">
        <v>46</v>
      </c>
      <c r="I396" s="4" t="s">
        <v>212</v>
      </c>
      <c r="J396" s="4" t="s">
        <v>213</v>
      </c>
      <c r="K396" s="4" t="s">
        <v>205</v>
      </c>
      <c r="L396" s="4" t="s">
        <v>214</v>
      </c>
      <c r="M396" s="4" t="s">
        <v>182</v>
      </c>
      <c r="N396" s="4" t="s">
        <v>182</v>
      </c>
      <c r="O396" s="4" t="s">
        <v>189</v>
      </c>
      <c r="P396">
        <v>-13893.17</v>
      </c>
      <c r="Q396" s="4" t="s">
        <v>30</v>
      </c>
    </row>
    <row r="397" spans="1:17" x14ac:dyDescent="0.2">
      <c r="A397" s="4" t="s">
        <v>581</v>
      </c>
      <c r="B397">
        <v>396</v>
      </c>
      <c r="C397" s="4" t="s">
        <v>26</v>
      </c>
      <c r="D397" s="4" t="s">
        <v>41</v>
      </c>
      <c r="E397" s="4" t="s">
        <v>47</v>
      </c>
      <c r="F397" s="4" t="s">
        <v>1476</v>
      </c>
      <c r="G397">
        <v>10</v>
      </c>
      <c r="H397">
        <v>47</v>
      </c>
      <c r="I397" s="4" t="s">
        <v>190</v>
      </c>
      <c r="J397" s="4" t="s">
        <v>191</v>
      </c>
      <c r="K397" s="4" t="s">
        <v>179</v>
      </c>
      <c r="L397" s="4" t="s">
        <v>180</v>
      </c>
      <c r="M397" s="4" t="s">
        <v>192</v>
      </c>
      <c r="N397" s="4" t="s">
        <v>182</v>
      </c>
      <c r="O397" s="4" t="s">
        <v>189</v>
      </c>
      <c r="P397">
        <v>-300</v>
      </c>
      <c r="Q397" s="4" t="s">
        <v>30</v>
      </c>
    </row>
    <row r="398" spans="1:17" x14ac:dyDescent="0.2">
      <c r="A398" s="4" t="s">
        <v>582</v>
      </c>
      <c r="B398">
        <v>397</v>
      </c>
      <c r="C398" s="4" t="s">
        <v>26</v>
      </c>
      <c r="D398" s="4" t="s">
        <v>41</v>
      </c>
      <c r="E398" s="4" t="s">
        <v>47</v>
      </c>
      <c r="F398" s="4" t="s">
        <v>1476</v>
      </c>
      <c r="G398">
        <v>10</v>
      </c>
      <c r="H398">
        <v>47</v>
      </c>
      <c r="I398" s="4" t="s">
        <v>190</v>
      </c>
      <c r="J398" s="4" t="s">
        <v>191</v>
      </c>
      <c r="K398" s="4" t="s">
        <v>179</v>
      </c>
      <c r="L398" s="4" t="s">
        <v>180</v>
      </c>
      <c r="M398" s="4" t="s">
        <v>192</v>
      </c>
      <c r="N398" s="4" t="s">
        <v>182</v>
      </c>
      <c r="O398" s="4" t="s">
        <v>183</v>
      </c>
      <c r="P398">
        <v>15150.73</v>
      </c>
      <c r="Q398" s="4" t="s">
        <v>30</v>
      </c>
    </row>
    <row r="399" spans="1:17" x14ac:dyDescent="0.2">
      <c r="A399" s="4" t="s">
        <v>583</v>
      </c>
      <c r="B399">
        <v>398</v>
      </c>
      <c r="C399" s="4" t="s">
        <v>26</v>
      </c>
      <c r="D399" s="4" t="s">
        <v>41</v>
      </c>
      <c r="E399" s="4" t="s">
        <v>47</v>
      </c>
      <c r="F399" s="4" t="s">
        <v>1476</v>
      </c>
      <c r="G399">
        <v>10</v>
      </c>
      <c r="H399">
        <v>47</v>
      </c>
      <c r="I399" s="4" t="s">
        <v>207</v>
      </c>
      <c r="J399" s="4" t="s">
        <v>208</v>
      </c>
      <c r="K399" s="4" t="s">
        <v>179</v>
      </c>
      <c r="L399" s="4" t="s">
        <v>180</v>
      </c>
      <c r="M399" s="4" t="s">
        <v>192</v>
      </c>
      <c r="N399" s="4" t="s">
        <v>182</v>
      </c>
      <c r="O399" s="4" t="s">
        <v>189</v>
      </c>
      <c r="P399">
        <v>-15150.73</v>
      </c>
      <c r="Q399" s="4" t="s">
        <v>30</v>
      </c>
    </row>
    <row r="400" spans="1:17" x14ac:dyDescent="0.2">
      <c r="A400" s="4" t="s">
        <v>584</v>
      </c>
      <c r="B400">
        <v>399</v>
      </c>
      <c r="C400" s="4" t="s">
        <v>26</v>
      </c>
      <c r="D400" s="4" t="s">
        <v>41</v>
      </c>
      <c r="E400" s="4" t="s">
        <v>47</v>
      </c>
      <c r="F400" s="4" t="s">
        <v>1476</v>
      </c>
      <c r="G400">
        <v>10</v>
      </c>
      <c r="H400">
        <v>47</v>
      </c>
      <c r="I400" s="4" t="s">
        <v>207</v>
      </c>
      <c r="J400" s="4" t="s">
        <v>208</v>
      </c>
      <c r="K400" s="4" t="s">
        <v>179</v>
      </c>
      <c r="L400" s="4" t="s">
        <v>180</v>
      </c>
      <c r="M400" s="4" t="s">
        <v>192</v>
      </c>
      <c r="N400" s="4" t="s">
        <v>182</v>
      </c>
      <c r="O400" s="4" t="s">
        <v>183</v>
      </c>
      <c r="P400">
        <v>5862.25</v>
      </c>
      <c r="Q400" s="4" t="s">
        <v>30</v>
      </c>
    </row>
    <row r="401" spans="1:17" x14ac:dyDescent="0.2">
      <c r="A401" s="4" t="s">
        <v>585</v>
      </c>
      <c r="B401">
        <v>400</v>
      </c>
      <c r="C401" s="4" t="s">
        <v>26</v>
      </c>
      <c r="D401" s="4" t="s">
        <v>41</v>
      </c>
      <c r="E401" s="4" t="s">
        <v>47</v>
      </c>
      <c r="F401" s="4" t="s">
        <v>1476</v>
      </c>
      <c r="G401">
        <v>10</v>
      </c>
      <c r="H401">
        <v>47</v>
      </c>
      <c r="I401" s="4" t="s">
        <v>193</v>
      </c>
      <c r="J401" s="4" t="s">
        <v>194</v>
      </c>
      <c r="K401" s="4" t="s">
        <v>179</v>
      </c>
      <c r="L401" s="4" t="s">
        <v>186</v>
      </c>
      <c r="M401" s="4" t="s">
        <v>195</v>
      </c>
      <c r="N401" s="4" t="s">
        <v>196</v>
      </c>
      <c r="O401" s="4" t="s">
        <v>189</v>
      </c>
      <c r="P401">
        <v>-45884.33</v>
      </c>
      <c r="Q401" s="4" t="s">
        <v>30</v>
      </c>
    </row>
    <row r="402" spans="1:17" x14ac:dyDescent="0.2">
      <c r="A402" s="4" t="s">
        <v>586</v>
      </c>
      <c r="B402">
        <v>401</v>
      </c>
      <c r="C402" s="4" t="s">
        <v>26</v>
      </c>
      <c r="D402" s="4" t="s">
        <v>41</v>
      </c>
      <c r="E402" s="4" t="s">
        <v>47</v>
      </c>
      <c r="F402" s="4" t="s">
        <v>1476</v>
      </c>
      <c r="G402">
        <v>10</v>
      </c>
      <c r="H402">
        <v>47</v>
      </c>
      <c r="I402" s="4" t="s">
        <v>197</v>
      </c>
      <c r="J402" s="4" t="s">
        <v>198</v>
      </c>
      <c r="K402" s="4" t="s">
        <v>179</v>
      </c>
      <c r="L402" s="4" t="s">
        <v>186</v>
      </c>
      <c r="M402" s="4" t="s">
        <v>195</v>
      </c>
      <c r="N402" s="4" t="s">
        <v>196</v>
      </c>
      <c r="O402" s="4" t="s">
        <v>189</v>
      </c>
      <c r="P402">
        <v>-44884.33</v>
      </c>
      <c r="Q402" s="4" t="s">
        <v>30</v>
      </c>
    </row>
    <row r="403" spans="1:17" x14ac:dyDescent="0.2">
      <c r="A403" s="4" t="s">
        <v>587</v>
      </c>
      <c r="B403">
        <v>402</v>
      </c>
      <c r="C403" s="4" t="s">
        <v>26</v>
      </c>
      <c r="D403" s="4" t="s">
        <v>41</v>
      </c>
      <c r="E403" s="4" t="s">
        <v>47</v>
      </c>
      <c r="F403" s="4" t="s">
        <v>1476</v>
      </c>
      <c r="G403">
        <v>10</v>
      </c>
      <c r="H403">
        <v>47</v>
      </c>
      <c r="I403" s="4" t="s">
        <v>197</v>
      </c>
      <c r="J403" s="4" t="s">
        <v>198</v>
      </c>
      <c r="K403" s="4" t="s">
        <v>179</v>
      </c>
      <c r="L403" s="4" t="s">
        <v>186</v>
      </c>
      <c r="M403" s="4" t="s">
        <v>195</v>
      </c>
      <c r="N403" s="4" t="s">
        <v>196</v>
      </c>
      <c r="O403" s="4" t="s">
        <v>183</v>
      </c>
      <c r="P403">
        <v>44884.33</v>
      </c>
      <c r="Q403" s="4" t="s">
        <v>30</v>
      </c>
    </row>
    <row r="404" spans="1:17" x14ac:dyDescent="0.2">
      <c r="A404" s="4" t="s">
        <v>588</v>
      </c>
      <c r="B404">
        <v>403</v>
      </c>
      <c r="C404" s="4" t="s">
        <v>26</v>
      </c>
      <c r="D404" s="4" t="s">
        <v>41</v>
      </c>
      <c r="E404" s="4" t="s">
        <v>47</v>
      </c>
      <c r="F404" s="4" t="s">
        <v>1476</v>
      </c>
      <c r="G404">
        <v>10</v>
      </c>
      <c r="H404">
        <v>47</v>
      </c>
      <c r="I404" s="4" t="s">
        <v>199</v>
      </c>
      <c r="J404" s="4" t="s">
        <v>200</v>
      </c>
      <c r="K404" s="4" t="s">
        <v>179</v>
      </c>
      <c r="L404" s="4" t="s">
        <v>186</v>
      </c>
      <c r="M404" s="4" t="s">
        <v>195</v>
      </c>
      <c r="N404" s="4" t="s">
        <v>196</v>
      </c>
      <c r="O404" s="4" t="s">
        <v>189</v>
      </c>
      <c r="P404">
        <v>-1000</v>
      </c>
      <c r="Q404" s="4" t="s">
        <v>30</v>
      </c>
    </row>
    <row r="405" spans="1:17" x14ac:dyDescent="0.2">
      <c r="A405" s="4" t="s">
        <v>589</v>
      </c>
      <c r="B405">
        <v>404</v>
      </c>
      <c r="C405" s="4" t="s">
        <v>26</v>
      </c>
      <c r="D405" s="4" t="s">
        <v>41</v>
      </c>
      <c r="E405" s="4" t="s">
        <v>47</v>
      </c>
      <c r="F405" s="4" t="s">
        <v>1476</v>
      </c>
      <c r="G405">
        <v>10</v>
      </c>
      <c r="H405">
        <v>47</v>
      </c>
      <c r="I405" s="4" t="s">
        <v>199</v>
      </c>
      <c r="J405" s="4" t="s">
        <v>200</v>
      </c>
      <c r="K405" s="4" t="s">
        <v>179</v>
      </c>
      <c r="L405" s="4" t="s">
        <v>186</v>
      </c>
      <c r="M405" s="4" t="s">
        <v>195</v>
      </c>
      <c r="N405" s="4" t="s">
        <v>196</v>
      </c>
      <c r="O405" s="4" t="s">
        <v>183</v>
      </c>
      <c r="P405">
        <v>1000</v>
      </c>
      <c r="Q405" s="4" t="s">
        <v>30</v>
      </c>
    </row>
    <row r="406" spans="1:17" x14ac:dyDescent="0.2">
      <c r="A406" s="4" t="s">
        <v>590</v>
      </c>
      <c r="B406">
        <v>405</v>
      </c>
      <c r="C406" s="4" t="s">
        <v>26</v>
      </c>
      <c r="D406" s="4" t="s">
        <v>41</v>
      </c>
      <c r="E406" s="4" t="s">
        <v>47</v>
      </c>
      <c r="F406" s="4" t="s">
        <v>1476</v>
      </c>
      <c r="G406">
        <v>10</v>
      </c>
      <c r="H406">
        <v>47</v>
      </c>
      <c r="I406" s="4" t="s">
        <v>209</v>
      </c>
      <c r="J406" s="4" t="s">
        <v>210</v>
      </c>
      <c r="K406" s="4" t="s">
        <v>205</v>
      </c>
      <c r="L406" s="4" t="s">
        <v>211</v>
      </c>
      <c r="M406" s="4" t="s">
        <v>182</v>
      </c>
      <c r="N406" s="4" t="s">
        <v>182</v>
      </c>
      <c r="O406" s="4" t="s">
        <v>183</v>
      </c>
      <c r="P406">
        <v>5151.97</v>
      </c>
      <c r="Q406" s="4" t="s">
        <v>30</v>
      </c>
    </row>
    <row r="407" spans="1:17" x14ac:dyDescent="0.2">
      <c r="A407" s="4" t="s">
        <v>591</v>
      </c>
      <c r="B407">
        <v>406</v>
      </c>
      <c r="C407" s="4" t="s">
        <v>26</v>
      </c>
      <c r="D407" s="4" t="s">
        <v>41</v>
      </c>
      <c r="E407" s="4" t="s">
        <v>47</v>
      </c>
      <c r="F407" s="4" t="s">
        <v>1476</v>
      </c>
      <c r="G407">
        <v>10</v>
      </c>
      <c r="H407">
        <v>47</v>
      </c>
      <c r="I407" s="4" t="s">
        <v>203</v>
      </c>
      <c r="J407" s="4" t="s">
        <v>204</v>
      </c>
      <c r="K407" s="4" t="s">
        <v>205</v>
      </c>
      <c r="L407" s="4" t="s">
        <v>206</v>
      </c>
      <c r="M407" s="4" t="s">
        <v>182</v>
      </c>
      <c r="N407" s="4" t="s">
        <v>182</v>
      </c>
      <c r="O407" s="4" t="s">
        <v>183</v>
      </c>
      <c r="P407">
        <v>300</v>
      </c>
      <c r="Q407" s="4" t="s">
        <v>30</v>
      </c>
    </row>
    <row r="408" spans="1:17" x14ac:dyDescent="0.2">
      <c r="A408" s="4" t="s">
        <v>592</v>
      </c>
      <c r="B408">
        <v>407</v>
      </c>
      <c r="C408" s="4" t="s">
        <v>26</v>
      </c>
      <c r="D408" s="4" t="s">
        <v>41</v>
      </c>
      <c r="E408" s="4" t="s">
        <v>47</v>
      </c>
      <c r="F408" s="4" t="s">
        <v>1476</v>
      </c>
      <c r="G408">
        <v>10</v>
      </c>
      <c r="H408">
        <v>47</v>
      </c>
      <c r="I408" s="4" t="s">
        <v>201</v>
      </c>
      <c r="J408" s="4" t="s">
        <v>202</v>
      </c>
      <c r="K408" s="4" t="s">
        <v>179</v>
      </c>
      <c r="L408" s="4" t="s">
        <v>180</v>
      </c>
      <c r="M408" s="4" t="s">
        <v>192</v>
      </c>
      <c r="N408" s="4" t="s">
        <v>182</v>
      </c>
      <c r="O408" s="4" t="s">
        <v>189</v>
      </c>
      <c r="P408">
        <v>-5151.97</v>
      </c>
      <c r="Q408" s="4" t="s">
        <v>30</v>
      </c>
    </row>
    <row r="409" spans="1:17" x14ac:dyDescent="0.2">
      <c r="A409" s="4" t="s">
        <v>593</v>
      </c>
      <c r="B409">
        <v>408</v>
      </c>
      <c r="C409" s="4" t="s">
        <v>26</v>
      </c>
      <c r="D409" s="4" t="s">
        <v>41</v>
      </c>
      <c r="E409" s="4" t="s">
        <v>47</v>
      </c>
      <c r="F409" s="4" t="s">
        <v>1476</v>
      </c>
      <c r="G409">
        <v>10</v>
      </c>
      <c r="H409">
        <v>47</v>
      </c>
      <c r="I409" s="4" t="s">
        <v>201</v>
      </c>
      <c r="J409" s="4" t="s">
        <v>202</v>
      </c>
      <c r="K409" s="4" t="s">
        <v>179</v>
      </c>
      <c r="L409" s="4" t="s">
        <v>180</v>
      </c>
      <c r="M409" s="4" t="s">
        <v>192</v>
      </c>
      <c r="N409" s="4" t="s">
        <v>182</v>
      </c>
      <c r="O409" s="4" t="s">
        <v>183</v>
      </c>
      <c r="P409">
        <v>45884.33</v>
      </c>
      <c r="Q409" s="4" t="s">
        <v>30</v>
      </c>
    </row>
    <row r="410" spans="1:17" x14ac:dyDescent="0.2">
      <c r="A410" s="4" t="s">
        <v>594</v>
      </c>
      <c r="B410">
        <v>409</v>
      </c>
      <c r="C410" s="4" t="s">
        <v>26</v>
      </c>
      <c r="D410" s="4" t="s">
        <v>41</v>
      </c>
      <c r="E410" s="4" t="s">
        <v>47</v>
      </c>
      <c r="F410" s="4" t="s">
        <v>1476</v>
      </c>
      <c r="G410">
        <v>10</v>
      </c>
      <c r="H410">
        <v>47</v>
      </c>
      <c r="I410" s="4" t="s">
        <v>212</v>
      </c>
      <c r="J410" s="4" t="s">
        <v>213</v>
      </c>
      <c r="K410" s="4" t="s">
        <v>205</v>
      </c>
      <c r="L410" s="4" t="s">
        <v>214</v>
      </c>
      <c r="M410" s="4" t="s">
        <v>182</v>
      </c>
      <c r="N410" s="4" t="s">
        <v>182</v>
      </c>
      <c r="O410" s="4" t="s">
        <v>189</v>
      </c>
      <c r="P410">
        <v>-5862.25</v>
      </c>
      <c r="Q410" s="4" t="s">
        <v>30</v>
      </c>
    </row>
    <row r="411" spans="1:17" x14ac:dyDescent="0.2">
      <c r="A411" s="4" t="s">
        <v>595</v>
      </c>
      <c r="B411">
        <v>410</v>
      </c>
      <c r="C411" s="4" t="s">
        <v>26</v>
      </c>
      <c r="D411" s="4" t="s">
        <v>41</v>
      </c>
      <c r="E411" s="4" t="s">
        <v>50</v>
      </c>
      <c r="F411" s="4" t="s">
        <v>1477</v>
      </c>
      <c r="G411">
        <v>10</v>
      </c>
      <c r="H411">
        <v>48</v>
      </c>
      <c r="I411" s="4" t="s">
        <v>190</v>
      </c>
      <c r="J411" s="4" t="s">
        <v>191</v>
      </c>
      <c r="K411" s="4" t="s">
        <v>179</v>
      </c>
      <c r="L411" s="4" t="s">
        <v>180</v>
      </c>
      <c r="M411" s="4" t="s">
        <v>192</v>
      </c>
      <c r="N411" s="4" t="s">
        <v>182</v>
      </c>
      <c r="O411" s="4" t="s">
        <v>189</v>
      </c>
      <c r="P411">
        <v>-300</v>
      </c>
      <c r="Q411" s="4" t="s">
        <v>30</v>
      </c>
    </row>
    <row r="412" spans="1:17" x14ac:dyDescent="0.2">
      <c r="A412" s="4" t="s">
        <v>596</v>
      </c>
      <c r="B412">
        <v>411</v>
      </c>
      <c r="C412" s="4" t="s">
        <v>26</v>
      </c>
      <c r="D412" s="4" t="s">
        <v>41</v>
      </c>
      <c r="E412" s="4" t="s">
        <v>50</v>
      </c>
      <c r="F412" s="4" t="s">
        <v>1477</v>
      </c>
      <c r="G412">
        <v>10</v>
      </c>
      <c r="H412">
        <v>48</v>
      </c>
      <c r="I412" s="4" t="s">
        <v>190</v>
      </c>
      <c r="J412" s="4" t="s">
        <v>191</v>
      </c>
      <c r="K412" s="4" t="s">
        <v>179</v>
      </c>
      <c r="L412" s="4" t="s">
        <v>180</v>
      </c>
      <c r="M412" s="4" t="s">
        <v>192</v>
      </c>
      <c r="N412" s="4" t="s">
        <v>182</v>
      </c>
      <c r="O412" s="4" t="s">
        <v>183</v>
      </c>
      <c r="P412">
        <v>15053.34</v>
      </c>
      <c r="Q412" s="4" t="s">
        <v>30</v>
      </c>
    </row>
    <row r="413" spans="1:17" x14ac:dyDescent="0.2">
      <c r="A413" s="4" t="s">
        <v>597</v>
      </c>
      <c r="B413">
        <v>412</v>
      </c>
      <c r="C413" s="4" t="s">
        <v>26</v>
      </c>
      <c r="D413" s="4" t="s">
        <v>41</v>
      </c>
      <c r="E413" s="4" t="s">
        <v>50</v>
      </c>
      <c r="F413" s="4" t="s">
        <v>1477</v>
      </c>
      <c r="G413">
        <v>10</v>
      </c>
      <c r="H413">
        <v>48</v>
      </c>
      <c r="I413" s="4" t="s">
        <v>207</v>
      </c>
      <c r="J413" s="4" t="s">
        <v>208</v>
      </c>
      <c r="K413" s="4" t="s">
        <v>179</v>
      </c>
      <c r="L413" s="4" t="s">
        <v>180</v>
      </c>
      <c r="M413" s="4" t="s">
        <v>192</v>
      </c>
      <c r="N413" s="4" t="s">
        <v>182</v>
      </c>
      <c r="O413" s="4" t="s">
        <v>189</v>
      </c>
      <c r="P413">
        <v>-15053.34</v>
      </c>
      <c r="Q413" s="4" t="s">
        <v>30</v>
      </c>
    </row>
    <row r="414" spans="1:17" x14ac:dyDescent="0.2">
      <c r="A414" s="4" t="s">
        <v>598</v>
      </c>
      <c r="B414">
        <v>413</v>
      </c>
      <c r="C414" s="4" t="s">
        <v>26</v>
      </c>
      <c r="D414" s="4" t="s">
        <v>41</v>
      </c>
      <c r="E414" s="4" t="s">
        <v>50</v>
      </c>
      <c r="F414" s="4" t="s">
        <v>1477</v>
      </c>
      <c r="G414">
        <v>10</v>
      </c>
      <c r="H414">
        <v>48</v>
      </c>
      <c r="I414" s="4" t="s">
        <v>207</v>
      </c>
      <c r="J414" s="4" t="s">
        <v>208</v>
      </c>
      <c r="K414" s="4" t="s">
        <v>179</v>
      </c>
      <c r="L414" s="4" t="s">
        <v>180</v>
      </c>
      <c r="M414" s="4" t="s">
        <v>192</v>
      </c>
      <c r="N414" s="4" t="s">
        <v>182</v>
      </c>
      <c r="O414" s="4" t="s">
        <v>183</v>
      </c>
      <c r="P414">
        <v>27730.73</v>
      </c>
      <c r="Q414" s="4" t="s">
        <v>30</v>
      </c>
    </row>
    <row r="415" spans="1:17" x14ac:dyDescent="0.2">
      <c r="A415" s="4" t="s">
        <v>599</v>
      </c>
      <c r="B415">
        <v>414</v>
      </c>
      <c r="C415" s="4" t="s">
        <v>26</v>
      </c>
      <c r="D415" s="4" t="s">
        <v>41</v>
      </c>
      <c r="E415" s="4" t="s">
        <v>50</v>
      </c>
      <c r="F415" s="4" t="s">
        <v>1477</v>
      </c>
      <c r="G415">
        <v>10</v>
      </c>
      <c r="H415">
        <v>48</v>
      </c>
      <c r="I415" s="4" t="s">
        <v>209</v>
      </c>
      <c r="J415" s="4" t="s">
        <v>210</v>
      </c>
      <c r="K415" s="4" t="s">
        <v>205</v>
      </c>
      <c r="L415" s="4" t="s">
        <v>211</v>
      </c>
      <c r="M415" s="4" t="s">
        <v>182</v>
      </c>
      <c r="N415" s="4" t="s">
        <v>182</v>
      </c>
      <c r="O415" s="4" t="s">
        <v>183</v>
      </c>
      <c r="P415">
        <v>24216.33</v>
      </c>
      <c r="Q415" s="4" t="s">
        <v>30</v>
      </c>
    </row>
    <row r="416" spans="1:17" x14ac:dyDescent="0.2">
      <c r="A416" s="4" t="s">
        <v>600</v>
      </c>
      <c r="B416">
        <v>415</v>
      </c>
      <c r="C416" s="4" t="s">
        <v>26</v>
      </c>
      <c r="D416" s="4" t="s">
        <v>41</v>
      </c>
      <c r="E416" s="4" t="s">
        <v>50</v>
      </c>
      <c r="F416" s="4" t="s">
        <v>1477</v>
      </c>
      <c r="G416">
        <v>10</v>
      </c>
      <c r="H416">
        <v>48</v>
      </c>
      <c r="I416" s="4" t="s">
        <v>203</v>
      </c>
      <c r="J416" s="4" t="s">
        <v>204</v>
      </c>
      <c r="K416" s="4" t="s">
        <v>205</v>
      </c>
      <c r="L416" s="4" t="s">
        <v>206</v>
      </c>
      <c r="M416" s="4" t="s">
        <v>182</v>
      </c>
      <c r="N416" s="4" t="s">
        <v>182</v>
      </c>
      <c r="O416" s="4" t="s">
        <v>183</v>
      </c>
      <c r="P416">
        <v>300</v>
      </c>
      <c r="Q416" s="4" t="s">
        <v>30</v>
      </c>
    </row>
    <row r="417" spans="1:17" x14ac:dyDescent="0.2">
      <c r="A417" s="4" t="s">
        <v>601</v>
      </c>
      <c r="B417">
        <v>416</v>
      </c>
      <c r="C417" s="4" t="s">
        <v>26</v>
      </c>
      <c r="D417" s="4" t="s">
        <v>41</v>
      </c>
      <c r="E417" s="4" t="s">
        <v>50</v>
      </c>
      <c r="F417" s="4" t="s">
        <v>1477</v>
      </c>
      <c r="G417">
        <v>10</v>
      </c>
      <c r="H417">
        <v>48</v>
      </c>
      <c r="I417" s="4" t="s">
        <v>201</v>
      </c>
      <c r="J417" s="4" t="s">
        <v>202</v>
      </c>
      <c r="K417" s="4" t="s">
        <v>179</v>
      </c>
      <c r="L417" s="4" t="s">
        <v>180</v>
      </c>
      <c r="M417" s="4" t="s">
        <v>192</v>
      </c>
      <c r="N417" s="4" t="s">
        <v>182</v>
      </c>
      <c r="O417" s="4" t="s">
        <v>189</v>
      </c>
      <c r="P417">
        <v>-24216.33</v>
      </c>
      <c r="Q417" s="4" t="s">
        <v>30</v>
      </c>
    </row>
    <row r="418" spans="1:17" x14ac:dyDescent="0.2">
      <c r="A418" s="4" t="s">
        <v>602</v>
      </c>
      <c r="B418">
        <v>417</v>
      </c>
      <c r="C418" s="4" t="s">
        <v>26</v>
      </c>
      <c r="D418" s="4" t="s">
        <v>41</v>
      </c>
      <c r="E418" s="4" t="s">
        <v>50</v>
      </c>
      <c r="F418" s="4" t="s">
        <v>1477</v>
      </c>
      <c r="G418">
        <v>10</v>
      </c>
      <c r="H418">
        <v>48</v>
      </c>
      <c r="I418" s="4" t="s">
        <v>212</v>
      </c>
      <c r="J418" s="4" t="s">
        <v>213</v>
      </c>
      <c r="K418" s="4" t="s">
        <v>205</v>
      </c>
      <c r="L418" s="4" t="s">
        <v>214</v>
      </c>
      <c r="M418" s="4" t="s">
        <v>182</v>
      </c>
      <c r="N418" s="4" t="s">
        <v>182</v>
      </c>
      <c r="O418" s="4" t="s">
        <v>189</v>
      </c>
      <c r="P418">
        <v>-27730.73</v>
      </c>
      <c r="Q418" s="4" t="s">
        <v>30</v>
      </c>
    </row>
    <row r="419" spans="1:17" x14ac:dyDescent="0.2">
      <c r="A419" s="4" t="s">
        <v>603</v>
      </c>
      <c r="B419">
        <v>418</v>
      </c>
      <c r="C419" s="4" t="s">
        <v>26</v>
      </c>
      <c r="D419" s="4" t="s">
        <v>41</v>
      </c>
      <c r="E419" s="4" t="s">
        <v>53</v>
      </c>
      <c r="F419" s="4" t="s">
        <v>1596</v>
      </c>
      <c r="G419">
        <v>10</v>
      </c>
      <c r="H419">
        <v>49</v>
      </c>
      <c r="I419" s="4" t="s">
        <v>190</v>
      </c>
      <c r="J419" s="4" t="s">
        <v>191</v>
      </c>
      <c r="K419" s="4" t="s">
        <v>179</v>
      </c>
      <c r="L419" s="4" t="s">
        <v>180</v>
      </c>
      <c r="M419" s="4" t="s">
        <v>192</v>
      </c>
      <c r="N419" s="4" t="s">
        <v>182</v>
      </c>
      <c r="O419" s="4" t="s">
        <v>189</v>
      </c>
      <c r="P419">
        <v>-300</v>
      </c>
      <c r="Q419" s="4" t="s">
        <v>30</v>
      </c>
    </row>
    <row r="420" spans="1:17" x14ac:dyDescent="0.2">
      <c r="A420" s="4" t="s">
        <v>604</v>
      </c>
      <c r="B420">
        <v>419</v>
      </c>
      <c r="C420" s="4" t="s">
        <v>26</v>
      </c>
      <c r="D420" s="4" t="s">
        <v>41</v>
      </c>
      <c r="E420" s="4" t="s">
        <v>53</v>
      </c>
      <c r="F420" s="4" t="s">
        <v>1596</v>
      </c>
      <c r="G420">
        <v>10</v>
      </c>
      <c r="H420">
        <v>49</v>
      </c>
      <c r="I420" s="4" t="s">
        <v>190</v>
      </c>
      <c r="J420" s="4" t="s">
        <v>191</v>
      </c>
      <c r="K420" s="4" t="s">
        <v>179</v>
      </c>
      <c r="L420" s="4" t="s">
        <v>180</v>
      </c>
      <c r="M420" s="4" t="s">
        <v>192</v>
      </c>
      <c r="N420" s="4" t="s">
        <v>182</v>
      </c>
      <c r="O420" s="4" t="s">
        <v>183</v>
      </c>
      <c r="P420">
        <v>14585.55</v>
      </c>
      <c r="Q420" s="4" t="s">
        <v>30</v>
      </c>
    </row>
    <row r="421" spans="1:17" x14ac:dyDescent="0.2">
      <c r="A421" s="4" t="s">
        <v>605</v>
      </c>
      <c r="B421">
        <v>420</v>
      </c>
      <c r="C421" s="4" t="s">
        <v>26</v>
      </c>
      <c r="D421" s="4" t="s">
        <v>41</v>
      </c>
      <c r="E421" s="4" t="s">
        <v>53</v>
      </c>
      <c r="F421" s="4" t="s">
        <v>1596</v>
      </c>
      <c r="G421">
        <v>10</v>
      </c>
      <c r="H421">
        <v>49</v>
      </c>
      <c r="I421" s="4" t="s">
        <v>207</v>
      </c>
      <c r="J421" s="4" t="s">
        <v>208</v>
      </c>
      <c r="K421" s="4" t="s">
        <v>179</v>
      </c>
      <c r="L421" s="4" t="s">
        <v>180</v>
      </c>
      <c r="M421" s="4" t="s">
        <v>192</v>
      </c>
      <c r="N421" s="4" t="s">
        <v>182</v>
      </c>
      <c r="O421" s="4" t="s">
        <v>189</v>
      </c>
      <c r="P421">
        <v>-14585.55</v>
      </c>
      <c r="Q421" s="4" t="s">
        <v>30</v>
      </c>
    </row>
    <row r="422" spans="1:17" x14ac:dyDescent="0.2">
      <c r="A422" s="4" t="s">
        <v>606</v>
      </c>
      <c r="B422">
        <v>421</v>
      </c>
      <c r="C422" s="4" t="s">
        <v>26</v>
      </c>
      <c r="D422" s="4" t="s">
        <v>41</v>
      </c>
      <c r="E422" s="4" t="s">
        <v>53</v>
      </c>
      <c r="F422" s="4" t="s">
        <v>1596</v>
      </c>
      <c r="G422">
        <v>10</v>
      </c>
      <c r="H422">
        <v>49</v>
      </c>
      <c r="I422" s="4" t="s">
        <v>207</v>
      </c>
      <c r="J422" s="4" t="s">
        <v>208</v>
      </c>
      <c r="K422" s="4" t="s">
        <v>179</v>
      </c>
      <c r="L422" s="4" t="s">
        <v>180</v>
      </c>
      <c r="M422" s="4" t="s">
        <v>192</v>
      </c>
      <c r="N422" s="4" t="s">
        <v>182</v>
      </c>
      <c r="O422" s="4" t="s">
        <v>183</v>
      </c>
      <c r="P422">
        <v>15778.87</v>
      </c>
      <c r="Q422" s="4" t="s">
        <v>30</v>
      </c>
    </row>
    <row r="423" spans="1:17" x14ac:dyDescent="0.2">
      <c r="A423" s="4" t="s">
        <v>607</v>
      </c>
      <c r="B423">
        <v>422</v>
      </c>
      <c r="C423" s="4" t="s">
        <v>26</v>
      </c>
      <c r="D423" s="4" t="s">
        <v>41</v>
      </c>
      <c r="E423" s="4" t="s">
        <v>53</v>
      </c>
      <c r="F423" s="4" t="s">
        <v>1596</v>
      </c>
      <c r="G423">
        <v>10</v>
      </c>
      <c r="H423">
        <v>49</v>
      </c>
      <c r="I423" s="4" t="s">
        <v>209</v>
      </c>
      <c r="J423" s="4" t="s">
        <v>210</v>
      </c>
      <c r="K423" s="4" t="s">
        <v>205</v>
      </c>
      <c r="L423" s="4" t="s">
        <v>211</v>
      </c>
      <c r="M423" s="4" t="s">
        <v>182</v>
      </c>
      <c r="N423" s="4" t="s">
        <v>182</v>
      </c>
      <c r="O423" s="4" t="s">
        <v>183</v>
      </c>
      <c r="P423">
        <v>13713.44</v>
      </c>
      <c r="Q423" s="4" t="s">
        <v>30</v>
      </c>
    </row>
    <row r="424" spans="1:17" x14ac:dyDescent="0.2">
      <c r="A424" s="4" t="s">
        <v>608</v>
      </c>
      <c r="B424">
        <v>423</v>
      </c>
      <c r="C424" s="4" t="s">
        <v>26</v>
      </c>
      <c r="D424" s="4" t="s">
        <v>41</v>
      </c>
      <c r="E424" s="4" t="s">
        <v>53</v>
      </c>
      <c r="F424" s="4" t="s">
        <v>1596</v>
      </c>
      <c r="G424">
        <v>10</v>
      </c>
      <c r="H424">
        <v>49</v>
      </c>
      <c r="I424" s="4" t="s">
        <v>203</v>
      </c>
      <c r="J424" s="4" t="s">
        <v>204</v>
      </c>
      <c r="K424" s="4" t="s">
        <v>205</v>
      </c>
      <c r="L424" s="4" t="s">
        <v>206</v>
      </c>
      <c r="M424" s="4" t="s">
        <v>182</v>
      </c>
      <c r="N424" s="4" t="s">
        <v>182</v>
      </c>
      <c r="O424" s="4" t="s">
        <v>183</v>
      </c>
      <c r="P424">
        <v>300</v>
      </c>
      <c r="Q424" s="4" t="s">
        <v>30</v>
      </c>
    </row>
    <row r="425" spans="1:17" x14ac:dyDescent="0.2">
      <c r="A425" s="4" t="s">
        <v>609</v>
      </c>
      <c r="B425">
        <v>424</v>
      </c>
      <c r="C425" s="4" t="s">
        <v>26</v>
      </c>
      <c r="D425" s="4" t="s">
        <v>41</v>
      </c>
      <c r="E425" s="4" t="s">
        <v>53</v>
      </c>
      <c r="F425" s="4" t="s">
        <v>1596</v>
      </c>
      <c r="G425">
        <v>10</v>
      </c>
      <c r="H425">
        <v>49</v>
      </c>
      <c r="I425" s="4" t="s">
        <v>201</v>
      </c>
      <c r="J425" s="4" t="s">
        <v>202</v>
      </c>
      <c r="K425" s="4" t="s">
        <v>179</v>
      </c>
      <c r="L425" s="4" t="s">
        <v>180</v>
      </c>
      <c r="M425" s="4" t="s">
        <v>192</v>
      </c>
      <c r="N425" s="4" t="s">
        <v>182</v>
      </c>
      <c r="O425" s="4" t="s">
        <v>189</v>
      </c>
      <c r="P425">
        <v>-13713.44</v>
      </c>
      <c r="Q425" s="4" t="s">
        <v>30</v>
      </c>
    </row>
    <row r="426" spans="1:17" x14ac:dyDescent="0.2">
      <c r="A426" s="4" t="s">
        <v>610</v>
      </c>
      <c r="B426">
        <v>425</v>
      </c>
      <c r="C426" s="4" t="s">
        <v>26</v>
      </c>
      <c r="D426" s="4" t="s">
        <v>41</v>
      </c>
      <c r="E426" s="4" t="s">
        <v>53</v>
      </c>
      <c r="F426" s="4" t="s">
        <v>1596</v>
      </c>
      <c r="G426">
        <v>10</v>
      </c>
      <c r="H426">
        <v>49</v>
      </c>
      <c r="I426" s="4" t="s">
        <v>212</v>
      </c>
      <c r="J426" s="4" t="s">
        <v>213</v>
      </c>
      <c r="K426" s="4" t="s">
        <v>205</v>
      </c>
      <c r="L426" s="4" t="s">
        <v>214</v>
      </c>
      <c r="M426" s="4" t="s">
        <v>182</v>
      </c>
      <c r="N426" s="4" t="s">
        <v>182</v>
      </c>
      <c r="O426" s="4" t="s">
        <v>189</v>
      </c>
      <c r="P426">
        <v>-15778.87</v>
      </c>
      <c r="Q426" s="4" t="s">
        <v>30</v>
      </c>
    </row>
    <row r="427" spans="1:17" x14ac:dyDescent="0.2">
      <c r="A427" s="4" t="s">
        <v>611</v>
      </c>
      <c r="B427">
        <v>426</v>
      </c>
      <c r="C427" s="4" t="s">
        <v>26</v>
      </c>
      <c r="D427" s="4" t="s">
        <v>41</v>
      </c>
      <c r="E427" s="4" t="s">
        <v>56</v>
      </c>
      <c r="F427" s="4" t="s">
        <v>1626</v>
      </c>
      <c r="G427">
        <v>10</v>
      </c>
      <c r="H427">
        <v>50</v>
      </c>
      <c r="I427" s="4" t="s">
        <v>190</v>
      </c>
      <c r="J427" s="4" t="s">
        <v>191</v>
      </c>
      <c r="K427" s="4" t="s">
        <v>179</v>
      </c>
      <c r="L427" s="4" t="s">
        <v>180</v>
      </c>
      <c r="M427" s="4" t="s">
        <v>192</v>
      </c>
      <c r="N427" s="4" t="s">
        <v>182</v>
      </c>
      <c r="O427" s="4" t="s">
        <v>189</v>
      </c>
      <c r="P427">
        <v>-300</v>
      </c>
      <c r="Q427" s="4" t="s">
        <v>30</v>
      </c>
    </row>
    <row r="428" spans="1:17" x14ac:dyDescent="0.2">
      <c r="A428" s="4" t="s">
        <v>612</v>
      </c>
      <c r="B428">
        <v>427</v>
      </c>
      <c r="C428" s="4" t="s">
        <v>26</v>
      </c>
      <c r="D428" s="4" t="s">
        <v>41</v>
      </c>
      <c r="E428" s="4" t="s">
        <v>56</v>
      </c>
      <c r="F428" s="4" t="s">
        <v>1626</v>
      </c>
      <c r="G428">
        <v>10</v>
      </c>
      <c r="H428">
        <v>50</v>
      </c>
      <c r="I428" s="4" t="s">
        <v>190</v>
      </c>
      <c r="J428" s="4" t="s">
        <v>191</v>
      </c>
      <c r="K428" s="4" t="s">
        <v>179</v>
      </c>
      <c r="L428" s="4" t="s">
        <v>180</v>
      </c>
      <c r="M428" s="4" t="s">
        <v>192</v>
      </c>
      <c r="N428" s="4" t="s">
        <v>182</v>
      </c>
      <c r="O428" s="4" t="s">
        <v>183</v>
      </c>
      <c r="P428">
        <v>13893.17</v>
      </c>
      <c r="Q428" s="4" t="s">
        <v>30</v>
      </c>
    </row>
    <row r="429" spans="1:17" x14ac:dyDescent="0.2">
      <c r="A429" s="4" t="s">
        <v>613</v>
      </c>
      <c r="B429">
        <v>428</v>
      </c>
      <c r="C429" s="4" t="s">
        <v>26</v>
      </c>
      <c r="D429" s="4" t="s">
        <v>41</v>
      </c>
      <c r="E429" s="4" t="s">
        <v>56</v>
      </c>
      <c r="F429" s="4" t="s">
        <v>1626</v>
      </c>
      <c r="G429">
        <v>10</v>
      </c>
      <c r="H429">
        <v>50</v>
      </c>
      <c r="I429" s="4" t="s">
        <v>207</v>
      </c>
      <c r="J429" s="4" t="s">
        <v>208</v>
      </c>
      <c r="K429" s="4" t="s">
        <v>179</v>
      </c>
      <c r="L429" s="4" t="s">
        <v>180</v>
      </c>
      <c r="M429" s="4" t="s">
        <v>192</v>
      </c>
      <c r="N429" s="4" t="s">
        <v>182</v>
      </c>
      <c r="O429" s="4" t="s">
        <v>189</v>
      </c>
      <c r="P429">
        <v>-13893.17</v>
      </c>
      <c r="Q429" s="4" t="s">
        <v>30</v>
      </c>
    </row>
    <row r="430" spans="1:17" x14ac:dyDescent="0.2">
      <c r="A430" s="4" t="s">
        <v>614</v>
      </c>
      <c r="B430">
        <v>429</v>
      </c>
      <c r="C430" s="4" t="s">
        <v>26</v>
      </c>
      <c r="D430" s="4" t="s">
        <v>41</v>
      </c>
      <c r="E430" s="4" t="s">
        <v>56</v>
      </c>
      <c r="F430" s="4" t="s">
        <v>1626</v>
      </c>
      <c r="G430">
        <v>10</v>
      </c>
      <c r="H430">
        <v>50</v>
      </c>
      <c r="I430" s="4" t="s">
        <v>207</v>
      </c>
      <c r="J430" s="4" t="s">
        <v>208</v>
      </c>
      <c r="K430" s="4" t="s">
        <v>179</v>
      </c>
      <c r="L430" s="4" t="s">
        <v>180</v>
      </c>
      <c r="M430" s="4" t="s">
        <v>192</v>
      </c>
      <c r="N430" s="4" t="s">
        <v>182</v>
      </c>
      <c r="O430" s="4" t="s">
        <v>183</v>
      </c>
      <c r="P430">
        <v>24905.82</v>
      </c>
      <c r="Q430" s="4" t="s">
        <v>30</v>
      </c>
    </row>
    <row r="431" spans="1:17" x14ac:dyDescent="0.2">
      <c r="A431" s="4" t="s">
        <v>615</v>
      </c>
      <c r="B431">
        <v>430</v>
      </c>
      <c r="C431" s="4" t="s">
        <v>26</v>
      </c>
      <c r="D431" s="4" t="s">
        <v>41</v>
      </c>
      <c r="E431" s="4" t="s">
        <v>56</v>
      </c>
      <c r="F431" s="4" t="s">
        <v>1626</v>
      </c>
      <c r="G431">
        <v>10</v>
      </c>
      <c r="H431">
        <v>50</v>
      </c>
      <c r="I431" s="4" t="s">
        <v>209</v>
      </c>
      <c r="J431" s="4" t="s">
        <v>210</v>
      </c>
      <c r="K431" s="4" t="s">
        <v>205</v>
      </c>
      <c r="L431" s="4" t="s">
        <v>211</v>
      </c>
      <c r="M431" s="4" t="s">
        <v>182</v>
      </c>
      <c r="N431" s="4" t="s">
        <v>182</v>
      </c>
      <c r="O431" s="4" t="s">
        <v>183</v>
      </c>
      <c r="P431">
        <v>22177.32</v>
      </c>
      <c r="Q431" s="4" t="s">
        <v>30</v>
      </c>
    </row>
    <row r="432" spans="1:17" x14ac:dyDescent="0.2">
      <c r="A432" s="4" t="s">
        <v>616</v>
      </c>
      <c r="B432">
        <v>431</v>
      </c>
      <c r="C432" s="4" t="s">
        <v>26</v>
      </c>
      <c r="D432" s="4" t="s">
        <v>41</v>
      </c>
      <c r="E432" s="4" t="s">
        <v>56</v>
      </c>
      <c r="F432" s="4" t="s">
        <v>1626</v>
      </c>
      <c r="G432">
        <v>10</v>
      </c>
      <c r="H432">
        <v>50</v>
      </c>
      <c r="I432" s="4" t="s">
        <v>203</v>
      </c>
      <c r="J432" s="4" t="s">
        <v>204</v>
      </c>
      <c r="K432" s="4" t="s">
        <v>205</v>
      </c>
      <c r="L432" s="4" t="s">
        <v>206</v>
      </c>
      <c r="M432" s="4" t="s">
        <v>182</v>
      </c>
      <c r="N432" s="4" t="s">
        <v>182</v>
      </c>
      <c r="O432" s="4" t="s">
        <v>183</v>
      </c>
      <c r="P432">
        <v>300</v>
      </c>
      <c r="Q432" s="4" t="s">
        <v>30</v>
      </c>
    </row>
    <row r="433" spans="1:17" x14ac:dyDescent="0.2">
      <c r="A433" s="4" t="s">
        <v>617</v>
      </c>
      <c r="B433">
        <v>432</v>
      </c>
      <c r="C433" s="4" t="s">
        <v>26</v>
      </c>
      <c r="D433" s="4" t="s">
        <v>41</v>
      </c>
      <c r="E433" s="4" t="s">
        <v>56</v>
      </c>
      <c r="F433" s="4" t="s">
        <v>1626</v>
      </c>
      <c r="G433">
        <v>10</v>
      </c>
      <c r="H433">
        <v>50</v>
      </c>
      <c r="I433" s="4" t="s">
        <v>201</v>
      </c>
      <c r="J433" s="4" t="s">
        <v>202</v>
      </c>
      <c r="K433" s="4" t="s">
        <v>179</v>
      </c>
      <c r="L433" s="4" t="s">
        <v>180</v>
      </c>
      <c r="M433" s="4" t="s">
        <v>192</v>
      </c>
      <c r="N433" s="4" t="s">
        <v>182</v>
      </c>
      <c r="O433" s="4" t="s">
        <v>189</v>
      </c>
      <c r="P433">
        <v>-22177.32</v>
      </c>
      <c r="Q433" s="4" t="s">
        <v>30</v>
      </c>
    </row>
    <row r="434" spans="1:17" x14ac:dyDescent="0.2">
      <c r="A434" s="4" t="s">
        <v>618</v>
      </c>
      <c r="B434">
        <v>433</v>
      </c>
      <c r="C434" s="4" t="s">
        <v>26</v>
      </c>
      <c r="D434" s="4" t="s">
        <v>41</v>
      </c>
      <c r="E434" s="4" t="s">
        <v>56</v>
      </c>
      <c r="F434" s="4" t="s">
        <v>1626</v>
      </c>
      <c r="G434">
        <v>10</v>
      </c>
      <c r="H434">
        <v>50</v>
      </c>
      <c r="I434" s="4" t="s">
        <v>212</v>
      </c>
      <c r="J434" s="4" t="s">
        <v>213</v>
      </c>
      <c r="K434" s="4" t="s">
        <v>205</v>
      </c>
      <c r="L434" s="4" t="s">
        <v>214</v>
      </c>
      <c r="M434" s="4" t="s">
        <v>182</v>
      </c>
      <c r="N434" s="4" t="s">
        <v>182</v>
      </c>
      <c r="O434" s="4" t="s">
        <v>189</v>
      </c>
      <c r="P434">
        <v>-24905.82</v>
      </c>
      <c r="Q434" s="4" t="s">
        <v>30</v>
      </c>
    </row>
    <row r="435" spans="1:17" x14ac:dyDescent="0.2">
      <c r="A435" s="4" t="s">
        <v>619</v>
      </c>
      <c r="B435">
        <v>434</v>
      </c>
      <c r="C435" s="4" t="s">
        <v>26</v>
      </c>
      <c r="D435" s="4" t="s">
        <v>44</v>
      </c>
      <c r="E435" s="4" t="s">
        <v>27</v>
      </c>
      <c r="F435" s="4" t="s">
        <v>1655</v>
      </c>
      <c r="G435">
        <v>11</v>
      </c>
      <c r="H435">
        <v>51</v>
      </c>
      <c r="I435" s="4" t="s">
        <v>190</v>
      </c>
      <c r="J435" s="4" t="s">
        <v>191</v>
      </c>
      <c r="K435" s="4" t="s">
        <v>179</v>
      </c>
      <c r="L435" s="4" t="s">
        <v>180</v>
      </c>
      <c r="M435" s="4" t="s">
        <v>192</v>
      </c>
      <c r="N435" s="4" t="s">
        <v>182</v>
      </c>
      <c r="O435" s="4" t="s">
        <v>189</v>
      </c>
      <c r="P435">
        <v>-300</v>
      </c>
      <c r="Q435" s="4" t="s">
        <v>30</v>
      </c>
    </row>
    <row r="436" spans="1:17" x14ac:dyDescent="0.2">
      <c r="A436" s="4" t="s">
        <v>620</v>
      </c>
      <c r="B436">
        <v>435</v>
      </c>
      <c r="C436" s="4" t="s">
        <v>26</v>
      </c>
      <c r="D436" s="4" t="s">
        <v>44</v>
      </c>
      <c r="E436" s="4" t="s">
        <v>27</v>
      </c>
      <c r="F436" s="4" t="s">
        <v>1655</v>
      </c>
      <c r="G436">
        <v>11</v>
      </c>
      <c r="H436">
        <v>51</v>
      </c>
      <c r="I436" s="4" t="s">
        <v>190</v>
      </c>
      <c r="J436" s="4" t="s">
        <v>191</v>
      </c>
      <c r="K436" s="4" t="s">
        <v>179</v>
      </c>
      <c r="L436" s="4" t="s">
        <v>180</v>
      </c>
      <c r="M436" s="4" t="s">
        <v>192</v>
      </c>
      <c r="N436" s="4" t="s">
        <v>182</v>
      </c>
      <c r="O436" s="4" t="s">
        <v>183</v>
      </c>
      <c r="P436">
        <v>5862.25</v>
      </c>
      <c r="Q436" s="4" t="s">
        <v>30</v>
      </c>
    </row>
    <row r="437" spans="1:17" x14ac:dyDescent="0.2">
      <c r="A437" s="4" t="s">
        <v>621</v>
      </c>
      <c r="B437">
        <v>436</v>
      </c>
      <c r="C437" s="4" t="s">
        <v>26</v>
      </c>
      <c r="D437" s="4" t="s">
        <v>44</v>
      </c>
      <c r="E437" s="4" t="s">
        <v>27</v>
      </c>
      <c r="F437" s="4" t="s">
        <v>1655</v>
      </c>
      <c r="G437">
        <v>11</v>
      </c>
      <c r="H437">
        <v>51</v>
      </c>
      <c r="I437" s="4" t="s">
        <v>207</v>
      </c>
      <c r="J437" s="4" t="s">
        <v>208</v>
      </c>
      <c r="K437" s="4" t="s">
        <v>179</v>
      </c>
      <c r="L437" s="4" t="s">
        <v>180</v>
      </c>
      <c r="M437" s="4" t="s">
        <v>192</v>
      </c>
      <c r="N437" s="4" t="s">
        <v>182</v>
      </c>
      <c r="O437" s="4" t="s">
        <v>189</v>
      </c>
      <c r="P437">
        <v>-5862.25</v>
      </c>
      <c r="Q437" s="4" t="s">
        <v>30</v>
      </c>
    </row>
    <row r="438" spans="1:17" x14ac:dyDescent="0.2">
      <c r="A438" s="4" t="s">
        <v>622</v>
      </c>
      <c r="B438">
        <v>437</v>
      </c>
      <c r="C438" s="4" t="s">
        <v>26</v>
      </c>
      <c r="D438" s="4" t="s">
        <v>44</v>
      </c>
      <c r="E438" s="4" t="s">
        <v>27</v>
      </c>
      <c r="F438" s="4" t="s">
        <v>1655</v>
      </c>
      <c r="G438">
        <v>11</v>
      </c>
      <c r="H438">
        <v>51</v>
      </c>
      <c r="I438" s="4" t="s">
        <v>207</v>
      </c>
      <c r="J438" s="4" t="s">
        <v>208</v>
      </c>
      <c r="K438" s="4" t="s">
        <v>179</v>
      </c>
      <c r="L438" s="4" t="s">
        <v>180</v>
      </c>
      <c r="M438" s="4" t="s">
        <v>192</v>
      </c>
      <c r="N438" s="4" t="s">
        <v>182</v>
      </c>
      <c r="O438" s="4" t="s">
        <v>183</v>
      </c>
      <c r="P438">
        <v>15151.25</v>
      </c>
      <c r="Q438" s="4" t="s">
        <v>30</v>
      </c>
    </row>
    <row r="439" spans="1:17" x14ac:dyDescent="0.2">
      <c r="A439" s="4" t="s">
        <v>623</v>
      </c>
      <c r="B439">
        <v>438</v>
      </c>
      <c r="C439" s="4" t="s">
        <v>26</v>
      </c>
      <c r="D439" s="4" t="s">
        <v>44</v>
      </c>
      <c r="E439" s="4" t="s">
        <v>27</v>
      </c>
      <c r="F439" s="4" t="s">
        <v>1655</v>
      </c>
      <c r="G439">
        <v>11</v>
      </c>
      <c r="H439">
        <v>51</v>
      </c>
      <c r="I439" s="4" t="s">
        <v>209</v>
      </c>
      <c r="J439" s="4" t="s">
        <v>210</v>
      </c>
      <c r="K439" s="4" t="s">
        <v>205</v>
      </c>
      <c r="L439" s="4" t="s">
        <v>211</v>
      </c>
      <c r="M439" s="4" t="s">
        <v>182</v>
      </c>
      <c r="N439" s="4" t="s">
        <v>182</v>
      </c>
      <c r="O439" s="4" t="s">
        <v>183</v>
      </c>
      <c r="P439">
        <v>12834.73</v>
      </c>
      <c r="Q439" s="4" t="s">
        <v>30</v>
      </c>
    </row>
    <row r="440" spans="1:17" x14ac:dyDescent="0.2">
      <c r="A440" s="4" t="s">
        <v>624</v>
      </c>
      <c r="B440">
        <v>439</v>
      </c>
      <c r="C440" s="4" t="s">
        <v>26</v>
      </c>
      <c r="D440" s="4" t="s">
        <v>44</v>
      </c>
      <c r="E440" s="4" t="s">
        <v>27</v>
      </c>
      <c r="F440" s="4" t="s">
        <v>1655</v>
      </c>
      <c r="G440">
        <v>11</v>
      </c>
      <c r="H440">
        <v>51</v>
      </c>
      <c r="I440" s="4" t="s">
        <v>203</v>
      </c>
      <c r="J440" s="4" t="s">
        <v>204</v>
      </c>
      <c r="K440" s="4" t="s">
        <v>205</v>
      </c>
      <c r="L440" s="4" t="s">
        <v>206</v>
      </c>
      <c r="M440" s="4" t="s">
        <v>182</v>
      </c>
      <c r="N440" s="4" t="s">
        <v>182</v>
      </c>
      <c r="O440" s="4" t="s">
        <v>183</v>
      </c>
      <c r="P440">
        <v>300</v>
      </c>
      <c r="Q440" s="4" t="s">
        <v>30</v>
      </c>
    </row>
    <row r="441" spans="1:17" x14ac:dyDescent="0.2">
      <c r="A441" s="4" t="s">
        <v>625</v>
      </c>
      <c r="B441">
        <v>440</v>
      </c>
      <c r="C441" s="4" t="s">
        <v>26</v>
      </c>
      <c r="D441" s="4" t="s">
        <v>44</v>
      </c>
      <c r="E441" s="4" t="s">
        <v>27</v>
      </c>
      <c r="F441" s="4" t="s">
        <v>1655</v>
      </c>
      <c r="G441">
        <v>11</v>
      </c>
      <c r="H441">
        <v>51</v>
      </c>
      <c r="I441" s="4" t="s">
        <v>201</v>
      </c>
      <c r="J441" s="4" t="s">
        <v>202</v>
      </c>
      <c r="K441" s="4" t="s">
        <v>179</v>
      </c>
      <c r="L441" s="4" t="s">
        <v>180</v>
      </c>
      <c r="M441" s="4" t="s">
        <v>192</v>
      </c>
      <c r="N441" s="4" t="s">
        <v>182</v>
      </c>
      <c r="O441" s="4" t="s">
        <v>189</v>
      </c>
      <c r="P441">
        <v>-12834.73</v>
      </c>
      <c r="Q441" s="4" t="s">
        <v>30</v>
      </c>
    </row>
    <row r="442" spans="1:17" x14ac:dyDescent="0.2">
      <c r="A442" s="4" t="s">
        <v>626</v>
      </c>
      <c r="B442">
        <v>441</v>
      </c>
      <c r="C442" s="4" t="s">
        <v>26</v>
      </c>
      <c r="D442" s="4" t="s">
        <v>44</v>
      </c>
      <c r="E442" s="4" t="s">
        <v>27</v>
      </c>
      <c r="F442" s="4" t="s">
        <v>1655</v>
      </c>
      <c r="G442">
        <v>11</v>
      </c>
      <c r="H442">
        <v>51</v>
      </c>
      <c r="I442" s="4" t="s">
        <v>212</v>
      </c>
      <c r="J442" s="4" t="s">
        <v>213</v>
      </c>
      <c r="K442" s="4" t="s">
        <v>205</v>
      </c>
      <c r="L442" s="4" t="s">
        <v>214</v>
      </c>
      <c r="M442" s="4" t="s">
        <v>182</v>
      </c>
      <c r="N442" s="4" t="s">
        <v>182</v>
      </c>
      <c r="O442" s="4" t="s">
        <v>189</v>
      </c>
      <c r="P442">
        <v>-15151.25</v>
      </c>
      <c r="Q442" s="4" t="s">
        <v>30</v>
      </c>
    </row>
    <row r="443" spans="1:17" x14ac:dyDescent="0.2">
      <c r="A443" s="4" t="s">
        <v>627</v>
      </c>
      <c r="B443">
        <v>442</v>
      </c>
      <c r="C443" s="4" t="s">
        <v>26</v>
      </c>
      <c r="D443" s="4" t="s">
        <v>44</v>
      </c>
      <c r="E443" s="4" t="s">
        <v>32</v>
      </c>
      <c r="F443" s="4" t="s">
        <v>1680</v>
      </c>
      <c r="G443">
        <v>11</v>
      </c>
      <c r="H443">
        <v>52</v>
      </c>
      <c r="I443" s="4" t="s">
        <v>190</v>
      </c>
      <c r="J443" s="4" t="s">
        <v>191</v>
      </c>
      <c r="K443" s="4" t="s">
        <v>179</v>
      </c>
      <c r="L443" s="4" t="s">
        <v>180</v>
      </c>
      <c r="M443" s="4" t="s">
        <v>192</v>
      </c>
      <c r="N443" s="4" t="s">
        <v>182</v>
      </c>
      <c r="O443" s="4" t="s">
        <v>189</v>
      </c>
      <c r="P443">
        <v>-45884.33</v>
      </c>
      <c r="Q443" s="4" t="s">
        <v>30</v>
      </c>
    </row>
    <row r="444" spans="1:17" x14ac:dyDescent="0.2">
      <c r="A444" s="4" t="s">
        <v>628</v>
      </c>
      <c r="B444">
        <v>443</v>
      </c>
      <c r="C444" s="4" t="s">
        <v>26</v>
      </c>
      <c r="D444" s="4" t="s">
        <v>44</v>
      </c>
      <c r="E444" s="4" t="s">
        <v>32</v>
      </c>
      <c r="F444" s="4" t="s">
        <v>1680</v>
      </c>
      <c r="G444">
        <v>11</v>
      </c>
      <c r="H444">
        <v>52</v>
      </c>
      <c r="I444" s="4" t="s">
        <v>190</v>
      </c>
      <c r="J444" s="4" t="s">
        <v>191</v>
      </c>
      <c r="K444" s="4" t="s">
        <v>179</v>
      </c>
      <c r="L444" s="4" t="s">
        <v>180</v>
      </c>
      <c r="M444" s="4" t="s">
        <v>192</v>
      </c>
      <c r="N444" s="4" t="s">
        <v>182</v>
      </c>
      <c r="O444" s="4" t="s">
        <v>183</v>
      </c>
      <c r="P444">
        <v>27730.73</v>
      </c>
      <c r="Q444" s="4" t="s">
        <v>30</v>
      </c>
    </row>
    <row r="445" spans="1:17" x14ac:dyDescent="0.2">
      <c r="A445" s="4" t="s">
        <v>629</v>
      </c>
      <c r="B445">
        <v>444</v>
      </c>
      <c r="C445" s="4" t="s">
        <v>26</v>
      </c>
      <c r="D445" s="4" t="s">
        <v>44</v>
      </c>
      <c r="E445" s="4" t="s">
        <v>32</v>
      </c>
      <c r="F445" s="4" t="s">
        <v>1680</v>
      </c>
      <c r="G445">
        <v>11</v>
      </c>
      <c r="H445">
        <v>52</v>
      </c>
      <c r="I445" s="4" t="s">
        <v>207</v>
      </c>
      <c r="J445" s="4" t="s">
        <v>208</v>
      </c>
      <c r="K445" s="4" t="s">
        <v>179</v>
      </c>
      <c r="L445" s="4" t="s">
        <v>180</v>
      </c>
      <c r="M445" s="4" t="s">
        <v>192</v>
      </c>
      <c r="N445" s="4" t="s">
        <v>182</v>
      </c>
      <c r="O445" s="4" t="s">
        <v>189</v>
      </c>
      <c r="P445">
        <v>-27730.73</v>
      </c>
      <c r="Q445" s="4" t="s">
        <v>30</v>
      </c>
    </row>
    <row r="446" spans="1:17" x14ac:dyDescent="0.2">
      <c r="A446" s="4" t="s">
        <v>630</v>
      </c>
      <c r="B446">
        <v>445</v>
      </c>
      <c r="C446" s="4" t="s">
        <v>26</v>
      </c>
      <c r="D446" s="4" t="s">
        <v>44</v>
      </c>
      <c r="E446" s="4" t="s">
        <v>32</v>
      </c>
      <c r="F446" s="4" t="s">
        <v>1680</v>
      </c>
      <c r="G446">
        <v>11</v>
      </c>
      <c r="H446">
        <v>52</v>
      </c>
      <c r="I446" s="4" t="s">
        <v>207</v>
      </c>
      <c r="J446" s="4" t="s">
        <v>208</v>
      </c>
      <c r="K446" s="4" t="s">
        <v>179</v>
      </c>
      <c r="L446" s="4" t="s">
        <v>180</v>
      </c>
      <c r="M446" s="4" t="s">
        <v>192</v>
      </c>
      <c r="N446" s="4" t="s">
        <v>182</v>
      </c>
      <c r="O446" s="4" t="s">
        <v>183</v>
      </c>
      <c r="P446">
        <v>16808.13</v>
      </c>
      <c r="Q446" s="4" t="s">
        <v>30</v>
      </c>
    </row>
    <row r="447" spans="1:17" x14ac:dyDescent="0.2">
      <c r="A447" s="4" t="s">
        <v>631</v>
      </c>
      <c r="B447">
        <v>446</v>
      </c>
      <c r="C447" s="4" t="s">
        <v>26</v>
      </c>
      <c r="D447" s="4" t="s">
        <v>44</v>
      </c>
      <c r="E447" s="4" t="s">
        <v>32</v>
      </c>
      <c r="F447" s="4" t="s">
        <v>1680</v>
      </c>
      <c r="G447">
        <v>11</v>
      </c>
      <c r="H447">
        <v>52</v>
      </c>
      <c r="I447" s="4" t="s">
        <v>193</v>
      </c>
      <c r="J447" s="4" t="s">
        <v>194</v>
      </c>
      <c r="K447" s="4" t="s">
        <v>179</v>
      </c>
      <c r="L447" s="4" t="s">
        <v>186</v>
      </c>
      <c r="M447" s="4" t="s">
        <v>195</v>
      </c>
      <c r="N447" s="4" t="s">
        <v>196</v>
      </c>
      <c r="O447" s="4" t="s">
        <v>189</v>
      </c>
      <c r="P447">
        <v>-61760.73</v>
      </c>
      <c r="Q447" s="4" t="s">
        <v>30</v>
      </c>
    </row>
    <row r="448" spans="1:17" x14ac:dyDescent="0.2">
      <c r="A448" s="4" t="s">
        <v>632</v>
      </c>
      <c r="B448">
        <v>447</v>
      </c>
      <c r="C448" s="4" t="s">
        <v>26</v>
      </c>
      <c r="D448" s="4" t="s">
        <v>44</v>
      </c>
      <c r="E448" s="4" t="s">
        <v>32</v>
      </c>
      <c r="F448" s="4" t="s">
        <v>1680</v>
      </c>
      <c r="G448">
        <v>11</v>
      </c>
      <c r="H448">
        <v>52</v>
      </c>
      <c r="I448" s="4" t="s">
        <v>193</v>
      </c>
      <c r="J448" s="4" t="s">
        <v>194</v>
      </c>
      <c r="K448" s="4" t="s">
        <v>179</v>
      </c>
      <c r="L448" s="4" t="s">
        <v>186</v>
      </c>
      <c r="M448" s="4" t="s">
        <v>195</v>
      </c>
      <c r="N448" s="4" t="s">
        <v>196</v>
      </c>
      <c r="O448" s="4" t="s">
        <v>183</v>
      </c>
      <c r="P448">
        <v>45884.33</v>
      </c>
      <c r="Q448" s="4" t="s">
        <v>30</v>
      </c>
    </row>
    <row r="449" spans="1:17" x14ac:dyDescent="0.2">
      <c r="A449" s="4" t="s">
        <v>633</v>
      </c>
      <c r="B449">
        <v>448</v>
      </c>
      <c r="C449" s="4" t="s">
        <v>26</v>
      </c>
      <c r="D449" s="4" t="s">
        <v>44</v>
      </c>
      <c r="E449" s="4" t="s">
        <v>32</v>
      </c>
      <c r="F449" s="4" t="s">
        <v>1680</v>
      </c>
      <c r="G449">
        <v>11</v>
      </c>
      <c r="H449">
        <v>52</v>
      </c>
      <c r="I449" s="4" t="s">
        <v>197</v>
      </c>
      <c r="J449" s="4" t="s">
        <v>198</v>
      </c>
      <c r="K449" s="4" t="s">
        <v>179</v>
      </c>
      <c r="L449" s="4" t="s">
        <v>186</v>
      </c>
      <c r="M449" s="4" t="s">
        <v>195</v>
      </c>
      <c r="N449" s="4" t="s">
        <v>196</v>
      </c>
      <c r="O449" s="4" t="s">
        <v>189</v>
      </c>
      <c r="P449">
        <v>-60760.73</v>
      </c>
      <c r="Q449" s="4" t="s">
        <v>30</v>
      </c>
    </row>
    <row r="450" spans="1:17" x14ac:dyDescent="0.2">
      <c r="A450" s="4" t="s">
        <v>634</v>
      </c>
      <c r="B450">
        <v>449</v>
      </c>
      <c r="C450" s="4" t="s">
        <v>26</v>
      </c>
      <c r="D450" s="4" t="s">
        <v>44</v>
      </c>
      <c r="E450" s="4" t="s">
        <v>32</v>
      </c>
      <c r="F450" s="4" t="s">
        <v>1680</v>
      </c>
      <c r="G450">
        <v>11</v>
      </c>
      <c r="H450">
        <v>52</v>
      </c>
      <c r="I450" s="4" t="s">
        <v>197</v>
      </c>
      <c r="J450" s="4" t="s">
        <v>198</v>
      </c>
      <c r="K450" s="4" t="s">
        <v>179</v>
      </c>
      <c r="L450" s="4" t="s">
        <v>186</v>
      </c>
      <c r="M450" s="4" t="s">
        <v>195</v>
      </c>
      <c r="N450" s="4" t="s">
        <v>196</v>
      </c>
      <c r="O450" s="4" t="s">
        <v>183</v>
      </c>
      <c r="P450">
        <v>60760.73</v>
      </c>
      <c r="Q450" s="4" t="s">
        <v>30</v>
      </c>
    </row>
    <row r="451" spans="1:17" x14ac:dyDescent="0.2">
      <c r="A451" s="4" t="s">
        <v>635</v>
      </c>
      <c r="B451">
        <v>450</v>
      </c>
      <c r="C451" s="4" t="s">
        <v>26</v>
      </c>
      <c r="D451" s="4" t="s">
        <v>44</v>
      </c>
      <c r="E451" s="4" t="s">
        <v>32</v>
      </c>
      <c r="F451" s="4" t="s">
        <v>1680</v>
      </c>
      <c r="G451">
        <v>11</v>
      </c>
      <c r="H451">
        <v>52</v>
      </c>
      <c r="I451" s="4" t="s">
        <v>199</v>
      </c>
      <c r="J451" s="4" t="s">
        <v>200</v>
      </c>
      <c r="K451" s="4" t="s">
        <v>179</v>
      </c>
      <c r="L451" s="4" t="s">
        <v>186</v>
      </c>
      <c r="M451" s="4" t="s">
        <v>195</v>
      </c>
      <c r="N451" s="4" t="s">
        <v>196</v>
      </c>
      <c r="O451" s="4" t="s">
        <v>189</v>
      </c>
      <c r="P451">
        <v>-1000</v>
      </c>
      <c r="Q451" s="4" t="s">
        <v>30</v>
      </c>
    </row>
    <row r="452" spans="1:17" x14ac:dyDescent="0.2">
      <c r="A452" s="4" t="s">
        <v>636</v>
      </c>
      <c r="B452">
        <v>451</v>
      </c>
      <c r="C452" s="4" t="s">
        <v>26</v>
      </c>
      <c r="D452" s="4" t="s">
        <v>44</v>
      </c>
      <c r="E452" s="4" t="s">
        <v>32</v>
      </c>
      <c r="F452" s="4" t="s">
        <v>1680</v>
      </c>
      <c r="G452">
        <v>11</v>
      </c>
      <c r="H452">
        <v>52</v>
      </c>
      <c r="I452" s="4" t="s">
        <v>199</v>
      </c>
      <c r="J452" s="4" t="s">
        <v>200</v>
      </c>
      <c r="K452" s="4" t="s">
        <v>179</v>
      </c>
      <c r="L452" s="4" t="s">
        <v>186</v>
      </c>
      <c r="M452" s="4" t="s">
        <v>195</v>
      </c>
      <c r="N452" s="4" t="s">
        <v>196</v>
      </c>
      <c r="O452" s="4" t="s">
        <v>183</v>
      </c>
      <c r="P452">
        <v>1000</v>
      </c>
      <c r="Q452" s="4" t="s">
        <v>30</v>
      </c>
    </row>
    <row r="453" spans="1:17" x14ac:dyDescent="0.2">
      <c r="A453" s="4" t="s">
        <v>637</v>
      </c>
      <c r="B453">
        <v>452</v>
      </c>
      <c r="C453" s="4" t="s">
        <v>26</v>
      </c>
      <c r="D453" s="4" t="s">
        <v>44</v>
      </c>
      <c r="E453" s="4" t="s">
        <v>32</v>
      </c>
      <c r="F453" s="4" t="s">
        <v>1680</v>
      </c>
      <c r="G453">
        <v>11</v>
      </c>
      <c r="H453">
        <v>52</v>
      </c>
      <c r="I453" s="4" t="s">
        <v>209</v>
      </c>
      <c r="J453" s="4" t="s">
        <v>210</v>
      </c>
      <c r="K453" s="4" t="s">
        <v>205</v>
      </c>
      <c r="L453" s="4" t="s">
        <v>211</v>
      </c>
      <c r="M453" s="4" t="s">
        <v>182</v>
      </c>
      <c r="N453" s="4" t="s">
        <v>182</v>
      </c>
      <c r="O453" s="4" t="s">
        <v>183</v>
      </c>
      <c r="P453">
        <v>14650.82</v>
      </c>
      <c r="Q453" s="4" t="s">
        <v>30</v>
      </c>
    </row>
    <row r="454" spans="1:17" x14ac:dyDescent="0.2">
      <c r="A454" s="4" t="s">
        <v>638</v>
      </c>
      <c r="B454">
        <v>453</v>
      </c>
      <c r="C454" s="4" t="s">
        <v>26</v>
      </c>
      <c r="D454" s="4" t="s">
        <v>44</v>
      </c>
      <c r="E454" s="4" t="s">
        <v>32</v>
      </c>
      <c r="F454" s="4" t="s">
        <v>1680</v>
      </c>
      <c r="G454">
        <v>11</v>
      </c>
      <c r="H454">
        <v>52</v>
      </c>
      <c r="I454" s="4" t="s">
        <v>201</v>
      </c>
      <c r="J454" s="4" t="s">
        <v>202</v>
      </c>
      <c r="K454" s="4" t="s">
        <v>179</v>
      </c>
      <c r="L454" s="4" t="s">
        <v>180</v>
      </c>
      <c r="M454" s="4" t="s">
        <v>192</v>
      </c>
      <c r="N454" s="4" t="s">
        <v>182</v>
      </c>
      <c r="O454" s="4" t="s">
        <v>189</v>
      </c>
      <c r="P454">
        <v>-14650.83</v>
      </c>
      <c r="Q454" s="4" t="s">
        <v>30</v>
      </c>
    </row>
    <row r="455" spans="1:17" x14ac:dyDescent="0.2">
      <c r="A455" s="4" t="s">
        <v>639</v>
      </c>
      <c r="B455">
        <v>454</v>
      </c>
      <c r="C455" s="4" t="s">
        <v>26</v>
      </c>
      <c r="D455" s="4" t="s">
        <v>44</v>
      </c>
      <c r="E455" s="4" t="s">
        <v>32</v>
      </c>
      <c r="F455" s="4" t="s">
        <v>1680</v>
      </c>
      <c r="G455">
        <v>11</v>
      </c>
      <c r="H455">
        <v>52</v>
      </c>
      <c r="I455" s="4" t="s">
        <v>201</v>
      </c>
      <c r="J455" s="4" t="s">
        <v>202</v>
      </c>
      <c r="K455" s="4" t="s">
        <v>179</v>
      </c>
      <c r="L455" s="4" t="s">
        <v>180</v>
      </c>
      <c r="M455" s="4" t="s">
        <v>192</v>
      </c>
      <c r="N455" s="4" t="s">
        <v>182</v>
      </c>
      <c r="O455" s="4" t="s">
        <v>183</v>
      </c>
      <c r="P455">
        <v>61760.74</v>
      </c>
      <c r="Q455" s="4" t="s">
        <v>30</v>
      </c>
    </row>
    <row r="456" spans="1:17" x14ac:dyDescent="0.2">
      <c r="A456" s="4" t="s">
        <v>640</v>
      </c>
      <c r="B456">
        <v>455</v>
      </c>
      <c r="C456" s="4" t="s">
        <v>26</v>
      </c>
      <c r="D456" s="4" t="s">
        <v>44</v>
      </c>
      <c r="E456" s="4" t="s">
        <v>32</v>
      </c>
      <c r="F456" s="4" t="s">
        <v>1680</v>
      </c>
      <c r="G456">
        <v>11</v>
      </c>
      <c r="H456">
        <v>52</v>
      </c>
      <c r="I456" s="4" t="s">
        <v>212</v>
      </c>
      <c r="J456" s="4" t="s">
        <v>213</v>
      </c>
      <c r="K456" s="4" t="s">
        <v>205</v>
      </c>
      <c r="L456" s="4" t="s">
        <v>214</v>
      </c>
      <c r="M456" s="4" t="s">
        <v>182</v>
      </c>
      <c r="N456" s="4" t="s">
        <v>182</v>
      </c>
      <c r="O456" s="4" t="s">
        <v>189</v>
      </c>
      <c r="P456">
        <v>-16808.13</v>
      </c>
      <c r="Q456" s="4" t="s">
        <v>30</v>
      </c>
    </row>
    <row r="457" spans="1:17" x14ac:dyDescent="0.2">
      <c r="A457" s="4" t="s">
        <v>641</v>
      </c>
      <c r="B457">
        <v>456</v>
      </c>
      <c r="C457" s="4" t="s">
        <v>26</v>
      </c>
      <c r="D457" s="4" t="s">
        <v>44</v>
      </c>
      <c r="E457" s="4" t="s">
        <v>35</v>
      </c>
      <c r="F457" s="4" t="s">
        <v>1715</v>
      </c>
      <c r="G457">
        <v>11</v>
      </c>
      <c r="H457">
        <v>53</v>
      </c>
      <c r="I457" s="4" t="s">
        <v>190</v>
      </c>
      <c r="J457" s="4" t="s">
        <v>191</v>
      </c>
      <c r="K457" s="4" t="s">
        <v>179</v>
      </c>
      <c r="L457" s="4" t="s">
        <v>180</v>
      </c>
      <c r="M457" s="4" t="s">
        <v>192</v>
      </c>
      <c r="N457" s="4" t="s">
        <v>182</v>
      </c>
      <c r="O457" s="4" t="s">
        <v>189</v>
      </c>
      <c r="P457">
        <v>-300</v>
      </c>
      <c r="Q457" s="4" t="s">
        <v>30</v>
      </c>
    </row>
    <row r="458" spans="1:17" x14ac:dyDescent="0.2">
      <c r="A458" s="4" t="s">
        <v>642</v>
      </c>
      <c r="B458">
        <v>457</v>
      </c>
      <c r="C458" s="4" t="s">
        <v>26</v>
      </c>
      <c r="D458" s="4" t="s">
        <v>44</v>
      </c>
      <c r="E458" s="4" t="s">
        <v>35</v>
      </c>
      <c r="F458" s="4" t="s">
        <v>1715</v>
      </c>
      <c r="G458">
        <v>11</v>
      </c>
      <c r="H458">
        <v>53</v>
      </c>
      <c r="I458" s="4" t="s">
        <v>190</v>
      </c>
      <c r="J458" s="4" t="s">
        <v>191</v>
      </c>
      <c r="K458" s="4" t="s">
        <v>179</v>
      </c>
      <c r="L458" s="4" t="s">
        <v>180</v>
      </c>
      <c r="M458" s="4" t="s">
        <v>192</v>
      </c>
      <c r="N458" s="4" t="s">
        <v>182</v>
      </c>
      <c r="O458" s="4" t="s">
        <v>183</v>
      </c>
      <c r="P458">
        <v>15778.87</v>
      </c>
      <c r="Q458" s="4" t="s">
        <v>30</v>
      </c>
    </row>
    <row r="459" spans="1:17" x14ac:dyDescent="0.2">
      <c r="A459" s="4" t="s">
        <v>643</v>
      </c>
      <c r="B459">
        <v>458</v>
      </c>
      <c r="C459" s="4" t="s">
        <v>26</v>
      </c>
      <c r="D459" s="4" t="s">
        <v>44</v>
      </c>
      <c r="E459" s="4" t="s">
        <v>35</v>
      </c>
      <c r="F459" s="4" t="s">
        <v>1715</v>
      </c>
      <c r="G459">
        <v>11</v>
      </c>
      <c r="H459">
        <v>53</v>
      </c>
      <c r="I459" s="4" t="s">
        <v>207</v>
      </c>
      <c r="J459" s="4" t="s">
        <v>208</v>
      </c>
      <c r="K459" s="4" t="s">
        <v>179</v>
      </c>
      <c r="L459" s="4" t="s">
        <v>180</v>
      </c>
      <c r="M459" s="4" t="s">
        <v>192</v>
      </c>
      <c r="N459" s="4" t="s">
        <v>182</v>
      </c>
      <c r="O459" s="4" t="s">
        <v>189</v>
      </c>
      <c r="P459">
        <v>-15778.87</v>
      </c>
      <c r="Q459" s="4" t="s">
        <v>30</v>
      </c>
    </row>
    <row r="460" spans="1:17" x14ac:dyDescent="0.2">
      <c r="A460" s="4" t="s">
        <v>644</v>
      </c>
      <c r="B460">
        <v>459</v>
      </c>
      <c r="C460" s="4" t="s">
        <v>26</v>
      </c>
      <c r="D460" s="4" t="s">
        <v>44</v>
      </c>
      <c r="E460" s="4" t="s">
        <v>35</v>
      </c>
      <c r="F460" s="4" t="s">
        <v>1715</v>
      </c>
      <c r="G460">
        <v>11</v>
      </c>
      <c r="H460">
        <v>53</v>
      </c>
      <c r="I460" s="4" t="s">
        <v>207</v>
      </c>
      <c r="J460" s="4" t="s">
        <v>208</v>
      </c>
      <c r="K460" s="4" t="s">
        <v>179</v>
      </c>
      <c r="L460" s="4" t="s">
        <v>180</v>
      </c>
      <c r="M460" s="4" t="s">
        <v>192</v>
      </c>
      <c r="N460" s="4" t="s">
        <v>182</v>
      </c>
      <c r="O460" s="4" t="s">
        <v>183</v>
      </c>
      <c r="P460">
        <v>10183.370000000001</v>
      </c>
      <c r="Q460" s="4" t="s">
        <v>30</v>
      </c>
    </row>
    <row r="461" spans="1:17" x14ac:dyDescent="0.2">
      <c r="A461" s="4" t="s">
        <v>645</v>
      </c>
      <c r="B461">
        <v>460</v>
      </c>
      <c r="C461" s="4" t="s">
        <v>26</v>
      </c>
      <c r="D461" s="4" t="s">
        <v>44</v>
      </c>
      <c r="E461" s="4" t="s">
        <v>35</v>
      </c>
      <c r="F461" s="4" t="s">
        <v>1715</v>
      </c>
      <c r="G461">
        <v>11</v>
      </c>
      <c r="H461">
        <v>53</v>
      </c>
      <c r="I461" s="4" t="s">
        <v>209</v>
      </c>
      <c r="J461" s="4" t="s">
        <v>210</v>
      </c>
      <c r="K461" s="4" t="s">
        <v>205</v>
      </c>
      <c r="L461" s="4" t="s">
        <v>211</v>
      </c>
      <c r="M461" s="4" t="s">
        <v>182</v>
      </c>
      <c r="N461" s="4" t="s">
        <v>182</v>
      </c>
      <c r="O461" s="4" t="s">
        <v>183</v>
      </c>
      <c r="P461">
        <v>9050.56</v>
      </c>
      <c r="Q461" s="4" t="s">
        <v>30</v>
      </c>
    </row>
    <row r="462" spans="1:17" x14ac:dyDescent="0.2">
      <c r="A462" s="4" t="s">
        <v>646</v>
      </c>
      <c r="B462">
        <v>461</v>
      </c>
      <c r="C462" s="4" t="s">
        <v>26</v>
      </c>
      <c r="D462" s="4" t="s">
        <v>44</v>
      </c>
      <c r="E462" s="4" t="s">
        <v>35</v>
      </c>
      <c r="F462" s="4" t="s">
        <v>1715</v>
      </c>
      <c r="G462">
        <v>11</v>
      </c>
      <c r="H462">
        <v>53</v>
      </c>
      <c r="I462" s="4" t="s">
        <v>203</v>
      </c>
      <c r="J462" s="4" t="s">
        <v>204</v>
      </c>
      <c r="K462" s="4" t="s">
        <v>205</v>
      </c>
      <c r="L462" s="4" t="s">
        <v>206</v>
      </c>
      <c r="M462" s="4" t="s">
        <v>182</v>
      </c>
      <c r="N462" s="4" t="s">
        <v>182</v>
      </c>
      <c r="O462" s="4" t="s">
        <v>183</v>
      </c>
      <c r="P462">
        <v>300</v>
      </c>
      <c r="Q462" s="4" t="s">
        <v>30</v>
      </c>
    </row>
    <row r="463" spans="1:17" x14ac:dyDescent="0.2">
      <c r="A463" s="4" t="s">
        <v>647</v>
      </c>
      <c r="B463">
        <v>462</v>
      </c>
      <c r="C463" s="4" t="s">
        <v>26</v>
      </c>
      <c r="D463" s="4" t="s">
        <v>44</v>
      </c>
      <c r="E463" s="4" t="s">
        <v>35</v>
      </c>
      <c r="F463" s="4" t="s">
        <v>1715</v>
      </c>
      <c r="G463">
        <v>11</v>
      </c>
      <c r="H463">
        <v>53</v>
      </c>
      <c r="I463" s="4" t="s">
        <v>201</v>
      </c>
      <c r="J463" s="4" t="s">
        <v>202</v>
      </c>
      <c r="K463" s="4" t="s">
        <v>179</v>
      </c>
      <c r="L463" s="4" t="s">
        <v>180</v>
      </c>
      <c r="M463" s="4" t="s">
        <v>192</v>
      </c>
      <c r="N463" s="4" t="s">
        <v>182</v>
      </c>
      <c r="O463" s="4" t="s">
        <v>189</v>
      </c>
      <c r="P463">
        <v>-9050.56</v>
      </c>
      <c r="Q463" s="4" t="s">
        <v>30</v>
      </c>
    </row>
    <row r="464" spans="1:17" x14ac:dyDescent="0.2">
      <c r="A464" s="4" t="s">
        <v>648</v>
      </c>
      <c r="B464">
        <v>463</v>
      </c>
      <c r="C464" s="4" t="s">
        <v>26</v>
      </c>
      <c r="D464" s="4" t="s">
        <v>44</v>
      </c>
      <c r="E464" s="4" t="s">
        <v>35</v>
      </c>
      <c r="F464" s="4" t="s">
        <v>1715</v>
      </c>
      <c r="G464">
        <v>11</v>
      </c>
      <c r="H464">
        <v>53</v>
      </c>
      <c r="I464" s="4" t="s">
        <v>212</v>
      </c>
      <c r="J464" s="4" t="s">
        <v>213</v>
      </c>
      <c r="K464" s="4" t="s">
        <v>205</v>
      </c>
      <c r="L464" s="4" t="s">
        <v>214</v>
      </c>
      <c r="M464" s="4" t="s">
        <v>182</v>
      </c>
      <c r="N464" s="4" t="s">
        <v>182</v>
      </c>
      <c r="O464" s="4" t="s">
        <v>189</v>
      </c>
      <c r="P464">
        <v>-10183.370000000001</v>
      </c>
      <c r="Q464" s="4" t="s">
        <v>30</v>
      </c>
    </row>
    <row r="465" spans="1:17" x14ac:dyDescent="0.2">
      <c r="A465" s="4" t="s">
        <v>649</v>
      </c>
      <c r="B465">
        <v>464</v>
      </c>
      <c r="C465" s="4" t="s">
        <v>26</v>
      </c>
      <c r="D465" s="4" t="s">
        <v>44</v>
      </c>
      <c r="E465" s="4" t="s">
        <v>38</v>
      </c>
      <c r="F465" s="4" t="s">
        <v>1743</v>
      </c>
      <c r="G465">
        <v>11</v>
      </c>
      <c r="H465">
        <v>54</v>
      </c>
      <c r="I465" s="4" t="s">
        <v>190</v>
      </c>
      <c r="J465" s="4" t="s">
        <v>191</v>
      </c>
      <c r="K465" s="4" t="s">
        <v>179</v>
      </c>
      <c r="L465" s="4" t="s">
        <v>180</v>
      </c>
      <c r="M465" s="4" t="s">
        <v>192</v>
      </c>
      <c r="N465" s="4" t="s">
        <v>182</v>
      </c>
      <c r="O465" s="4" t="s">
        <v>183</v>
      </c>
      <c r="P465">
        <v>24905.82</v>
      </c>
      <c r="Q465" s="4" t="s">
        <v>30</v>
      </c>
    </row>
    <row r="466" spans="1:17" x14ac:dyDescent="0.2">
      <c r="A466" s="4" t="s">
        <v>650</v>
      </c>
      <c r="B466">
        <v>465</v>
      </c>
      <c r="C466" s="4" t="s">
        <v>26</v>
      </c>
      <c r="D466" s="4" t="s">
        <v>44</v>
      </c>
      <c r="E466" s="4" t="s">
        <v>38</v>
      </c>
      <c r="F466" s="4" t="s">
        <v>1743</v>
      </c>
      <c r="G466">
        <v>11</v>
      </c>
      <c r="H466">
        <v>54</v>
      </c>
      <c r="I466" s="4" t="s">
        <v>207</v>
      </c>
      <c r="J466" s="4" t="s">
        <v>208</v>
      </c>
      <c r="K466" s="4" t="s">
        <v>179</v>
      </c>
      <c r="L466" s="4" t="s">
        <v>180</v>
      </c>
      <c r="M466" s="4" t="s">
        <v>192</v>
      </c>
      <c r="N466" s="4" t="s">
        <v>182</v>
      </c>
      <c r="O466" s="4" t="s">
        <v>189</v>
      </c>
      <c r="P466">
        <v>-24905.82</v>
      </c>
      <c r="Q466" s="4" t="s">
        <v>30</v>
      </c>
    </row>
    <row r="467" spans="1:17" x14ac:dyDescent="0.2">
      <c r="A467" s="4" t="s">
        <v>651</v>
      </c>
      <c r="B467">
        <v>466</v>
      </c>
      <c r="C467" s="4" t="s">
        <v>26</v>
      </c>
      <c r="D467" s="4" t="s">
        <v>44</v>
      </c>
      <c r="E467" s="4" t="s">
        <v>38</v>
      </c>
      <c r="F467" s="4" t="s">
        <v>1743</v>
      </c>
      <c r="G467">
        <v>11</v>
      </c>
      <c r="H467">
        <v>54</v>
      </c>
      <c r="I467" s="4" t="s">
        <v>207</v>
      </c>
      <c r="J467" s="4" t="s">
        <v>208</v>
      </c>
      <c r="K467" s="4" t="s">
        <v>179</v>
      </c>
      <c r="L467" s="4" t="s">
        <v>180</v>
      </c>
      <c r="M467" s="4" t="s">
        <v>192</v>
      </c>
      <c r="N467" s="4" t="s">
        <v>182</v>
      </c>
      <c r="O467" s="4" t="s">
        <v>183</v>
      </c>
      <c r="P467">
        <v>19756.3</v>
      </c>
      <c r="Q467" s="4" t="s">
        <v>30</v>
      </c>
    </row>
    <row r="468" spans="1:17" x14ac:dyDescent="0.2">
      <c r="A468" s="4" t="s">
        <v>652</v>
      </c>
      <c r="B468">
        <v>467</v>
      </c>
      <c r="C468" s="4" t="s">
        <v>26</v>
      </c>
      <c r="D468" s="4" t="s">
        <v>44</v>
      </c>
      <c r="E468" s="4" t="s">
        <v>38</v>
      </c>
      <c r="F468" s="4" t="s">
        <v>1743</v>
      </c>
      <c r="G468">
        <v>11</v>
      </c>
      <c r="H468">
        <v>54</v>
      </c>
      <c r="I468" s="4" t="s">
        <v>209</v>
      </c>
      <c r="J468" s="4" t="s">
        <v>210</v>
      </c>
      <c r="K468" s="4" t="s">
        <v>205</v>
      </c>
      <c r="L468" s="4" t="s">
        <v>211</v>
      </c>
      <c r="M468" s="4" t="s">
        <v>182</v>
      </c>
      <c r="N468" s="4" t="s">
        <v>182</v>
      </c>
      <c r="O468" s="4" t="s">
        <v>183</v>
      </c>
      <c r="P468">
        <v>17248.099999999999</v>
      </c>
      <c r="Q468" s="4" t="s">
        <v>30</v>
      </c>
    </row>
    <row r="469" spans="1:17" x14ac:dyDescent="0.2">
      <c r="A469" s="4" t="s">
        <v>653</v>
      </c>
      <c r="B469">
        <v>468</v>
      </c>
      <c r="C469" s="4" t="s">
        <v>26</v>
      </c>
      <c r="D469" s="4" t="s">
        <v>44</v>
      </c>
      <c r="E469" s="4" t="s">
        <v>38</v>
      </c>
      <c r="F469" s="4" t="s">
        <v>1743</v>
      </c>
      <c r="G469">
        <v>11</v>
      </c>
      <c r="H469">
        <v>54</v>
      </c>
      <c r="I469" s="4" t="s">
        <v>201</v>
      </c>
      <c r="J469" s="4" t="s">
        <v>202</v>
      </c>
      <c r="K469" s="4" t="s">
        <v>179</v>
      </c>
      <c r="L469" s="4" t="s">
        <v>180</v>
      </c>
      <c r="M469" s="4" t="s">
        <v>192</v>
      </c>
      <c r="N469" s="4" t="s">
        <v>182</v>
      </c>
      <c r="O469" s="4" t="s">
        <v>189</v>
      </c>
      <c r="P469">
        <v>-17248.099999999999</v>
      </c>
      <c r="Q469" s="4" t="s">
        <v>30</v>
      </c>
    </row>
    <row r="470" spans="1:17" x14ac:dyDescent="0.2">
      <c r="A470" s="4" t="s">
        <v>654</v>
      </c>
      <c r="B470">
        <v>469</v>
      </c>
      <c r="C470" s="4" t="s">
        <v>26</v>
      </c>
      <c r="D470" s="4" t="s">
        <v>44</v>
      </c>
      <c r="E470" s="4" t="s">
        <v>38</v>
      </c>
      <c r="F470" s="4" t="s">
        <v>1743</v>
      </c>
      <c r="G470">
        <v>11</v>
      </c>
      <c r="H470">
        <v>54</v>
      </c>
      <c r="I470" s="4" t="s">
        <v>212</v>
      </c>
      <c r="J470" s="4" t="s">
        <v>213</v>
      </c>
      <c r="K470" s="4" t="s">
        <v>205</v>
      </c>
      <c r="L470" s="4" t="s">
        <v>214</v>
      </c>
      <c r="M470" s="4" t="s">
        <v>182</v>
      </c>
      <c r="N470" s="4" t="s">
        <v>182</v>
      </c>
      <c r="O470" s="4" t="s">
        <v>189</v>
      </c>
      <c r="P470">
        <v>-19756.3</v>
      </c>
      <c r="Q470" s="4" t="s">
        <v>30</v>
      </c>
    </row>
    <row r="471" spans="1:17" x14ac:dyDescent="0.2">
      <c r="A471" s="4" t="s">
        <v>655</v>
      </c>
      <c r="B471">
        <v>470</v>
      </c>
      <c r="C471" s="4" t="s">
        <v>26</v>
      </c>
      <c r="D471" s="4" t="s">
        <v>44</v>
      </c>
      <c r="E471" s="4" t="s">
        <v>41</v>
      </c>
      <c r="F471" s="4" t="s">
        <v>1773</v>
      </c>
      <c r="G471">
        <v>11</v>
      </c>
      <c r="H471">
        <v>55</v>
      </c>
      <c r="I471" s="4" t="s">
        <v>190</v>
      </c>
      <c r="J471" s="4" t="s">
        <v>191</v>
      </c>
      <c r="K471" s="4" t="s">
        <v>179</v>
      </c>
      <c r="L471" s="4" t="s">
        <v>180</v>
      </c>
      <c r="M471" s="4" t="s">
        <v>192</v>
      </c>
      <c r="N471" s="4" t="s">
        <v>182</v>
      </c>
      <c r="O471" s="4" t="s">
        <v>183</v>
      </c>
      <c r="P471">
        <v>15151.25</v>
      </c>
      <c r="Q471" s="4" t="s">
        <v>30</v>
      </c>
    </row>
    <row r="472" spans="1:17" x14ac:dyDescent="0.2">
      <c r="A472" s="4" t="s">
        <v>656</v>
      </c>
      <c r="B472">
        <v>471</v>
      </c>
      <c r="C472" s="4" t="s">
        <v>26</v>
      </c>
      <c r="D472" s="4" t="s">
        <v>44</v>
      </c>
      <c r="E472" s="4" t="s">
        <v>41</v>
      </c>
      <c r="F472" s="4" t="s">
        <v>1773</v>
      </c>
      <c r="G472">
        <v>11</v>
      </c>
      <c r="H472">
        <v>55</v>
      </c>
      <c r="I472" s="4" t="s">
        <v>207</v>
      </c>
      <c r="J472" s="4" t="s">
        <v>208</v>
      </c>
      <c r="K472" s="4" t="s">
        <v>179</v>
      </c>
      <c r="L472" s="4" t="s">
        <v>180</v>
      </c>
      <c r="M472" s="4" t="s">
        <v>192</v>
      </c>
      <c r="N472" s="4" t="s">
        <v>182</v>
      </c>
      <c r="O472" s="4" t="s">
        <v>189</v>
      </c>
      <c r="P472">
        <v>-15151.25</v>
      </c>
      <c r="Q472" s="4" t="s">
        <v>30</v>
      </c>
    </row>
    <row r="473" spans="1:17" x14ac:dyDescent="0.2">
      <c r="A473" s="4" t="s">
        <v>657</v>
      </c>
      <c r="B473">
        <v>472</v>
      </c>
      <c r="C473" s="4" t="s">
        <v>26</v>
      </c>
      <c r="D473" s="4" t="s">
        <v>44</v>
      </c>
      <c r="E473" s="4" t="s">
        <v>41</v>
      </c>
      <c r="F473" s="4" t="s">
        <v>1773</v>
      </c>
      <c r="G473">
        <v>11</v>
      </c>
      <c r="H473">
        <v>55</v>
      </c>
      <c r="I473" s="4" t="s">
        <v>207</v>
      </c>
      <c r="J473" s="4" t="s">
        <v>208</v>
      </c>
      <c r="K473" s="4" t="s">
        <v>179</v>
      </c>
      <c r="L473" s="4" t="s">
        <v>180</v>
      </c>
      <c r="M473" s="4" t="s">
        <v>192</v>
      </c>
      <c r="N473" s="4" t="s">
        <v>182</v>
      </c>
      <c r="O473" s="4" t="s">
        <v>183</v>
      </c>
      <c r="P473">
        <v>14391.71</v>
      </c>
      <c r="Q473" s="4" t="s">
        <v>30</v>
      </c>
    </row>
    <row r="474" spans="1:17" x14ac:dyDescent="0.2">
      <c r="A474" s="4" t="s">
        <v>658</v>
      </c>
      <c r="B474">
        <v>473</v>
      </c>
      <c r="C474" s="4" t="s">
        <v>26</v>
      </c>
      <c r="D474" s="4" t="s">
        <v>44</v>
      </c>
      <c r="E474" s="4" t="s">
        <v>41</v>
      </c>
      <c r="F474" s="4" t="s">
        <v>1773</v>
      </c>
      <c r="G474">
        <v>11</v>
      </c>
      <c r="H474">
        <v>55</v>
      </c>
      <c r="I474" s="4" t="s">
        <v>209</v>
      </c>
      <c r="J474" s="4" t="s">
        <v>210</v>
      </c>
      <c r="K474" s="4" t="s">
        <v>205</v>
      </c>
      <c r="L474" s="4" t="s">
        <v>211</v>
      </c>
      <c r="M474" s="4" t="s">
        <v>182</v>
      </c>
      <c r="N474" s="4" t="s">
        <v>182</v>
      </c>
      <c r="O474" s="4" t="s">
        <v>183</v>
      </c>
      <c r="P474">
        <v>12346.78</v>
      </c>
      <c r="Q474" s="4" t="s">
        <v>30</v>
      </c>
    </row>
    <row r="475" spans="1:17" x14ac:dyDescent="0.2">
      <c r="A475" s="4" t="s">
        <v>659</v>
      </c>
      <c r="B475">
        <v>474</v>
      </c>
      <c r="C475" s="4" t="s">
        <v>26</v>
      </c>
      <c r="D475" s="4" t="s">
        <v>44</v>
      </c>
      <c r="E475" s="4" t="s">
        <v>41</v>
      </c>
      <c r="F475" s="4" t="s">
        <v>1773</v>
      </c>
      <c r="G475">
        <v>11</v>
      </c>
      <c r="H475">
        <v>55</v>
      </c>
      <c r="I475" s="4" t="s">
        <v>201</v>
      </c>
      <c r="J475" s="4" t="s">
        <v>202</v>
      </c>
      <c r="K475" s="4" t="s">
        <v>179</v>
      </c>
      <c r="L475" s="4" t="s">
        <v>180</v>
      </c>
      <c r="M475" s="4" t="s">
        <v>192</v>
      </c>
      <c r="N475" s="4" t="s">
        <v>182</v>
      </c>
      <c r="O475" s="4" t="s">
        <v>189</v>
      </c>
      <c r="P475">
        <v>-12346.78</v>
      </c>
      <c r="Q475" s="4" t="s">
        <v>30</v>
      </c>
    </row>
    <row r="476" spans="1:17" x14ac:dyDescent="0.2">
      <c r="A476" s="4" t="s">
        <v>660</v>
      </c>
      <c r="B476">
        <v>475</v>
      </c>
      <c r="C476" s="4" t="s">
        <v>26</v>
      </c>
      <c r="D476" s="4" t="s">
        <v>44</v>
      </c>
      <c r="E476" s="4" t="s">
        <v>41</v>
      </c>
      <c r="F476" s="4" t="s">
        <v>1773</v>
      </c>
      <c r="G476">
        <v>11</v>
      </c>
      <c r="H476">
        <v>55</v>
      </c>
      <c r="I476" s="4" t="s">
        <v>212</v>
      </c>
      <c r="J476" s="4" t="s">
        <v>213</v>
      </c>
      <c r="K476" s="4" t="s">
        <v>205</v>
      </c>
      <c r="L476" s="4" t="s">
        <v>214</v>
      </c>
      <c r="M476" s="4" t="s">
        <v>182</v>
      </c>
      <c r="N476" s="4" t="s">
        <v>182</v>
      </c>
      <c r="O476" s="4" t="s">
        <v>189</v>
      </c>
      <c r="P476">
        <v>-14391.71</v>
      </c>
      <c r="Q476" s="4" t="s">
        <v>30</v>
      </c>
    </row>
    <row r="477" spans="1:17" x14ac:dyDescent="0.2">
      <c r="A477" s="4" t="s">
        <v>661</v>
      </c>
      <c r="B477">
        <v>476</v>
      </c>
      <c r="C477" s="4" t="s">
        <v>26</v>
      </c>
      <c r="D477" s="4" t="s">
        <v>44</v>
      </c>
      <c r="E477" s="4" t="s">
        <v>44</v>
      </c>
      <c r="F477" s="4" t="s">
        <v>1798</v>
      </c>
      <c r="G477">
        <v>12</v>
      </c>
      <c r="H477">
        <v>56</v>
      </c>
      <c r="I477" s="4" t="s">
        <v>190</v>
      </c>
      <c r="J477" s="4" t="s">
        <v>191</v>
      </c>
      <c r="K477" s="4" t="s">
        <v>179</v>
      </c>
      <c r="L477" s="4" t="s">
        <v>180</v>
      </c>
      <c r="M477" s="4" t="s">
        <v>192</v>
      </c>
      <c r="N477" s="4" t="s">
        <v>182</v>
      </c>
      <c r="O477" s="4" t="s">
        <v>189</v>
      </c>
      <c r="P477">
        <v>-300</v>
      </c>
      <c r="Q477" s="4" t="s">
        <v>30</v>
      </c>
    </row>
    <row r="478" spans="1:17" x14ac:dyDescent="0.2">
      <c r="A478" s="4" t="s">
        <v>662</v>
      </c>
      <c r="B478">
        <v>477</v>
      </c>
      <c r="C478" s="4" t="s">
        <v>26</v>
      </c>
      <c r="D478" s="4" t="s">
        <v>44</v>
      </c>
      <c r="E478" s="4" t="s">
        <v>44</v>
      </c>
      <c r="F478" s="4" t="s">
        <v>1798</v>
      </c>
      <c r="G478">
        <v>12</v>
      </c>
      <c r="H478">
        <v>56</v>
      </c>
      <c r="I478" s="4" t="s">
        <v>190</v>
      </c>
      <c r="J478" s="4" t="s">
        <v>191</v>
      </c>
      <c r="K478" s="4" t="s">
        <v>179</v>
      </c>
      <c r="L478" s="4" t="s">
        <v>180</v>
      </c>
      <c r="M478" s="4" t="s">
        <v>192</v>
      </c>
      <c r="N478" s="4" t="s">
        <v>182</v>
      </c>
      <c r="O478" s="4" t="s">
        <v>183</v>
      </c>
      <c r="P478">
        <v>16808.13</v>
      </c>
      <c r="Q478" s="4" t="s">
        <v>30</v>
      </c>
    </row>
    <row r="479" spans="1:17" x14ac:dyDescent="0.2">
      <c r="A479" s="4" t="s">
        <v>663</v>
      </c>
      <c r="B479">
        <v>478</v>
      </c>
      <c r="C479" s="4" t="s">
        <v>26</v>
      </c>
      <c r="D479" s="4" t="s">
        <v>44</v>
      </c>
      <c r="E479" s="4" t="s">
        <v>44</v>
      </c>
      <c r="F479" s="4" t="s">
        <v>1798</v>
      </c>
      <c r="G479">
        <v>12</v>
      </c>
      <c r="H479">
        <v>56</v>
      </c>
      <c r="I479" s="4" t="s">
        <v>207</v>
      </c>
      <c r="J479" s="4" t="s">
        <v>208</v>
      </c>
      <c r="K479" s="4" t="s">
        <v>179</v>
      </c>
      <c r="L479" s="4" t="s">
        <v>180</v>
      </c>
      <c r="M479" s="4" t="s">
        <v>192</v>
      </c>
      <c r="N479" s="4" t="s">
        <v>182</v>
      </c>
      <c r="O479" s="4" t="s">
        <v>189</v>
      </c>
      <c r="P479">
        <v>-16808.13</v>
      </c>
      <c r="Q479" s="4" t="s">
        <v>30</v>
      </c>
    </row>
    <row r="480" spans="1:17" x14ac:dyDescent="0.2">
      <c r="A480" s="4" t="s">
        <v>664</v>
      </c>
      <c r="B480">
        <v>479</v>
      </c>
      <c r="C480" s="4" t="s">
        <v>26</v>
      </c>
      <c r="D480" s="4" t="s">
        <v>44</v>
      </c>
      <c r="E480" s="4" t="s">
        <v>44</v>
      </c>
      <c r="F480" s="4" t="s">
        <v>1798</v>
      </c>
      <c r="G480">
        <v>12</v>
      </c>
      <c r="H480">
        <v>56</v>
      </c>
      <c r="I480" s="4" t="s">
        <v>207</v>
      </c>
      <c r="J480" s="4" t="s">
        <v>208</v>
      </c>
      <c r="K480" s="4" t="s">
        <v>179</v>
      </c>
      <c r="L480" s="4" t="s">
        <v>180</v>
      </c>
      <c r="M480" s="4" t="s">
        <v>192</v>
      </c>
      <c r="N480" s="4" t="s">
        <v>182</v>
      </c>
      <c r="O480" s="4" t="s">
        <v>183</v>
      </c>
      <c r="P480">
        <v>17992.18</v>
      </c>
      <c r="Q480" s="4" t="s">
        <v>30</v>
      </c>
    </row>
    <row r="481" spans="1:17" x14ac:dyDescent="0.2">
      <c r="A481" s="4" t="s">
        <v>665</v>
      </c>
      <c r="B481">
        <v>480</v>
      </c>
      <c r="C481" s="4" t="s">
        <v>26</v>
      </c>
      <c r="D481" s="4" t="s">
        <v>44</v>
      </c>
      <c r="E481" s="4" t="s">
        <v>44</v>
      </c>
      <c r="F481" s="4" t="s">
        <v>1798</v>
      </c>
      <c r="G481">
        <v>12</v>
      </c>
      <c r="H481">
        <v>56</v>
      </c>
      <c r="I481" s="4" t="s">
        <v>193</v>
      </c>
      <c r="J481" s="4" t="s">
        <v>194</v>
      </c>
      <c r="K481" s="4" t="s">
        <v>179</v>
      </c>
      <c r="L481" s="4" t="s">
        <v>186</v>
      </c>
      <c r="M481" s="4" t="s">
        <v>195</v>
      </c>
      <c r="N481" s="4" t="s">
        <v>196</v>
      </c>
      <c r="O481" s="4" t="s">
        <v>189</v>
      </c>
      <c r="P481">
        <v>-76221.06</v>
      </c>
      <c r="Q481" s="4" t="s">
        <v>30</v>
      </c>
    </row>
    <row r="482" spans="1:17" x14ac:dyDescent="0.2">
      <c r="A482" s="4" t="s">
        <v>666</v>
      </c>
      <c r="B482">
        <v>481</v>
      </c>
      <c r="C482" s="4" t="s">
        <v>26</v>
      </c>
      <c r="D482" s="4" t="s">
        <v>44</v>
      </c>
      <c r="E482" s="4" t="s">
        <v>44</v>
      </c>
      <c r="F482" s="4" t="s">
        <v>1798</v>
      </c>
      <c r="G482">
        <v>12</v>
      </c>
      <c r="H482">
        <v>56</v>
      </c>
      <c r="I482" s="4" t="s">
        <v>197</v>
      </c>
      <c r="J482" s="4" t="s">
        <v>198</v>
      </c>
      <c r="K482" s="4" t="s">
        <v>179</v>
      </c>
      <c r="L482" s="4" t="s">
        <v>186</v>
      </c>
      <c r="M482" s="4" t="s">
        <v>195</v>
      </c>
      <c r="N482" s="4" t="s">
        <v>196</v>
      </c>
      <c r="O482" s="4" t="s">
        <v>189</v>
      </c>
      <c r="P482">
        <v>-75221.06</v>
      </c>
      <c r="Q482" s="4" t="s">
        <v>30</v>
      </c>
    </row>
    <row r="483" spans="1:17" x14ac:dyDescent="0.2">
      <c r="A483" s="4" t="s">
        <v>667</v>
      </c>
      <c r="B483">
        <v>482</v>
      </c>
      <c r="C483" s="4" t="s">
        <v>26</v>
      </c>
      <c r="D483" s="4" t="s">
        <v>44</v>
      </c>
      <c r="E483" s="4" t="s">
        <v>44</v>
      </c>
      <c r="F483" s="4" t="s">
        <v>1798</v>
      </c>
      <c r="G483">
        <v>12</v>
      </c>
      <c r="H483">
        <v>56</v>
      </c>
      <c r="I483" s="4" t="s">
        <v>197</v>
      </c>
      <c r="J483" s="4" t="s">
        <v>198</v>
      </c>
      <c r="K483" s="4" t="s">
        <v>179</v>
      </c>
      <c r="L483" s="4" t="s">
        <v>186</v>
      </c>
      <c r="M483" s="4" t="s">
        <v>195</v>
      </c>
      <c r="N483" s="4" t="s">
        <v>196</v>
      </c>
      <c r="O483" s="4" t="s">
        <v>183</v>
      </c>
      <c r="P483">
        <v>75221.06</v>
      </c>
      <c r="Q483" s="4" t="s">
        <v>30</v>
      </c>
    </row>
    <row r="484" spans="1:17" x14ac:dyDescent="0.2">
      <c r="A484" s="4" t="s">
        <v>668</v>
      </c>
      <c r="B484">
        <v>483</v>
      </c>
      <c r="C484" s="4" t="s">
        <v>26</v>
      </c>
      <c r="D484" s="4" t="s">
        <v>44</v>
      </c>
      <c r="E484" s="4" t="s">
        <v>44</v>
      </c>
      <c r="F484" s="4" t="s">
        <v>1798</v>
      </c>
      <c r="G484">
        <v>12</v>
      </c>
      <c r="H484">
        <v>56</v>
      </c>
      <c r="I484" s="4" t="s">
        <v>199</v>
      </c>
      <c r="J484" s="4" t="s">
        <v>200</v>
      </c>
      <c r="K484" s="4" t="s">
        <v>179</v>
      </c>
      <c r="L484" s="4" t="s">
        <v>186</v>
      </c>
      <c r="M484" s="4" t="s">
        <v>195</v>
      </c>
      <c r="N484" s="4" t="s">
        <v>196</v>
      </c>
      <c r="O484" s="4" t="s">
        <v>189</v>
      </c>
      <c r="P484">
        <v>-1000</v>
      </c>
      <c r="Q484" s="4" t="s">
        <v>30</v>
      </c>
    </row>
    <row r="485" spans="1:17" x14ac:dyDescent="0.2">
      <c r="A485" s="4" t="s">
        <v>669</v>
      </c>
      <c r="B485">
        <v>484</v>
      </c>
      <c r="C485" s="4" t="s">
        <v>26</v>
      </c>
      <c r="D485" s="4" t="s">
        <v>44</v>
      </c>
      <c r="E485" s="4" t="s">
        <v>44</v>
      </c>
      <c r="F485" s="4" t="s">
        <v>1798</v>
      </c>
      <c r="G485">
        <v>12</v>
      </c>
      <c r="H485">
        <v>56</v>
      </c>
      <c r="I485" s="4" t="s">
        <v>199</v>
      </c>
      <c r="J485" s="4" t="s">
        <v>200</v>
      </c>
      <c r="K485" s="4" t="s">
        <v>179</v>
      </c>
      <c r="L485" s="4" t="s">
        <v>186</v>
      </c>
      <c r="M485" s="4" t="s">
        <v>195</v>
      </c>
      <c r="N485" s="4" t="s">
        <v>196</v>
      </c>
      <c r="O485" s="4" t="s">
        <v>183</v>
      </c>
      <c r="P485">
        <v>1000</v>
      </c>
      <c r="Q485" s="4" t="s">
        <v>30</v>
      </c>
    </row>
    <row r="486" spans="1:17" x14ac:dyDescent="0.2">
      <c r="A486" s="4" t="s">
        <v>670</v>
      </c>
      <c r="B486">
        <v>485</v>
      </c>
      <c r="C486" s="4" t="s">
        <v>26</v>
      </c>
      <c r="D486" s="4" t="s">
        <v>44</v>
      </c>
      <c r="E486" s="4" t="s">
        <v>44</v>
      </c>
      <c r="F486" s="4" t="s">
        <v>1798</v>
      </c>
      <c r="G486">
        <v>12</v>
      </c>
      <c r="H486">
        <v>56</v>
      </c>
      <c r="I486" s="4" t="s">
        <v>209</v>
      </c>
      <c r="J486" s="4" t="s">
        <v>210</v>
      </c>
      <c r="K486" s="4" t="s">
        <v>205</v>
      </c>
      <c r="L486" s="4" t="s">
        <v>211</v>
      </c>
      <c r="M486" s="4" t="s">
        <v>182</v>
      </c>
      <c r="N486" s="4" t="s">
        <v>182</v>
      </c>
      <c r="O486" s="4" t="s">
        <v>183</v>
      </c>
      <c r="P486">
        <v>15812.36</v>
      </c>
      <c r="Q486" s="4" t="s">
        <v>30</v>
      </c>
    </row>
    <row r="487" spans="1:17" x14ac:dyDescent="0.2">
      <c r="A487" s="4" t="s">
        <v>671</v>
      </c>
      <c r="B487">
        <v>486</v>
      </c>
      <c r="C487" s="4" t="s">
        <v>26</v>
      </c>
      <c r="D487" s="4" t="s">
        <v>44</v>
      </c>
      <c r="E487" s="4" t="s">
        <v>44</v>
      </c>
      <c r="F487" s="4" t="s">
        <v>1798</v>
      </c>
      <c r="G487">
        <v>12</v>
      </c>
      <c r="H487">
        <v>56</v>
      </c>
      <c r="I487" s="4" t="s">
        <v>203</v>
      </c>
      <c r="J487" s="4" t="s">
        <v>204</v>
      </c>
      <c r="K487" s="4" t="s">
        <v>205</v>
      </c>
      <c r="L487" s="4" t="s">
        <v>206</v>
      </c>
      <c r="M487" s="4" t="s">
        <v>182</v>
      </c>
      <c r="N487" s="4" t="s">
        <v>182</v>
      </c>
      <c r="O487" s="4" t="s">
        <v>183</v>
      </c>
      <c r="P487">
        <v>300</v>
      </c>
      <c r="Q487" s="4" t="s">
        <v>30</v>
      </c>
    </row>
    <row r="488" spans="1:17" x14ac:dyDescent="0.2">
      <c r="A488" s="4" t="s">
        <v>672</v>
      </c>
      <c r="B488">
        <v>487</v>
      </c>
      <c r="C488" s="4" t="s">
        <v>26</v>
      </c>
      <c r="D488" s="4" t="s">
        <v>44</v>
      </c>
      <c r="E488" s="4" t="s">
        <v>44</v>
      </c>
      <c r="F488" s="4" t="s">
        <v>1798</v>
      </c>
      <c r="G488">
        <v>12</v>
      </c>
      <c r="H488">
        <v>56</v>
      </c>
      <c r="I488" s="4" t="s">
        <v>201</v>
      </c>
      <c r="J488" s="4" t="s">
        <v>202</v>
      </c>
      <c r="K488" s="4" t="s">
        <v>179</v>
      </c>
      <c r="L488" s="4" t="s">
        <v>180</v>
      </c>
      <c r="M488" s="4" t="s">
        <v>192</v>
      </c>
      <c r="N488" s="4" t="s">
        <v>182</v>
      </c>
      <c r="O488" s="4" t="s">
        <v>189</v>
      </c>
      <c r="P488">
        <v>-15812.37</v>
      </c>
      <c r="Q488" s="4" t="s">
        <v>30</v>
      </c>
    </row>
    <row r="489" spans="1:17" x14ac:dyDescent="0.2">
      <c r="A489" s="4" t="s">
        <v>673</v>
      </c>
      <c r="B489">
        <v>488</v>
      </c>
      <c r="C489" s="4" t="s">
        <v>26</v>
      </c>
      <c r="D489" s="4" t="s">
        <v>44</v>
      </c>
      <c r="E489" s="4" t="s">
        <v>44</v>
      </c>
      <c r="F489" s="4" t="s">
        <v>1798</v>
      </c>
      <c r="G489">
        <v>12</v>
      </c>
      <c r="H489">
        <v>56</v>
      </c>
      <c r="I489" s="4" t="s">
        <v>201</v>
      </c>
      <c r="J489" s="4" t="s">
        <v>202</v>
      </c>
      <c r="K489" s="4" t="s">
        <v>179</v>
      </c>
      <c r="L489" s="4" t="s">
        <v>180</v>
      </c>
      <c r="M489" s="4" t="s">
        <v>192</v>
      </c>
      <c r="N489" s="4" t="s">
        <v>182</v>
      </c>
      <c r="O489" s="4" t="s">
        <v>183</v>
      </c>
      <c r="P489">
        <v>76221.070000000007</v>
      </c>
      <c r="Q489" s="4" t="s">
        <v>30</v>
      </c>
    </row>
    <row r="490" spans="1:17" x14ac:dyDescent="0.2">
      <c r="A490" s="4" t="s">
        <v>674</v>
      </c>
      <c r="B490">
        <v>489</v>
      </c>
      <c r="C490" s="4" t="s">
        <v>26</v>
      </c>
      <c r="D490" s="4" t="s">
        <v>44</v>
      </c>
      <c r="E490" s="4" t="s">
        <v>44</v>
      </c>
      <c r="F490" s="4" t="s">
        <v>1798</v>
      </c>
      <c r="G490">
        <v>12</v>
      </c>
      <c r="H490">
        <v>56</v>
      </c>
      <c r="I490" s="4" t="s">
        <v>212</v>
      </c>
      <c r="J490" s="4" t="s">
        <v>213</v>
      </c>
      <c r="K490" s="4" t="s">
        <v>205</v>
      </c>
      <c r="L490" s="4" t="s">
        <v>214</v>
      </c>
      <c r="M490" s="4" t="s">
        <v>182</v>
      </c>
      <c r="N490" s="4" t="s">
        <v>182</v>
      </c>
      <c r="O490" s="4" t="s">
        <v>189</v>
      </c>
      <c r="P490">
        <v>-17992.18</v>
      </c>
      <c r="Q490" s="4" t="s">
        <v>30</v>
      </c>
    </row>
    <row r="491" spans="1:17" x14ac:dyDescent="0.2">
      <c r="A491" s="4" t="s">
        <v>675</v>
      </c>
      <c r="B491">
        <v>490</v>
      </c>
      <c r="C491" s="4" t="s">
        <v>26</v>
      </c>
      <c r="D491" s="4" t="s">
        <v>44</v>
      </c>
      <c r="E491" s="4" t="s">
        <v>47</v>
      </c>
      <c r="F491" s="4" t="s">
        <v>1834</v>
      </c>
      <c r="G491">
        <v>12</v>
      </c>
      <c r="H491">
        <v>57</v>
      </c>
      <c r="I491" s="4" t="s">
        <v>190</v>
      </c>
      <c r="J491" s="4" t="s">
        <v>191</v>
      </c>
      <c r="K491" s="4" t="s">
        <v>179</v>
      </c>
      <c r="L491" s="4" t="s">
        <v>180</v>
      </c>
      <c r="M491" s="4" t="s">
        <v>192</v>
      </c>
      <c r="N491" s="4" t="s">
        <v>182</v>
      </c>
      <c r="O491" s="4" t="s">
        <v>189</v>
      </c>
      <c r="P491">
        <v>-62060.73</v>
      </c>
      <c r="Q491" s="4" t="s">
        <v>30</v>
      </c>
    </row>
    <row r="492" spans="1:17" x14ac:dyDescent="0.2">
      <c r="A492" s="4" t="s">
        <v>676</v>
      </c>
      <c r="B492">
        <v>491</v>
      </c>
      <c r="C492" s="4" t="s">
        <v>26</v>
      </c>
      <c r="D492" s="4" t="s">
        <v>44</v>
      </c>
      <c r="E492" s="4" t="s">
        <v>47</v>
      </c>
      <c r="F492" s="4" t="s">
        <v>1834</v>
      </c>
      <c r="G492">
        <v>12</v>
      </c>
      <c r="H492">
        <v>57</v>
      </c>
      <c r="I492" s="4" t="s">
        <v>190</v>
      </c>
      <c r="J492" s="4" t="s">
        <v>191</v>
      </c>
      <c r="K492" s="4" t="s">
        <v>179</v>
      </c>
      <c r="L492" s="4" t="s">
        <v>180</v>
      </c>
      <c r="M492" s="4" t="s">
        <v>192</v>
      </c>
      <c r="N492" s="4" t="s">
        <v>182</v>
      </c>
      <c r="O492" s="4" t="s">
        <v>183</v>
      </c>
      <c r="P492">
        <v>10183.370000000001</v>
      </c>
      <c r="Q492" s="4" t="s">
        <v>30</v>
      </c>
    </row>
    <row r="493" spans="1:17" x14ac:dyDescent="0.2">
      <c r="A493" s="4" t="s">
        <v>677</v>
      </c>
      <c r="B493">
        <v>492</v>
      </c>
      <c r="C493" s="4" t="s">
        <v>26</v>
      </c>
      <c r="D493" s="4" t="s">
        <v>44</v>
      </c>
      <c r="E493" s="4" t="s">
        <v>47</v>
      </c>
      <c r="F493" s="4" t="s">
        <v>1834</v>
      </c>
      <c r="G493">
        <v>12</v>
      </c>
      <c r="H493">
        <v>57</v>
      </c>
      <c r="I493" s="4" t="s">
        <v>207</v>
      </c>
      <c r="J493" s="4" t="s">
        <v>208</v>
      </c>
      <c r="K493" s="4" t="s">
        <v>179</v>
      </c>
      <c r="L493" s="4" t="s">
        <v>180</v>
      </c>
      <c r="M493" s="4" t="s">
        <v>192</v>
      </c>
      <c r="N493" s="4" t="s">
        <v>182</v>
      </c>
      <c r="O493" s="4" t="s">
        <v>189</v>
      </c>
      <c r="P493">
        <v>-10183.370000000001</v>
      </c>
      <c r="Q493" s="4" t="s">
        <v>30</v>
      </c>
    </row>
    <row r="494" spans="1:17" x14ac:dyDescent="0.2">
      <c r="A494" s="4" t="s">
        <v>678</v>
      </c>
      <c r="B494">
        <v>493</v>
      </c>
      <c r="C494" s="4" t="s">
        <v>26</v>
      </c>
      <c r="D494" s="4" t="s">
        <v>44</v>
      </c>
      <c r="E494" s="4" t="s">
        <v>47</v>
      </c>
      <c r="F494" s="4" t="s">
        <v>1834</v>
      </c>
      <c r="G494">
        <v>12</v>
      </c>
      <c r="H494">
        <v>57</v>
      </c>
      <c r="I494" s="4" t="s">
        <v>207</v>
      </c>
      <c r="J494" s="4" t="s">
        <v>208</v>
      </c>
      <c r="K494" s="4" t="s">
        <v>179</v>
      </c>
      <c r="L494" s="4" t="s">
        <v>180</v>
      </c>
      <c r="M494" s="4" t="s">
        <v>192</v>
      </c>
      <c r="N494" s="4" t="s">
        <v>182</v>
      </c>
      <c r="O494" s="4" t="s">
        <v>183</v>
      </c>
      <c r="P494">
        <v>9416.99</v>
      </c>
      <c r="Q494" s="4" t="s">
        <v>30</v>
      </c>
    </row>
    <row r="495" spans="1:17" x14ac:dyDescent="0.2">
      <c r="A495" s="4" t="s">
        <v>679</v>
      </c>
      <c r="B495">
        <v>494</v>
      </c>
      <c r="C495" s="4" t="s">
        <v>26</v>
      </c>
      <c r="D495" s="4" t="s">
        <v>44</v>
      </c>
      <c r="E495" s="4" t="s">
        <v>47</v>
      </c>
      <c r="F495" s="4" t="s">
        <v>1834</v>
      </c>
      <c r="G495">
        <v>12</v>
      </c>
      <c r="H495">
        <v>57</v>
      </c>
      <c r="I495" s="4" t="s">
        <v>193</v>
      </c>
      <c r="J495" s="4" t="s">
        <v>194</v>
      </c>
      <c r="K495" s="4" t="s">
        <v>179</v>
      </c>
      <c r="L495" s="4" t="s">
        <v>186</v>
      </c>
      <c r="M495" s="4" t="s">
        <v>195</v>
      </c>
      <c r="N495" s="4" t="s">
        <v>196</v>
      </c>
      <c r="O495" s="4" t="s">
        <v>183</v>
      </c>
      <c r="P495">
        <v>61760.73</v>
      </c>
      <c r="Q495" s="4" t="s">
        <v>30</v>
      </c>
    </row>
    <row r="496" spans="1:17" x14ac:dyDescent="0.2">
      <c r="A496" s="4" t="s">
        <v>680</v>
      </c>
      <c r="B496">
        <v>495</v>
      </c>
      <c r="C496" s="4" t="s">
        <v>26</v>
      </c>
      <c r="D496" s="4" t="s">
        <v>44</v>
      </c>
      <c r="E496" s="4" t="s">
        <v>47</v>
      </c>
      <c r="F496" s="4" t="s">
        <v>1834</v>
      </c>
      <c r="G496">
        <v>12</v>
      </c>
      <c r="H496">
        <v>57</v>
      </c>
      <c r="I496" s="4" t="s">
        <v>209</v>
      </c>
      <c r="J496" s="4" t="s">
        <v>210</v>
      </c>
      <c r="K496" s="4" t="s">
        <v>205</v>
      </c>
      <c r="L496" s="4" t="s">
        <v>211</v>
      </c>
      <c r="M496" s="4" t="s">
        <v>182</v>
      </c>
      <c r="N496" s="4" t="s">
        <v>182</v>
      </c>
      <c r="O496" s="4" t="s">
        <v>183</v>
      </c>
      <c r="P496">
        <v>8024.57</v>
      </c>
      <c r="Q496" s="4" t="s">
        <v>30</v>
      </c>
    </row>
    <row r="497" spans="1:17" x14ac:dyDescent="0.2">
      <c r="A497" s="4" t="s">
        <v>681</v>
      </c>
      <c r="B497">
        <v>496</v>
      </c>
      <c r="C497" s="4" t="s">
        <v>26</v>
      </c>
      <c r="D497" s="4" t="s">
        <v>44</v>
      </c>
      <c r="E497" s="4" t="s">
        <v>47</v>
      </c>
      <c r="F497" s="4" t="s">
        <v>1834</v>
      </c>
      <c r="G497">
        <v>12</v>
      </c>
      <c r="H497">
        <v>57</v>
      </c>
      <c r="I497" s="4" t="s">
        <v>203</v>
      </c>
      <c r="J497" s="4" t="s">
        <v>204</v>
      </c>
      <c r="K497" s="4" t="s">
        <v>205</v>
      </c>
      <c r="L497" s="4" t="s">
        <v>206</v>
      </c>
      <c r="M497" s="4" t="s">
        <v>182</v>
      </c>
      <c r="N497" s="4" t="s">
        <v>182</v>
      </c>
      <c r="O497" s="4" t="s">
        <v>183</v>
      </c>
      <c r="P497">
        <v>300</v>
      </c>
      <c r="Q497" s="4" t="s">
        <v>30</v>
      </c>
    </row>
    <row r="498" spans="1:17" x14ac:dyDescent="0.2">
      <c r="A498" s="4" t="s">
        <v>682</v>
      </c>
      <c r="B498">
        <v>497</v>
      </c>
      <c r="C498" s="4" t="s">
        <v>26</v>
      </c>
      <c r="D498" s="4" t="s">
        <v>44</v>
      </c>
      <c r="E498" s="4" t="s">
        <v>47</v>
      </c>
      <c r="F498" s="4" t="s">
        <v>1834</v>
      </c>
      <c r="G498">
        <v>12</v>
      </c>
      <c r="H498">
        <v>57</v>
      </c>
      <c r="I498" s="4" t="s">
        <v>201</v>
      </c>
      <c r="J498" s="4" t="s">
        <v>202</v>
      </c>
      <c r="K498" s="4" t="s">
        <v>179</v>
      </c>
      <c r="L498" s="4" t="s">
        <v>180</v>
      </c>
      <c r="M498" s="4" t="s">
        <v>192</v>
      </c>
      <c r="N498" s="4" t="s">
        <v>182</v>
      </c>
      <c r="O498" s="4" t="s">
        <v>189</v>
      </c>
      <c r="P498">
        <v>-8024.57</v>
      </c>
      <c r="Q498" s="4" t="s">
        <v>30</v>
      </c>
    </row>
    <row r="499" spans="1:17" x14ac:dyDescent="0.2">
      <c r="A499" s="4" t="s">
        <v>683</v>
      </c>
      <c r="B499">
        <v>498</v>
      </c>
      <c r="C499" s="4" t="s">
        <v>26</v>
      </c>
      <c r="D499" s="4" t="s">
        <v>44</v>
      </c>
      <c r="E499" s="4" t="s">
        <v>47</v>
      </c>
      <c r="F499" s="4" t="s">
        <v>1834</v>
      </c>
      <c r="G499">
        <v>12</v>
      </c>
      <c r="H499">
        <v>57</v>
      </c>
      <c r="I499" s="4" t="s">
        <v>212</v>
      </c>
      <c r="J499" s="4" t="s">
        <v>213</v>
      </c>
      <c r="K499" s="4" t="s">
        <v>205</v>
      </c>
      <c r="L499" s="4" t="s">
        <v>214</v>
      </c>
      <c r="M499" s="4" t="s">
        <v>182</v>
      </c>
      <c r="N499" s="4" t="s">
        <v>182</v>
      </c>
      <c r="O499" s="4" t="s">
        <v>189</v>
      </c>
      <c r="P499">
        <v>-9416.99</v>
      </c>
      <c r="Q499" s="4" t="s">
        <v>30</v>
      </c>
    </row>
    <row r="500" spans="1:17" x14ac:dyDescent="0.2">
      <c r="A500" s="4" t="s">
        <v>684</v>
      </c>
      <c r="B500">
        <v>499</v>
      </c>
      <c r="C500" s="4" t="s">
        <v>26</v>
      </c>
      <c r="D500" s="4" t="s">
        <v>44</v>
      </c>
      <c r="E500" s="4" t="s">
        <v>50</v>
      </c>
      <c r="F500" s="4" t="s">
        <v>1858</v>
      </c>
      <c r="G500">
        <v>12</v>
      </c>
      <c r="H500">
        <v>58</v>
      </c>
      <c r="I500" s="4" t="s">
        <v>190</v>
      </c>
      <c r="J500" s="4" t="s">
        <v>191</v>
      </c>
      <c r="K500" s="4" t="s">
        <v>179</v>
      </c>
      <c r="L500" s="4" t="s">
        <v>180</v>
      </c>
      <c r="M500" s="4" t="s">
        <v>192</v>
      </c>
      <c r="N500" s="4" t="s">
        <v>182</v>
      </c>
      <c r="O500" s="4" t="s">
        <v>183</v>
      </c>
      <c r="P500">
        <v>19756.3</v>
      </c>
      <c r="Q500" s="4" t="s">
        <v>30</v>
      </c>
    </row>
    <row r="501" spans="1:17" x14ac:dyDescent="0.2">
      <c r="A501" s="4" t="s">
        <v>685</v>
      </c>
      <c r="B501">
        <v>500</v>
      </c>
      <c r="C501" s="4" t="s">
        <v>26</v>
      </c>
      <c r="D501" s="4" t="s">
        <v>44</v>
      </c>
      <c r="E501" s="4" t="s">
        <v>50</v>
      </c>
      <c r="F501" s="4" t="s">
        <v>1858</v>
      </c>
      <c r="G501">
        <v>12</v>
      </c>
      <c r="H501">
        <v>58</v>
      </c>
      <c r="I501" s="4" t="s">
        <v>207</v>
      </c>
      <c r="J501" s="4" t="s">
        <v>208</v>
      </c>
      <c r="K501" s="4" t="s">
        <v>179</v>
      </c>
      <c r="L501" s="4" t="s">
        <v>180</v>
      </c>
      <c r="M501" s="4" t="s">
        <v>192</v>
      </c>
      <c r="N501" s="4" t="s">
        <v>182</v>
      </c>
      <c r="O501" s="4" t="s">
        <v>189</v>
      </c>
      <c r="P501">
        <v>-19756.3</v>
      </c>
      <c r="Q501" s="4" t="s">
        <v>30</v>
      </c>
    </row>
    <row r="502" spans="1:17" x14ac:dyDescent="0.2">
      <c r="A502" s="4" t="s">
        <v>686</v>
      </c>
      <c r="B502">
        <v>501</v>
      </c>
      <c r="C502" s="4" t="s">
        <v>26</v>
      </c>
      <c r="D502" s="4" t="s">
        <v>44</v>
      </c>
      <c r="E502" s="4" t="s">
        <v>50</v>
      </c>
      <c r="F502" s="4" t="s">
        <v>1858</v>
      </c>
      <c r="G502">
        <v>12</v>
      </c>
      <c r="H502">
        <v>58</v>
      </c>
      <c r="I502" s="4" t="s">
        <v>207</v>
      </c>
      <c r="J502" s="4" t="s">
        <v>208</v>
      </c>
      <c r="K502" s="4" t="s">
        <v>179</v>
      </c>
      <c r="L502" s="4" t="s">
        <v>180</v>
      </c>
      <c r="M502" s="4" t="s">
        <v>192</v>
      </c>
      <c r="N502" s="4" t="s">
        <v>182</v>
      </c>
      <c r="O502" s="4" t="s">
        <v>183</v>
      </c>
      <c r="P502">
        <v>16581.29</v>
      </c>
      <c r="Q502" s="4" t="s">
        <v>30</v>
      </c>
    </row>
    <row r="503" spans="1:17" x14ac:dyDescent="0.2">
      <c r="A503" s="4" t="s">
        <v>687</v>
      </c>
      <c r="B503">
        <v>502</v>
      </c>
      <c r="C503" s="4" t="s">
        <v>26</v>
      </c>
      <c r="D503" s="4" t="s">
        <v>44</v>
      </c>
      <c r="E503" s="4" t="s">
        <v>50</v>
      </c>
      <c r="F503" s="4" t="s">
        <v>1858</v>
      </c>
      <c r="G503">
        <v>12</v>
      </c>
      <c r="H503">
        <v>58</v>
      </c>
      <c r="I503" s="4" t="s">
        <v>209</v>
      </c>
      <c r="J503" s="4" t="s">
        <v>210</v>
      </c>
      <c r="K503" s="4" t="s">
        <v>205</v>
      </c>
      <c r="L503" s="4" t="s">
        <v>211</v>
      </c>
      <c r="M503" s="4" t="s">
        <v>182</v>
      </c>
      <c r="N503" s="4" t="s">
        <v>182</v>
      </c>
      <c r="O503" s="4" t="s">
        <v>183</v>
      </c>
      <c r="P503">
        <v>14300.33</v>
      </c>
      <c r="Q503" s="4" t="s">
        <v>30</v>
      </c>
    </row>
    <row r="504" spans="1:17" x14ac:dyDescent="0.2">
      <c r="A504" s="4" t="s">
        <v>688</v>
      </c>
      <c r="B504">
        <v>503</v>
      </c>
      <c r="C504" s="4" t="s">
        <v>26</v>
      </c>
      <c r="D504" s="4" t="s">
        <v>44</v>
      </c>
      <c r="E504" s="4" t="s">
        <v>50</v>
      </c>
      <c r="F504" s="4" t="s">
        <v>1858</v>
      </c>
      <c r="G504">
        <v>12</v>
      </c>
      <c r="H504">
        <v>58</v>
      </c>
      <c r="I504" s="4" t="s">
        <v>201</v>
      </c>
      <c r="J504" s="4" t="s">
        <v>202</v>
      </c>
      <c r="K504" s="4" t="s">
        <v>179</v>
      </c>
      <c r="L504" s="4" t="s">
        <v>180</v>
      </c>
      <c r="M504" s="4" t="s">
        <v>192</v>
      </c>
      <c r="N504" s="4" t="s">
        <v>182</v>
      </c>
      <c r="O504" s="4" t="s">
        <v>189</v>
      </c>
      <c r="P504">
        <v>-14300.33</v>
      </c>
      <c r="Q504" s="4" t="s">
        <v>30</v>
      </c>
    </row>
    <row r="505" spans="1:17" x14ac:dyDescent="0.2">
      <c r="A505" s="4" t="s">
        <v>689</v>
      </c>
      <c r="B505">
        <v>504</v>
      </c>
      <c r="C505" s="4" t="s">
        <v>26</v>
      </c>
      <c r="D505" s="4" t="s">
        <v>44</v>
      </c>
      <c r="E505" s="4" t="s">
        <v>50</v>
      </c>
      <c r="F505" s="4" t="s">
        <v>1858</v>
      </c>
      <c r="G505">
        <v>12</v>
      </c>
      <c r="H505">
        <v>58</v>
      </c>
      <c r="I505" s="4" t="s">
        <v>212</v>
      </c>
      <c r="J505" s="4" t="s">
        <v>213</v>
      </c>
      <c r="K505" s="4" t="s">
        <v>205</v>
      </c>
      <c r="L505" s="4" t="s">
        <v>214</v>
      </c>
      <c r="M505" s="4" t="s">
        <v>182</v>
      </c>
      <c r="N505" s="4" t="s">
        <v>182</v>
      </c>
      <c r="O505" s="4" t="s">
        <v>189</v>
      </c>
      <c r="P505">
        <v>-16581.29</v>
      </c>
      <c r="Q505" s="4" t="s">
        <v>30</v>
      </c>
    </row>
    <row r="506" spans="1:17" x14ac:dyDescent="0.2">
      <c r="A506" s="4" t="s">
        <v>690</v>
      </c>
      <c r="B506">
        <v>505</v>
      </c>
      <c r="C506" s="4" t="s">
        <v>26</v>
      </c>
      <c r="D506" s="4" t="s">
        <v>44</v>
      </c>
      <c r="E506" s="4" t="s">
        <v>53</v>
      </c>
      <c r="F506" s="4" t="s">
        <v>1859</v>
      </c>
      <c r="G506">
        <v>12</v>
      </c>
      <c r="H506">
        <v>59</v>
      </c>
      <c r="I506" s="4" t="s">
        <v>190</v>
      </c>
      <c r="J506" s="4" t="s">
        <v>191</v>
      </c>
      <c r="K506" s="4" t="s">
        <v>179</v>
      </c>
      <c r="L506" s="4" t="s">
        <v>180</v>
      </c>
      <c r="M506" s="4" t="s">
        <v>192</v>
      </c>
      <c r="N506" s="4" t="s">
        <v>182</v>
      </c>
      <c r="O506" s="4" t="s">
        <v>183</v>
      </c>
      <c r="P506">
        <v>14391.71</v>
      </c>
      <c r="Q506" s="4" t="s">
        <v>30</v>
      </c>
    </row>
    <row r="507" spans="1:17" x14ac:dyDescent="0.2">
      <c r="A507" s="4" t="s">
        <v>691</v>
      </c>
      <c r="B507">
        <v>506</v>
      </c>
      <c r="C507" s="4" t="s">
        <v>26</v>
      </c>
      <c r="D507" s="4" t="s">
        <v>44</v>
      </c>
      <c r="E507" s="4" t="s">
        <v>53</v>
      </c>
      <c r="F507" s="4" t="s">
        <v>1859</v>
      </c>
      <c r="G507">
        <v>12</v>
      </c>
      <c r="H507">
        <v>59</v>
      </c>
      <c r="I507" s="4" t="s">
        <v>207</v>
      </c>
      <c r="J507" s="4" t="s">
        <v>208</v>
      </c>
      <c r="K507" s="4" t="s">
        <v>179</v>
      </c>
      <c r="L507" s="4" t="s">
        <v>180</v>
      </c>
      <c r="M507" s="4" t="s">
        <v>192</v>
      </c>
      <c r="N507" s="4" t="s">
        <v>182</v>
      </c>
      <c r="O507" s="4" t="s">
        <v>189</v>
      </c>
      <c r="P507">
        <v>-14391.71</v>
      </c>
      <c r="Q507" s="4" t="s">
        <v>30</v>
      </c>
    </row>
    <row r="508" spans="1:17" x14ac:dyDescent="0.2">
      <c r="A508" s="4" t="s">
        <v>692</v>
      </c>
      <c r="B508">
        <v>507</v>
      </c>
      <c r="C508" s="4" t="s">
        <v>26</v>
      </c>
      <c r="D508" s="4" t="s">
        <v>44</v>
      </c>
      <c r="E508" s="4" t="s">
        <v>53</v>
      </c>
      <c r="F508" s="4" t="s">
        <v>1859</v>
      </c>
      <c r="G508">
        <v>12</v>
      </c>
      <c r="H508">
        <v>59</v>
      </c>
      <c r="I508" s="4" t="s">
        <v>207</v>
      </c>
      <c r="J508" s="4" t="s">
        <v>208</v>
      </c>
      <c r="K508" s="4" t="s">
        <v>179</v>
      </c>
      <c r="L508" s="4" t="s">
        <v>180</v>
      </c>
      <c r="M508" s="4" t="s">
        <v>192</v>
      </c>
      <c r="N508" s="4" t="s">
        <v>182</v>
      </c>
      <c r="O508" s="4" t="s">
        <v>183</v>
      </c>
      <c r="P508">
        <v>17578.8</v>
      </c>
      <c r="Q508" s="4" t="s">
        <v>30</v>
      </c>
    </row>
    <row r="509" spans="1:17" x14ac:dyDescent="0.2">
      <c r="A509" s="4" t="s">
        <v>693</v>
      </c>
      <c r="B509">
        <v>508</v>
      </c>
      <c r="C509" s="4" t="s">
        <v>26</v>
      </c>
      <c r="D509" s="4" t="s">
        <v>44</v>
      </c>
      <c r="E509" s="4" t="s">
        <v>53</v>
      </c>
      <c r="F509" s="4" t="s">
        <v>1859</v>
      </c>
      <c r="G509">
        <v>12</v>
      </c>
      <c r="H509">
        <v>59</v>
      </c>
      <c r="I509" s="4" t="s">
        <v>209</v>
      </c>
      <c r="J509" s="4" t="s">
        <v>210</v>
      </c>
      <c r="K509" s="4" t="s">
        <v>205</v>
      </c>
      <c r="L509" s="4" t="s">
        <v>211</v>
      </c>
      <c r="M509" s="4" t="s">
        <v>182</v>
      </c>
      <c r="N509" s="4" t="s">
        <v>182</v>
      </c>
      <c r="O509" s="4" t="s">
        <v>183</v>
      </c>
      <c r="P509">
        <v>15279.41</v>
      </c>
      <c r="Q509" s="4" t="s">
        <v>30</v>
      </c>
    </row>
    <row r="510" spans="1:17" x14ac:dyDescent="0.2">
      <c r="A510" s="4" t="s">
        <v>694</v>
      </c>
      <c r="B510">
        <v>509</v>
      </c>
      <c r="C510" s="4" t="s">
        <v>26</v>
      </c>
      <c r="D510" s="4" t="s">
        <v>44</v>
      </c>
      <c r="E510" s="4" t="s">
        <v>53</v>
      </c>
      <c r="F510" s="4" t="s">
        <v>1859</v>
      </c>
      <c r="G510">
        <v>12</v>
      </c>
      <c r="H510">
        <v>59</v>
      </c>
      <c r="I510" s="4" t="s">
        <v>201</v>
      </c>
      <c r="J510" s="4" t="s">
        <v>202</v>
      </c>
      <c r="K510" s="4" t="s">
        <v>179</v>
      </c>
      <c r="L510" s="4" t="s">
        <v>180</v>
      </c>
      <c r="M510" s="4" t="s">
        <v>192</v>
      </c>
      <c r="N510" s="4" t="s">
        <v>182</v>
      </c>
      <c r="O510" s="4" t="s">
        <v>189</v>
      </c>
      <c r="P510">
        <v>-15279.41</v>
      </c>
      <c r="Q510" s="4" t="s">
        <v>30</v>
      </c>
    </row>
    <row r="511" spans="1:17" x14ac:dyDescent="0.2">
      <c r="A511" s="4" t="s">
        <v>695</v>
      </c>
      <c r="B511">
        <v>510</v>
      </c>
      <c r="C511" s="4" t="s">
        <v>26</v>
      </c>
      <c r="D511" s="4" t="s">
        <v>44</v>
      </c>
      <c r="E511" s="4" t="s">
        <v>53</v>
      </c>
      <c r="F511" s="4" t="s">
        <v>1859</v>
      </c>
      <c r="G511">
        <v>12</v>
      </c>
      <c r="H511">
        <v>59</v>
      </c>
      <c r="I511" s="4" t="s">
        <v>212</v>
      </c>
      <c r="J511" s="4" t="s">
        <v>213</v>
      </c>
      <c r="K511" s="4" t="s">
        <v>205</v>
      </c>
      <c r="L511" s="4" t="s">
        <v>214</v>
      </c>
      <c r="M511" s="4" t="s">
        <v>182</v>
      </c>
      <c r="N511" s="4" t="s">
        <v>182</v>
      </c>
      <c r="O511" s="4" t="s">
        <v>189</v>
      </c>
      <c r="P511">
        <v>-17578.8</v>
      </c>
      <c r="Q511" s="4" t="s">
        <v>30</v>
      </c>
    </row>
    <row r="512" spans="1:17" x14ac:dyDescent="0.2">
      <c r="A512" s="4" t="s">
        <v>696</v>
      </c>
      <c r="B512">
        <v>511</v>
      </c>
      <c r="C512" s="4" t="s">
        <v>26</v>
      </c>
      <c r="D512" s="4" t="s">
        <v>44</v>
      </c>
      <c r="E512" s="4" t="s">
        <v>56</v>
      </c>
      <c r="F512" s="4" t="s">
        <v>1922</v>
      </c>
      <c r="G512">
        <v>12</v>
      </c>
      <c r="H512">
        <v>60</v>
      </c>
      <c r="I512" s="4" t="s">
        <v>190</v>
      </c>
      <c r="J512" s="4" t="s">
        <v>191</v>
      </c>
      <c r="K512" s="4" t="s">
        <v>179</v>
      </c>
      <c r="L512" s="4" t="s">
        <v>180</v>
      </c>
      <c r="M512" s="4" t="s">
        <v>192</v>
      </c>
      <c r="N512" s="4" t="s">
        <v>182</v>
      </c>
      <c r="O512" s="4" t="s">
        <v>189</v>
      </c>
      <c r="P512">
        <v>-300</v>
      </c>
      <c r="Q512" s="4" t="s">
        <v>30</v>
      </c>
    </row>
    <row r="513" spans="1:17" x14ac:dyDescent="0.2">
      <c r="A513" s="4" t="s">
        <v>697</v>
      </c>
      <c r="B513">
        <v>512</v>
      </c>
      <c r="C513" s="4" t="s">
        <v>26</v>
      </c>
      <c r="D513" s="4" t="s">
        <v>44</v>
      </c>
      <c r="E513" s="4" t="s">
        <v>56</v>
      </c>
      <c r="F513" s="4" t="s">
        <v>1922</v>
      </c>
      <c r="G513">
        <v>12</v>
      </c>
      <c r="H513">
        <v>60</v>
      </c>
      <c r="I513" s="4" t="s">
        <v>190</v>
      </c>
      <c r="J513" s="4" t="s">
        <v>191</v>
      </c>
      <c r="K513" s="4" t="s">
        <v>179</v>
      </c>
      <c r="L513" s="4" t="s">
        <v>180</v>
      </c>
      <c r="M513" s="4" t="s">
        <v>192</v>
      </c>
      <c r="N513" s="4" t="s">
        <v>182</v>
      </c>
      <c r="O513" s="4" t="s">
        <v>183</v>
      </c>
      <c r="P513">
        <v>17992.18</v>
      </c>
      <c r="Q513" s="4" t="s">
        <v>30</v>
      </c>
    </row>
    <row r="514" spans="1:17" x14ac:dyDescent="0.2">
      <c r="A514" s="4" t="s">
        <v>698</v>
      </c>
      <c r="B514">
        <v>513</v>
      </c>
      <c r="C514" s="4" t="s">
        <v>26</v>
      </c>
      <c r="D514" s="4" t="s">
        <v>44</v>
      </c>
      <c r="E514" s="4" t="s">
        <v>56</v>
      </c>
      <c r="F514" s="4" t="s">
        <v>1922</v>
      </c>
      <c r="G514">
        <v>12</v>
      </c>
      <c r="H514">
        <v>60</v>
      </c>
      <c r="I514" s="4" t="s">
        <v>207</v>
      </c>
      <c r="J514" s="4" t="s">
        <v>208</v>
      </c>
      <c r="K514" s="4" t="s">
        <v>179</v>
      </c>
      <c r="L514" s="4" t="s">
        <v>180</v>
      </c>
      <c r="M514" s="4" t="s">
        <v>192</v>
      </c>
      <c r="N514" s="4" t="s">
        <v>182</v>
      </c>
      <c r="O514" s="4" t="s">
        <v>189</v>
      </c>
      <c r="P514">
        <v>-17992.18</v>
      </c>
      <c r="Q514" s="4" t="s">
        <v>30</v>
      </c>
    </row>
    <row r="515" spans="1:17" x14ac:dyDescent="0.2">
      <c r="A515" s="4" t="s">
        <v>699</v>
      </c>
      <c r="B515">
        <v>514</v>
      </c>
      <c r="C515" s="4" t="s">
        <v>26</v>
      </c>
      <c r="D515" s="4" t="s">
        <v>44</v>
      </c>
      <c r="E515" s="4" t="s">
        <v>56</v>
      </c>
      <c r="F515" s="4" t="s">
        <v>1922</v>
      </c>
      <c r="G515">
        <v>12</v>
      </c>
      <c r="H515">
        <v>60</v>
      </c>
      <c r="I515" s="4" t="s">
        <v>207</v>
      </c>
      <c r="J515" s="4" t="s">
        <v>208</v>
      </c>
      <c r="K515" s="4" t="s">
        <v>179</v>
      </c>
      <c r="L515" s="4" t="s">
        <v>180</v>
      </c>
      <c r="M515" s="4" t="s">
        <v>192</v>
      </c>
      <c r="N515" s="4" t="s">
        <v>182</v>
      </c>
      <c r="O515" s="4" t="s">
        <v>183</v>
      </c>
      <c r="P515">
        <v>21987.54</v>
      </c>
      <c r="Q515" s="4" t="s">
        <v>30</v>
      </c>
    </row>
    <row r="516" spans="1:17" x14ac:dyDescent="0.2">
      <c r="A516" s="4" t="s">
        <v>700</v>
      </c>
      <c r="B516">
        <v>515</v>
      </c>
      <c r="C516" s="4" t="s">
        <v>26</v>
      </c>
      <c r="D516" s="4" t="s">
        <v>44</v>
      </c>
      <c r="E516" s="4" t="s">
        <v>56</v>
      </c>
      <c r="F516" s="4" t="s">
        <v>1922</v>
      </c>
      <c r="G516">
        <v>12</v>
      </c>
      <c r="H516">
        <v>60</v>
      </c>
      <c r="I516" s="4" t="s">
        <v>193</v>
      </c>
      <c r="J516" s="4" t="s">
        <v>194</v>
      </c>
      <c r="K516" s="4" t="s">
        <v>179</v>
      </c>
      <c r="L516" s="4" t="s">
        <v>186</v>
      </c>
      <c r="M516" s="4" t="s">
        <v>195</v>
      </c>
      <c r="N516" s="4" t="s">
        <v>196</v>
      </c>
      <c r="O516" s="4" t="s">
        <v>189</v>
      </c>
      <c r="P516">
        <v>-53628.12</v>
      </c>
      <c r="Q516" s="4" t="s">
        <v>30</v>
      </c>
    </row>
    <row r="517" spans="1:17" x14ac:dyDescent="0.2">
      <c r="A517" s="4" t="s">
        <v>701</v>
      </c>
      <c r="B517">
        <v>516</v>
      </c>
      <c r="C517" s="4" t="s">
        <v>26</v>
      </c>
      <c r="D517" s="4" t="s">
        <v>44</v>
      </c>
      <c r="E517" s="4" t="s">
        <v>56</v>
      </c>
      <c r="F517" s="4" t="s">
        <v>1922</v>
      </c>
      <c r="G517">
        <v>12</v>
      </c>
      <c r="H517">
        <v>60</v>
      </c>
      <c r="I517" s="4" t="s">
        <v>197</v>
      </c>
      <c r="J517" s="4" t="s">
        <v>198</v>
      </c>
      <c r="K517" s="4" t="s">
        <v>179</v>
      </c>
      <c r="L517" s="4" t="s">
        <v>186</v>
      </c>
      <c r="M517" s="4" t="s">
        <v>195</v>
      </c>
      <c r="N517" s="4" t="s">
        <v>196</v>
      </c>
      <c r="O517" s="4" t="s">
        <v>189</v>
      </c>
      <c r="P517">
        <v>-52628.12</v>
      </c>
      <c r="Q517" s="4" t="s">
        <v>30</v>
      </c>
    </row>
    <row r="518" spans="1:17" x14ac:dyDescent="0.2">
      <c r="A518" s="4" t="s">
        <v>702</v>
      </c>
      <c r="B518">
        <v>517</v>
      </c>
      <c r="C518" s="4" t="s">
        <v>26</v>
      </c>
      <c r="D518" s="4" t="s">
        <v>44</v>
      </c>
      <c r="E518" s="4" t="s">
        <v>56</v>
      </c>
      <c r="F518" s="4" t="s">
        <v>1922</v>
      </c>
      <c r="G518">
        <v>12</v>
      </c>
      <c r="H518">
        <v>60</v>
      </c>
      <c r="I518" s="4" t="s">
        <v>197</v>
      </c>
      <c r="J518" s="4" t="s">
        <v>198</v>
      </c>
      <c r="K518" s="4" t="s">
        <v>179</v>
      </c>
      <c r="L518" s="4" t="s">
        <v>186</v>
      </c>
      <c r="M518" s="4" t="s">
        <v>195</v>
      </c>
      <c r="N518" s="4" t="s">
        <v>196</v>
      </c>
      <c r="O518" s="4" t="s">
        <v>183</v>
      </c>
      <c r="P518">
        <v>52628.12</v>
      </c>
      <c r="Q518" s="4" t="s">
        <v>30</v>
      </c>
    </row>
    <row r="519" spans="1:17" x14ac:dyDescent="0.2">
      <c r="A519" s="4" t="s">
        <v>703</v>
      </c>
      <c r="B519">
        <v>518</v>
      </c>
      <c r="C519" s="4" t="s">
        <v>26</v>
      </c>
      <c r="D519" s="4" t="s">
        <v>44</v>
      </c>
      <c r="E519" s="4" t="s">
        <v>56</v>
      </c>
      <c r="F519" s="4" t="s">
        <v>1922</v>
      </c>
      <c r="G519">
        <v>12</v>
      </c>
      <c r="H519">
        <v>60</v>
      </c>
      <c r="I519" s="4" t="s">
        <v>199</v>
      </c>
      <c r="J519" s="4" t="s">
        <v>200</v>
      </c>
      <c r="K519" s="4" t="s">
        <v>179</v>
      </c>
      <c r="L519" s="4" t="s">
        <v>186</v>
      </c>
      <c r="M519" s="4" t="s">
        <v>195</v>
      </c>
      <c r="N519" s="4" t="s">
        <v>196</v>
      </c>
      <c r="O519" s="4" t="s">
        <v>189</v>
      </c>
      <c r="P519">
        <v>-1000</v>
      </c>
      <c r="Q519" s="4" t="s">
        <v>30</v>
      </c>
    </row>
    <row r="520" spans="1:17" x14ac:dyDescent="0.2">
      <c r="A520" s="4" t="s">
        <v>704</v>
      </c>
      <c r="B520">
        <v>519</v>
      </c>
      <c r="C520" s="4" t="s">
        <v>26</v>
      </c>
      <c r="D520" s="4" t="s">
        <v>44</v>
      </c>
      <c r="E520" s="4" t="s">
        <v>56</v>
      </c>
      <c r="F520" s="4" t="s">
        <v>1922</v>
      </c>
      <c r="G520">
        <v>12</v>
      </c>
      <c r="H520">
        <v>60</v>
      </c>
      <c r="I520" s="4" t="s">
        <v>199</v>
      </c>
      <c r="J520" s="4" t="s">
        <v>200</v>
      </c>
      <c r="K520" s="4" t="s">
        <v>179</v>
      </c>
      <c r="L520" s="4" t="s">
        <v>186</v>
      </c>
      <c r="M520" s="4" t="s">
        <v>195</v>
      </c>
      <c r="N520" s="4" t="s">
        <v>196</v>
      </c>
      <c r="O520" s="4" t="s">
        <v>183</v>
      </c>
      <c r="P520">
        <v>1000</v>
      </c>
      <c r="Q520" s="4" t="s">
        <v>30</v>
      </c>
    </row>
    <row r="521" spans="1:17" x14ac:dyDescent="0.2">
      <c r="A521" s="4" t="s">
        <v>705</v>
      </c>
      <c r="B521">
        <v>520</v>
      </c>
      <c r="C521" s="4" t="s">
        <v>26</v>
      </c>
      <c r="D521" s="4" t="s">
        <v>44</v>
      </c>
      <c r="E521" s="4" t="s">
        <v>56</v>
      </c>
      <c r="F521" s="4" t="s">
        <v>1922</v>
      </c>
      <c r="G521">
        <v>12</v>
      </c>
      <c r="H521">
        <v>60</v>
      </c>
      <c r="I521" s="4" t="s">
        <v>209</v>
      </c>
      <c r="J521" s="4" t="s">
        <v>210</v>
      </c>
      <c r="K521" s="4" t="s">
        <v>205</v>
      </c>
      <c r="L521" s="4" t="s">
        <v>211</v>
      </c>
      <c r="M521" s="4" t="s">
        <v>182</v>
      </c>
      <c r="N521" s="4" t="s">
        <v>182</v>
      </c>
      <c r="O521" s="4" t="s">
        <v>183</v>
      </c>
      <c r="P521">
        <v>19696.060000000001</v>
      </c>
      <c r="Q521" s="4" t="s">
        <v>30</v>
      </c>
    </row>
    <row r="522" spans="1:17" x14ac:dyDescent="0.2">
      <c r="A522" s="4" t="s">
        <v>706</v>
      </c>
      <c r="B522">
        <v>521</v>
      </c>
      <c r="C522" s="4" t="s">
        <v>26</v>
      </c>
      <c r="D522" s="4" t="s">
        <v>44</v>
      </c>
      <c r="E522" s="4" t="s">
        <v>56</v>
      </c>
      <c r="F522" s="4" t="s">
        <v>1922</v>
      </c>
      <c r="G522">
        <v>12</v>
      </c>
      <c r="H522">
        <v>60</v>
      </c>
      <c r="I522" s="4" t="s">
        <v>203</v>
      </c>
      <c r="J522" s="4" t="s">
        <v>204</v>
      </c>
      <c r="K522" s="4" t="s">
        <v>205</v>
      </c>
      <c r="L522" s="4" t="s">
        <v>206</v>
      </c>
      <c r="M522" s="4" t="s">
        <v>182</v>
      </c>
      <c r="N522" s="4" t="s">
        <v>182</v>
      </c>
      <c r="O522" s="4" t="s">
        <v>183</v>
      </c>
      <c r="P522">
        <v>300</v>
      </c>
      <c r="Q522" s="4" t="s">
        <v>30</v>
      </c>
    </row>
    <row r="523" spans="1:17" x14ac:dyDescent="0.2">
      <c r="A523" s="4" t="s">
        <v>707</v>
      </c>
      <c r="B523">
        <v>522</v>
      </c>
      <c r="C523" s="4" t="s">
        <v>26</v>
      </c>
      <c r="D523" s="4" t="s">
        <v>44</v>
      </c>
      <c r="E523" s="4" t="s">
        <v>56</v>
      </c>
      <c r="F523" s="4" t="s">
        <v>1922</v>
      </c>
      <c r="G523">
        <v>12</v>
      </c>
      <c r="H523">
        <v>60</v>
      </c>
      <c r="I523" s="4" t="s">
        <v>201</v>
      </c>
      <c r="J523" s="4" t="s">
        <v>202</v>
      </c>
      <c r="K523" s="4" t="s">
        <v>179</v>
      </c>
      <c r="L523" s="4" t="s">
        <v>180</v>
      </c>
      <c r="M523" s="4" t="s">
        <v>192</v>
      </c>
      <c r="N523" s="4" t="s">
        <v>182</v>
      </c>
      <c r="O523" s="4" t="s">
        <v>189</v>
      </c>
      <c r="P523">
        <v>-19696.07</v>
      </c>
      <c r="Q523" s="4" t="s">
        <v>30</v>
      </c>
    </row>
    <row r="524" spans="1:17" x14ac:dyDescent="0.2">
      <c r="A524" s="4" t="s">
        <v>708</v>
      </c>
      <c r="B524">
        <v>523</v>
      </c>
      <c r="C524" s="4" t="s">
        <v>26</v>
      </c>
      <c r="D524" s="4" t="s">
        <v>44</v>
      </c>
      <c r="E524" s="4" t="s">
        <v>56</v>
      </c>
      <c r="F524" s="4" t="s">
        <v>1922</v>
      </c>
      <c r="G524">
        <v>12</v>
      </c>
      <c r="H524">
        <v>60</v>
      </c>
      <c r="I524" s="4" t="s">
        <v>201</v>
      </c>
      <c r="J524" s="4" t="s">
        <v>202</v>
      </c>
      <c r="K524" s="4" t="s">
        <v>179</v>
      </c>
      <c r="L524" s="4" t="s">
        <v>180</v>
      </c>
      <c r="M524" s="4" t="s">
        <v>192</v>
      </c>
      <c r="N524" s="4" t="s">
        <v>182</v>
      </c>
      <c r="O524" s="4" t="s">
        <v>183</v>
      </c>
      <c r="P524">
        <v>53628.13</v>
      </c>
      <c r="Q524" s="4" t="s">
        <v>30</v>
      </c>
    </row>
    <row r="525" spans="1:17" x14ac:dyDescent="0.2">
      <c r="A525" s="4" t="s">
        <v>709</v>
      </c>
      <c r="B525">
        <v>524</v>
      </c>
      <c r="C525" s="4" t="s">
        <v>26</v>
      </c>
      <c r="D525" s="4" t="s">
        <v>44</v>
      </c>
      <c r="E525" s="4" t="s">
        <v>56</v>
      </c>
      <c r="F525" s="4" t="s">
        <v>1922</v>
      </c>
      <c r="G525">
        <v>12</v>
      </c>
      <c r="H525">
        <v>60</v>
      </c>
      <c r="I525" s="4" t="s">
        <v>212</v>
      </c>
      <c r="J525" s="4" t="s">
        <v>213</v>
      </c>
      <c r="K525" s="4" t="s">
        <v>205</v>
      </c>
      <c r="L525" s="4" t="s">
        <v>214</v>
      </c>
      <c r="M525" s="4" t="s">
        <v>182</v>
      </c>
      <c r="N525" s="4" t="s">
        <v>182</v>
      </c>
      <c r="O525" s="4" t="s">
        <v>189</v>
      </c>
      <c r="P525">
        <v>-21987.54</v>
      </c>
      <c r="Q525" s="4" t="s">
        <v>30</v>
      </c>
    </row>
    <row r="526" spans="1:17" x14ac:dyDescent="0.2">
      <c r="A526" s="4" t="s">
        <v>710</v>
      </c>
      <c r="B526">
        <v>525</v>
      </c>
      <c r="C526" s="4" t="s">
        <v>26</v>
      </c>
      <c r="D526" s="4" t="s">
        <v>47</v>
      </c>
      <c r="E526" s="4" t="s">
        <v>27</v>
      </c>
      <c r="F526" s="4" t="s">
        <v>1953</v>
      </c>
      <c r="G526">
        <v>13</v>
      </c>
      <c r="H526">
        <v>61</v>
      </c>
      <c r="I526" s="4" t="s">
        <v>190</v>
      </c>
      <c r="J526" s="4" t="s">
        <v>191</v>
      </c>
      <c r="K526" s="4" t="s">
        <v>179</v>
      </c>
      <c r="L526" s="4" t="s">
        <v>180</v>
      </c>
      <c r="M526" s="4" t="s">
        <v>192</v>
      </c>
      <c r="N526" s="4" t="s">
        <v>182</v>
      </c>
      <c r="O526" s="4" t="s">
        <v>189</v>
      </c>
      <c r="P526">
        <v>-76521.06</v>
      </c>
      <c r="Q526" s="4" t="s">
        <v>30</v>
      </c>
    </row>
    <row r="527" spans="1:17" x14ac:dyDescent="0.2">
      <c r="A527" s="4" t="s">
        <v>711</v>
      </c>
      <c r="B527">
        <v>526</v>
      </c>
      <c r="C527" s="4" t="s">
        <v>26</v>
      </c>
      <c r="D527" s="4" t="s">
        <v>47</v>
      </c>
      <c r="E527" s="4" t="s">
        <v>27</v>
      </c>
      <c r="F527" s="4" t="s">
        <v>1953</v>
      </c>
      <c r="G527">
        <v>13</v>
      </c>
      <c r="H527">
        <v>61</v>
      </c>
      <c r="I527" s="4" t="s">
        <v>190</v>
      </c>
      <c r="J527" s="4" t="s">
        <v>191</v>
      </c>
      <c r="K527" s="4" t="s">
        <v>179</v>
      </c>
      <c r="L527" s="4" t="s">
        <v>180</v>
      </c>
      <c r="M527" s="4" t="s">
        <v>192</v>
      </c>
      <c r="N527" s="4" t="s">
        <v>182</v>
      </c>
      <c r="O527" s="4" t="s">
        <v>183</v>
      </c>
      <c r="P527">
        <v>9416.99</v>
      </c>
      <c r="Q527" s="4" t="s">
        <v>30</v>
      </c>
    </row>
    <row r="528" spans="1:17" x14ac:dyDescent="0.2">
      <c r="A528" s="4" t="s">
        <v>712</v>
      </c>
      <c r="B528">
        <v>527</v>
      </c>
      <c r="C528" s="4" t="s">
        <v>26</v>
      </c>
      <c r="D528" s="4" t="s">
        <v>47</v>
      </c>
      <c r="E528" s="4" t="s">
        <v>27</v>
      </c>
      <c r="F528" s="4" t="s">
        <v>1953</v>
      </c>
      <c r="G528">
        <v>13</v>
      </c>
      <c r="H528">
        <v>61</v>
      </c>
      <c r="I528" s="4" t="s">
        <v>207</v>
      </c>
      <c r="J528" s="4" t="s">
        <v>208</v>
      </c>
      <c r="K528" s="4" t="s">
        <v>179</v>
      </c>
      <c r="L528" s="4" t="s">
        <v>180</v>
      </c>
      <c r="M528" s="4" t="s">
        <v>192</v>
      </c>
      <c r="N528" s="4" t="s">
        <v>182</v>
      </c>
      <c r="O528" s="4" t="s">
        <v>189</v>
      </c>
      <c r="P528">
        <v>-9416.99</v>
      </c>
      <c r="Q528" s="4" t="s">
        <v>30</v>
      </c>
    </row>
    <row r="529" spans="1:17" x14ac:dyDescent="0.2">
      <c r="A529" s="4" t="s">
        <v>713</v>
      </c>
      <c r="B529">
        <v>528</v>
      </c>
      <c r="C529" s="4" t="s">
        <v>26</v>
      </c>
      <c r="D529" s="4" t="s">
        <v>47</v>
      </c>
      <c r="E529" s="4" t="s">
        <v>27</v>
      </c>
      <c r="F529" s="4" t="s">
        <v>1953</v>
      </c>
      <c r="G529">
        <v>13</v>
      </c>
      <c r="H529">
        <v>61</v>
      </c>
      <c r="I529" s="4" t="s">
        <v>207</v>
      </c>
      <c r="J529" s="4" t="s">
        <v>208</v>
      </c>
      <c r="K529" s="4" t="s">
        <v>179</v>
      </c>
      <c r="L529" s="4" t="s">
        <v>180</v>
      </c>
      <c r="M529" s="4" t="s">
        <v>192</v>
      </c>
      <c r="N529" s="4" t="s">
        <v>182</v>
      </c>
      <c r="O529" s="4" t="s">
        <v>183</v>
      </c>
      <c r="P529">
        <v>14283.78</v>
      </c>
      <c r="Q529" s="4" t="s">
        <v>30</v>
      </c>
    </row>
    <row r="530" spans="1:17" x14ac:dyDescent="0.2">
      <c r="A530" s="4" t="s">
        <v>714</v>
      </c>
      <c r="B530">
        <v>529</v>
      </c>
      <c r="C530" s="4" t="s">
        <v>26</v>
      </c>
      <c r="D530" s="4" t="s">
        <v>47</v>
      </c>
      <c r="E530" s="4" t="s">
        <v>27</v>
      </c>
      <c r="F530" s="4" t="s">
        <v>1953</v>
      </c>
      <c r="G530">
        <v>13</v>
      </c>
      <c r="H530">
        <v>61</v>
      </c>
      <c r="I530" s="4" t="s">
        <v>193</v>
      </c>
      <c r="J530" s="4" t="s">
        <v>194</v>
      </c>
      <c r="K530" s="4" t="s">
        <v>179</v>
      </c>
      <c r="L530" s="4" t="s">
        <v>186</v>
      </c>
      <c r="M530" s="4" t="s">
        <v>195</v>
      </c>
      <c r="N530" s="4" t="s">
        <v>196</v>
      </c>
      <c r="O530" s="4" t="s">
        <v>183</v>
      </c>
      <c r="P530">
        <v>76221.06</v>
      </c>
      <c r="Q530" s="4" t="s">
        <v>30</v>
      </c>
    </row>
    <row r="531" spans="1:17" x14ac:dyDescent="0.2">
      <c r="A531" s="4" t="s">
        <v>715</v>
      </c>
      <c r="B531">
        <v>530</v>
      </c>
      <c r="C531" s="4" t="s">
        <v>26</v>
      </c>
      <c r="D531" s="4" t="s">
        <v>47</v>
      </c>
      <c r="E531" s="4" t="s">
        <v>27</v>
      </c>
      <c r="F531" s="4" t="s">
        <v>1953</v>
      </c>
      <c r="G531">
        <v>13</v>
      </c>
      <c r="H531">
        <v>61</v>
      </c>
      <c r="I531" s="4" t="s">
        <v>209</v>
      </c>
      <c r="J531" s="4" t="s">
        <v>210</v>
      </c>
      <c r="K531" s="4" t="s">
        <v>205</v>
      </c>
      <c r="L531" s="4" t="s">
        <v>211</v>
      </c>
      <c r="M531" s="4" t="s">
        <v>182</v>
      </c>
      <c r="N531" s="4" t="s">
        <v>182</v>
      </c>
      <c r="O531" s="4" t="s">
        <v>183</v>
      </c>
      <c r="P531">
        <v>12464.72</v>
      </c>
      <c r="Q531" s="4" t="s">
        <v>30</v>
      </c>
    </row>
    <row r="532" spans="1:17" x14ac:dyDescent="0.2">
      <c r="A532" s="4" t="s">
        <v>716</v>
      </c>
      <c r="B532">
        <v>531</v>
      </c>
      <c r="C532" s="4" t="s">
        <v>26</v>
      </c>
      <c r="D532" s="4" t="s">
        <v>47</v>
      </c>
      <c r="E532" s="4" t="s">
        <v>27</v>
      </c>
      <c r="F532" s="4" t="s">
        <v>1953</v>
      </c>
      <c r="G532">
        <v>13</v>
      </c>
      <c r="H532">
        <v>61</v>
      </c>
      <c r="I532" s="4" t="s">
        <v>203</v>
      </c>
      <c r="J532" s="4" t="s">
        <v>204</v>
      </c>
      <c r="K532" s="4" t="s">
        <v>205</v>
      </c>
      <c r="L532" s="4" t="s">
        <v>206</v>
      </c>
      <c r="M532" s="4" t="s">
        <v>182</v>
      </c>
      <c r="N532" s="4" t="s">
        <v>182</v>
      </c>
      <c r="O532" s="4" t="s">
        <v>183</v>
      </c>
      <c r="P532">
        <v>300</v>
      </c>
      <c r="Q532" s="4" t="s">
        <v>30</v>
      </c>
    </row>
    <row r="533" spans="1:17" x14ac:dyDescent="0.2">
      <c r="A533" s="4" t="s">
        <v>717</v>
      </c>
      <c r="B533">
        <v>532</v>
      </c>
      <c r="C533" s="4" t="s">
        <v>26</v>
      </c>
      <c r="D533" s="4" t="s">
        <v>47</v>
      </c>
      <c r="E533" s="4" t="s">
        <v>27</v>
      </c>
      <c r="F533" s="4" t="s">
        <v>1953</v>
      </c>
      <c r="G533">
        <v>13</v>
      </c>
      <c r="H533">
        <v>61</v>
      </c>
      <c r="I533" s="4" t="s">
        <v>201</v>
      </c>
      <c r="J533" s="4" t="s">
        <v>202</v>
      </c>
      <c r="K533" s="4" t="s">
        <v>179</v>
      </c>
      <c r="L533" s="4" t="s">
        <v>180</v>
      </c>
      <c r="M533" s="4" t="s">
        <v>192</v>
      </c>
      <c r="N533" s="4" t="s">
        <v>182</v>
      </c>
      <c r="O533" s="4" t="s">
        <v>189</v>
      </c>
      <c r="P533">
        <v>-12464.72</v>
      </c>
      <c r="Q533" s="4" t="s">
        <v>30</v>
      </c>
    </row>
    <row r="534" spans="1:17" x14ac:dyDescent="0.2">
      <c r="A534" s="4" t="s">
        <v>718</v>
      </c>
      <c r="B534">
        <v>533</v>
      </c>
      <c r="C534" s="4" t="s">
        <v>26</v>
      </c>
      <c r="D534" s="4" t="s">
        <v>47</v>
      </c>
      <c r="E534" s="4" t="s">
        <v>27</v>
      </c>
      <c r="F534" s="4" t="s">
        <v>1953</v>
      </c>
      <c r="G534">
        <v>13</v>
      </c>
      <c r="H534">
        <v>61</v>
      </c>
      <c r="I534" s="4" t="s">
        <v>212</v>
      </c>
      <c r="J534" s="4" t="s">
        <v>213</v>
      </c>
      <c r="K534" s="4" t="s">
        <v>205</v>
      </c>
      <c r="L534" s="4" t="s">
        <v>214</v>
      </c>
      <c r="M534" s="4" t="s">
        <v>182</v>
      </c>
      <c r="N534" s="4" t="s">
        <v>182</v>
      </c>
      <c r="O534" s="4" t="s">
        <v>189</v>
      </c>
      <c r="P534">
        <v>-14283.78</v>
      </c>
      <c r="Q534" s="4" t="s">
        <v>30</v>
      </c>
    </row>
    <row r="535" spans="1:17" x14ac:dyDescent="0.2">
      <c r="A535" s="4" t="s">
        <v>719</v>
      </c>
      <c r="B535">
        <v>534</v>
      </c>
      <c r="C535" s="4" t="s">
        <v>26</v>
      </c>
      <c r="D535" s="4" t="s">
        <v>47</v>
      </c>
      <c r="E535" s="4" t="s">
        <v>32</v>
      </c>
      <c r="F535" s="4" t="s">
        <v>1983</v>
      </c>
      <c r="G535">
        <v>13</v>
      </c>
      <c r="H535">
        <v>62</v>
      </c>
      <c r="I535" s="4" t="s">
        <v>190</v>
      </c>
      <c r="J535" s="4" t="s">
        <v>191</v>
      </c>
      <c r="K535" s="4" t="s">
        <v>179</v>
      </c>
      <c r="L535" s="4" t="s">
        <v>180</v>
      </c>
      <c r="M535" s="4" t="s">
        <v>192</v>
      </c>
      <c r="N535" s="4" t="s">
        <v>182</v>
      </c>
      <c r="O535" s="4" t="s">
        <v>183</v>
      </c>
      <c r="P535">
        <v>16581.29</v>
      </c>
      <c r="Q535" s="4" t="s">
        <v>30</v>
      </c>
    </row>
    <row r="536" spans="1:17" x14ac:dyDescent="0.2">
      <c r="A536" s="4" t="s">
        <v>720</v>
      </c>
      <c r="B536">
        <v>535</v>
      </c>
      <c r="C536" s="4" t="s">
        <v>26</v>
      </c>
      <c r="D536" s="4" t="s">
        <v>47</v>
      </c>
      <c r="E536" s="4" t="s">
        <v>32</v>
      </c>
      <c r="F536" s="4" t="s">
        <v>1983</v>
      </c>
      <c r="G536">
        <v>13</v>
      </c>
      <c r="H536">
        <v>62</v>
      </c>
      <c r="I536" s="4" t="s">
        <v>207</v>
      </c>
      <c r="J536" s="4" t="s">
        <v>208</v>
      </c>
      <c r="K536" s="4" t="s">
        <v>179</v>
      </c>
      <c r="L536" s="4" t="s">
        <v>180</v>
      </c>
      <c r="M536" s="4" t="s">
        <v>192</v>
      </c>
      <c r="N536" s="4" t="s">
        <v>182</v>
      </c>
      <c r="O536" s="4" t="s">
        <v>189</v>
      </c>
      <c r="P536">
        <v>-16581.29</v>
      </c>
      <c r="Q536" s="4" t="s">
        <v>30</v>
      </c>
    </row>
    <row r="537" spans="1:17" x14ac:dyDescent="0.2">
      <c r="A537" s="4" t="s">
        <v>721</v>
      </c>
      <c r="B537">
        <v>536</v>
      </c>
      <c r="C537" s="4" t="s">
        <v>26</v>
      </c>
      <c r="D537" s="4" t="s">
        <v>47</v>
      </c>
      <c r="E537" s="4" t="s">
        <v>32</v>
      </c>
      <c r="F537" s="4" t="s">
        <v>1983</v>
      </c>
      <c r="G537">
        <v>13</v>
      </c>
      <c r="H537">
        <v>62</v>
      </c>
      <c r="I537" s="4" t="s">
        <v>207</v>
      </c>
      <c r="J537" s="4" t="s">
        <v>208</v>
      </c>
      <c r="K537" s="4" t="s">
        <v>179</v>
      </c>
      <c r="L537" s="4" t="s">
        <v>180</v>
      </c>
      <c r="M537" s="4" t="s">
        <v>192</v>
      </c>
      <c r="N537" s="4" t="s">
        <v>182</v>
      </c>
      <c r="O537" s="4" t="s">
        <v>183</v>
      </c>
      <c r="P537">
        <v>23751.82</v>
      </c>
      <c r="Q537" s="4" t="s">
        <v>30</v>
      </c>
    </row>
    <row r="538" spans="1:17" x14ac:dyDescent="0.2">
      <c r="A538" s="4" t="s">
        <v>722</v>
      </c>
      <c r="B538">
        <v>537</v>
      </c>
      <c r="C538" s="4" t="s">
        <v>26</v>
      </c>
      <c r="D538" s="4" t="s">
        <v>47</v>
      </c>
      <c r="E538" s="4" t="s">
        <v>32</v>
      </c>
      <c r="F538" s="4" t="s">
        <v>1983</v>
      </c>
      <c r="G538">
        <v>13</v>
      </c>
      <c r="H538">
        <v>62</v>
      </c>
      <c r="I538" s="4" t="s">
        <v>209</v>
      </c>
      <c r="J538" s="4" t="s">
        <v>210</v>
      </c>
      <c r="K538" s="4" t="s">
        <v>205</v>
      </c>
      <c r="L538" s="4" t="s">
        <v>211</v>
      </c>
      <c r="M538" s="4" t="s">
        <v>182</v>
      </c>
      <c r="N538" s="4" t="s">
        <v>182</v>
      </c>
      <c r="O538" s="4" t="s">
        <v>183</v>
      </c>
      <c r="P538">
        <v>20663.37</v>
      </c>
      <c r="Q538" s="4" t="s">
        <v>30</v>
      </c>
    </row>
    <row r="539" spans="1:17" x14ac:dyDescent="0.2">
      <c r="A539" s="4" t="s">
        <v>723</v>
      </c>
      <c r="B539">
        <v>538</v>
      </c>
      <c r="C539" s="4" t="s">
        <v>26</v>
      </c>
      <c r="D539" s="4" t="s">
        <v>47</v>
      </c>
      <c r="E539" s="4" t="s">
        <v>32</v>
      </c>
      <c r="F539" s="4" t="s">
        <v>1983</v>
      </c>
      <c r="G539">
        <v>13</v>
      </c>
      <c r="H539">
        <v>62</v>
      </c>
      <c r="I539" s="4" t="s">
        <v>201</v>
      </c>
      <c r="J539" s="4" t="s">
        <v>202</v>
      </c>
      <c r="K539" s="4" t="s">
        <v>179</v>
      </c>
      <c r="L539" s="4" t="s">
        <v>180</v>
      </c>
      <c r="M539" s="4" t="s">
        <v>192</v>
      </c>
      <c r="N539" s="4" t="s">
        <v>182</v>
      </c>
      <c r="O539" s="4" t="s">
        <v>189</v>
      </c>
      <c r="P539">
        <v>-20663.37</v>
      </c>
      <c r="Q539" s="4" t="s">
        <v>30</v>
      </c>
    </row>
    <row r="540" spans="1:17" x14ac:dyDescent="0.2">
      <c r="A540" s="4" t="s">
        <v>724</v>
      </c>
      <c r="B540">
        <v>539</v>
      </c>
      <c r="C540" s="4" t="s">
        <v>26</v>
      </c>
      <c r="D540" s="4" t="s">
        <v>47</v>
      </c>
      <c r="E540" s="4" t="s">
        <v>32</v>
      </c>
      <c r="F540" s="4" t="s">
        <v>1983</v>
      </c>
      <c r="G540">
        <v>13</v>
      </c>
      <c r="H540">
        <v>62</v>
      </c>
      <c r="I540" s="4" t="s">
        <v>212</v>
      </c>
      <c r="J540" s="4" t="s">
        <v>213</v>
      </c>
      <c r="K540" s="4" t="s">
        <v>205</v>
      </c>
      <c r="L540" s="4" t="s">
        <v>214</v>
      </c>
      <c r="M540" s="4" t="s">
        <v>182</v>
      </c>
      <c r="N540" s="4" t="s">
        <v>182</v>
      </c>
      <c r="O540" s="4" t="s">
        <v>189</v>
      </c>
      <c r="P540">
        <v>-23751.82</v>
      </c>
      <c r="Q540" s="4" t="s">
        <v>30</v>
      </c>
    </row>
    <row r="541" spans="1:17" x14ac:dyDescent="0.2">
      <c r="A541" s="4" t="s">
        <v>725</v>
      </c>
      <c r="B541">
        <v>540</v>
      </c>
      <c r="C541" s="4" t="s">
        <v>26</v>
      </c>
      <c r="D541" s="4" t="s">
        <v>47</v>
      </c>
      <c r="E541" s="4" t="s">
        <v>35</v>
      </c>
      <c r="F541" s="4" t="s">
        <v>2007</v>
      </c>
      <c r="G541">
        <v>13</v>
      </c>
      <c r="H541">
        <v>63</v>
      </c>
      <c r="I541" s="4" t="s">
        <v>190</v>
      </c>
      <c r="J541" s="4" t="s">
        <v>191</v>
      </c>
      <c r="K541" s="4" t="s">
        <v>179</v>
      </c>
      <c r="L541" s="4" t="s">
        <v>180</v>
      </c>
      <c r="M541" s="4" t="s">
        <v>192</v>
      </c>
      <c r="N541" s="4" t="s">
        <v>182</v>
      </c>
      <c r="O541" s="4" t="s">
        <v>183</v>
      </c>
      <c r="P541">
        <v>17578.8</v>
      </c>
      <c r="Q541" s="4" t="s">
        <v>30</v>
      </c>
    </row>
    <row r="542" spans="1:17" x14ac:dyDescent="0.2">
      <c r="A542" s="4" t="s">
        <v>726</v>
      </c>
      <c r="B542">
        <v>541</v>
      </c>
      <c r="C542" s="4" t="s">
        <v>26</v>
      </c>
      <c r="D542" s="4" t="s">
        <v>47</v>
      </c>
      <c r="E542" s="4" t="s">
        <v>35</v>
      </c>
      <c r="F542" s="4" t="s">
        <v>2007</v>
      </c>
      <c r="G542">
        <v>13</v>
      </c>
      <c r="H542">
        <v>63</v>
      </c>
      <c r="I542" s="4" t="s">
        <v>207</v>
      </c>
      <c r="J542" s="4" t="s">
        <v>208</v>
      </c>
      <c r="K542" s="4" t="s">
        <v>179</v>
      </c>
      <c r="L542" s="4" t="s">
        <v>180</v>
      </c>
      <c r="M542" s="4" t="s">
        <v>192</v>
      </c>
      <c r="N542" s="4" t="s">
        <v>182</v>
      </c>
      <c r="O542" s="4" t="s">
        <v>189</v>
      </c>
      <c r="P542">
        <v>-17578.8</v>
      </c>
      <c r="Q542" s="4" t="s">
        <v>30</v>
      </c>
    </row>
    <row r="543" spans="1:17" x14ac:dyDescent="0.2">
      <c r="A543" s="4" t="s">
        <v>727</v>
      </c>
      <c r="B543">
        <v>542</v>
      </c>
      <c r="C543" s="4" t="s">
        <v>26</v>
      </c>
      <c r="D543" s="4" t="s">
        <v>47</v>
      </c>
      <c r="E543" s="4" t="s">
        <v>35</v>
      </c>
      <c r="F543" s="4" t="s">
        <v>2007</v>
      </c>
      <c r="G543">
        <v>13</v>
      </c>
      <c r="H543">
        <v>63</v>
      </c>
      <c r="I543" s="4" t="s">
        <v>207</v>
      </c>
      <c r="J543" s="4" t="s">
        <v>208</v>
      </c>
      <c r="K543" s="4" t="s">
        <v>179</v>
      </c>
      <c r="L543" s="4" t="s">
        <v>180</v>
      </c>
      <c r="M543" s="4" t="s">
        <v>192</v>
      </c>
      <c r="N543" s="4" t="s">
        <v>182</v>
      </c>
      <c r="O543" s="4" t="s">
        <v>183</v>
      </c>
      <c r="P543">
        <v>13150.51</v>
      </c>
      <c r="Q543" s="4" t="s">
        <v>30</v>
      </c>
    </row>
    <row r="544" spans="1:17" x14ac:dyDescent="0.2">
      <c r="A544" s="4" t="s">
        <v>728</v>
      </c>
      <c r="B544">
        <v>543</v>
      </c>
      <c r="C544" s="4" t="s">
        <v>26</v>
      </c>
      <c r="D544" s="4" t="s">
        <v>47</v>
      </c>
      <c r="E544" s="4" t="s">
        <v>35</v>
      </c>
      <c r="F544" s="4" t="s">
        <v>2007</v>
      </c>
      <c r="G544">
        <v>13</v>
      </c>
      <c r="H544">
        <v>63</v>
      </c>
      <c r="I544" s="4" t="s">
        <v>209</v>
      </c>
      <c r="J544" s="4" t="s">
        <v>210</v>
      </c>
      <c r="K544" s="4" t="s">
        <v>205</v>
      </c>
      <c r="L544" s="4" t="s">
        <v>211</v>
      </c>
      <c r="M544" s="4" t="s">
        <v>182</v>
      </c>
      <c r="N544" s="4" t="s">
        <v>182</v>
      </c>
      <c r="O544" s="4" t="s">
        <v>183</v>
      </c>
      <c r="P544">
        <v>11151.5</v>
      </c>
      <c r="Q544" s="4" t="s">
        <v>30</v>
      </c>
    </row>
    <row r="545" spans="1:17" x14ac:dyDescent="0.2">
      <c r="A545" s="4" t="s">
        <v>729</v>
      </c>
      <c r="B545">
        <v>544</v>
      </c>
      <c r="C545" s="4" t="s">
        <v>26</v>
      </c>
      <c r="D545" s="4" t="s">
        <v>47</v>
      </c>
      <c r="E545" s="4" t="s">
        <v>35</v>
      </c>
      <c r="F545" s="4" t="s">
        <v>2007</v>
      </c>
      <c r="G545">
        <v>13</v>
      </c>
      <c r="H545">
        <v>63</v>
      </c>
      <c r="I545" s="4" t="s">
        <v>201</v>
      </c>
      <c r="J545" s="4" t="s">
        <v>202</v>
      </c>
      <c r="K545" s="4" t="s">
        <v>179</v>
      </c>
      <c r="L545" s="4" t="s">
        <v>180</v>
      </c>
      <c r="M545" s="4" t="s">
        <v>192</v>
      </c>
      <c r="N545" s="4" t="s">
        <v>182</v>
      </c>
      <c r="O545" s="4" t="s">
        <v>189</v>
      </c>
      <c r="P545">
        <v>-11151.5</v>
      </c>
      <c r="Q545" s="4" t="s">
        <v>30</v>
      </c>
    </row>
    <row r="546" spans="1:17" x14ac:dyDescent="0.2">
      <c r="A546" s="4" t="s">
        <v>730</v>
      </c>
      <c r="B546">
        <v>545</v>
      </c>
      <c r="C546" s="4" t="s">
        <v>26</v>
      </c>
      <c r="D546" s="4" t="s">
        <v>47</v>
      </c>
      <c r="E546" s="4" t="s">
        <v>35</v>
      </c>
      <c r="F546" s="4" t="s">
        <v>2007</v>
      </c>
      <c r="G546">
        <v>13</v>
      </c>
      <c r="H546">
        <v>63</v>
      </c>
      <c r="I546" s="4" t="s">
        <v>212</v>
      </c>
      <c r="J546" s="4" t="s">
        <v>213</v>
      </c>
      <c r="K546" s="4" t="s">
        <v>205</v>
      </c>
      <c r="L546" s="4" t="s">
        <v>214</v>
      </c>
      <c r="M546" s="4" t="s">
        <v>182</v>
      </c>
      <c r="N546" s="4" t="s">
        <v>182</v>
      </c>
      <c r="O546" s="4" t="s">
        <v>189</v>
      </c>
      <c r="P546">
        <v>-13150.51</v>
      </c>
      <c r="Q546" s="4" t="s">
        <v>30</v>
      </c>
    </row>
    <row r="547" spans="1:17" x14ac:dyDescent="0.2">
      <c r="A547" s="4" t="s">
        <v>731</v>
      </c>
      <c r="B547">
        <v>546</v>
      </c>
      <c r="C547" s="4" t="s">
        <v>26</v>
      </c>
      <c r="D547" s="4" t="s">
        <v>47</v>
      </c>
      <c r="E547" s="4" t="s">
        <v>38</v>
      </c>
      <c r="F547" s="4" t="s">
        <v>2042</v>
      </c>
      <c r="G547">
        <v>13</v>
      </c>
      <c r="H547">
        <v>64</v>
      </c>
      <c r="I547" s="4" t="s">
        <v>190</v>
      </c>
      <c r="J547" s="4" t="s">
        <v>191</v>
      </c>
      <c r="K547" s="4" t="s">
        <v>179</v>
      </c>
      <c r="L547" s="4" t="s">
        <v>180</v>
      </c>
      <c r="M547" s="4" t="s">
        <v>192</v>
      </c>
      <c r="N547" s="4" t="s">
        <v>182</v>
      </c>
      <c r="O547" s="4" t="s">
        <v>189</v>
      </c>
      <c r="P547">
        <v>-300</v>
      </c>
      <c r="Q547" s="4" t="s">
        <v>30</v>
      </c>
    </row>
    <row r="548" spans="1:17" x14ac:dyDescent="0.2">
      <c r="A548" s="4" t="s">
        <v>732</v>
      </c>
      <c r="B548">
        <v>547</v>
      </c>
      <c r="C548" s="4" t="s">
        <v>26</v>
      </c>
      <c r="D548" s="4" t="s">
        <v>47</v>
      </c>
      <c r="E548" s="4" t="s">
        <v>38</v>
      </c>
      <c r="F548" s="4" t="s">
        <v>2042</v>
      </c>
      <c r="G548">
        <v>13</v>
      </c>
      <c r="H548">
        <v>64</v>
      </c>
      <c r="I548" s="4" t="s">
        <v>190</v>
      </c>
      <c r="J548" s="4" t="s">
        <v>191</v>
      </c>
      <c r="K548" s="4" t="s">
        <v>179</v>
      </c>
      <c r="L548" s="4" t="s">
        <v>180</v>
      </c>
      <c r="M548" s="4" t="s">
        <v>192</v>
      </c>
      <c r="N548" s="4" t="s">
        <v>182</v>
      </c>
      <c r="O548" s="4" t="s">
        <v>183</v>
      </c>
      <c r="P548">
        <v>21987.54</v>
      </c>
      <c r="Q548" s="4" t="s">
        <v>30</v>
      </c>
    </row>
    <row r="549" spans="1:17" x14ac:dyDescent="0.2">
      <c r="A549" s="4" t="s">
        <v>733</v>
      </c>
      <c r="B549">
        <v>548</v>
      </c>
      <c r="C549" s="4" t="s">
        <v>26</v>
      </c>
      <c r="D549" s="4" t="s">
        <v>47</v>
      </c>
      <c r="E549" s="4" t="s">
        <v>38</v>
      </c>
      <c r="F549" s="4" t="s">
        <v>2042</v>
      </c>
      <c r="G549">
        <v>13</v>
      </c>
      <c r="H549">
        <v>64</v>
      </c>
      <c r="I549" s="4" t="s">
        <v>207</v>
      </c>
      <c r="J549" s="4" t="s">
        <v>208</v>
      </c>
      <c r="K549" s="4" t="s">
        <v>179</v>
      </c>
      <c r="L549" s="4" t="s">
        <v>180</v>
      </c>
      <c r="M549" s="4" t="s">
        <v>192</v>
      </c>
      <c r="N549" s="4" t="s">
        <v>182</v>
      </c>
      <c r="O549" s="4" t="s">
        <v>189</v>
      </c>
      <c r="P549">
        <v>-21987.54</v>
      </c>
      <c r="Q549" s="4" t="s">
        <v>30</v>
      </c>
    </row>
    <row r="550" spans="1:17" x14ac:dyDescent="0.2">
      <c r="A550" s="4" t="s">
        <v>734</v>
      </c>
      <c r="B550">
        <v>549</v>
      </c>
      <c r="C550" s="4" t="s">
        <v>26</v>
      </c>
      <c r="D550" s="4" t="s">
        <v>47</v>
      </c>
      <c r="E550" s="4" t="s">
        <v>38</v>
      </c>
      <c r="F550" s="4" t="s">
        <v>2042</v>
      </c>
      <c r="G550">
        <v>13</v>
      </c>
      <c r="H550">
        <v>64</v>
      </c>
      <c r="I550" s="4" t="s">
        <v>207</v>
      </c>
      <c r="J550" s="4" t="s">
        <v>208</v>
      </c>
      <c r="K550" s="4" t="s">
        <v>179</v>
      </c>
      <c r="L550" s="4" t="s">
        <v>180</v>
      </c>
      <c r="M550" s="4" t="s">
        <v>192</v>
      </c>
      <c r="N550" s="4" t="s">
        <v>182</v>
      </c>
      <c r="O550" s="4" t="s">
        <v>183</v>
      </c>
      <c r="P550">
        <v>14601.77</v>
      </c>
      <c r="Q550" s="4" t="s">
        <v>30</v>
      </c>
    </row>
    <row r="551" spans="1:17" x14ac:dyDescent="0.2">
      <c r="A551" s="4" t="s">
        <v>735</v>
      </c>
      <c r="B551">
        <v>550</v>
      </c>
      <c r="C551" s="4" t="s">
        <v>26</v>
      </c>
      <c r="D551" s="4" t="s">
        <v>47</v>
      </c>
      <c r="E551" s="4" t="s">
        <v>38</v>
      </c>
      <c r="F551" s="4" t="s">
        <v>2042</v>
      </c>
      <c r="G551">
        <v>13</v>
      </c>
      <c r="H551">
        <v>64</v>
      </c>
      <c r="I551" s="4" t="s">
        <v>193</v>
      </c>
      <c r="J551" s="4" t="s">
        <v>194</v>
      </c>
      <c r="K551" s="4" t="s">
        <v>179</v>
      </c>
      <c r="L551" s="4" t="s">
        <v>186</v>
      </c>
      <c r="M551" s="4" t="s">
        <v>195</v>
      </c>
      <c r="N551" s="4" t="s">
        <v>196</v>
      </c>
      <c r="O551" s="4" t="s">
        <v>189</v>
      </c>
      <c r="P551">
        <v>-83914.3</v>
      </c>
      <c r="Q551" s="4" t="s">
        <v>30</v>
      </c>
    </row>
    <row r="552" spans="1:17" x14ac:dyDescent="0.2">
      <c r="A552" s="4" t="s">
        <v>736</v>
      </c>
      <c r="B552">
        <v>551</v>
      </c>
      <c r="C552" s="4" t="s">
        <v>26</v>
      </c>
      <c r="D552" s="4" t="s">
        <v>47</v>
      </c>
      <c r="E552" s="4" t="s">
        <v>38</v>
      </c>
      <c r="F552" s="4" t="s">
        <v>2042</v>
      </c>
      <c r="G552">
        <v>13</v>
      </c>
      <c r="H552">
        <v>64</v>
      </c>
      <c r="I552" s="4" t="s">
        <v>197</v>
      </c>
      <c r="J552" s="4" t="s">
        <v>198</v>
      </c>
      <c r="K552" s="4" t="s">
        <v>179</v>
      </c>
      <c r="L552" s="4" t="s">
        <v>186</v>
      </c>
      <c r="M552" s="4" t="s">
        <v>195</v>
      </c>
      <c r="N552" s="4" t="s">
        <v>196</v>
      </c>
      <c r="O552" s="4" t="s">
        <v>189</v>
      </c>
      <c r="P552">
        <v>-82914.3</v>
      </c>
      <c r="Q552" s="4" t="s">
        <v>30</v>
      </c>
    </row>
    <row r="553" spans="1:17" x14ac:dyDescent="0.2">
      <c r="A553" s="4" t="s">
        <v>737</v>
      </c>
      <c r="B553">
        <v>552</v>
      </c>
      <c r="C553" s="4" t="s">
        <v>26</v>
      </c>
      <c r="D553" s="4" t="s">
        <v>47</v>
      </c>
      <c r="E553" s="4" t="s">
        <v>38</v>
      </c>
      <c r="F553" s="4" t="s">
        <v>2042</v>
      </c>
      <c r="G553">
        <v>13</v>
      </c>
      <c r="H553">
        <v>64</v>
      </c>
      <c r="I553" s="4" t="s">
        <v>197</v>
      </c>
      <c r="J553" s="4" t="s">
        <v>198</v>
      </c>
      <c r="K553" s="4" t="s">
        <v>179</v>
      </c>
      <c r="L553" s="4" t="s">
        <v>186</v>
      </c>
      <c r="M553" s="4" t="s">
        <v>195</v>
      </c>
      <c r="N553" s="4" t="s">
        <v>196</v>
      </c>
      <c r="O553" s="4" t="s">
        <v>183</v>
      </c>
      <c r="P553">
        <v>82914.3</v>
      </c>
      <c r="Q553" s="4" t="s">
        <v>30</v>
      </c>
    </row>
    <row r="554" spans="1:17" x14ac:dyDescent="0.2">
      <c r="A554" s="4" t="s">
        <v>738</v>
      </c>
      <c r="B554">
        <v>553</v>
      </c>
      <c r="C554" s="4" t="s">
        <v>26</v>
      </c>
      <c r="D554" s="4" t="s">
        <v>47</v>
      </c>
      <c r="E554" s="4" t="s">
        <v>38</v>
      </c>
      <c r="F554" s="4" t="s">
        <v>2042</v>
      </c>
      <c r="G554">
        <v>13</v>
      </c>
      <c r="H554">
        <v>64</v>
      </c>
      <c r="I554" s="4" t="s">
        <v>199</v>
      </c>
      <c r="J554" s="4" t="s">
        <v>200</v>
      </c>
      <c r="K554" s="4" t="s">
        <v>179</v>
      </c>
      <c r="L554" s="4" t="s">
        <v>186</v>
      </c>
      <c r="M554" s="4" t="s">
        <v>195</v>
      </c>
      <c r="N554" s="4" t="s">
        <v>196</v>
      </c>
      <c r="O554" s="4" t="s">
        <v>189</v>
      </c>
      <c r="P554">
        <v>-1000</v>
      </c>
      <c r="Q554" s="4" t="s">
        <v>30</v>
      </c>
    </row>
    <row r="555" spans="1:17" x14ac:dyDescent="0.2">
      <c r="A555" s="4" t="s">
        <v>739</v>
      </c>
      <c r="B555">
        <v>554</v>
      </c>
      <c r="C555" s="4" t="s">
        <v>26</v>
      </c>
      <c r="D555" s="4" t="s">
        <v>47</v>
      </c>
      <c r="E555" s="4" t="s">
        <v>38</v>
      </c>
      <c r="F555" s="4" t="s">
        <v>2042</v>
      </c>
      <c r="G555">
        <v>13</v>
      </c>
      <c r="H555">
        <v>64</v>
      </c>
      <c r="I555" s="4" t="s">
        <v>199</v>
      </c>
      <c r="J555" s="4" t="s">
        <v>200</v>
      </c>
      <c r="K555" s="4" t="s">
        <v>179</v>
      </c>
      <c r="L555" s="4" t="s">
        <v>186</v>
      </c>
      <c r="M555" s="4" t="s">
        <v>195</v>
      </c>
      <c r="N555" s="4" t="s">
        <v>196</v>
      </c>
      <c r="O555" s="4" t="s">
        <v>183</v>
      </c>
      <c r="P555">
        <v>1000</v>
      </c>
      <c r="Q555" s="4" t="s">
        <v>30</v>
      </c>
    </row>
    <row r="556" spans="1:17" x14ac:dyDescent="0.2">
      <c r="A556" s="4" t="s">
        <v>740</v>
      </c>
      <c r="B556">
        <v>555</v>
      </c>
      <c r="C556" s="4" t="s">
        <v>26</v>
      </c>
      <c r="D556" s="4" t="s">
        <v>47</v>
      </c>
      <c r="E556" s="4" t="s">
        <v>38</v>
      </c>
      <c r="F556" s="4" t="s">
        <v>2042</v>
      </c>
      <c r="G556">
        <v>13</v>
      </c>
      <c r="H556">
        <v>64</v>
      </c>
      <c r="I556" s="4" t="s">
        <v>209</v>
      </c>
      <c r="J556" s="4" t="s">
        <v>210</v>
      </c>
      <c r="K556" s="4" t="s">
        <v>205</v>
      </c>
      <c r="L556" s="4" t="s">
        <v>211</v>
      </c>
      <c r="M556" s="4" t="s">
        <v>182</v>
      </c>
      <c r="N556" s="4" t="s">
        <v>182</v>
      </c>
      <c r="O556" s="4" t="s">
        <v>183</v>
      </c>
      <c r="P556">
        <v>13049.75</v>
      </c>
      <c r="Q556" s="4" t="s">
        <v>30</v>
      </c>
    </row>
    <row r="557" spans="1:17" x14ac:dyDescent="0.2">
      <c r="A557" s="4" t="s">
        <v>741</v>
      </c>
      <c r="B557">
        <v>556</v>
      </c>
      <c r="C557" s="4" t="s">
        <v>26</v>
      </c>
      <c r="D557" s="4" t="s">
        <v>47</v>
      </c>
      <c r="E557" s="4" t="s">
        <v>38</v>
      </c>
      <c r="F557" s="4" t="s">
        <v>2042</v>
      </c>
      <c r="G557">
        <v>13</v>
      </c>
      <c r="H557">
        <v>64</v>
      </c>
      <c r="I557" s="4" t="s">
        <v>203</v>
      </c>
      <c r="J557" s="4" t="s">
        <v>204</v>
      </c>
      <c r="K557" s="4" t="s">
        <v>205</v>
      </c>
      <c r="L557" s="4" t="s">
        <v>206</v>
      </c>
      <c r="M557" s="4" t="s">
        <v>182</v>
      </c>
      <c r="N557" s="4" t="s">
        <v>182</v>
      </c>
      <c r="O557" s="4" t="s">
        <v>183</v>
      </c>
      <c r="P557">
        <v>300</v>
      </c>
      <c r="Q557" s="4" t="s">
        <v>30</v>
      </c>
    </row>
    <row r="558" spans="1:17" x14ac:dyDescent="0.2">
      <c r="A558" s="4" t="s">
        <v>742</v>
      </c>
      <c r="B558">
        <v>557</v>
      </c>
      <c r="C558" s="4" t="s">
        <v>26</v>
      </c>
      <c r="D558" s="4" t="s">
        <v>47</v>
      </c>
      <c r="E558" s="4" t="s">
        <v>38</v>
      </c>
      <c r="F558" s="4" t="s">
        <v>2042</v>
      </c>
      <c r="G558">
        <v>13</v>
      </c>
      <c r="H558">
        <v>64</v>
      </c>
      <c r="I558" s="4" t="s">
        <v>201</v>
      </c>
      <c r="J558" s="4" t="s">
        <v>202</v>
      </c>
      <c r="K558" s="4" t="s">
        <v>179</v>
      </c>
      <c r="L558" s="4" t="s">
        <v>180</v>
      </c>
      <c r="M558" s="4" t="s">
        <v>192</v>
      </c>
      <c r="N558" s="4" t="s">
        <v>182</v>
      </c>
      <c r="O558" s="4" t="s">
        <v>189</v>
      </c>
      <c r="P558">
        <v>-13049.76</v>
      </c>
      <c r="Q558" s="4" t="s">
        <v>30</v>
      </c>
    </row>
    <row r="559" spans="1:17" x14ac:dyDescent="0.2">
      <c r="A559" s="4" t="s">
        <v>743</v>
      </c>
      <c r="B559">
        <v>558</v>
      </c>
      <c r="C559" s="4" t="s">
        <v>26</v>
      </c>
      <c r="D559" s="4" t="s">
        <v>47</v>
      </c>
      <c r="E559" s="4" t="s">
        <v>38</v>
      </c>
      <c r="F559" s="4" t="s">
        <v>2042</v>
      </c>
      <c r="G559">
        <v>13</v>
      </c>
      <c r="H559">
        <v>64</v>
      </c>
      <c r="I559" s="4" t="s">
        <v>201</v>
      </c>
      <c r="J559" s="4" t="s">
        <v>202</v>
      </c>
      <c r="K559" s="4" t="s">
        <v>179</v>
      </c>
      <c r="L559" s="4" t="s">
        <v>180</v>
      </c>
      <c r="M559" s="4" t="s">
        <v>192</v>
      </c>
      <c r="N559" s="4" t="s">
        <v>182</v>
      </c>
      <c r="O559" s="4" t="s">
        <v>183</v>
      </c>
      <c r="P559">
        <v>83914.31</v>
      </c>
      <c r="Q559" s="4" t="s">
        <v>30</v>
      </c>
    </row>
    <row r="560" spans="1:17" x14ac:dyDescent="0.2">
      <c r="A560" s="4" t="s">
        <v>744</v>
      </c>
      <c r="B560">
        <v>559</v>
      </c>
      <c r="C560" s="4" t="s">
        <v>26</v>
      </c>
      <c r="D560" s="4" t="s">
        <v>47</v>
      </c>
      <c r="E560" s="4" t="s">
        <v>38</v>
      </c>
      <c r="F560" s="4" t="s">
        <v>2042</v>
      </c>
      <c r="G560">
        <v>13</v>
      </c>
      <c r="H560">
        <v>64</v>
      </c>
      <c r="I560" s="4" t="s">
        <v>212</v>
      </c>
      <c r="J560" s="4" t="s">
        <v>213</v>
      </c>
      <c r="K560" s="4" t="s">
        <v>205</v>
      </c>
      <c r="L560" s="4" t="s">
        <v>214</v>
      </c>
      <c r="M560" s="4" t="s">
        <v>182</v>
      </c>
      <c r="N560" s="4" t="s">
        <v>182</v>
      </c>
      <c r="O560" s="4" t="s">
        <v>189</v>
      </c>
      <c r="P560">
        <v>-14601.77</v>
      </c>
      <c r="Q560" s="4" t="s">
        <v>30</v>
      </c>
    </row>
    <row r="561" spans="1:17" x14ac:dyDescent="0.2">
      <c r="A561" s="4" t="s">
        <v>745</v>
      </c>
      <c r="B561">
        <v>560</v>
      </c>
      <c r="C561" s="4" t="s">
        <v>26</v>
      </c>
      <c r="D561" s="4" t="s">
        <v>47</v>
      </c>
      <c r="E561" s="4" t="s">
        <v>41</v>
      </c>
      <c r="F561" s="4" t="s">
        <v>2073</v>
      </c>
      <c r="G561">
        <v>13</v>
      </c>
      <c r="H561">
        <v>65</v>
      </c>
      <c r="I561" s="4" t="s">
        <v>190</v>
      </c>
      <c r="J561" s="4" t="s">
        <v>191</v>
      </c>
      <c r="K561" s="4" t="s">
        <v>179</v>
      </c>
      <c r="L561" s="4" t="s">
        <v>180</v>
      </c>
      <c r="M561" s="4" t="s">
        <v>192</v>
      </c>
      <c r="N561" s="4" t="s">
        <v>182</v>
      </c>
      <c r="O561" s="4" t="s">
        <v>189</v>
      </c>
      <c r="P561">
        <v>-53928.12</v>
      </c>
      <c r="Q561" s="4" t="s">
        <v>30</v>
      </c>
    </row>
    <row r="562" spans="1:17" x14ac:dyDescent="0.2">
      <c r="A562" s="4" t="s">
        <v>746</v>
      </c>
      <c r="B562">
        <v>561</v>
      </c>
      <c r="C562" s="4" t="s">
        <v>26</v>
      </c>
      <c r="D562" s="4" t="s">
        <v>47</v>
      </c>
      <c r="E562" s="4" t="s">
        <v>41</v>
      </c>
      <c r="F562" s="4" t="s">
        <v>2073</v>
      </c>
      <c r="G562">
        <v>13</v>
      </c>
      <c r="H562">
        <v>65</v>
      </c>
      <c r="I562" s="4" t="s">
        <v>190</v>
      </c>
      <c r="J562" s="4" t="s">
        <v>191</v>
      </c>
      <c r="K562" s="4" t="s">
        <v>179</v>
      </c>
      <c r="L562" s="4" t="s">
        <v>180</v>
      </c>
      <c r="M562" s="4" t="s">
        <v>192</v>
      </c>
      <c r="N562" s="4" t="s">
        <v>182</v>
      </c>
      <c r="O562" s="4" t="s">
        <v>183</v>
      </c>
      <c r="P562">
        <v>14283.78</v>
      </c>
      <c r="Q562" s="4" t="s">
        <v>30</v>
      </c>
    </row>
    <row r="563" spans="1:17" x14ac:dyDescent="0.2">
      <c r="A563" s="4" t="s">
        <v>747</v>
      </c>
      <c r="B563">
        <v>562</v>
      </c>
      <c r="C563" s="4" t="s">
        <v>26</v>
      </c>
      <c r="D563" s="4" t="s">
        <v>47</v>
      </c>
      <c r="E563" s="4" t="s">
        <v>41</v>
      </c>
      <c r="F563" s="4" t="s">
        <v>2073</v>
      </c>
      <c r="G563">
        <v>13</v>
      </c>
      <c r="H563">
        <v>65</v>
      </c>
      <c r="I563" s="4" t="s">
        <v>207</v>
      </c>
      <c r="J563" s="4" t="s">
        <v>208</v>
      </c>
      <c r="K563" s="4" t="s">
        <v>179</v>
      </c>
      <c r="L563" s="4" t="s">
        <v>180</v>
      </c>
      <c r="M563" s="4" t="s">
        <v>192</v>
      </c>
      <c r="N563" s="4" t="s">
        <v>182</v>
      </c>
      <c r="O563" s="4" t="s">
        <v>189</v>
      </c>
      <c r="P563">
        <v>-14283.78</v>
      </c>
      <c r="Q563" s="4" t="s">
        <v>30</v>
      </c>
    </row>
    <row r="564" spans="1:17" x14ac:dyDescent="0.2">
      <c r="A564" s="4" t="s">
        <v>748</v>
      </c>
      <c r="B564">
        <v>563</v>
      </c>
      <c r="C564" s="4" t="s">
        <v>26</v>
      </c>
      <c r="D564" s="4" t="s">
        <v>47</v>
      </c>
      <c r="E564" s="4" t="s">
        <v>41</v>
      </c>
      <c r="F564" s="4" t="s">
        <v>2073</v>
      </c>
      <c r="G564">
        <v>13</v>
      </c>
      <c r="H564">
        <v>65</v>
      </c>
      <c r="I564" s="4" t="s">
        <v>207</v>
      </c>
      <c r="J564" s="4" t="s">
        <v>208</v>
      </c>
      <c r="K564" s="4" t="s">
        <v>179</v>
      </c>
      <c r="L564" s="4" t="s">
        <v>180</v>
      </c>
      <c r="M564" s="4" t="s">
        <v>192</v>
      </c>
      <c r="N564" s="4" t="s">
        <v>182</v>
      </c>
      <c r="O564" s="4" t="s">
        <v>183</v>
      </c>
      <c r="P564">
        <v>22912.06</v>
      </c>
      <c r="Q564" s="4" t="s">
        <v>30</v>
      </c>
    </row>
    <row r="565" spans="1:17" x14ac:dyDescent="0.2">
      <c r="A565" s="4" t="s">
        <v>749</v>
      </c>
      <c r="B565">
        <v>564</v>
      </c>
      <c r="C565" s="4" t="s">
        <v>26</v>
      </c>
      <c r="D565" s="4" t="s">
        <v>47</v>
      </c>
      <c r="E565" s="4" t="s">
        <v>41</v>
      </c>
      <c r="F565" s="4" t="s">
        <v>2073</v>
      </c>
      <c r="G565">
        <v>13</v>
      </c>
      <c r="H565">
        <v>65</v>
      </c>
      <c r="I565" s="4" t="s">
        <v>193</v>
      </c>
      <c r="J565" s="4" t="s">
        <v>194</v>
      </c>
      <c r="K565" s="4" t="s">
        <v>179</v>
      </c>
      <c r="L565" s="4" t="s">
        <v>186</v>
      </c>
      <c r="M565" s="4" t="s">
        <v>195</v>
      </c>
      <c r="N565" s="4" t="s">
        <v>196</v>
      </c>
      <c r="O565" s="4" t="s">
        <v>183</v>
      </c>
      <c r="P565">
        <v>53628.12</v>
      </c>
      <c r="Q565" s="4" t="s">
        <v>30</v>
      </c>
    </row>
    <row r="566" spans="1:17" x14ac:dyDescent="0.2">
      <c r="A566" s="4" t="s">
        <v>750</v>
      </c>
      <c r="B566">
        <v>565</v>
      </c>
      <c r="C566" s="4" t="s">
        <v>26</v>
      </c>
      <c r="D566" s="4" t="s">
        <v>47</v>
      </c>
      <c r="E566" s="4" t="s">
        <v>41</v>
      </c>
      <c r="F566" s="4" t="s">
        <v>2073</v>
      </c>
      <c r="G566">
        <v>13</v>
      </c>
      <c r="H566">
        <v>65</v>
      </c>
      <c r="I566" s="4" t="s">
        <v>209</v>
      </c>
      <c r="J566" s="4" t="s">
        <v>210</v>
      </c>
      <c r="K566" s="4" t="s">
        <v>205</v>
      </c>
      <c r="L566" s="4" t="s">
        <v>211</v>
      </c>
      <c r="M566" s="4" t="s">
        <v>182</v>
      </c>
      <c r="N566" s="4" t="s">
        <v>182</v>
      </c>
      <c r="O566" s="4" t="s">
        <v>183</v>
      </c>
      <c r="P566">
        <v>19901.52</v>
      </c>
      <c r="Q566" s="4" t="s">
        <v>30</v>
      </c>
    </row>
    <row r="567" spans="1:17" x14ac:dyDescent="0.2">
      <c r="A567" s="4" t="s">
        <v>751</v>
      </c>
      <c r="B567">
        <v>566</v>
      </c>
      <c r="C567" s="4" t="s">
        <v>26</v>
      </c>
      <c r="D567" s="4" t="s">
        <v>47</v>
      </c>
      <c r="E567" s="4" t="s">
        <v>41</v>
      </c>
      <c r="F567" s="4" t="s">
        <v>2073</v>
      </c>
      <c r="G567">
        <v>13</v>
      </c>
      <c r="H567">
        <v>65</v>
      </c>
      <c r="I567" s="4" t="s">
        <v>203</v>
      </c>
      <c r="J567" s="4" t="s">
        <v>204</v>
      </c>
      <c r="K567" s="4" t="s">
        <v>205</v>
      </c>
      <c r="L567" s="4" t="s">
        <v>206</v>
      </c>
      <c r="M567" s="4" t="s">
        <v>182</v>
      </c>
      <c r="N567" s="4" t="s">
        <v>182</v>
      </c>
      <c r="O567" s="4" t="s">
        <v>183</v>
      </c>
      <c r="P567">
        <v>300</v>
      </c>
      <c r="Q567" s="4" t="s">
        <v>30</v>
      </c>
    </row>
    <row r="568" spans="1:17" x14ac:dyDescent="0.2">
      <c r="A568" s="4" t="s">
        <v>752</v>
      </c>
      <c r="B568">
        <v>567</v>
      </c>
      <c r="C568" s="4" t="s">
        <v>26</v>
      </c>
      <c r="D568" s="4" t="s">
        <v>47</v>
      </c>
      <c r="E568" s="4" t="s">
        <v>41</v>
      </c>
      <c r="F568" s="4" t="s">
        <v>2073</v>
      </c>
      <c r="G568">
        <v>13</v>
      </c>
      <c r="H568">
        <v>65</v>
      </c>
      <c r="I568" s="4" t="s">
        <v>201</v>
      </c>
      <c r="J568" s="4" t="s">
        <v>202</v>
      </c>
      <c r="K568" s="4" t="s">
        <v>179</v>
      </c>
      <c r="L568" s="4" t="s">
        <v>180</v>
      </c>
      <c r="M568" s="4" t="s">
        <v>192</v>
      </c>
      <c r="N568" s="4" t="s">
        <v>182</v>
      </c>
      <c r="O568" s="4" t="s">
        <v>189</v>
      </c>
      <c r="P568">
        <v>-19901.52</v>
      </c>
      <c r="Q568" s="4" t="s">
        <v>30</v>
      </c>
    </row>
    <row r="569" spans="1:17" x14ac:dyDescent="0.2">
      <c r="A569" s="4" t="s">
        <v>753</v>
      </c>
      <c r="B569">
        <v>568</v>
      </c>
      <c r="C569" s="4" t="s">
        <v>26</v>
      </c>
      <c r="D569" s="4" t="s">
        <v>47</v>
      </c>
      <c r="E569" s="4" t="s">
        <v>41</v>
      </c>
      <c r="F569" s="4" t="s">
        <v>2073</v>
      </c>
      <c r="G569">
        <v>13</v>
      </c>
      <c r="H569">
        <v>65</v>
      </c>
      <c r="I569" s="4" t="s">
        <v>212</v>
      </c>
      <c r="J569" s="4" t="s">
        <v>213</v>
      </c>
      <c r="K569" s="4" t="s">
        <v>205</v>
      </c>
      <c r="L569" s="4" t="s">
        <v>214</v>
      </c>
      <c r="M569" s="4" t="s">
        <v>182</v>
      </c>
      <c r="N569" s="4" t="s">
        <v>182</v>
      </c>
      <c r="O569" s="4" t="s">
        <v>189</v>
      </c>
      <c r="P569">
        <v>-22912.06</v>
      </c>
      <c r="Q569" s="4" t="s">
        <v>30</v>
      </c>
    </row>
    <row r="570" spans="1:17" x14ac:dyDescent="0.2">
      <c r="A570" s="4" t="s">
        <v>754</v>
      </c>
      <c r="B570">
        <v>569</v>
      </c>
      <c r="C570" s="4" t="s">
        <v>26</v>
      </c>
      <c r="D570" s="4" t="s">
        <v>47</v>
      </c>
      <c r="E570" s="4" t="s">
        <v>44</v>
      </c>
      <c r="F570" s="4" t="s">
        <v>2103</v>
      </c>
      <c r="G570">
        <v>14</v>
      </c>
      <c r="H570">
        <v>66</v>
      </c>
      <c r="I570" s="4" t="s">
        <v>190</v>
      </c>
      <c r="J570" s="4" t="s">
        <v>191</v>
      </c>
      <c r="K570" s="4" t="s">
        <v>179</v>
      </c>
      <c r="L570" s="4" t="s">
        <v>180</v>
      </c>
      <c r="M570" s="4" t="s">
        <v>192</v>
      </c>
      <c r="N570" s="4" t="s">
        <v>182</v>
      </c>
      <c r="O570" s="4" t="s">
        <v>183</v>
      </c>
      <c r="P570">
        <v>23751.82</v>
      </c>
      <c r="Q570" s="4" t="s">
        <v>30</v>
      </c>
    </row>
    <row r="571" spans="1:17" x14ac:dyDescent="0.2">
      <c r="A571" s="4" t="s">
        <v>755</v>
      </c>
      <c r="B571">
        <v>570</v>
      </c>
      <c r="C571" s="4" t="s">
        <v>26</v>
      </c>
      <c r="D571" s="4" t="s">
        <v>47</v>
      </c>
      <c r="E571" s="4" t="s">
        <v>44</v>
      </c>
      <c r="F571" s="4" t="s">
        <v>2103</v>
      </c>
      <c r="G571">
        <v>14</v>
      </c>
      <c r="H571">
        <v>66</v>
      </c>
      <c r="I571" s="4" t="s">
        <v>207</v>
      </c>
      <c r="J571" s="4" t="s">
        <v>208</v>
      </c>
      <c r="K571" s="4" t="s">
        <v>179</v>
      </c>
      <c r="L571" s="4" t="s">
        <v>180</v>
      </c>
      <c r="M571" s="4" t="s">
        <v>192</v>
      </c>
      <c r="N571" s="4" t="s">
        <v>182</v>
      </c>
      <c r="O571" s="4" t="s">
        <v>189</v>
      </c>
      <c r="P571">
        <v>-23751.82</v>
      </c>
      <c r="Q571" s="4" t="s">
        <v>30</v>
      </c>
    </row>
    <row r="572" spans="1:17" x14ac:dyDescent="0.2">
      <c r="A572" s="4" t="s">
        <v>756</v>
      </c>
      <c r="B572">
        <v>571</v>
      </c>
      <c r="C572" s="4" t="s">
        <v>26</v>
      </c>
      <c r="D572" s="4" t="s">
        <v>47</v>
      </c>
      <c r="E572" s="4" t="s">
        <v>44</v>
      </c>
      <c r="F572" s="4" t="s">
        <v>2103</v>
      </c>
      <c r="G572">
        <v>14</v>
      </c>
      <c r="H572">
        <v>66</v>
      </c>
      <c r="I572" s="4" t="s">
        <v>207</v>
      </c>
      <c r="J572" s="4" t="s">
        <v>208</v>
      </c>
      <c r="K572" s="4" t="s">
        <v>179</v>
      </c>
      <c r="L572" s="4" t="s">
        <v>180</v>
      </c>
      <c r="M572" s="4" t="s">
        <v>192</v>
      </c>
      <c r="N572" s="4" t="s">
        <v>182</v>
      </c>
      <c r="O572" s="4" t="s">
        <v>183</v>
      </c>
      <c r="P572">
        <v>21479.75</v>
      </c>
      <c r="Q572" s="4" t="s">
        <v>30</v>
      </c>
    </row>
    <row r="573" spans="1:17" x14ac:dyDescent="0.2">
      <c r="A573" s="4" t="s">
        <v>757</v>
      </c>
      <c r="B573">
        <v>572</v>
      </c>
      <c r="C573" s="4" t="s">
        <v>26</v>
      </c>
      <c r="D573" s="4" t="s">
        <v>47</v>
      </c>
      <c r="E573" s="4" t="s">
        <v>44</v>
      </c>
      <c r="F573" s="4" t="s">
        <v>2103</v>
      </c>
      <c r="G573">
        <v>14</v>
      </c>
      <c r="H573">
        <v>66</v>
      </c>
      <c r="I573" s="4" t="s">
        <v>209</v>
      </c>
      <c r="J573" s="4" t="s">
        <v>210</v>
      </c>
      <c r="K573" s="4" t="s">
        <v>205</v>
      </c>
      <c r="L573" s="4" t="s">
        <v>211</v>
      </c>
      <c r="M573" s="4" t="s">
        <v>182</v>
      </c>
      <c r="N573" s="4" t="s">
        <v>182</v>
      </c>
      <c r="O573" s="4" t="s">
        <v>183</v>
      </c>
      <c r="P573">
        <v>19212.71</v>
      </c>
      <c r="Q573" s="4" t="s">
        <v>30</v>
      </c>
    </row>
    <row r="574" spans="1:17" x14ac:dyDescent="0.2">
      <c r="A574" s="4" t="s">
        <v>758</v>
      </c>
      <c r="B574">
        <v>573</v>
      </c>
      <c r="C574" s="4" t="s">
        <v>26</v>
      </c>
      <c r="D574" s="4" t="s">
        <v>47</v>
      </c>
      <c r="E574" s="4" t="s">
        <v>44</v>
      </c>
      <c r="F574" s="4" t="s">
        <v>2103</v>
      </c>
      <c r="G574">
        <v>14</v>
      </c>
      <c r="H574">
        <v>66</v>
      </c>
      <c r="I574" s="4" t="s">
        <v>201</v>
      </c>
      <c r="J574" s="4" t="s">
        <v>202</v>
      </c>
      <c r="K574" s="4" t="s">
        <v>179</v>
      </c>
      <c r="L574" s="4" t="s">
        <v>180</v>
      </c>
      <c r="M574" s="4" t="s">
        <v>192</v>
      </c>
      <c r="N574" s="4" t="s">
        <v>182</v>
      </c>
      <c r="O574" s="4" t="s">
        <v>189</v>
      </c>
      <c r="P574">
        <v>-19212.71</v>
      </c>
      <c r="Q574" s="4" t="s">
        <v>30</v>
      </c>
    </row>
    <row r="575" spans="1:17" x14ac:dyDescent="0.2">
      <c r="A575" s="4" t="s">
        <v>759</v>
      </c>
      <c r="B575">
        <v>574</v>
      </c>
      <c r="C575" s="4" t="s">
        <v>26</v>
      </c>
      <c r="D575" s="4" t="s">
        <v>47</v>
      </c>
      <c r="E575" s="4" t="s">
        <v>44</v>
      </c>
      <c r="F575" s="4" t="s">
        <v>2103</v>
      </c>
      <c r="G575">
        <v>14</v>
      </c>
      <c r="H575">
        <v>66</v>
      </c>
      <c r="I575" s="4" t="s">
        <v>212</v>
      </c>
      <c r="J575" s="4" t="s">
        <v>213</v>
      </c>
      <c r="K575" s="4" t="s">
        <v>205</v>
      </c>
      <c r="L575" s="4" t="s">
        <v>214</v>
      </c>
      <c r="M575" s="4" t="s">
        <v>182</v>
      </c>
      <c r="N575" s="4" t="s">
        <v>182</v>
      </c>
      <c r="O575" s="4" t="s">
        <v>189</v>
      </c>
      <c r="P575">
        <v>-21479.75</v>
      </c>
      <c r="Q575" s="4" t="s">
        <v>30</v>
      </c>
    </row>
    <row r="576" spans="1:17" x14ac:dyDescent="0.2">
      <c r="A576" s="4" t="s">
        <v>760</v>
      </c>
      <c r="B576">
        <v>575</v>
      </c>
      <c r="C576" s="4" t="s">
        <v>26</v>
      </c>
      <c r="D576" s="4" t="s">
        <v>47</v>
      </c>
      <c r="E576" s="4" t="s">
        <v>47</v>
      </c>
      <c r="F576" s="4" t="s">
        <v>2128</v>
      </c>
      <c r="G576">
        <v>14</v>
      </c>
      <c r="H576">
        <v>67</v>
      </c>
      <c r="I576" s="4" t="s">
        <v>190</v>
      </c>
      <c r="J576" s="4" t="s">
        <v>191</v>
      </c>
      <c r="K576" s="4" t="s">
        <v>179</v>
      </c>
      <c r="L576" s="4" t="s">
        <v>180</v>
      </c>
      <c r="M576" s="4" t="s">
        <v>192</v>
      </c>
      <c r="N576" s="4" t="s">
        <v>182</v>
      </c>
      <c r="O576" s="4" t="s">
        <v>189</v>
      </c>
      <c r="P576">
        <v>-300</v>
      </c>
      <c r="Q576" s="4" t="s">
        <v>30</v>
      </c>
    </row>
    <row r="577" spans="1:17" x14ac:dyDescent="0.2">
      <c r="A577" s="4" t="s">
        <v>761</v>
      </c>
      <c r="B577">
        <v>576</v>
      </c>
      <c r="C577" s="4" t="s">
        <v>26</v>
      </c>
      <c r="D577" s="4" t="s">
        <v>47</v>
      </c>
      <c r="E577" s="4" t="s">
        <v>47</v>
      </c>
      <c r="F577" s="4" t="s">
        <v>2128</v>
      </c>
      <c r="G577">
        <v>14</v>
      </c>
      <c r="H577">
        <v>67</v>
      </c>
      <c r="I577" s="4" t="s">
        <v>190</v>
      </c>
      <c r="J577" s="4" t="s">
        <v>191</v>
      </c>
      <c r="K577" s="4" t="s">
        <v>179</v>
      </c>
      <c r="L577" s="4" t="s">
        <v>180</v>
      </c>
      <c r="M577" s="4" t="s">
        <v>192</v>
      </c>
      <c r="N577" s="4" t="s">
        <v>182</v>
      </c>
      <c r="O577" s="4" t="s">
        <v>183</v>
      </c>
      <c r="P577">
        <v>13150.51</v>
      </c>
      <c r="Q577" s="4" t="s">
        <v>30</v>
      </c>
    </row>
    <row r="578" spans="1:17" x14ac:dyDescent="0.2">
      <c r="A578" s="4" t="s">
        <v>762</v>
      </c>
      <c r="B578">
        <v>577</v>
      </c>
      <c r="C578" s="4" t="s">
        <v>26</v>
      </c>
      <c r="D578" s="4" t="s">
        <v>47</v>
      </c>
      <c r="E578" s="4" t="s">
        <v>47</v>
      </c>
      <c r="F578" s="4" t="s">
        <v>2128</v>
      </c>
      <c r="G578">
        <v>14</v>
      </c>
      <c r="H578">
        <v>67</v>
      </c>
      <c r="I578" s="4" t="s">
        <v>207</v>
      </c>
      <c r="J578" s="4" t="s">
        <v>208</v>
      </c>
      <c r="K578" s="4" t="s">
        <v>179</v>
      </c>
      <c r="L578" s="4" t="s">
        <v>180</v>
      </c>
      <c r="M578" s="4" t="s">
        <v>192</v>
      </c>
      <c r="N578" s="4" t="s">
        <v>182</v>
      </c>
      <c r="O578" s="4" t="s">
        <v>189</v>
      </c>
      <c r="P578">
        <v>-13150.51</v>
      </c>
      <c r="Q578" s="4" t="s">
        <v>30</v>
      </c>
    </row>
    <row r="579" spans="1:17" x14ac:dyDescent="0.2">
      <c r="A579" s="4" t="s">
        <v>763</v>
      </c>
      <c r="B579">
        <v>578</v>
      </c>
      <c r="C579" s="4" t="s">
        <v>26</v>
      </c>
      <c r="D579" s="4" t="s">
        <v>47</v>
      </c>
      <c r="E579" s="4" t="s">
        <v>47</v>
      </c>
      <c r="F579" s="4" t="s">
        <v>2128</v>
      </c>
      <c r="G579">
        <v>14</v>
      </c>
      <c r="H579">
        <v>67</v>
      </c>
      <c r="I579" s="4" t="s">
        <v>207</v>
      </c>
      <c r="J579" s="4" t="s">
        <v>208</v>
      </c>
      <c r="K579" s="4" t="s">
        <v>179</v>
      </c>
      <c r="L579" s="4" t="s">
        <v>180</v>
      </c>
      <c r="M579" s="4" t="s">
        <v>192</v>
      </c>
      <c r="N579" s="4" t="s">
        <v>182</v>
      </c>
      <c r="O579" s="4" t="s">
        <v>183</v>
      </c>
      <c r="P579">
        <v>14057.08</v>
      </c>
      <c r="Q579" s="4" t="s">
        <v>30</v>
      </c>
    </row>
    <row r="580" spans="1:17" x14ac:dyDescent="0.2">
      <c r="A580" s="4" t="s">
        <v>764</v>
      </c>
      <c r="B580">
        <v>579</v>
      </c>
      <c r="C580" s="4" t="s">
        <v>26</v>
      </c>
      <c r="D580" s="4" t="s">
        <v>47</v>
      </c>
      <c r="E580" s="4" t="s">
        <v>47</v>
      </c>
      <c r="F580" s="4" t="s">
        <v>2128</v>
      </c>
      <c r="G580">
        <v>14</v>
      </c>
      <c r="H580">
        <v>67</v>
      </c>
      <c r="I580" s="4" t="s">
        <v>193</v>
      </c>
      <c r="J580" s="4" t="s">
        <v>194</v>
      </c>
      <c r="K580" s="4" t="s">
        <v>179</v>
      </c>
      <c r="L580" s="4" t="s">
        <v>186</v>
      </c>
      <c r="M580" s="4" t="s">
        <v>195</v>
      </c>
      <c r="N580" s="4" t="s">
        <v>196</v>
      </c>
      <c r="O580" s="4" t="s">
        <v>189</v>
      </c>
      <c r="P580">
        <v>-64801.41</v>
      </c>
      <c r="Q580" s="4" t="s">
        <v>30</v>
      </c>
    </row>
    <row r="581" spans="1:17" x14ac:dyDescent="0.2">
      <c r="A581" s="4" t="s">
        <v>765</v>
      </c>
      <c r="B581">
        <v>580</v>
      </c>
      <c r="C581" s="4" t="s">
        <v>26</v>
      </c>
      <c r="D581" s="4" t="s">
        <v>47</v>
      </c>
      <c r="E581" s="4" t="s">
        <v>47</v>
      </c>
      <c r="F581" s="4" t="s">
        <v>2128</v>
      </c>
      <c r="G581">
        <v>14</v>
      </c>
      <c r="H581">
        <v>67</v>
      </c>
      <c r="I581" s="4" t="s">
        <v>197</v>
      </c>
      <c r="J581" s="4" t="s">
        <v>198</v>
      </c>
      <c r="K581" s="4" t="s">
        <v>179</v>
      </c>
      <c r="L581" s="4" t="s">
        <v>186</v>
      </c>
      <c r="M581" s="4" t="s">
        <v>195</v>
      </c>
      <c r="N581" s="4" t="s">
        <v>196</v>
      </c>
      <c r="O581" s="4" t="s">
        <v>189</v>
      </c>
      <c r="P581">
        <v>-63801.41</v>
      </c>
      <c r="Q581" s="4" t="s">
        <v>30</v>
      </c>
    </row>
    <row r="582" spans="1:17" x14ac:dyDescent="0.2">
      <c r="A582" s="4" t="s">
        <v>766</v>
      </c>
      <c r="B582">
        <v>581</v>
      </c>
      <c r="C582" s="4" t="s">
        <v>26</v>
      </c>
      <c r="D582" s="4" t="s">
        <v>47</v>
      </c>
      <c r="E582" s="4" t="s">
        <v>47</v>
      </c>
      <c r="F582" s="4" t="s">
        <v>2128</v>
      </c>
      <c r="G582">
        <v>14</v>
      </c>
      <c r="H582">
        <v>67</v>
      </c>
      <c r="I582" s="4" t="s">
        <v>197</v>
      </c>
      <c r="J582" s="4" t="s">
        <v>198</v>
      </c>
      <c r="K582" s="4" t="s">
        <v>179</v>
      </c>
      <c r="L582" s="4" t="s">
        <v>186</v>
      </c>
      <c r="M582" s="4" t="s">
        <v>195</v>
      </c>
      <c r="N582" s="4" t="s">
        <v>196</v>
      </c>
      <c r="O582" s="4" t="s">
        <v>183</v>
      </c>
      <c r="P582">
        <v>63801.41</v>
      </c>
      <c r="Q582" s="4" t="s">
        <v>30</v>
      </c>
    </row>
    <row r="583" spans="1:17" x14ac:dyDescent="0.2">
      <c r="A583" s="4" t="s">
        <v>767</v>
      </c>
      <c r="B583">
        <v>582</v>
      </c>
      <c r="C583" s="4" t="s">
        <v>26</v>
      </c>
      <c r="D583" s="4" t="s">
        <v>47</v>
      </c>
      <c r="E583" s="4" t="s">
        <v>47</v>
      </c>
      <c r="F583" s="4" t="s">
        <v>2128</v>
      </c>
      <c r="G583">
        <v>14</v>
      </c>
      <c r="H583">
        <v>67</v>
      </c>
      <c r="I583" s="4" t="s">
        <v>199</v>
      </c>
      <c r="J583" s="4" t="s">
        <v>200</v>
      </c>
      <c r="K583" s="4" t="s">
        <v>179</v>
      </c>
      <c r="L583" s="4" t="s">
        <v>186</v>
      </c>
      <c r="M583" s="4" t="s">
        <v>195</v>
      </c>
      <c r="N583" s="4" t="s">
        <v>196</v>
      </c>
      <c r="O583" s="4" t="s">
        <v>189</v>
      </c>
      <c r="P583">
        <v>-1000</v>
      </c>
      <c r="Q583" s="4" t="s">
        <v>30</v>
      </c>
    </row>
    <row r="584" spans="1:17" x14ac:dyDescent="0.2">
      <c r="A584" s="4" t="s">
        <v>768</v>
      </c>
      <c r="B584">
        <v>583</v>
      </c>
      <c r="C584" s="4" t="s">
        <v>26</v>
      </c>
      <c r="D584" s="4" t="s">
        <v>47</v>
      </c>
      <c r="E584" s="4" t="s">
        <v>47</v>
      </c>
      <c r="F584" s="4" t="s">
        <v>2128</v>
      </c>
      <c r="G584">
        <v>14</v>
      </c>
      <c r="H584">
        <v>67</v>
      </c>
      <c r="I584" s="4" t="s">
        <v>199</v>
      </c>
      <c r="J584" s="4" t="s">
        <v>200</v>
      </c>
      <c r="K584" s="4" t="s">
        <v>179</v>
      </c>
      <c r="L584" s="4" t="s">
        <v>186</v>
      </c>
      <c r="M584" s="4" t="s">
        <v>195</v>
      </c>
      <c r="N584" s="4" t="s">
        <v>196</v>
      </c>
      <c r="O584" s="4" t="s">
        <v>183</v>
      </c>
      <c r="P584">
        <v>1000</v>
      </c>
      <c r="Q584" s="4" t="s">
        <v>30</v>
      </c>
    </row>
    <row r="585" spans="1:17" x14ac:dyDescent="0.2">
      <c r="A585" s="4" t="s">
        <v>769</v>
      </c>
      <c r="B585">
        <v>584</v>
      </c>
      <c r="C585" s="4" t="s">
        <v>26</v>
      </c>
      <c r="D585" s="4" t="s">
        <v>47</v>
      </c>
      <c r="E585" s="4" t="s">
        <v>47</v>
      </c>
      <c r="F585" s="4" t="s">
        <v>2128</v>
      </c>
      <c r="G585">
        <v>14</v>
      </c>
      <c r="H585">
        <v>67</v>
      </c>
      <c r="I585" s="4" t="s">
        <v>209</v>
      </c>
      <c r="J585" s="4" t="s">
        <v>210</v>
      </c>
      <c r="K585" s="4" t="s">
        <v>205</v>
      </c>
      <c r="L585" s="4" t="s">
        <v>211</v>
      </c>
      <c r="M585" s="4" t="s">
        <v>182</v>
      </c>
      <c r="N585" s="4" t="s">
        <v>182</v>
      </c>
      <c r="O585" s="4" t="s">
        <v>183</v>
      </c>
      <c r="P585">
        <v>12080.85</v>
      </c>
      <c r="Q585" s="4" t="s">
        <v>30</v>
      </c>
    </row>
    <row r="586" spans="1:17" x14ac:dyDescent="0.2">
      <c r="A586" s="4" t="s">
        <v>770</v>
      </c>
      <c r="B586">
        <v>585</v>
      </c>
      <c r="C586" s="4" t="s">
        <v>26</v>
      </c>
      <c r="D586" s="4" t="s">
        <v>47</v>
      </c>
      <c r="E586" s="4" t="s">
        <v>47</v>
      </c>
      <c r="F586" s="4" t="s">
        <v>2128</v>
      </c>
      <c r="G586">
        <v>14</v>
      </c>
      <c r="H586">
        <v>67</v>
      </c>
      <c r="I586" s="4" t="s">
        <v>203</v>
      </c>
      <c r="J586" s="4" t="s">
        <v>204</v>
      </c>
      <c r="K586" s="4" t="s">
        <v>205</v>
      </c>
      <c r="L586" s="4" t="s">
        <v>206</v>
      </c>
      <c r="M586" s="4" t="s">
        <v>182</v>
      </c>
      <c r="N586" s="4" t="s">
        <v>182</v>
      </c>
      <c r="O586" s="4" t="s">
        <v>183</v>
      </c>
      <c r="P586">
        <v>300</v>
      </c>
      <c r="Q586" s="4" t="s">
        <v>30</v>
      </c>
    </row>
    <row r="587" spans="1:17" x14ac:dyDescent="0.2">
      <c r="A587" s="4" t="s">
        <v>771</v>
      </c>
      <c r="B587">
        <v>586</v>
      </c>
      <c r="C587" s="4" t="s">
        <v>26</v>
      </c>
      <c r="D587" s="4" t="s">
        <v>47</v>
      </c>
      <c r="E587" s="4" t="s">
        <v>47</v>
      </c>
      <c r="F587" s="4" t="s">
        <v>2128</v>
      </c>
      <c r="G587">
        <v>14</v>
      </c>
      <c r="H587">
        <v>67</v>
      </c>
      <c r="I587" s="4" t="s">
        <v>201</v>
      </c>
      <c r="J587" s="4" t="s">
        <v>202</v>
      </c>
      <c r="K587" s="4" t="s">
        <v>179</v>
      </c>
      <c r="L587" s="4" t="s">
        <v>180</v>
      </c>
      <c r="M587" s="4" t="s">
        <v>192</v>
      </c>
      <c r="N587" s="4" t="s">
        <v>182</v>
      </c>
      <c r="O587" s="4" t="s">
        <v>189</v>
      </c>
      <c r="P587">
        <v>-12080.86</v>
      </c>
      <c r="Q587" s="4" t="s">
        <v>30</v>
      </c>
    </row>
    <row r="588" spans="1:17" x14ac:dyDescent="0.2">
      <c r="A588" s="4" t="s">
        <v>772</v>
      </c>
      <c r="B588">
        <v>587</v>
      </c>
      <c r="C588" s="4" t="s">
        <v>26</v>
      </c>
      <c r="D588" s="4" t="s">
        <v>47</v>
      </c>
      <c r="E588" s="4" t="s">
        <v>47</v>
      </c>
      <c r="F588" s="4" t="s">
        <v>2128</v>
      </c>
      <c r="G588">
        <v>14</v>
      </c>
      <c r="H588">
        <v>67</v>
      </c>
      <c r="I588" s="4" t="s">
        <v>201</v>
      </c>
      <c r="J588" s="4" t="s">
        <v>202</v>
      </c>
      <c r="K588" s="4" t="s">
        <v>179</v>
      </c>
      <c r="L588" s="4" t="s">
        <v>180</v>
      </c>
      <c r="M588" s="4" t="s">
        <v>192</v>
      </c>
      <c r="N588" s="4" t="s">
        <v>182</v>
      </c>
      <c r="O588" s="4" t="s">
        <v>183</v>
      </c>
      <c r="P588">
        <v>64801.42</v>
      </c>
      <c r="Q588" s="4" t="s">
        <v>30</v>
      </c>
    </row>
    <row r="589" spans="1:17" x14ac:dyDescent="0.2">
      <c r="A589" s="4" t="s">
        <v>773</v>
      </c>
      <c r="B589">
        <v>588</v>
      </c>
      <c r="C589" s="4" t="s">
        <v>26</v>
      </c>
      <c r="D589" s="4" t="s">
        <v>47</v>
      </c>
      <c r="E589" s="4" t="s">
        <v>47</v>
      </c>
      <c r="F589" s="4" t="s">
        <v>2128</v>
      </c>
      <c r="G589">
        <v>14</v>
      </c>
      <c r="H589">
        <v>67</v>
      </c>
      <c r="I589" s="4" t="s">
        <v>212</v>
      </c>
      <c r="J589" s="4" t="s">
        <v>213</v>
      </c>
      <c r="K589" s="4" t="s">
        <v>205</v>
      </c>
      <c r="L589" s="4" t="s">
        <v>214</v>
      </c>
      <c r="M589" s="4" t="s">
        <v>182</v>
      </c>
      <c r="N589" s="4" t="s">
        <v>182</v>
      </c>
      <c r="O589" s="4" t="s">
        <v>189</v>
      </c>
      <c r="P589">
        <v>-14057.08</v>
      </c>
      <c r="Q589" s="4" t="s">
        <v>30</v>
      </c>
    </row>
    <row r="590" spans="1:17" x14ac:dyDescent="0.2">
      <c r="A590" s="4" t="s">
        <v>774</v>
      </c>
      <c r="B590">
        <v>589</v>
      </c>
      <c r="C590" s="4" t="s">
        <v>26</v>
      </c>
      <c r="D590" s="4" t="s">
        <v>47</v>
      </c>
      <c r="E590" s="4" t="s">
        <v>50</v>
      </c>
      <c r="F590" s="4" t="s">
        <v>2157</v>
      </c>
      <c r="G590">
        <v>14</v>
      </c>
      <c r="H590">
        <v>68</v>
      </c>
      <c r="I590" s="4" t="s">
        <v>190</v>
      </c>
      <c r="J590" s="4" t="s">
        <v>191</v>
      </c>
      <c r="K590" s="4" t="s">
        <v>179</v>
      </c>
      <c r="L590" s="4" t="s">
        <v>180</v>
      </c>
      <c r="M590" s="4" t="s">
        <v>192</v>
      </c>
      <c r="N590" s="4" t="s">
        <v>182</v>
      </c>
      <c r="O590" s="4" t="s">
        <v>183</v>
      </c>
      <c r="P590">
        <v>14601.77</v>
      </c>
      <c r="Q590" s="4" t="s">
        <v>30</v>
      </c>
    </row>
    <row r="591" spans="1:17" x14ac:dyDescent="0.2">
      <c r="A591" s="4" t="s">
        <v>775</v>
      </c>
      <c r="B591">
        <v>590</v>
      </c>
      <c r="C591" s="4" t="s">
        <v>26</v>
      </c>
      <c r="D591" s="4" t="s">
        <v>47</v>
      </c>
      <c r="E591" s="4" t="s">
        <v>50</v>
      </c>
      <c r="F591" s="4" t="s">
        <v>2157</v>
      </c>
      <c r="G591">
        <v>14</v>
      </c>
      <c r="H591">
        <v>68</v>
      </c>
      <c r="I591" s="4" t="s">
        <v>207</v>
      </c>
      <c r="J591" s="4" t="s">
        <v>208</v>
      </c>
      <c r="K591" s="4" t="s">
        <v>179</v>
      </c>
      <c r="L591" s="4" t="s">
        <v>180</v>
      </c>
      <c r="M591" s="4" t="s">
        <v>192</v>
      </c>
      <c r="N591" s="4" t="s">
        <v>182</v>
      </c>
      <c r="O591" s="4" t="s">
        <v>189</v>
      </c>
      <c r="P591">
        <v>-14601.77</v>
      </c>
      <c r="Q591" s="4" t="s">
        <v>30</v>
      </c>
    </row>
    <row r="592" spans="1:17" x14ac:dyDescent="0.2">
      <c r="A592" s="4" t="s">
        <v>776</v>
      </c>
      <c r="B592">
        <v>591</v>
      </c>
      <c r="C592" s="4" t="s">
        <v>26</v>
      </c>
      <c r="D592" s="4" t="s">
        <v>47</v>
      </c>
      <c r="E592" s="4" t="s">
        <v>50</v>
      </c>
      <c r="F592" s="4" t="s">
        <v>2157</v>
      </c>
      <c r="G592">
        <v>14</v>
      </c>
      <c r="H592">
        <v>68</v>
      </c>
      <c r="I592" s="4" t="s">
        <v>207</v>
      </c>
      <c r="J592" s="4" t="s">
        <v>208</v>
      </c>
      <c r="K592" s="4" t="s">
        <v>179</v>
      </c>
      <c r="L592" s="4" t="s">
        <v>180</v>
      </c>
      <c r="M592" s="4" t="s">
        <v>192</v>
      </c>
      <c r="N592" s="4" t="s">
        <v>182</v>
      </c>
      <c r="O592" s="4" t="s">
        <v>183</v>
      </c>
      <c r="P592">
        <v>38387.31</v>
      </c>
      <c r="Q592" s="4" t="s">
        <v>30</v>
      </c>
    </row>
    <row r="593" spans="1:17" x14ac:dyDescent="0.2">
      <c r="A593" s="4" t="s">
        <v>777</v>
      </c>
      <c r="B593">
        <v>592</v>
      </c>
      <c r="C593" s="4" t="s">
        <v>26</v>
      </c>
      <c r="D593" s="4" t="s">
        <v>47</v>
      </c>
      <c r="E593" s="4" t="s">
        <v>50</v>
      </c>
      <c r="F593" s="4" t="s">
        <v>2157</v>
      </c>
      <c r="G593">
        <v>14</v>
      </c>
      <c r="H593">
        <v>68</v>
      </c>
      <c r="I593" s="4" t="s">
        <v>209</v>
      </c>
      <c r="J593" s="4" t="s">
        <v>210</v>
      </c>
      <c r="K593" s="4" t="s">
        <v>205</v>
      </c>
      <c r="L593" s="4" t="s">
        <v>211</v>
      </c>
      <c r="M593" s="4" t="s">
        <v>182</v>
      </c>
      <c r="N593" s="4" t="s">
        <v>182</v>
      </c>
      <c r="O593" s="4" t="s">
        <v>183</v>
      </c>
      <c r="P593">
        <v>33581.279999999999</v>
      </c>
      <c r="Q593" s="4" t="s">
        <v>30</v>
      </c>
    </row>
    <row r="594" spans="1:17" x14ac:dyDescent="0.2">
      <c r="A594" s="4" t="s">
        <v>778</v>
      </c>
      <c r="B594">
        <v>593</v>
      </c>
      <c r="C594" s="4" t="s">
        <v>26</v>
      </c>
      <c r="D594" s="4" t="s">
        <v>47</v>
      </c>
      <c r="E594" s="4" t="s">
        <v>50</v>
      </c>
      <c r="F594" s="4" t="s">
        <v>2157</v>
      </c>
      <c r="G594">
        <v>14</v>
      </c>
      <c r="H594">
        <v>68</v>
      </c>
      <c r="I594" s="4" t="s">
        <v>201</v>
      </c>
      <c r="J594" s="4" t="s">
        <v>202</v>
      </c>
      <c r="K594" s="4" t="s">
        <v>179</v>
      </c>
      <c r="L594" s="4" t="s">
        <v>180</v>
      </c>
      <c r="M594" s="4" t="s">
        <v>192</v>
      </c>
      <c r="N594" s="4" t="s">
        <v>182</v>
      </c>
      <c r="O594" s="4" t="s">
        <v>189</v>
      </c>
      <c r="P594">
        <v>-33581.279999999999</v>
      </c>
      <c r="Q594" s="4" t="s">
        <v>30</v>
      </c>
    </row>
    <row r="595" spans="1:17" x14ac:dyDescent="0.2">
      <c r="A595" s="4" t="s">
        <v>779</v>
      </c>
      <c r="B595">
        <v>594</v>
      </c>
      <c r="C595" s="4" t="s">
        <v>26</v>
      </c>
      <c r="D595" s="4" t="s">
        <v>47</v>
      </c>
      <c r="E595" s="4" t="s">
        <v>50</v>
      </c>
      <c r="F595" s="4" t="s">
        <v>2157</v>
      </c>
      <c r="G595">
        <v>14</v>
      </c>
      <c r="H595">
        <v>68</v>
      </c>
      <c r="I595" s="4" t="s">
        <v>212</v>
      </c>
      <c r="J595" s="4" t="s">
        <v>213</v>
      </c>
      <c r="K595" s="4" t="s">
        <v>205</v>
      </c>
      <c r="L595" s="4" t="s">
        <v>214</v>
      </c>
      <c r="M595" s="4" t="s">
        <v>182</v>
      </c>
      <c r="N595" s="4" t="s">
        <v>182</v>
      </c>
      <c r="O595" s="4" t="s">
        <v>189</v>
      </c>
      <c r="P595">
        <v>-38387.31</v>
      </c>
      <c r="Q595" s="4" t="s">
        <v>30</v>
      </c>
    </row>
    <row r="596" spans="1:17" x14ac:dyDescent="0.2">
      <c r="A596" s="4" t="s">
        <v>780</v>
      </c>
      <c r="B596">
        <v>595</v>
      </c>
      <c r="C596" s="4" t="s">
        <v>26</v>
      </c>
      <c r="D596" s="4" t="s">
        <v>47</v>
      </c>
      <c r="E596" s="4" t="s">
        <v>53</v>
      </c>
      <c r="F596" s="4" t="s">
        <v>2158</v>
      </c>
      <c r="G596">
        <v>14</v>
      </c>
      <c r="H596">
        <v>69</v>
      </c>
      <c r="I596" s="4" t="s">
        <v>190</v>
      </c>
      <c r="J596" s="4" t="s">
        <v>191</v>
      </c>
      <c r="K596" s="4" t="s">
        <v>179</v>
      </c>
      <c r="L596" s="4" t="s">
        <v>180</v>
      </c>
      <c r="M596" s="4" t="s">
        <v>192</v>
      </c>
      <c r="N596" s="4" t="s">
        <v>182</v>
      </c>
      <c r="O596" s="4" t="s">
        <v>189</v>
      </c>
      <c r="P596">
        <v>-84214.3</v>
      </c>
      <c r="Q596" s="4" t="s">
        <v>30</v>
      </c>
    </row>
    <row r="597" spans="1:17" x14ac:dyDescent="0.2">
      <c r="A597" s="4" t="s">
        <v>781</v>
      </c>
      <c r="B597">
        <v>596</v>
      </c>
      <c r="C597" s="4" t="s">
        <v>26</v>
      </c>
      <c r="D597" s="4" t="s">
        <v>47</v>
      </c>
      <c r="E597" s="4" t="s">
        <v>53</v>
      </c>
      <c r="F597" s="4" t="s">
        <v>2158</v>
      </c>
      <c r="G597">
        <v>14</v>
      </c>
      <c r="H597">
        <v>69</v>
      </c>
      <c r="I597" s="4" t="s">
        <v>190</v>
      </c>
      <c r="J597" s="4" t="s">
        <v>191</v>
      </c>
      <c r="K597" s="4" t="s">
        <v>179</v>
      </c>
      <c r="L597" s="4" t="s">
        <v>180</v>
      </c>
      <c r="M597" s="4" t="s">
        <v>192</v>
      </c>
      <c r="N597" s="4" t="s">
        <v>182</v>
      </c>
      <c r="O597" s="4" t="s">
        <v>183</v>
      </c>
      <c r="P597">
        <v>22912.06</v>
      </c>
      <c r="Q597" s="4" t="s">
        <v>30</v>
      </c>
    </row>
    <row r="598" spans="1:17" x14ac:dyDescent="0.2">
      <c r="A598" s="4" t="s">
        <v>782</v>
      </c>
      <c r="B598">
        <v>597</v>
      </c>
      <c r="C598" s="4" t="s">
        <v>26</v>
      </c>
      <c r="D598" s="4" t="s">
        <v>47</v>
      </c>
      <c r="E598" s="4" t="s">
        <v>53</v>
      </c>
      <c r="F598" s="4" t="s">
        <v>2158</v>
      </c>
      <c r="G598">
        <v>14</v>
      </c>
      <c r="H598">
        <v>69</v>
      </c>
      <c r="I598" s="4" t="s">
        <v>207</v>
      </c>
      <c r="J598" s="4" t="s">
        <v>208</v>
      </c>
      <c r="K598" s="4" t="s">
        <v>179</v>
      </c>
      <c r="L598" s="4" t="s">
        <v>180</v>
      </c>
      <c r="M598" s="4" t="s">
        <v>192</v>
      </c>
      <c r="N598" s="4" t="s">
        <v>182</v>
      </c>
      <c r="O598" s="4" t="s">
        <v>189</v>
      </c>
      <c r="P598">
        <v>-22912.06</v>
      </c>
      <c r="Q598" s="4" t="s">
        <v>30</v>
      </c>
    </row>
    <row r="599" spans="1:17" x14ac:dyDescent="0.2">
      <c r="A599" s="4" t="s">
        <v>783</v>
      </c>
      <c r="B599">
        <v>598</v>
      </c>
      <c r="C599" s="4" t="s">
        <v>26</v>
      </c>
      <c r="D599" s="4" t="s">
        <v>47</v>
      </c>
      <c r="E599" s="4" t="s">
        <v>53</v>
      </c>
      <c r="F599" s="4" t="s">
        <v>2158</v>
      </c>
      <c r="G599">
        <v>14</v>
      </c>
      <c r="H599">
        <v>69</v>
      </c>
      <c r="I599" s="4" t="s">
        <v>207</v>
      </c>
      <c r="J599" s="4" t="s">
        <v>208</v>
      </c>
      <c r="K599" s="4" t="s">
        <v>179</v>
      </c>
      <c r="L599" s="4" t="s">
        <v>180</v>
      </c>
      <c r="M599" s="4" t="s">
        <v>192</v>
      </c>
      <c r="N599" s="4" t="s">
        <v>182</v>
      </c>
      <c r="O599" s="4" t="s">
        <v>183</v>
      </c>
      <c r="P599">
        <v>14781.96</v>
      </c>
      <c r="Q599" s="4" t="s">
        <v>30</v>
      </c>
    </row>
    <row r="600" spans="1:17" x14ac:dyDescent="0.2">
      <c r="A600" s="4" t="s">
        <v>784</v>
      </c>
      <c r="B600">
        <v>599</v>
      </c>
      <c r="C600" s="4" t="s">
        <v>26</v>
      </c>
      <c r="D600" s="4" t="s">
        <v>47</v>
      </c>
      <c r="E600" s="4" t="s">
        <v>53</v>
      </c>
      <c r="F600" s="4" t="s">
        <v>2158</v>
      </c>
      <c r="G600">
        <v>14</v>
      </c>
      <c r="H600">
        <v>69</v>
      </c>
      <c r="I600" s="4" t="s">
        <v>193</v>
      </c>
      <c r="J600" s="4" t="s">
        <v>194</v>
      </c>
      <c r="K600" s="4" t="s">
        <v>179</v>
      </c>
      <c r="L600" s="4" t="s">
        <v>186</v>
      </c>
      <c r="M600" s="4" t="s">
        <v>195</v>
      </c>
      <c r="N600" s="4" t="s">
        <v>196</v>
      </c>
      <c r="O600" s="4" t="s">
        <v>183</v>
      </c>
      <c r="P600">
        <v>83914.3</v>
      </c>
      <c r="Q600" s="4" t="s">
        <v>30</v>
      </c>
    </row>
    <row r="601" spans="1:17" x14ac:dyDescent="0.2">
      <c r="A601" s="4" t="s">
        <v>785</v>
      </c>
      <c r="B601">
        <v>600</v>
      </c>
      <c r="C601" s="4" t="s">
        <v>26</v>
      </c>
      <c r="D601" s="4" t="s">
        <v>47</v>
      </c>
      <c r="E601" s="4" t="s">
        <v>53</v>
      </c>
      <c r="F601" s="4" t="s">
        <v>2158</v>
      </c>
      <c r="G601">
        <v>14</v>
      </c>
      <c r="H601">
        <v>69</v>
      </c>
      <c r="I601" s="4" t="s">
        <v>209</v>
      </c>
      <c r="J601" s="4" t="s">
        <v>210</v>
      </c>
      <c r="K601" s="4" t="s">
        <v>205</v>
      </c>
      <c r="L601" s="4" t="s">
        <v>211</v>
      </c>
      <c r="M601" s="4" t="s">
        <v>182</v>
      </c>
      <c r="N601" s="4" t="s">
        <v>182</v>
      </c>
      <c r="O601" s="4" t="s">
        <v>183</v>
      </c>
      <c r="P601">
        <v>13048.85</v>
      </c>
      <c r="Q601" s="4" t="s">
        <v>30</v>
      </c>
    </row>
    <row r="602" spans="1:17" x14ac:dyDescent="0.2">
      <c r="A602" s="4" t="s">
        <v>786</v>
      </c>
      <c r="B602">
        <v>601</v>
      </c>
      <c r="C602" s="4" t="s">
        <v>26</v>
      </c>
      <c r="D602" s="4" t="s">
        <v>47</v>
      </c>
      <c r="E602" s="4" t="s">
        <v>53</v>
      </c>
      <c r="F602" s="4" t="s">
        <v>2158</v>
      </c>
      <c r="G602">
        <v>14</v>
      </c>
      <c r="H602">
        <v>69</v>
      </c>
      <c r="I602" s="4" t="s">
        <v>203</v>
      </c>
      <c r="J602" s="4" t="s">
        <v>204</v>
      </c>
      <c r="K602" s="4" t="s">
        <v>205</v>
      </c>
      <c r="L602" s="4" t="s">
        <v>206</v>
      </c>
      <c r="M602" s="4" t="s">
        <v>182</v>
      </c>
      <c r="N602" s="4" t="s">
        <v>182</v>
      </c>
      <c r="O602" s="4" t="s">
        <v>183</v>
      </c>
      <c r="P602">
        <v>300</v>
      </c>
      <c r="Q602" s="4" t="s">
        <v>30</v>
      </c>
    </row>
    <row r="603" spans="1:17" x14ac:dyDescent="0.2">
      <c r="A603" s="4" t="s">
        <v>787</v>
      </c>
      <c r="B603">
        <v>602</v>
      </c>
      <c r="C603" s="4" t="s">
        <v>26</v>
      </c>
      <c r="D603" s="4" t="s">
        <v>47</v>
      </c>
      <c r="E603" s="4" t="s">
        <v>53</v>
      </c>
      <c r="F603" s="4" t="s">
        <v>2158</v>
      </c>
      <c r="G603">
        <v>14</v>
      </c>
      <c r="H603">
        <v>69</v>
      </c>
      <c r="I603" s="4" t="s">
        <v>201</v>
      </c>
      <c r="J603" s="4" t="s">
        <v>202</v>
      </c>
      <c r="K603" s="4" t="s">
        <v>179</v>
      </c>
      <c r="L603" s="4" t="s">
        <v>180</v>
      </c>
      <c r="M603" s="4" t="s">
        <v>192</v>
      </c>
      <c r="N603" s="4" t="s">
        <v>182</v>
      </c>
      <c r="O603" s="4" t="s">
        <v>189</v>
      </c>
      <c r="P603">
        <v>-13048.85</v>
      </c>
      <c r="Q603" s="4" t="s">
        <v>30</v>
      </c>
    </row>
    <row r="604" spans="1:17" x14ac:dyDescent="0.2">
      <c r="A604" s="4" t="s">
        <v>788</v>
      </c>
      <c r="B604">
        <v>603</v>
      </c>
      <c r="C604" s="4" t="s">
        <v>26</v>
      </c>
      <c r="D604" s="4" t="s">
        <v>47</v>
      </c>
      <c r="E604" s="4" t="s">
        <v>53</v>
      </c>
      <c r="F604" s="4" t="s">
        <v>2158</v>
      </c>
      <c r="G604">
        <v>14</v>
      </c>
      <c r="H604">
        <v>69</v>
      </c>
      <c r="I604" s="4" t="s">
        <v>212</v>
      </c>
      <c r="J604" s="4" t="s">
        <v>213</v>
      </c>
      <c r="K604" s="4" t="s">
        <v>205</v>
      </c>
      <c r="L604" s="4" t="s">
        <v>214</v>
      </c>
      <c r="M604" s="4" t="s">
        <v>182</v>
      </c>
      <c r="N604" s="4" t="s">
        <v>182</v>
      </c>
      <c r="O604" s="4" t="s">
        <v>189</v>
      </c>
      <c r="P604">
        <v>-14781.96</v>
      </c>
      <c r="Q604" s="4" t="s">
        <v>30</v>
      </c>
    </row>
    <row r="605" spans="1:17" x14ac:dyDescent="0.2">
      <c r="A605" s="4" t="s">
        <v>789</v>
      </c>
      <c r="B605">
        <v>604</v>
      </c>
      <c r="C605" s="4" t="s">
        <v>26</v>
      </c>
      <c r="D605" s="4" t="s">
        <v>47</v>
      </c>
      <c r="E605" s="4" t="s">
        <v>56</v>
      </c>
      <c r="F605" s="4" t="s">
        <v>2222</v>
      </c>
      <c r="G605">
        <v>14</v>
      </c>
      <c r="H605">
        <v>70</v>
      </c>
      <c r="I605" s="4" t="s">
        <v>190</v>
      </c>
      <c r="J605" s="4" t="s">
        <v>191</v>
      </c>
      <c r="K605" s="4" t="s">
        <v>179</v>
      </c>
      <c r="L605" s="4" t="s">
        <v>180</v>
      </c>
      <c r="M605" s="4" t="s">
        <v>192</v>
      </c>
      <c r="N605" s="4" t="s">
        <v>182</v>
      </c>
      <c r="O605" s="4" t="s">
        <v>183</v>
      </c>
      <c r="P605">
        <v>21479.75</v>
      </c>
      <c r="Q605" s="4" t="s">
        <v>30</v>
      </c>
    </row>
    <row r="606" spans="1:17" x14ac:dyDescent="0.2">
      <c r="A606" s="4" t="s">
        <v>790</v>
      </c>
      <c r="B606">
        <v>605</v>
      </c>
      <c r="C606" s="4" t="s">
        <v>26</v>
      </c>
      <c r="D606" s="4" t="s">
        <v>47</v>
      </c>
      <c r="E606" s="4" t="s">
        <v>56</v>
      </c>
      <c r="F606" s="4" t="s">
        <v>2222</v>
      </c>
      <c r="G606">
        <v>14</v>
      </c>
      <c r="H606">
        <v>70</v>
      </c>
      <c r="I606" s="4" t="s">
        <v>207</v>
      </c>
      <c r="J606" s="4" t="s">
        <v>208</v>
      </c>
      <c r="K606" s="4" t="s">
        <v>179</v>
      </c>
      <c r="L606" s="4" t="s">
        <v>180</v>
      </c>
      <c r="M606" s="4" t="s">
        <v>192</v>
      </c>
      <c r="N606" s="4" t="s">
        <v>182</v>
      </c>
      <c r="O606" s="4" t="s">
        <v>189</v>
      </c>
      <c r="P606">
        <v>-21479.75</v>
      </c>
      <c r="Q606" s="4" t="s">
        <v>30</v>
      </c>
    </row>
    <row r="607" spans="1:17" x14ac:dyDescent="0.2">
      <c r="A607" s="4" t="s">
        <v>791</v>
      </c>
      <c r="B607">
        <v>606</v>
      </c>
      <c r="C607" s="4" t="s">
        <v>26</v>
      </c>
      <c r="D607" s="4" t="s">
        <v>47</v>
      </c>
      <c r="E607" s="4" t="s">
        <v>56</v>
      </c>
      <c r="F607" s="4" t="s">
        <v>2222</v>
      </c>
      <c r="G607">
        <v>14</v>
      </c>
      <c r="H607">
        <v>70</v>
      </c>
      <c r="I607" s="4" t="s">
        <v>207</v>
      </c>
      <c r="J607" s="4" t="s">
        <v>208</v>
      </c>
      <c r="K607" s="4" t="s">
        <v>179</v>
      </c>
      <c r="L607" s="4" t="s">
        <v>180</v>
      </c>
      <c r="M607" s="4" t="s">
        <v>192</v>
      </c>
      <c r="N607" s="4" t="s">
        <v>182</v>
      </c>
      <c r="O607" s="4" t="s">
        <v>183</v>
      </c>
      <c r="P607">
        <v>27700.89</v>
      </c>
      <c r="Q607" s="4" t="s">
        <v>30</v>
      </c>
    </row>
    <row r="608" spans="1:17" x14ac:dyDescent="0.2">
      <c r="A608" s="4" t="s">
        <v>792</v>
      </c>
      <c r="B608">
        <v>607</v>
      </c>
      <c r="C608" s="4" t="s">
        <v>26</v>
      </c>
      <c r="D608" s="4" t="s">
        <v>47</v>
      </c>
      <c r="E608" s="4" t="s">
        <v>56</v>
      </c>
      <c r="F608" s="4" t="s">
        <v>2222</v>
      </c>
      <c r="G608">
        <v>14</v>
      </c>
      <c r="H608">
        <v>70</v>
      </c>
      <c r="I608" s="4" t="s">
        <v>209</v>
      </c>
      <c r="J608" s="4" t="s">
        <v>210</v>
      </c>
      <c r="K608" s="4" t="s">
        <v>205</v>
      </c>
      <c r="L608" s="4" t="s">
        <v>211</v>
      </c>
      <c r="M608" s="4" t="s">
        <v>182</v>
      </c>
      <c r="N608" s="4" t="s">
        <v>182</v>
      </c>
      <c r="O608" s="4" t="s">
        <v>183</v>
      </c>
      <c r="P608">
        <v>24092.66</v>
      </c>
      <c r="Q608" s="4" t="s">
        <v>30</v>
      </c>
    </row>
    <row r="609" spans="1:17" x14ac:dyDescent="0.2">
      <c r="A609" s="4" t="s">
        <v>793</v>
      </c>
      <c r="B609">
        <v>608</v>
      </c>
      <c r="C609" s="4" t="s">
        <v>26</v>
      </c>
      <c r="D609" s="4" t="s">
        <v>47</v>
      </c>
      <c r="E609" s="4" t="s">
        <v>56</v>
      </c>
      <c r="F609" s="4" t="s">
        <v>2222</v>
      </c>
      <c r="G609">
        <v>14</v>
      </c>
      <c r="H609">
        <v>70</v>
      </c>
      <c r="I609" s="4" t="s">
        <v>201</v>
      </c>
      <c r="J609" s="4" t="s">
        <v>202</v>
      </c>
      <c r="K609" s="4" t="s">
        <v>179</v>
      </c>
      <c r="L609" s="4" t="s">
        <v>180</v>
      </c>
      <c r="M609" s="4" t="s">
        <v>192</v>
      </c>
      <c r="N609" s="4" t="s">
        <v>182</v>
      </c>
      <c r="O609" s="4" t="s">
        <v>189</v>
      </c>
      <c r="P609">
        <v>-24092.66</v>
      </c>
      <c r="Q609" s="4" t="s">
        <v>30</v>
      </c>
    </row>
    <row r="610" spans="1:17" x14ac:dyDescent="0.2">
      <c r="A610" s="4" t="s">
        <v>794</v>
      </c>
      <c r="B610">
        <v>609</v>
      </c>
      <c r="C610" s="4" t="s">
        <v>26</v>
      </c>
      <c r="D610" s="4" t="s">
        <v>47</v>
      </c>
      <c r="E610" s="4" t="s">
        <v>56</v>
      </c>
      <c r="F610" s="4" t="s">
        <v>2222</v>
      </c>
      <c r="G610">
        <v>14</v>
      </c>
      <c r="H610">
        <v>70</v>
      </c>
      <c r="I610" s="4" t="s">
        <v>212</v>
      </c>
      <c r="J610" s="4" t="s">
        <v>213</v>
      </c>
      <c r="K610" s="4" t="s">
        <v>205</v>
      </c>
      <c r="L610" s="4" t="s">
        <v>214</v>
      </c>
      <c r="M610" s="4" t="s">
        <v>182</v>
      </c>
      <c r="N610" s="4" t="s">
        <v>182</v>
      </c>
      <c r="O610" s="4" t="s">
        <v>189</v>
      </c>
      <c r="P610">
        <v>-27700.89</v>
      </c>
      <c r="Q610" s="4" t="s">
        <v>30</v>
      </c>
    </row>
    <row r="611" spans="1:17" x14ac:dyDescent="0.2">
      <c r="A611" s="4" t="s">
        <v>795</v>
      </c>
      <c r="B611">
        <v>610</v>
      </c>
      <c r="C611" s="4" t="s">
        <v>26</v>
      </c>
      <c r="D611" s="4" t="s">
        <v>50</v>
      </c>
      <c r="E611" s="4" t="s">
        <v>27</v>
      </c>
      <c r="F611" s="4" t="s">
        <v>2252</v>
      </c>
      <c r="G611">
        <v>15</v>
      </c>
      <c r="H611">
        <v>71</v>
      </c>
      <c r="I611" s="4" t="s">
        <v>190</v>
      </c>
      <c r="J611" s="4" t="s">
        <v>191</v>
      </c>
      <c r="K611" s="4" t="s">
        <v>179</v>
      </c>
      <c r="L611" s="4" t="s">
        <v>180</v>
      </c>
      <c r="M611" s="4" t="s">
        <v>192</v>
      </c>
      <c r="N611" s="4" t="s">
        <v>182</v>
      </c>
      <c r="O611" s="4" t="s">
        <v>189</v>
      </c>
      <c r="P611">
        <v>-300</v>
      </c>
      <c r="Q611" s="4" t="s">
        <v>30</v>
      </c>
    </row>
    <row r="612" spans="1:17" x14ac:dyDescent="0.2">
      <c r="A612" s="4" t="s">
        <v>796</v>
      </c>
      <c r="B612">
        <v>611</v>
      </c>
      <c r="C612" s="4" t="s">
        <v>26</v>
      </c>
      <c r="D612" s="4" t="s">
        <v>50</v>
      </c>
      <c r="E612" s="4" t="s">
        <v>27</v>
      </c>
      <c r="F612" s="4" t="s">
        <v>2252</v>
      </c>
      <c r="G612">
        <v>15</v>
      </c>
      <c r="H612">
        <v>71</v>
      </c>
      <c r="I612" s="4" t="s">
        <v>190</v>
      </c>
      <c r="J612" s="4" t="s">
        <v>191</v>
      </c>
      <c r="K612" s="4" t="s">
        <v>179</v>
      </c>
      <c r="L612" s="4" t="s">
        <v>180</v>
      </c>
      <c r="M612" s="4" t="s">
        <v>192</v>
      </c>
      <c r="N612" s="4" t="s">
        <v>182</v>
      </c>
      <c r="O612" s="4" t="s">
        <v>183</v>
      </c>
      <c r="P612">
        <v>14057.08</v>
      </c>
      <c r="Q612" s="4" t="s">
        <v>30</v>
      </c>
    </row>
    <row r="613" spans="1:17" x14ac:dyDescent="0.2">
      <c r="A613" s="4" t="s">
        <v>797</v>
      </c>
      <c r="B613">
        <v>612</v>
      </c>
      <c r="C613" s="4" t="s">
        <v>26</v>
      </c>
      <c r="D613" s="4" t="s">
        <v>50</v>
      </c>
      <c r="E613" s="4" t="s">
        <v>27</v>
      </c>
      <c r="F613" s="4" t="s">
        <v>2252</v>
      </c>
      <c r="G613">
        <v>15</v>
      </c>
      <c r="H613">
        <v>71</v>
      </c>
      <c r="I613" s="4" t="s">
        <v>207</v>
      </c>
      <c r="J613" s="4" t="s">
        <v>208</v>
      </c>
      <c r="K613" s="4" t="s">
        <v>179</v>
      </c>
      <c r="L613" s="4" t="s">
        <v>180</v>
      </c>
      <c r="M613" s="4" t="s">
        <v>192</v>
      </c>
      <c r="N613" s="4" t="s">
        <v>182</v>
      </c>
      <c r="O613" s="4" t="s">
        <v>189</v>
      </c>
      <c r="P613">
        <v>-14057.08</v>
      </c>
      <c r="Q613" s="4" t="s">
        <v>30</v>
      </c>
    </row>
    <row r="614" spans="1:17" x14ac:dyDescent="0.2">
      <c r="A614" s="4" t="s">
        <v>798</v>
      </c>
      <c r="B614">
        <v>613</v>
      </c>
      <c r="C614" s="4" t="s">
        <v>26</v>
      </c>
      <c r="D614" s="4" t="s">
        <v>50</v>
      </c>
      <c r="E614" s="4" t="s">
        <v>27</v>
      </c>
      <c r="F614" s="4" t="s">
        <v>2252</v>
      </c>
      <c r="G614">
        <v>15</v>
      </c>
      <c r="H614">
        <v>71</v>
      </c>
      <c r="I614" s="4" t="s">
        <v>207</v>
      </c>
      <c r="J614" s="4" t="s">
        <v>208</v>
      </c>
      <c r="K614" s="4" t="s">
        <v>179</v>
      </c>
      <c r="L614" s="4" t="s">
        <v>180</v>
      </c>
      <c r="M614" s="4" t="s">
        <v>192</v>
      </c>
      <c r="N614" s="4" t="s">
        <v>182</v>
      </c>
      <c r="O614" s="4" t="s">
        <v>183</v>
      </c>
      <c r="P614">
        <v>12571.21</v>
      </c>
      <c r="Q614" s="4" t="s">
        <v>30</v>
      </c>
    </row>
    <row r="615" spans="1:17" x14ac:dyDescent="0.2">
      <c r="A615" s="4" t="s">
        <v>799</v>
      </c>
      <c r="B615">
        <v>614</v>
      </c>
      <c r="C615" s="4" t="s">
        <v>26</v>
      </c>
      <c r="D615" s="4" t="s">
        <v>50</v>
      </c>
      <c r="E615" s="4" t="s">
        <v>27</v>
      </c>
      <c r="F615" s="4" t="s">
        <v>2252</v>
      </c>
      <c r="G615">
        <v>15</v>
      </c>
      <c r="H615">
        <v>71</v>
      </c>
      <c r="I615" s="4" t="s">
        <v>193</v>
      </c>
      <c r="J615" s="4" t="s">
        <v>194</v>
      </c>
      <c r="K615" s="4" t="s">
        <v>179</v>
      </c>
      <c r="L615" s="4" t="s">
        <v>186</v>
      </c>
      <c r="M615" s="4" t="s">
        <v>195</v>
      </c>
      <c r="N615" s="4" t="s">
        <v>196</v>
      </c>
      <c r="O615" s="4" t="s">
        <v>189</v>
      </c>
      <c r="P615">
        <v>-81953.78</v>
      </c>
      <c r="Q615" s="4" t="s">
        <v>30</v>
      </c>
    </row>
    <row r="616" spans="1:17" x14ac:dyDescent="0.2">
      <c r="A616" s="4" t="s">
        <v>800</v>
      </c>
      <c r="B616">
        <v>615</v>
      </c>
      <c r="C616" s="4" t="s">
        <v>26</v>
      </c>
      <c r="D616" s="4" t="s">
        <v>50</v>
      </c>
      <c r="E616" s="4" t="s">
        <v>27</v>
      </c>
      <c r="F616" s="4" t="s">
        <v>2252</v>
      </c>
      <c r="G616">
        <v>15</v>
      </c>
      <c r="H616">
        <v>71</v>
      </c>
      <c r="I616" s="4" t="s">
        <v>197</v>
      </c>
      <c r="J616" s="4" t="s">
        <v>198</v>
      </c>
      <c r="K616" s="4" t="s">
        <v>179</v>
      </c>
      <c r="L616" s="4" t="s">
        <v>186</v>
      </c>
      <c r="M616" s="4" t="s">
        <v>195</v>
      </c>
      <c r="N616" s="4" t="s">
        <v>196</v>
      </c>
      <c r="O616" s="4" t="s">
        <v>189</v>
      </c>
      <c r="P616">
        <v>-80953.78</v>
      </c>
      <c r="Q616" s="4" t="s">
        <v>30</v>
      </c>
    </row>
    <row r="617" spans="1:17" x14ac:dyDescent="0.2">
      <c r="A617" s="4" t="s">
        <v>801</v>
      </c>
      <c r="B617">
        <v>616</v>
      </c>
      <c r="C617" s="4" t="s">
        <v>26</v>
      </c>
      <c r="D617" s="4" t="s">
        <v>50</v>
      </c>
      <c r="E617" s="4" t="s">
        <v>27</v>
      </c>
      <c r="F617" s="4" t="s">
        <v>2252</v>
      </c>
      <c r="G617">
        <v>15</v>
      </c>
      <c r="H617">
        <v>71</v>
      </c>
      <c r="I617" s="4" t="s">
        <v>197</v>
      </c>
      <c r="J617" s="4" t="s">
        <v>198</v>
      </c>
      <c r="K617" s="4" t="s">
        <v>179</v>
      </c>
      <c r="L617" s="4" t="s">
        <v>186</v>
      </c>
      <c r="M617" s="4" t="s">
        <v>195</v>
      </c>
      <c r="N617" s="4" t="s">
        <v>196</v>
      </c>
      <c r="O617" s="4" t="s">
        <v>183</v>
      </c>
      <c r="P617">
        <v>80953.78</v>
      </c>
      <c r="Q617" s="4" t="s">
        <v>30</v>
      </c>
    </row>
    <row r="618" spans="1:17" x14ac:dyDescent="0.2">
      <c r="A618" s="4" t="s">
        <v>802</v>
      </c>
      <c r="B618">
        <v>617</v>
      </c>
      <c r="C618" s="4" t="s">
        <v>26</v>
      </c>
      <c r="D618" s="4" t="s">
        <v>50</v>
      </c>
      <c r="E618" s="4" t="s">
        <v>27</v>
      </c>
      <c r="F618" s="4" t="s">
        <v>2252</v>
      </c>
      <c r="G618">
        <v>15</v>
      </c>
      <c r="H618">
        <v>71</v>
      </c>
      <c r="I618" s="4" t="s">
        <v>199</v>
      </c>
      <c r="J618" s="4" t="s">
        <v>200</v>
      </c>
      <c r="K618" s="4" t="s">
        <v>179</v>
      </c>
      <c r="L618" s="4" t="s">
        <v>186</v>
      </c>
      <c r="M618" s="4" t="s">
        <v>195</v>
      </c>
      <c r="N618" s="4" t="s">
        <v>196</v>
      </c>
      <c r="O618" s="4" t="s">
        <v>189</v>
      </c>
      <c r="P618">
        <v>-1000</v>
      </c>
      <c r="Q618" s="4" t="s">
        <v>30</v>
      </c>
    </row>
    <row r="619" spans="1:17" x14ac:dyDescent="0.2">
      <c r="A619" s="4" t="s">
        <v>803</v>
      </c>
      <c r="B619">
        <v>618</v>
      </c>
      <c r="C619" s="4" t="s">
        <v>26</v>
      </c>
      <c r="D619" s="4" t="s">
        <v>50</v>
      </c>
      <c r="E619" s="4" t="s">
        <v>27</v>
      </c>
      <c r="F619" s="4" t="s">
        <v>2252</v>
      </c>
      <c r="G619">
        <v>15</v>
      </c>
      <c r="H619">
        <v>71</v>
      </c>
      <c r="I619" s="4" t="s">
        <v>199</v>
      </c>
      <c r="J619" s="4" t="s">
        <v>200</v>
      </c>
      <c r="K619" s="4" t="s">
        <v>179</v>
      </c>
      <c r="L619" s="4" t="s">
        <v>186</v>
      </c>
      <c r="M619" s="4" t="s">
        <v>195</v>
      </c>
      <c r="N619" s="4" t="s">
        <v>196</v>
      </c>
      <c r="O619" s="4" t="s">
        <v>183</v>
      </c>
      <c r="P619">
        <v>1000</v>
      </c>
      <c r="Q619" s="4" t="s">
        <v>30</v>
      </c>
    </row>
    <row r="620" spans="1:17" x14ac:dyDescent="0.2">
      <c r="A620" s="4" t="s">
        <v>804</v>
      </c>
      <c r="B620">
        <v>619</v>
      </c>
      <c r="C620" s="4" t="s">
        <v>26</v>
      </c>
      <c r="D620" s="4" t="s">
        <v>50</v>
      </c>
      <c r="E620" s="4" t="s">
        <v>27</v>
      </c>
      <c r="F620" s="4" t="s">
        <v>2252</v>
      </c>
      <c r="G620">
        <v>15</v>
      </c>
      <c r="H620">
        <v>71</v>
      </c>
      <c r="I620" s="4" t="s">
        <v>209</v>
      </c>
      <c r="J620" s="4" t="s">
        <v>210</v>
      </c>
      <c r="K620" s="4" t="s">
        <v>205</v>
      </c>
      <c r="L620" s="4" t="s">
        <v>211</v>
      </c>
      <c r="M620" s="4" t="s">
        <v>182</v>
      </c>
      <c r="N620" s="4" t="s">
        <v>182</v>
      </c>
      <c r="O620" s="4" t="s">
        <v>183</v>
      </c>
      <c r="P620">
        <v>11097.47</v>
      </c>
      <c r="Q620" s="4" t="s">
        <v>30</v>
      </c>
    </row>
    <row r="621" spans="1:17" x14ac:dyDescent="0.2">
      <c r="A621" s="4" t="s">
        <v>805</v>
      </c>
      <c r="B621">
        <v>620</v>
      </c>
      <c r="C621" s="4" t="s">
        <v>26</v>
      </c>
      <c r="D621" s="4" t="s">
        <v>50</v>
      </c>
      <c r="E621" s="4" t="s">
        <v>27</v>
      </c>
      <c r="F621" s="4" t="s">
        <v>2252</v>
      </c>
      <c r="G621">
        <v>15</v>
      </c>
      <c r="H621">
        <v>71</v>
      </c>
      <c r="I621" s="4" t="s">
        <v>203</v>
      </c>
      <c r="J621" s="4" t="s">
        <v>204</v>
      </c>
      <c r="K621" s="4" t="s">
        <v>205</v>
      </c>
      <c r="L621" s="4" t="s">
        <v>206</v>
      </c>
      <c r="M621" s="4" t="s">
        <v>182</v>
      </c>
      <c r="N621" s="4" t="s">
        <v>182</v>
      </c>
      <c r="O621" s="4" t="s">
        <v>183</v>
      </c>
      <c r="P621">
        <v>300</v>
      </c>
      <c r="Q621" s="4" t="s">
        <v>30</v>
      </c>
    </row>
    <row r="622" spans="1:17" x14ac:dyDescent="0.2">
      <c r="A622" s="4" t="s">
        <v>806</v>
      </c>
      <c r="B622">
        <v>621</v>
      </c>
      <c r="C622" s="4" t="s">
        <v>26</v>
      </c>
      <c r="D622" s="4" t="s">
        <v>50</v>
      </c>
      <c r="E622" s="4" t="s">
        <v>27</v>
      </c>
      <c r="F622" s="4" t="s">
        <v>2252</v>
      </c>
      <c r="G622">
        <v>15</v>
      </c>
      <c r="H622">
        <v>71</v>
      </c>
      <c r="I622" s="4" t="s">
        <v>201</v>
      </c>
      <c r="J622" s="4" t="s">
        <v>202</v>
      </c>
      <c r="K622" s="4" t="s">
        <v>179</v>
      </c>
      <c r="L622" s="4" t="s">
        <v>180</v>
      </c>
      <c r="M622" s="4" t="s">
        <v>192</v>
      </c>
      <c r="N622" s="4" t="s">
        <v>182</v>
      </c>
      <c r="O622" s="4" t="s">
        <v>189</v>
      </c>
      <c r="P622">
        <v>-11097.48</v>
      </c>
      <c r="Q622" s="4" t="s">
        <v>30</v>
      </c>
    </row>
    <row r="623" spans="1:17" x14ac:dyDescent="0.2">
      <c r="A623" s="4" t="s">
        <v>807</v>
      </c>
      <c r="B623">
        <v>622</v>
      </c>
      <c r="C623" s="4" t="s">
        <v>26</v>
      </c>
      <c r="D623" s="4" t="s">
        <v>50</v>
      </c>
      <c r="E623" s="4" t="s">
        <v>27</v>
      </c>
      <c r="F623" s="4" t="s">
        <v>2252</v>
      </c>
      <c r="G623">
        <v>15</v>
      </c>
      <c r="H623">
        <v>71</v>
      </c>
      <c r="I623" s="4" t="s">
        <v>201</v>
      </c>
      <c r="J623" s="4" t="s">
        <v>202</v>
      </c>
      <c r="K623" s="4" t="s">
        <v>179</v>
      </c>
      <c r="L623" s="4" t="s">
        <v>180</v>
      </c>
      <c r="M623" s="4" t="s">
        <v>192</v>
      </c>
      <c r="N623" s="4" t="s">
        <v>182</v>
      </c>
      <c r="O623" s="4" t="s">
        <v>183</v>
      </c>
      <c r="P623">
        <v>81953.789999999994</v>
      </c>
      <c r="Q623" s="4" t="s">
        <v>30</v>
      </c>
    </row>
    <row r="624" spans="1:17" x14ac:dyDescent="0.2">
      <c r="A624" s="4" t="s">
        <v>808</v>
      </c>
      <c r="B624">
        <v>623</v>
      </c>
      <c r="C624" s="4" t="s">
        <v>26</v>
      </c>
      <c r="D624" s="4" t="s">
        <v>50</v>
      </c>
      <c r="E624" s="4" t="s">
        <v>27</v>
      </c>
      <c r="F624" s="4" t="s">
        <v>2252</v>
      </c>
      <c r="G624">
        <v>15</v>
      </c>
      <c r="H624">
        <v>71</v>
      </c>
      <c r="I624" s="4" t="s">
        <v>212</v>
      </c>
      <c r="J624" s="4" t="s">
        <v>213</v>
      </c>
      <c r="K624" s="4" t="s">
        <v>205</v>
      </c>
      <c r="L624" s="4" t="s">
        <v>214</v>
      </c>
      <c r="M624" s="4" t="s">
        <v>182</v>
      </c>
      <c r="N624" s="4" t="s">
        <v>182</v>
      </c>
      <c r="O624" s="4" t="s">
        <v>189</v>
      </c>
      <c r="P624">
        <v>-12571.21</v>
      </c>
      <c r="Q624" s="4" t="s">
        <v>30</v>
      </c>
    </row>
    <row r="625" spans="1:17" x14ac:dyDescent="0.2">
      <c r="A625" s="4" t="s">
        <v>809</v>
      </c>
      <c r="B625">
        <v>624</v>
      </c>
      <c r="C625" s="4" t="s">
        <v>26</v>
      </c>
      <c r="D625" s="4" t="s">
        <v>50</v>
      </c>
      <c r="E625" s="4" t="s">
        <v>32</v>
      </c>
      <c r="F625" s="4" t="s">
        <v>2277</v>
      </c>
      <c r="G625">
        <v>15</v>
      </c>
      <c r="H625">
        <v>72</v>
      </c>
      <c r="I625" s="4" t="s">
        <v>190</v>
      </c>
      <c r="J625" s="4" t="s">
        <v>191</v>
      </c>
      <c r="K625" s="4" t="s">
        <v>179</v>
      </c>
      <c r="L625" s="4" t="s">
        <v>180</v>
      </c>
      <c r="M625" s="4" t="s">
        <v>192</v>
      </c>
      <c r="N625" s="4" t="s">
        <v>182</v>
      </c>
      <c r="O625" s="4" t="s">
        <v>189</v>
      </c>
      <c r="P625">
        <v>-64801.41</v>
      </c>
      <c r="Q625" s="4" t="s">
        <v>30</v>
      </c>
    </row>
    <row r="626" spans="1:17" x14ac:dyDescent="0.2">
      <c r="A626" s="4" t="s">
        <v>810</v>
      </c>
      <c r="B626">
        <v>625</v>
      </c>
      <c r="C626" s="4" t="s">
        <v>26</v>
      </c>
      <c r="D626" s="4" t="s">
        <v>50</v>
      </c>
      <c r="E626" s="4" t="s">
        <v>32</v>
      </c>
      <c r="F626" s="4" t="s">
        <v>2277</v>
      </c>
      <c r="G626">
        <v>15</v>
      </c>
      <c r="H626">
        <v>72</v>
      </c>
      <c r="I626" s="4" t="s">
        <v>190</v>
      </c>
      <c r="J626" s="4" t="s">
        <v>191</v>
      </c>
      <c r="K626" s="4" t="s">
        <v>179</v>
      </c>
      <c r="L626" s="4" t="s">
        <v>180</v>
      </c>
      <c r="M626" s="4" t="s">
        <v>192</v>
      </c>
      <c r="N626" s="4" t="s">
        <v>182</v>
      </c>
      <c r="O626" s="4" t="s">
        <v>183</v>
      </c>
      <c r="P626">
        <v>38387.31</v>
      </c>
      <c r="Q626" s="4" t="s">
        <v>30</v>
      </c>
    </row>
    <row r="627" spans="1:17" x14ac:dyDescent="0.2">
      <c r="A627" s="4" t="s">
        <v>811</v>
      </c>
      <c r="B627">
        <v>626</v>
      </c>
      <c r="C627" s="4" t="s">
        <v>26</v>
      </c>
      <c r="D627" s="4" t="s">
        <v>50</v>
      </c>
      <c r="E627" s="4" t="s">
        <v>32</v>
      </c>
      <c r="F627" s="4" t="s">
        <v>2277</v>
      </c>
      <c r="G627">
        <v>15</v>
      </c>
      <c r="H627">
        <v>72</v>
      </c>
      <c r="I627" s="4" t="s">
        <v>207</v>
      </c>
      <c r="J627" s="4" t="s">
        <v>208</v>
      </c>
      <c r="K627" s="4" t="s">
        <v>179</v>
      </c>
      <c r="L627" s="4" t="s">
        <v>180</v>
      </c>
      <c r="M627" s="4" t="s">
        <v>192</v>
      </c>
      <c r="N627" s="4" t="s">
        <v>182</v>
      </c>
      <c r="O627" s="4" t="s">
        <v>189</v>
      </c>
      <c r="P627">
        <v>-38387.31</v>
      </c>
      <c r="Q627" s="4" t="s">
        <v>30</v>
      </c>
    </row>
    <row r="628" spans="1:17" x14ac:dyDescent="0.2">
      <c r="A628" s="4" t="s">
        <v>812</v>
      </c>
      <c r="B628">
        <v>627</v>
      </c>
      <c r="C628" s="4" t="s">
        <v>26</v>
      </c>
      <c r="D628" s="4" t="s">
        <v>50</v>
      </c>
      <c r="E628" s="4" t="s">
        <v>32</v>
      </c>
      <c r="F628" s="4" t="s">
        <v>2277</v>
      </c>
      <c r="G628">
        <v>15</v>
      </c>
      <c r="H628">
        <v>72</v>
      </c>
      <c r="I628" s="4" t="s">
        <v>207</v>
      </c>
      <c r="J628" s="4" t="s">
        <v>208</v>
      </c>
      <c r="K628" s="4" t="s">
        <v>179</v>
      </c>
      <c r="L628" s="4" t="s">
        <v>180</v>
      </c>
      <c r="M628" s="4" t="s">
        <v>192</v>
      </c>
      <c r="N628" s="4" t="s">
        <v>182</v>
      </c>
      <c r="O628" s="4" t="s">
        <v>183</v>
      </c>
      <c r="P628">
        <v>15621.22</v>
      </c>
      <c r="Q628" s="4" t="s">
        <v>30</v>
      </c>
    </row>
    <row r="629" spans="1:17" x14ac:dyDescent="0.2">
      <c r="A629" s="4" t="s">
        <v>813</v>
      </c>
      <c r="B629">
        <v>628</v>
      </c>
      <c r="C629" s="4" t="s">
        <v>26</v>
      </c>
      <c r="D629" s="4" t="s">
        <v>50</v>
      </c>
      <c r="E629" s="4" t="s">
        <v>32</v>
      </c>
      <c r="F629" s="4" t="s">
        <v>2277</v>
      </c>
      <c r="G629">
        <v>15</v>
      </c>
      <c r="H629">
        <v>72</v>
      </c>
      <c r="I629" s="4" t="s">
        <v>193</v>
      </c>
      <c r="J629" s="4" t="s">
        <v>194</v>
      </c>
      <c r="K629" s="4" t="s">
        <v>179</v>
      </c>
      <c r="L629" s="4" t="s">
        <v>186</v>
      </c>
      <c r="M629" s="4" t="s">
        <v>195</v>
      </c>
      <c r="N629" s="4" t="s">
        <v>196</v>
      </c>
      <c r="O629" s="4" t="s">
        <v>183</v>
      </c>
      <c r="P629">
        <v>64801.41</v>
      </c>
      <c r="Q629" s="4" t="s">
        <v>30</v>
      </c>
    </row>
    <row r="630" spans="1:17" x14ac:dyDescent="0.2">
      <c r="A630" s="4" t="s">
        <v>814</v>
      </c>
      <c r="B630">
        <v>629</v>
      </c>
      <c r="C630" s="4" t="s">
        <v>26</v>
      </c>
      <c r="D630" s="4" t="s">
        <v>50</v>
      </c>
      <c r="E630" s="4" t="s">
        <v>32</v>
      </c>
      <c r="F630" s="4" t="s">
        <v>2277</v>
      </c>
      <c r="G630">
        <v>15</v>
      </c>
      <c r="H630">
        <v>72</v>
      </c>
      <c r="I630" s="4" t="s">
        <v>209</v>
      </c>
      <c r="J630" s="4" t="s">
        <v>210</v>
      </c>
      <c r="K630" s="4" t="s">
        <v>205</v>
      </c>
      <c r="L630" s="4" t="s">
        <v>211</v>
      </c>
      <c r="M630" s="4" t="s">
        <v>182</v>
      </c>
      <c r="N630" s="4" t="s">
        <v>182</v>
      </c>
      <c r="O630" s="4" t="s">
        <v>183</v>
      </c>
      <c r="P630">
        <v>13505.91</v>
      </c>
      <c r="Q630" s="4" t="s">
        <v>30</v>
      </c>
    </row>
    <row r="631" spans="1:17" x14ac:dyDescent="0.2">
      <c r="A631" s="4" t="s">
        <v>815</v>
      </c>
      <c r="B631">
        <v>630</v>
      </c>
      <c r="C631" s="4" t="s">
        <v>26</v>
      </c>
      <c r="D631" s="4" t="s">
        <v>50</v>
      </c>
      <c r="E631" s="4" t="s">
        <v>32</v>
      </c>
      <c r="F631" s="4" t="s">
        <v>2277</v>
      </c>
      <c r="G631">
        <v>15</v>
      </c>
      <c r="H631">
        <v>72</v>
      </c>
      <c r="I631" s="4" t="s">
        <v>201</v>
      </c>
      <c r="J631" s="4" t="s">
        <v>202</v>
      </c>
      <c r="K631" s="4" t="s">
        <v>179</v>
      </c>
      <c r="L631" s="4" t="s">
        <v>180</v>
      </c>
      <c r="M631" s="4" t="s">
        <v>192</v>
      </c>
      <c r="N631" s="4" t="s">
        <v>182</v>
      </c>
      <c r="O631" s="4" t="s">
        <v>189</v>
      </c>
      <c r="P631">
        <v>-13505.91</v>
      </c>
      <c r="Q631" s="4" t="s">
        <v>30</v>
      </c>
    </row>
    <row r="632" spans="1:17" x14ac:dyDescent="0.2">
      <c r="A632" s="4" t="s">
        <v>816</v>
      </c>
      <c r="B632">
        <v>631</v>
      </c>
      <c r="C632" s="4" t="s">
        <v>26</v>
      </c>
      <c r="D632" s="4" t="s">
        <v>50</v>
      </c>
      <c r="E632" s="4" t="s">
        <v>32</v>
      </c>
      <c r="F632" s="4" t="s">
        <v>2277</v>
      </c>
      <c r="G632">
        <v>15</v>
      </c>
      <c r="H632">
        <v>72</v>
      </c>
      <c r="I632" s="4" t="s">
        <v>212</v>
      </c>
      <c r="J632" s="4" t="s">
        <v>213</v>
      </c>
      <c r="K632" s="4" t="s">
        <v>205</v>
      </c>
      <c r="L632" s="4" t="s">
        <v>214</v>
      </c>
      <c r="M632" s="4" t="s">
        <v>182</v>
      </c>
      <c r="N632" s="4" t="s">
        <v>182</v>
      </c>
      <c r="O632" s="4" t="s">
        <v>189</v>
      </c>
      <c r="P632">
        <v>-15621.22</v>
      </c>
      <c r="Q632" s="4" t="s">
        <v>30</v>
      </c>
    </row>
    <row r="633" spans="1:17" x14ac:dyDescent="0.2">
      <c r="A633" s="4" t="s">
        <v>817</v>
      </c>
      <c r="B633">
        <v>632</v>
      </c>
      <c r="C633" s="4" t="s">
        <v>26</v>
      </c>
      <c r="D633" s="4" t="s">
        <v>50</v>
      </c>
      <c r="E633" s="4" t="s">
        <v>35</v>
      </c>
      <c r="F633" s="4" t="s">
        <v>2278</v>
      </c>
      <c r="G633">
        <v>15</v>
      </c>
      <c r="H633">
        <v>73</v>
      </c>
      <c r="I633" s="4" t="s">
        <v>190</v>
      </c>
      <c r="J633" s="4" t="s">
        <v>191</v>
      </c>
      <c r="K633" s="4" t="s">
        <v>179</v>
      </c>
      <c r="L633" s="4" t="s">
        <v>180</v>
      </c>
      <c r="M633" s="4" t="s">
        <v>192</v>
      </c>
      <c r="N633" s="4" t="s">
        <v>182</v>
      </c>
      <c r="O633" s="4" t="s">
        <v>189</v>
      </c>
      <c r="P633">
        <v>-300</v>
      </c>
      <c r="Q633" s="4" t="s">
        <v>30</v>
      </c>
    </row>
    <row r="634" spans="1:17" x14ac:dyDescent="0.2">
      <c r="A634" s="4" t="s">
        <v>818</v>
      </c>
      <c r="B634">
        <v>633</v>
      </c>
      <c r="C634" s="4" t="s">
        <v>26</v>
      </c>
      <c r="D634" s="4" t="s">
        <v>50</v>
      </c>
      <c r="E634" s="4" t="s">
        <v>35</v>
      </c>
      <c r="F634" s="4" t="s">
        <v>2278</v>
      </c>
      <c r="G634">
        <v>15</v>
      </c>
      <c r="H634">
        <v>73</v>
      </c>
      <c r="I634" s="4" t="s">
        <v>190</v>
      </c>
      <c r="J634" s="4" t="s">
        <v>191</v>
      </c>
      <c r="K634" s="4" t="s">
        <v>179</v>
      </c>
      <c r="L634" s="4" t="s">
        <v>180</v>
      </c>
      <c r="M634" s="4" t="s">
        <v>192</v>
      </c>
      <c r="N634" s="4" t="s">
        <v>182</v>
      </c>
      <c r="O634" s="4" t="s">
        <v>183</v>
      </c>
      <c r="P634">
        <v>14781.96</v>
      </c>
      <c r="Q634" s="4" t="s">
        <v>30</v>
      </c>
    </row>
    <row r="635" spans="1:17" x14ac:dyDescent="0.2">
      <c r="A635" s="4" t="s">
        <v>819</v>
      </c>
      <c r="B635">
        <v>634</v>
      </c>
      <c r="C635" s="4" t="s">
        <v>26</v>
      </c>
      <c r="D635" s="4" t="s">
        <v>50</v>
      </c>
      <c r="E635" s="4" t="s">
        <v>35</v>
      </c>
      <c r="F635" s="4" t="s">
        <v>2278</v>
      </c>
      <c r="G635">
        <v>15</v>
      </c>
      <c r="H635">
        <v>73</v>
      </c>
      <c r="I635" s="4" t="s">
        <v>207</v>
      </c>
      <c r="J635" s="4" t="s">
        <v>208</v>
      </c>
      <c r="K635" s="4" t="s">
        <v>179</v>
      </c>
      <c r="L635" s="4" t="s">
        <v>180</v>
      </c>
      <c r="M635" s="4" t="s">
        <v>192</v>
      </c>
      <c r="N635" s="4" t="s">
        <v>182</v>
      </c>
      <c r="O635" s="4" t="s">
        <v>189</v>
      </c>
      <c r="P635">
        <v>-14781.96</v>
      </c>
      <c r="Q635" s="4" t="s">
        <v>30</v>
      </c>
    </row>
    <row r="636" spans="1:17" x14ac:dyDescent="0.2">
      <c r="A636" s="4" t="s">
        <v>820</v>
      </c>
      <c r="B636">
        <v>635</v>
      </c>
      <c r="C636" s="4" t="s">
        <v>26</v>
      </c>
      <c r="D636" s="4" t="s">
        <v>50</v>
      </c>
      <c r="E636" s="4" t="s">
        <v>35</v>
      </c>
      <c r="F636" s="4" t="s">
        <v>2278</v>
      </c>
      <c r="G636">
        <v>15</v>
      </c>
      <c r="H636">
        <v>73</v>
      </c>
      <c r="I636" s="4" t="s">
        <v>207</v>
      </c>
      <c r="J636" s="4" t="s">
        <v>208</v>
      </c>
      <c r="K636" s="4" t="s">
        <v>179</v>
      </c>
      <c r="L636" s="4" t="s">
        <v>180</v>
      </c>
      <c r="M636" s="4" t="s">
        <v>192</v>
      </c>
      <c r="N636" s="4" t="s">
        <v>182</v>
      </c>
      <c r="O636" s="4" t="s">
        <v>183</v>
      </c>
      <c r="P636">
        <v>22511.57</v>
      </c>
      <c r="Q636" s="4" t="s">
        <v>30</v>
      </c>
    </row>
    <row r="637" spans="1:17" x14ac:dyDescent="0.2">
      <c r="A637" s="4" t="s">
        <v>821</v>
      </c>
      <c r="B637">
        <v>636</v>
      </c>
      <c r="C637" s="4" t="s">
        <v>26</v>
      </c>
      <c r="D637" s="4" t="s">
        <v>50</v>
      </c>
      <c r="E637" s="4" t="s">
        <v>35</v>
      </c>
      <c r="F637" s="4" t="s">
        <v>2278</v>
      </c>
      <c r="G637">
        <v>15</v>
      </c>
      <c r="H637">
        <v>73</v>
      </c>
      <c r="I637" s="4" t="s">
        <v>209</v>
      </c>
      <c r="J637" s="4" t="s">
        <v>210</v>
      </c>
      <c r="K637" s="4" t="s">
        <v>205</v>
      </c>
      <c r="L637" s="4" t="s">
        <v>211</v>
      </c>
      <c r="M637" s="4" t="s">
        <v>182</v>
      </c>
      <c r="N637" s="4" t="s">
        <v>182</v>
      </c>
      <c r="O637" s="4" t="s">
        <v>183</v>
      </c>
      <c r="P637">
        <v>19455.54</v>
      </c>
      <c r="Q637" s="4" t="s">
        <v>30</v>
      </c>
    </row>
    <row r="638" spans="1:17" x14ac:dyDescent="0.2">
      <c r="A638" s="4" t="s">
        <v>822</v>
      </c>
      <c r="B638">
        <v>637</v>
      </c>
      <c r="C638" s="4" t="s">
        <v>26</v>
      </c>
      <c r="D638" s="4" t="s">
        <v>50</v>
      </c>
      <c r="E638" s="4" t="s">
        <v>35</v>
      </c>
      <c r="F638" s="4" t="s">
        <v>2278</v>
      </c>
      <c r="G638">
        <v>15</v>
      </c>
      <c r="H638">
        <v>73</v>
      </c>
      <c r="I638" s="4" t="s">
        <v>203</v>
      </c>
      <c r="J638" s="4" t="s">
        <v>204</v>
      </c>
      <c r="K638" s="4" t="s">
        <v>205</v>
      </c>
      <c r="L638" s="4" t="s">
        <v>206</v>
      </c>
      <c r="M638" s="4" t="s">
        <v>182</v>
      </c>
      <c r="N638" s="4" t="s">
        <v>182</v>
      </c>
      <c r="O638" s="4" t="s">
        <v>183</v>
      </c>
      <c r="P638">
        <v>300</v>
      </c>
      <c r="Q638" s="4" t="s">
        <v>30</v>
      </c>
    </row>
    <row r="639" spans="1:17" x14ac:dyDescent="0.2">
      <c r="A639" s="4" t="s">
        <v>823</v>
      </c>
      <c r="B639">
        <v>638</v>
      </c>
      <c r="C639" s="4" t="s">
        <v>26</v>
      </c>
      <c r="D639" s="4" t="s">
        <v>50</v>
      </c>
      <c r="E639" s="4" t="s">
        <v>35</v>
      </c>
      <c r="F639" s="4" t="s">
        <v>2278</v>
      </c>
      <c r="G639">
        <v>15</v>
      </c>
      <c r="H639">
        <v>73</v>
      </c>
      <c r="I639" s="4" t="s">
        <v>201</v>
      </c>
      <c r="J639" s="4" t="s">
        <v>202</v>
      </c>
      <c r="K639" s="4" t="s">
        <v>179</v>
      </c>
      <c r="L639" s="4" t="s">
        <v>180</v>
      </c>
      <c r="M639" s="4" t="s">
        <v>192</v>
      </c>
      <c r="N639" s="4" t="s">
        <v>182</v>
      </c>
      <c r="O639" s="4" t="s">
        <v>189</v>
      </c>
      <c r="P639">
        <v>-19455.54</v>
      </c>
      <c r="Q639" s="4" t="s">
        <v>30</v>
      </c>
    </row>
    <row r="640" spans="1:17" x14ac:dyDescent="0.2">
      <c r="A640" s="4" t="s">
        <v>824</v>
      </c>
      <c r="B640">
        <v>639</v>
      </c>
      <c r="C640" s="4" t="s">
        <v>26</v>
      </c>
      <c r="D640" s="4" t="s">
        <v>50</v>
      </c>
      <c r="E640" s="4" t="s">
        <v>35</v>
      </c>
      <c r="F640" s="4" t="s">
        <v>2278</v>
      </c>
      <c r="G640">
        <v>15</v>
      </c>
      <c r="H640">
        <v>73</v>
      </c>
      <c r="I640" s="4" t="s">
        <v>212</v>
      </c>
      <c r="J640" s="4" t="s">
        <v>213</v>
      </c>
      <c r="K640" s="4" t="s">
        <v>205</v>
      </c>
      <c r="L640" s="4" t="s">
        <v>214</v>
      </c>
      <c r="M640" s="4" t="s">
        <v>182</v>
      </c>
      <c r="N640" s="4" t="s">
        <v>182</v>
      </c>
      <c r="O640" s="4" t="s">
        <v>189</v>
      </c>
      <c r="P640">
        <v>-22511.57</v>
      </c>
      <c r="Q640" s="4" t="s">
        <v>30</v>
      </c>
    </row>
    <row r="641" spans="1:17" x14ac:dyDescent="0.2">
      <c r="A641" s="4" t="s">
        <v>825</v>
      </c>
      <c r="B641">
        <v>640</v>
      </c>
      <c r="C641" s="4" t="s">
        <v>26</v>
      </c>
      <c r="D641" s="4" t="s">
        <v>50</v>
      </c>
      <c r="E641" s="4" t="s">
        <v>38</v>
      </c>
      <c r="F641" s="4" t="s">
        <v>2340</v>
      </c>
      <c r="G641">
        <v>15</v>
      </c>
      <c r="H641">
        <v>74</v>
      </c>
      <c r="I641" s="4" t="s">
        <v>190</v>
      </c>
      <c r="J641" s="4" t="s">
        <v>191</v>
      </c>
      <c r="K641" s="4" t="s">
        <v>179</v>
      </c>
      <c r="L641" s="4" t="s">
        <v>180</v>
      </c>
      <c r="M641" s="4" t="s">
        <v>192</v>
      </c>
      <c r="N641" s="4" t="s">
        <v>182</v>
      </c>
      <c r="O641" s="4" t="s">
        <v>183</v>
      </c>
      <c r="P641">
        <v>27700.89</v>
      </c>
      <c r="Q641" s="4" t="s">
        <v>30</v>
      </c>
    </row>
    <row r="642" spans="1:17" x14ac:dyDescent="0.2">
      <c r="A642" s="4" t="s">
        <v>826</v>
      </c>
      <c r="B642">
        <v>641</v>
      </c>
      <c r="C642" s="4" t="s">
        <v>26</v>
      </c>
      <c r="D642" s="4" t="s">
        <v>50</v>
      </c>
      <c r="E642" s="4" t="s">
        <v>38</v>
      </c>
      <c r="F642" s="4" t="s">
        <v>2340</v>
      </c>
      <c r="G642">
        <v>15</v>
      </c>
      <c r="H642">
        <v>74</v>
      </c>
      <c r="I642" s="4" t="s">
        <v>207</v>
      </c>
      <c r="J642" s="4" t="s">
        <v>208</v>
      </c>
      <c r="K642" s="4" t="s">
        <v>179</v>
      </c>
      <c r="L642" s="4" t="s">
        <v>180</v>
      </c>
      <c r="M642" s="4" t="s">
        <v>192</v>
      </c>
      <c r="N642" s="4" t="s">
        <v>182</v>
      </c>
      <c r="O642" s="4" t="s">
        <v>189</v>
      </c>
      <c r="P642">
        <v>-27700.89</v>
      </c>
      <c r="Q642" s="4" t="s">
        <v>30</v>
      </c>
    </row>
    <row r="643" spans="1:17" x14ac:dyDescent="0.2">
      <c r="A643" s="4" t="s">
        <v>827</v>
      </c>
      <c r="B643">
        <v>642</v>
      </c>
      <c r="C643" s="4" t="s">
        <v>26</v>
      </c>
      <c r="D643" s="4" t="s">
        <v>50</v>
      </c>
      <c r="E643" s="4" t="s">
        <v>38</v>
      </c>
      <c r="F643" s="4" t="s">
        <v>2340</v>
      </c>
      <c r="G643">
        <v>15</v>
      </c>
      <c r="H643">
        <v>74</v>
      </c>
      <c r="I643" s="4" t="s">
        <v>207</v>
      </c>
      <c r="J643" s="4" t="s">
        <v>208</v>
      </c>
      <c r="K643" s="4" t="s">
        <v>179</v>
      </c>
      <c r="L643" s="4" t="s">
        <v>180</v>
      </c>
      <c r="M643" s="4" t="s">
        <v>192</v>
      </c>
      <c r="N643" s="4" t="s">
        <v>182</v>
      </c>
      <c r="O643" s="4" t="s">
        <v>183</v>
      </c>
      <c r="P643">
        <v>15972.21</v>
      </c>
      <c r="Q643" s="4" t="s">
        <v>30</v>
      </c>
    </row>
    <row r="644" spans="1:17" x14ac:dyDescent="0.2">
      <c r="A644" s="4" t="s">
        <v>828</v>
      </c>
      <c r="B644">
        <v>643</v>
      </c>
      <c r="C644" s="4" t="s">
        <v>26</v>
      </c>
      <c r="D644" s="4" t="s">
        <v>50</v>
      </c>
      <c r="E644" s="4" t="s">
        <v>38</v>
      </c>
      <c r="F644" s="4" t="s">
        <v>2340</v>
      </c>
      <c r="G644">
        <v>15</v>
      </c>
      <c r="H644">
        <v>74</v>
      </c>
      <c r="I644" s="4" t="s">
        <v>209</v>
      </c>
      <c r="J644" s="4" t="s">
        <v>210</v>
      </c>
      <c r="K644" s="4" t="s">
        <v>205</v>
      </c>
      <c r="L644" s="4" t="s">
        <v>211</v>
      </c>
      <c r="M644" s="4" t="s">
        <v>182</v>
      </c>
      <c r="N644" s="4" t="s">
        <v>182</v>
      </c>
      <c r="O644" s="4" t="s">
        <v>183</v>
      </c>
      <c r="P644">
        <v>14030.3</v>
      </c>
      <c r="Q644" s="4" t="s">
        <v>30</v>
      </c>
    </row>
    <row r="645" spans="1:17" x14ac:dyDescent="0.2">
      <c r="A645" s="4" t="s">
        <v>829</v>
      </c>
      <c r="B645">
        <v>644</v>
      </c>
      <c r="C645" s="4" t="s">
        <v>26</v>
      </c>
      <c r="D645" s="4" t="s">
        <v>50</v>
      </c>
      <c r="E645" s="4" t="s">
        <v>38</v>
      </c>
      <c r="F645" s="4" t="s">
        <v>2340</v>
      </c>
      <c r="G645">
        <v>15</v>
      </c>
      <c r="H645">
        <v>74</v>
      </c>
      <c r="I645" s="4" t="s">
        <v>201</v>
      </c>
      <c r="J645" s="4" t="s">
        <v>202</v>
      </c>
      <c r="K645" s="4" t="s">
        <v>179</v>
      </c>
      <c r="L645" s="4" t="s">
        <v>180</v>
      </c>
      <c r="M645" s="4" t="s">
        <v>192</v>
      </c>
      <c r="N645" s="4" t="s">
        <v>182</v>
      </c>
      <c r="O645" s="4" t="s">
        <v>189</v>
      </c>
      <c r="P645">
        <v>-14030.3</v>
      </c>
      <c r="Q645" s="4" t="s">
        <v>30</v>
      </c>
    </row>
    <row r="646" spans="1:17" x14ac:dyDescent="0.2">
      <c r="A646" s="4" t="s">
        <v>830</v>
      </c>
      <c r="B646">
        <v>645</v>
      </c>
      <c r="C646" s="4" t="s">
        <v>26</v>
      </c>
      <c r="D646" s="4" t="s">
        <v>50</v>
      </c>
      <c r="E646" s="4" t="s">
        <v>38</v>
      </c>
      <c r="F646" s="4" t="s">
        <v>2340</v>
      </c>
      <c r="G646">
        <v>15</v>
      </c>
      <c r="H646">
        <v>74</v>
      </c>
      <c r="I646" s="4" t="s">
        <v>212</v>
      </c>
      <c r="J646" s="4" t="s">
        <v>213</v>
      </c>
      <c r="K646" s="4" t="s">
        <v>205</v>
      </c>
      <c r="L646" s="4" t="s">
        <v>214</v>
      </c>
      <c r="M646" s="4" t="s">
        <v>182</v>
      </c>
      <c r="N646" s="4" t="s">
        <v>182</v>
      </c>
      <c r="O646" s="4" t="s">
        <v>189</v>
      </c>
      <c r="P646">
        <v>-15972.21</v>
      </c>
      <c r="Q646" s="4" t="s">
        <v>30</v>
      </c>
    </row>
    <row r="647" spans="1:17" x14ac:dyDescent="0.2">
      <c r="A647" s="4" t="s">
        <v>831</v>
      </c>
      <c r="B647">
        <v>646</v>
      </c>
      <c r="C647" s="4" t="s">
        <v>26</v>
      </c>
      <c r="D647" s="4" t="s">
        <v>50</v>
      </c>
      <c r="E647" s="4" t="s">
        <v>41</v>
      </c>
      <c r="F647" s="4" t="s">
        <v>2370</v>
      </c>
      <c r="G647">
        <v>15</v>
      </c>
      <c r="H647">
        <v>75</v>
      </c>
      <c r="I647" s="4" t="s">
        <v>190</v>
      </c>
      <c r="J647" s="4" t="s">
        <v>191</v>
      </c>
      <c r="K647" s="4" t="s">
        <v>179</v>
      </c>
      <c r="L647" s="4" t="s">
        <v>180</v>
      </c>
      <c r="M647" s="4" t="s">
        <v>192</v>
      </c>
      <c r="N647" s="4" t="s">
        <v>182</v>
      </c>
      <c r="O647" s="4" t="s">
        <v>189</v>
      </c>
      <c r="P647">
        <v>-300</v>
      </c>
      <c r="Q647" s="4" t="s">
        <v>30</v>
      </c>
    </row>
    <row r="648" spans="1:17" x14ac:dyDescent="0.2">
      <c r="A648" s="4" t="s">
        <v>832</v>
      </c>
      <c r="B648">
        <v>647</v>
      </c>
      <c r="C648" s="4" t="s">
        <v>26</v>
      </c>
      <c r="D648" s="4" t="s">
        <v>50</v>
      </c>
      <c r="E648" s="4" t="s">
        <v>41</v>
      </c>
      <c r="F648" s="4" t="s">
        <v>2370</v>
      </c>
      <c r="G648">
        <v>15</v>
      </c>
      <c r="H648">
        <v>75</v>
      </c>
      <c r="I648" s="4" t="s">
        <v>190</v>
      </c>
      <c r="J648" s="4" t="s">
        <v>191</v>
      </c>
      <c r="K648" s="4" t="s">
        <v>179</v>
      </c>
      <c r="L648" s="4" t="s">
        <v>180</v>
      </c>
      <c r="M648" s="4" t="s">
        <v>192</v>
      </c>
      <c r="N648" s="4" t="s">
        <v>182</v>
      </c>
      <c r="O648" s="4" t="s">
        <v>183</v>
      </c>
      <c r="P648">
        <v>12571.21</v>
      </c>
      <c r="Q648" s="4" t="s">
        <v>30</v>
      </c>
    </row>
    <row r="649" spans="1:17" x14ac:dyDescent="0.2">
      <c r="A649" s="4" t="s">
        <v>833</v>
      </c>
      <c r="B649">
        <v>648</v>
      </c>
      <c r="C649" s="4" t="s">
        <v>26</v>
      </c>
      <c r="D649" s="4" t="s">
        <v>50</v>
      </c>
      <c r="E649" s="4" t="s">
        <v>41</v>
      </c>
      <c r="F649" s="4" t="s">
        <v>2370</v>
      </c>
      <c r="G649">
        <v>15</v>
      </c>
      <c r="H649">
        <v>75</v>
      </c>
      <c r="I649" s="4" t="s">
        <v>207</v>
      </c>
      <c r="J649" s="4" t="s">
        <v>208</v>
      </c>
      <c r="K649" s="4" t="s">
        <v>179</v>
      </c>
      <c r="L649" s="4" t="s">
        <v>180</v>
      </c>
      <c r="M649" s="4" t="s">
        <v>192</v>
      </c>
      <c r="N649" s="4" t="s">
        <v>182</v>
      </c>
      <c r="O649" s="4" t="s">
        <v>189</v>
      </c>
      <c r="P649">
        <v>-12571.21</v>
      </c>
      <c r="Q649" s="4" t="s">
        <v>30</v>
      </c>
    </row>
    <row r="650" spans="1:17" x14ac:dyDescent="0.2">
      <c r="A650" s="4" t="s">
        <v>834</v>
      </c>
      <c r="B650">
        <v>649</v>
      </c>
      <c r="C650" s="4" t="s">
        <v>26</v>
      </c>
      <c r="D650" s="4" t="s">
        <v>50</v>
      </c>
      <c r="E650" s="4" t="s">
        <v>41</v>
      </c>
      <c r="F650" s="4" t="s">
        <v>2370</v>
      </c>
      <c r="G650">
        <v>15</v>
      </c>
      <c r="H650">
        <v>75</v>
      </c>
      <c r="I650" s="4" t="s">
        <v>207</v>
      </c>
      <c r="J650" s="4" t="s">
        <v>208</v>
      </c>
      <c r="K650" s="4" t="s">
        <v>179</v>
      </c>
      <c r="L650" s="4" t="s">
        <v>180</v>
      </c>
      <c r="M650" s="4" t="s">
        <v>192</v>
      </c>
      <c r="N650" s="4" t="s">
        <v>182</v>
      </c>
      <c r="O650" s="4" t="s">
        <v>183</v>
      </c>
      <c r="P650">
        <v>26643.7</v>
      </c>
      <c r="Q650" s="4" t="s">
        <v>30</v>
      </c>
    </row>
    <row r="651" spans="1:17" x14ac:dyDescent="0.2">
      <c r="A651" s="4" t="s">
        <v>835</v>
      </c>
      <c r="B651">
        <v>650</v>
      </c>
      <c r="C651" s="4" t="s">
        <v>26</v>
      </c>
      <c r="D651" s="4" t="s">
        <v>50</v>
      </c>
      <c r="E651" s="4" t="s">
        <v>41</v>
      </c>
      <c r="F651" s="4" t="s">
        <v>2370</v>
      </c>
      <c r="G651">
        <v>15</v>
      </c>
      <c r="H651">
        <v>75</v>
      </c>
      <c r="I651" s="4" t="s">
        <v>209</v>
      </c>
      <c r="J651" s="4" t="s">
        <v>210</v>
      </c>
      <c r="K651" s="4" t="s">
        <v>205</v>
      </c>
      <c r="L651" s="4" t="s">
        <v>211</v>
      </c>
      <c r="M651" s="4" t="s">
        <v>182</v>
      </c>
      <c r="N651" s="4" t="s">
        <v>182</v>
      </c>
      <c r="O651" s="4" t="s">
        <v>183</v>
      </c>
      <c r="P651">
        <v>23238.92</v>
      </c>
      <c r="Q651" s="4" t="s">
        <v>30</v>
      </c>
    </row>
    <row r="652" spans="1:17" x14ac:dyDescent="0.2">
      <c r="A652" s="4" t="s">
        <v>836</v>
      </c>
      <c r="B652">
        <v>651</v>
      </c>
      <c r="C652" s="4" t="s">
        <v>26</v>
      </c>
      <c r="D652" s="4" t="s">
        <v>50</v>
      </c>
      <c r="E652" s="4" t="s">
        <v>41</v>
      </c>
      <c r="F652" s="4" t="s">
        <v>2370</v>
      </c>
      <c r="G652">
        <v>15</v>
      </c>
      <c r="H652">
        <v>75</v>
      </c>
      <c r="I652" s="4" t="s">
        <v>203</v>
      </c>
      <c r="J652" s="4" t="s">
        <v>204</v>
      </c>
      <c r="K652" s="4" t="s">
        <v>205</v>
      </c>
      <c r="L652" s="4" t="s">
        <v>206</v>
      </c>
      <c r="M652" s="4" t="s">
        <v>182</v>
      </c>
      <c r="N652" s="4" t="s">
        <v>182</v>
      </c>
      <c r="O652" s="4" t="s">
        <v>183</v>
      </c>
      <c r="P652">
        <v>300</v>
      </c>
      <c r="Q652" s="4" t="s">
        <v>30</v>
      </c>
    </row>
    <row r="653" spans="1:17" x14ac:dyDescent="0.2">
      <c r="A653" s="4" t="s">
        <v>837</v>
      </c>
      <c r="B653">
        <v>652</v>
      </c>
      <c r="C653" s="4" t="s">
        <v>26</v>
      </c>
      <c r="D653" s="4" t="s">
        <v>50</v>
      </c>
      <c r="E653" s="4" t="s">
        <v>41</v>
      </c>
      <c r="F653" s="4" t="s">
        <v>2370</v>
      </c>
      <c r="G653">
        <v>15</v>
      </c>
      <c r="H653">
        <v>75</v>
      </c>
      <c r="I653" s="4" t="s">
        <v>201</v>
      </c>
      <c r="J653" s="4" t="s">
        <v>202</v>
      </c>
      <c r="K653" s="4" t="s">
        <v>179</v>
      </c>
      <c r="L653" s="4" t="s">
        <v>180</v>
      </c>
      <c r="M653" s="4" t="s">
        <v>192</v>
      </c>
      <c r="N653" s="4" t="s">
        <v>182</v>
      </c>
      <c r="O653" s="4" t="s">
        <v>189</v>
      </c>
      <c r="P653">
        <v>-23238.92</v>
      </c>
      <c r="Q653" s="4" t="s">
        <v>30</v>
      </c>
    </row>
    <row r="654" spans="1:17" x14ac:dyDescent="0.2">
      <c r="A654" s="4" t="s">
        <v>838</v>
      </c>
      <c r="B654">
        <v>653</v>
      </c>
      <c r="C654" s="4" t="s">
        <v>26</v>
      </c>
      <c r="D654" s="4" t="s">
        <v>50</v>
      </c>
      <c r="E654" s="4" t="s">
        <v>41</v>
      </c>
      <c r="F654" s="4" t="s">
        <v>2370</v>
      </c>
      <c r="G654">
        <v>15</v>
      </c>
      <c r="H654">
        <v>75</v>
      </c>
      <c r="I654" s="4" t="s">
        <v>212</v>
      </c>
      <c r="J654" s="4" t="s">
        <v>213</v>
      </c>
      <c r="K654" s="4" t="s">
        <v>205</v>
      </c>
      <c r="L654" s="4" t="s">
        <v>214</v>
      </c>
      <c r="M654" s="4" t="s">
        <v>182</v>
      </c>
      <c r="N654" s="4" t="s">
        <v>182</v>
      </c>
      <c r="O654" s="4" t="s">
        <v>189</v>
      </c>
      <c r="P654">
        <v>-26643.7</v>
      </c>
      <c r="Q654" s="4" t="s">
        <v>30</v>
      </c>
    </row>
    <row r="655" spans="1:17" x14ac:dyDescent="0.2">
      <c r="A655" s="4" t="s">
        <v>839</v>
      </c>
      <c r="B655">
        <v>654</v>
      </c>
      <c r="C655" s="4" t="s">
        <v>26</v>
      </c>
      <c r="D655" s="4" t="s">
        <v>50</v>
      </c>
      <c r="E655" s="4" t="s">
        <v>44</v>
      </c>
      <c r="F655" s="4" t="s">
        <v>2403</v>
      </c>
      <c r="G655">
        <v>16</v>
      </c>
      <c r="H655">
        <v>76</v>
      </c>
      <c r="I655" s="4" t="s">
        <v>190</v>
      </c>
      <c r="J655" s="4" t="s">
        <v>191</v>
      </c>
      <c r="K655" s="4" t="s">
        <v>179</v>
      </c>
      <c r="L655" s="4" t="s">
        <v>180</v>
      </c>
      <c r="M655" s="4" t="s">
        <v>192</v>
      </c>
      <c r="N655" s="4" t="s">
        <v>182</v>
      </c>
      <c r="O655" s="4" t="s">
        <v>189</v>
      </c>
      <c r="P655">
        <v>-81953.78</v>
      </c>
      <c r="Q655" s="4" t="s">
        <v>30</v>
      </c>
    </row>
    <row r="656" spans="1:17" x14ac:dyDescent="0.2">
      <c r="A656" s="4" t="s">
        <v>840</v>
      </c>
      <c r="B656">
        <v>655</v>
      </c>
      <c r="C656" s="4" t="s">
        <v>26</v>
      </c>
      <c r="D656" s="4" t="s">
        <v>50</v>
      </c>
      <c r="E656" s="4" t="s">
        <v>44</v>
      </c>
      <c r="F656" s="4" t="s">
        <v>2403</v>
      </c>
      <c r="G656">
        <v>16</v>
      </c>
      <c r="H656">
        <v>76</v>
      </c>
      <c r="I656" s="4" t="s">
        <v>190</v>
      </c>
      <c r="J656" s="4" t="s">
        <v>191</v>
      </c>
      <c r="K656" s="4" t="s">
        <v>179</v>
      </c>
      <c r="L656" s="4" t="s">
        <v>180</v>
      </c>
      <c r="M656" s="4" t="s">
        <v>192</v>
      </c>
      <c r="N656" s="4" t="s">
        <v>182</v>
      </c>
      <c r="O656" s="4" t="s">
        <v>183</v>
      </c>
      <c r="P656">
        <v>15621.22</v>
      </c>
      <c r="Q656" s="4" t="s">
        <v>30</v>
      </c>
    </row>
    <row r="657" spans="1:17" x14ac:dyDescent="0.2">
      <c r="A657" s="4" t="s">
        <v>841</v>
      </c>
      <c r="B657">
        <v>656</v>
      </c>
      <c r="C657" s="4" t="s">
        <v>26</v>
      </c>
      <c r="D657" s="4" t="s">
        <v>50</v>
      </c>
      <c r="E657" s="4" t="s">
        <v>44</v>
      </c>
      <c r="F657" s="4" t="s">
        <v>2403</v>
      </c>
      <c r="G657">
        <v>16</v>
      </c>
      <c r="H657">
        <v>76</v>
      </c>
      <c r="I657" s="4" t="s">
        <v>207</v>
      </c>
      <c r="J657" s="4" t="s">
        <v>208</v>
      </c>
      <c r="K657" s="4" t="s">
        <v>179</v>
      </c>
      <c r="L657" s="4" t="s">
        <v>180</v>
      </c>
      <c r="M657" s="4" t="s">
        <v>192</v>
      </c>
      <c r="N657" s="4" t="s">
        <v>182</v>
      </c>
      <c r="O657" s="4" t="s">
        <v>189</v>
      </c>
      <c r="P657">
        <v>-15621.22</v>
      </c>
      <c r="Q657" s="4" t="s">
        <v>30</v>
      </c>
    </row>
    <row r="658" spans="1:17" x14ac:dyDescent="0.2">
      <c r="A658" s="4" t="s">
        <v>842</v>
      </c>
      <c r="B658">
        <v>657</v>
      </c>
      <c r="C658" s="4" t="s">
        <v>26</v>
      </c>
      <c r="D658" s="4" t="s">
        <v>50</v>
      </c>
      <c r="E658" s="4" t="s">
        <v>44</v>
      </c>
      <c r="F658" s="4" t="s">
        <v>2403</v>
      </c>
      <c r="G658">
        <v>16</v>
      </c>
      <c r="H658">
        <v>76</v>
      </c>
      <c r="I658" s="4" t="s">
        <v>207</v>
      </c>
      <c r="J658" s="4" t="s">
        <v>208</v>
      </c>
      <c r="K658" s="4" t="s">
        <v>179</v>
      </c>
      <c r="L658" s="4" t="s">
        <v>180</v>
      </c>
      <c r="M658" s="4" t="s">
        <v>192</v>
      </c>
      <c r="N658" s="4" t="s">
        <v>182</v>
      </c>
      <c r="O658" s="4" t="s">
        <v>183</v>
      </c>
      <c r="P658">
        <v>27645.3</v>
      </c>
      <c r="Q658" s="4" t="s">
        <v>30</v>
      </c>
    </row>
    <row r="659" spans="1:17" x14ac:dyDescent="0.2">
      <c r="A659" s="4" t="s">
        <v>843</v>
      </c>
      <c r="B659">
        <v>658</v>
      </c>
      <c r="C659" s="4" t="s">
        <v>26</v>
      </c>
      <c r="D659" s="4" t="s">
        <v>50</v>
      </c>
      <c r="E659" s="4" t="s">
        <v>44</v>
      </c>
      <c r="F659" s="4" t="s">
        <v>2403</v>
      </c>
      <c r="G659">
        <v>16</v>
      </c>
      <c r="H659">
        <v>76</v>
      </c>
      <c r="I659" s="4" t="s">
        <v>193</v>
      </c>
      <c r="J659" s="4" t="s">
        <v>194</v>
      </c>
      <c r="K659" s="4" t="s">
        <v>179</v>
      </c>
      <c r="L659" s="4" t="s">
        <v>186</v>
      </c>
      <c r="M659" s="4" t="s">
        <v>195</v>
      </c>
      <c r="N659" s="4" t="s">
        <v>196</v>
      </c>
      <c r="O659" s="4" t="s">
        <v>183</v>
      </c>
      <c r="P659">
        <v>81953.78</v>
      </c>
      <c r="Q659" s="4" t="s">
        <v>30</v>
      </c>
    </row>
    <row r="660" spans="1:17" x14ac:dyDescent="0.2">
      <c r="A660" s="4" t="s">
        <v>844</v>
      </c>
      <c r="B660">
        <v>659</v>
      </c>
      <c r="C660" s="4" t="s">
        <v>26</v>
      </c>
      <c r="D660" s="4" t="s">
        <v>50</v>
      </c>
      <c r="E660" s="4" t="s">
        <v>44</v>
      </c>
      <c r="F660" s="4" t="s">
        <v>2403</v>
      </c>
      <c r="G660">
        <v>16</v>
      </c>
      <c r="H660">
        <v>76</v>
      </c>
      <c r="I660" s="4" t="s">
        <v>209</v>
      </c>
      <c r="J660" s="4" t="s">
        <v>210</v>
      </c>
      <c r="K660" s="4" t="s">
        <v>205</v>
      </c>
      <c r="L660" s="4" t="s">
        <v>211</v>
      </c>
      <c r="M660" s="4" t="s">
        <v>182</v>
      </c>
      <c r="N660" s="4" t="s">
        <v>182</v>
      </c>
      <c r="O660" s="4" t="s">
        <v>183</v>
      </c>
      <c r="P660">
        <v>24611.42</v>
      </c>
      <c r="Q660" s="4" t="s">
        <v>30</v>
      </c>
    </row>
    <row r="661" spans="1:17" x14ac:dyDescent="0.2">
      <c r="A661" s="4" t="s">
        <v>845</v>
      </c>
      <c r="B661">
        <v>660</v>
      </c>
      <c r="C661" s="4" t="s">
        <v>26</v>
      </c>
      <c r="D661" s="4" t="s">
        <v>50</v>
      </c>
      <c r="E661" s="4" t="s">
        <v>44</v>
      </c>
      <c r="F661" s="4" t="s">
        <v>2403</v>
      </c>
      <c r="G661">
        <v>16</v>
      </c>
      <c r="H661">
        <v>76</v>
      </c>
      <c r="I661" s="4" t="s">
        <v>201</v>
      </c>
      <c r="J661" s="4" t="s">
        <v>202</v>
      </c>
      <c r="K661" s="4" t="s">
        <v>179</v>
      </c>
      <c r="L661" s="4" t="s">
        <v>180</v>
      </c>
      <c r="M661" s="4" t="s">
        <v>192</v>
      </c>
      <c r="N661" s="4" t="s">
        <v>182</v>
      </c>
      <c r="O661" s="4" t="s">
        <v>189</v>
      </c>
      <c r="P661">
        <v>-24611.42</v>
      </c>
      <c r="Q661" s="4" t="s">
        <v>30</v>
      </c>
    </row>
    <row r="662" spans="1:17" x14ac:dyDescent="0.2">
      <c r="A662" s="4" t="s">
        <v>846</v>
      </c>
      <c r="B662">
        <v>661</v>
      </c>
      <c r="C662" s="4" t="s">
        <v>26</v>
      </c>
      <c r="D662" s="4" t="s">
        <v>50</v>
      </c>
      <c r="E662" s="4" t="s">
        <v>44</v>
      </c>
      <c r="F662" s="4" t="s">
        <v>2403</v>
      </c>
      <c r="G662">
        <v>16</v>
      </c>
      <c r="H662">
        <v>76</v>
      </c>
      <c r="I662" s="4" t="s">
        <v>212</v>
      </c>
      <c r="J662" s="4" t="s">
        <v>213</v>
      </c>
      <c r="K662" s="4" t="s">
        <v>205</v>
      </c>
      <c r="L662" s="4" t="s">
        <v>214</v>
      </c>
      <c r="M662" s="4" t="s">
        <v>182</v>
      </c>
      <c r="N662" s="4" t="s">
        <v>182</v>
      </c>
      <c r="O662" s="4" t="s">
        <v>189</v>
      </c>
      <c r="P662">
        <v>-27645.3</v>
      </c>
      <c r="Q662" s="4" t="s">
        <v>30</v>
      </c>
    </row>
    <row r="663" spans="1:17" x14ac:dyDescent="0.2">
      <c r="A663" s="4" t="s">
        <v>847</v>
      </c>
      <c r="B663">
        <v>662</v>
      </c>
      <c r="C663" s="4" t="s">
        <v>26</v>
      </c>
      <c r="D663" s="4" t="s">
        <v>50</v>
      </c>
      <c r="E663" s="4" t="s">
        <v>47</v>
      </c>
      <c r="F663" s="4" t="s">
        <v>2395</v>
      </c>
      <c r="G663">
        <v>16</v>
      </c>
      <c r="H663">
        <v>77</v>
      </c>
      <c r="I663" s="4" t="s">
        <v>190</v>
      </c>
      <c r="J663" s="4" t="s">
        <v>191</v>
      </c>
      <c r="K663" s="4" t="s">
        <v>179</v>
      </c>
      <c r="L663" s="4" t="s">
        <v>180</v>
      </c>
      <c r="M663" s="4" t="s">
        <v>192</v>
      </c>
      <c r="N663" s="4" t="s">
        <v>182</v>
      </c>
      <c r="O663" s="4" t="s">
        <v>189</v>
      </c>
      <c r="P663">
        <v>-300</v>
      </c>
      <c r="Q663" s="4" t="s">
        <v>30</v>
      </c>
    </row>
    <row r="664" spans="1:17" x14ac:dyDescent="0.2">
      <c r="A664" s="4" t="s">
        <v>848</v>
      </c>
      <c r="B664">
        <v>663</v>
      </c>
      <c r="C664" s="4" t="s">
        <v>26</v>
      </c>
      <c r="D664" s="4" t="s">
        <v>50</v>
      </c>
      <c r="E664" s="4" t="s">
        <v>47</v>
      </c>
      <c r="F664" s="4" t="s">
        <v>2395</v>
      </c>
      <c r="G664">
        <v>16</v>
      </c>
      <c r="H664">
        <v>77</v>
      </c>
      <c r="I664" s="4" t="s">
        <v>190</v>
      </c>
      <c r="J664" s="4" t="s">
        <v>191</v>
      </c>
      <c r="K664" s="4" t="s">
        <v>179</v>
      </c>
      <c r="L664" s="4" t="s">
        <v>180</v>
      </c>
      <c r="M664" s="4" t="s">
        <v>192</v>
      </c>
      <c r="N664" s="4" t="s">
        <v>182</v>
      </c>
      <c r="O664" s="4" t="s">
        <v>183</v>
      </c>
      <c r="P664">
        <v>22511.57</v>
      </c>
      <c r="Q664" s="4" t="s">
        <v>30</v>
      </c>
    </row>
    <row r="665" spans="1:17" x14ac:dyDescent="0.2">
      <c r="A665" s="4" t="s">
        <v>849</v>
      </c>
      <c r="B665">
        <v>664</v>
      </c>
      <c r="C665" s="4" t="s">
        <v>26</v>
      </c>
      <c r="D665" s="4" t="s">
        <v>50</v>
      </c>
      <c r="E665" s="4" t="s">
        <v>47</v>
      </c>
      <c r="F665" s="4" t="s">
        <v>2395</v>
      </c>
      <c r="G665">
        <v>16</v>
      </c>
      <c r="H665">
        <v>77</v>
      </c>
      <c r="I665" s="4" t="s">
        <v>207</v>
      </c>
      <c r="J665" s="4" t="s">
        <v>208</v>
      </c>
      <c r="K665" s="4" t="s">
        <v>179</v>
      </c>
      <c r="L665" s="4" t="s">
        <v>180</v>
      </c>
      <c r="M665" s="4" t="s">
        <v>192</v>
      </c>
      <c r="N665" s="4" t="s">
        <v>182</v>
      </c>
      <c r="O665" s="4" t="s">
        <v>189</v>
      </c>
      <c r="P665">
        <v>-22511.57</v>
      </c>
      <c r="Q665" s="4" t="s">
        <v>30</v>
      </c>
    </row>
    <row r="666" spans="1:17" x14ac:dyDescent="0.2">
      <c r="A666" s="4" t="s">
        <v>850</v>
      </c>
      <c r="B666">
        <v>665</v>
      </c>
      <c r="C666" s="4" t="s">
        <v>26</v>
      </c>
      <c r="D666" s="4" t="s">
        <v>50</v>
      </c>
      <c r="E666" s="4" t="s">
        <v>47</v>
      </c>
      <c r="F666" s="4" t="s">
        <v>2395</v>
      </c>
      <c r="G666">
        <v>16</v>
      </c>
      <c r="H666">
        <v>77</v>
      </c>
      <c r="I666" s="4" t="s">
        <v>207</v>
      </c>
      <c r="J666" s="4" t="s">
        <v>208</v>
      </c>
      <c r="K666" s="4" t="s">
        <v>179</v>
      </c>
      <c r="L666" s="4" t="s">
        <v>180</v>
      </c>
      <c r="M666" s="4" t="s">
        <v>192</v>
      </c>
      <c r="N666" s="4" t="s">
        <v>182</v>
      </c>
      <c r="O666" s="4" t="s">
        <v>183</v>
      </c>
      <c r="P666">
        <v>11671.17</v>
      </c>
      <c r="Q666" s="4" t="s">
        <v>30</v>
      </c>
    </row>
    <row r="667" spans="1:17" x14ac:dyDescent="0.2">
      <c r="A667" s="4" t="s">
        <v>851</v>
      </c>
      <c r="B667">
        <v>666</v>
      </c>
      <c r="C667" s="4" t="s">
        <v>26</v>
      </c>
      <c r="D667" s="4" t="s">
        <v>50</v>
      </c>
      <c r="E667" s="4" t="s">
        <v>47</v>
      </c>
      <c r="F667" s="4" t="s">
        <v>2395</v>
      </c>
      <c r="G667">
        <v>16</v>
      </c>
      <c r="H667">
        <v>77</v>
      </c>
      <c r="I667" s="4" t="s">
        <v>193</v>
      </c>
      <c r="J667" s="4" t="s">
        <v>194</v>
      </c>
      <c r="K667" s="4" t="s">
        <v>179</v>
      </c>
      <c r="L667" s="4" t="s">
        <v>186</v>
      </c>
      <c r="M667" s="4" t="s">
        <v>195</v>
      </c>
      <c r="N667" s="4" t="s">
        <v>196</v>
      </c>
      <c r="O667" s="4" t="s">
        <v>189</v>
      </c>
      <c r="P667">
        <v>-82064.289999999994</v>
      </c>
      <c r="Q667" s="4" t="s">
        <v>30</v>
      </c>
    </row>
    <row r="668" spans="1:17" x14ac:dyDescent="0.2">
      <c r="A668" s="4" t="s">
        <v>852</v>
      </c>
      <c r="B668">
        <v>667</v>
      </c>
      <c r="C668" s="4" t="s">
        <v>26</v>
      </c>
      <c r="D668" s="4" t="s">
        <v>50</v>
      </c>
      <c r="E668" s="4" t="s">
        <v>47</v>
      </c>
      <c r="F668" s="4" t="s">
        <v>2395</v>
      </c>
      <c r="G668">
        <v>16</v>
      </c>
      <c r="H668">
        <v>77</v>
      </c>
      <c r="I668" s="4" t="s">
        <v>197</v>
      </c>
      <c r="J668" s="4" t="s">
        <v>198</v>
      </c>
      <c r="K668" s="4" t="s">
        <v>179</v>
      </c>
      <c r="L668" s="4" t="s">
        <v>186</v>
      </c>
      <c r="M668" s="4" t="s">
        <v>195</v>
      </c>
      <c r="N668" s="4" t="s">
        <v>196</v>
      </c>
      <c r="O668" s="4" t="s">
        <v>189</v>
      </c>
      <c r="P668">
        <v>-81064.289999999994</v>
      </c>
      <c r="Q668" s="4" t="s">
        <v>30</v>
      </c>
    </row>
    <row r="669" spans="1:17" x14ac:dyDescent="0.2">
      <c r="A669" s="4" t="s">
        <v>853</v>
      </c>
      <c r="B669">
        <v>668</v>
      </c>
      <c r="C669" s="4" t="s">
        <v>26</v>
      </c>
      <c r="D669" s="4" t="s">
        <v>50</v>
      </c>
      <c r="E669" s="4" t="s">
        <v>47</v>
      </c>
      <c r="F669" s="4" t="s">
        <v>2395</v>
      </c>
      <c r="G669">
        <v>16</v>
      </c>
      <c r="H669">
        <v>77</v>
      </c>
      <c r="I669" s="4" t="s">
        <v>197</v>
      </c>
      <c r="J669" s="4" t="s">
        <v>198</v>
      </c>
      <c r="K669" s="4" t="s">
        <v>179</v>
      </c>
      <c r="L669" s="4" t="s">
        <v>186</v>
      </c>
      <c r="M669" s="4" t="s">
        <v>195</v>
      </c>
      <c r="N669" s="4" t="s">
        <v>196</v>
      </c>
      <c r="O669" s="4" t="s">
        <v>183</v>
      </c>
      <c r="P669">
        <v>81064.289999999994</v>
      </c>
      <c r="Q669" s="4" t="s">
        <v>30</v>
      </c>
    </row>
    <row r="670" spans="1:17" x14ac:dyDescent="0.2">
      <c r="A670" s="4" t="s">
        <v>854</v>
      </c>
      <c r="B670">
        <v>669</v>
      </c>
      <c r="C670" s="4" t="s">
        <v>26</v>
      </c>
      <c r="D670" s="4" t="s">
        <v>50</v>
      </c>
      <c r="E670" s="4" t="s">
        <v>47</v>
      </c>
      <c r="F670" s="4" t="s">
        <v>2395</v>
      </c>
      <c r="G670">
        <v>16</v>
      </c>
      <c r="H670">
        <v>77</v>
      </c>
      <c r="I670" s="4" t="s">
        <v>199</v>
      </c>
      <c r="J670" s="4" t="s">
        <v>200</v>
      </c>
      <c r="K670" s="4" t="s">
        <v>179</v>
      </c>
      <c r="L670" s="4" t="s">
        <v>186</v>
      </c>
      <c r="M670" s="4" t="s">
        <v>195</v>
      </c>
      <c r="N670" s="4" t="s">
        <v>196</v>
      </c>
      <c r="O670" s="4" t="s">
        <v>189</v>
      </c>
      <c r="P670">
        <v>-1000</v>
      </c>
      <c r="Q670" s="4" t="s">
        <v>30</v>
      </c>
    </row>
    <row r="671" spans="1:17" x14ac:dyDescent="0.2">
      <c r="A671" s="4" t="s">
        <v>855</v>
      </c>
      <c r="B671">
        <v>670</v>
      </c>
      <c r="C671" s="4" t="s">
        <v>26</v>
      </c>
      <c r="D671" s="4" t="s">
        <v>50</v>
      </c>
      <c r="E671" s="4" t="s">
        <v>47</v>
      </c>
      <c r="F671" s="4" t="s">
        <v>2395</v>
      </c>
      <c r="G671">
        <v>16</v>
      </c>
      <c r="H671">
        <v>77</v>
      </c>
      <c r="I671" s="4" t="s">
        <v>199</v>
      </c>
      <c r="J671" s="4" t="s">
        <v>200</v>
      </c>
      <c r="K671" s="4" t="s">
        <v>179</v>
      </c>
      <c r="L671" s="4" t="s">
        <v>186</v>
      </c>
      <c r="M671" s="4" t="s">
        <v>195</v>
      </c>
      <c r="N671" s="4" t="s">
        <v>196</v>
      </c>
      <c r="O671" s="4" t="s">
        <v>183</v>
      </c>
      <c r="P671">
        <v>1000</v>
      </c>
      <c r="Q671" s="4" t="s">
        <v>30</v>
      </c>
    </row>
    <row r="672" spans="1:17" x14ac:dyDescent="0.2">
      <c r="A672" s="4" t="s">
        <v>856</v>
      </c>
      <c r="B672">
        <v>671</v>
      </c>
      <c r="C672" s="4" t="s">
        <v>26</v>
      </c>
      <c r="D672" s="4" t="s">
        <v>50</v>
      </c>
      <c r="E672" s="4" t="s">
        <v>47</v>
      </c>
      <c r="F672" s="4" t="s">
        <v>2395</v>
      </c>
      <c r="G672">
        <v>16</v>
      </c>
      <c r="H672">
        <v>77</v>
      </c>
      <c r="I672" s="4" t="s">
        <v>209</v>
      </c>
      <c r="J672" s="4" t="s">
        <v>210</v>
      </c>
      <c r="K672" s="4" t="s">
        <v>205</v>
      </c>
      <c r="L672" s="4" t="s">
        <v>211</v>
      </c>
      <c r="M672" s="4" t="s">
        <v>182</v>
      </c>
      <c r="N672" s="4" t="s">
        <v>182</v>
      </c>
      <c r="O672" s="4" t="s">
        <v>183</v>
      </c>
      <c r="P672">
        <v>9984.2199999999993</v>
      </c>
      <c r="Q672" s="4" t="s">
        <v>30</v>
      </c>
    </row>
    <row r="673" spans="1:17" x14ac:dyDescent="0.2">
      <c r="A673" s="4" t="s">
        <v>857</v>
      </c>
      <c r="B673">
        <v>672</v>
      </c>
      <c r="C673" s="4" t="s">
        <v>26</v>
      </c>
      <c r="D673" s="4" t="s">
        <v>50</v>
      </c>
      <c r="E673" s="4" t="s">
        <v>47</v>
      </c>
      <c r="F673" s="4" t="s">
        <v>2395</v>
      </c>
      <c r="G673">
        <v>16</v>
      </c>
      <c r="H673">
        <v>77</v>
      </c>
      <c r="I673" s="4" t="s">
        <v>203</v>
      </c>
      <c r="J673" s="4" t="s">
        <v>204</v>
      </c>
      <c r="K673" s="4" t="s">
        <v>205</v>
      </c>
      <c r="L673" s="4" t="s">
        <v>206</v>
      </c>
      <c r="M673" s="4" t="s">
        <v>182</v>
      </c>
      <c r="N673" s="4" t="s">
        <v>182</v>
      </c>
      <c r="O673" s="4" t="s">
        <v>183</v>
      </c>
      <c r="P673">
        <v>300</v>
      </c>
      <c r="Q673" s="4" t="s">
        <v>30</v>
      </c>
    </row>
    <row r="674" spans="1:17" x14ac:dyDescent="0.2">
      <c r="A674" s="4" t="s">
        <v>858</v>
      </c>
      <c r="B674">
        <v>673</v>
      </c>
      <c r="C674" s="4" t="s">
        <v>26</v>
      </c>
      <c r="D674" s="4" t="s">
        <v>50</v>
      </c>
      <c r="E674" s="4" t="s">
        <v>47</v>
      </c>
      <c r="F674" s="4" t="s">
        <v>2395</v>
      </c>
      <c r="G674">
        <v>16</v>
      </c>
      <c r="H674">
        <v>77</v>
      </c>
      <c r="I674" s="4" t="s">
        <v>201</v>
      </c>
      <c r="J674" s="4" t="s">
        <v>202</v>
      </c>
      <c r="K674" s="4" t="s">
        <v>179</v>
      </c>
      <c r="L674" s="4" t="s">
        <v>180</v>
      </c>
      <c r="M674" s="4" t="s">
        <v>192</v>
      </c>
      <c r="N674" s="4" t="s">
        <v>182</v>
      </c>
      <c r="O674" s="4" t="s">
        <v>189</v>
      </c>
      <c r="P674">
        <v>-9984.2199999999993</v>
      </c>
      <c r="Q674" s="4" t="s">
        <v>30</v>
      </c>
    </row>
    <row r="675" spans="1:17" x14ac:dyDescent="0.2">
      <c r="A675" s="4" t="s">
        <v>859</v>
      </c>
      <c r="B675">
        <v>674</v>
      </c>
      <c r="C675" s="4" t="s">
        <v>26</v>
      </c>
      <c r="D675" s="4" t="s">
        <v>50</v>
      </c>
      <c r="E675" s="4" t="s">
        <v>47</v>
      </c>
      <c r="F675" s="4" t="s">
        <v>2395</v>
      </c>
      <c r="G675">
        <v>16</v>
      </c>
      <c r="H675">
        <v>77</v>
      </c>
      <c r="I675" s="4" t="s">
        <v>201</v>
      </c>
      <c r="J675" s="4" t="s">
        <v>202</v>
      </c>
      <c r="K675" s="4" t="s">
        <v>179</v>
      </c>
      <c r="L675" s="4" t="s">
        <v>180</v>
      </c>
      <c r="M675" s="4" t="s">
        <v>192</v>
      </c>
      <c r="N675" s="4" t="s">
        <v>182</v>
      </c>
      <c r="O675" s="4" t="s">
        <v>183</v>
      </c>
      <c r="P675">
        <v>82064.289999999994</v>
      </c>
      <c r="Q675" s="4" t="s">
        <v>30</v>
      </c>
    </row>
    <row r="676" spans="1:17" x14ac:dyDescent="0.2">
      <c r="A676" s="4" t="s">
        <v>860</v>
      </c>
      <c r="B676">
        <v>675</v>
      </c>
      <c r="C676" s="4" t="s">
        <v>26</v>
      </c>
      <c r="D676" s="4" t="s">
        <v>50</v>
      </c>
      <c r="E676" s="4" t="s">
        <v>47</v>
      </c>
      <c r="F676" s="4" t="s">
        <v>2395</v>
      </c>
      <c r="G676">
        <v>16</v>
      </c>
      <c r="H676">
        <v>77</v>
      </c>
      <c r="I676" s="4" t="s">
        <v>212</v>
      </c>
      <c r="J676" s="4" t="s">
        <v>213</v>
      </c>
      <c r="K676" s="4" t="s">
        <v>205</v>
      </c>
      <c r="L676" s="4" t="s">
        <v>214</v>
      </c>
      <c r="M676" s="4" t="s">
        <v>182</v>
      </c>
      <c r="N676" s="4" t="s">
        <v>182</v>
      </c>
      <c r="O676" s="4" t="s">
        <v>189</v>
      </c>
      <c r="P676">
        <v>-11671.17</v>
      </c>
      <c r="Q676" s="4" t="s">
        <v>30</v>
      </c>
    </row>
    <row r="677" spans="1:17" x14ac:dyDescent="0.2">
      <c r="A677" s="4" t="s">
        <v>861</v>
      </c>
      <c r="B677">
        <v>676</v>
      </c>
      <c r="C677" s="4" t="s">
        <v>26</v>
      </c>
      <c r="D677" s="4" t="s">
        <v>50</v>
      </c>
      <c r="E677" s="4" t="s">
        <v>50</v>
      </c>
      <c r="F677" s="4" t="s">
        <v>2458</v>
      </c>
      <c r="G677">
        <v>16</v>
      </c>
      <c r="H677">
        <v>78</v>
      </c>
      <c r="I677" s="4" t="s">
        <v>190</v>
      </c>
      <c r="J677" s="4" t="s">
        <v>191</v>
      </c>
      <c r="K677" s="4" t="s">
        <v>179</v>
      </c>
      <c r="L677" s="4" t="s">
        <v>180</v>
      </c>
      <c r="M677" s="4" t="s">
        <v>192</v>
      </c>
      <c r="N677" s="4" t="s">
        <v>182</v>
      </c>
      <c r="O677" s="4" t="s">
        <v>189</v>
      </c>
      <c r="P677">
        <v>-300</v>
      </c>
      <c r="Q677" s="4" t="s">
        <v>30</v>
      </c>
    </row>
    <row r="678" spans="1:17" x14ac:dyDescent="0.2">
      <c r="A678" s="4" t="s">
        <v>862</v>
      </c>
      <c r="B678">
        <v>677</v>
      </c>
      <c r="C678" s="4" t="s">
        <v>26</v>
      </c>
      <c r="D678" s="4" t="s">
        <v>50</v>
      </c>
      <c r="E678" s="4" t="s">
        <v>50</v>
      </c>
      <c r="F678" s="4" t="s">
        <v>2458</v>
      </c>
      <c r="G678">
        <v>16</v>
      </c>
      <c r="H678">
        <v>78</v>
      </c>
      <c r="I678" s="4" t="s">
        <v>190</v>
      </c>
      <c r="J678" s="4" t="s">
        <v>191</v>
      </c>
      <c r="K678" s="4" t="s">
        <v>179</v>
      </c>
      <c r="L678" s="4" t="s">
        <v>180</v>
      </c>
      <c r="M678" s="4" t="s">
        <v>192</v>
      </c>
      <c r="N678" s="4" t="s">
        <v>182</v>
      </c>
      <c r="O678" s="4" t="s">
        <v>183</v>
      </c>
      <c r="P678">
        <v>15972.21</v>
      </c>
      <c r="Q678" s="4" t="s">
        <v>30</v>
      </c>
    </row>
    <row r="679" spans="1:17" x14ac:dyDescent="0.2">
      <c r="A679" s="4" t="s">
        <v>863</v>
      </c>
      <c r="B679">
        <v>678</v>
      </c>
      <c r="C679" s="4" t="s">
        <v>26</v>
      </c>
      <c r="D679" s="4" t="s">
        <v>50</v>
      </c>
      <c r="E679" s="4" t="s">
        <v>50</v>
      </c>
      <c r="F679" s="4" t="s">
        <v>2458</v>
      </c>
      <c r="G679">
        <v>16</v>
      </c>
      <c r="H679">
        <v>78</v>
      </c>
      <c r="I679" s="4" t="s">
        <v>207</v>
      </c>
      <c r="J679" s="4" t="s">
        <v>208</v>
      </c>
      <c r="K679" s="4" t="s">
        <v>179</v>
      </c>
      <c r="L679" s="4" t="s">
        <v>180</v>
      </c>
      <c r="M679" s="4" t="s">
        <v>192</v>
      </c>
      <c r="N679" s="4" t="s">
        <v>182</v>
      </c>
      <c r="O679" s="4" t="s">
        <v>189</v>
      </c>
      <c r="P679">
        <v>-15972.21</v>
      </c>
      <c r="Q679" s="4" t="s">
        <v>30</v>
      </c>
    </row>
    <row r="680" spans="1:17" x14ac:dyDescent="0.2">
      <c r="A680" s="4" t="s">
        <v>864</v>
      </c>
      <c r="B680">
        <v>679</v>
      </c>
      <c r="C680" s="4" t="s">
        <v>26</v>
      </c>
      <c r="D680" s="4" t="s">
        <v>50</v>
      </c>
      <c r="E680" s="4" t="s">
        <v>50</v>
      </c>
      <c r="F680" s="4" t="s">
        <v>2458</v>
      </c>
      <c r="G680">
        <v>16</v>
      </c>
      <c r="H680">
        <v>78</v>
      </c>
      <c r="I680" s="4" t="s">
        <v>207</v>
      </c>
      <c r="J680" s="4" t="s">
        <v>208</v>
      </c>
      <c r="K680" s="4" t="s">
        <v>179</v>
      </c>
      <c r="L680" s="4" t="s">
        <v>180</v>
      </c>
      <c r="M680" s="4" t="s">
        <v>192</v>
      </c>
      <c r="N680" s="4" t="s">
        <v>182</v>
      </c>
      <c r="O680" s="4" t="s">
        <v>183</v>
      </c>
      <c r="P680">
        <v>20438.93</v>
      </c>
      <c r="Q680" s="4" t="s">
        <v>30</v>
      </c>
    </row>
    <row r="681" spans="1:17" x14ac:dyDescent="0.2">
      <c r="A681" s="4" t="s">
        <v>865</v>
      </c>
      <c r="B681">
        <v>680</v>
      </c>
      <c r="C681" s="4" t="s">
        <v>26</v>
      </c>
      <c r="D681" s="4" t="s">
        <v>50</v>
      </c>
      <c r="E681" s="4" t="s">
        <v>50</v>
      </c>
      <c r="F681" s="4" t="s">
        <v>2458</v>
      </c>
      <c r="G681">
        <v>16</v>
      </c>
      <c r="H681">
        <v>78</v>
      </c>
      <c r="I681" s="4" t="s">
        <v>209</v>
      </c>
      <c r="J681" s="4" t="s">
        <v>210</v>
      </c>
      <c r="K681" s="4" t="s">
        <v>205</v>
      </c>
      <c r="L681" s="4" t="s">
        <v>211</v>
      </c>
      <c r="M681" s="4" t="s">
        <v>182</v>
      </c>
      <c r="N681" s="4" t="s">
        <v>182</v>
      </c>
      <c r="O681" s="4" t="s">
        <v>183</v>
      </c>
      <c r="P681">
        <v>17384.86</v>
      </c>
      <c r="Q681" s="4" t="s">
        <v>30</v>
      </c>
    </row>
    <row r="682" spans="1:17" x14ac:dyDescent="0.2">
      <c r="A682" s="4" t="s">
        <v>866</v>
      </c>
      <c r="B682">
        <v>681</v>
      </c>
      <c r="C682" s="4" t="s">
        <v>26</v>
      </c>
      <c r="D682" s="4" t="s">
        <v>50</v>
      </c>
      <c r="E682" s="4" t="s">
        <v>50</v>
      </c>
      <c r="F682" s="4" t="s">
        <v>2458</v>
      </c>
      <c r="G682">
        <v>16</v>
      </c>
      <c r="H682">
        <v>78</v>
      </c>
      <c r="I682" s="4" t="s">
        <v>203</v>
      </c>
      <c r="J682" s="4" t="s">
        <v>204</v>
      </c>
      <c r="K682" s="4" t="s">
        <v>205</v>
      </c>
      <c r="L682" s="4" t="s">
        <v>206</v>
      </c>
      <c r="M682" s="4" t="s">
        <v>182</v>
      </c>
      <c r="N682" s="4" t="s">
        <v>182</v>
      </c>
      <c r="O682" s="4" t="s">
        <v>183</v>
      </c>
      <c r="P682">
        <v>300</v>
      </c>
      <c r="Q682" s="4" t="s">
        <v>30</v>
      </c>
    </row>
    <row r="683" spans="1:17" x14ac:dyDescent="0.2">
      <c r="A683" s="4" t="s">
        <v>867</v>
      </c>
      <c r="B683">
        <v>682</v>
      </c>
      <c r="C683" s="4" t="s">
        <v>26</v>
      </c>
      <c r="D683" s="4" t="s">
        <v>50</v>
      </c>
      <c r="E683" s="4" t="s">
        <v>50</v>
      </c>
      <c r="F683" s="4" t="s">
        <v>2458</v>
      </c>
      <c r="G683">
        <v>16</v>
      </c>
      <c r="H683">
        <v>78</v>
      </c>
      <c r="I683" s="4" t="s">
        <v>201</v>
      </c>
      <c r="J683" s="4" t="s">
        <v>202</v>
      </c>
      <c r="K683" s="4" t="s">
        <v>179</v>
      </c>
      <c r="L683" s="4" t="s">
        <v>180</v>
      </c>
      <c r="M683" s="4" t="s">
        <v>192</v>
      </c>
      <c r="N683" s="4" t="s">
        <v>182</v>
      </c>
      <c r="O683" s="4" t="s">
        <v>189</v>
      </c>
      <c r="P683">
        <v>-17384.86</v>
      </c>
      <c r="Q683" s="4" t="s">
        <v>30</v>
      </c>
    </row>
    <row r="684" spans="1:17" x14ac:dyDescent="0.2">
      <c r="A684" s="4" t="s">
        <v>868</v>
      </c>
      <c r="B684">
        <v>683</v>
      </c>
      <c r="C684" s="4" t="s">
        <v>26</v>
      </c>
      <c r="D684" s="4" t="s">
        <v>50</v>
      </c>
      <c r="E684" s="4" t="s">
        <v>50</v>
      </c>
      <c r="F684" s="4" t="s">
        <v>2458</v>
      </c>
      <c r="G684">
        <v>16</v>
      </c>
      <c r="H684">
        <v>78</v>
      </c>
      <c r="I684" s="4" t="s">
        <v>212</v>
      </c>
      <c r="J684" s="4" t="s">
        <v>213</v>
      </c>
      <c r="K684" s="4" t="s">
        <v>205</v>
      </c>
      <c r="L684" s="4" t="s">
        <v>214</v>
      </c>
      <c r="M684" s="4" t="s">
        <v>182</v>
      </c>
      <c r="N684" s="4" t="s">
        <v>182</v>
      </c>
      <c r="O684" s="4" t="s">
        <v>189</v>
      </c>
      <c r="P684">
        <v>-20438.93</v>
      </c>
      <c r="Q684" s="4" t="s">
        <v>30</v>
      </c>
    </row>
    <row r="685" spans="1:17" x14ac:dyDescent="0.2">
      <c r="A685" s="4" t="s">
        <v>869</v>
      </c>
      <c r="B685">
        <v>684</v>
      </c>
      <c r="C685" s="4" t="s">
        <v>26</v>
      </c>
      <c r="D685" s="4" t="s">
        <v>50</v>
      </c>
      <c r="E685" s="4" t="s">
        <v>53</v>
      </c>
      <c r="F685" s="4" t="s">
        <v>2489</v>
      </c>
      <c r="G685">
        <v>16</v>
      </c>
      <c r="H685">
        <v>79</v>
      </c>
      <c r="I685" s="4" t="s">
        <v>190</v>
      </c>
      <c r="J685" s="4" t="s">
        <v>191</v>
      </c>
      <c r="K685" s="4" t="s">
        <v>179</v>
      </c>
      <c r="L685" s="4" t="s">
        <v>180</v>
      </c>
      <c r="M685" s="4" t="s">
        <v>192</v>
      </c>
      <c r="N685" s="4" t="s">
        <v>182</v>
      </c>
      <c r="O685" s="4" t="s">
        <v>183</v>
      </c>
      <c r="P685">
        <v>26643.7</v>
      </c>
      <c r="Q685" s="4" t="s">
        <v>30</v>
      </c>
    </row>
    <row r="686" spans="1:17" x14ac:dyDescent="0.2">
      <c r="A686" s="4" t="s">
        <v>870</v>
      </c>
      <c r="B686">
        <v>685</v>
      </c>
      <c r="C686" s="4" t="s">
        <v>26</v>
      </c>
      <c r="D686" s="4" t="s">
        <v>50</v>
      </c>
      <c r="E686" s="4" t="s">
        <v>53</v>
      </c>
      <c r="F686" s="4" t="s">
        <v>2489</v>
      </c>
      <c r="G686">
        <v>16</v>
      </c>
      <c r="H686">
        <v>79</v>
      </c>
      <c r="I686" s="4" t="s">
        <v>207</v>
      </c>
      <c r="J686" s="4" t="s">
        <v>208</v>
      </c>
      <c r="K686" s="4" t="s">
        <v>179</v>
      </c>
      <c r="L686" s="4" t="s">
        <v>180</v>
      </c>
      <c r="M686" s="4" t="s">
        <v>192</v>
      </c>
      <c r="N686" s="4" t="s">
        <v>182</v>
      </c>
      <c r="O686" s="4" t="s">
        <v>189</v>
      </c>
      <c r="P686">
        <v>-26643.7</v>
      </c>
      <c r="Q686" s="4" t="s">
        <v>30</v>
      </c>
    </row>
    <row r="687" spans="1:17" x14ac:dyDescent="0.2">
      <c r="A687" s="4" t="s">
        <v>871</v>
      </c>
      <c r="B687">
        <v>686</v>
      </c>
      <c r="C687" s="4" t="s">
        <v>26</v>
      </c>
      <c r="D687" s="4" t="s">
        <v>50</v>
      </c>
      <c r="E687" s="4" t="s">
        <v>53</v>
      </c>
      <c r="F687" s="4" t="s">
        <v>2489</v>
      </c>
      <c r="G687">
        <v>16</v>
      </c>
      <c r="H687">
        <v>79</v>
      </c>
      <c r="I687" s="4" t="s">
        <v>207</v>
      </c>
      <c r="J687" s="4" t="s">
        <v>208</v>
      </c>
      <c r="K687" s="4" t="s">
        <v>179</v>
      </c>
      <c r="L687" s="4" t="s">
        <v>180</v>
      </c>
      <c r="M687" s="4" t="s">
        <v>192</v>
      </c>
      <c r="N687" s="4" t="s">
        <v>182</v>
      </c>
      <c r="O687" s="4" t="s">
        <v>183</v>
      </c>
      <c r="P687">
        <v>18565.32</v>
      </c>
      <c r="Q687" s="4" t="s">
        <v>30</v>
      </c>
    </row>
    <row r="688" spans="1:17" x14ac:dyDescent="0.2">
      <c r="A688" s="4" t="s">
        <v>872</v>
      </c>
      <c r="B688">
        <v>687</v>
      </c>
      <c r="C688" s="4" t="s">
        <v>26</v>
      </c>
      <c r="D688" s="4" t="s">
        <v>50</v>
      </c>
      <c r="E688" s="4" t="s">
        <v>53</v>
      </c>
      <c r="F688" s="4" t="s">
        <v>2489</v>
      </c>
      <c r="G688">
        <v>16</v>
      </c>
      <c r="H688">
        <v>79</v>
      </c>
      <c r="I688" s="4" t="s">
        <v>209</v>
      </c>
      <c r="J688" s="4" t="s">
        <v>210</v>
      </c>
      <c r="K688" s="4" t="s">
        <v>205</v>
      </c>
      <c r="L688" s="4" t="s">
        <v>211</v>
      </c>
      <c r="M688" s="4" t="s">
        <v>182</v>
      </c>
      <c r="N688" s="4" t="s">
        <v>182</v>
      </c>
      <c r="O688" s="4" t="s">
        <v>183</v>
      </c>
      <c r="P688">
        <v>16372.15</v>
      </c>
      <c r="Q688" s="4" t="s">
        <v>30</v>
      </c>
    </row>
    <row r="689" spans="1:17" x14ac:dyDescent="0.2">
      <c r="A689" s="4" t="s">
        <v>873</v>
      </c>
      <c r="B689">
        <v>688</v>
      </c>
      <c r="C689" s="4" t="s">
        <v>26</v>
      </c>
      <c r="D689" s="4" t="s">
        <v>50</v>
      </c>
      <c r="E689" s="4" t="s">
        <v>53</v>
      </c>
      <c r="F689" s="4" t="s">
        <v>2489</v>
      </c>
      <c r="G689">
        <v>16</v>
      </c>
      <c r="H689">
        <v>79</v>
      </c>
      <c r="I689" s="4" t="s">
        <v>201</v>
      </c>
      <c r="J689" s="4" t="s">
        <v>202</v>
      </c>
      <c r="K689" s="4" t="s">
        <v>179</v>
      </c>
      <c r="L689" s="4" t="s">
        <v>180</v>
      </c>
      <c r="M689" s="4" t="s">
        <v>192</v>
      </c>
      <c r="N689" s="4" t="s">
        <v>182</v>
      </c>
      <c r="O689" s="4" t="s">
        <v>189</v>
      </c>
      <c r="P689">
        <v>-16372.15</v>
      </c>
      <c r="Q689" s="4" t="s">
        <v>30</v>
      </c>
    </row>
    <row r="690" spans="1:17" x14ac:dyDescent="0.2">
      <c r="A690" s="4" t="s">
        <v>874</v>
      </c>
      <c r="B690">
        <v>689</v>
      </c>
      <c r="C690" s="4" t="s">
        <v>26</v>
      </c>
      <c r="D690" s="4" t="s">
        <v>50</v>
      </c>
      <c r="E690" s="4" t="s">
        <v>53</v>
      </c>
      <c r="F690" s="4" t="s">
        <v>2489</v>
      </c>
      <c r="G690">
        <v>16</v>
      </c>
      <c r="H690">
        <v>79</v>
      </c>
      <c r="I690" s="4" t="s">
        <v>212</v>
      </c>
      <c r="J690" s="4" t="s">
        <v>213</v>
      </c>
      <c r="K690" s="4" t="s">
        <v>205</v>
      </c>
      <c r="L690" s="4" t="s">
        <v>214</v>
      </c>
      <c r="M690" s="4" t="s">
        <v>182</v>
      </c>
      <c r="N690" s="4" t="s">
        <v>182</v>
      </c>
      <c r="O690" s="4" t="s">
        <v>189</v>
      </c>
      <c r="P690">
        <v>-18565.32</v>
      </c>
      <c r="Q690" s="4" t="s">
        <v>30</v>
      </c>
    </row>
    <row r="691" spans="1:17" x14ac:dyDescent="0.2">
      <c r="A691" s="4" t="s">
        <v>875</v>
      </c>
      <c r="B691">
        <v>690</v>
      </c>
      <c r="C691" s="4" t="s">
        <v>26</v>
      </c>
      <c r="D691" s="4" t="s">
        <v>50</v>
      </c>
      <c r="E691" s="4" t="s">
        <v>56</v>
      </c>
      <c r="F691" s="4" t="s">
        <v>2513</v>
      </c>
      <c r="G691">
        <v>16</v>
      </c>
      <c r="H691">
        <v>80</v>
      </c>
      <c r="I691" s="4" t="s">
        <v>190</v>
      </c>
      <c r="J691" s="4" t="s">
        <v>191</v>
      </c>
      <c r="K691" s="4" t="s">
        <v>179</v>
      </c>
      <c r="L691" s="4" t="s">
        <v>180</v>
      </c>
      <c r="M691" s="4" t="s">
        <v>192</v>
      </c>
      <c r="N691" s="4" t="s">
        <v>182</v>
      </c>
      <c r="O691" s="4" t="s">
        <v>189</v>
      </c>
      <c r="P691">
        <v>-300</v>
      </c>
      <c r="Q691" s="4" t="s">
        <v>30</v>
      </c>
    </row>
    <row r="692" spans="1:17" x14ac:dyDescent="0.2">
      <c r="A692" s="4" t="s">
        <v>876</v>
      </c>
      <c r="B692">
        <v>691</v>
      </c>
      <c r="C692" s="4" t="s">
        <v>26</v>
      </c>
      <c r="D692" s="4" t="s">
        <v>50</v>
      </c>
      <c r="E692" s="4" t="s">
        <v>56</v>
      </c>
      <c r="F692" s="4" t="s">
        <v>2513</v>
      </c>
      <c r="G692">
        <v>16</v>
      </c>
      <c r="H692">
        <v>80</v>
      </c>
      <c r="I692" s="4" t="s">
        <v>190</v>
      </c>
      <c r="J692" s="4" t="s">
        <v>191</v>
      </c>
      <c r="K692" s="4" t="s">
        <v>179</v>
      </c>
      <c r="L692" s="4" t="s">
        <v>180</v>
      </c>
      <c r="M692" s="4" t="s">
        <v>192</v>
      </c>
      <c r="N692" s="4" t="s">
        <v>182</v>
      </c>
      <c r="O692" s="4" t="s">
        <v>183</v>
      </c>
      <c r="P692">
        <v>27645.3</v>
      </c>
      <c r="Q692" s="4" t="s">
        <v>30</v>
      </c>
    </row>
    <row r="693" spans="1:17" x14ac:dyDescent="0.2">
      <c r="A693" s="4" t="s">
        <v>877</v>
      </c>
      <c r="B693">
        <v>692</v>
      </c>
      <c r="C693" s="4" t="s">
        <v>26</v>
      </c>
      <c r="D693" s="4" t="s">
        <v>50</v>
      </c>
      <c r="E693" s="4" t="s">
        <v>56</v>
      </c>
      <c r="F693" s="4" t="s">
        <v>2513</v>
      </c>
      <c r="G693">
        <v>16</v>
      </c>
      <c r="H693">
        <v>80</v>
      </c>
      <c r="I693" s="4" t="s">
        <v>207</v>
      </c>
      <c r="J693" s="4" t="s">
        <v>208</v>
      </c>
      <c r="K693" s="4" t="s">
        <v>179</v>
      </c>
      <c r="L693" s="4" t="s">
        <v>180</v>
      </c>
      <c r="M693" s="4" t="s">
        <v>192</v>
      </c>
      <c r="N693" s="4" t="s">
        <v>182</v>
      </c>
      <c r="O693" s="4" t="s">
        <v>189</v>
      </c>
      <c r="P693">
        <v>-27645.3</v>
      </c>
      <c r="Q693" s="4" t="s">
        <v>30</v>
      </c>
    </row>
    <row r="694" spans="1:17" x14ac:dyDescent="0.2">
      <c r="A694" s="4" t="s">
        <v>878</v>
      </c>
      <c r="B694">
        <v>693</v>
      </c>
      <c r="C694" s="4" t="s">
        <v>26</v>
      </c>
      <c r="D694" s="4" t="s">
        <v>50</v>
      </c>
      <c r="E694" s="4" t="s">
        <v>56</v>
      </c>
      <c r="F694" s="4" t="s">
        <v>2513</v>
      </c>
      <c r="G694">
        <v>16</v>
      </c>
      <c r="H694">
        <v>80</v>
      </c>
      <c r="I694" s="4" t="s">
        <v>207</v>
      </c>
      <c r="J694" s="4" t="s">
        <v>208</v>
      </c>
      <c r="K694" s="4" t="s">
        <v>179</v>
      </c>
      <c r="L694" s="4" t="s">
        <v>180</v>
      </c>
      <c r="M694" s="4" t="s">
        <v>192</v>
      </c>
      <c r="N694" s="4" t="s">
        <v>182</v>
      </c>
      <c r="O694" s="4" t="s">
        <v>183</v>
      </c>
      <c r="P694">
        <v>16312.31</v>
      </c>
      <c r="Q694" s="4" t="s">
        <v>30</v>
      </c>
    </row>
    <row r="695" spans="1:17" x14ac:dyDescent="0.2">
      <c r="A695" s="4" t="s">
        <v>879</v>
      </c>
      <c r="B695">
        <v>694</v>
      </c>
      <c r="C695" s="4" t="s">
        <v>26</v>
      </c>
      <c r="D695" s="4" t="s">
        <v>50</v>
      </c>
      <c r="E695" s="4" t="s">
        <v>56</v>
      </c>
      <c r="F695" s="4" t="s">
        <v>2513</v>
      </c>
      <c r="G695">
        <v>16</v>
      </c>
      <c r="H695">
        <v>80</v>
      </c>
      <c r="I695" s="4" t="s">
        <v>209</v>
      </c>
      <c r="J695" s="4" t="s">
        <v>210</v>
      </c>
      <c r="K695" s="4" t="s">
        <v>205</v>
      </c>
      <c r="L695" s="4" t="s">
        <v>211</v>
      </c>
      <c r="M695" s="4" t="s">
        <v>182</v>
      </c>
      <c r="N695" s="4" t="s">
        <v>182</v>
      </c>
      <c r="O695" s="4" t="s">
        <v>183</v>
      </c>
      <c r="P695">
        <v>14076.19</v>
      </c>
      <c r="Q695" s="4" t="s">
        <v>30</v>
      </c>
    </row>
    <row r="696" spans="1:17" x14ac:dyDescent="0.2">
      <c r="A696" s="4" t="s">
        <v>880</v>
      </c>
      <c r="B696">
        <v>695</v>
      </c>
      <c r="C696" s="4" t="s">
        <v>26</v>
      </c>
      <c r="D696" s="4" t="s">
        <v>50</v>
      </c>
      <c r="E696" s="4" t="s">
        <v>56</v>
      </c>
      <c r="F696" s="4" t="s">
        <v>2513</v>
      </c>
      <c r="G696">
        <v>16</v>
      </c>
      <c r="H696">
        <v>80</v>
      </c>
      <c r="I696" s="4" t="s">
        <v>203</v>
      </c>
      <c r="J696" s="4" t="s">
        <v>204</v>
      </c>
      <c r="K696" s="4" t="s">
        <v>205</v>
      </c>
      <c r="L696" s="4" t="s">
        <v>206</v>
      </c>
      <c r="M696" s="4" t="s">
        <v>182</v>
      </c>
      <c r="N696" s="4" t="s">
        <v>182</v>
      </c>
      <c r="O696" s="4" t="s">
        <v>183</v>
      </c>
      <c r="P696">
        <v>300</v>
      </c>
      <c r="Q696" s="4" t="s">
        <v>30</v>
      </c>
    </row>
    <row r="697" spans="1:17" x14ac:dyDescent="0.2">
      <c r="A697" s="4" t="s">
        <v>881</v>
      </c>
      <c r="B697">
        <v>696</v>
      </c>
      <c r="C697" s="4" t="s">
        <v>26</v>
      </c>
      <c r="D697" s="4" t="s">
        <v>50</v>
      </c>
      <c r="E697" s="4" t="s">
        <v>56</v>
      </c>
      <c r="F697" s="4" t="s">
        <v>2513</v>
      </c>
      <c r="G697">
        <v>16</v>
      </c>
      <c r="H697">
        <v>80</v>
      </c>
      <c r="I697" s="4" t="s">
        <v>201</v>
      </c>
      <c r="J697" s="4" t="s">
        <v>202</v>
      </c>
      <c r="K697" s="4" t="s">
        <v>179</v>
      </c>
      <c r="L697" s="4" t="s">
        <v>180</v>
      </c>
      <c r="M697" s="4" t="s">
        <v>192</v>
      </c>
      <c r="N697" s="4" t="s">
        <v>182</v>
      </c>
      <c r="O697" s="4" t="s">
        <v>189</v>
      </c>
      <c r="P697">
        <v>-14076.19</v>
      </c>
      <c r="Q697" s="4" t="s">
        <v>30</v>
      </c>
    </row>
    <row r="698" spans="1:17" x14ac:dyDescent="0.2">
      <c r="A698" s="4" t="s">
        <v>882</v>
      </c>
      <c r="B698">
        <v>697</v>
      </c>
      <c r="C698" s="4" t="s">
        <v>26</v>
      </c>
      <c r="D698" s="4" t="s">
        <v>50</v>
      </c>
      <c r="E698" s="4" t="s">
        <v>56</v>
      </c>
      <c r="F698" s="4" t="s">
        <v>2513</v>
      </c>
      <c r="G698">
        <v>16</v>
      </c>
      <c r="H698">
        <v>80</v>
      </c>
      <c r="I698" s="4" t="s">
        <v>212</v>
      </c>
      <c r="J698" s="4" t="s">
        <v>213</v>
      </c>
      <c r="K698" s="4" t="s">
        <v>205</v>
      </c>
      <c r="L698" s="4" t="s">
        <v>214</v>
      </c>
      <c r="M698" s="4" t="s">
        <v>182</v>
      </c>
      <c r="N698" s="4" t="s">
        <v>182</v>
      </c>
      <c r="O698" s="4" t="s">
        <v>189</v>
      </c>
      <c r="P698">
        <v>-16312.31</v>
      </c>
      <c r="Q698" s="4" t="s">
        <v>30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197F-E420-B64F-9B8D-21FB63625BFE}">
  <dimension ref="A1:I7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29.5" bestFit="1" customWidth="1"/>
    <col min="4" max="4" width="20.33203125" bestFit="1" customWidth="1"/>
    <col min="5" max="5" width="24.6640625" bestFit="1" customWidth="1"/>
    <col min="6" max="7" width="16.83203125" bestFit="1" customWidth="1"/>
    <col min="8" max="8" width="8.83203125" bestFit="1" customWidth="1"/>
    <col min="9" max="9" width="13.1640625" bestFit="1" customWidth="1"/>
  </cols>
  <sheetData>
    <row r="1" spans="1:9" x14ac:dyDescent="0.2">
      <c r="A1" t="s">
        <v>0</v>
      </c>
      <c r="B1" t="s">
        <v>1</v>
      </c>
      <c r="C1" t="s">
        <v>166</v>
      </c>
      <c r="D1" t="s">
        <v>8</v>
      </c>
      <c r="E1" t="s">
        <v>9</v>
      </c>
      <c r="F1" t="s">
        <v>167</v>
      </c>
      <c r="G1" t="s">
        <v>168</v>
      </c>
      <c r="H1" t="s">
        <v>165</v>
      </c>
      <c r="I1" t="s">
        <v>24</v>
      </c>
    </row>
    <row r="2" spans="1:9" x14ac:dyDescent="0.2">
      <c r="A2" t="s">
        <v>25</v>
      </c>
      <c r="B2">
        <v>1</v>
      </c>
      <c r="C2" t="s">
        <v>26</v>
      </c>
      <c r="D2" t="s">
        <v>122</v>
      </c>
      <c r="E2" t="s">
        <v>123</v>
      </c>
      <c r="F2" t="s">
        <v>119</v>
      </c>
      <c r="G2" t="s">
        <v>120</v>
      </c>
      <c r="H2">
        <v>22.95</v>
      </c>
      <c r="I2" t="s">
        <v>30</v>
      </c>
    </row>
    <row r="3" spans="1:9" x14ac:dyDescent="0.2">
      <c r="A3" t="s">
        <v>31</v>
      </c>
      <c r="B3">
        <v>2</v>
      </c>
      <c r="C3" t="s">
        <v>26</v>
      </c>
      <c r="D3" t="s">
        <v>125</v>
      </c>
      <c r="E3" t="s">
        <v>126</v>
      </c>
      <c r="F3" t="s">
        <v>119</v>
      </c>
      <c r="G3" t="s">
        <v>120</v>
      </c>
      <c r="H3">
        <v>72.069999999999993</v>
      </c>
      <c r="I3" t="s">
        <v>30</v>
      </c>
    </row>
    <row r="4" spans="1:9" x14ac:dyDescent="0.2">
      <c r="A4" t="s">
        <v>34</v>
      </c>
      <c r="B4">
        <v>3</v>
      </c>
      <c r="C4" t="s">
        <v>26</v>
      </c>
      <c r="D4" t="s">
        <v>127</v>
      </c>
      <c r="E4" t="s">
        <v>128</v>
      </c>
      <c r="F4" t="s">
        <v>119</v>
      </c>
      <c r="G4" t="s">
        <v>120</v>
      </c>
      <c r="H4">
        <v>25.85</v>
      </c>
      <c r="I4" t="s">
        <v>30</v>
      </c>
    </row>
    <row r="5" spans="1:9" x14ac:dyDescent="0.2">
      <c r="A5" t="s">
        <v>37</v>
      </c>
      <c r="B5">
        <v>4</v>
      </c>
      <c r="C5" t="s">
        <v>26</v>
      </c>
      <c r="D5" t="s">
        <v>129</v>
      </c>
      <c r="E5" t="s">
        <v>130</v>
      </c>
      <c r="F5" t="s">
        <v>119</v>
      </c>
      <c r="G5" t="s">
        <v>120</v>
      </c>
      <c r="H5">
        <v>82.68</v>
      </c>
      <c r="I5" t="s">
        <v>30</v>
      </c>
    </row>
    <row r="6" spans="1:9" x14ac:dyDescent="0.2">
      <c r="A6" t="s">
        <v>40</v>
      </c>
      <c r="B6">
        <v>5</v>
      </c>
      <c r="C6" t="s">
        <v>26</v>
      </c>
      <c r="D6" t="s">
        <v>131</v>
      </c>
      <c r="E6" t="s">
        <v>132</v>
      </c>
      <c r="F6" t="s">
        <v>119</v>
      </c>
      <c r="G6" t="s">
        <v>120</v>
      </c>
      <c r="H6">
        <v>59.88</v>
      </c>
      <c r="I6" t="s">
        <v>30</v>
      </c>
    </row>
    <row r="7" spans="1:9" x14ac:dyDescent="0.2">
      <c r="A7" t="s">
        <v>43</v>
      </c>
      <c r="B7">
        <v>6</v>
      </c>
      <c r="C7" t="s">
        <v>26</v>
      </c>
      <c r="D7" t="s">
        <v>133</v>
      </c>
      <c r="E7" t="s">
        <v>134</v>
      </c>
      <c r="F7" t="s">
        <v>119</v>
      </c>
      <c r="G7" t="s">
        <v>120</v>
      </c>
      <c r="H7">
        <v>43.15</v>
      </c>
      <c r="I7" t="s">
        <v>30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94D8-B738-8044-986E-251C7697E8AF}">
  <dimension ref="A1:I7"/>
  <sheetViews>
    <sheetView workbookViewId="0">
      <selection activeCell="F14" sqref="F14"/>
    </sheetView>
  </sheetViews>
  <sheetFormatPr baseColWidth="10" defaultRowHeight="16" x14ac:dyDescent="0.2"/>
  <cols>
    <col min="1" max="1" width="5.5" bestFit="1" customWidth="1"/>
    <col min="2" max="2" width="10.5" bestFit="1" customWidth="1"/>
    <col min="3" max="3" width="22.83203125" bestFit="1" customWidth="1"/>
    <col min="4" max="4" width="20.33203125" bestFit="1" customWidth="1"/>
    <col min="5" max="5" width="24.6640625" bestFit="1" customWidth="1"/>
    <col min="6" max="6" width="25" bestFit="1" customWidth="1"/>
    <col min="7" max="7" width="12.1640625" bestFit="1" customWidth="1"/>
    <col min="8" max="8" width="8.83203125" bestFit="1" customWidth="1"/>
    <col min="9" max="9" width="13.1640625" bestFit="1" customWidth="1"/>
  </cols>
  <sheetData>
    <row r="1" spans="1:9" x14ac:dyDescent="0.2">
      <c r="A1" t="s">
        <v>0</v>
      </c>
      <c r="B1" t="s">
        <v>1</v>
      </c>
      <c r="C1" t="s">
        <v>162</v>
      </c>
      <c r="D1" t="s">
        <v>8</v>
      </c>
      <c r="E1" t="s">
        <v>9</v>
      </c>
      <c r="F1" t="s">
        <v>163</v>
      </c>
      <c r="G1" t="s">
        <v>164</v>
      </c>
      <c r="H1" t="s">
        <v>165</v>
      </c>
      <c r="I1" t="s">
        <v>24</v>
      </c>
    </row>
    <row r="2" spans="1:9" x14ac:dyDescent="0.2">
      <c r="A2" t="s">
        <v>25</v>
      </c>
      <c r="B2">
        <v>1</v>
      </c>
      <c r="C2" t="s">
        <v>26</v>
      </c>
      <c r="D2" t="s">
        <v>122</v>
      </c>
      <c r="E2" t="s">
        <v>123</v>
      </c>
      <c r="F2" t="s">
        <v>108</v>
      </c>
      <c r="G2" t="s">
        <v>109</v>
      </c>
      <c r="H2">
        <v>28.18</v>
      </c>
      <c r="I2" t="s">
        <v>30</v>
      </c>
    </row>
    <row r="3" spans="1:9" x14ac:dyDescent="0.2">
      <c r="A3" t="s">
        <v>31</v>
      </c>
      <c r="B3">
        <v>2</v>
      </c>
      <c r="C3" t="s">
        <v>26</v>
      </c>
      <c r="D3" t="s">
        <v>125</v>
      </c>
      <c r="E3" t="s">
        <v>126</v>
      </c>
      <c r="F3" t="s">
        <v>108</v>
      </c>
      <c r="G3" t="s">
        <v>109</v>
      </c>
      <c r="H3">
        <v>79.87</v>
      </c>
      <c r="I3" t="s">
        <v>30</v>
      </c>
    </row>
    <row r="4" spans="1:9" x14ac:dyDescent="0.2">
      <c r="A4" t="s">
        <v>34</v>
      </c>
      <c r="B4">
        <v>3</v>
      </c>
      <c r="C4" t="s">
        <v>26</v>
      </c>
      <c r="D4" t="s">
        <v>127</v>
      </c>
      <c r="E4" t="s">
        <v>128</v>
      </c>
      <c r="F4" t="s">
        <v>108</v>
      </c>
      <c r="G4" t="s">
        <v>109</v>
      </c>
      <c r="H4">
        <v>31.45</v>
      </c>
      <c r="I4" t="s">
        <v>30</v>
      </c>
    </row>
    <row r="5" spans="1:9" x14ac:dyDescent="0.2">
      <c r="A5" t="s">
        <v>37</v>
      </c>
      <c r="B5">
        <v>4</v>
      </c>
      <c r="C5" t="s">
        <v>26</v>
      </c>
      <c r="D5" t="s">
        <v>129</v>
      </c>
      <c r="E5" t="s">
        <v>130</v>
      </c>
      <c r="F5" t="s">
        <v>108</v>
      </c>
      <c r="G5" t="s">
        <v>109</v>
      </c>
      <c r="H5">
        <v>91.58</v>
      </c>
      <c r="I5" t="s">
        <v>30</v>
      </c>
    </row>
    <row r="6" spans="1:9" x14ac:dyDescent="0.2">
      <c r="A6" t="s">
        <v>40</v>
      </c>
      <c r="B6">
        <v>5</v>
      </c>
      <c r="C6" t="s">
        <v>26</v>
      </c>
      <c r="D6" t="s">
        <v>131</v>
      </c>
      <c r="E6" t="s">
        <v>132</v>
      </c>
      <c r="F6" t="s">
        <v>108</v>
      </c>
      <c r="G6" t="s">
        <v>109</v>
      </c>
      <c r="H6">
        <v>67.069999999999993</v>
      </c>
      <c r="I6" t="s">
        <v>30</v>
      </c>
    </row>
    <row r="7" spans="1:9" x14ac:dyDescent="0.2">
      <c r="A7" t="s">
        <v>43</v>
      </c>
      <c r="B7">
        <v>6</v>
      </c>
      <c r="C7" t="s">
        <v>26</v>
      </c>
      <c r="D7" t="s">
        <v>133</v>
      </c>
      <c r="E7" t="s">
        <v>134</v>
      </c>
      <c r="F7" t="s">
        <v>108</v>
      </c>
      <c r="G7" t="s">
        <v>109</v>
      </c>
      <c r="H7">
        <v>48.5</v>
      </c>
      <c r="I7" t="s">
        <v>30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AB8F-75E4-B949-AAD8-779B016B5B63}">
  <dimension ref="A1:K25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21.33203125" bestFit="1" customWidth="1"/>
    <col min="5" max="5" width="20.33203125" bestFit="1" customWidth="1"/>
    <col min="6" max="6" width="24.6640625" bestFit="1" customWidth="1"/>
    <col min="7" max="7" width="22.33203125" bestFit="1" customWidth="1"/>
    <col min="8" max="8" width="17.33203125" bestFit="1" customWidth="1"/>
    <col min="9" max="9" width="7.5" bestFit="1" customWidth="1"/>
    <col min="10" max="10" width="22.33203125" bestFit="1" customWidth="1"/>
    <col min="11" max="11" width="21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155</v>
      </c>
      <c r="E1" t="s">
        <v>8</v>
      </c>
      <c r="F1" t="s">
        <v>9</v>
      </c>
      <c r="G1" t="s">
        <v>159</v>
      </c>
      <c r="H1" t="s">
        <v>160</v>
      </c>
      <c r="I1" t="s">
        <v>11</v>
      </c>
      <c r="J1" t="s">
        <v>161</v>
      </c>
      <c r="K1" t="s">
        <v>7</v>
      </c>
    </row>
    <row r="2" spans="1:11" x14ac:dyDescent="0.2">
      <c r="A2" t="s">
        <v>25</v>
      </c>
      <c r="B2">
        <v>1</v>
      </c>
      <c r="C2" t="s">
        <v>26</v>
      </c>
      <c r="D2" t="s">
        <v>35</v>
      </c>
      <c r="E2" t="s">
        <v>122</v>
      </c>
      <c r="F2" t="s">
        <v>123</v>
      </c>
      <c r="G2">
        <v>0</v>
      </c>
      <c r="H2">
        <v>0</v>
      </c>
      <c r="I2" t="s">
        <v>158</v>
      </c>
      <c r="J2">
        <v>69</v>
      </c>
      <c r="K2">
        <v>80</v>
      </c>
    </row>
    <row r="3" spans="1:11" x14ac:dyDescent="0.2">
      <c r="A3" t="s">
        <v>31</v>
      </c>
      <c r="B3">
        <v>2</v>
      </c>
      <c r="C3" t="s">
        <v>26</v>
      </c>
      <c r="D3" t="s">
        <v>112</v>
      </c>
      <c r="E3" t="s">
        <v>122</v>
      </c>
      <c r="F3" t="s">
        <v>123</v>
      </c>
      <c r="G3">
        <v>383</v>
      </c>
      <c r="H3">
        <v>7160</v>
      </c>
      <c r="I3" t="s">
        <v>158</v>
      </c>
      <c r="J3">
        <v>75</v>
      </c>
      <c r="K3">
        <v>80</v>
      </c>
    </row>
    <row r="4" spans="1:11" x14ac:dyDescent="0.2">
      <c r="A4" t="s">
        <v>34</v>
      </c>
      <c r="B4">
        <v>3</v>
      </c>
      <c r="C4" t="s">
        <v>26</v>
      </c>
      <c r="D4" t="s">
        <v>114</v>
      </c>
      <c r="E4" t="s">
        <v>122</v>
      </c>
      <c r="F4" t="s">
        <v>123</v>
      </c>
      <c r="G4">
        <v>74</v>
      </c>
      <c r="H4">
        <v>1300</v>
      </c>
      <c r="I4" t="s">
        <v>158</v>
      </c>
      <c r="J4">
        <v>71</v>
      </c>
      <c r="K4">
        <v>80</v>
      </c>
    </row>
    <row r="5" spans="1:11" x14ac:dyDescent="0.2">
      <c r="A5" t="s">
        <v>37</v>
      </c>
      <c r="B5">
        <v>4</v>
      </c>
      <c r="C5" t="s">
        <v>26</v>
      </c>
      <c r="D5" t="s">
        <v>116</v>
      </c>
      <c r="E5" t="s">
        <v>122</v>
      </c>
      <c r="F5" t="s">
        <v>123</v>
      </c>
      <c r="G5">
        <v>70</v>
      </c>
      <c r="H5">
        <v>1592</v>
      </c>
      <c r="I5" t="s">
        <v>158</v>
      </c>
      <c r="J5">
        <v>68</v>
      </c>
      <c r="K5">
        <v>80</v>
      </c>
    </row>
    <row r="6" spans="1:11" x14ac:dyDescent="0.2">
      <c r="A6" t="s">
        <v>40</v>
      </c>
      <c r="B6">
        <v>5</v>
      </c>
      <c r="C6" t="s">
        <v>26</v>
      </c>
      <c r="D6" t="s">
        <v>35</v>
      </c>
      <c r="E6" t="s">
        <v>125</v>
      </c>
      <c r="F6" t="s">
        <v>126</v>
      </c>
      <c r="G6">
        <v>17</v>
      </c>
      <c r="H6">
        <v>0</v>
      </c>
      <c r="I6" t="s">
        <v>158</v>
      </c>
      <c r="J6">
        <v>71</v>
      </c>
      <c r="K6">
        <v>80</v>
      </c>
    </row>
    <row r="7" spans="1:11" x14ac:dyDescent="0.2">
      <c r="A7" t="s">
        <v>43</v>
      </c>
      <c r="B7">
        <v>6</v>
      </c>
      <c r="C7" t="s">
        <v>26</v>
      </c>
      <c r="D7" t="s">
        <v>112</v>
      </c>
      <c r="E7" t="s">
        <v>125</v>
      </c>
      <c r="F7" t="s">
        <v>126</v>
      </c>
      <c r="G7">
        <v>52</v>
      </c>
      <c r="H7">
        <v>388</v>
      </c>
      <c r="I7" t="s">
        <v>158</v>
      </c>
      <c r="J7">
        <v>73</v>
      </c>
      <c r="K7">
        <v>80</v>
      </c>
    </row>
    <row r="8" spans="1:11" x14ac:dyDescent="0.2">
      <c r="A8" t="s">
        <v>46</v>
      </c>
      <c r="B8">
        <v>7</v>
      </c>
      <c r="C8" t="s">
        <v>26</v>
      </c>
      <c r="D8" t="s">
        <v>114</v>
      </c>
      <c r="E8" t="s">
        <v>125</v>
      </c>
      <c r="F8" t="s">
        <v>126</v>
      </c>
      <c r="G8">
        <v>75</v>
      </c>
      <c r="H8">
        <v>655</v>
      </c>
      <c r="I8" t="s">
        <v>158</v>
      </c>
      <c r="J8">
        <v>72</v>
      </c>
      <c r="K8">
        <v>80</v>
      </c>
    </row>
    <row r="9" spans="1:11" x14ac:dyDescent="0.2">
      <c r="A9" t="s">
        <v>49</v>
      </c>
      <c r="B9">
        <v>8</v>
      </c>
      <c r="C9" t="s">
        <v>26</v>
      </c>
      <c r="D9" t="s">
        <v>116</v>
      </c>
      <c r="E9" t="s">
        <v>125</v>
      </c>
      <c r="F9" t="s">
        <v>126</v>
      </c>
      <c r="G9">
        <v>50</v>
      </c>
      <c r="H9">
        <v>196</v>
      </c>
      <c r="I9" t="s">
        <v>158</v>
      </c>
      <c r="J9">
        <v>75</v>
      </c>
      <c r="K9">
        <v>80</v>
      </c>
    </row>
    <row r="10" spans="1:11" x14ac:dyDescent="0.2">
      <c r="A10" t="s">
        <v>52</v>
      </c>
      <c r="B10">
        <v>9</v>
      </c>
      <c r="C10" t="s">
        <v>26</v>
      </c>
      <c r="D10" t="s">
        <v>35</v>
      </c>
      <c r="E10" t="s">
        <v>127</v>
      </c>
      <c r="F10" t="s">
        <v>128</v>
      </c>
      <c r="G10">
        <v>1</v>
      </c>
      <c r="H10">
        <v>0</v>
      </c>
      <c r="I10" t="s">
        <v>158</v>
      </c>
      <c r="J10">
        <v>67</v>
      </c>
      <c r="K10">
        <v>80</v>
      </c>
    </row>
    <row r="11" spans="1:11" x14ac:dyDescent="0.2">
      <c r="A11" t="s">
        <v>55</v>
      </c>
      <c r="B11">
        <v>10</v>
      </c>
      <c r="C11" t="s">
        <v>26</v>
      </c>
      <c r="D11" t="s">
        <v>112</v>
      </c>
      <c r="E11" t="s">
        <v>127</v>
      </c>
      <c r="F11" t="s">
        <v>128</v>
      </c>
      <c r="G11">
        <v>282</v>
      </c>
      <c r="H11">
        <v>2880</v>
      </c>
      <c r="I11" t="s">
        <v>158</v>
      </c>
      <c r="J11">
        <v>71</v>
      </c>
      <c r="K11">
        <v>80</v>
      </c>
    </row>
    <row r="12" spans="1:11" x14ac:dyDescent="0.2">
      <c r="A12" t="s">
        <v>58</v>
      </c>
      <c r="B12">
        <v>11</v>
      </c>
      <c r="C12" t="s">
        <v>26</v>
      </c>
      <c r="D12" t="s">
        <v>114</v>
      </c>
      <c r="E12" t="s">
        <v>127</v>
      </c>
      <c r="F12" t="s">
        <v>128</v>
      </c>
      <c r="G12">
        <v>278</v>
      </c>
      <c r="H12">
        <v>4913</v>
      </c>
      <c r="I12" t="s">
        <v>158</v>
      </c>
      <c r="J12">
        <v>73</v>
      </c>
      <c r="K12">
        <v>80</v>
      </c>
    </row>
    <row r="13" spans="1:11" x14ac:dyDescent="0.2">
      <c r="A13" t="s">
        <v>60</v>
      </c>
      <c r="B13">
        <v>12</v>
      </c>
      <c r="C13" t="s">
        <v>26</v>
      </c>
      <c r="D13" t="s">
        <v>116</v>
      </c>
      <c r="E13" t="s">
        <v>127</v>
      </c>
      <c r="F13" t="s">
        <v>128</v>
      </c>
      <c r="G13">
        <v>100</v>
      </c>
      <c r="H13">
        <v>914</v>
      </c>
      <c r="I13" t="s">
        <v>158</v>
      </c>
      <c r="J13">
        <v>72</v>
      </c>
      <c r="K13">
        <v>80</v>
      </c>
    </row>
    <row r="14" spans="1:11" x14ac:dyDescent="0.2">
      <c r="A14" t="s">
        <v>62</v>
      </c>
      <c r="B14">
        <v>13</v>
      </c>
      <c r="C14" t="s">
        <v>26</v>
      </c>
      <c r="D14" t="s">
        <v>35</v>
      </c>
      <c r="E14" t="s">
        <v>129</v>
      </c>
      <c r="F14" t="s">
        <v>130</v>
      </c>
      <c r="G14">
        <v>0</v>
      </c>
      <c r="H14">
        <v>0</v>
      </c>
      <c r="I14" t="s">
        <v>158</v>
      </c>
      <c r="J14">
        <v>60</v>
      </c>
      <c r="K14">
        <v>80</v>
      </c>
    </row>
    <row r="15" spans="1:11" x14ac:dyDescent="0.2">
      <c r="A15" t="s">
        <v>64</v>
      </c>
      <c r="B15">
        <v>14</v>
      </c>
      <c r="C15" t="s">
        <v>26</v>
      </c>
      <c r="D15" t="s">
        <v>112</v>
      </c>
      <c r="E15" t="s">
        <v>129</v>
      </c>
      <c r="F15" t="s">
        <v>130</v>
      </c>
      <c r="G15">
        <v>28</v>
      </c>
      <c r="H15">
        <v>346</v>
      </c>
      <c r="I15" t="s">
        <v>158</v>
      </c>
      <c r="J15">
        <v>66</v>
      </c>
      <c r="K15">
        <v>80</v>
      </c>
    </row>
    <row r="16" spans="1:11" x14ac:dyDescent="0.2">
      <c r="A16" t="s">
        <v>66</v>
      </c>
      <c r="B16">
        <v>15</v>
      </c>
      <c r="C16" t="s">
        <v>26</v>
      </c>
      <c r="D16" t="s">
        <v>114</v>
      </c>
      <c r="E16" t="s">
        <v>129</v>
      </c>
      <c r="F16" t="s">
        <v>130</v>
      </c>
      <c r="G16">
        <v>44</v>
      </c>
      <c r="H16">
        <v>312</v>
      </c>
      <c r="I16" t="s">
        <v>158</v>
      </c>
      <c r="J16">
        <v>75</v>
      </c>
      <c r="K16">
        <v>80</v>
      </c>
    </row>
    <row r="17" spans="1:11" x14ac:dyDescent="0.2">
      <c r="A17" t="s">
        <v>68</v>
      </c>
      <c r="B17">
        <v>16</v>
      </c>
      <c r="C17" t="s">
        <v>26</v>
      </c>
      <c r="D17" t="s">
        <v>116</v>
      </c>
      <c r="E17" t="s">
        <v>129</v>
      </c>
      <c r="F17" t="s">
        <v>130</v>
      </c>
      <c r="G17">
        <v>65</v>
      </c>
      <c r="H17">
        <v>1383</v>
      </c>
      <c r="I17" t="s">
        <v>158</v>
      </c>
      <c r="J17">
        <v>70</v>
      </c>
      <c r="K17">
        <v>80</v>
      </c>
    </row>
    <row r="18" spans="1:11" x14ac:dyDescent="0.2">
      <c r="A18" t="s">
        <v>70</v>
      </c>
      <c r="B18">
        <v>17</v>
      </c>
      <c r="C18" t="s">
        <v>26</v>
      </c>
      <c r="D18" t="s">
        <v>35</v>
      </c>
      <c r="E18" t="s">
        <v>131</v>
      </c>
      <c r="F18" t="s">
        <v>132</v>
      </c>
      <c r="G18">
        <v>55</v>
      </c>
      <c r="H18">
        <v>0</v>
      </c>
      <c r="I18" t="s">
        <v>158</v>
      </c>
      <c r="J18">
        <v>67</v>
      </c>
      <c r="K18">
        <v>80</v>
      </c>
    </row>
    <row r="19" spans="1:11" x14ac:dyDescent="0.2">
      <c r="A19" t="s">
        <v>72</v>
      </c>
      <c r="B19">
        <v>18</v>
      </c>
      <c r="C19" t="s">
        <v>26</v>
      </c>
      <c r="D19" t="s">
        <v>112</v>
      </c>
      <c r="E19" t="s">
        <v>131</v>
      </c>
      <c r="F19" t="s">
        <v>132</v>
      </c>
      <c r="G19">
        <v>74</v>
      </c>
      <c r="H19">
        <v>947</v>
      </c>
      <c r="I19" t="s">
        <v>158</v>
      </c>
      <c r="J19">
        <v>75</v>
      </c>
      <c r="K19">
        <v>80</v>
      </c>
    </row>
    <row r="20" spans="1:11" x14ac:dyDescent="0.2">
      <c r="A20" t="s">
        <v>74</v>
      </c>
      <c r="B20">
        <v>19</v>
      </c>
      <c r="C20" t="s">
        <v>26</v>
      </c>
      <c r="D20" t="s">
        <v>114</v>
      </c>
      <c r="E20" t="s">
        <v>131</v>
      </c>
      <c r="F20" t="s">
        <v>132</v>
      </c>
      <c r="G20">
        <v>97</v>
      </c>
      <c r="H20">
        <v>1628</v>
      </c>
      <c r="I20" t="s">
        <v>158</v>
      </c>
      <c r="J20">
        <v>74</v>
      </c>
      <c r="K20">
        <v>80</v>
      </c>
    </row>
    <row r="21" spans="1:11" x14ac:dyDescent="0.2">
      <c r="A21" t="s">
        <v>76</v>
      </c>
      <c r="B21">
        <v>20</v>
      </c>
      <c r="C21" t="s">
        <v>26</v>
      </c>
      <c r="D21" t="s">
        <v>116</v>
      </c>
      <c r="E21" t="s">
        <v>131</v>
      </c>
      <c r="F21" t="s">
        <v>132</v>
      </c>
      <c r="G21">
        <v>80</v>
      </c>
      <c r="H21">
        <v>524</v>
      </c>
      <c r="I21" t="s">
        <v>158</v>
      </c>
      <c r="J21">
        <v>74</v>
      </c>
      <c r="K21">
        <v>80</v>
      </c>
    </row>
    <row r="22" spans="1:11" x14ac:dyDescent="0.2">
      <c r="A22" t="s">
        <v>78</v>
      </c>
      <c r="B22">
        <v>21</v>
      </c>
      <c r="C22" t="s">
        <v>26</v>
      </c>
      <c r="D22" t="s">
        <v>35</v>
      </c>
      <c r="E22" t="s">
        <v>133</v>
      </c>
      <c r="F22" t="s">
        <v>134</v>
      </c>
      <c r="G22">
        <v>0</v>
      </c>
      <c r="H22">
        <v>0</v>
      </c>
      <c r="I22" t="s">
        <v>158</v>
      </c>
      <c r="J22">
        <v>69</v>
      </c>
      <c r="K22">
        <v>80</v>
      </c>
    </row>
    <row r="23" spans="1:11" x14ac:dyDescent="0.2">
      <c r="A23" t="s">
        <v>80</v>
      </c>
      <c r="B23">
        <v>22</v>
      </c>
      <c r="C23" t="s">
        <v>26</v>
      </c>
      <c r="D23" t="s">
        <v>112</v>
      </c>
      <c r="E23" t="s">
        <v>133</v>
      </c>
      <c r="F23" t="s">
        <v>134</v>
      </c>
      <c r="G23">
        <v>2</v>
      </c>
      <c r="H23">
        <v>1193</v>
      </c>
      <c r="I23" t="s">
        <v>158</v>
      </c>
      <c r="J23">
        <v>69</v>
      </c>
      <c r="K23">
        <v>80</v>
      </c>
    </row>
    <row r="24" spans="1:11" x14ac:dyDescent="0.2">
      <c r="A24" t="s">
        <v>82</v>
      </c>
      <c r="B24">
        <v>23</v>
      </c>
      <c r="C24" t="s">
        <v>26</v>
      </c>
      <c r="D24" t="s">
        <v>114</v>
      </c>
      <c r="E24" t="s">
        <v>133</v>
      </c>
      <c r="F24" t="s">
        <v>134</v>
      </c>
      <c r="G24">
        <v>1</v>
      </c>
      <c r="H24">
        <v>413</v>
      </c>
      <c r="I24" t="s">
        <v>158</v>
      </c>
      <c r="J24">
        <v>69</v>
      </c>
      <c r="K24">
        <v>80</v>
      </c>
    </row>
    <row r="25" spans="1:11" x14ac:dyDescent="0.2">
      <c r="A25" t="s">
        <v>84</v>
      </c>
      <c r="B25">
        <v>24</v>
      </c>
      <c r="C25" t="s">
        <v>26</v>
      </c>
      <c r="D25" t="s">
        <v>116</v>
      </c>
      <c r="E25" t="s">
        <v>133</v>
      </c>
      <c r="F25" t="s">
        <v>134</v>
      </c>
      <c r="G25">
        <v>33</v>
      </c>
      <c r="H25">
        <v>469</v>
      </c>
      <c r="I25" t="s">
        <v>158</v>
      </c>
      <c r="J25">
        <v>69</v>
      </c>
      <c r="K25">
        <v>80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6BBB-F44D-7149-87F6-B2DBF76FCBE9}">
  <dimension ref="A1:I25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20.33203125" bestFit="1" customWidth="1"/>
    <col min="5" max="5" width="24.6640625" bestFit="1" customWidth="1"/>
    <col min="6" max="6" width="21.33203125" bestFit="1" customWidth="1"/>
    <col min="7" max="7" width="9.33203125" bestFit="1" customWidth="1"/>
    <col min="8" max="8" width="13.83203125" bestFit="1" customWidth="1"/>
    <col min="9" max="9" width="7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155</v>
      </c>
      <c r="G1" t="s">
        <v>156</v>
      </c>
      <c r="H1" t="s">
        <v>157</v>
      </c>
      <c r="I1" t="s">
        <v>11</v>
      </c>
    </row>
    <row r="2" spans="1:9" x14ac:dyDescent="0.2">
      <c r="A2" t="s">
        <v>25</v>
      </c>
      <c r="B2">
        <v>1</v>
      </c>
      <c r="C2" t="s">
        <v>26</v>
      </c>
      <c r="D2" t="s">
        <v>122</v>
      </c>
      <c r="E2" t="s">
        <v>123</v>
      </c>
      <c r="F2" t="s">
        <v>35</v>
      </c>
      <c r="G2">
        <v>0</v>
      </c>
      <c r="H2">
        <v>0</v>
      </c>
      <c r="I2" t="s">
        <v>158</v>
      </c>
    </row>
    <row r="3" spans="1:9" x14ac:dyDescent="0.2">
      <c r="A3" t="s">
        <v>31</v>
      </c>
      <c r="B3">
        <v>2</v>
      </c>
      <c r="C3" t="s">
        <v>26</v>
      </c>
      <c r="D3" t="s">
        <v>125</v>
      </c>
      <c r="E3" t="s">
        <v>126</v>
      </c>
      <c r="F3" t="s">
        <v>35</v>
      </c>
      <c r="G3">
        <v>17</v>
      </c>
      <c r="H3">
        <v>0</v>
      </c>
      <c r="I3" t="s">
        <v>158</v>
      </c>
    </row>
    <row r="4" spans="1:9" x14ac:dyDescent="0.2">
      <c r="A4" t="s">
        <v>34</v>
      </c>
      <c r="B4">
        <v>3</v>
      </c>
      <c r="C4" t="s">
        <v>26</v>
      </c>
      <c r="D4" t="s">
        <v>127</v>
      </c>
      <c r="E4" t="s">
        <v>128</v>
      </c>
      <c r="F4" t="s">
        <v>35</v>
      </c>
      <c r="G4">
        <v>1</v>
      </c>
      <c r="H4">
        <v>0</v>
      </c>
      <c r="I4" t="s">
        <v>158</v>
      </c>
    </row>
    <row r="5" spans="1:9" x14ac:dyDescent="0.2">
      <c r="A5" t="s">
        <v>37</v>
      </c>
      <c r="B5">
        <v>4</v>
      </c>
      <c r="C5" t="s">
        <v>26</v>
      </c>
      <c r="D5" t="s">
        <v>129</v>
      </c>
      <c r="E5" t="s">
        <v>130</v>
      </c>
      <c r="F5" t="s">
        <v>35</v>
      </c>
      <c r="G5">
        <v>0</v>
      </c>
      <c r="H5">
        <v>0</v>
      </c>
      <c r="I5" t="s">
        <v>158</v>
      </c>
    </row>
    <row r="6" spans="1:9" x14ac:dyDescent="0.2">
      <c r="A6" t="s">
        <v>40</v>
      </c>
      <c r="B6">
        <v>5</v>
      </c>
      <c r="C6" t="s">
        <v>26</v>
      </c>
      <c r="D6" t="s">
        <v>131</v>
      </c>
      <c r="E6" t="s">
        <v>132</v>
      </c>
      <c r="F6" t="s">
        <v>35</v>
      </c>
      <c r="G6">
        <v>55</v>
      </c>
      <c r="H6">
        <v>0</v>
      </c>
      <c r="I6" t="s">
        <v>158</v>
      </c>
    </row>
    <row r="7" spans="1:9" x14ac:dyDescent="0.2">
      <c r="A7" t="s">
        <v>43</v>
      </c>
      <c r="B7">
        <v>6</v>
      </c>
      <c r="C7" t="s">
        <v>26</v>
      </c>
      <c r="D7" t="s">
        <v>133</v>
      </c>
      <c r="E7" t="s">
        <v>134</v>
      </c>
      <c r="F7" t="s">
        <v>35</v>
      </c>
      <c r="G7">
        <v>0</v>
      </c>
      <c r="H7">
        <v>0</v>
      </c>
      <c r="I7" t="s">
        <v>158</v>
      </c>
    </row>
    <row r="8" spans="1:9" x14ac:dyDescent="0.2">
      <c r="A8" t="s">
        <v>46</v>
      </c>
      <c r="B8">
        <v>7</v>
      </c>
      <c r="C8" t="s">
        <v>26</v>
      </c>
      <c r="D8" t="s">
        <v>122</v>
      </c>
      <c r="E8" t="s">
        <v>123</v>
      </c>
      <c r="F8" t="s">
        <v>112</v>
      </c>
      <c r="G8">
        <v>383</v>
      </c>
      <c r="H8">
        <v>0</v>
      </c>
      <c r="I8" t="s">
        <v>158</v>
      </c>
    </row>
    <row r="9" spans="1:9" x14ac:dyDescent="0.2">
      <c r="A9" t="s">
        <v>49</v>
      </c>
      <c r="B9">
        <v>8</v>
      </c>
      <c r="C9" t="s">
        <v>26</v>
      </c>
      <c r="D9" t="s">
        <v>125</v>
      </c>
      <c r="E9" t="s">
        <v>126</v>
      </c>
      <c r="F9" t="s">
        <v>112</v>
      </c>
      <c r="G9">
        <v>52</v>
      </c>
      <c r="H9">
        <v>0</v>
      </c>
      <c r="I9" t="s">
        <v>158</v>
      </c>
    </row>
    <row r="10" spans="1:9" x14ac:dyDescent="0.2">
      <c r="A10" t="s">
        <v>52</v>
      </c>
      <c r="B10">
        <v>9</v>
      </c>
      <c r="C10" t="s">
        <v>26</v>
      </c>
      <c r="D10" t="s">
        <v>127</v>
      </c>
      <c r="E10" t="s">
        <v>128</v>
      </c>
      <c r="F10" t="s">
        <v>112</v>
      </c>
      <c r="G10">
        <v>282</v>
      </c>
      <c r="H10">
        <v>0</v>
      </c>
      <c r="I10" t="s">
        <v>158</v>
      </c>
    </row>
    <row r="11" spans="1:9" x14ac:dyDescent="0.2">
      <c r="A11" t="s">
        <v>55</v>
      </c>
      <c r="B11">
        <v>10</v>
      </c>
      <c r="C11" t="s">
        <v>26</v>
      </c>
      <c r="D11" t="s">
        <v>129</v>
      </c>
      <c r="E11" t="s">
        <v>130</v>
      </c>
      <c r="F11" t="s">
        <v>112</v>
      </c>
      <c r="G11">
        <v>28</v>
      </c>
      <c r="H11">
        <v>0</v>
      </c>
      <c r="I11" t="s">
        <v>158</v>
      </c>
    </row>
    <row r="12" spans="1:9" x14ac:dyDescent="0.2">
      <c r="A12" t="s">
        <v>58</v>
      </c>
      <c r="B12">
        <v>11</v>
      </c>
      <c r="C12" t="s">
        <v>26</v>
      </c>
      <c r="D12" t="s">
        <v>131</v>
      </c>
      <c r="E12" t="s">
        <v>132</v>
      </c>
      <c r="F12" t="s">
        <v>112</v>
      </c>
      <c r="G12">
        <v>74</v>
      </c>
      <c r="H12">
        <v>0</v>
      </c>
      <c r="I12" t="s">
        <v>158</v>
      </c>
    </row>
    <row r="13" spans="1:9" x14ac:dyDescent="0.2">
      <c r="A13" t="s">
        <v>60</v>
      </c>
      <c r="B13">
        <v>12</v>
      </c>
      <c r="C13" t="s">
        <v>26</v>
      </c>
      <c r="D13" t="s">
        <v>133</v>
      </c>
      <c r="E13" t="s">
        <v>134</v>
      </c>
      <c r="F13" t="s">
        <v>112</v>
      </c>
      <c r="G13">
        <v>2</v>
      </c>
      <c r="H13">
        <v>0</v>
      </c>
      <c r="I13" t="s">
        <v>158</v>
      </c>
    </row>
    <row r="14" spans="1:9" x14ac:dyDescent="0.2">
      <c r="A14" t="s">
        <v>62</v>
      </c>
      <c r="B14">
        <v>13</v>
      </c>
      <c r="C14" t="s">
        <v>26</v>
      </c>
      <c r="D14" t="s">
        <v>122</v>
      </c>
      <c r="E14" t="s">
        <v>123</v>
      </c>
      <c r="F14" t="s">
        <v>114</v>
      </c>
      <c r="G14">
        <v>74</v>
      </c>
      <c r="H14">
        <v>0</v>
      </c>
      <c r="I14" t="s">
        <v>158</v>
      </c>
    </row>
    <row r="15" spans="1:9" x14ac:dyDescent="0.2">
      <c r="A15" t="s">
        <v>64</v>
      </c>
      <c r="B15">
        <v>14</v>
      </c>
      <c r="C15" t="s">
        <v>26</v>
      </c>
      <c r="D15" t="s">
        <v>125</v>
      </c>
      <c r="E15" t="s">
        <v>126</v>
      </c>
      <c r="F15" t="s">
        <v>114</v>
      </c>
      <c r="G15">
        <v>75</v>
      </c>
      <c r="H15">
        <v>0</v>
      </c>
      <c r="I15" t="s">
        <v>158</v>
      </c>
    </row>
    <row r="16" spans="1:9" x14ac:dyDescent="0.2">
      <c r="A16" t="s">
        <v>66</v>
      </c>
      <c r="B16">
        <v>15</v>
      </c>
      <c r="C16" t="s">
        <v>26</v>
      </c>
      <c r="D16" t="s">
        <v>127</v>
      </c>
      <c r="E16" t="s">
        <v>128</v>
      </c>
      <c r="F16" t="s">
        <v>114</v>
      </c>
      <c r="G16">
        <v>278</v>
      </c>
      <c r="H16">
        <v>0</v>
      </c>
      <c r="I16" t="s">
        <v>158</v>
      </c>
    </row>
    <row r="17" spans="1:9" x14ac:dyDescent="0.2">
      <c r="A17" t="s">
        <v>68</v>
      </c>
      <c r="B17">
        <v>16</v>
      </c>
      <c r="C17" t="s">
        <v>26</v>
      </c>
      <c r="D17" t="s">
        <v>129</v>
      </c>
      <c r="E17" t="s">
        <v>130</v>
      </c>
      <c r="F17" t="s">
        <v>114</v>
      </c>
      <c r="G17">
        <v>44</v>
      </c>
      <c r="H17">
        <v>0</v>
      </c>
      <c r="I17" t="s">
        <v>158</v>
      </c>
    </row>
    <row r="18" spans="1:9" x14ac:dyDescent="0.2">
      <c r="A18" t="s">
        <v>70</v>
      </c>
      <c r="B18">
        <v>17</v>
      </c>
      <c r="C18" t="s">
        <v>26</v>
      </c>
      <c r="D18" t="s">
        <v>131</v>
      </c>
      <c r="E18" t="s">
        <v>132</v>
      </c>
      <c r="F18" t="s">
        <v>114</v>
      </c>
      <c r="G18">
        <v>97</v>
      </c>
      <c r="H18">
        <v>0</v>
      </c>
      <c r="I18" t="s">
        <v>158</v>
      </c>
    </row>
    <row r="19" spans="1:9" x14ac:dyDescent="0.2">
      <c r="A19" t="s">
        <v>72</v>
      </c>
      <c r="B19">
        <v>18</v>
      </c>
      <c r="C19" t="s">
        <v>26</v>
      </c>
      <c r="D19" t="s">
        <v>133</v>
      </c>
      <c r="E19" t="s">
        <v>134</v>
      </c>
      <c r="F19" t="s">
        <v>114</v>
      </c>
      <c r="G19">
        <v>1</v>
      </c>
      <c r="H19">
        <v>0</v>
      </c>
      <c r="I19" t="s">
        <v>158</v>
      </c>
    </row>
    <row r="20" spans="1:9" x14ac:dyDescent="0.2">
      <c r="A20" t="s">
        <v>74</v>
      </c>
      <c r="B20">
        <v>19</v>
      </c>
      <c r="C20" t="s">
        <v>26</v>
      </c>
      <c r="D20" t="s">
        <v>122</v>
      </c>
      <c r="E20" t="s">
        <v>123</v>
      </c>
      <c r="F20" t="s">
        <v>116</v>
      </c>
      <c r="G20">
        <v>70</v>
      </c>
      <c r="H20">
        <v>0</v>
      </c>
      <c r="I20" t="s">
        <v>158</v>
      </c>
    </row>
    <row r="21" spans="1:9" x14ac:dyDescent="0.2">
      <c r="A21" t="s">
        <v>76</v>
      </c>
      <c r="B21">
        <v>20</v>
      </c>
      <c r="C21" t="s">
        <v>26</v>
      </c>
      <c r="D21" t="s">
        <v>125</v>
      </c>
      <c r="E21" t="s">
        <v>126</v>
      </c>
      <c r="F21" t="s">
        <v>116</v>
      </c>
      <c r="G21">
        <v>50</v>
      </c>
      <c r="H21">
        <v>0</v>
      </c>
      <c r="I21" t="s">
        <v>158</v>
      </c>
    </row>
    <row r="22" spans="1:9" x14ac:dyDescent="0.2">
      <c r="A22" t="s">
        <v>78</v>
      </c>
      <c r="B22">
        <v>21</v>
      </c>
      <c r="C22" t="s">
        <v>26</v>
      </c>
      <c r="D22" t="s">
        <v>127</v>
      </c>
      <c r="E22" t="s">
        <v>128</v>
      </c>
      <c r="F22" t="s">
        <v>116</v>
      </c>
      <c r="G22">
        <v>100</v>
      </c>
      <c r="H22">
        <v>0</v>
      </c>
      <c r="I22" t="s">
        <v>158</v>
      </c>
    </row>
    <row r="23" spans="1:9" x14ac:dyDescent="0.2">
      <c r="A23" t="s">
        <v>80</v>
      </c>
      <c r="B23">
        <v>22</v>
      </c>
      <c r="C23" t="s">
        <v>26</v>
      </c>
      <c r="D23" t="s">
        <v>129</v>
      </c>
      <c r="E23" t="s">
        <v>130</v>
      </c>
      <c r="F23" t="s">
        <v>116</v>
      </c>
      <c r="G23">
        <v>65</v>
      </c>
      <c r="H23">
        <v>0</v>
      </c>
      <c r="I23" t="s">
        <v>158</v>
      </c>
    </row>
    <row r="24" spans="1:9" x14ac:dyDescent="0.2">
      <c r="A24" t="s">
        <v>82</v>
      </c>
      <c r="B24">
        <v>23</v>
      </c>
      <c r="C24" t="s">
        <v>26</v>
      </c>
      <c r="D24" t="s">
        <v>131</v>
      </c>
      <c r="E24" t="s">
        <v>132</v>
      </c>
      <c r="F24" t="s">
        <v>116</v>
      </c>
      <c r="G24">
        <v>80</v>
      </c>
      <c r="H24">
        <v>0</v>
      </c>
      <c r="I24" t="s">
        <v>158</v>
      </c>
    </row>
    <row r="25" spans="1:9" x14ac:dyDescent="0.2">
      <c r="A25" t="s">
        <v>84</v>
      </c>
      <c r="B25">
        <v>24</v>
      </c>
      <c r="C25" t="s">
        <v>26</v>
      </c>
      <c r="D25" t="s">
        <v>133</v>
      </c>
      <c r="E25" t="s">
        <v>134</v>
      </c>
      <c r="F25" t="s">
        <v>116</v>
      </c>
      <c r="G25">
        <v>33</v>
      </c>
      <c r="H25">
        <v>0</v>
      </c>
      <c r="I25" t="s">
        <v>158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C71-1CE4-5C48-9462-4B64FBE92455}">
  <dimension ref="A1:H22"/>
  <sheetViews>
    <sheetView workbookViewId="0"/>
  </sheetViews>
  <sheetFormatPr baseColWidth="10" defaultRowHeight="16" x14ac:dyDescent="0.2"/>
  <cols>
    <col min="1" max="1" width="10.5" bestFit="1" customWidth="1"/>
    <col min="2" max="2" width="18.33203125" bestFit="1" customWidth="1"/>
    <col min="3" max="3" width="8.6640625" bestFit="1" customWidth="1"/>
    <col min="4" max="4" width="12.5" bestFit="1" customWidth="1"/>
    <col min="5" max="5" width="20.6640625" bestFit="1" customWidth="1"/>
    <col min="6" max="6" width="29.6640625" bestFit="1" customWidth="1"/>
    <col min="7" max="7" width="23.33203125" bestFit="1" customWidth="1"/>
    <col min="8" max="8" width="21.6640625" bestFit="1" customWidth="1"/>
  </cols>
  <sheetData>
    <row r="1" spans="1:8" x14ac:dyDescent="0.2">
      <c r="A1" t="s">
        <v>1</v>
      </c>
      <c r="B1" t="s">
        <v>12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 x14ac:dyDescent="0.2">
      <c r="A2">
        <v>1</v>
      </c>
      <c r="B2" t="s">
        <v>26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</row>
    <row r="3" spans="1:8" x14ac:dyDescent="0.2">
      <c r="A3">
        <v>2</v>
      </c>
      <c r="B3" t="s">
        <v>26</v>
      </c>
      <c r="C3" t="s">
        <v>104</v>
      </c>
      <c r="D3" t="s">
        <v>105</v>
      </c>
      <c r="E3" t="s">
        <v>106</v>
      </c>
      <c r="F3" t="s">
        <v>110</v>
      </c>
      <c r="G3" t="s">
        <v>35</v>
      </c>
      <c r="H3" t="s">
        <v>111</v>
      </c>
    </row>
    <row r="4" spans="1:8" x14ac:dyDescent="0.2">
      <c r="A4">
        <v>3</v>
      </c>
      <c r="B4" t="s">
        <v>26</v>
      </c>
      <c r="C4" t="s">
        <v>104</v>
      </c>
      <c r="D4" t="s">
        <v>105</v>
      </c>
      <c r="E4" t="s">
        <v>106</v>
      </c>
      <c r="F4" t="s">
        <v>110</v>
      </c>
      <c r="G4" t="s">
        <v>112</v>
      </c>
      <c r="H4" t="s">
        <v>113</v>
      </c>
    </row>
    <row r="5" spans="1:8" x14ac:dyDescent="0.2">
      <c r="A5">
        <v>4</v>
      </c>
      <c r="B5" t="s">
        <v>26</v>
      </c>
      <c r="C5" t="s">
        <v>104</v>
      </c>
      <c r="D5" t="s">
        <v>105</v>
      </c>
      <c r="E5" t="s">
        <v>106</v>
      </c>
      <c r="F5" t="s">
        <v>110</v>
      </c>
      <c r="G5" t="s">
        <v>114</v>
      </c>
      <c r="H5" t="s">
        <v>115</v>
      </c>
    </row>
    <row r="6" spans="1:8" x14ac:dyDescent="0.2">
      <c r="A6">
        <v>5</v>
      </c>
      <c r="B6" t="s">
        <v>26</v>
      </c>
      <c r="C6" t="s">
        <v>104</v>
      </c>
      <c r="D6" t="s">
        <v>105</v>
      </c>
      <c r="E6" t="s">
        <v>106</v>
      </c>
      <c r="F6" t="s">
        <v>110</v>
      </c>
      <c r="G6" t="s">
        <v>116</v>
      </c>
      <c r="H6" t="s">
        <v>117</v>
      </c>
    </row>
    <row r="7" spans="1:8" x14ac:dyDescent="0.2">
      <c r="A7">
        <v>6</v>
      </c>
      <c r="B7" t="s">
        <v>26</v>
      </c>
      <c r="C7" t="s">
        <v>104</v>
      </c>
      <c r="D7" t="s">
        <v>105</v>
      </c>
      <c r="E7" t="s">
        <v>106</v>
      </c>
      <c r="F7" t="s">
        <v>118</v>
      </c>
      <c r="G7" t="s">
        <v>119</v>
      </c>
      <c r="H7" t="s">
        <v>120</v>
      </c>
    </row>
    <row r="8" spans="1:8" x14ac:dyDescent="0.2">
      <c r="A8">
        <v>7</v>
      </c>
      <c r="B8" t="s">
        <v>26</v>
      </c>
      <c r="C8" t="s">
        <v>104</v>
      </c>
      <c r="D8" t="s">
        <v>105</v>
      </c>
      <c r="E8" t="s">
        <v>121</v>
      </c>
      <c r="F8" t="s">
        <v>122</v>
      </c>
      <c r="G8" t="s">
        <v>123</v>
      </c>
      <c r="H8" t="s">
        <v>124</v>
      </c>
    </row>
    <row r="9" spans="1:8" x14ac:dyDescent="0.2">
      <c r="A9">
        <v>8</v>
      </c>
      <c r="B9" t="s">
        <v>26</v>
      </c>
      <c r="C9" t="s">
        <v>104</v>
      </c>
      <c r="D9" t="s">
        <v>105</v>
      </c>
      <c r="E9" t="s">
        <v>121</v>
      </c>
      <c r="F9" t="s">
        <v>125</v>
      </c>
      <c r="G9" t="s">
        <v>126</v>
      </c>
      <c r="H9" t="s">
        <v>124</v>
      </c>
    </row>
    <row r="10" spans="1:8" x14ac:dyDescent="0.2">
      <c r="A10">
        <v>9</v>
      </c>
      <c r="B10" t="s">
        <v>26</v>
      </c>
      <c r="C10" t="s">
        <v>104</v>
      </c>
      <c r="D10" t="s">
        <v>105</v>
      </c>
      <c r="E10" t="s">
        <v>121</v>
      </c>
      <c r="F10" t="s">
        <v>127</v>
      </c>
      <c r="G10" t="s">
        <v>128</v>
      </c>
      <c r="H10" t="s">
        <v>124</v>
      </c>
    </row>
    <row r="11" spans="1:8" x14ac:dyDescent="0.2">
      <c r="A11">
        <v>10</v>
      </c>
      <c r="B11" t="s">
        <v>26</v>
      </c>
      <c r="C11" t="s">
        <v>104</v>
      </c>
      <c r="D11" t="s">
        <v>105</v>
      </c>
      <c r="E11" t="s">
        <v>121</v>
      </c>
      <c r="F11" t="s">
        <v>129</v>
      </c>
      <c r="G11" t="s">
        <v>130</v>
      </c>
      <c r="H11" t="s">
        <v>124</v>
      </c>
    </row>
    <row r="12" spans="1:8" x14ac:dyDescent="0.2">
      <c r="A12">
        <v>11</v>
      </c>
      <c r="B12" t="s">
        <v>26</v>
      </c>
      <c r="C12" t="s">
        <v>104</v>
      </c>
      <c r="D12" t="s">
        <v>105</v>
      </c>
      <c r="E12" t="s">
        <v>121</v>
      </c>
      <c r="F12" t="s">
        <v>131</v>
      </c>
      <c r="G12" t="s">
        <v>132</v>
      </c>
      <c r="H12" t="s">
        <v>124</v>
      </c>
    </row>
    <row r="13" spans="1:8" x14ac:dyDescent="0.2">
      <c r="A13">
        <v>12</v>
      </c>
      <c r="B13" t="s">
        <v>26</v>
      </c>
      <c r="C13" t="s">
        <v>104</v>
      </c>
      <c r="D13" t="s">
        <v>105</v>
      </c>
      <c r="E13" t="s">
        <v>121</v>
      </c>
      <c r="F13" t="s">
        <v>133</v>
      </c>
      <c r="G13" t="s">
        <v>134</v>
      </c>
      <c r="H13" t="s">
        <v>124</v>
      </c>
    </row>
    <row r="14" spans="1:8" x14ac:dyDescent="0.2">
      <c r="A14">
        <v>13</v>
      </c>
      <c r="B14" t="s">
        <v>26</v>
      </c>
      <c r="C14" t="s">
        <v>104</v>
      </c>
      <c r="D14" t="s">
        <v>105</v>
      </c>
      <c r="E14" t="s">
        <v>135</v>
      </c>
      <c r="F14" t="s">
        <v>136</v>
      </c>
      <c r="G14" t="s">
        <v>119</v>
      </c>
      <c r="H14" t="s">
        <v>137</v>
      </c>
    </row>
    <row r="15" spans="1:8" x14ac:dyDescent="0.2">
      <c r="A15">
        <v>14</v>
      </c>
      <c r="B15" t="s">
        <v>26</v>
      </c>
      <c r="C15" t="s">
        <v>104</v>
      </c>
      <c r="D15" t="s">
        <v>105</v>
      </c>
      <c r="E15" t="s">
        <v>135</v>
      </c>
      <c r="F15" t="s">
        <v>138</v>
      </c>
      <c r="G15" t="s">
        <v>139</v>
      </c>
      <c r="H15" t="s">
        <v>140</v>
      </c>
    </row>
    <row r="16" spans="1:8" x14ac:dyDescent="0.2">
      <c r="A16">
        <v>15</v>
      </c>
      <c r="B16" t="s">
        <v>26</v>
      </c>
      <c r="C16" t="s">
        <v>104</v>
      </c>
      <c r="D16" t="s">
        <v>105</v>
      </c>
      <c r="E16" t="s">
        <v>135</v>
      </c>
      <c r="F16" t="s">
        <v>141</v>
      </c>
      <c r="G16" t="s">
        <v>119</v>
      </c>
      <c r="H16" t="s">
        <v>142</v>
      </c>
    </row>
    <row r="17" spans="1:8" x14ac:dyDescent="0.2">
      <c r="A17">
        <v>16</v>
      </c>
      <c r="B17" t="s">
        <v>26</v>
      </c>
      <c r="C17" t="s">
        <v>104</v>
      </c>
      <c r="D17" t="s">
        <v>105</v>
      </c>
      <c r="E17" t="s">
        <v>135</v>
      </c>
      <c r="F17" t="s">
        <v>143</v>
      </c>
      <c r="G17" t="s">
        <v>139</v>
      </c>
      <c r="H17" t="s">
        <v>144</v>
      </c>
    </row>
    <row r="18" spans="1:8" x14ac:dyDescent="0.2">
      <c r="A18">
        <v>17</v>
      </c>
      <c r="B18" t="s">
        <v>26</v>
      </c>
      <c r="C18" t="s">
        <v>104</v>
      </c>
      <c r="D18" t="s">
        <v>105</v>
      </c>
      <c r="E18" t="s">
        <v>135</v>
      </c>
      <c r="F18" t="s">
        <v>143</v>
      </c>
      <c r="G18" t="s">
        <v>119</v>
      </c>
      <c r="H18" t="s">
        <v>145</v>
      </c>
    </row>
    <row r="19" spans="1:8" x14ac:dyDescent="0.2">
      <c r="A19">
        <v>18</v>
      </c>
      <c r="B19" t="s">
        <v>26</v>
      </c>
      <c r="C19" t="s">
        <v>104</v>
      </c>
      <c r="D19" t="s">
        <v>105</v>
      </c>
      <c r="E19" t="s">
        <v>135</v>
      </c>
      <c r="F19" t="s">
        <v>146</v>
      </c>
      <c r="G19" t="s">
        <v>147</v>
      </c>
      <c r="H19" t="s">
        <v>148</v>
      </c>
    </row>
    <row r="20" spans="1:8" x14ac:dyDescent="0.2">
      <c r="A20">
        <v>19</v>
      </c>
      <c r="B20" t="s">
        <v>26</v>
      </c>
      <c r="C20" t="s">
        <v>104</v>
      </c>
      <c r="D20" t="s">
        <v>105</v>
      </c>
      <c r="E20" t="s">
        <v>135</v>
      </c>
      <c r="F20" t="s">
        <v>149</v>
      </c>
      <c r="G20" t="s">
        <v>124</v>
      </c>
      <c r="H20" t="s">
        <v>150</v>
      </c>
    </row>
    <row r="21" spans="1:8" x14ac:dyDescent="0.2">
      <c r="A21">
        <v>20</v>
      </c>
      <c r="B21" t="s">
        <v>26</v>
      </c>
      <c r="C21" t="s">
        <v>104</v>
      </c>
      <c r="D21" t="s">
        <v>105</v>
      </c>
      <c r="E21" t="s">
        <v>135</v>
      </c>
      <c r="F21" t="s">
        <v>151</v>
      </c>
      <c r="G21" t="s">
        <v>124</v>
      </c>
      <c r="H21" t="s">
        <v>152</v>
      </c>
    </row>
    <row r="22" spans="1:8" x14ac:dyDescent="0.2">
      <c r="A22">
        <v>21</v>
      </c>
      <c r="B22" t="s">
        <v>26</v>
      </c>
      <c r="C22" t="s">
        <v>104</v>
      </c>
      <c r="D22" t="s">
        <v>105</v>
      </c>
      <c r="E22" t="s">
        <v>135</v>
      </c>
      <c r="F22" t="s">
        <v>153</v>
      </c>
      <c r="G22" t="s">
        <v>124</v>
      </c>
      <c r="H22" t="s">
        <v>154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23F9-C2B6-CE4A-B821-E77633204A6A}">
  <dimension ref="A3:D83"/>
  <sheetViews>
    <sheetView workbookViewId="0">
      <selection activeCell="H29" sqref="H29"/>
    </sheetView>
  </sheetViews>
  <sheetFormatPr baseColWidth="10" defaultRowHeight="16" x14ac:dyDescent="0.2"/>
  <cols>
    <col min="1" max="1" width="13" bestFit="1" customWidth="1"/>
    <col min="2" max="2" width="27" bestFit="1" customWidth="1"/>
    <col min="3" max="3" width="13.1640625" bestFit="1" customWidth="1"/>
    <col min="4" max="4" width="27.5" bestFit="1" customWidth="1"/>
  </cols>
  <sheetData>
    <row r="3" spans="1:4" x14ac:dyDescent="0.2">
      <c r="A3" s="1" t="s">
        <v>1056</v>
      </c>
      <c r="B3" t="s">
        <v>1085</v>
      </c>
      <c r="C3" t="s">
        <v>1084</v>
      </c>
      <c r="D3" t="s">
        <v>1083</v>
      </c>
    </row>
    <row r="4" spans="1:4" x14ac:dyDescent="0.2">
      <c r="A4" s="2" t="s">
        <v>28</v>
      </c>
      <c r="B4" s="4">
        <v>0</v>
      </c>
      <c r="C4" s="4">
        <v>0</v>
      </c>
      <c r="D4" s="4">
        <v>250000</v>
      </c>
    </row>
    <row r="5" spans="1:4" x14ac:dyDescent="0.2">
      <c r="A5" s="2" t="s">
        <v>33</v>
      </c>
      <c r="B5" s="4">
        <v>0</v>
      </c>
      <c r="C5" s="4">
        <v>0</v>
      </c>
      <c r="D5" s="4">
        <v>250000</v>
      </c>
    </row>
    <row r="6" spans="1:4" x14ac:dyDescent="0.2">
      <c r="A6" s="2" t="s">
        <v>36</v>
      </c>
      <c r="B6" s="4">
        <v>0</v>
      </c>
      <c r="C6" s="4">
        <v>0</v>
      </c>
      <c r="D6" s="4">
        <v>250000</v>
      </c>
    </row>
    <row r="7" spans="1:4" x14ac:dyDescent="0.2">
      <c r="A7" s="2" t="s">
        <v>39</v>
      </c>
      <c r="B7" s="4">
        <v>-60000</v>
      </c>
      <c r="C7" s="4">
        <v>-300</v>
      </c>
      <c r="D7" s="4">
        <v>249700</v>
      </c>
    </row>
    <row r="8" spans="1:4" x14ac:dyDescent="0.2">
      <c r="A8" s="2" t="s">
        <v>42</v>
      </c>
      <c r="B8" s="4">
        <v>216649.60000000001</v>
      </c>
      <c r="C8" s="4">
        <v>1354.06</v>
      </c>
      <c r="D8" s="4">
        <v>249700</v>
      </c>
    </row>
    <row r="9" spans="1:4" x14ac:dyDescent="0.2">
      <c r="A9" s="2" t="s">
        <v>45</v>
      </c>
      <c r="B9" s="4">
        <v>336990.67</v>
      </c>
      <c r="C9" s="4">
        <v>2527.4299999999998</v>
      </c>
      <c r="D9" s="4">
        <v>249400</v>
      </c>
    </row>
    <row r="10" spans="1:4" x14ac:dyDescent="0.2">
      <c r="A10" s="2" t="s">
        <v>48</v>
      </c>
      <c r="B10" s="4">
        <v>466467.43</v>
      </c>
      <c r="C10" s="4">
        <v>4081.59</v>
      </c>
      <c r="D10" s="4">
        <v>249100</v>
      </c>
    </row>
    <row r="11" spans="1:4" x14ac:dyDescent="0.2">
      <c r="A11" s="2" t="s">
        <v>51</v>
      </c>
      <c r="B11" s="4">
        <v>634290</v>
      </c>
      <c r="C11" s="4">
        <v>6342.9</v>
      </c>
      <c r="D11" s="4">
        <v>83390.720000000001</v>
      </c>
    </row>
    <row r="12" spans="1:4" x14ac:dyDescent="0.2">
      <c r="A12" s="2" t="s">
        <v>54</v>
      </c>
      <c r="B12" s="4">
        <v>760874.67</v>
      </c>
      <c r="C12" s="4">
        <v>8559.84</v>
      </c>
      <c r="D12" s="4">
        <v>90964.64</v>
      </c>
    </row>
    <row r="13" spans="1:4" x14ac:dyDescent="0.2">
      <c r="A13" s="2" t="s">
        <v>57</v>
      </c>
      <c r="B13" s="4">
        <v>684472.8</v>
      </c>
      <c r="C13" s="4">
        <v>8555.91</v>
      </c>
      <c r="D13" s="4">
        <v>97887.08</v>
      </c>
    </row>
    <row r="14" spans="1:4" x14ac:dyDescent="0.2">
      <c r="A14" s="2" t="s">
        <v>59</v>
      </c>
      <c r="B14" s="4">
        <v>717174.55</v>
      </c>
      <c r="C14" s="4">
        <v>9861.15</v>
      </c>
      <c r="D14" s="4">
        <v>105891.73</v>
      </c>
    </row>
    <row r="15" spans="1:4" x14ac:dyDescent="0.2">
      <c r="A15" s="2" t="s">
        <v>61</v>
      </c>
      <c r="B15" s="4">
        <v>709820</v>
      </c>
      <c r="C15" s="4">
        <v>10647.3</v>
      </c>
      <c r="D15" s="4">
        <v>111902.92</v>
      </c>
    </row>
    <row r="16" spans="1:4" x14ac:dyDescent="0.2">
      <c r="A16" s="2" t="s">
        <v>63</v>
      </c>
      <c r="B16" s="4">
        <v>843567.38</v>
      </c>
      <c r="C16" s="4">
        <v>13707.97</v>
      </c>
      <c r="D16" s="4">
        <v>125296.52</v>
      </c>
    </row>
    <row r="17" spans="1:4" x14ac:dyDescent="0.2">
      <c r="A17" s="2" t="s">
        <v>65</v>
      </c>
      <c r="B17" s="4">
        <v>888030.29</v>
      </c>
      <c r="C17" s="4">
        <v>15540.53</v>
      </c>
      <c r="D17" s="4">
        <v>127043.9</v>
      </c>
    </row>
    <row r="18" spans="1:4" x14ac:dyDescent="0.2">
      <c r="A18" s="2" t="s">
        <v>67</v>
      </c>
      <c r="B18" s="4">
        <v>951988.27</v>
      </c>
      <c r="C18" s="4">
        <v>17849.78</v>
      </c>
      <c r="D18" s="4">
        <v>135587.07999999999</v>
      </c>
    </row>
    <row r="19" spans="1:4" x14ac:dyDescent="0.2">
      <c r="A19" s="2" t="s">
        <v>69</v>
      </c>
      <c r="B19" s="4">
        <v>1015019</v>
      </c>
      <c r="C19" s="4">
        <v>20300.38</v>
      </c>
      <c r="D19" s="4">
        <v>142825.75</v>
      </c>
    </row>
    <row r="20" spans="1:4" x14ac:dyDescent="0.2">
      <c r="A20" s="2" t="s">
        <v>71</v>
      </c>
      <c r="B20" s="4">
        <v>1002559.53</v>
      </c>
      <c r="C20" s="4">
        <v>21304.39</v>
      </c>
      <c r="D20" s="4">
        <v>122827.17</v>
      </c>
    </row>
    <row r="21" spans="1:4" x14ac:dyDescent="0.2">
      <c r="A21" s="2" t="s">
        <v>73</v>
      </c>
      <c r="B21" s="4">
        <v>1073949.78</v>
      </c>
      <c r="C21" s="4">
        <v>24163.87</v>
      </c>
      <c r="D21" s="4">
        <v>137481.94</v>
      </c>
    </row>
    <row r="22" spans="1:4" x14ac:dyDescent="0.2">
      <c r="A22" s="2" t="s">
        <v>75</v>
      </c>
      <c r="B22" s="4">
        <v>1083605.05</v>
      </c>
      <c r="C22" s="4">
        <v>25735.62</v>
      </c>
      <c r="D22" s="4">
        <v>154339.29</v>
      </c>
    </row>
    <row r="23" spans="1:4" x14ac:dyDescent="0.2">
      <c r="A23" s="2" t="s">
        <v>77</v>
      </c>
      <c r="B23" s="4">
        <v>1037214.4</v>
      </c>
      <c r="C23" s="4">
        <v>25930.36</v>
      </c>
      <c r="D23" s="4">
        <v>171202.01</v>
      </c>
    </row>
    <row r="24" spans="1:4" x14ac:dyDescent="0.2">
      <c r="A24" s="2" t="s">
        <v>79</v>
      </c>
      <c r="B24" s="4">
        <v>996178.67</v>
      </c>
      <c r="C24" s="4">
        <v>26149.69</v>
      </c>
      <c r="D24" s="4">
        <v>137960.04</v>
      </c>
    </row>
    <row r="25" spans="1:4" x14ac:dyDescent="0.2">
      <c r="A25" s="2" t="s">
        <v>81</v>
      </c>
      <c r="B25" s="4">
        <v>970722.55</v>
      </c>
      <c r="C25" s="4">
        <v>26694.87</v>
      </c>
      <c r="D25" s="4">
        <v>155871.54</v>
      </c>
    </row>
    <row r="26" spans="1:4" x14ac:dyDescent="0.2">
      <c r="A26" s="2" t="s">
        <v>83</v>
      </c>
      <c r="B26" s="4">
        <v>991176</v>
      </c>
      <c r="C26" s="4">
        <v>28496.31</v>
      </c>
      <c r="D26" s="4">
        <v>168016.1</v>
      </c>
    </row>
    <row r="27" spans="1:4" x14ac:dyDescent="0.2">
      <c r="A27" s="2" t="s">
        <v>85</v>
      </c>
      <c r="B27" s="4">
        <v>1036855.33</v>
      </c>
      <c r="C27" s="4">
        <v>31105.66</v>
      </c>
      <c r="D27" s="4">
        <v>170203.49</v>
      </c>
    </row>
    <row r="28" spans="1:4" x14ac:dyDescent="0.2">
      <c r="A28" s="2" t="s">
        <v>87</v>
      </c>
      <c r="B28" s="4">
        <v>1017611.2</v>
      </c>
      <c r="C28" s="4">
        <v>31800.35</v>
      </c>
      <c r="D28" s="4">
        <v>174379.21</v>
      </c>
    </row>
    <row r="29" spans="1:4" x14ac:dyDescent="0.2">
      <c r="A29" s="2" t="s">
        <v>89</v>
      </c>
      <c r="B29" s="4">
        <v>1005757.23</v>
      </c>
      <c r="C29" s="4">
        <v>32687.11</v>
      </c>
      <c r="D29" s="4">
        <v>179690.6</v>
      </c>
    </row>
    <row r="30" spans="1:4" x14ac:dyDescent="0.2">
      <c r="A30" s="2" t="s">
        <v>91</v>
      </c>
      <c r="B30" s="4">
        <v>1034594.67</v>
      </c>
      <c r="C30" s="4">
        <v>34917.57</v>
      </c>
      <c r="D30" s="4">
        <v>129620.21</v>
      </c>
    </row>
    <row r="31" spans="1:4" x14ac:dyDescent="0.2">
      <c r="A31" s="2" t="s">
        <v>93</v>
      </c>
      <c r="B31" s="4">
        <v>1051320.29</v>
      </c>
      <c r="C31" s="4">
        <v>36796.21</v>
      </c>
      <c r="D31" s="4">
        <v>147992.54</v>
      </c>
    </row>
    <row r="32" spans="1:4" x14ac:dyDescent="0.2">
      <c r="A32" s="2" t="s">
        <v>95</v>
      </c>
      <c r="B32" s="4">
        <v>1083691.5900000001</v>
      </c>
      <c r="C32" s="4">
        <v>39283.82</v>
      </c>
      <c r="D32" s="4">
        <v>156593.07</v>
      </c>
    </row>
    <row r="33" spans="1:4" x14ac:dyDescent="0.2">
      <c r="A33" s="2" t="s">
        <v>97</v>
      </c>
      <c r="B33" s="4">
        <v>1094818.93</v>
      </c>
      <c r="C33" s="4">
        <v>41055.71</v>
      </c>
      <c r="D33" s="4">
        <v>163143.54</v>
      </c>
    </row>
    <row r="34" spans="1:4" x14ac:dyDescent="0.2">
      <c r="A34" s="2" t="s">
        <v>1057</v>
      </c>
      <c r="B34" s="4"/>
      <c r="C34" s="4"/>
      <c r="D34" s="4"/>
    </row>
    <row r="35" spans="1:4" x14ac:dyDescent="0.2">
      <c r="A35" s="2" t="s">
        <v>907</v>
      </c>
      <c r="B35" s="4">
        <v>1142936.52</v>
      </c>
      <c r="C35" s="4">
        <v>44288.79</v>
      </c>
      <c r="D35" s="4">
        <v>177848.69</v>
      </c>
    </row>
    <row r="36" spans="1:4" x14ac:dyDescent="0.2">
      <c r="A36" s="2" t="s">
        <v>1093</v>
      </c>
      <c r="B36" s="4">
        <v>1140567.75</v>
      </c>
      <c r="C36" s="4">
        <v>45622.71</v>
      </c>
      <c r="D36" s="4">
        <v>148445.18</v>
      </c>
    </row>
    <row r="37" spans="1:4" x14ac:dyDescent="0.2">
      <c r="A37" s="2" t="s">
        <v>1122</v>
      </c>
      <c r="B37" s="4">
        <v>1156976.24</v>
      </c>
      <c r="C37" s="4">
        <v>47725.27</v>
      </c>
      <c r="D37" s="4">
        <v>166373.32</v>
      </c>
    </row>
    <row r="38" spans="1:4" x14ac:dyDescent="0.2">
      <c r="A38" s="2" t="s">
        <v>1151</v>
      </c>
      <c r="B38" s="4">
        <v>1146148.71</v>
      </c>
      <c r="C38" s="4">
        <v>48711.32</v>
      </c>
      <c r="D38" s="4">
        <v>180014.19</v>
      </c>
    </row>
    <row r="39" spans="1:4" x14ac:dyDescent="0.2">
      <c r="A39" s="2" t="s">
        <v>1180</v>
      </c>
      <c r="B39" s="4">
        <v>1158564.3400000001</v>
      </c>
      <c r="C39" s="4">
        <v>50687.19</v>
      </c>
      <c r="D39" s="4">
        <v>207044.07</v>
      </c>
    </row>
    <row r="40" spans="1:4" x14ac:dyDescent="0.2">
      <c r="A40" s="2" t="s">
        <v>1210</v>
      </c>
      <c r="B40" s="4">
        <v>1162615.1100000001</v>
      </c>
      <c r="C40" s="4">
        <v>52317.68</v>
      </c>
      <c r="D40" s="4">
        <v>219197.72</v>
      </c>
    </row>
    <row r="41" spans="1:4" x14ac:dyDescent="0.2">
      <c r="A41" s="2" t="s">
        <v>1240</v>
      </c>
      <c r="B41" s="4">
        <v>1181778.1599999999</v>
      </c>
      <c r="C41" s="4">
        <v>54657.24</v>
      </c>
      <c r="D41" s="4">
        <v>236807.99</v>
      </c>
    </row>
    <row r="42" spans="1:4" x14ac:dyDescent="0.2">
      <c r="A42" s="2" t="s">
        <v>1270</v>
      </c>
      <c r="B42" s="4">
        <v>1191110.1100000001</v>
      </c>
      <c r="C42" s="4">
        <v>56577.73</v>
      </c>
      <c r="D42" s="4">
        <v>205903.41</v>
      </c>
    </row>
    <row r="43" spans="1:4" x14ac:dyDescent="0.2">
      <c r="A43" s="2" t="s">
        <v>1295</v>
      </c>
      <c r="B43" s="4">
        <v>1178408</v>
      </c>
      <c r="C43" s="4">
        <v>57447.39</v>
      </c>
      <c r="D43" s="4">
        <v>220718.64</v>
      </c>
    </row>
    <row r="44" spans="1:4" x14ac:dyDescent="0.2">
      <c r="A44" s="2" t="s">
        <v>1329</v>
      </c>
      <c r="B44" s="4">
        <v>1158972.8</v>
      </c>
      <c r="C44" s="4">
        <v>57948.639999999999</v>
      </c>
      <c r="D44" s="4">
        <v>238156.81</v>
      </c>
    </row>
    <row r="45" spans="1:4" x14ac:dyDescent="0.2">
      <c r="A45" s="2" t="s">
        <v>1353</v>
      </c>
      <c r="B45" s="4">
        <v>1170120.78</v>
      </c>
      <c r="C45" s="4">
        <v>59968.69</v>
      </c>
      <c r="D45" s="4">
        <v>255747.44</v>
      </c>
    </row>
    <row r="46" spans="1:4" x14ac:dyDescent="0.2">
      <c r="A46" s="2" t="s">
        <v>1354</v>
      </c>
      <c r="B46" s="4">
        <v>1181000.57</v>
      </c>
      <c r="C46" s="4">
        <v>62002.53</v>
      </c>
      <c r="D46" s="4">
        <v>271694.03999999998</v>
      </c>
    </row>
    <row r="47" spans="1:4" x14ac:dyDescent="0.2">
      <c r="A47" s="2" t="s">
        <v>1415</v>
      </c>
      <c r="B47" s="4">
        <v>1184451.53</v>
      </c>
      <c r="C47" s="4">
        <v>63664.27</v>
      </c>
      <c r="D47" s="4">
        <v>278407.52</v>
      </c>
    </row>
    <row r="48" spans="1:4" x14ac:dyDescent="0.2">
      <c r="A48" s="2" t="s">
        <v>1446</v>
      </c>
      <c r="B48" s="4">
        <v>1184225.27</v>
      </c>
      <c r="C48" s="4">
        <v>65132.39</v>
      </c>
      <c r="D48" s="4">
        <v>155909.82</v>
      </c>
    </row>
    <row r="49" spans="1:4" x14ac:dyDescent="0.2">
      <c r="A49" s="2" t="s">
        <v>1474</v>
      </c>
      <c r="B49" s="4">
        <v>1193220.0900000001</v>
      </c>
      <c r="C49" s="4">
        <v>67118.63</v>
      </c>
      <c r="D49" s="4">
        <v>170620.83</v>
      </c>
    </row>
    <row r="50" spans="1:4" x14ac:dyDescent="0.2">
      <c r="A50" s="2" t="s">
        <v>1475</v>
      </c>
      <c r="B50" s="4">
        <v>1196525.74</v>
      </c>
      <c r="C50" s="4">
        <v>68800.23</v>
      </c>
      <c r="D50" s="4">
        <v>187520.7</v>
      </c>
    </row>
    <row r="51" spans="1:4" x14ac:dyDescent="0.2">
      <c r="A51" s="2" t="s">
        <v>1476</v>
      </c>
      <c r="B51" s="4">
        <v>1178051.23</v>
      </c>
      <c r="C51" s="4">
        <v>69210.509999999995</v>
      </c>
      <c r="D51" s="4">
        <v>202371.43</v>
      </c>
    </row>
    <row r="52" spans="1:4" x14ac:dyDescent="0.2">
      <c r="A52" s="2" t="s">
        <v>1477</v>
      </c>
      <c r="B52" s="4">
        <v>1207081.83</v>
      </c>
      <c r="C52" s="4">
        <v>72424.91</v>
      </c>
      <c r="D52" s="4">
        <v>217124.77</v>
      </c>
    </row>
    <row r="53" spans="1:4" x14ac:dyDescent="0.2">
      <c r="A53" s="2" t="s">
        <v>1596</v>
      </c>
      <c r="B53" s="4">
        <v>1211270.8600000001</v>
      </c>
      <c r="C53" s="4">
        <v>74190.34</v>
      </c>
      <c r="D53" s="4">
        <v>231410.32</v>
      </c>
    </row>
    <row r="54" spans="1:4" x14ac:dyDescent="0.2">
      <c r="A54" s="2" t="s">
        <v>1626</v>
      </c>
      <c r="B54" s="4">
        <v>1225901.44</v>
      </c>
      <c r="C54" s="4">
        <v>76618.84</v>
      </c>
      <c r="D54" s="4">
        <v>245003.49</v>
      </c>
    </row>
    <row r="55" spans="1:4" x14ac:dyDescent="0.2">
      <c r="A55" s="2" t="s">
        <v>1655</v>
      </c>
      <c r="B55" s="4">
        <v>1233495.8400000001</v>
      </c>
      <c r="C55" s="4">
        <v>78635.360000000001</v>
      </c>
      <c r="D55" s="4">
        <v>250565.74</v>
      </c>
    </row>
    <row r="56" spans="1:4" x14ac:dyDescent="0.2">
      <c r="A56" s="2" t="s">
        <v>1680</v>
      </c>
      <c r="B56" s="4">
        <v>1242964.1499999999</v>
      </c>
      <c r="C56" s="4">
        <v>80792.67</v>
      </c>
      <c r="D56" s="4">
        <v>232412.14</v>
      </c>
    </row>
    <row r="57" spans="1:4" x14ac:dyDescent="0.2">
      <c r="A57" s="2" t="s">
        <v>1715</v>
      </c>
      <c r="B57" s="4">
        <v>1232082.72</v>
      </c>
      <c r="C57" s="4">
        <v>81625.48</v>
      </c>
      <c r="D57" s="4">
        <v>247891.01</v>
      </c>
    </row>
    <row r="58" spans="1:4" x14ac:dyDescent="0.2">
      <c r="A58" s="2" t="s">
        <v>1743</v>
      </c>
      <c r="B58" s="4">
        <v>1246424.8899999999</v>
      </c>
      <c r="C58" s="4">
        <v>84133.68</v>
      </c>
      <c r="D58" s="4">
        <v>272796.83</v>
      </c>
    </row>
    <row r="59" spans="1:4" x14ac:dyDescent="0.2">
      <c r="A59" s="2" t="s">
        <v>1773</v>
      </c>
      <c r="B59" s="4">
        <v>1253507.05</v>
      </c>
      <c r="C59" s="4">
        <v>86178.61</v>
      </c>
      <c r="D59" s="4">
        <v>287948.08</v>
      </c>
    </row>
    <row r="60" spans="1:4" x14ac:dyDescent="0.2">
      <c r="A60" s="2" t="s">
        <v>1798</v>
      </c>
      <c r="B60" s="4">
        <v>1257977.57</v>
      </c>
      <c r="C60" s="4">
        <v>88058.43</v>
      </c>
      <c r="D60" s="4">
        <v>304456.21000000002</v>
      </c>
    </row>
    <row r="61" spans="1:4" x14ac:dyDescent="0.2">
      <c r="A61" s="2" t="s">
        <v>1834</v>
      </c>
      <c r="B61" s="4">
        <v>1251240</v>
      </c>
      <c r="C61" s="4">
        <v>89150.85</v>
      </c>
      <c r="D61" s="4">
        <v>252578.85</v>
      </c>
    </row>
    <row r="62" spans="1:4" x14ac:dyDescent="0.2">
      <c r="A62" s="2" t="s">
        <v>1858</v>
      </c>
      <c r="B62" s="4">
        <v>1261128.4099999999</v>
      </c>
      <c r="C62" s="4">
        <v>91431.81</v>
      </c>
      <c r="D62" s="4">
        <v>272335.15000000002</v>
      </c>
    </row>
    <row r="63" spans="1:4" x14ac:dyDescent="0.2">
      <c r="A63" s="2" t="s">
        <v>1859</v>
      </c>
      <c r="B63" s="4">
        <v>1270931.53</v>
      </c>
      <c r="C63" s="4">
        <v>93731.199999999997</v>
      </c>
      <c r="D63" s="4">
        <v>286726.86</v>
      </c>
    </row>
    <row r="64" spans="1:4" x14ac:dyDescent="0.2">
      <c r="A64" s="2" t="s">
        <v>1922</v>
      </c>
      <c r="B64" s="4">
        <v>1276302.3999999999</v>
      </c>
      <c r="C64" s="4">
        <v>95722.68</v>
      </c>
      <c r="D64" s="4">
        <v>304419.03999999998</v>
      </c>
    </row>
    <row r="65" spans="1:4" x14ac:dyDescent="0.2">
      <c r="A65" s="2" t="s">
        <v>1953</v>
      </c>
      <c r="B65" s="4">
        <v>1275301.51</v>
      </c>
      <c r="C65" s="4">
        <v>97241.74</v>
      </c>
      <c r="D65" s="4">
        <v>237314.97</v>
      </c>
    </row>
    <row r="66" spans="1:4" x14ac:dyDescent="0.2">
      <c r="A66" s="2" t="s">
        <v>1983</v>
      </c>
      <c r="B66" s="4">
        <v>1294583.1000000001</v>
      </c>
      <c r="C66" s="4">
        <v>100330.19</v>
      </c>
      <c r="D66" s="4">
        <v>253896.26</v>
      </c>
    </row>
    <row r="67" spans="1:4" x14ac:dyDescent="0.2">
      <c r="A67" s="2" t="s">
        <v>2007</v>
      </c>
      <c r="B67" s="4">
        <v>1299418.4099999999</v>
      </c>
      <c r="C67" s="4">
        <v>102329.2</v>
      </c>
      <c r="D67" s="4">
        <v>271475.06</v>
      </c>
    </row>
    <row r="68" spans="1:4" x14ac:dyDescent="0.2">
      <c r="A68" s="2" t="s">
        <v>2042</v>
      </c>
      <c r="B68" s="4">
        <v>1294765.25</v>
      </c>
      <c r="C68" s="4">
        <v>103581.22</v>
      </c>
      <c r="D68" s="4">
        <v>293162.59999999998</v>
      </c>
    </row>
    <row r="69" spans="1:4" x14ac:dyDescent="0.2">
      <c r="A69" s="2" t="s">
        <v>2073</v>
      </c>
      <c r="B69" s="4">
        <v>1308206.28</v>
      </c>
      <c r="C69" s="4">
        <v>106291.76</v>
      </c>
      <c r="D69" s="4">
        <v>253518.26</v>
      </c>
    </row>
    <row r="70" spans="1:4" x14ac:dyDescent="0.2">
      <c r="A70" s="2" t="s">
        <v>2103</v>
      </c>
      <c r="B70" s="4">
        <v>1315864.24</v>
      </c>
      <c r="C70" s="4">
        <v>108558.8</v>
      </c>
      <c r="D70" s="4">
        <v>277270.08</v>
      </c>
    </row>
    <row r="71" spans="1:4" x14ac:dyDescent="0.2">
      <c r="A71" s="2" t="s">
        <v>2128</v>
      </c>
      <c r="B71" s="4">
        <v>1316239.1599999999</v>
      </c>
      <c r="C71" s="4">
        <v>110235.03</v>
      </c>
      <c r="D71" s="4">
        <v>290120.59000000003</v>
      </c>
    </row>
    <row r="72" spans="1:4" x14ac:dyDescent="0.2">
      <c r="A72" s="2" t="s">
        <v>2157</v>
      </c>
      <c r="B72" s="4">
        <v>1353424.24</v>
      </c>
      <c r="C72" s="4">
        <v>115041.06</v>
      </c>
      <c r="D72" s="4">
        <v>304722.36</v>
      </c>
    </row>
    <row r="73" spans="1:4" x14ac:dyDescent="0.2">
      <c r="A73" s="2" t="s">
        <v>2158</v>
      </c>
      <c r="B73" s="4">
        <v>1350425.16</v>
      </c>
      <c r="C73" s="4">
        <v>116474.17</v>
      </c>
      <c r="D73" s="4">
        <v>243420.12</v>
      </c>
    </row>
    <row r="74" spans="1:4" x14ac:dyDescent="0.2">
      <c r="A74" s="2" t="s">
        <v>2222</v>
      </c>
      <c r="B74" s="4">
        <v>1372370.29</v>
      </c>
      <c r="C74" s="4">
        <v>120082.4</v>
      </c>
      <c r="D74" s="4">
        <v>264899.87</v>
      </c>
    </row>
    <row r="75" spans="1:4" x14ac:dyDescent="0.2">
      <c r="A75" s="2" t="s">
        <v>2252</v>
      </c>
      <c r="B75" s="4">
        <v>1366266.37</v>
      </c>
      <c r="C75" s="4">
        <v>121256.14</v>
      </c>
      <c r="D75" s="4">
        <v>278656.95</v>
      </c>
    </row>
    <row r="76" spans="1:4" x14ac:dyDescent="0.2">
      <c r="A76" s="2" t="s">
        <v>2277</v>
      </c>
      <c r="B76" s="4">
        <v>1370793.89</v>
      </c>
      <c r="C76" s="4">
        <v>123371.45</v>
      </c>
      <c r="D76" s="4">
        <v>252242.85</v>
      </c>
    </row>
    <row r="77" spans="1:4" x14ac:dyDescent="0.2">
      <c r="A77" s="2" t="s">
        <v>2278</v>
      </c>
      <c r="B77" s="4">
        <v>1382218.96</v>
      </c>
      <c r="C77" s="4">
        <v>126127.48</v>
      </c>
      <c r="D77" s="4">
        <v>266724.81</v>
      </c>
    </row>
    <row r="78" spans="1:4" x14ac:dyDescent="0.2">
      <c r="A78" s="2" t="s">
        <v>2340</v>
      </c>
      <c r="B78" s="4">
        <v>1384533.95</v>
      </c>
      <c r="C78" s="4">
        <v>128069.39</v>
      </c>
      <c r="D78" s="4">
        <v>294425.7</v>
      </c>
    </row>
    <row r="79" spans="1:4" x14ac:dyDescent="0.2">
      <c r="A79" s="2" t="s">
        <v>2370</v>
      </c>
      <c r="B79" s="4">
        <v>1399191.15</v>
      </c>
      <c r="C79" s="4">
        <v>131174.17000000001</v>
      </c>
      <c r="D79" s="4">
        <v>306696.90999999997</v>
      </c>
    </row>
    <row r="80" spans="1:4" x14ac:dyDescent="0.2">
      <c r="A80" s="2" t="s">
        <v>2403</v>
      </c>
      <c r="B80" s="4">
        <v>1412716.32</v>
      </c>
      <c r="C80" s="4">
        <v>134208.04999999999</v>
      </c>
      <c r="D80" s="4">
        <v>240364.35</v>
      </c>
    </row>
    <row r="81" spans="1:4" x14ac:dyDescent="0.2">
      <c r="A81" s="2" t="s">
        <v>2395</v>
      </c>
      <c r="B81" s="4">
        <v>1408779.22</v>
      </c>
      <c r="C81" s="4">
        <v>135595</v>
      </c>
      <c r="D81" s="4">
        <v>262575.92</v>
      </c>
    </row>
    <row r="82" spans="1:4" x14ac:dyDescent="0.2">
      <c r="A82" s="2" t="s">
        <v>2458</v>
      </c>
      <c r="B82" s="4">
        <v>1418964.82</v>
      </c>
      <c r="C82" s="4">
        <v>138349.07</v>
      </c>
      <c r="D82" s="4">
        <v>278248.13</v>
      </c>
    </row>
    <row r="83" spans="1:4" x14ac:dyDescent="0.2">
      <c r="A83" s="2" t="s">
        <v>1058</v>
      </c>
      <c r="B83" s="4">
        <v>83045443.839999989</v>
      </c>
      <c r="C83" s="4">
        <v>4728042.7700000005</v>
      </c>
      <c r="D83" s="4">
        <v>16736197.17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CFBDB2-C224-C24B-8AE6-C128539A5E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1. Company_Valuation</vt:lpstr>
      <vt:lpstr>2. Pivot_Sales</vt:lpstr>
      <vt:lpstr>3. Pivot_Inventory</vt:lpstr>
      <vt:lpstr>Margin</vt:lpstr>
      <vt:lpstr>Sales</vt:lpstr>
      <vt:lpstr>Inventory (2)</vt:lpstr>
      <vt:lpstr>Sheet5</vt:lpstr>
      <vt:lpstr>Stock_Transfers (2)</vt:lpstr>
      <vt:lpstr>Purchase_Orders (2)</vt:lpstr>
      <vt:lpstr>Production_Orders (2)</vt:lpstr>
      <vt:lpstr>Market (2)</vt:lpstr>
      <vt:lpstr>Independent_Requirements (2)</vt:lpstr>
      <vt:lpstr>Financial_Postings (2)</vt:lpstr>
      <vt:lpstr>Current_Inventory_KPI (2)</vt:lpstr>
      <vt:lpstr>Current_Inventory (2)</vt:lpstr>
      <vt:lpstr>Current_Game_Rules (2)</vt:lpstr>
      <vt:lpstr>Company_Valuation (2)</vt:lpstr>
      <vt:lpstr>Financial_Postings</vt:lpstr>
      <vt:lpstr>Current_Suppliers_Prices</vt:lpstr>
      <vt:lpstr>Current_Pricing_Conditions</vt:lpstr>
      <vt:lpstr>Current_Inventory_KPI</vt:lpstr>
      <vt:lpstr>Current_Inventory</vt:lpstr>
      <vt:lpstr>Current_Game_Rules</vt:lpstr>
      <vt:lpstr>Pivot_Company 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Young</cp:lastModifiedBy>
  <dcterms:created xsi:type="dcterms:W3CDTF">2026-09-25T15:48:23Z</dcterms:created>
  <dcterms:modified xsi:type="dcterms:W3CDTF">2026-10-02T03:41:46Z</dcterms:modified>
</cp:coreProperties>
</file>